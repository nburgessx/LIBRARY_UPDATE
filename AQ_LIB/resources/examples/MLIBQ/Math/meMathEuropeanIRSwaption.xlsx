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0" windowWidth="20700" windowHeight="11760" activeTab="5"/>
  </bookViews>
  <sheets>
    <sheet name="Normal Distribution" sheetId="1" r:id="rId1"/>
    <sheet name="Black-Scholes" sheetId="2" r:id="rId2"/>
    <sheet name="Risk" sheetId="5" r:id="rId3"/>
    <sheet name="Results" sheetId="3" r:id="rId4"/>
    <sheet name="Black-Scholes Optimize" sheetId="6" r:id="rId5"/>
    <sheet name="Swaption" sheetId="7" r:id="rId6"/>
    <sheet name="EuroSwaption Optimize" sheetId="8" r:id="rId7"/>
  </sheets>
  <calcPr calcId="145621" calcMode="manual" calcCompleted="0" calcOnSave="0"/>
</workbook>
</file>

<file path=xl/calcChain.xml><?xml version="1.0" encoding="utf-8"?>
<calcChain xmlns="http://schemas.openxmlformats.org/spreadsheetml/2006/main">
  <c r="M11" i="7" l="1"/>
  <c r="L11" i="7"/>
  <c r="K11" i="7"/>
  <c r="J11" i="7"/>
  <c r="I11" i="7"/>
  <c r="M10" i="7"/>
  <c r="L10" i="7"/>
  <c r="K10" i="7"/>
  <c r="J10" i="7"/>
  <c r="I10" i="7"/>
  <c r="G11" i="7"/>
  <c r="F11" i="7"/>
  <c r="E11" i="7"/>
  <c r="D11" i="7"/>
  <c r="C11" i="7"/>
  <c r="G10" i="7"/>
  <c r="F10" i="7"/>
  <c r="E10" i="7"/>
  <c r="D10" i="7"/>
  <c r="C10" i="7"/>
  <c r="M8" i="7"/>
  <c r="L8" i="7"/>
  <c r="K8" i="7"/>
  <c r="J8" i="7"/>
  <c r="I8" i="7"/>
  <c r="G8" i="7"/>
  <c r="F8" i="7"/>
  <c r="E8" i="7"/>
  <c r="D8" i="7"/>
  <c r="C8" i="7"/>
  <c r="M6" i="7"/>
  <c r="L6" i="7"/>
  <c r="K6" i="7"/>
  <c r="J6" i="7"/>
  <c r="I6" i="7"/>
  <c r="G6" i="7"/>
  <c r="F6" i="7"/>
  <c r="E6" i="7"/>
  <c r="D6" i="7"/>
  <c r="C6" i="7"/>
  <c r="M5" i="7"/>
  <c r="L5" i="7"/>
  <c r="K5" i="7"/>
  <c r="J5" i="7"/>
  <c r="I5" i="7"/>
  <c r="G5" i="7"/>
  <c r="F5" i="7"/>
  <c r="E5" i="7"/>
  <c r="D5" i="7"/>
  <c r="C5" i="7"/>
  <c r="C6" i="6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J5" i="8" a="1"/>
  <c r="H13" i="7"/>
  <c r="H20" i="7"/>
  <c r="H21" i="7" s="1"/>
  <c r="H14" i="7"/>
  <c r="J5" i="8" l="1"/>
  <c r="J13" i="8"/>
  <c r="J21" i="8"/>
  <c r="J29" i="8"/>
  <c r="J37" i="8"/>
  <c r="J45" i="8"/>
  <c r="J53" i="8"/>
  <c r="J61" i="8"/>
  <c r="J69" i="8"/>
  <c r="J77" i="8"/>
  <c r="J85" i="8"/>
  <c r="J93" i="8"/>
  <c r="J101" i="8"/>
  <c r="J109" i="8"/>
  <c r="J117" i="8"/>
  <c r="J125" i="8"/>
  <c r="J133" i="8"/>
  <c r="J141" i="8"/>
  <c r="J149" i="8"/>
  <c r="J157" i="8"/>
  <c r="J165" i="8"/>
  <c r="J173" i="8"/>
  <c r="J181" i="8"/>
  <c r="J189" i="8"/>
  <c r="J197" i="8"/>
  <c r="J205" i="8"/>
  <c r="J213" i="8"/>
  <c r="J221" i="8"/>
  <c r="J229" i="8"/>
  <c r="J237" i="8"/>
  <c r="J245" i="8"/>
  <c r="J253" i="8"/>
  <c r="J261" i="8"/>
  <c r="J269" i="8"/>
  <c r="J277" i="8"/>
  <c r="J8" i="8"/>
  <c r="J16" i="8"/>
  <c r="J24" i="8"/>
  <c r="J32" i="8"/>
  <c r="J40" i="8"/>
  <c r="J48" i="8"/>
  <c r="J56" i="8"/>
  <c r="J64" i="8"/>
  <c r="J72" i="8"/>
  <c r="J12" i="8"/>
  <c r="J23" i="8"/>
  <c r="J34" i="8"/>
  <c r="J44" i="8"/>
  <c r="J55" i="8"/>
  <c r="J66" i="8"/>
  <c r="J76" i="8"/>
  <c r="J86" i="8"/>
  <c r="J95" i="8"/>
  <c r="J104" i="8"/>
  <c r="J113" i="8"/>
  <c r="J122" i="8"/>
  <c r="J131" i="8"/>
  <c r="J140" i="8"/>
  <c r="J150" i="8"/>
  <c r="J159" i="8"/>
  <c r="J168" i="8"/>
  <c r="J177" i="8"/>
  <c r="J186" i="8"/>
  <c r="J195" i="8"/>
  <c r="J204" i="8"/>
  <c r="J214" i="8"/>
  <c r="J223" i="8"/>
  <c r="J232" i="8"/>
  <c r="J241" i="8"/>
  <c r="J250" i="8"/>
  <c r="J259" i="8"/>
  <c r="J268" i="8"/>
  <c r="J278" i="8"/>
  <c r="J286" i="8"/>
  <c r="J294" i="8"/>
  <c r="J302" i="8"/>
  <c r="J310" i="8"/>
  <c r="J318" i="8"/>
  <c r="J6" i="8"/>
  <c r="J17" i="8"/>
  <c r="J27" i="8"/>
  <c r="J38" i="8"/>
  <c r="J49" i="8"/>
  <c r="J59" i="8"/>
  <c r="J70" i="8"/>
  <c r="J80" i="8"/>
  <c r="J89" i="8"/>
  <c r="J98" i="8"/>
  <c r="J107" i="8"/>
  <c r="J116" i="8"/>
  <c r="J126" i="8"/>
  <c r="J135" i="8"/>
  <c r="J144" i="8"/>
  <c r="J153" i="8"/>
  <c r="J162" i="8"/>
  <c r="J171" i="8"/>
  <c r="J180" i="8"/>
  <c r="J190" i="8"/>
  <c r="J199" i="8"/>
  <c r="J208" i="8"/>
  <c r="J217" i="8"/>
  <c r="J226" i="8"/>
  <c r="J235" i="8"/>
  <c r="J244" i="8"/>
  <c r="J254" i="8"/>
  <c r="J263" i="8"/>
  <c r="J272" i="8"/>
  <c r="J281" i="8"/>
  <c r="J289" i="8"/>
  <c r="J297" i="8"/>
  <c r="J305" i="8"/>
  <c r="J313" i="8"/>
  <c r="J321" i="8"/>
  <c r="J329" i="8"/>
  <c r="J337" i="8"/>
  <c r="J345" i="8"/>
  <c r="J353" i="8"/>
  <c r="J361" i="8"/>
  <c r="J369" i="8"/>
  <c r="J377" i="8"/>
  <c r="J385" i="8"/>
  <c r="J393" i="8"/>
  <c r="J401" i="8"/>
  <c r="J19" i="8"/>
  <c r="J33" i="8"/>
  <c r="J47" i="8"/>
  <c r="J62" i="8"/>
  <c r="J75" i="8"/>
  <c r="J88" i="8"/>
  <c r="J100" i="8"/>
  <c r="J112" i="8"/>
  <c r="J124" i="8"/>
  <c r="J137" i="8"/>
  <c r="J148" i="8"/>
  <c r="J161" i="8"/>
  <c r="J174" i="8"/>
  <c r="J185" i="8"/>
  <c r="J198" i="8"/>
  <c r="J210" i="8"/>
  <c r="J222" i="8"/>
  <c r="J234" i="8"/>
  <c r="J247" i="8"/>
  <c r="J258" i="8"/>
  <c r="J271" i="8"/>
  <c r="J283" i="8"/>
  <c r="J293" i="8"/>
  <c r="J304" i="8"/>
  <c r="J315" i="8"/>
  <c r="J325" i="8"/>
  <c r="J334" i="8"/>
  <c r="J343" i="8"/>
  <c r="J352" i="8"/>
  <c r="J362" i="8"/>
  <c r="J371" i="8"/>
  <c r="J380" i="8"/>
  <c r="J389" i="8"/>
  <c r="J398" i="8"/>
  <c r="J10" i="8"/>
  <c r="J26" i="8"/>
  <c r="J42" i="8"/>
  <c r="J58" i="8"/>
  <c r="J74" i="8"/>
  <c r="J90" i="8"/>
  <c r="J103" i="8"/>
  <c r="J118" i="8"/>
  <c r="J130" i="8"/>
  <c r="J145" i="8"/>
  <c r="J158" i="8"/>
  <c r="J172" i="8"/>
  <c r="J187" i="8"/>
  <c r="J201" i="8"/>
  <c r="J215" i="8"/>
  <c r="J228" i="8"/>
  <c r="J242" i="8"/>
  <c r="J256" i="8"/>
  <c r="J270" i="8"/>
  <c r="J284" i="8"/>
  <c r="J296" i="8"/>
  <c r="J308" i="8"/>
  <c r="J320" i="8"/>
  <c r="J331" i="8"/>
  <c r="J341" i="8"/>
  <c r="J351" i="8"/>
  <c r="J363" i="8"/>
  <c r="J373" i="8"/>
  <c r="J383" i="8"/>
  <c r="J394" i="8"/>
  <c r="J404" i="8"/>
  <c r="J11" i="8"/>
  <c r="J28" i="8"/>
  <c r="J43" i="8"/>
  <c r="J60" i="8"/>
  <c r="J78" i="8"/>
  <c r="J91" i="8"/>
  <c r="J105" i="8"/>
  <c r="J119" i="8"/>
  <c r="J132" i="8"/>
  <c r="J146" i="8"/>
  <c r="J160" i="8"/>
  <c r="J175" i="8"/>
  <c r="J188" i="8"/>
  <c r="J202" i="8"/>
  <c r="J216" i="8"/>
  <c r="J230" i="8"/>
  <c r="J243" i="8"/>
  <c r="J257" i="8"/>
  <c r="J273" i="8"/>
  <c r="J285" i="8"/>
  <c r="J298" i="8"/>
  <c r="J309" i="8"/>
  <c r="J322" i="8"/>
  <c r="J332" i="8"/>
  <c r="J342" i="8"/>
  <c r="J354" i="8"/>
  <c r="J364" i="8"/>
  <c r="J374" i="8"/>
  <c r="J384" i="8"/>
  <c r="J395" i="8"/>
  <c r="J14" i="8"/>
  <c r="J30" i="8"/>
  <c r="J46" i="8"/>
  <c r="J63" i="8"/>
  <c r="J79" i="8"/>
  <c r="J92" i="8"/>
  <c r="J106" i="8"/>
  <c r="J120" i="8"/>
  <c r="J134" i="8"/>
  <c r="J147" i="8"/>
  <c r="J163" i="8"/>
  <c r="J176" i="8"/>
  <c r="J191" i="8"/>
  <c r="J203" i="8"/>
  <c r="J218" i="8"/>
  <c r="J231" i="8"/>
  <c r="J246" i="8"/>
  <c r="J260" i="8"/>
  <c r="J274" i="8"/>
  <c r="J287" i="8"/>
  <c r="J299" i="8"/>
  <c r="J311" i="8"/>
  <c r="J323" i="8"/>
  <c r="J333" i="8"/>
  <c r="J344" i="8"/>
  <c r="J355" i="8"/>
  <c r="J365" i="8"/>
  <c r="J375" i="8"/>
  <c r="J386" i="8"/>
  <c r="J396" i="8"/>
  <c r="J15" i="8"/>
  <c r="J39" i="8"/>
  <c r="J67" i="8"/>
  <c r="J87" i="8"/>
  <c r="J111" i="8"/>
  <c r="J136" i="8"/>
  <c r="J155" i="8"/>
  <c r="J179" i="8"/>
  <c r="J200" i="8"/>
  <c r="J224" i="8"/>
  <c r="J248" i="8"/>
  <c r="J266" i="8"/>
  <c r="J290" i="8"/>
  <c r="J307" i="8"/>
  <c r="J327" i="8"/>
  <c r="J346" i="8"/>
  <c r="J359" i="8"/>
  <c r="J378" i="8"/>
  <c r="J392" i="8"/>
  <c r="J22" i="8"/>
  <c r="J97" i="8"/>
  <c r="J166" i="8"/>
  <c r="J233" i="8"/>
  <c r="J295" i="8"/>
  <c r="J349" i="8"/>
  <c r="J400" i="8"/>
  <c r="J25" i="8"/>
  <c r="J81" i="8"/>
  <c r="J143" i="8"/>
  <c r="J211" i="8"/>
  <c r="J279" i="8"/>
  <c r="J336" i="8"/>
  <c r="J368" i="8"/>
  <c r="J340" i="8"/>
  <c r="J18" i="8"/>
  <c r="J41" i="8"/>
  <c r="J68" i="8"/>
  <c r="J94" i="8"/>
  <c r="J114" i="8"/>
  <c r="J138" i="8"/>
  <c r="J156" i="8"/>
  <c r="J182" i="8"/>
  <c r="J206" i="8"/>
  <c r="J225" i="8"/>
  <c r="J249" i="8"/>
  <c r="J267" i="8"/>
  <c r="J291" i="8"/>
  <c r="J312" i="8"/>
  <c r="J328" i="8"/>
  <c r="J347" i="8"/>
  <c r="J360" i="8"/>
  <c r="J379" i="8"/>
  <c r="J397" i="8"/>
  <c r="J51" i="8"/>
  <c r="J121" i="8"/>
  <c r="J184" i="8"/>
  <c r="J252" i="8"/>
  <c r="J316" i="8"/>
  <c r="J367" i="8"/>
  <c r="J99" i="8"/>
  <c r="J167" i="8"/>
  <c r="J236" i="8"/>
  <c r="J317" i="8"/>
  <c r="J387" i="8"/>
  <c r="J358" i="8"/>
  <c r="J20" i="8"/>
  <c r="J50" i="8"/>
  <c r="J71" i="8"/>
  <c r="J96" i="8"/>
  <c r="J115" i="8"/>
  <c r="J139" i="8"/>
  <c r="J164" i="8"/>
  <c r="J183" i="8"/>
  <c r="J207" i="8"/>
  <c r="J227" i="8"/>
  <c r="J251" i="8"/>
  <c r="J275" i="8"/>
  <c r="J292" i="8"/>
  <c r="J314" i="8"/>
  <c r="J330" i="8"/>
  <c r="J348" i="8"/>
  <c r="J366" i="8"/>
  <c r="J381" i="8"/>
  <c r="J399" i="8"/>
  <c r="J73" i="8"/>
  <c r="J142" i="8"/>
  <c r="J209" i="8"/>
  <c r="J276" i="8"/>
  <c r="J335" i="8"/>
  <c r="J382" i="8"/>
  <c r="J52" i="8"/>
  <c r="J123" i="8"/>
  <c r="J192" i="8"/>
  <c r="J255" i="8"/>
  <c r="J300" i="8"/>
  <c r="J350" i="8"/>
  <c r="J402" i="8"/>
  <c r="J391" i="8"/>
  <c r="J31" i="8"/>
  <c r="J54" i="8"/>
  <c r="J82" i="8"/>
  <c r="J102" i="8"/>
  <c r="J127" i="8"/>
  <c r="J151" i="8"/>
  <c r="J169" i="8"/>
  <c r="J193" i="8"/>
  <c r="J212" i="8"/>
  <c r="J238" i="8"/>
  <c r="J262" i="8"/>
  <c r="J280" i="8"/>
  <c r="J301" i="8"/>
  <c r="J319" i="8"/>
  <c r="J338" i="8"/>
  <c r="J356" i="8"/>
  <c r="J370" i="8"/>
  <c r="J388" i="8"/>
  <c r="J403" i="8"/>
  <c r="J7" i="8"/>
  <c r="J35" i="8"/>
  <c r="J57" i="8"/>
  <c r="J83" i="8"/>
  <c r="J108" i="8"/>
  <c r="J128" i="8"/>
  <c r="J152" i="8"/>
  <c r="J170" i="8"/>
  <c r="J194" i="8"/>
  <c r="J219" i="8"/>
  <c r="J239" i="8"/>
  <c r="J264" i="8"/>
  <c r="J282" i="8"/>
  <c r="J303" i="8"/>
  <c r="J324" i="8"/>
  <c r="J339" i="8"/>
  <c r="J357" i="8"/>
  <c r="J372" i="8"/>
  <c r="J390" i="8"/>
  <c r="J9" i="8"/>
  <c r="J36" i="8"/>
  <c r="J65" i="8"/>
  <c r="J84" i="8"/>
  <c r="J110" i="8"/>
  <c r="J129" i="8"/>
  <c r="J154" i="8"/>
  <c r="J178" i="8"/>
  <c r="J196" i="8"/>
  <c r="J220" i="8"/>
  <c r="J240" i="8"/>
  <c r="J265" i="8"/>
  <c r="J288" i="8"/>
  <c r="J306" i="8"/>
  <c r="J326" i="8"/>
  <c r="J376" i="8"/>
  <c r="F6" i="8"/>
  <c r="F5" i="8" l="1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I3" i="7"/>
  <c r="J3" i="7" s="1"/>
  <c r="K3" i="7" s="1"/>
  <c r="L3" i="7" s="1"/>
  <c r="M3" i="7" s="1"/>
  <c r="M7" i="7" s="1"/>
  <c r="G3" i="7"/>
  <c r="F3" i="7" s="1"/>
  <c r="E3" i="7" s="1"/>
  <c r="D3" i="7" s="1"/>
  <c r="C3" i="7" s="1"/>
  <c r="C7" i="7" s="1"/>
  <c r="C13" i="7"/>
  <c r="M13" i="7"/>
  <c r="C14" i="7"/>
  <c r="C20" i="7"/>
  <c r="C21" i="7" s="1"/>
  <c r="M14" i="7"/>
  <c r="M20" i="7"/>
  <c r="M21" i="7" s="1"/>
  <c r="E9" i="7" l="1"/>
  <c r="K9" i="7"/>
  <c r="J9" i="7"/>
  <c r="C9" i="7"/>
  <c r="I9" i="7"/>
  <c r="G9" i="7"/>
  <c r="M9" i="7"/>
  <c r="F9" i="7"/>
  <c r="L9" i="7"/>
  <c r="D9" i="7"/>
  <c r="I7" i="7"/>
  <c r="D7" i="7"/>
  <c r="E7" i="7"/>
  <c r="F7" i="7"/>
  <c r="L7" i="7"/>
  <c r="G7" i="7"/>
  <c r="K7" i="7"/>
  <c r="J7" i="7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K13" i="7"/>
  <c r="I13" i="7"/>
  <c r="D13" i="7"/>
  <c r="E13" i="7"/>
  <c r="F13" i="7"/>
  <c r="L13" i="7"/>
  <c r="G13" i="7"/>
  <c r="J13" i="7"/>
  <c r="K14" i="7"/>
  <c r="K20" i="7"/>
  <c r="K21" i="7" s="1"/>
  <c r="I14" i="7"/>
  <c r="I20" i="7"/>
  <c r="I21" i="7" s="1"/>
  <c r="D14" i="7"/>
  <c r="D20" i="7"/>
  <c r="D21" i="7" s="1"/>
  <c r="E14" i="7"/>
  <c r="E20" i="7"/>
  <c r="E21" i="7" s="1"/>
  <c r="F14" i="7"/>
  <c r="F20" i="7"/>
  <c r="F21" i="7" s="1"/>
  <c r="L14" i="7"/>
  <c r="L20" i="7"/>
  <c r="L21" i="7" s="1"/>
  <c r="G14" i="7"/>
  <c r="G20" i="7"/>
  <c r="G21" i="7" s="1"/>
  <c r="J14" i="7"/>
  <c r="J20" i="7"/>
  <c r="J21" i="7" s="1"/>
  <c r="I14" i="5" l="1"/>
  <c r="F12" i="5"/>
  <c r="C27" i="3"/>
  <c r="S41" i="2"/>
  <c r="S39" i="2"/>
  <c r="C14" i="5"/>
  <c r="I20" i="5"/>
  <c r="S32" i="2"/>
  <c r="S38" i="2"/>
  <c r="S34" i="2"/>
  <c r="S26" i="2"/>
  <c r="I4" i="5"/>
  <c r="S28" i="2"/>
  <c r="C13" i="5"/>
  <c r="F22" i="5"/>
  <c r="I21" i="5"/>
  <c r="S33" i="2"/>
  <c r="S35" i="2"/>
  <c r="H18" i="2"/>
  <c r="S44" i="2"/>
  <c r="H13" i="2"/>
  <c r="S25" i="2"/>
  <c r="S29" i="2"/>
  <c r="S36" i="2"/>
  <c r="C11" i="5"/>
  <c r="C18" i="3"/>
  <c r="S27" i="2"/>
  <c r="S37" i="2"/>
  <c r="H19" i="2"/>
  <c r="S31" i="2"/>
  <c r="I12" i="5"/>
  <c r="S30" i="2"/>
  <c r="I13" i="5"/>
  <c r="S42" i="2"/>
  <c r="S43" i="2"/>
  <c r="F3" i="5"/>
  <c r="C16" i="5"/>
  <c r="S40" i="2"/>
  <c r="C15" i="5"/>
  <c r="S45" i="2"/>
  <c r="F4" i="5"/>
  <c r="C12" i="5"/>
  <c r="I3" i="5"/>
  <c r="F21" i="5"/>
  <c r="C10" i="5"/>
  <c r="F20" i="5"/>
  <c r="H22" i="7" l="1"/>
  <c r="I15" i="5"/>
  <c r="I16" i="5" s="1"/>
  <c r="F24" i="5"/>
  <c r="F25" i="5" s="1"/>
  <c r="I23" i="5"/>
  <c r="I24" i="5" s="1"/>
  <c r="I6" i="5"/>
  <c r="I7" i="5" s="1"/>
  <c r="F6" i="5"/>
  <c r="I8" i="2"/>
  <c r="J8" i="2" s="1"/>
  <c r="K8" i="2" s="1"/>
  <c r="L8" i="2" s="1"/>
  <c r="M8" i="2" s="1"/>
  <c r="G8" i="2"/>
  <c r="F8" i="2" s="1"/>
  <c r="E8" i="2" s="1"/>
  <c r="D8" i="2" s="1"/>
  <c r="C8" i="2" s="1"/>
  <c r="H20" i="2"/>
  <c r="L22" i="7" l="1"/>
  <c r="J22" i="7"/>
  <c r="K22" i="7"/>
  <c r="G22" i="7"/>
  <c r="M22" i="7"/>
  <c r="F22" i="7"/>
  <c r="I22" i="7"/>
  <c r="E22" i="7"/>
  <c r="C22" i="7"/>
  <c r="D22" i="7"/>
  <c r="F13" i="5"/>
  <c r="F14" i="5" s="1"/>
  <c r="F15" i="5" s="1"/>
  <c r="F7" i="5"/>
  <c r="C21" i="3"/>
  <c r="C22" i="3" s="1"/>
  <c r="C28" i="3"/>
  <c r="C17" i="3"/>
  <c r="C23" i="3" l="1"/>
  <c r="C25" i="3"/>
  <c r="C26" i="3"/>
  <c r="C24" i="3"/>
  <c r="U4" i="3"/>
  <c r="N16" i="3"/>
  <c r="N17" i="3" s="1"/>
  <c r="N18" i="3" s="1"/>
  <c r="N19" i="3" s="1"/>
  <c r="N20" i="3" s="1"/>
  <c r="N21" i="3" s="1"/>
  <c r="N22" i="3" s="1"/>
  <c r="N23" i="3" s="1"/>
  <c r="N24" i="3" s="1"/>
  <c r="N25" i="3" s="1"/>
  <c r="O15" i="3"/>
  <c r="N14" i="3"/>
  <c r="N13" i="3" s="1"/>
  <c r="N12" i="3" s="1"/>
  <c r="N11" i="3" s="1"/>
  <c r="N10" i="3" s="1"/>
  <c r="N9" i="3" s="1"/>
  <c r="N8" i="3" s="1"/>
  <c r="N7" i="3" s="1"/>
  <c r="N6" i="3" s="1"/>
  <c r="N5" i="3" s="1"/>
  <c r="V3" i="3"/>
  <c r="V4" i="3" s="1"/>
  <c r="T3" i="3"/>
  <c r="DH16" i="3"/>
  <c r="DH17" i="3" s="1"/>
  <c r="DH18" i="3" s="1"/>
  <c r="DH19" i="3" s="1"/>
  <c r="DH20" i="3" s="1"/>
  <c r="DH21" i="3" s="1"/>
  <c r="DH22" i="3" s="1"/>
  <c r="DH23" i="3" s="1"/>
  <c r="DH24" i="3" s="1"/>
  <c r="DH25" i="3" s="1"/>
  <c r="DI15" i="3"/>
  <c r="DH14" i="3"/>
  <c r="DH13" i="3" s="1"/>
  <c r="DH12" i="3" s="1"/>
  <c r="DH11" i="3" s="1"/>
  <c r="DH10" i="3" s="1"/>
  <c r="DH9" i="3" s="1"/>
  <c r="DH8" i="3" s="1"/>
  <c r="DH7" i="3" s="1"/>
  <c r="DH6" i="3" s="1"/>
  <c r="DH5" i="3" s="1"/>
  <c r="DO4" i="3"/>
  <c r="DP3" i="3"/>
  <c r="DP4" i="3" s="1"/>
  <c r="DN3" i="3"/>
  <c r="DM3" i="3" s="1"/>
  <c r="DL3" i="3" s="1"/>
  <c r="DL4" i="3" s="1"/>
  <c r="CT16" i="3"/>
  <c r="CT17" i="3" s="1"/>
  <c r="CT18" i="3" s="1"/>
  <c r="CT19" i="3" s="1"/>
  <c r="CT20" i="3" s="1"/>
  <c r="CT21" i="3" s="1"/>
  <c r="CT22" i="3" s="1"/>
  <c r="CT23" i="3" s="1"/>
  <c r="CT24" i="3" s="1"/>
  <c r="CT25" i="3" s="1"/>
  <c r="CU15" i="3"/>
  <c r="CT14" i="3"/>
  <c r="CT13" i="3" s="1"/>
  <c r="CT12" i="3" s="1"/>
  <c r="CT11" i="3" s="1"/>
  <c r="CT10" i="3" s="1"/>
  <c r="CT9" i="3" s="1"/>
  <c r="CT8" i="3" s="1"/>
  <c r="CT7" i="3" s="1"/>
  <c r="CT6" i="3" s="1"/>
  <c r="CT5" i="3" s="1"/>
  <c r="DA4" i="3"/>
  <c r="DB3" i="3"/>
  <c r="DB4" i="3" s="1"/>
  <c r="CZ3" i="3"/>
  <c r="CY3" i="3" s="1"/>
  <c r="CF16" i="3"/>
  <c r="CF17" i="3" s="1"/>
  <c r="CF18" i="3" s="1"/>
  <c r="CF19" i="3" s="1"/>
  <c r="CF20" i="3" s="1"/>
  <c r="CF21" i="3" s="1"/>
  <c r="CF22" i="3" s="1"/>
  <c r="CF23" i="3" s="1"/>
  <c r="CF24" i="3" s="1"/>
  <c r="CF25" i="3" s="1"/>
  <c r="CG15" i="3"/>
  <c r="CF14" i="3"/>
  <c r="CF13" i="3" s="1"/>
  <c r="CF12" i="3" s="1"/>
  <c r="CF11" i="3" s="1"/>
  <c r="CF10" i="3" s="1"/>
  <c r="CF9" i="3" s="1"/>
  <c r="CF8" i="3" s="1"/>
  <c r="CF7" i="3" s="1"/>
  <c r="CF6" i="3" s="1"/>
  <c r="CF5" i="3" s="1"/>
  <c r="CM4" i="3"/>
  <c r="CN3" i="3"/>
  <c r="CO3" i="3" s="1"/>
  <c r="CP3" i="3" s="1"/>
  <c r="CL3" i="3"/>
  <c r="CL4" i="3" s="1"/>
  <c r="BR16" i="3"/>
  <c r="BR17" i="3" s="1"/>
  <c r="BR18" i="3" s="1"/>
  <c r="BR19" i="3" s="1"/>
  <c r="BR20" i="3" s="1"/>
  <c r="BR21" i="3" s="1"/>
  <c r="BR22" i="3" s="1"/>
  <c r="BR23" i="3" s="1"/>
  <c r="BR24" i="3" s="1"/>
  <c r="BR25" i="3" s="1"/>
  <c r="BS15" i="3"/>
  <c r="BR14" i="3"/>
  <c r="BR13" i="3" s="1"/>
  <c r="BR12" i="3" s="1"/>
  <c r="BR11" i="3" s="1"/>
  <c r="BR10" i="3" s="1"/>
  <c r="BR9" i="3" s="1"/>
  <c r="BR8" i="3" s="1"/>
  <c r="BR7" i="3" s="1"/>
  <c r="BR6" i="3" s="1"/>
  <c r="BR5" i="3" s="1"/>
  <c r="BY4" i="3"/>
  <c r="BZ3" i="3"/>
  <c r="BX3" i="3"/>
  <c r="BX4" i="3" s="1"/>
  <c r="BD16" i="3"/>
  <c r="BD17" i="3" s="1"/>
  <c r="BD18" i="3" s="1"/>
  <c r="BD19" i="3" s="1"/>
  <c r="BD20" i="3" s="1"/>
  <c r="BD21" i="3" s="1"/>
  <c r="BD22" i="3" s="1"/>
  <c r="BD23" i="3" s="1"/>
  <c r="BD24" i="3" s="1"/>
  <c r="BD25" i="3" s="1"/>
  <c r="BE15" i="3"/>
  <c r="BD14" i="3"/>
  <c r="BD13" i="3" s="1"/>
  <c r="BD12" i="3" s="1"/>
  <c r="BD11" i="3" s="1"/>
  <c r="BD10" i="3" s="1"/>
  <c r="BD9" i="3" s="1"/>
  <c r="BD8" i="3" s="1"/>
  <c r="BD7" i="3" s="1"/>
  <c r="BD6" i="3" s="1"/>
  <c r="BD5" i="3" s="1"/>
  <c r="BK4" i="3"/>
  <c r="BL3" i="3"/>
  <c r="BL4" i="3" s="1"/>
  <c r="BJ3" i="3"/>
  <c r="BI3" i="3" s="1"/>
  <c r="BH3" i="3" s="1"/>
  <c r="AP16" i="3"/>
  <c r="AP17" i="3" s="1"/>
  <c r="AP18" i="3" s="1"/>
  <c r="AP19" i="3" s="1"/>
  <c r="AP20" i="3" s="1"/>
  <c r="AP21" i="3" s="1"/>
  <c r="AP22" i="3" s="1"/>
  <c r="AP23" i="3" s="1"/>
  <c r="AP24" i="3" s="1"/>
  <c r="AP25" i="3" s="1"/>
  <c r="AQ15" i="3"/>
  <c r="AP14" i="3"/>
  <c r="AP13" i="3" s="1"/>
  <c r="AP12" i="3" s="1"/>
  <c r="AP11" i="3" s="1"/>
  <c r="AP10" i="3" s="1"/>
  <c r="AP9" i="3" s="1"/>
  <c r="AP8" i="3" s="1"/>
  <c r="AP7" i="3" s="1"/>
  <c r="AP6" i="3" s="1"/>
  <c r="AP5" i="3" s="1"/>
  <c r="AW4" i="3"/>
  <c r="AX3" i="3"/>
  <c r="AV3" i="3"/>
  <c r="AV4" i="3" s="1"/>
  <c r="BY15" i="3"/>
  <c r="DP15" i="3"/>
  <c r="DA15" i="3"/>
  <c r="DB15" i="3"/>
  <c r="BK15" i="3"/>
  <c r="CM15" i="3"/>
  <c r="DO15" i="3"/>
  <c r="AW15" i="3"/>
  <c r="DL15" i="3"/>
  <c r="CL15" i="3"/>
  <c r="AV15" i="3"/>
  <c r="BX15" i="3"/>
  <c r="BL15" i="3"/>
  <c r="C30" i="3" l="1"/>
  <c r="C29" i="3"/>
  <c r="T4" i="3"/>
  <c r="S3" i="3"/>
  <c r="R3" i="3" s="1"/>
  <c r="CK3" i="3"/>
  <c r="CK4" i="3" s="1"/>
  <c r="W3" i="3"/>
  <c r="DC3" i="3"/>
  <c r="DC4" i="3" s="1"/>
  <c r="DN4" i="3"/>
  <c r="BM3" i="3"/>
  <c r="BM4" i="3" s="1"/>
  <c r="BJ4" i="3"/>
  <c r="AU3" i="3"/>
  <c r="CO4" i="3"/>
  <c r="BW3" i="3"/>
  <c r="CN4" i="3"/>
  <c r="DK3" i="3"/>
  <c r="DJ3" i="3" s="1"/>
  <c r="DJ4" i="3" s="1"/>
  <c r="CP4" i="3"/>
  <c r="CQ3" i="3"/>
  <c r="BH4" i="3"/>
  <c r="BG3" i="3"/>
  <c r="AX4" i="3"/>
  <c r="AY3" i="3"/>
  <c r="BI4" i="3"/>
  <c r="CY4" i="3"/>
  <c r="CX3" i="3"/>
  <c r="DM4" i="3"/>
  <c r="BZ4" i="3"/>
  <c r="CA3" i="3"/>
  <c r="CZ4" i="3"/>
  <c r="DQ3" i="3"/>
  <c r="AJ3" i="3"/>
  <c r="AJ4" i="3" s="1"/>
  <c r="AH3" i="3"/>
  <c r="AG3" i="3" s="1"/>
  <c r="AF3" i="3" s="1"/>
  <c r="AI4" i="3"/>
  <c r="AC15" i="3"/>
  <c r="AB16" i="3"/>
  <c r="O16" i="3" s="1"/>
  <c r="AB14" i="3"/>
  <c r="O14" i="3" s="1"/>
  <c r="DN15" i="3"/>
  <c r="CP15" i="3"/>
  <c r="CK15" i="3"/>
  <c r="BJ15" i="3"/>
  <c r="CY15" i="3"/>
  <c r="BI15" i="3"/>
  <c r="DM15" i="3"/>
  <c r="AJ15" i="3"/>
  <c r="BH15" i="3"/>
  <c r="CZ15" i="3"/>
  <c r="AX15" i="3"/>
  <c r="BZ15" i="3"/>
  <c r="CN15" i="3"/>
  <c r="CO15" i="3"/>
  <c r="AI15" i="3"/>
  <c r="DC15" i="3"/>
  <c r="BM15" i="3"/>
  <c r="DJ15" i="3"/>
  <c r="U15" i="3" l="1"/>
  <c r="S4" i="3"/>
  <c r="V15" i="3"/>
  <c r="DK4" i="3"/>
  <c r="BN3" i="3"/>
  <c r="BN4" i="3" s="1"/>
  <c r="R4" i="3"/>
  <c r="Q3" i="3"/>
  <c r="CJ3" i="3"/>
  <c r="CJ4" i="3" s="1"/>
  <c r="X3" i="3"/>
  <c r="W4" i="3"/>
  <c r="DD3" i="3"/>
  <c r="DE3" i="3" s="1"/>
  <c r="AU4" i="3"/>
  <c r="AT3" i="3"/>
  <c r="BV3" i="3"/>
  <c r="BW4" i="3"/>
  <c r="CB3" i="3"/>
  <c r="CA4" i="3"/>
  <c r="BG4" i="3"/>
  <c r="BF3" i="3"/>
  <c r="BF4" i="3" s="1"/>
  <c r="DR3" i="3"/>
  <c r="DQ4" i="3"/>
  <c r="CR3" i="3"/>
  <c r="CR4" i="3" s="1"/>
  <c r="CQ4" i="3"/>
  <c r="CW3" i="3"/>
  <c r="CX4" i="3"/>
  <c r="AB13" i="3"/>
  <c r="O13" i="3" s="1"/>
  <c r="DI14" i="3"/>
  <c r="BE14" i="3"/>
  <c r="CG14" i="3"/>
  <c r="CU14" i="3"/>
  <c r="AQ14" i="3"/>
  <c r="BS14" i="3"/>
  <c r="AB17" i="3"/>
  <c r="O17" i="3" s="1"/>
  <c r="DI16" i="3"/>
  <c r="CG16" i="3"/>
  <c r="BE16" i="3"/>
  <c r="CU16" i="3"/>
  <c r="BS16" i="3"/>
  <c r="AQ16" i="3"/>
  <c r="AY4" i="3"/>
  <c r="AZ3" i="3"/>
  <c r="AC16" i="3"/>
  <c r="AC14" i="3"/>
  <c r="AH4" i="3"/>
  <c r="AE3" i="3"/>
  <c r="AF4" i="3"/>
  <c r="AG4" i="3"/>
  <c r="AK3" i="3"/>
  <c r="M5" i="2"/>
  <c r="L5" i="2"/>
  <c r="K5" i="2"/>
  <c r="J5" i="2"/>
  <c r="I5" i="2"/>
  <c r="G5" i="2"/>
  <c r="F5" i="2"/>
  <c r="E5" i="2"/>
  <c r="D5" i="2"/>
  <c r="C5" i="2"/>
  <c r="BG14" i="3"/>
  <c r="AY15" i="3"/>
  <c r="BJ14" i="3"/>
  <c r="AY16" i="3"/>
  <c r="BK16" i="3"/>
  <c r="DA14" i="3"/>
  <c r="CK14" i="3"/>
  <c r="AX16" i="3"/>
  <c r="AW14" i="3"/>
  <c r="BG15" i="3"/>
  <c r="AG14" i="3"/>
  <c r="CA14" i="3"/>
  <c r="CJ15" i="3"/>
  <c r="CX16" i="3"/>
  <c r="BN14" i="3"/>
  <c r="CQ15" i="3"/>
  <c r="BK14" i="3"/>
  <c r="AF15" i="3"/>
  <c r="CX15" i="3"/>
  <c r="CY14" i="3"/>
  <c r="BF15" i="3"/>
  <c r="DM14" i="3"/>
  <c r="BZ14" i="3"/>
  <c r="BN16" i="3"/>
  <c r="CX14" i="3"/>
  <c r="CO14" i="3"/>
  <c r="CL14" i="3"/>
  <c r="CQ16" i="3"/>
  <c r="CL16" i="3"/>
  <c r="CJ14" i="3"/>
  <c r="AI16" i="3"/>
  <c r="BJ16" i="3"/>
  <c r="CR14" i="3"/>
  <c r="DA16" i="3"/>
  <c r="DP16" i="3"/>
  <c r="AJ16" i="3"/>
  <c r="DK14" i="3"/>
  <c r="BW15" i="3"/>
  <c r="AF16" i="3"/>
  <c r="CJ16" i="3"/>
  <c r="DL14" i="3"/>
  <c r="AV16" i="3"/>
  <c r="DQ16" i="3"/>
  <c r="BZ16" i="3"/>
  <c r="AH16" i="3"/>
  <c r="DK15" i="3"/>
  <c r="AX14" i="3"/>
  <c r="DC14" i="3"/>
  <c r="CO16" i="3"/>
  <c r="CA16" i="3"/>
  <c r="BW16" i="3"/>
  <c r="BI16" i="3"/>
  <c r="DO14" i="3"/>
  <c r="BG16" i="3"/>
  <c r="CM14" i="3"/>
  <c r="DJ14" i="3"/>
  <c r="CR16" i="3"/>
  <c r="BH14" i="3"/>
  <c r="DK16" i="3"/>
  <c r="BI14" i="3"/>
  <c r="CN16" i="3"/>
  <c r="BY14" i="3"/>
  <c r="CP16" i="3"/>
  <c r="BL16" i="3"/>
  <c r="DP14" i="3"/>
  <c r="BW14" i="3"/>
  <c r="AV14" i="3"/>
  <c r="AG15" i="3"/>
  <c r="DQ15" i="3"/>
  <c r="BY16" i="3"/>
  <c r="CY16" i="3"/>
  <c r="CZ16" i="3"/>
  <c r="CK16" i="3"/>
  <c r="DJ16" i="3"/>
  <c r="BX16" i="3"/>
  <c r="DM16" i="3"/>
  <c r="BF14" i="3"/>
  <c r="BH16" i="3"/>
  <c r="DB16" i="3"/>
  <c r="AU16" i="3"/>
  <c r="AI14" i="3"/>
  <c r="DO16" i="3"/>
  <c r="BM14" i="3"/>
  <c r="AG16" i="3"/>
  <c r="CQ14" i="3"/>
  <c r="BL14" i="3"/>
  <c r="DN14" i="3"/>
  <c r="CZ14" i="3"/>
  <c r="BN15" i="3"/>
  <c r="CR15" i="3"/>
  <c r="DQ14" i="3"/>
  <c r="AJ14" i="3"/>
  <c r="AF14" i="3"/>
  <c r="AH14" i="3"/>
  <c r="CN14" i="3"/>
  <c r="CM16" i="3"/>
  <c r="BM16" i="3"/>
  <c r="CP14" i="3"/>
  <c r="DL16" i="3"/>
  <c r="AW16" i="3"/>
  <c r="AU14" i="3"/>
  <c r="DB14" i="3"/>
  <c r="BF16" i="3"/>
  <c r="AU15" i="3"/>
  <c r="BX14" i="3"/>
  <c r="DN16" i="3"/>
  <c r="AH15" i="3"/>
  <c r="DC16" i="3"/>
  <c r="AY14" i="3"/>
  <c r="CA15" i="3"/>
  <c r="BO3" i="3" l="1"/>
  <c r="BO4" i="3" s="1"/>
  <c r="V14" i="3"/>
  <c r="T14" i="3"/>
  <c r="U14" i="3"/>
  <c r="S14" i="3"/>
  <c r="S16" i="3"/>
  <c r="T16" i="3"/>
  <c r="U16" i="3"/>
  <c r="V16" i="3"/>
  <c r="S15" i="3"/>
  <c r="T15" i="3"/>
  <c r="Q4" i="3"/>
  <c r="P3" i="3"/>
  <c r="P4" i="3" s="1"/>
  <c r="CI3" i="3"/>
  <c r="CI4" i="3" s="1"/>
  <c r="X4" i="3"/>
  <c r="Y3" i="3"/>
  <c r="DD4" i="3"/>
  <c r="AS3" i="3"/>
  <c r="AT4" i="3"/>
  <c r="AB12" i="3"/>
  <c r="O12" i="3" s="1"/>
  <c r="BU3" i="3"/>
  <c r="BV4" i="3"/>
  <c r="DR4" i="3"/>
  <c r="DS3" i="3"/>
  <c r="BA3" i="3"/>
  <c r="AZ4" i="3"/>
  <c r="AB18" i="3"/>
  <c r="O18" i="3" s="1"/>
  <c r="CU17" i="3"/>
  <c r="DI17" i="3"/>
  <c r="BS17" i="3"/>
  <c r="CG17" i="3"/>
  <c r="AQ17" i="3"/>
  <c r="BE17" i="3"/>
  <c r="DF3" i="3"/>
  <c r="DF4" i="3" s="1"/>
  <c r="DE4" i="3"/>
  <c r="AC17" i="3"/>
  <c r="CG13" i="3"/>
  <c r="CU13" i="3"/>
  <c r="BS13" i="3"/>
  <c r="BE13" i="3"/>
  <c r="AQ13" i="3"/>
  <c r="DI13" i="3"/>
  <c r="AC13" i="3"/>
  <c r="CV3" i="3"/>
  <c r="CV4" i="3" s="1"/>
  <c r="CW4" i="3"/>
  <c r="CC3" i="3"/>
  <c r="CB4" i="3"/>
  <c r="AD3" i="3"/>
  <c r="AD4" i="3" s="1"/>
  <c r="AE4" i="3"/>
  <c r="AK4" i="3"/>
  <c r="AL3" i="3"/>
  <c r="M11" i="2"/>
  <c r="L11" i="2"/>
  <c r="K11" i="2"/>
  <c r="J11" i="2"/>
  <c r="I11" i="2"/>
  <c r="M10" i="2"/>
  <c r="L10" i="2"/>
  <c r="K10" i="2"/>
  <c r="J10" i="2"/>
  <c r="I10" i="2"/>
  <c r="M9" i="2"/>
  <c r="L9" i="2"/>
  <c r="K9" i="2"/>
  <c r="J9" i="2"/>
  <c r="I9" i="2"/>
  <c r="M7" i="2"/>
  <c r="L7" i="2"/>
  <c r="K7" i="2"/>
  <c r="J7" i="2"/>
  <c r="I7" i="2"/>
  <c r="C7" i="2"/>
  <c r="D7" i="2"/>
  <c r="E7" i="2"/>
  <c r="F7" i="2"/>
  <c r="G7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I3" i="2"/>
  <c r="J3" i="2" s="1"/>
  <c r="G3" i="2"/>
  <c r="G6" i="2" s="1"/>
  <c r="AU17" i="3"/>
  <c r="CI16" i="3"/>
  <c r="BN17" i="3"/>
  <c r="CB17" i="3"/>
  <c r="DB13" i="3"/>
  <c r="BH17" i="3"/>
  <c r="BX13" i="3"/>
  <c r="BK13" i="3"/>
  <c r="H14" i="2"/>
  <c r="BH13" i="3"/>
  <c r="CP13" i="3"/>
  <c r="BG13" i="3"/>
  <c r="CB16" i="3"/>
  <c r="DM17" i="3"/>
  <c r="BV16" i="3"/>
  <c r="AI17" i="3"/>
  <c r="CW13" i="3"/>
  <c r="DJ13" i="3"/>
  <c r="BY13" i="3"/>
  <c r="DQ13" i="3"/>
  <c r="DP17" i="3"/>
  <c r="G14" i="2"/>
  <c r="BV14" i="3"/>
  <c r="AG17" i="3"/>
  <c r="CO17" i="3"/>
  <c r="DP13" i="3"/>
  <c r="CL13" i="3"/>
  <c r="G15" i="2"/>
  <c r="AF13" i="3"/>
  <c r="AF17" i="3"/>
  <c r="DO17" i="3"/>
  <c r="DE13" i="3"/>
  <c r="AE13" i="3"/>
  <c r="CV17" i="3"/>
  <c r="CJ17" i="3"/>
  <c r="DQ17" i="3"/>
  <c r="AE17" i="3"/>
  <c r="CI14" i="3"/>
  <c r="CV13" i="3"/>
  <c r="DD15" i="3"/>
  <c r="BN13" i="3"/>
  <c r="DL13" i="3"/>
  <c r="BF17" i="3"/>
  <c r="DF14" i="3"/>
  <c r="DA13" i="3"/>
  <c r="CM17" i="3"/>
  <c r="BM17" i="3"/>
  <c r="AZ13" i="3"/>
  <c r="BK17" i="3"/>
  <c r="CQ17" i="3"/>
  <c r="AD16" i="3"/>
  <c r="BV15" i="3"/>
  <c r="BL17" i="3"/>
  <c r="AH13" i="3"/>
  <c r="BJ13" i="3"/>
  <c r="DJ17" i="3"/>
  <c r="AX17" i="3"/>
  <c r="AJ17" i="3"/>
  <c r="CB15" i="3"/>
  <c r="DD17" i="3"/>
  <c r="BZ17" i="3"/>
  <c r="DE17" i="3"/>
  <c r="CQ13" i="3"/>
  <c r="AE16" i="3"/>
  <c r="CA17" i="3"/>
  <c r="BW13" i="3"/>
  <c r="AV13" i="3"/>
  <c r="CJ13" i="3"/>
  <c r="AX13" i="3"/>
  <c r="CI13" i="3"/>
  <c r="DF13" i="3"/>
  <c r="AZ15" i="3"/>
  <c r="BO14" i="3"/>
  <c r="DD13" i="3"/>
  <c r="AJ13" i="3"/>
  <c r="DF16" i="3"/>
  <c r="CZ13" i="3"/>
  <c r="DO13" i="3"/>
  <c r="BW17" i="3"/>
  <c r="DR14" i="3"/>
  <c r="CK17" i="3"/>
  <c r="CW17" i="3"/>
  <c r="BZ13" i="3"/>
  <c r="AT17" i="3"/>
  <c r="AZ14" i="3"/>
  <c r="CN13" i="3"/>
  <c r="CV16" i="3"/>
  <c r="DF17" i="3"/>
  <c r="CB14" i="3"/>
  <c r="DC17" i="3"/>
  <c r="CI17" i="3"/>
  <c r="DD16" i="3"/>
  <c r="AT16" i="3"/>
  <c r="AT14" i="3"/>
  <c r="BY17" i="3"/>
  <c r="AY13" i="3"/>
  <c r="CR13" i="3"/>
  <c r="AG13" i="3"/>
  <c r="DN17" i="3"/>
  <c r="BV13" i="3"/>
  <c r="DB17" i="3"/>
  <c r="AW17" i="3"/>
  <c r="BV17" i="3"/>
  <c r="DR13" i="3"/>
  <c r="AK14" i="3"/>
  <c r="CW16" i="3"/>
  <c r="BM13" i="3"/>
  <c r="AT15" i="3"/>
  <c r="AD17" i="3"/>
  <c r="AV17" i="3"/>
  <c r="AK17" i="3"/>
  <c r="AH17" i="3"/>
  <c r="BF13" i="3"/>
  <c r="DC13" i="3"/>
  <c r="CV15" i="3"/>
  <c r="DF15" i="3"/>
  <c r="BJ17" i="3"/>
  <c r="DK13" i="3"/>
  <c r="CP17" i="3"/>
  <c r="DE15" i="3"/>
  <c r="CV14" i="3"/>
  <c r="DR16" i="3"/>
  <c r="CA13" i="3"/>
  <c r="CL17" i="3"/>
  <c r="BX17" i="3"/>
  <c r="AI13" i="3"/>
  <c r="CX17" i="3"/>
  <c r="AY17" i="3"/>
  <c r="CK13" i="3"/>
  <c r="AW13" i="3"/>
  <c r="BO15" i="3"/>
  <c r="DD14" i="3"/>
  <c r="CB13" i="3"/>
  <c r="DE16" i="3"/>
  <c r="CN17" i="3"/>
  <c r="BG17" i="3"/>
  <c r="CY13" i="3"/>
  <c r="BO17" i="3"/>
  <c r="CZ17" i="3"/>
  <c r="AT13" i="3"/>
  <c r="AZ16" i="3"/>
  <c r="CR17" i="3"/>
  <c r="DL17" i="3"/>
  <c r="BI13" i="3"/>
  <c r="BI17" i="3"/>
  <c r="CO13" i="3"/>
  <c r="DM13" i="3"/>
  <c r="DE14" i="3"/>
  <c r="BO13" i="3"/>
  <c r="BL13" i="3"/>
  <c r="AK15" i="3"/>
  <c r="DA17" i="3"/>
  <c r="AE15" i="3"/>
  <c r="AD14" i="3"/>
  <c r="DN13" i="3"/>
  <c r="AD15" i="3"/>
  <c r="AZ17" i="3"/>
  <c r="H15" i="2"/>
  <c r="AK16" i="3"/>
  <c r="AE14" i="3"/>
  <c r="AK13" i="3"/>
  <c r="CY17" i="3"/>
  <c r="DR17" i="3"/>
  <c r="CX13" i="3"/>
  <c r="CI15" i="3"/>
  <c r="BO16" i="3"/>
  <c r="AU13" i="3"/>
  <c r="AD13" i="3"/>
  <c r="DR15" i="3"/>
  <c r="CW15" i="3"/>
  <c r="CW14" i="3"/>
  <c r="DK17" i="3"/>
  <c r="CM13" i="3"/>
  <c r="BP3" i="3" l="1"/>
  <c r="BP4" i="3" s="1"/>
  <c r="R15" i="3"/>
  <c r="R14" i="3"/>
  <c r="R16" i="3"/>
  <c r="U17" i="3"/>
  <c r="S17" i="3"/>
  <c r="T17" i="3"/>
  <c r="V17" i="3"/>
  <c r="W17" i="3"/>
  <c r="R17" i="3"/>
  <c r="R13" i="3"/>
  <c r="U13" i="3"/>
  <c r="S13" i="3"/>
  <c r="T13" i="3"/>
  <c r="V13" i="3"/>
  <c r="W13" i="3"/>
  <c r="W15" i="3"/>
  <c r="W16" i="3"/>
  <c r="W14" i="3"/>
  <c r="CH3" i="3"/>
  <c r="CH4" i="3" s="1"/>
  <c r="DI12" i="3"/>
  <c r="Y4" i="3"/>
  <c r="Z3" i="3"/>
  <c r="Z4" i="3" s="1"/>
  <c r="BE12" i="3"/>
  <c r="BT3" i="3"/>
  <c r="BT4" i="3" s="1"/>
  <c r="BU4" i="3"/>
  <c r="BS12" i="3"/>
  <c r="CU12" i="3"/>
  <c r="AQ12" i="3"/>
  <c r="AB11" i="3"/>
  <c r="O11" i="3" s="1"/>
  <c r="AC12" i="3"/>
  <c r="CG12" i="3"/>
  <c r="AR3" i="3"/>
  <c r="AR4" i="3" s="1"/>
  <c r="AS4" i="3"/>
  <c r="CG18" i="3"/>
  <c r="CU18" i="3"/>
  <c r="DI18" i="3"/>
  <c r="BS18" i="3"/>
  <c r="BE18" i="3"/>
  <c r="AQ18" i="3"/>
  <c r="AC18" i="3"/>
  <c r="AB19" i="3"/>
  <c r="O19" i="3" s="1"/>
  <c r="CD3" i="3"/>
  <c r="CD4" i="3" s="1"/>
  <c r="CC4" i="3"/>
  <c r="DS4" i="3"/>
  <c r="DT3" i="3"/>
  <c r="DT4" i="3" s="1"/>
  <c r="BB3" i="3"/>
  <c r="BB4" i="3" s="1"/>
  <c r="BA4" i="3"/>
  <c r="AM3" i="3"/>
  <c r="AL4" i="3"/>
  <c r="I6" i="2"/>
  <c r="F3" i="2"/>
  <c r="E3" i="2" s="1"/>
  <c r="D3" i="2" s="1"/>
  <c r="C3" i="2" s="1"/>
  <c r="K3" i="2"/>
  <c r="L3" i="2" s="1"/>
  <c r="M3" i="2" s="1"/>
  <c r="J6" i="2"/>
  <c r="J9" i="1"/>
  <c r="AF18" i="3"/>
  <c r="BA12" i="3"/>
  <c r="AW18" i="3"/>
  <c r="BA13" i="3"/>
  <c r="DT17" i="3"/>
  <c r="BB15" i="3"/>
  <c r="AY18" i="3"/>
  <c r="DF12" i="3"/>
  <c r="DB12" i="3"/>
  <c r="DL12" i="3"/>
  <c r="BP17" i="3"/>
  <c r="AI12" i="3"/>
  <c r="CD16" i="3"/>
  <c r="BJ12" i="3"/>
  <c r="AS15" i="3"/>
  <c r="BB14" i="3"/>
  <c r="DT16" i="3"/>
  <c r="CH14" i="3"/>
  <c r="CH16" i="3"/>
  <c r="CJ18" i="3"/>
  <c r="BW12" i="3"/>
  <c r="AL16" i="3"/>
  <c r="BY18" i="3"/>
  <c r="AY12" i="3"/>
  <c r="BM12" i="3"/>
  <c r="BU18" i="3"/>
  <c r="CQ18" i="3"/>
  <c r="CD17" i="3"/>
  <c r="CW12" i="3"/>
  <c r="CV18" i="3"/>
  <c r="BU12" i="3"/>
  <c r="AS18" i="3"/>
  <c r="CM12" i="3"/>
  <c r="BO18" i="3"/>
  <c r="DD18" i="3"/>
  <c r="BT18" i="3"/>
  <c r="AX18" i="3"/>
  <c r="CD14" i="3"/>
  <c r="CL12" i="3"/>
  <c r="CC16" i="3"/>
  <c r="DT15" i="3"/>
  <c r="BT13" i="3"/>
  <c r="DS14" i="3"/>
  <c r="AZ12" i="3"/>
  <c r="BU16" i="3"/>
  <c r="BA18" i="3"/>
  <c r="BW18" i="3"/>
  <c r="BT12" i="3"/>
  <c r="BA17" i="3"/>
  <c r="DL18" i="3"/>
  <c r="DS18" i="3"/>
  <c r="CD18" i="3"/>
  <c r="BM18" i="3"/>
  <c r="DB18" i="3"/>
  <c r="BB13" i="3"/>
  <c r="AR13" i="3"/>
  <c r="DD12" i="3"/>
  <c r="BK18" i="3"/>
  <c r="AK18" i="3"/>
  <c r="AZ18" i="3"/>
  <c r="BI12" i="3"/>
  <c r="BT14" i="3"/>
  <c r="CB18" i="3"/>
  <c r="CC17" i="3"/>
  <c r="AR18" i="3"/>
  <c r="BT16" i="3"/>
  <c r="BU14" i="3"/>
  <c r="BK12" i="3"/>
  <c r="BZ18" i="3"/>
  <c r="CH15" i="3"/>
  <c r="DT18" i="3"/>
  <c r="DJ12" i="3"/>
  <c r="CH18" i="3"/>
  <c r="AG18" i="3"/>
  <c r="DA12" i="3"/>
  <c r="CH13" i="3"/>
  <c r="CQ12" i="3"/>
  <c r="AT12" i="3"/>
  <c r="AH18" i="3"/>
  <c r="CD13" i="3"/>
  <c r="DT14" i="3"/>
  <c r="CA12" i="3"/>
  <c r="CC18" i="3"/>
  <c r="BN12" i="3"/>
  <c r="CM18" i="3"/>
  <c r="BA16" i="3"/>
  <c r="CR12" i="3"/>
  <c r="BN18" i="3"/>
  <c r="AF12" i="3"/>
  <c r="CX12" i="3"/>
  <c r="AE18" i="3"/>
  <c r="BO12" i="3"/>
  <c r="CD15" i="3"/>
  <c r="AS17" i="3"/>
  <c r="CK12" i="3"/>
  <c r="BH18" i="3"/>
  <c r="DP12" i="3"/>
  <c r="BA15" i="3"/>
  <c r="AR14" i="3"/>
  <c r="CB12" i="3"/>
  <c r="AS16" i="3"/>
  <c r="AL15" i="3"/>
  <c r="AR15" i="3"/>
  <c r="DT12" i="3"/>
  <c r="BU15" i="3"/>
  <c r="DK12" i="3"/>
  <c r="CY18" i="3"/>
  <c r="DP18" i="3"/>
  <c r="AU12" i="3"/>
  <c r="AH12" i="3"/>
  <c r="CP12" i="3"/>
  <c r="BU13" i="3"/>
  <c r="BP14" i="3"/>
  <c r="AR17" i="3"/>
  <c r="AG12" i="3"/>
  <c r="BZ12" i="3"/>
  <c r="AE12" i="3"/>
  <c r="AU18" i="3"/>
  <c r="BT15" i="3"/>
  <c r="BB18" i="3"/>
  <c r="AV18" i="3"/>
  <c r="DE18" i="3"/>
  <c r="CY12" i="3"/>
  <c r="CP18" i="3"/>
  <c r="CH12" i="3"/>
  <c r="CC12" i="3"/>
  <c r="CX18" i="3"/>
  <c r="CC14" i="3"/>
  <c r="DA18" i="3"/>
  <c r="CL18" i="3"/>
  <c r="DS13" i="3"/>
  <c r="CO12" i="3"/>
  <c r="DQ18" i="3"/>
  <c r="AJ18" i="3"/>
  <c r="BX12" i="3"/>
  <c r="BG18" i="3"/>
  <c r="CW18" i="3"/>
  <c r="DC12" i="3"/>
  <c r="DM12" i="3"/>
  <c r="DQ12" i="3"/>
  <c r="AX12" i="3"/>
  <c r="AD18" i="3"/>
  <c r="BP18" i="3"/>
  <c r="AL12" i="3"/>
  <c r="DT13" i="3"/>
  <c r="DE12" i="3"/>
  <c r="BP16" i="3"/>
  <c r="DS15" i="3"/>
  <c r="DM18" i="3"/>
  <c r="AL14" i="3"/>
  <c r="BP15" i="3"/>
  <c r="BV18" i="3"/>
  <c r="AV12" i="3"/>
  <c r="AS13" i="3"/>
  <c r="BB12" i="3"/>
  <c r="CV12" i="3"/>
  <c r="BL18" i="3"/>
  <c r="DR12" i="3"/>
  <c r="CK18" i="3"/>
  <c r="CN18" i="3"/>
  <c r="BU17" i="3"/>
  <c r="CR18" i="3"/>
  <c r="AJ12" i="3"/>
  <c r="CO18" i="3"/>
  <c r="AR12" i="3"/>
  <c r="BP13" i="3"/>
  <c r="BH12" i="3"/>
  <c r="DR18" i="3"/>
  <c r="AT18" i="3"/>
  <c r="DJ18" i="3"/>
  <c r="CA18" i="3"/>
  <c r="DN18" i="3"/>
  <c r="BI18" i="3"/>
  <c r="BY12" i="3"/>
  <c r="CI12" i="3"/>
  <c r="BF12" i="3"/>
  <c r="DO12" i="3"/>
  <c r="DS16" i="3"/>
  <c r="AL13" i="3"/>
  <c r="DS17" i="3"/>
  <c r="BL12" i="3"/>
  <c r="CH17" i="3"/>
  <c r="CZ18" i="3"/>
  <c r="AS12" i="3"/>
  <c r="CZ12" i="3"/>
  <c r="BP12" i="3"/>
  <c r="BA14" i="3"/>
  <c r="DF18" i="3"/>
  <c r="DC18" i="3"/>
  <c r="BJ18" i="3"/>
  <c r="AS14" i="3"/>
  <c r="DS12" i="3"/>
  <c r="DK18" i="3"/>
  <c r="AI18" i="3"/>
  <c r="BF18" i="3"/>
  <c r="CN12" i="3"/>
  <c r="AK12" i="3"/>
  <c r="CD12" i="3"/>
  <c r="CC13" i="3"/>
  <c r="AW12" i="3"/>
  <c r="CI18" i="3"/>
  <c r="BX18" i="3"/>
  <c r="BT17" i="3"/>
  <c r="CJ12" i="3"/>
  <c r="AL17" i="3"/>
  <c r="BG12" i="3"/>
  <c r="CC15" i="3"/>
  <c r="AR16" i="3"/>
  <c r="BB16" i="3"/>
  <c r="BV12" i="3"/>
  <c r="AD12" i="3"/>
  <c r="DN12" i="3"/>
  <c r="DO18" i="3"/>
  <c r="BB17" i="3"/>
  <c r="AL18" i="3"/>
  <c r="Q15" i="3" l="1"/>
  <c r="Q14" i="3"/>
  <c r="Q16" i="3"/>
  <c r="Q17" i="3"/>
  <c r="Q13" i="3"/>
  <c r="P15" i="3"/>
  <c r="P14" i="3"/>
  <c r="P16" i="3"/>
  <c r="P17" i="3"/>
  <c r="P13" i="3"/>
  <c r="X15" i="3"/>
  <c r="X16" i="3"/>
  <c r="X14" i="3"/>
  <c r="X13" i="3"/>
  <c r="X17" i="3"/>
  <c r="R18" i="3"/>
  <c r="S18" i="3"/>
  <c r="W18" i="3"/>
  <c r="P18" i="3"/>
  <c r="Q18" i="3"/>
  <c r="T18" i="3"/>
  <c r="V18" i="3"/>
  <c r="X18" i="3"/>
  <c r="U18" i="3"/>
  <c r="T12" i="3"/>
  <c r="Q12" i="3"/>
  <c r="U12" i="3"/>
  <c r="S12" i="3"/>
  <c r="V12" i="3"/>
  <c r="X12" i="3"/>
  <c r="R12" i="3"/>
  <c r="W12" i="3"/>
  <c r="P12" i="3"/>
  <c r="AB10" i="3"/>
  <c r="O10" i="3" s="1"/>
  <c r="AC11" i="3"/>
  <c r="CU11" i="3"/>
  <c r="AQ11" i="3"/>
  <c r="CG11" i="3"/>
  <c r="BS11" i="3"/>
  <c r="DI11" i="3"/>
  <c r="BE11" i="3"/>
  <c r="DI19" i="3"/>
  <c r="CU19" i="3"/>
  <c r="BE19" i="3"/>
  <c r="CG19" i="3"/>
  <c r="BS19" i="3"/>
  <c r="AQ19" i="3"/>
  <c r="AB20" i="3"/>
  <c r="O20" i="3" s="1"/>
  <c r="AC19" i="3"/>
  <c r="AN3" i="3"/>
  <c r="AN4" i="3" s="1"/>
  <c r="AM4" i="3"/>
  <c r="F6" i="2"/>
  <c r="E6" i="2"/>
  <c r="K6" i="2"/>
  <c r="C6" i="2"/>
  <c r="D6" i="2"/>
  <c r="J10" i="1"/>
  <c r="DA19" i="3"/>
  <c r="BI11" i="3"/>
  <c r="CV11" i="3"/>
  <c r="AW11" i="3"/>
  <c r="AJ19" i="3"/>
  <c r="CP11" i="3"/>
  <c r="AY11" i="3"/>
  <c r="BZ19" i="3"/>
  <c r="BF11" i="3"/>
  <c r="AZ11" i="3"/>
  <c r="AN11" i="3"/>
  <c r="AE11" i="3"/>
  <c r="AX11" i="3"/>
  <c r="AF19" i="3"/>
  <c r="AD19" i="3"/>
  <c r="DT11" i="3"/>
  <c r="BP11" i="3"/>
  <c r="AM19" i="3"/>
  <c r="BU11" i="3"/>
  <c r="BJ19" i="3"/>
  <c r="BW11" i="3"/>
  <c r="AN16" i="3"/>
  <c r="CL19" i="3"/>
  <c r="CR19" i="3"/>
  <c r="DN11" i="3"/>
  <c r="CX11" i="3"/>
  <c r="DM19" i="3"/>
  <c r="BH11" i="3"/>
  <c r="DP11" i="3"/>
  <c r="AN12" i="3"/>
  <c r="CA11" i="3"/>
  <c r="CO19" i="3"/>
  <c r="BV11" i="3"/>
  <c r="BA19" i="3"/>
  <c r="CR11" i="3"/>
  <c r="DP19" i="3"/>
  <c r="BA11" i="3"/>
  <c r="DO11" i="3"/>
  <c r="AM11" i="3"/>
  <c r="CW19" i="3"/>
  <c r="AV19" i="3"/>
  <c r="DJ19" i="3"/>
  <c r="CY19" i="3"/>
  <c r="DC11" i="3"/>
  <c r="BT19" i="3"/>
  <c r="AM18" i="3"/>
  <c r="DQ11" i="3"/>
  <c r="BK11" i="3"/>
  <c r="BW19" i="3"/>
  <c r="CL11" i="3"/>
  <c r="AH11" i="3"/>
  <c r="AH19" i="3"/>
  <c r="CW11" i="3"/>
  <c r="AE19" i="3"/>
  <c r="DE19" i="3"/>
  <c r="DF19" i="3"/>
  <c r="BZ11" i="3"/>
  <c r="AU11" i="3"/>
  <c r="BL19" i="3"/>
  <c r="BN11" i="3"/>
  <c r="BG19" i="3"/>
  <c r="BN19" i="3"/>
  <c r="BL11" i="3"/>
  <c r="CA19" i="3"/>
  <c r="DR19" i="3"/>
  <c r="DL19" i="3"/>
  <c r="DM11" i="3"/>
  <c r="AL19" i="3"/>
  <c r="CM11" i="3"/>
  <c r="AL11" i="3"/>
  <c r="CB11" i="3"/>
  <c r="DT19" i="3"/>
  <c r="CC19" i="3"/>
  <c r="CV19" i="3"/>
  <c r="DL11" i="3"/>
  <c r="CQ19" i="3"/>
  <c r="DK11" i="3"/>
  <c r="CN11" i="3"/>
  <c r="AT11" i="3"/>
  <c r="CI11" i="3"/>
  <c r="AM14" i="3"/>
  <c r="BV19" i="3"/>
  <c r="BI19" i="3"/>
  <c r="CD19" i="3"/>
  <c r="BM11" i="3"/>
  <c r="AX19" i="3"/>
  <c r="BB11" i="3"/>
  <c r="DN19" i="3"/>
  <c r="AM16" i="3"/>
  <c r="DS11" i="3"/>
  <c r="BH19" i="3"/>
  <c r="AM13" i="3"/>
  <c r="CX19" i="3"/>
  <c r="DD19" i="3"/>
  <c r="CN19" i="3"/>
  <c r="DE11" i="3"/>
  <c r="AY19" i="3"/>
  <c r="BY11" i="3"/>
  <c r="AJ11" i="3"/>
  <c r="AI11" i="3"/>
  <c r="AN14" i="3"/>
  <c r="AR19" i="3"/>
  <c r="DJ11" i="3"/>
  <c r="CD11" i="3"/>
  <c r="AN15" i="3"/>
  <c r="BB19" i="3"/>
  <c r="BP19" i="3"/>
  <c r="BG11" i="3"/>
  <c r="DQ19" i="3"/>
  <c r="BX11" i="3"/>
  <c r="AN18" i="3"/>
  <c r="CH11" i="3"/>
  <c r="AK11" i="3"/>
  <c r="CJ11" i="3"/>
  <c r="DK19" i="3"/>
  <c r="AM17" i="3"/>
  <c r="CZ19" i="3"/>
  <c r="BY19" i="3"/>
  <c r="CO11" i="3"/>
  <c r="AM12" i="3"/>
  <c r="AG11" i="3"/>
  <c r="AI19" i="3"/>
  <c r="DC19" i="3"/>
  <c r="AU19" i="3"/>
  <c r="AV11" i="3"/>
  <c r="BO19" i="3"/>
  <c r="AS19" i="3"/>
  <c r="AN19" i="3"/>
  <c r="CZ11" i="3"/>
  <c r="BF19" i="3"/>
  <c r="AS11" i="3"/>
  <c r="BT11" i="3"/>
  <c r="BU19" i="3"/>
  <c r="AT19" i="3"/>
  <c r="DA11" i="3"/>
  <c r="AW19" i="3"/>
  <c r="BM19" i="3"/>
  <c r="BO11" i="3"/>
  <c r="BJ11" i="3"/>
  <c r="CK19" i="3"/>
  <c r="CP19" i="3"/>
  <c r="DO19" i="3"/>
  <c r="CH19" i="3"/>
  <c r="AG19" i="3"/>
  <c r="CC11" i="3"/>
  <c r="AN17" i="3"/>
  <c r="DF11" i="3"/>
  <c r="AK19" i="3"/>
  <c r="CQ11" i="3"/>
  <c r="BX19" i="3"/>
  <c r="AD11" i="3"/>
  <c r="CJ19" i="3"/>
  <c r="CK11" i="3"/>
  <c r="DR11" i="3"/>
  <c r="DB11" i="3"/>
  <c r="DD11" i="3"/>
  <c r="BK19" i="3"/>
  <c r="DS19" i="3"/>
  <c r="CY11" i="3"/>
  <c r="CI19" i="3"/>
  <c r="CB19" i="3"/>
  <c r="AF11" i="3"/>
  <c r="DB19" i="3"/>
  <c r="AR11" i="3"/>
  <c r="CM19" i="3"/>
  <c r="AZ19" i="3"/>
  <c r="AN13" i="3"/>
  <c r="AM15" i="3"/>
  <c r="CU10" i="3" l="1"/>
  <c r="BS10" i="3"/>
  <c r="Y15" i="3"/>
  <c r="Y16" i="3"/>
  <c r="Y14" i="3"/>
  <c r="Y13" i="3"/>
  <c r="Y17" i="3"/>
  <c r="Y12" i="3"/>
  <c r="Y11" i="3"/>
  <c r="Y18" i="3"/>
  <c r="W19" i="3"/>
  <c r="P19" i="3"/>
  <c r="X19" i="3"/>
  <c r="Q19" i="3"/>
  <c r="Y19" i="3"/>
  <c r="V19" i="3"/>
  <c r="R19" i="3"/>
  <c r="Z19" i="3"/>
  <c r="S19" i="3"/>
  <c r="T19" i="3"/>
  <c r="U19" i="3"/>
  <c r="Z15" i="3"/>
  <c r="Z16" i="3"/>
  <c r="Z14" i="3"/>
  <c r="Z13" i="3"/>
  <c r="Z17" i="3"/>
  <c r="Z12" i="3"/>
  <c r="Z11" i="3"/>
  <c r="Z18" i="3"/>
  <c r="V11" i="3"/>
  <c r="R11" i="3"/>
  <c r="T11" i="3"/>
  <c r="Q11" i="3"/>
  <c r="X11" i="3"/>
  <c r="P11" i="3"/>
  <c r="U11" i="3"/>
  <c r="S11" i="3"/>
  <c r="W11" i="3"/>
  <c r="AC10" i="3"/>
  <c r="DI10" i="3"/>
  <c r="AB9" i="3"/>
  <c r="O9" i="3" s="1"/>
  <c r="BE10" i="3"/>
  <c r="CG10" i="3"/>
  <c r="AQ10" i="3"/>
  <c r="CU20" i="3"/>
  <c r="DI20" i="3"/>
  <c r="BS20" i="3"/>
  <c r="CG20" i="3"/>
  <c r="AQ20" i="3"/>
  <c r="BE20" i="3"/>
  <c r="AC20" i="3"/>
  <c r="AB21" i="3"/>
  <c r="O21" i="3" s="1"/>
  <c r="L6" i="2"/>
  <c r="M6" i="2"/>
  <c r="J11" i="1"/>
  <c r="AC9" i="3" l="1"/>
  <c r="DI9" i="3"/>
  <c r="AB8" i="3"/>
  <c r="O8" i="3" s="1"/>
  <c r="CU9" i="3"/>
  <c r="CG9" i="3"/>
  <c r="AQ9" i="3"/>
  <c r="BS9" i="3"/>
  <c r="BE9" i="3"/>
  <c r="CG21" i="3"/>
  <c r="CU21" i="3"/>
  <c r="BE21" i="3"/>
  <c r="DI21" i="3"/>
  <c r="BS21" i="3"/>
  <c r="AQ21" i="3"/>
  <c r="AB22" i="3"/>
  <c r="O22" i="3" s="1"/>
  <c r="AC21" i="3"/>
  <c r="J12" i="1"/>
  <c r="BS8" i="3" l="1"/>
  <c r="BE8" i="3"/>
  <c r="CG8" i="3"/>
  <c r="AC8" i="3"/>
  <c r="AB7" i="3"/>
  <c r="O7" i="3" s="1"/>
  <c r="DI8" i="3"/>
  <c r="AQ8" i="3"/>
  <c r="CU8" i="3"/>
  <c r="BS22" i="3"/>
  <c r="DI22" i="3"/>
  <c r="CG22" i="3"/>
  <c r="CU22" i="3"/>
  <c r="AQ22" i="3"/>
  <c r="BE22" i="3"/>
  <c r="AB23" i="3"/>
  <c r="O23" i="3" s="1"/>
  <c r="AC22" i="3"/>
  <c r="J13" i="1"/>
  <c r="CU7" i="3" l="1"/>
  <c r="AC7" i="3"/>
  <c r="AB6" i="3"/>
  <c r="O6" i="3" s="1"/>
  <c r="BE7" i="3"/>
  <c r="AQ7" i="3"/>
  <c r="BS7" i="3"/>
  <c r="DI7" i="3"/>
  <c r="CG7" i="3"/>
  <c r="CU23" i="3"/>
  <c r="BS23" i="3"/>
  <c r="DI23" i="3"/>
  <c r="AQ23" i="3"/>
  <c r="CG23" i="3"/>
  <c r="BE23" i="3"/>
  <c r="AB24" i="3"/>
  <c r="O24" i="3" s="1"/>
  <c r="AC23" i="3"/>
  <c r="J14" i="1"/>
  <c r="D11" i="1"/>
  <c r="D122" i="1"/>
  <c r="O145" i="1"/>
  <c r="AU7" i="3"/>
  <c r="K13" i="2"/>
  <c r="N75" i="1"/>
  <c r="E18" i="2"/>
  <c r="H11" i="1"/>
  <c r="O40" i="1"/>
  <c r="S73" i="1"/>
  <c r="C61" i="1"/>
  <c r="BG9" i="3"/>
  <c r="CR10" i="3"/>
  <c r="BJ22" i="3"/>
  <c r="D27" i="1"/>
  <c r="D120" i="1"/>
  <c r="CR9" i="3"/>
  <c r="DC22" i="3"/>
  <c r="S46" i="1"/>
  <c r="CX21" i="3"/>
  <c r="D95" i="1"/>
  <c r="N56" i="1"/>
  <c r="N54" i="1"/>
  <c r="BU7" i="3"/>
  <c r="O206" i="1"/>
  <c r="AZ9" i="3"/>
  <c r="D85" i="1"/>
  <c r="O80" i="1"/>
  <c r="DO22" i="3"/>
  <c r="CA21" i="3"/>
  <c r="D26" i="1"/>
  <c r="N69" i="1"/>
  <c r="O112" i="1"/>
  <c r="DP7" i="3"/>
  <c r="DD7" i="3"/>
  <c r="BK21" i="3"/>
  <c r="J15" i="2"/>
  <c r="M15" i="2"/>
  <c r="CW9" i="3"/>
  <c r="D63" i="1"/>
  <c r="CB10" i="3"/>
  <c r="D199" i="1"/>
  <c r="C75" i="1"/>
  <c r="BL22" i="3"/>
  <c r="BI7" i="3"/>
  <c r="DL7" i="3"/>
  <c r="O147" i="1"/>
  <c r="AV7" i="3"/>
  <c r="O45" i="1"/>
  <c r="D80" i="1"/>
  <c r="D29" i="1"/>
  <c r="D148" i="1"/>
  <c r="BZ8" i="3"/>
  <c r="C62" i="1"/>
  <c r="D192" i="1"/>
  <c r="C48" i="1"/>
  <c r="O127" i="1"/>
  <c r="O164" i="1"/>
  <c r="BO10" i="3"/>
  <c r="C50" i="1"/>
  <c r="BP21" i="3"/>
  <c r="S68" i="1"/>
  <c r="S42" i="1"/>
  <c r="O166" i="1"/>
  <c r="CV9" i="3"/>
  <c r="AI22" i="3"/>
  <c r="O30" i="1"/>
  <c r="O9" i="1"/>
  <c r="D161" i="1"/>
  <c r="D18" i="1"/>
  <c r="D140" i="1"/>
  <c r="AY20" i="3"/>
  <c r="C51" i="1"/>
  <c r="O76" i="1"/>
  <c r="D87" i="1"/>
  <c r="BV9" i="3"/>
  <c r="DL8" i="3"/>
  <c r="O21" i="1"/>
  <c r="BO9" i="3"/>
  <c r="O54" i="1"/>
  <c r="D10" i="1"/>
  <c r="BL9" i="3"/>
  <c r="O189" i="1"/>
  <c r="K18" i="2"/>
  <c r="O121" i="1"/>
  <c r="D50" i="1"/>
  <c r="AE20" i="3"/>
  <c r="D86" i="1"/>
  <c r="CC22" i="3"/>
  <c r="D101" i="1"/>
  <c r="DA21" i="3"/>
  <c r="BW8" i="3"/>
  <c r="N9" i="1"/>
  <c r="DE8" i="3"/>
  <c r="CQ8" i="3"/>
  <c r="CO22" i="3"/>
  <c r="BZ9" i="3"/>
  <c r="S69" i="1"/>
  <c r="O60" i="1"/>
  <c r="AI21" i="3"/>
  <c r="BN10" i="3"/>
  <c r="G18" i="2"/>
  <c r="DJ22" i="3"/>
  <c r="DQ22" i="3"/>
  <c r="C72" i="1"/>
  <c r="N74" i="1"/>
  <c r="DE23" i="3"/>
  <c r="C47" i="1"/>
  <c r="AS21" i="3"/>
  <c r="AL8" i="3"/>
  <c r="CZ10" i="3"/>
  <c r="DS22" i="3"/>
  <c r="S17" i="1"/>
  <c r="AE21" i="3"/>
  <c r="DJ23" i="3"/>
  <c r="AT7" i="3"/>
  <c r="BL23" i="3"/>
  <c r="F18" i="2"/>
  <c r="CD8" i="3"/>
  <c r="D116" i="1"/>
  <c r="O108" i="1"/>
  <c r="S78" i="1"/>
  <c r="BO20" i="3"/>
  <c r="CR8" i="3"/>
  <c r="N39" i="1"/>
  <c r="O37" i="1"/>
  <c r="O106" i="1"/>
  <c r="O70" i="1"/>
  <c r="D133" i="1"/>
  <c r="CA8" i="3"/>
  <c r="D154" i="1"/>
  <c r="O23" i="1"/>
  <c r="AY23" i="3"/>
  <c r="AG8" i="3"/>
  <c r="C17" i="1"/>
  <c r="BN9" i="3"/>
  <c r="D48" i="1"/>
  <c r="D105" i="1"/>
  <c r="CK23" i="3"/>
  <c r="DJ8" i="3"/>
  <c r="O85" i="1"/>
  <c r="D200" i="1"/>
  <c r="CR20" i="3"/>
  <c r="D207" i="1"/>
  <c r="D125" i="1"/>
  <c r="N21" i="1"/>
  <c r="CH8" i="3"/>
  <c r="O26" i="1"/>
  <c r="O14" i="1"/>
  <c r="M18" i="2"/>
  <c r="C32" i="1"/>
  <c r="E17" i="2"/>
  <c r="C39" i="1"/>
  <c r="BB8" i="3"/>
  <c r="S77" i="1"/>
  <c r="O207" i="1"/>
  <c r="S57" i="1"/>
  <c r="CR22" i="3"/>
  <c r="CZ8" i="3"/>
  <c r="S49" i="1"/>
  <c r="D183" i="1"/>
  <c r="CQ20" i="3"/>
  <c r="CQ10" i="3"/>
  <c r="BJ10" i="3"/>
  <c r="CL8" i="3"/>
  <c r="CN10" i="3"/>
  <c r="BB21" i="3"/>
  <c r="DF7" i="3"/>
  <c r="S53" i="1"/>
  <c r="O61" i="1"/>
  <c r="C14" i="2"/>
  <c r="CA23" i="3"/>
  <c r="DM10" i="3"/>
  <c r="BG10" i="3"/>
  <c r="K19" i="2"/>
  <c r="O123" i="1"/>
  <c r="O130" i="1"/>
  <c r="BF21" i="3"/>
  <c r="CX22" i="3"/>
  <c r="D17" i="1"/>
  <c r="BB10" i="3"/>
  <c r="CA9" i="3"/>
  <c r="CV7" i="3"/>
  <c r="L16" i="2"/>
  <c r="D61" i="1"/>
  <c r="N11" i="1"/>
  <c r="CY10" i="3"/>
  <c r="BH8" i="3"/>
  <c r="AH8" i="3"/>
  <c r="O129" i="1"/>
  <c r="D128" i="1"/>
  <c r="D43" i="1"/>
  <c r="S20" i="1"/>
  <c r="D117" i="1"/>
  <c r="D179" i="1"/>
  <c r="S52" i="1"/>
  <c r="BT10" i="3"/>
  <c r="N49" i="1"/>
  <c r="BF7" i="3"/>
  <c r="S48" i="1"/>
  <c r="AI23" i="3"/>
  <c r="AS20" i="3"/>
  <c r="CP9" i="3"/>
  <c r="CO8" i="3"/>
  <c r="BJ9" i="3"/>
  <c r="BI22" i="3"/>
  <c r="O52" i="1"/>
  <c r="AT21" i="3"/>
  <c r="AX9" i="3"/>
  <c r="AM7" i="3"/>
  <c r="O178" i="1"/>
  <c r="CA10" i="3"/>
  <c r="BY10" i="3"/>
  <c r="CB7" i="3"/>
  <c r="O175" i="1"/>
  <c r="BY7" i="3"/>
  <c r="O69" i="1"/>
  <c r="AS10" i="3"/>
  <c r="D147" i="1"/>
  <c r="CL21" i="3"/>
  <c r="CL20" i="3"/>
  <c r="D203" i="1"/>
  <c r="CJ10" i="3"/>
  <c r="O105" i="1"/>
  <c r="DF8" i="3"/>
  <c r="O153" i="1"/>
  <c r="D74" i="1"/>
  <c r="N22" i="1"/>
  <c r="O64" i="1"/>
  <c r="DK22" i="3"/>
  <c r="BW9" i="3"/>
  <c r="M16" i="2"/>
  <c r="CK8" i="3"/>
  <c r="DR7" i="3"/>
  <c r="O136" i="1"/>
  <c r="N16" i="1"/>
  <c r="C52" i="1"/>
  <c r="CY22" i="3"/>
  <c r="BM7" i="3"/>
  <c r="CM8" i="3"/>
  <c r="C12" i="1"/>
  <c r="O125" i="1"/>
  <c r="O137" i="1"/>
  <c r="AX23" i="3"/>
  <c r="O149" i="1"/>
  <c r="O22" i="1"/>
  <c r="S10" i="1"/>
  <c r="AH7" i="3"/>
  <c r="G19" i="2"/>
  <c r="O197" i="1"/>
  <c r="O38" i="1"/>
  <c r="O20" i="1"/>
  <c r="S62" i="1"/>
  <c r="CK10" i="3"/>
  <c r="DN20" i="3"/>
  <c r="O173" i="1"/>
  <c r="AU22" i="3"/>
  <c r="I16" i="2"/>
  <c r="BK8" i="3"/>
  <c r="AF23" i="3"/>
  <c r="D145" i="1"/>
  <c r="DA8" i="3"/>
  <c r="M13" i="2"/>
  <c r="DD20" i="3"/>
  <c r="O55" i="1"/>
  <c r="O51" i="1"/>
  <c r="DM7" i="3"/>
  <c r="O191" i="1"/>
  <c r="AN9" i="3"/>
  <c r="O84" i="1"/>
  <c r="BV22" i="3"/>
  <c r="S41" i="1"/>
  <c r="O66" i="1"/>
  <c r="CJ20" i="3"/>
  <c r="O171" i="1"/>
  <c r="C41" i="1"/>
  <c r="CB21" i="3"/>
  <c r="DD9" i="3"/>
  <c r="DF23" i="3"/>
  <c r="O187" i="1"/>
  <c r="D77" i="1"/>
  <c r="S32" i="1"/>
  <c r="S43" i="1"/>
  <c r="BU23" i="3"/>
  <c r="D89" i="1"/>
  <c r="O201" i="1"/>
  <c r="AU9" i="3"/>
  <c r="O202" i="1"/>
  <c r="BH20" i="3"/>
  <c r="DO23" i="3"/>
  <c r="D14" i="1"/>
  <c r="L18" i="2"/>
  <c r="D162" i="1"/>
  <c r="O19" i="1"/>
  <c r="D180" i="1"/>
  <c r="DT20" i="3"/>
  <c r="D38" i="1"/>
  <c r="D84" i="1"/>
  <c r="O58" i="1"/>
  <c r="O138" i="1"/>
  <c r="D109" i="1"/>
  <c r="O142" i="1"/>
  <c r="D76" i="1"/>
  <c r="D119" i="1"/>
  <c r="AE22" i="3"/>
  <c r="K17" i="2"/>
  <c r="AJ8" i="3"/>
  <c r="BJ23" i="3"/>
  <c r="DB21" i="3"/>
  <c r="DK9" i="3"/>
  <c r="CV21" i="3"/>
  <c r="D132" i="1"/>
  <c r="O117" i="1"/>
  <c r="CA20" i="3"/>
  <c r="DQ8" i="3"/>
  <c r="D8" i="1"/>
  <c r="CB23" i="3"/>
  <c r="D118" i="1"/>
  <c r="DA22" i="3"/>
  <c r="O73" i="1"/>
  <c r="D188" i="1"/>
  <c r="DP8" i="3"/>
  <c r="D65" i="1"/>
  <c r="N31" i="1"/>
  <c r="AW21" i="3"/>
  <c r="CI10" i="3"/>
  <c r="N17" i="1"/>
  <c r="DB8" i="3"/>
  <c r="O46" i="1"/>
  <c r="S37" i="1"/>
  <c r="N53" i="1"/>
  <c r="N25" i="1"/>
  <c r="D189" i="1"/>
  <c r="O18" i="1"/>
  <c r="BW23" i="3"/>
  <c r="DS9" i="3"/>
  <c r="C78" i="1"/>
  <c r="AV8" i="3"/>
  <c r="F19" i="2"/>
  <c r="D185" i="1"/>
  <c r="O10" i="1"/>
  <c r="DS8" i="3"/>
  <c r="C57" i="1"/>
  <c r="AX10" i="3"/>
  <c r="I19" i="2"/>
  <c r="DQ10" i="3"/>
  <c r="DB22" i="3"/>
  <c r="C23" i="1"/>
  <c r="O77" i="1"/>
  <c r="O109" i="1"/>
  <c r="CQ23" i="3"/>
  <c r="O74" i="1"/>
  <c r="DN7" i="3"/>
  <c r="C67" i="1"/>
  <c r="S12" i="1"/>
  <c r="O193" i="1"/>
  <c r="N51" i="1"/>
  <c r="D171" i="1"/>
  <c r="AM10" i="3"/>
  <c r="AR21" i="3"/>
  <c r="N43" i="1"/>
  <c r="AH20" i="3"/>
  <c r="O134" i="1"/>
  <c r="D68" i="1"/>
  <c r="BL8" i="3"/>
  <c r="BU21" i="3"/>
  <c r="N33" i="1"/>
  <c r="BI23" i="3"/>
  <c r="C21" i="1"/>
  <c r="O181" i="1"/>
  <c r="S51" i="1"/>
  <c r="S8" i="1"/>
  <c r="K16" i="2"/>
  <c r="AN20" i="3"/>
  <c r="CK22" i="3"/>
  <c r="CZ21" i="3"/>
  <c r="O75" i="1"/>
  <c r="D102" i="1"/>
  <c r="BI10" i="3"/>
  <c r="AM23" i="3"/>
  <c r="C31" i="1"/>
  <c r="D146" i="1"/>
  <c r="DN9" i="3"/>
  <c r="E15" i="2"/>
  <c r="S18" i="1"/>
  <c r="DR23" i="3"/>
  <c r="D206" i="1"/>
  <c r="DO9" i="3"/>
  <c r="CY21" i="3"/>
  <c r="DC23" i="3"/>
  <c r="CQ21" i="3"/>
  <c r="O94" i="1"/>
  <c r="J18" i="2"/>
  <c r="AJ7" i="3"/>
  <c r="BF9" i="3"/>
  <c r="O154" i="1"/>
  <c r="C16" i="1"/>
  <c r="DF22" i="3"/>
  <c r="AU8" i="3"/>
  <c r="D129" i="1"/>
  <c r="CQ22" i="3"/>
  <c r="AR22" i="3"/>
  <c r="AH9" i="3"/>
  <c r="BA23" i="3"/>
  <c r="AV23" i="3"/>
  <c r="D201" i="1"/>
  <c r="N27" i="1"/>
  <c r="AY7" i="3"/>
  <c r="BK7" i="3"/>
  <c r="D150" i="1"/>
  <c r="AN7" i="3"/>
  <c r="BZ20" i="3"/>
  <c r="O151" i="1"/>
  <c r="BK10" i="3"/>
  <c r="O82" i="1"/>
  <c r="DA7" i="3"/>
  <c r="F15" i="2"/>
  <c r="DF9" i="3"/>
  <c r="D153" i="1"/>
  <c r="O176" i="1"/>
  <c r="O188" i="1"/>
  <c r="CB22" i="3"/>
  <c r="C42" i="1"/>
  <c r="AU10" i="3"/>
  <c r="D71" i="1"/>
  <c r="S70" i="1"/>
  <c r="AS22" i="3"/>
  <c r="N71" i="1"/>
  <c r="D173" i="1"/>
  <c r="AX8" i="3"/>
  <c r="D208" i="1"/>
  <c r="N66" i="1"/>
  <c r="E19" i="2"/>
  <c r="D111" i="1"/>
  <c r="D157" i="1"/>
  <c r="O144" i="1"/>
  <c r="H16" i="2"/>
  <c r="O150" i="1"/>
  <c r="BH7" i="3"/>
  <c r="L17" i="2"/>
  <c r="C56" i="1"/>
  <c r="CL9" i="3"/>
  <c r="S72" i="1"/>
  <c r="O198" i="1"/>
  <c r="DA9" i="3"/>
  <c r="DM8" i="3"/>
  <c r="AR9" i="3"/>
  <c r="CK20" i="3"/>
  <c r="CC8" i="3"/>
  <c r="N20" i="1"/>
  <c r="D166" i="1"/>
  <c r="H12" i="1"/>
  <c r="CA7" i="3"/>
  <c r="BO7" i="3"/>
  <c r="O17" i="1"/>
  <c r="CD23" i="3"/>
  <c r="D99" i="1"/>
  <c r="DJ21" i="3"/>
  <c r="DS10" i="3"/>
  <c r="H14" i="1"/>
  <c r="BP20" i="3"/>
  <c r="CO20" i="3"/>
  <c r="O12" i="1"/>
  <c r="S11" i="1"/>
  <c r="BX7" i="3"/>
  <c r="CX8" i="3"/>
  <c r="O168" i="1"/>
  <c r="AK22" i="3"/>
  <c r="BA20" i="3"/>
  <c r="S26" i="1"/>
  <c r="AU20" i="3"/>
  <c r="G16" i="2"/>
  <c r="DE20" i="3"/>
  <c r="S55" i="1"/>
  <c r="CI9" i="3"/>
  <c r="N48" i="1"/>
  <c r="CB9" i="3"/>
  <c r="AI10" i="3"/>
  <c r="AV20" i="3"/>
  <c r="DC9" i="3"/>
  <c r="O32" i="1"/>
  <c r="AX21" i="3"/>
  <c r="N18" i="1"/>
  <c r="DP20" i="3"/>
  <c r="AW9" i="3"/>
  <c r="N23" i="1"/>
  <c r="O39" i="1"/>
  <c r="O165" i="1"/>
  <c r="CD21" i="3"/>
  <c r="CV8" i="3"/>
  <c r="O146" i="1"/>
  <c r="D151" i="1"/>
  <c r="C73" i="1"/>
  <c r="C77" i="1"/>
  <c r="D182" i="1"/>
  <c r="D141" i="1"/>
  <c r="S16" i="1"/>
  <c r="CC7" i="3"/>
  <c r="D193" i="1"/>
  <c r="BA9" i="3"/>
  <c r="M17" i="2"/>
  <c r="CH10" i="3"/>
  <c r="S14" i="1"/>
  <c r="DE21" i="3"/>
  <c r="N14" i="1"/>
  <c r="D106" i="1"/>
  <c r="CB8" i="3"/>
  <c r="O16" i="1"/>
  <c r="BY20" i="3"/>
  <c r="O28" i="1"/>
  <c r="N65" i="1"/>
  <c r="N45" i="1"/>
  <c r="O47" i="1"/>
  <c r="DK21" i="3"/>
  <c r="BJ20" i="3"/>
  <c r="AN21" i="3"/>
  <c r="D168" i="1"/>
  <c r="BY8" i="3"/>
  <c r="BN20" i="3"/>
  <c r="N30" i="1"/>
  <c r="O139" i="1"/>
  <c r="AT22" i="3"/>
  <c r="D163" i="1"/>
  <c r="DQ23" i="3"/>
  <c r="CA22" i="3"/>
  <c r="N13" i="1"/>
  <c r="D82" i="1"/>
  <c r="D159" i="1"/>
  <c r="BA10" i="3"/>
  <c r="O170" i="1"/>
  <c r="N15" i="1"/>
  <c r="D21" i="1"/>
  <c r="S34" i="1"/>
  <c r="C44" i="1"/>
  <c r="BJ8" i="3"/>
  <c r="O87" i="1"/>
  <c r="S28" i="1"/>
  <c r="AJ21" i="3"/>
  <c r="D79" i="1"/>
  <c r="BH23" i="3"/>
  <c r="S58" i="1"/>
  <c r="DJ20" i="3"/>
  <c r="BW21" i="3"/>
  <c r="F14" i="2"/>
  <c r="D22" i="1"/>
  <c r="AE23" i="3"/>
  <c r="O78" i="1"/>
  <c r="D169" i="1"/>
  <c r="O161" i="1"/>
  <c r="O155" i="1"/>
  <c r="BX23" i="3"/>
  <c r="AG9" i="3"/>
  <c r="D58" i="1"/>
  <c r="C8" i="1"/>
  <c r="AN10" i="3"/>
  <c r="H9" i="1"/>
  <c r="AD22" i="3"/>
  <c r="AZ10" i="3"/>
  <c r="BK20" i="3"/>
  <c r="DK10" i="3"/>
  <c r="N41" i="1"/>
  <c r="AS7" i="3"/>
  <c r="AG10" i="3"/>
  <c r="BU20" i="3"/>
  <c r="CW8" i="3"/>
  <c r="BI9" i="3"/>
  <c r="D131" i="1"/>
  <c r="CO10" i="3"/>
  <c r="AX7" i="3"/>
  <c r="C15" i="2"/>
  <c r="C49" i="1"/>
  <c r="BX22" i="3"/>
  <c r="O124" i="1"/>
  <c r="CN8" i="3"/>
  <c r="CP21" i="3"/>
  <c r="AV22" i="3"/>
  <c r="L14" i="2"/>
  <c r="CN7" i="3"/>
  <c r="C36" i="1"/>
  <c r="O93" i="1"/>
  <c r="CY7" i="3"/>
  <c r="CM20" i="3"/>
  <c r="D78" i="1"/>
  <c r="DT7" i="3"/>
  <c r="D100" i="1"/>
  <c r="N67" i="1"/>
  <c r="S67" i="1"/>
  <c r="CW23" i="3"/>
  <c r="D33" i="1"/>
  <c r="D155" i="1"/>
  <c r="DL22" i="3"/>
  <c r="CL23" i="3"/>
  <c r="BU10" i="3"/>
  <c r="D13" i="2"/>
  <c r="O56" i="1"/>
  <c r="C59" i="1"/>
  <c r="S54" i="1"/>
  <c r="BV21" i="3"/>
  <c r="CD7" i="3"/>
  <c r="CP22" i="3"/>
  <c r="O86" i="1"/>
  <c r="N40" i="1"/>
  <c r="O99" i="1"/>
  <c r="O203" i="1"/>
  <c r="C34" i="1"/>
  <c r="S38" i="1"/>
  <c r="C22" i="1"/>
  <c r="AG21" i="3"/>
  <c r="S25" i="1"/>
  <c r="BX21" i="3"/>
  <c r="DQ20" i="3"/>
  <c r="BV10" i="3"/>
  <c r="D90" i="1"/>
  <c r="DQ9" i="3"/>
  <c r="C16" i="2"/>
  <c r="C70" i="1"/>
  <c r="D17" i="2"/>
  <c r="CR23" i="3"/>
  <c r="D175" i="1"/>
  <c r="D115" i="1"/>
  <c r="S66" i="1"/>
  <c r="DT8" i="3"/>
  <c r="D47" i="1"/>
  <c r="D194" i="1"/>
  <c r="C24" i="1"/>
  <c r="CJ7" i="3"/>
  <c r="AY22" i="3"/>
  <c r="C11" i="1"/>
  <c r="BV8" i="3"/>
  <c r="AK21" i="3"/>
  <c r="DN21" i="3"/>
  <c r="BT23" i="3"/>
  <c r="BZ21" i="3"/>
  <c r="S40" i="1"/>
  <c r="O172" i="1"/>
  <c r="S44" i="1"/>
  <c r="C13" i="1"/>
  <c r="S75" i="1"/>
  <c r="DN22" i="3"/>
  <c r="O194" i="1"/>
  <c r="O100" i="1"/>
  <c r="DO10" i="3"/>
  <c r="DC7" i="3"/>
  <c r="BW7" i="3"/>
  <c r="DN8" i="3"/>
  <c r="O57" i="1"/>
  <c r="O92" i="1"/>
  <c r="O90" i="1"/>
  <c r="DT23" i="3"/>
  <c r="AS23" i="3"/>
  <c r="AS9" i="3"/>
  <c r="AK9" i="3"/>
  <c r="D12" i="1"/>
  <c r="BZ7" i="3"/>
  <c r="C40" i="1"/>
  <c r="DO20" i="3"/>
  <c r="CC21" i="3"/>
  <c r="O196" i="1"/>
  <c r="BT8" i="3"/>
  <c r="CI8" i="3"/>
  <c r="O186" i="1"/>
  <c r="C20" i="1"/>
  <c r="O140" i="1"/>
  <c r="O15" i="1"/>
  <c r="N38" i="1"/>
  <c r="D30" i="1"/>
  <c r="O118" i="1"/>
  <c r="S39" i="1"/>
  <c r="S63" i="1"/>
  <c r="S30" i="1"/>
  <c r="O169" i="1"/>
  <c r="D62" i="1"/>
  <c r="DM20" i="3"/>
  <c r="N64" i="1"/>
  <c r="D88" i="1"/>
  <c r="BJ7" i="3"/>
  <c r="AY8" i="3"/>
  <c r="S71" i="1"/>
  <c r="O183" i="1"/>
  <c r="BM20" i="3"/>
  <c r="C64" i="1"/>
  <c r="D123" i="1"/>
  <c r="BO21" i="3"/>
  <c r="O89" i="1"/>
  <c r="AY21" i="3"/>
  <c r="AD7" i="3"/>
  <c r="C65" i="1"/>
  <c r="AF22" i="3"/>
  <c r="CM22" i="3"/>
  <c r="BP22" i="3"/>
  <c r="N61" i="1"/>
  <c r="N73" i="1"/>
  <c r="DP9" i="3"/>
  <c r="CC23" i="3"/>
  <c r="CL7" i="3"/>
  <c r="D16" i="1"/>
  <c r="AG7" i="3"/>
  <c r="C30" i="1"/>
  <c r="CX10" i="3"/>
  <c r="AM21" i="3"/>
  <c r="D121" i="1"/>
  <c r="S61" i="1"/>
  <c r="N24" i="1"/>
  <c r="J19" i="2"/>
  <c r="D24" i="1"/>
  <c r="CP20" i="3"/>
  <c r="L19" i="2"/>
  <c r="O180" i="1"/>
  <c r="DC10" i="3"/>
  <c r="BL10" i="3"/>
  <c r="O107" i="1"/>
  <c r="CN21" i="3"/>
  <c r="D60" i="1"/>
  <c r="O119" i="1"/>
  <c r="O195" i="1"/>
  <c r="N58" i="1"/>
  <c r="D138" i="1"/>
  <c r="AD21" i="3"/>
  <c r="O126" i="1"/>
  <c r="AD23" i="3"/>
  <c r="O65" i="1"/>
  <c r="DD8" i="3"/>
  <c r="AT23" i="3"/>
  <c r="C10" i="1"/>
  <c r="O120" i="1"/>
  <c r="S50" i="1"/>
  <c r="BM21" i="3"/>
  <c r="D135" i="1"/>
  <c r="DD10" i="3"/>
  <c r="D75" i="1"/>
  <c r="AT20" i="3"/>
  <c r="BW10" i="3"/>
  <c r="D97" i="1"/>
  <c r="AZ23" i="3"/>
  <c r="CC10" i="3"/>
  <c r="D139" i="1"/>
  <c r="O41" i="1"/>
  <c r="D195" i="1"/>
  <c r="D96" i="1"/>
  <c r="CH22" i="3"/>
  <c r="C18" i="2"/>
  <c r="DL9" i="3"/>
  <c r="DE7" i="3"/>
  <c r="BM9" i="3"/>
  <c r="O96" i="1"/>
  <c r="DL10" i="3"/>
  <c r="AD10" i="3"/>
  <c r="CX23" i="3"/>
  <c r="AE9" i="3"/>
  <c r="AG20" i="3"/>
  <c r="D167" i="1"/>
  <c r="D149" i="1"/>
  <c r="DQ7" i="3"/>
  <c r="CL22" i="3"/>
  <c r="D114" i="1"/>
  <c r="AX20" i="3"/>
  <c r="D81" i="1"/>
  <c r="C27" i="1"/>
  <c r="N62" i="1"/>
  <c r="D20" i="1"/>
  <c r="AU21" i="3"/>
  <c r="AS8" i="3"/>
  <c r="DP22" i="3"/>
  <c r="BK23" i="3"/>
  <c r="D35" i="1"/>
  <c r="D160" i="1"/>
  <c r="AN23" i="3"/>
  <c r="AL21" i="3"/>
  <c r="CY9" i="3"/>
  <c r="D19" i="1"/>
  <c r="DL20" i="3"/>
  <c r="D186" i="1"/>
  <c r="N28" i="1"/>
  <c r="BN22" i="3"/>
  <c r="O204" i="1"/>
  <c r="L13" i="2"/>
  <c r="CN23" i="3"/>
  <c r="CI20" i="3"/>
  <c r="S33" i="1"/>
  <c r="AT8" i="3"/>
  <c r="DK23" i="3"/>
  <c r="O179" i="1"/>
  <c r="BN21" i="3"/>
  <c r="D28" i="1"/>
  <c r="DD22" i="3"/>
  <c r="O79" i="1"/>
  <c r="O29" i="1"/>
  <c r="AL10" i="3"/>
  <c r="AM20" i="3"/>
  <c r="BX9" i="3"/>
  <c r="O111" i="1"/>
  <c r="C26" i="1"/>
  <c r="D91" i="1"/>
  <c r="BI20" i="3"/>
  <c r="CD9" i="3"/>
  <c r="AK10" i="3"/>
  <c r="CM23" i="3"/>
  <c r="N68" i="1"/>
  <c r="O24" i="1"/>
  <c r="BL20" i="3"/>
  <c r="CR21" i="3"/>
  <c r="DK8" i="3"/>
  <c r="DE22" i="3"/>
  <c r="O162" i="1"/>
  <c r="O185" i="1"/>
  <c r="DT21" i="3"/>
  <c r="DD21" i="3"/>
  <c r="D126" i="1"/>
  <c r="S29" i="1"/>
  <c r="BX10" i="3"/>
  <c r="C17" i="2"/>
  <c r="O13" i="1"/>
  <c r="C25" i="1"/>
  <c r="BU9" i="3"/>
  <c r="BF10" i="3"/>
  <c r="DB9" i="3"/>
  <c r="AN22" i="3"/>
  <c r="DS23" i="3"/>
  <c r="N50" i="1"/>
  <c r="D176" i="1"/>
  <c r="DB10" i="3"/>
  <c r="BG7" i="3"/>
  <c r="S21" i="1"/>
  <c r="AW10" i="3"/>
  <c r="D136" i="1"/>
  <c r="N60" i="1"/>
  <c r="AF10" i="3"/>
  <c r="AV21" i="3"/>
  <c r="D156" i="1"/>
  <c r="S19" i="1"/>
  <c r="O174" i="1"/>
  <c r="D31" i="1"/>
  <c r="DS20" i="3"/>
  <c r="S59" i="1"/>
  <c r="O8" i="1"/>
  <c r="E16" i="2"/>
  <c r="BP10" i="3"/>
  <c r="O43" i="1"/>
  <c r="BO22" i="3"/>
  <c r="CR7" i="3"/>
  <c r="C37" i="1"/>
  <c r="D92" i="1"/>
  <c r="CW20" i="3"/>
  <c r="D108" i="1"/>
  <c r="AR8" i="3"/>
  <c r="D174" i="1"/>
  <c r="O148" i="1"/>
  <c r="BG21" i="3"/>
  <c r="O131" i="1"/>
  <c r="BU8" i="3"/>
  <c r="C58" i="1"/>
  <c r="AY10" i="3"/>
  <c r="AW20" i="3"/>
  <c r="N35" i="1"/>
  <c r="D205" i="1"/>
  <c r="BY9" i="3"/>
  <c r="S23" i="1"/>
  <c r="S76" i="1"/>
  <c r="D158" i="1"/>
  <c r="O122" i="1"/>
  <c r="O182" i="1"/>
  <c r="BI21" i="3"/>
  <c r="O59" i="1"/>
  <c r="D94" i="1"/>
  <c r="D130" i="1"/>
  <c r="CK9" i="3"/>
  <c r="D196" i="1"/>
  <c r="C43" i="1"/>
  <c r="AV9" i="3"/>
  <c r="CV23" i="3"/>
  <c r="D197" i="1"/>
  <c r="AM22" i="3"/>
  <c r="N78" i="1"/>
  <c r="O159" i="1"/>
  <c r="CH9" i="3"/>
  <c r="O157" i="1"/>
  <c r="BG22" i="3"/>
  <c r="D23" i="1"/>
  <c r="D36" i="1"/>
  <c r="CV20" i="3"/>
  <c r="N59" i="1"/>
  <c r="O49" i="1"/>
  <c r="F16" i="2"/>
  <c r="DP10" i="3"/>
  <c r="BM10" i="3"/>
  <c r="CO23" i="3"/>
  <c r="CP7" i="3"/>
  <c r="CC9" i="3"/>
  <c r="S15" i="1"/>
  <c r="BO8" i="3"/>
  <c r="CW10" i="3"/>
  <c r="CH20" i="3"/>
  <c r="BN7" i="3"/>
  <c r="DF21" i="3"/>
  <c r="S45" i="1"/>
  <c r="CP8" i="3"/>
  <c r="D172" i="1"/>
  <c r="D49" i="1"/>
  <c r="D64" i="1"/>
  <c r="BL7" i="3"/>
  <c r="AL22" i="3"/>
  <c r="C68" i="1"/>
  <c r="AX22" i="3"/>
  <c r="O101" i="1"/>
  <c r="DN23" i="3"/>
  <c r="BU22" i="3"/>
  <c r="DO8" i="3"/>
  <c r="CP23" i="3"/>
  <c r="N46" i="1"/>
  <c r="N36" i="1"/>
  <c r="O34" i="1"/>
  <c r="BT21" i="3"/>
  <c r="O132" i="1"/>
  <c r="AL20" i="3"/>
  <c r="D18" i="2"/>
  <c r="O71" i="1"/>
  <c r="AL23" i="3"/>
  <c r="AW23" i="3"/>
  <c r="DF20" i="3"/>
  <c r="E13" i="2"/>
  <c r="CZ22" i="3"/>
  <c r="N8" i="1"/>
  <c r="C33" i="1"/>
  <c r="CJ23" i="3"/>
  <c r="O190" i="1"/>
  <c r="D13" i="1"/>
  <c r="BG8" i="3"/>
  <c r="N12" i="1"/>
  <c r="CJ8" i="3"/>
  <c r="N77" i="1"/>
  <c r="BY22" i="3"/>
  <c r="CX20" i="3"/>
  <c r="L15" i="2"/>
  <c r="AW22" i="3"/>
  <c r="CW7" i="3"/>
  <c r="AG22" i="3"/>
  <c r="AK23" i="3"/>
  <c r="DC20" i="3"/>
  <c r="O133" i="1"/>
  <c r="N55" i="1"/>
  <c r="CD10" i="3"/>
  <c r="C63" i="1"/>
  <c r="CY20" i="3"/>
  <c r="C29" i="1"/>
  <c r="O208" i="1"/>
  <c r="AD8" i="3"/>
  <c r="BO23" i="3"/>
  <c r="AI9" i="3"/>
  <c r="DM21" i="3"/>
  <c r="O44" i="1"/>
  <c r="C15" i="1"/>
  <c r="DK7" i="3"/>
  <c r="C19" i="2"/>
  <c r="D124" i="1"/>
  <c r="CL10" i="3"/>
  <c r="DQ21" i="3"/>
  <c r="O36" i="1"/>
  <c r="D137" i="1"/>
  <c r="N76" i="1"/>
  <c r="J16" i="2"/>
  <c r="D113" i="1"/>
  <c r="D42" i="1"/>
  <c r="O128" i="1"/>
  <c r="D83" i="1"/>
  <c r="DE9" i="3"/>
  <c r="O72" i="1"/>
  <c r="CI21" i="3"/>
  <c r="D46" i="1"/>
  <c r="D55" i="1"/>
  <c r="D142" i="1"/>
  <c r="D191" i="1"/>
  <c r="BH9" i="3"/>
  <c r="BG20" i="3"/>
  <c r="DT9" i="3"/>
  <c r="AZ8" i="3"/>
  <c r="D41" i="1"/>
  <c r="D53" i="1"/>
  <c r="S24" i="1"/>
  <c r="O83" i="1"/>
  <c r="AF21" i="3"/>
  <c r="BF22" i="3"/>
  <c r="CQ9" i="3"/>
  <c r="D70" i="1"/>
  <c r="CD20" i="3"/>
  <c r="D45" i="1"/>
  <c r="DM23" i="3"/>
  <c r="O88" i="1"/>
  <c r="DA20" i="3"/>
  <c r="DJ10" i="3"/>
  <c r="H10" i="1"/>
  <c r="CK7" i="3"/>
  <c r="O48" i="1"/>
  <c r="N10" i="1"/>
  <c r="DR21" i="3"/>
  <c r="AR23" i="3"/>
  <c r="O98" i="1"/>
  <c r="DL21" i="3"/>
  <c r="AL9" i="3"/>
  <c r="DK20" i="3"/>
  <c r="O25" i="1"/>
  <c r="AK7" i="3"/>
  <c r="N47" i="1"/>
  <c r="D15" i="2"/>
  <c r="AV10" i="3"/>
  <c r="AH23" i="3"/>
  <c r="F17" i="2"/>
  <c r="CH7" i="3"/>
  <c r="G13" i="2"/>
  <c r="I15" i="2"/>
  <c r="M14" i="2"/>
  <c r="AH21" i="3"/>
  <c r="O42" i="1"/>
  <c r="CN22" i="3"/>
  <c r="O114" i="1"/>
  <c r="DR9" i="3"/>
  <c r="C76" i="1"/>
  <c r="O177" i="1"/>
  <c r="DJ9" i="3"/>
  <c r="D127" i="1"/>
  <c r="O160" i="1"/>
  <c r="BM8" i="3"/>
  <c r="S65" i="1"/>
  <c r="D56" i="1"/>
  <c r="C55" i="1"/>
  <c r="D32" i="1"/>
  <c r="BZ22" i="3"/>
  <c r="DP23" i="3"/>
  <c r="BX20" i="3"/>
  <c r="BW20" i="3"/>
  <c r="CM21" i="3"/>
  <c r="BN23" i="3"/>
  <c r="AH22" i="3"/>
  <c r="BT9" i="3"/>
  <c r="O103" i="1"/>
  <c r="I17" i="2"/>
  <c r="C19" i="1"/>
  <c r="O192" i="1"/>
  <c r="J13" i="2"/>
  <c r="O63" i="1"/>
  <c r="BF8" i="3"/>
  <c r="N29" i="1"/>
  <c r="BA7" i="3"/>
  <c r="AI8" i="3"/>
  <c r="BP8" i="3"/>
  <c r="D72" i="1"/>
  <c r="BL21" i="3"/>
  <c r="CW22" i="3"/>
  <c r="I18" i="2"/>
  <c r="D177" i="1"/>
  <c r="C54" i="1"/>
  <c r="AZ20" i="3"/>
  <c r="S27" i="1"/>
  <c r="S22" i="1"/>
  <c r="CJ21" i="3"/>
  <c r="O11" i="1"/>
  <c r="C35" i="1"/>
  <c r="C66" i="1"/>
  <c r="DS7" i="3"/>
  <c r="AG23" i="3"/>
  <c r="BV23" i="3"/>
  <c r="O81" i="1"/>
  <c r="BH10" i="3"/>
  <c r="J17" i="2"/>
  <c r="H15" i="1"/>
  <c r="AT10" i="3"/>
  <c r="C38" i="1"/>
  <c r="CQ7" i="3"/>
  <c r="BM22" i="3"/>
  <c r="AM8" i="3"/>
  <c r="CK21" i="3"/>
  <c r="AI7" i="3"/>
  <c r="BM23" i="3"/>
  <c r="C60" i="1"/>
  <c r="O27" i="1"/>
  <c r="O199" i="1"/>
  <c r="G17" i="2"/>
  <c r="D187" i="1"/>
  <c r="N70" i="1"/>
  <c r="CM9" i="3"/>
  <c r="D144" i="1"/>
  <c r="BG23" i="3"/>
  <c r="AY9" i="3"/>
  <c r="C28" i="1"/>
  <c r="AZ21" i="3"/>
  <c r="S56" i="1"/>
  <c r="BB7" i="3"/>
  <c r="DC8" i="3"/>
  <c r="D202" i="1"/>
  <c r="CN20" i="3"/>
  <c r="BY23" i="3"/>
  <c r="F13" i="2"/>
  <c r="N57" i="1"/>
  <c r="BB9" i="3"/>
  <c r="H8" i="1"/>
  <c r="D104" i="1"/>
  <c r="D9" i="1"/>
  <c r="N44" i="1"/>
  <c r="CP10" i="3"/>
  <c r="D69" i="1"/>
  <c r="BT20" i="3"/>
  <c r="I13" i="2"/>
  <c r="D54" i="1"/>
  <c r="D165" i="1"/>
  <c r="N19" i="1"/>
  <c r="AJ20" i="3"/>
  <c r="BF20" i="3"/>
  <c r="H17" i="2"/>
  <c r="BH22" i="3"/>
  <c r="D57" i="1"/>
  <c r="S47" i="1"/>
  <c r="C45" i="1"/>
  <c r="E14" i="2"/>
  <c r="AD9" i="3"/>
  <c r="D178" i="1"/>
  <c r="BP23" i="3"/>
  <c r="O135" i="1"/>
  <c r="CO21" i="3"/>
  <c r="D112" i="1"/>
  <c r="D170" i="1"/>
  <c r="CO9" i="3"/>
  <c r="D16" i="2"/>
  <c r="AT9" i="3"/>
  <c r="C14" i="1"/>
  <c r="BA22" i="3"/>
  <c r="AM9" i="3"/>
  <c r="O184" i="1"/>
  <c r="N34" i="1"/>
  <c r="AH10" i="3"/>
  <c r="O95" i="1"/>
  <c r="BH21" i="3"/>
  <c r="C46" i="1"/>
  <c r="K14" i="2"/>
  <c r="CJ9" i="3"/>
  <c r="D52" i="1"/>
  <c r="CM7" i="3"/>
  <c r="DB20" i="3"/>
  <c r="DJ7" i="3"/>
  <c r="BK22" i="3"/>
  <c r="O200" i="1"/>
  <c r="BI8" i="3"/>
  <c r="AF9" i="3"/>
  <c r="DD23" i="3"/>
  <c r="AJ9" i="3"/>
  <c r="CV10" i="3"/>
  <c r="D66" i="1"/>
  <c r="AJ23" i="3"/>
  <c r="BY21" i="3"/>
  <c r="AW7" i="3"/>
  <c r="O158" i="1"/>
  <c r="M19" i="2"/>
  <c r="CH23" i="3"/>
  <c r="D204" i="1"/>
  <c r="BB23" i="3"/>
  <c r="BP7" i="3"/>
  <c r="D15" i="1"/>
  <c r="BB22" i="3"/>
  <c r="CW21" i="3"/>
  <c r="AJ22" i="3"/>
  <c r="AE8" i="3"/>
  <c r="D93" i="1"/>
  <c r="O50" i="1"/>
  <c r="D107" i="1"/>
  <c r="D73" i="1"/>
  <c r="D198" i="1"/>
  <c r="O104" i="1"/>
  <c r="AR20" i="3"/>
  <c r="BX8" i="3"/>
  <c r="C18" i="1"/>
  <c r="BW22" i="3"/>
  <c r="AW8" i="3"/>
  <c r="D34" i="1"/>
  <c r="DL23" i="3"/>
  <c r="D14" i="2"/>
  <c r="AF20" i="3"/>
  <c r="N37" i="1"/>
  <c r="D110" i="1"/>
  <c r="S36" i="1"/>
  <c r="C53" i="1"/>
  <c r="DR10" i="3"/>
  <c r="DF10" i="3"/>
  <c r="K15" i="2"/>
  <c r="D44" i="1"/>
  <c r="CZ20" i="3"/>
  <c r="O33" i="1"/>
  <c r="AZ22" i="3"/>
  <c r="CM10" i="3"/>
  <c r="CH21" i="3"/>
  <c r="DR8" i="3"/>
  <c r="BZ23" i="3"/>
  <c r="AE7" i="3"/>
  <c r="CZ7" i="3"/>
  <c r="CV22" i="3"/>
  <c r="O62" i="1"/>
  <c r="D98" i="1"/>
  <c r="D164" i="1"/>
  <c r="N26" i="1"/>
  <c r="O102" i="1"/>
  <c r="O110" i="1"/>
  <c r="BJ21" i="3"/>
  <c r="BA21" i="3"/>
  <c r="O68" i="1"/>
  <c r="N32" i="1"/>
  <c r="D40" i="1"/>
  <c r="D190" i="1"/>
  <c r="BT22" i="3"/>
  <c r="CI7" i="3"/>
  <c r="AF8" i="3"/>
  <c r="AF7" i="3"/>
  <c r="BA8" i="3"/>
  <c r="S64" i="1"/>
  <c r="CD22" i="3"/>
  <c r="CX7" i="3"/>
  <c r="D143" i="1"/>
  <c r="O156" i="1"/>
  <c r="BP9" i="3"/>
  <c r="AJ10" i="3"/>
  <c r="N42" i="1"/>
  <c r="O31" i="1"/>
  <c r="D67" i="1"/>
  <c r="S35" i="1"/>
  <c r="D134" i="1"/>
  <c r="D37" i="1"/>
  <c r="DC21" i="3"/>
  <c r="O163" i="1"/>
  <c r="AD20" i="3"/>
  <c r="D19" i="2"/>
  <c r="CX9" i="3"/>
  <c r="CZ23" i="3"/>
  <c r="C9" i="1"/>
  <c r="J14" i="2"/>
  <c r="CC20" i="3"/>
  <c r="C13" i="2"/>
  <c r="AE10" i="3"/>
  <c r="DP21" i="3"/>
  <c r="O35" i="1"/>
  <c r="D152" i="1"/>
  <c r="BN8" i="3"/>
  <c r="DT10" i="3"/>
  <c r="DT22" i="3"/>
  <c r="O67" i="1"/>
  <c r="DM22" i="3"/>
  <c r="DR20" i="3"/>
  <c r="DO7" i="3"/>
  <c r="S13" i="1"/>
  <c r="O116" i="1"/>
  <c r="N72" i="1"/>
  <c r="S60" i="1"/>
  <c r="O53" i="1"/>
  <c r="BT7" i="3"/>
  <c r="C71" i="1"/>
  <c r="D184" i="1"/>
  <c r="CY23" i="3"/>
  <c r="AU23" i="3"/>
  <c r="CZ9" i="3"/>
  <c r="AZ7" i="3"/>
  <c r="O152" i="1"/>
  <c r="DR22" i="3"/>
  <c r="D103" i="1"/>
  <c r="C69" i="1"/>
  <c r="DN10" i="3"/>
  <c r="DB7" i="3"/>
  <c r="DO21" i="3"/>
  <c r="N52" i="1"/>
  <c r="D39" i="1"/>
  <c r="AL7" i="3"/>
  <c r="DA23" i="3"/>
  <c r="AK8" i="3"/>
  <c r="O167" i="1"/>
  <c r="CI22" i="3"/>
  <c r="H13" i="1"/>
  <c r="D25" i="1"/>
  <c r="CJ22" i="3"/>
  <c r="BK9" i="3"/>
  <c r="S74" i="1"/>
  <c r="BF23" i="3"/>
  <c r="C74" i="1"/>
  <c r="O91" i="1"/>
  <c r="AN8" i="3"/>
  <c r="CY8" i="3"/>
  <c r="O113" i="1"/>
  <c r="O143" i="1"/>
  <c r="AR7" i="3"/>
  <c r="BV20" i="3"/>
  <c r="DM9" i="3"/>
  <c r="O115" i="1"/>
  <c r="BZ10" i="3"/>
  <c r="AR10" i="3"/>
  <c r="DB23" i="3"/>
  <c r="D59" i="1"/>
  <c r="D51" i="1"/>
  <c r="S31" i="1"/>
  <c r="D181" i="1"/>
  <c r="O141" i="1"/>
  <c r="CI23" i="3"/>
  <c r="CN9" i="3"/>
  <c r="AK20" i="3"/>
  <c r="DS21" i="3"/>
  <c r="DE10" i="3"/>
  <c r="S9" i="1"/>
  <c r="BV7" i="3"/>
  <c r="O97" i="1"/>
  <c r="CO7" i="3"/>
  <c r="AI20" i="3"/>
  <c r="I14" i="2"/>
  <c r="N63" i="1"/>
  <c r="O205" i="1"/>
  <c r="CB20" i="3"/>
  <c r="DA10" i="3"/>
  <c r="BB20" i="3"/>
  <c r="X22" i="3" l="1"/>
  <c r="U21" i="3"/>
  <c r="P34" i="1"/>
  <c r="T8" i="1"/>
  <c r="P61" i="1"/>
  <c r="Z9" i="3"/>
  <c r="Y22" i="3"/>
  <c r="P9" i="1"/>
  <c r="P8" i="3"/>
  <c r="P37" i="1"/>
  <c r="P57" i="1"/>
  <c r="P11" i="1"/>
  <c r="P18" i="1"/>
  <c r="P35" i="1"/>
  <c r="P26" i="1"/>
  <c r="Z22" i="3"/>
  <c r="W22" i="3"/>
  <c r="K13" i="1"/>
  <c r="Z10" i="3"/>
  <c r="P62" i="1"/>
  <c r="P51" i="1"/>
  <c r="T22" i="3"/>
  <c r="T10" i="3"/>
  <c r="W8" i="3"/>
  <c r="P49" i="1"/>
  <c r="P50" i="1"/>
  <c r="Y21" i="3"/>
  <c r="P60" i="1"/>
  <c r="S22" i="3"/>
  <c r="V21" i="3"/>
  <c r="P58" i="1"/>
  <c r="P72" i="1"/>
  <c r="P31" i="1"/>
  <c r="U22" i="3"/>
  <c r="S21" i="3"/>
  <c r="U8" i="3"/>
  <c r="P48" i="1"/>
  <c r="T20" i="3"/>
  <c r="R9" i="3"/>
  <c r="V8" i="3"/>
  <c r="R22" i="3"/>
  <c r="W20" i="3"/>
  <c r="P65" i="1"/>
  <c r="Z20" i="3"/>
  <c r="X9" i="3"/>
  <c r="P69" i="1"/>
  <c r="P75" i="1"/>
  <c r="S10" i="3"/>
  <c r="P71" i="1"/>
  <c r="P30" i="1"/>
  <c r="W21" i="3"/>
  <c r="Q10" i="3"/>
  <c r="U9" i="3"/>
  <c r="P64" i="1"/>
  <c r="X20" i="3"/>
  <c r="P29" i="1"/>
  <c r="P25" i="1"/>
  <c r="S8" i="3"/>
  <c r="Y9" i="3"/>
  <c r="T21" i="3"/>
  <c r="P10" i="1"/>
  <c r="P24" i="1"/>
  <c r="K12" i="1"/>
  <c r="P22" i="3"/>
  <c r="P17" i="1"/>
  <c r="P9" i="3"/>
  <c r="U20" i="3"/>
  <c r="P36" i="1"/>
  <c r="P19" i="1"/>
  <c r="P67" i="1"/>
  <c r="P10" i="3"/>
  <c r="Z21" i="3"/>
  <c r="P68" i="1"/>
  <c r="P23" i="1"/>
  <c r="P47" i="1"/>
  <c r="U10" i="3"/>
  <c r="Z8" i="3"/>
  <c r="P55" i="1"/>
  <c r="Q8" i="3"/>
  <c r="Y8" i="3"/>
  <c r="P20" i="3"/>
  <c r="T11" i="1"/>
  <c r="W9" i="3"/>
  <c r="P52" i="1"/>
  <c r="T14" i="1"/>
  <c r="P74" i="1"/>
  <c r="P40" i="1"/>
  <c r="X8" i="3"/>
  <c r="V20" i="3"/>
  <c r="P20" i="1"/>
  <c r="R8" i="3"/>
  <c r="P32" i="1"/>
  <c r="P46" i="1"/>
  <c r="P39" i="1"/>
  <c r="P12" i="1"/>
  <c r="T9" i="1"/>
  <c r="S9" i="3"/>
  <c r="V10" i="3"/>
  <c r="Y10" i="3"/>
  <c r="R20" i="3"/>
  <c r="P33" i="1"/>
  <c r="Q21" i="3"/>
  <c r="V9" i="3"/>
  <c r="P66" i="1"/>
  <c r="P73" i="1"/>
  <c r="P15" i="1"/>
  <c r="P63" i="1"/>
  <c r="P54" i="1"/>
  <c r="T9" i="3"/>
  <c r="P8" i="1"/>
  <c r="X10" i="3"/>
  <c r="P21" i="3"/>
  <c r="T10" i="1"/>
  <c r="P59" i="1"/>
  <c r="P56" i="1"/>
  <c r="P14" i="1"/>
  <c r="Q20" i="3"/>
  <c r="P45" i="1"/>
  <c r="V22" i="3"/>
  <c r="P77" i="1"/>
  <c r="P43" i="1"/>
  <c r="T12" i="1"/>
  <c r="P27" i="1"/>
  <c r="T8" i="3"/>
  <c r="Q22" i="3"/>
  <c r="S20" i="3"/>
  <c r="W10" i="3"/>
  <c r="P53" i="1"/>
  <c r="P22" i="1"/>
  <c r="Y20" i="3"/>
  <c r="P76" i="1"/>
  <c r="R10" i="3"/>
  <c r="P42" i="1"/>
  <c r="P44" i="1"/>
  <c r="K11" i="1"/>
  <c r="Q9" i="3"/>
  <c r="P16" i="1"/>
  <c r="K9" i="1"/>
  <c r="P38" i="1"/>
  <c r="P28" i="1"/>
  <c r="R21" i="3"/>
  <c r="T13" i="1"/>
  <c r="P13" i="1"/>
  <c r="P70" i="1"/>
  <c r="P41" i="1"/>
  <c r="X21" i="3"/>
  <c r="P21" i="1"/>
  <c r="K10" i="1"/>
  <c r="K14" i="1"/>
  <c r="AQ6" i="3"/>
  <c r="BE6" i="3"/>
  <c r="BS6" i="3"/>
  <c r="CG6" i="3"/>
  <c r="CU6" i="3"/>
  <c r="DI6" i="3"/>
  <c r="AC6" i="3"/>
  <c r="AB5" i="3"/>
  <c r="O5" i="3" s="1"/>
  <c r="V7" i="3"/>
  <c r="U7" i="3"/>
  <c r="T7" i="3"/>
  <c r="S7" i="3"/>
  <c r="W7" i="3"/>
  <c r="Y7" i="3"/>
  <c r="Q7" i="3"/>
  <c r="Z7" i="3"/>
  <c r="R7" i="3"/>
  <c r="X7" i="3"/>
  <c r="P7" i="3"/>
  <c r="S23" i="3"/>
  <c r="X23" i="3"/>
  <c r="R23" i="3"/>
  <c r="T23" i="3"/>
  <c r="W23" i="3"/>
  <c r="Y23" i="3"/>
  <c r="Z23" i="3"/>
  <c r="U23" i="3"/>
  <c r="P23" i="3"/>
  <c r="V23" i="3"/>
  <c r="Q23" i="3"/>
  <c r="DI24" i="3"/>
  <c r="CG24" i="3"/>
  <c r="CU24" i="3"/>
  <c r="BE24" i="3"/>
  <c r="AQ24" i="3"/>
  <c r="BS24" i="3"/>
  <c r="AC24" i="3"/>
  <c r="AB25" i="3"/>
  <c r="O25" i="3" s="1"/>
  <c r="T15" i="1"/>
  <c r="J15" i="1"/>
  <c r="K15" i="1" s="1"/>
  <c r="P78" i="1"/>
  <c r="AD6" i="3"/>
  <c r="AF24" i="3"/>
  <c r="CC6" i="3"/>
  <c r="DB6" i="3"/>
  <c r="CW24" i="3"/>
  <c r="AL6" i="3"/>
  <c r="BJ6" i="3"/>
  <c r="E20" i="2"/>
  <c r="BF24" i="3"/>
  <c r="AE24" i="3"/>
  <c r="BZ6" i="3"/>
  <c r="AT6" i="3"/>
  <c r="BP6" i="3"/>
  <c r="DJ6" i="3"/>
  <c r="CA24" i="3"/>
  <c r="BL24" i="3"/>
  <c r="CP6" i="3"/>
  <c r="BK24" i="3"/>
  <c r="BN6" i="3"/>
  <c r="AU6" i="3"/>
  <c r="AI6" i="3"/>
  <c r="CR6" i="3"/>
  <c r="AT24" i="3"/>
  <c r="AL24" i="3"/>
  <c r="CJ6" i="3"/>
  <c r="AM6" i="3"/>
  <c r="AV6" i="3"/>
  <c r="CN6" i="3"/>
  <c r="AJ6" i="3"/>
  <c r="CB6" i="3"/>
  <c r="I20" i="2"/>
  <c r="DT6" i="3"/>
  <c r="BN24" i="3"/>
  <c r="CW6" i="3"/>
  <c r="AR6" i="3"/>
  <c r="CL6" i="3"/>
  <c r="AX6" i="3"/>
  <c r="CQ24" i="3"/>
  <c r="CH24" i="3"/>
  <c r="CL24" i="3"/>
  <c r="L20" i="2"/>
  <c r="CD6" i="3"/>
  <c r="DL24" i="3"/>
  <c r="DA6" i="3"/>
  <c r="AV24" i="3"/>
  <c r="CP24" i="3"/>
  <c r="AI24" i="3"/>
  <c r="BH24" i="3"/>
  <c r="BO24" i="3"/>
  <c r="AD24" i="3"/>
  <c r="DC6" i="3"/>
  <c r="DF6" i="3"/>
  <c r="BM24" i="3"/>
  <c r="BV24" i="3"/>
  <c r="S79" i="1"/>
  <c r="DE24" i="3"/>
  <c r="DK6" i="3"/>
  <c r="BW24" i="3"/>
  <c r="D20" i="2"/>
  <c r="CI6" i="3"/>
  <c r="BA6" i="3"/>
  <c r="BM6" i="3"/>
  <c r="DQ24" i="3"/>
  <c r="AM24" i="3"/>
  <c r="BL6" i="3"/>
  <c r="BK6" i="3"/>
  <c r="CV24" i="3"/>
  <c r="BT24" i="3"/>
  <c r="AH6" i="3"/>
  <c r="DK24" i="3"/>
  <c r="AK6" i="3"/>
  <c r="BT6" i="3"/>
  <c r="CV6" i="3"/>
  <c r="CK6" i="3"/>
  <c r="CB24" i="3"/>
  <c r="CM6" i="3"/>
  <c r="BI6" i="3"/>
  <c r="DJ24" i="3"/>
  <c r="BP24" i="3"/>
  <c r="BX6" i="3"/>
  <c r="DD24" i="3"/>
  <c r="AE6" i="3"/>
  <c r="CY24" i="3"/>
  <c r="CZ6" i="3"/>
  <c r="BG6" i="3"/>
  <c r="BW6" i="3"/>
  <c r="DN24" i="3"/>
  <c r="DM6" i="3"/>
  <c r="BO6" i="3"/>
  <c r="CC24" i="3"/>
  <c r="AU24" i="3"/>
  <c r="DT24" i="3"/>
  <c r="BY6" i="3"/>
  <c r="DO6" i="3"/>
  <c r="AZ6" i="3"/>
  <c r="AN6" i="3"/>
  <c r="CY6" i="3"/>
  <c r="DN6" i="3"/>
  <c r="CO6" i="3"/>
  <c r="DS24" i="3"/>
  <c r="DR24" i="3"/>
  <c r="AG6" i="3"/>
  <c r="CH6" i="3"/>
  <c r="BJ24" i="3"/>
  <c r="BX24" i="3"/>
  <c r="BG24" i="3"/>
  <c r="DE6" i="3"/>
  <c r="AF6" i="3"/>
  <c r="G20" i="2"/>
  <c r="AX24" i="3"/>
  <c r="BV6" i="3"/>
  <c r="F20" i="2"/>
  <c r="BY24" i="3"/>
  <c r="CR24" i="3"/>
  <c r="AS6" i="3"/>
  <c r="BZ24" i="3"/>
  <c r="J20" i="2"/>
  <c r="AH24" i="3"/>
  <c r="AN24" i="3"/>
  <c r="CK24" i="3"/>
  <c r="DC24" i="3"/>
  <c r="BB24" i="3"/>
  <c r="BB6" i="3"/>
  <c r="CX6" i="3"/>
  <c r="DA24" i="3"/>
  <c r="DP24" i="3"/>
  <c r="DP6" i="3"/>
  <c r="BI24" i="3"/>
  <c r="BU6" i="3"/>
  <c r="CN24" i="3"/>
  <c r="AY24" i="3"/>
  <c r="K20" i="2"/>
  <c r="DR6" i="3"/>
  <c r="DL6" i="3"/>
  <c r="AJ24" i="3"/>
  <c r="C20" i="2"/>
  <c r="AG24" i="3"/>
  <c r="AS24" i="3"/>
  <c r="CZ24" i="3"/>
  <c r="BA24" i="3"/>
  <c r="DD6" i="3"/>
  <c r="CA6" i="3"/>
  <c r="AW6" i="3"/>
  <c r="CM24" i="3"/>
  <c r="BF6" i="3"/>
  <c r="CI24" i="3"/>
  <c r="N79" i="1"/>
  <c r="CD24" i="3"/>
  <c r="DQ6" i="3"/>
  <c r="DO24" i="3"/>
  <c r="BH6" i="3"/>
  <c r="DF24" i="3"/>
  <c r="AR24" i="3"/>
  <c r="DB24" i="3"/>
  <c r="AZ24" i="3"/>
  <c r="BU24" i="3"/>
  <c r="C79" i="1"/>
  <c r="AW24" i="3"/>
  <c r="CO24" i="3"/>
  <c r="DS6" i="3"/>
  <c r="AK24" i="3"/>
  <c r="M20" i="2"/>
  <c r="DM24" i="3"/>
  <c r="CJ24" i="3"/>
  <c r="CQ6" i="3"/>
  <c r="H16" i="1"/>
  <c r="CX24" i="3"/>
  <c r="AY6" i="3"/>
  <c r="BE5" i="3" l="1"/>
  <c r="DI5" i="3"/>
  <c r="CG5" i="3"/>
  <c r="BS5" i="3"/>
  <c r="AC5" i="3"/>
  <c r="W6" i="3"/>
  <c r="Y6" i="3"/>
  <c r="X6" i="3"/>
  <c r="V6" i="3"/>
  <c r="P6" i="3"/>
  <c r="Q6" i="3"/>
  <c r="Z6" i="3"/>
  <c r="R6" i="3"/>
  <c r="U6" i="3"/>
  <c r="T6" i="3"/>
  <c r="S6" i="3"/>
  <c r="AQ5" i="3"/>
  <c r="CU5" i="3"/>
  <c r="P24" i="3"/>
  <c r="X24" i="3"/>
  <c r="Q24" i="3"/>
  <c r="Y24" i="3"/>
  <c r="U24" i="3"/>
  <c r="R24" i="3"/>
  <c r="Z24" i="3"/>
  <c r="T24" i="3"/>
  <c r="V24" i="3"/>
  <c r="S24" i="3"/>
  <c r="W24" i="3"/>
  <c r="AC25" i="3"/>
  <c r="CU25" i="3"/>
  <c r="BS25" i="3"/>
  <c r="CG25" i="3"/>
  <c r="AQ25" i="3"/>
  <c r="DI25" i="3"/>
  <c r="BE25" i="3"/>
  <c r="T16" i="1"/>
  <c r="J16" i="1"/>
  <c r="K16" i="1" s="1"/>
  <c r="P79" i="1"/>
  <c r="BJ5" i="3"/>
  <c r="DC5" i="3"/>
  <c r="AM25" i="3"/>
  <c r="AI5" i="3"/>
  <c r="CZ5" i="3"/>
  <c r="AT5" i="3"/>
  <c r="AH25" i="3"/>
  <c r="AD5" i="3"/>
  <c r="CY25" i="3"/>
  <c r="AF5" i="3"/>
  <c r="DB25" i="3"/>
  <c r="CH25" i="3"/>
  <c r="CO25" i="3"/>
  <c r="AZ25" i="3"/>
  <c r="BN25" i="3"/>
  <c r="CD5" i="3"/>
  <c r="BG25" i="3"/>
  <c r="DS5" i="3"/>
  <c r="CM5" i="3"/>
  <c r="AD25" i="3"/>
  <c r="DC25" i="3"/>
  <c r="CO5" i="3"/>
  <c r="BZ5" i="3"/>
  <c r="CB25" i="3"/>
  <c r="AY25" i="3"/>
  <c r="CW25" i="3"/>
  <c r="DO25" i="3"/>
  <c r="AW25" i="3"/>
  <c r="AY5" i="3"/>
  <c r="DE5" i="3"/>
  <c r="C80" i="1"/>
  <c r="DR5" i="3"/>
  <c r="DT5" i="3"/>
  <c r="CP25" i="3"/>
  <c r="AU25" i="3"/>
  <c r="BB5" i="3"/>
  <c r="BT25" i="3"/>
  <c r="BX5" i="3"/>
  <c r="BJ25" i="3"/>
  <c r="AN25" i="3"/>
  <c r="CN5" i="3"/>
  <c r="BF25" i="3"/>
  <c r="BU25" i="3"/>
  <c r="BK5" i="3"/>
  <c r="AE5" i="3"/>
  <c r="AR25" i="3"/>
  <c r="AU5" i="3"/>
  <c r="DR25" i="3"/>
  <c r="DO5" i="3"/>
  <c r="BV25" i="3"/>
  <c r="CB5" i="3"/>
  <c r="BP5" i="3"/>
  <c r="AL5" i="3"/>
  <c r="CY5" i="3"/>
  <c r="CC5" i="3"/>
  <c r="DP25" i="3"/>
  <c r="BF5" i="3"/>
  <c r="AR5" i="3"/>
  <c r="BI5" i="3"/>
  <c r="CA25" i="3"/>
  <c r="BT5" i="3"/>
  <c r="BH25" i="3"/>
  <c r="CR5" i="3"/>
  <c r="AJ5" i="3"/>
  <c r="CH5" i="3"/>
  <c r="AH5" i="3"/>
  <c r="AK25" i="3"/>
  <c r="CN25" i="3"/>
  <c r="AF25" i="3"/>
  <c r="CI25" i="3"/>
  <c r="DA25" i="3"/>
  <c r="DS25" i="3"/>
  <c r="BK25" i="3"/>
  <c r="AG5" i="3"/>
  <c r="CZ25" i="3"/>
  <c r="CK5" i="3"/>
  <c r="CL25" i="3"/>
  <c r="BV5" i="3"/>
  <c r="DB5" i="3"/>
  <c r="BP25" i="3"/>
  <c r="DQ25" i="3"/>
  <c r="DL5" i="3"/>
  <c r="AX5" i="3"/>
  <c r="AN5" i="3"/>
  <c r="BZ25" i="3"/>
  <c r="DE25" i="3"/>
  <c r="S80" i="1"/>
  <c r="AW5" i="3"/>
  <c r="AM5" i="3"/>
  <c r="DJ25" i="3"/>
  <c r="BU5" i="3"/>
  <c r="DM25" i="3"/>
  <c r="DF25" i="3"/>
  <c r="AS25" i="3"/>
  <c r="AJ25" i="3"/>
  <c r="CR25" i="3"/>
  <c r="CQ5" i="3"/>
  <c r="DA5" i="3"/>
  <c r="BY5" i="3"/>
  <c r="BM5" i="3"/>
  <c r="DN25" i="3"/>
  <c r="DD25" i="3"/>
  <c r="BW25" i="3"/>
  <c r="BM25" i="3"/>
  <c r="AK5" i="3"/>
  <c r="CQ25" i="3"/>
  <c r="AV5" i="3"/>
  <c r="CM25" i="3"/>
  <c r="CJ25" i="3"/>
  <c r="AX25" i="3"/>
  <c r="CX25" i="3"/>
  <c r="AL25" i="3"/>
  <c r="CC25" i="3"/>
  <c r="AS5" i="3"/>
  <c r="BN5" i="3"/>
  <c r="AV25" i="3"/>
  <c r="DL25" i="3"/>
  <c r="AT25" i="3"/>
  <c r="BX25" i="3"/>
  <c r="DK5" i="3"/>
  <c r="BL5" i="3"/>
  <c r="BA5" i="3"/>
  <c r="CJ5" i="3"/>
  <c r="BA25" i="3"/>
  <c r="CV5" i="3"/>
  <c r="BO25" i="3"/>
  <c r="DT25" i="3"/>
  <c r="CI5" i="3"/>
  <c r="CK25" i="3"/>
  <c r="DN5" i="3"/>
  <c r="DK25" i="3"/>
  <c r="BH5" i="3"/>
  <c r="AE25" i="3"/>
  <c r="BO5" i="3"/>
  <c r="AZ5" i="3"/>
  <c r="BW5" i="3"/>
  <c r="CP5" i="3"/>
  <c r="BB25" i="3"/>
  <c r="BY25" i="3"/>
  <c r="CD25" i="3"/>
  <c r="DJ5" i="3"/>
  <c r="H17" i="1"/>
  <c r="DD5" i="3"/>
  <c r="CX5" i="3"/>
  <c r="CW5" i="3"/>
  <c r="BI25" i="3"/>
  <c r="DM5" i="3"/>
  <c r="CA5" i="3"/>
  <c r="AG25" i="3"/>
  <c r="CV25" i="3"/>
  <c r="DF5" i="3"/>
  <c r="BG5" i="3"/>
  <c r="DP5" i="3"/>
  <c r="CL5" i="3"/>
  <c r="DQ5" i="3"/>
  <c r="AI25" i="3"/>
  <c r="BL25" i="3"/>
  <c r="N80" i="1"/>
  <c r="S5" i="3" l="1"/>
  <c r="T5" i="3"/>
  <c r="Z5" i="3"/>
  <c r="R5" i="3"/>
  <c r="Q5" i="3"/>
  <c r="Y5" i="3"/>
  <c r="U5" i="3"/>
  <c r="P5" i="3"/>
  <c r="W5" i="3"/>
  <c r="X5" i="3"/>
  <c r="V5" i="3"/>
  <c r="U25" i="3"/>
  <c r="Y25" i="3"/>
  <c r="S25" i="3"/>
  <c r="V25" i="3"/>
  <c r="W25" i="3"/>
  <c r="Z25" i="3"/>
  <c r="T25" i="3"/>
  <c r="P25" i="3"/>
  <c r="X25" i="3"/>
  <c r="Q25" i="3"/>
  <c r="R25" i="3"/>
  <c r="T17" i="1"/>
  <c r="J17" i="1"/>
  <c r="K17" i="1" s="1"/>
  <c r="P80" i="1"/>
  <c r="S81" i="1"/>
  <c r="H18" i="1"/>
  <c r="C81" i="1"/>
  <c r="N81" i="1"/>
  <c r="T18" i="1" l="1"/>
  <c r="J18" i="1"/>
  <c r="K18" i="1" s="1"/>
  <c r="P81" i="1"/>
  <c r="N82" i="1"/>
  <c r="C82" i="1"/>
  <c r="S82" i="1"/>
  <c r="H19" i="1"/>
  <c r="T19" i="1" l="1"/>
  <c r="J19" i="1"/>
  <c r="K19" i="1" s="1"/>
  <c r="P82" i="1"/>
  <c r="S83" i="1"/>
  <c r="N83" i="1"/>
  <c r="H20" i="1"/>
  <c r="C83" i="1"/>
  <c r="T20" i="1" l="1"/>
  <c r="J20" i="1"/>
  <c r="K20" i="1" s="1"/>
  <c r="P83" i="1"/>
  <c r="S84" i="1"/>
  <c r="H21" i="1"/>
  <c r="C84" i="1"/>
  <c r="N84" i="1"/>
  <c r="T21" i="1" l="1"/>
  <c r="J21" i="1"/>
  <c r="K21" i="1" s="1"/>
  <c r="P84" i="1"/>
  <c r="N85" i="1"/>
  <c r="C85" i="1"/>
  <c r="H22" i="1"/>
  <c r="S85" i="1"/>
  <c r="T22" i="1" l="1"/>
  <c r="J22" i="1"/>
  <c r="K22" i="1" s="1"/>
  <c r="P85" i="1"/>
  <c r="S86" i="1"/>
  <c r="H23" i="1"/>
  <c r="N86" i="1"/>
  <c r="C86" i="1"/>
  <c r="T23" i="1" l="1"/>
  <c r="J23" i="1"/>
  <c r="K23" i="1" s="1"/>
  <c r="P86" i="1"/>
  <c r="N87" i="1"/>
  <c r="C87" i="1"/>
  <c r="S87" i="1"/>
  <c r="H24" i="1"/>
  <c r="T24" i="1" l="1"/>
  <c r="J24" i="1"/>
  <c r="K24" i="1" s="1"/>
  <c r="P87" i="1"/>
  <c r="S88" i="1"/>
  <c r="C88" i="1"/>
  <c r="H25" i="1"/>
  <c r="N88" i="1"/>
  <c r="T25" i="1" l="1"/>
  <c r="J25" i="1"/>
  <c r="K25" i="1" s="1"/>
  <c r="P88" i="1"/>
  <c r="N89" i="1"/>
  <c r="C89" i="1"/>
  <c r="S89" i="1"/>
  <c r="H26" i="1"/>
  <c r="T26" i="1" l="1"/>
  <c r="J26" i="1"/>
  <c r="K26" i="1" s="1"/>
  <c r="P89" i="1"/>
  <c r="N90" i="1"/>
  <c r="S90" i="1"/>
  <c r="H27" i="1"/>
  <c r="C90" i="1"/>
  <c r="T27" i="1" l="1"/>
  <c r="J27" i="1"/>
  <c r="K27" i="1" s="1"/>
  <c r="P90" i="1"/>
  <c r="N91" i="1"/>
  <c r="H28" i="1"/>
  <c r="S91" i="1"/>
  <c r="C91" i="1"/>
  <c r="T28" i="1" l="1"/>
  <c r="J28" i="1"/>
  <c r="K28" i="1" s="1"/>
  <c r="P91" i="1"/>
  <c r="N92" i="1"/>
  <c r="S92" i="1"/>
  <c r="C92" i="1"/>
  <c r="H29" i="1"/>
  <c r="T29" i="1" l="1"/>
  <c r="J29" i="1"/>
  <c r="K29" i="1" s="1"/>
  <c r="P92" i="1"/>
  <c r="H30" i="1"/>
  <c r="S93" i="1"/>
  <c r="C93" i="1"/>
  <c r="N93" i="1"/>
  <c r="T30" i="1" l="1"/>
  <c r="J30" i="1"/>
  <c r="K30" i="1" s="1"/>
  <c r="P93" i="1"/>
  <c r="S94" i="1"/>
  <c r="C94" i="1"/>
  <c r="N94" i="1"/>
  <c r="H31" i="1"/>
  <c r="T31" i="1" l="1"/>
  <c r="J31" i="1"/>
  <c r="K31" i="1" s="1"/>
  <c r="P94" i="1"/>
  <c r="S95" i="1"/>
  <c r="C95" i="1"/>
  <c r="N95" i="1"/>
  <c r="H32" i="1"/>
  <c r="T32" i="1" l="1"/>
  <c r="J32" i="1"/>
  <c r="K32" i="1" s="1"/>
  <c r="P95" i="1"/>
  <c r="C96" i="1"/>
  <c r="H33" i="1"/>
  <c r="S96" i="1"/>
  <c r="N96" i="1"/>
  <c r="T33" i="1" l="1"/>
  <c r="J33" i="1"/>
  <c r="K33" i="1" s="1"/>
  <c r="P96" i="1"/>
  <c r="S97" i="1"/>
  <c r="C97" i="1"/>
  <c r="N97" i="1"/>
  <c r="H34" i="1"/>
  <c r="T34" i="1" l="1"/>
  <c r="J34" i="1"/>
  <c r="K34" i="1" s="1"/>
  <c r="P97" i="1"/>
  <c r="C98" i="1"/>
  <c r="N98" i="1"/>
  <c r="H35" i="1"/>
  <c r="S98" i="1"/>
  <c r="T35" i="1" l="1"/>
  <c r="J35" i="1"/>
  <c r="K35" i="1" s="1"/>
  <c r="P98" i="1"/>
  <c r="C99" i="1"/>
  <c r="H36" i="1"/>
  <c r="S99" i="1"/>
  <c r="N99" i="1"/>
  <c r="T36" i="1" l="1"/>
  <c r="J36" i="1"/>
  <c r="K36" i="1" s="1"/>
  <c r="P99" i="1"/>
  <c r="S100" i="1"/>
  <c r="N100" i="1"/>
  <c r="H37" i="1"/>
  <c r="C100" i="1"/>
  <c r="T37" i="1" l="1"/>
  <c r="J37" i="1"/>
  <c r="K37" i="1" s="1"/>
  <c r="P100" i="1"/>
  <c r="H38" i="1"/>
  <c r="S101" i="1"/>
  <c r="N101" i="1"/>
  <c r="C101" i="1"/>
  <c r="T38" i="1" l="1"/>
  <c r="J38" i="1"/>
  <c r="K38" i="1" s="1"/>
  <c r="P101" i="1"/>
  <c r="H39" i="1"/>
  <c r="N102" i="1"/>
  <c r="S102" i="1"/>
  <c r="C102" i="1"/>
  <c r="T39" i="1" l="1"/>
  <c r="J39" i="1"/>
  <c r="K39" i="1" s="1"/>
  <c r="P102" i="1"/>
  <c r="S103" i="1"/>
  <c r="N103" i="1"/>
  <c r="H40" i="1"/>
  <c r="C103" i="1"/>
  <c r="T40" i="1" l="1"/>
  <c r="J40" i="1"/>
  <c r="K40" i="1" s="1"/>
  <c r="P103" i="1"/>
  <c r="H41" i="1"/>
  <c r="N104" i="1"/>
  <c r="S104" i="1"/>
  <c r="C104" i="1"/>
  <c r="T41" i="1" l="1"/>
  <c r="J41" i="1"/>
  <c r="K41" i="1" s="1"/>
  <c r="P104" i="1"/>
  <c r="H42" i="1"/>
  <c r="C105" i="1"/>
  <c r="S105" i="1"/>
  <c r="N105" i="1"/>
  <c r="T42" i="1" l="1"/>
  <c r="J42" i="1"/>
  <c r="K42" i="1" s="1"/>
  <c r="P105" i="1"/>
  <c r="H43" i="1"/>
  <c r="N106" i="1"/>
  <c r="C106" i="1"/>
  <c r="S106" i="1"/>
  <c r="T43" i="1" l="1"/>
  <c r="J43" i="1"/>
  <c r="K43" i="1" s="1"/>
  <c r="P106" i="1"/>
  <c r="H44" i="1"/>
  <c r="N107" i="1"/>
  <c r="C107" i="1"/>
  <c r="S107" i="1"/>
  <c r="T44" i="1" l="1"/>
  <c r="J44" i="1"/>
  <c r="K44" i="1" s="1"/>
  <c r="P107" i="1"/>
  <c r="H45" i="1"/>
  <c r="S108" i="1"/>
  <c r="C108" i="1"/>
  <c r="N108" i="1"/>
  <c r="T45" i="1" l="1"/>
  <c r="J45" i="1"/>
  <c r="K45" i="1" s="1"/>
  <c r="P108" i="1"/>
  <c r="C109" i="1"/>
  <c r="N109" i="1"/>
  <c r="H46" i="1"/>
  <c r="S109" i="1"/>
  <c r="T46" i="1" l="1"/>
  <c r="J46" i="1"/>
  <c r="K46" i="1" s="1"/>
  <c r="P109" i="1"/>
  <c r="C110" i="1"/>
  <c r="N110" i="1"/>
  <c r="H47" i="1"/>
  <c r="S110" i="1"/>
  <c r="T47" i="1" l="1"/>
  <c r="J47" i="1"/>
  <c r="K47" i="1" s="1"/>
  <c r="P110" i="1"/>
  <c r="C111" i="1"/>
  <c r="S111" i="1"/>
  <c r="H48" i="1"/>
  <c r="N111" i="1"/>
  <c r="T48" i="1" l="1"/>
  <c r="J48" i="1"/>
  <c r="K48" i="1" s="1"/>
  <c r="P111" i="1"/>
  <c r="H49" i="1"/>
  <c r="C112" i="1"/>
  <c r="N112" i="1"/>
  <c r="S112" i="1"/>
  <c r="T49" i="1" l="1"/>
  <c r="J49" i="1"/>
  <c r="K49" i="1" s="1"/>
  <c r="P112" i="1"/>
  <c r="S113" i="1"/>
  <c r="N113" i="1"/>
  <c r="H50" i="1"/>
  <c r="C113" i="1"/>
  <c r="T50" i="1" l="1"/>
  <c r="J50" i="1"/>
  <c r="K50" i="1" s="1"/>
  <c r="P113" i="1"/>
  <c r="C114" i="1"/>
  <c r="S114" i="1"/>
  <c r="N114" i="1"/>
  <c r="H51" i="1"/>
  <c r="T51" i="1" l="1"/>
  <c r="J51" i="1"/>
  <c r="K51" i="1" s="1"/>
  <c r="P114" i="1"/>
  <c r="H52" i="1"/>
  <c r="C115" i="1"/>
  <c r="N115" i="1"/>
  <c r="S115" i="1"/>
  <c r="T52" i="1" l="1"/>
  <c r="J52" i="1"/>
  <c r="K52" i="1" s="1"/>
  <c r="P115" i="1"/>
  <c r="N116" i="1"/>
  <c r="S116" i="1"/>
  <c r="H53" i="1"/>
  <c r="C116" i="1"/>
  <c r="T53" i="1" l="1"/>
  <c r="J53" i="1"/>
  <c r="K53" i="1" s="1"/>
  <c r="P116" i="1"/>
  <c r="H54" i="1"/>
  <c r="S117" i="1"/>
  <c r="C117" i="1"/>
  <c r="N117" i="1"/>
  <c r="T54" i="1" l="1"/>
  <c r="J54" i="1"/>
  <c r="K54" i="1" s="1"/>
  <c r="P117" i="1"/>
  <c r="C118" i="1"/>
  <c r="H55" i="1"/>
  <c r="S118" i="1"/>
  <c r="N118" i="1"/>
  <c r="T55" i="1" l="1"/>
  <c r="J55" i="1"/>
  <c r="K55" i="1" s="1"/>
  <c r="P118" i="1"/>
  <c r="S119" i="1"/>
  <c r="H56" i="1"/>
  <c r="N119" i="1"/>
  <c r="C119" i="1"/>
  <c r="T56" i="1" l="1"/>
  <c r="J56" i="1"/>
  <c r="K56" i="1" s="1"/>
  <c r="P119" i="1"/>
  <c r="N120" i="1"/>
  <c r="S120" i="1"/>
  <c r="C120" i="1"/>
  <c r="H57" i="1"/>
  <c r="T57" i="1" l="1"/>
  <c r="J57" i="1"/>
  <c r="K57" i="1" s="1"/>
  <c r="P120" i="1"/>
  <c r="C121" i="1"/>
  <c r="N121" i="1"/>
  <c r="H58" i="1"/>
  <c r="S121" i="1"/>
  <c r="T58" i="1" l="1"/>
  <c r="J58" i="1"/>
  <c r="K58" i="1" s="1"/>
  <c r="P121" i="1"/>
  <c r="C122" i="1"/>
  <c r="N122" i="1"/>
  <c r="H59" i="1"/>
  <c r="S122" i="1"/>
  <c r="T59" i="1" l="1"/>
  <c r="J59" i="1"/>
  <c r="K59" i="1" s="1"/>
  <c r="P122" i="1"/>
  <c r="S123" i="1"/>
  <c r="H60" i="1"/>
  <c r="C123" i="1"/>
  <c r="N123" i="1"/>
  <c r="T60" i="1" l="1"/>
  <c r="J60" i="1"/>
  <c r="K60" i="1" s="1"/>
  <c r="P123" i="1"/>
  <c r="H61" i="1"/>
  <c r="N124" i="1"/>
  <c r="S124" i="1"/>
  <c r="C124" i="1"/>
  <c r="T61" i="1" l="1"/>
  <c r="J61" i="1"/>
  <c r="K61" i="1" s="1"/>
  <c r="P124" i="1"/>
  <c r="C125" i="1"/>
  <c r="H62" i="1"/>
  <c r="N125" i="1"/>
  <c r="S125" i="1"/>
  <c r="T62" i="1" l="1"/>
  <c r="J62" i="1"/>
  <c r="K62" i="1" s="1"/>
  <c r="P125" i="1"/>
  <c r="N126" i="1"/>
  <c r="H63" i="1"/>
  <c r="C126" i="1"/>
  <c r="S126" i="1"/>
  <c r="T63" i="1" l="1"/>
  <c r="J63" i="1"/>
  <c r="K63" i="1" s="1"/>
  <c r="P126" i="1"/>
  <c r="C127" i="1"/>
  <c r="N127" i="1"/>
  <c r="S127" i="1"/>
  <c r="H64" i="1"/>
  <c r="T64" i="1" l="1"/>
  <c r="J64" i="1"/>
  <c r="K64" i="1" s="1"/>
  <c r="P127" i="1"/>
  <c r="S128" i="1"/>
  <c r="H65" i="1"/>
  <c r="N128" i="1"/>
  <c r="C128" i="1"/>
  <c r="T65" i="1" l="1"/>
  <c r="J65" i="1"/>
  <c r="K65" i="1" s="1"/>
  <c r="P128" i="1"/>
  <c r="C129" i="1"/>
  <c r="H66" i="1"/>
  <c r="S129" i="1"/>
  <c r="N129" i="1"/>
  <c r="T66" i="1" l="1"/>
  <c r="J66" i="1"/>
  <c r="K66" i="1" s="1"/>
  <c r="P129" i="1"/>
  <c r="C130" i="1"/>
  <c r="S130" i="1"/>
  <c r="H67" i="1"/>
  <c r="N130" i="1"/>
  <c r="T67" i="1" l="1"/>
  <c r="J67" i="1"/>
  <c r="K67" i="1" s="1"/>
  <c r="P130" i="1"/>
  <c r="N131" i="1"/>
  <c r="H68" i="1"/>
  <c r="S131" i="1"/>
  <c r="C131" i="1"/>
  <c r="T68" i="1" l="1"/>
  <c r="J68" i="1"/>
  <c r="K68" i="1" s="1"/>
  <c r="P131" i="1"/>
  <c r="N132" i="1"/>
  <c r="C132" i="1"/>
  <c r="S132" i="1"/>
  <c r="H69" i="1"/>
  <c r="T69" i="1" l="1"/>
  <c r="J69" i="1"/>
  <c r="K69" i="1" s="1"/>
  <c r="P132" i="1"/>
  <c r="S133" i="1"/>
  <c r="H70" i="1"/>
  <c r="C133" i="1"/>
  <c r="N133" i="1"/>
  <c r="T70" i="1" l="1"/>
  <c r="J70" i="1"/>
  <c r="K70" i="1" s="1"/>
  <c r="P133" i="1"/>
  <c r="S134" i="1"/>
  <c r="N134" i="1"/>
  <c r="C134" i="1"/>
  <c r="H71" i="1"/>
  <c r="T71" i="1" l="1"/>
  <c r="J71" i="1"/>
  <c r="K71" i="1" s="1"/>
  <c r="P134" i="1"/>
  <c r="H72" i="1"/>
  <c r="N135" i="1"/>
  <c r="C135" i="1"/>
  <c r="S135" i="1"/>
  <c r="T72" i="1" l="1"/>
  <c r="J72" i="1"/>
  <c r="K72" i="1" s="1"/>
  <c r="P135" i="1"/>
  <c r="H73" i="1"/>
  <c r="C136" i="1"/>
  <c r="S136" i="1"/>
  <c r="N136" i="1"/>
  <c r="T73" i="1" l="1"/>
  <c r="J73" i="1"/>
  <c r="K73" i="1" s="1"/>
  <c r="P136" i="1"/>
  <c r="N137" i="1"/>
  <c r="C137" i="1"/>
  <c r="S137" i="1"/>
  <c r="H74" i="1"/>
  <c r="T74" i="1" l="1"/>
  <c r="J74" i="1"/>
  <c r="K74" i="1" s="1"/>
  <c r="P137" i="1"/>
  <c r="H75" i="1"/>
  <c r="N138" i="1"/>
  <c r="C138" i="1"/>
  <c r="S138" i="1"/>
  <c r="T75" i="1" l="1"/>
  <c r="J75" i="1"/>
  <c r="K75" i="1" s="1"/>
  <c r="P138" i="1"/>
  <c r="N139" i="1"/>
  <c r="H76" i="1"/>
  <c r="C139" i="1"/>
  <c r="S139" i="1"/>
  <c r="T76" i="1" l="1"/>
  <c r="J76" i="1"/>
  <c r="K76" i="1" s="1"/>
  <c r="P139" i="1"/>
  <c r="N140" i="1"/>
  <c r="S140" i="1"/>
  <c r="C140" i="1"/>
  <c r="H77" i="1"/>
  <c r="T77" i="1" l="1"/>
  <c r="J77" i="1"/>
  <c r="K77" i="1" s="1"/>
  <c r="P140" i="1"/>
  <c r="H78" i="1"/>
  <c r="S141" i="1"/>
  <c r="C141" i="1"/>
  <c r="N141" i="1"/>
  <c r="T78" i="1" l="1"/>
  <c r="J78" i="1"/>
  <c r="K78" i="1" s="1"/>
  <c r="P141" i="1"/>
  <c r="C142" i="1"/>
  <c r="S142" i="1"/>
  <c r="N142" i="1"/>
  <c r="H79" i="1"/>
  <c r="T79" i="1" l="1"/>
  <c r="J79" i="1"/>
  <c r="K79" i="1" s="1"/>
  <c r="P142" i="1"/>
  <c r="H80" i="1"/>
  <c r="S143" i="1"/>
  <c r="N143" i="1"/>
  <c r="C143" i="1"/>
  <c r="T80" i="1" l="1"/>
  <c r="J80" i="1"/>
  <c r="K80" i="1" s="1"/>
  <c r="P143" i="1"/>
  <c r="H81" i="1"/>
  <c r="S144" i="1"/>
  <c r="N144" i="1"/>
  <c r="C144" i="1"/>
  <c r="T81" i="1" l="1"/>
  <c r="J81" i="1"/>
  <c r="K81" i="1" s="1"/>
  <c r="P144" i="1"/>
  <c r="H82" i="1"/>
  <c r="N145" i="1"/>
  <c r="C145" i="1"/>
  <c r="S145" i="1"/>
  <c r="T82" i="1" l="1"/>
  <c r="J82" i="1"/>
  <c r="K82" i="1" s="1"/>
  <c r="P145" i="1"/>
  <c r="H83" i="1"/>
  <c r="S146" i="1"/>
  <c r="N146" i="1"/>
  <c r="C146" i="1"/>
  <c r="T83" i="1" l="1"/>
  <c r="J83" i="1"/>
  <c r="K83" i="1" s="1"/>
  <c r="P146" i="1"/>
  <c r="N147" i="1"/>
  <c r="S147" i="1"/>
  <c r="H84" i="1"/>
  <c r="C147" i="1"/>
  <c r="T84" i="1" l="1"/>
  <c r="J84" i="1"/>
  <c r="K84" i="1" s="1"/>
  <c r="P147" i="1"/>
  <c r="N148" i="1"/>
  <c r="H85" i="1"/>
  <c r="S148" i="1"/>
  <c r="C148" i="1"/>
  <c r="T85" i="1" l="1"/>
  <c r="J85" i="1"/>
  <c r="K85" i="1" s="1"/>
  <c r="P148" i="1"/>
  <c r="S149" i="1"/>
  <c r="N149" i="1"/>
  <c r="C149" i="1"/>
  <c r="H86" i="1"/>
  <c r="T86" i="1" l="1"/>
  <c r="J86" i="1"/>
  <c r="K86" i="1" s="1"/>
  <c r="P149" i="1"/>
  <c r="H87" i="1"/>
  <c r="C150" i="1"/>
  <c r="N150" i="1"/>
  <c r="S150" i="1"/>
  <c r="T87" i="1" l="1"/>
  <c r="J87" i="1"/>
  <c r="K87" i="1" s="1"/>
  <c r="P150" i="1"/>
  <c r="H88" i="1"/>
  <c r="C151" i="1"/>
  <c r="S151" i="1"/>
  <c r="N151" i="1"/>
  <c r="T88" i="1" l="1"/>
  <c r="J88" i="1"/>
  <c r="K88" i="1" s="1"/>
  <c r="P151" i="1"/>
  <c r="N152" i="1"/>
  <c r="S152" i="1"/>
  <c r="H89" i="1"/>
  <c r="C152" i="1"/>
  <c r="T89" i="1" l="1"/>
  <c r="J89" i="1"/>
  <c r="K89" i="1" s="1"/>
  <c r="P152" i="1"/>
  <c r="H90" i="1"/>
  <c r="C153" i="1"/>
  <c r="S153" i="1"/>
  <c r="N153" i="1"/>
  <c r="T90" i="1" l="1"/>
  <c r="J90" i="1"/>
  <c r="K90" i="1" s="1"/>
  <c r="P153" i="1"/>
  <c r="S154" i="1"/>
  <c r="N154" i="1"/>
  <c r="H91" i="1"/>
  <c r="C154" i="1"/>
  <c r="T91" i="1" l="1"/>
  <c r="J91" i="1"/>
  <c r="K91" i="1" s="1"/>
  <c r="P154" i="1"/>
  <c r="N155" i="1"/>
  <c r="H92" i="1"/>
  <c r="S155" i="1"/>
  <c r="C155" i="1"/>
  <c r="T92" i="1" l="1"/>
  <c r="J92" i="1"/>
  <c r="K92" i="1" s="1"/>
  <c r="P155" i="1"/>
  <c r="H93" i="1"/>
  <c r="N156" i="1"/>
  <c r="S156" i="1"/>
  <c r="C156" i="1"/>
  <c r="T93" i="1" l="1"/>
  <c r="J93" i="1"/>
  <c r="K93" i="1" s="1"/>
  <c r="P156" i="1"/>
  <c r="C157" i="1"/>
  <c r="S157" i="1"/>
  <c r="N157" i="1"/>
  <c r="H94" i="1"/>
  <c r="T94" i="1" l="1"/>
  <c r="J94" i="1"/>
  <c r="K94" i="1" s="1"/>
  <c r="P157" i="1"/>
  <c r="S158" i="1"/>
  <c r="N158" i="1"/>
  <c r="C158" i="1"/>
  <c r="H95" i="1"/>
  <c r="T95" i="1" l="1"/>
  <c r="J95" i="1"/>
  <c r="K95" i="1" s="1"/>
  <c r="P158" i="1"/>
  <c r="N159" i="1"/>
  <c r="H96" i="1"/>
  <c r="S159" i="1"/>
  <c r="C159" i="1"/>
  <c r="T96" i="1" l="1"/>
  <c r="J96" i="1"/>
  <c r="K96" i="1" s="1"/>
  <c r="P159" i="1"/>
  <c r="C160" i="1"/>
  <c r="S160" i="1"/>
  <c r="N160" i="1"/>
  <c r="H97" i="1"/>
  <c r="T97" i="1" l="1"/>
  <c r="J97" i="1"/>
  <c r="K97" i="1" s="1"/>
  <c r="P160" i="1"/>
  <c r="H98" i="1"/>
  <c r="N161" i="1"/>
  <c r="S161" i="1"/>
  <c r="C161" i="1"/>
  <c r="T98" i="1" l="1"/>
  <c r="J98" i="1"/>
  <c r="K98" i="1" s="1"/>
  <c r="P161" i="1"/>
  <c r="N162" i="1"/>
  <c r="C162" i="1"/>
  <c r="H99" i="1"/>
  <c r="S162" i="1"/>
  <c r="T99" i="1" l="1"/>
  <c r="J99" i="1"/>
  <c r="K99" i="1" s="1"/>
  <c r="P162" i="1"/>
  <c r="N163" i="1"/>
  <c r="S163" i="1"/>
  <c r="C163" i="1"/>
  <c r="H100" i="1"/>
  <c r="T100" i="1" l="1"/>
  <c r="J100" i="1"/>
  <c r="K100" i="1" s="1"/>
  <c r="P163" i="1"/>
  <c r="S164" i="1"/>
  <c r="C164" i="1"/>
  <c r="H101" i="1"/>
  <c r="N164" i="1"/>
  <c r="T101" i="1" l="1"/>
  <c r="J101" i="1"/>
  <c r="K101" i="1" s="1"/>
  <c r="P164" i="1"/>
  <c r="C165" i="1"/>
  <c r="S165" i="1"/>
  <c r="H102" i="1"/>
  <c r="N165" i="1"/>
  <c r="T102" i="1" l="1"/>
  <c r="J102" i="1"/>
  <c r="K102" i="1" s="1"/>
  <c r="P165" i="1"/>
  <c r="N166" i="1"/>
  <c r="S166" i="1"/>
  <c r="H103" i="1"/>
  <c r="C166" i="1"/>
  <c r="T103" i="1" l="1"/>
  <c r="J103" i="1"/>
  <c r="K103" i="1" s="1"/>
  <c r="P166" i="1"/>
  <c r="S167" i="1"/>
  <c r="N167" i="1"/>
  <c r="C167" i="1"/>
  <c r="H104" i="1"/>
  <c r="T104" i="1" l="1"/>
  <c r="J104" i="1"/>
  <c r="K104" i="1" s="1"/>
  <c r="P167" i="1"/>
  <c r="C168" i="1"/>
  <c r="H105" i="1"/>
  <c r="S168" i="1"/>
  <c r="N168" i="1"/>
  <c r="T105" i="1" l="1"/>
  <c r="J105" i="1"/>
  <c r="K105" i="1" s="1"/>
  <c r="P168" i="1"/>
  <c r="N169" i="1"/>
  <c r="S169" i="1"/>
  <c r="C169" i="1"/>
  <c r="H106" i="1"/>
  <c r="T106" i="1" l="1"/>
  <c r="J106" i="1"/>
  <c r="K106" i="1" s="1"/>
  <c r="P169" i="1"/>
  <c r="H107" i="1"/>
  <c r="S170" i="1"/>
  <c r="C170" i="1"/>
  <c r="N170" i="1"/>
  <c r="T107" i="1" l="1"/>
  <c r="J107" i="1"/>
  <c r="K107" i="1" s="1"/>
  <c r="P170" i="1"/>
  <c r="N171" i="1"/>
  <c r="S171" i="1"/>
  <c r="C171" i="1"/>
  <c r="H108" i="1"/>
  <c r="T108" i="1" l="1"/>
  <c r="J108" i="1"/>
  <c r="K108" i="1" s="1"/>
  <c r="P171" i="1"/>
  <c r="H109" i="1"/>
  <c r="N172" i="1"/>
  <c r="S172" i="1"/>
  <c r="C172" i="1"/>
  <c r="T109" i="1" l="1"/>
  <c r="J109" i="1"/>
  <c r="K109" i="1" s="1"/>
  <c r="P172" i="1"/>
  <c r="H110" i="1"/>
  <c r="S173" i="1"/>
  <c r="N173" i="1"/>
  <c r="C173" i="1"/>
  <c r="T110" i="1" l="1"/>
  <c r="J110" i="1"/>
  <c r="K110" i="1" s="1"/>
  <c r="P173" i="1"/>
  <c r="S174" i="1"/>
  <c r="N174" i="1"/>
  <c r="C174" i="1"/>
  <c r="H111" i="1"/>
  <c r="T111" i="1" l="1"/>
  <c r="J111" i="1"/>
  <c r="K111" i="1" s="1"/>
  <c r="P174" i="1"/>
  <c r="N175" i="1"/>
  <c r="H112" i="1"/>
  <c r="S175" i="1"/>
  <c r="C175" i="1"/>
  <c r="T112" i="1" l="1"/>
  <c r="J112" i="1"/>
  <c r="K112" i="1" s="1"/>
  <c r="P175" i="1"/>
  <c r="C176" i="1"/>
  <c r="H113" i="1"/>
  <c r="S176" i="1"/>
  <c r="N176" i="1"/>
  <c r="T113" i="1" l="1"/>
  <c r="J113" i="1"/>
  <c r="K113" i="1" s="1"/>
  <c r="P176" i="1"/>
  <c r="N177" i="1"/>
  <c r="S177" i="1"/>
  <c r="C177" i="1"/>
  <c r="H114" i="1"/>
  <c r="T114" i="1" l="1"/>
  <c r="J114" i="1"/>
  <c r="K114" i="1" s="1"/>
  <c r="P177" i="1"/>
  <c r="H115" i="1"/>
  <c r="N178" i="1"/>
  <c r="C178" i="1"/>
  <c r="S178" i="1"/>
  <c r="T115" i="1" l="1"/>
  <c r="J115" i="1"/>
  <c r="K115" i="1" s="1"/>
  <c r="P178" i="1"/>
  <c r="C179" i="1"/>
  <c r="H116" i="1"/>
  <c r="N179" i="1"/>
  <c r="S179" i="1"/>
  <c r="T116" i="1" l="1"/>
  <c r="J116" i="1"/>
  <c r="K116" i="1" s="1"/>
  <c r="P179" i="1"/>
  <c r="H117" i="1"/>
  <c r="C180" i="1"/>
  <c r="N180" i="1"/>
  <c r="S180" i="1"/>
  <c r="T117" i="1" l="1"/>
  <c r="J117" i="1"/>
  <c r="K117" i="1" s="1"/>
  <c r="P180" i="1"/>
  <c r="S181" i="1"/>
  <c r="H118" i="1"/>
  <c r="N181" i="1"/>
  <c r="C181" i="1"/>
  <c r="T118" i="1" l="1"/>
  <c r="J118" i="1"/>
  <c r="K118" i="1" s="1"/>
  <c r="P181" i="1"/>
  <c r="C182" i="1"/>
  <c r="N182" i="1"/>
  <c r="H119" i="1"/>
  <c r="S182" i="1"/>
  <c r="T119" i="1" l="1"/>
  <c r="J119" i="1"/>
  <c r="K119" i="1" s="1"/>
  <c r="P182" i="1"/>
  <c r="C183" i="1"/>
  <c r="H120" i="1"/>
  <c r="N183" i="1"/>
  <c r="S183" i="1"/>
  <c r="T120" i="1" l="1"/>
  <c r="J120" i="1"/>
  <c r="K120" i="1" s="1"/>
  <c r="P183" i="1"/>
  <c r="C184" i="1"/>
  <c r="N184" i="1"/>
  <c r="S184" i="1"/>
  <c r="H121" i="1"/>
  <c r="T121" i="1" l="1"/>
  <c r="J121" i="1"/>
  <c r="K121" i="1" s="1"/>
  <c r="P184" i="1"/>
  <c r="N185" i="1"/>
  <c r="C185" i="1"/>
  <c r="S185" i="1"/>
  <c r="H122" i="1"/>
  <c r="T122" i="1" l="1"/>
  <c r="J122" i="1"/>
  <c r="K122" i="1" s="1"/>
  <c r="P185" i="1"/>
  <c r="N186" i="1"/>
  <c r="H123" i="1"/>
  <c r="S186" i="1"/>
  <c r="C186" i="1"/>
  <c r="T123" i="1" l="1"/>
  <c r="J123" i="1"/>
  <c r="K123" i="1" s="1"/>
  <c r="P186" i="1"/>
  <c r="C187" i="1"/>
  <c r="N187" i="1"/>
  <c r="S187" i="1"/>
  <c r="H124" i="1"/>
  <c r="T124" i="1" l="1"/>
  <c r="J124" i="1"/>
  <c r="K124" i="1" s="1"/>
  <c r="P187" i="1"/>
  <c r="C188" i="1"/>
  <c r="H125" i="1"/>
  <c r="S188" i="1"/>
  <c r="N188" i="1"/>
  <c r="T125" i="1" l="1"/>
  <c r="J125" i="1"/>
  <c r="K125" i="1" s="1"/>
  <c r="P188" i="1"/>
  <c r="C189" i="1"/>
  <c r="S189" i="1"/>
  <c r="H126" i="1"/>
  <c r="N189" i="1"/>
  <c r="T126" i="1" l="1"/>
  <c r="J126" i="1"/>
  <c r="K126" i="1" s="1"/>
  <c r="P189" i="1"/>
  <c r="S190" i="1"/>
  <c r="C190" i="1"/>
  <c r="N190" i="1"/>
  <c r="H127" i="1"/>
  <c r="T127" i="1" l="1"/>
  <c r="J127" i="1"/>
  <c r="K127" i="1" s="1"/>
  <c r="P190" i="1"/>
  <c r="H128" i="1"/>
  <c r="N191" i="1"/>
  <c r="C191" i="1"/>
  <c r="S191" i="1"/>
  <c r="T128" i="1" l="1"/>
  <c r="J128" i="1"/>
  <c r="K128" i="1" s="1"/>
  <c r="P191" i="1"/>
  <c r="C192" i="1"/>
  <c r="S192" i="1"/>
  <c r="H129" i="1"/>
  <c r="N192" i="1"/>
  <c r="T129" i="1" l="1"/>
  <c r="J129" i="1"/>
  <c r="K129" i="1" s="1"/>
  <c r="P192" i="1"/>
  <c r="S193" i="1"/>
  <c r="H130" i="1"/>
  <c r="C193" i="1"/>
  <c r="N193" i="1"/>
  <c r="T130" i="1" l="1"/>
  <c r="J130" i="1"/>
  <c r="K130" i="1" s="1"/>
  <c r="P193" i="1"/>
  <c r="S194" i="1"/>
  <c r="C194" i="1"/>
  <c r="N194" i="1"/>
  <c r="H131" i="1"/>
  <c r="T131" i="1" l="1"/>
  <c r="J131" i="1"/>
  <c r="K131" i="1" s="1"/>
  <c r="P194" i="1"/>
  <c r="S195" i="1"/>
  <c r="C195" i="1"/>
  <c r="H132" i="1"/>
  <c r="N195" i="1"/>
  <c r="T132" i="1" l="1"/>
  <c r="J132" i="1"/>
  <c r="K132" i="1" s="1"/>
  <c r="P195" i="1"/>
  <c r="C196" i="1"/>
  <c r="S196" i="1"/>
  <c r="N196" i="1"/>
  <c r="H133" i="1"/>
  <c r="T133" i="1" l="1"/>
  <c r="J133" i="1"/>
  <c r="K133" i="1" s="1"/>
  <c r="P196" i="1"/>
  <c r="N197" i="1"/>
  <c r="H134" i="1"/>
  <c r="S197" i="1"/>
  <c r="C197" i="1"/>
  <c r="T134" i="1" l="1"/>
  <c r="J134" i="1"/>
  <c r="K134" i="1" s="1"/>
  <c r="P197" i="1"/>
  <c r="H135" i="1"/>
  <c r="N198" i="1"/>
  <c r="C198" i="1"/>
  <c r="S198" i="1"/>
  <c r="T135" i="1" l="1"/>
  <c r="J135" i="1"/>
  <c r="K135" i="1" s="1"/>
  <c r="P198" i="1"/>
  <c r="H136" i="1"/>
  <c r="C199" i="1"/>
  <c r="S199" i="1"/>
  <c r="N199" i="1"/>
  <c r="T136" i="1" l="1"/>
  <c r="J136" i="1"/>
  <c r="K136" i="1" s="1"/>
  <c r="P199" i="1"/>
  <c r="H137" i="1"/>
  <c r="N200" i="1"/>
  <c r="S200" i="1"/>
  <c r="C200" i="1"/>
  <c r="T137" i="1" l="1"/>
  <c r="J137" i="1"/>
  <c r="K137" i="1" s="1"/>
  <c r="P200" i="1"/>
  <c r="C201" i="1"/>
  <c r="H138" i="1"/>
  <c r="N201" i="1"/>
  <c r="S201" i="1"/>
  <c r="T138" i="1" l="1"/>
  <c r="J138" i="1"/>
  <c r="K138" i="1" s="1"/>
  <c r="P201" i="1"/>
  <c r="C202" i="1"/>
  <c r="S202" i="1"/>
  <c r="N202" i="1"/>
  <c r="H139" i="1"/>
  <c r="T139" i="1" l="1"/>
  <c r="J139" i="1"/>
  <c r="K139" i="1" s="1"/>
  <c r="P202" i="1"/>
  <c r="S203" i="1"/>
  <c r="C203" i="1"/>
  <c r="N203" i="1"/>
  <c r="H140" i="1"/>
  <c r="T140" i="1" l="1"/>
  <c r="J140" i="1"/>
  <c r="K140" i="1" s="1"/>
  <c r="P203" i="1"/>
  <c r="N204" i="1"/>
  <c r="C204" i="1"/>
  <c r="H141" i="1"/>
  <c r="S204" i="1"/>
  <c r="T141" i="1" l="1"/>
  <c r="J141" i="1"/>
  <c r="K141" i="1" s="1"/>
  <c r="P204" i="1"/>
  <c r="H142" i="1"/>
  <c r="N205" i="1"/>
  <c r="C205" i="1"/>
  <c r="S205" i="1"/>
  <c r="T142" i="1" l="1"/>
  <c r="J142" i="1"/>
  <c r="K142" i="1" s="1"/>
  <c r="P205" i="1"/>
  <c r="N206" i="1"/>
  <c r="S206" i="1"/>
  <c r="C206" i="1"/>
  <c r="H143" i="1"/>
  <c r="T143" i="1" l="1"/>
  <c r="J143" i="1"/>
  <c r="K143" i="1" s="1"/>
  <c r="P206" i="1"/>
  <c r="N207" i="1"/>
  <c r="S207" i="1"/>
  <c r="C207" i="1"/>
  <c r="H144" i="1"/>
  <c r="T144" i="1" l="1"/>
  <c r="J144" i="1"/>
  <c r="K144" i="1" s="1"/>
  <c r="P207" i="1"/>
  <c r="S208" i="1"/>
  <c r="H145" i="1"/>
  <c r="N208" i="1"/>
  <c r="C208" i="1"/>
  <c r="T145" i="1" l="1"/>
  <c r="J145" i="1"/>
  <c r="K145" i="1" s="1"/>
  <c r="P208" i="1"/>
  <c r="H146" i="1"/>
  <c r="T146" i="1" l="1"/>
  <c r="J146" i="1"/>
  <c r="K146" i="1" s="1"/>
  <c r="H147" i="1"/>
  <c r="T147" i="1" l="1"/>
  <c r="J147" i="1"/>
  <c r="K147" i="1" s="1"/>
  <c r="H148" i="1"/>
  <c r="T148" i="1" l="1"/>
  <c r="J148" i="1"/>
  <c r="K148" i="1" s="1"/>
  <c r="H149" i="1"/>
  <c r="T149" i="1" l="1"/>
  <c r="J149" i="1"/>
  <c r="K149" i="1" s="1"/>
  <c r="H150" i="1"/>
  <c r="T150" i="1" l="1"/>
  <c r="J150" i="1"/>
  <c r="K150" i="1" s="1"/>
  <c r="H151" i="1"/>
  <c r="T151" i="1" l="1"/>
  <c r="J151" i="1"/>
  <c r="K151" i="1" s="1"/>
  <c r="H152" i="1"/>
  <c r="T152" i="1" l="1"/>
  <c r="J152" i="1"/>
  <c r="K152" i="1" s="1"/>
  <c r="H153" i="1"/>
  <c r="T153" i="1" l="1"/>
  <c r="J153" i="1"/>
  <c r="K153" i="1" s="1"/>
  <c r="H154" i="1"/>
  <c r="T154" i="1" l="1"/>
  <c r="J154" i="1"/>
  <c r="K154" i="1" s="1"/>
  <c r="H155" i="1"/>
  <c r="T155" i="1" l="1"/>
  <c r="J155" i="1"/>
  <c r="K155" i="1" s="1"/>
  <c r="H156" i="1"/>
  <c r="T156" i="1" l="1"/>
  <c r="J156" i="1"/>
  <c r="K156" i="1" s="1"/>
  <c r="H157" i="1"/>
  <c r="T157" i="1" l="1"/>
  <c r="J157" i="1"/>
  <c r="K157" i="1" s="1"/>
  <c r="H158" i="1"/>
  <c r="T158" i="1" l="1"/>
  <c r="J158" i="1"/>
  <c r="K158" i="1" s="1"/>
  <c r="H159" i="1"/>
  <c r="T159" i="1" l="1"/>
  <c r="J159" i="1"/>
  <c r="K159" i="1" s="1"/>
  <c r="H160" i="1"/>
  <c r="T160" i="1" l="1"/>
  <c r="J160" i="1"/>
  <c r="K160" i="1" s="1"/>
  <c r="H161" i="1"/>
  <c r="T161" i="1" l="1"/>
  <c r="J161" i="1"/>
  <c r="K161" i="1" s="1"/>
  <c r="H162" i="1"/>
  <c r="T162" i="1" l="1"/>
  <c r="J162" i="1"/>
  <c r="K162" i="1" s="1"/>
  <c r="H163" i="1"/>
  <c r="T163" i="1" l="1"/>
  <c r="J163" i="1"/>
  <c r="K163" i="1" s="1"/>
  <c r="H164" i="1"/>
  <c r="T164" i="1" l="1"/>
  <c r="J164" i="1"/>
  <c r="K164" i="1" s="1"/>
  <c r="H165" i="1"/>
  <c r="T165" i="1" l="1"/>
  <c r="J165" i="1"/>
  <c r="K165" i="1" s="1"/>
  <c r="H166" i="1"/>
  <c r="T166" i="1" l="1"/>
  <c r="J166" i="1"/>
  <c r="K166" i="1" s="1"/>
  <c r="H167" i="1"/>
  <c r="T167" i="1" l="1"/>
  <c r="J167" i="1"/>
  <c r="K167" i="1" s="1"/>
  <c r="H168" i="1"/>
  <c r="T168" i="1" l="1"/>
  <c r="J168" i="1"/>
  <c r="K168" i="1" s="1"/>
  <c r="H169" i="1"/>
  <c r="T169" i="1" l="1"/>
  <c r="J169" i="1"/>
  <c r="K169" i="1" s="1"/>
  <c r="H170" i="1"/>
  <c r="T170" i="1" l="1"/>
  <c r="J170" i="1"/>
  <c r="K170" i="1" s="1"/>
  <c r="H171" i="1"/>
  <c r="T171" i="1" l="1"/>
  <c r="J171" i="1"/>
  <c r="K171" i="1" s="1"/>
  <c r="H172" i="1"/>
  <c r="T172" i="1" l="1"/>
  <c r="J172" i="1"/>
  <c r="K172" i="1" s="1"/>
  <c r="H173" i="1"/>
  <c r="T173" i="1" l="1"/>
  <c r="J173" i="1"/>
  <c r="K173" i="1" s="1"/>
  <c r="H174" i="1"/>
  <c r="T174" i="1" l="1"/>
  <c r="J174" i="1"/>
  <c r="K174" i="1" s="1"/>
  <c r="H175" i="1"/>
  <c r="T175" i="1" l="1"/>
  <c r="J175" i="1"/>
  <c r="K175" i="1" s="1"/>
  <c r="H176" i="1"/>
  <c r="T176" i="1" l="1"/>
  <c r="J176" i="1"/>
  <c r="K176" i="1" s="1"/>
  <c r="H177" i="1"/>
  <c r="T177" i="1" l="1"/>
  <c r="J177" i="1"/>
  <c r="K177" i="1" s="1"/>
  <c r="H178" i="1"/>
  <c r="T178" i="1" l="1"/>
  <c r="J178" i="1"/>
  <c r="K178" i="1" s="1"/>
  <c r="H179" i="1"/>
  <c r="T179" i="1" l="1"/>
  <c r="J179" i="1"/>
  <c r="K179" i="1" s="1"/>
  <c r="H180" i="1"/>
  <c r="T180" i="1" l="1"/>
  <c r="J180" i="1"/>
  <c r="K180" i="1" s="1"/>
  <c r="H181" i="1"/>
  <c r="T181" i="1" l="1"/>
  <c r="J181" i="1"/>
  <c r="K181" i="1" s="1"/>
  <c r="H182" i="1"/>
  <c r="T182" i="1" l="1"/>
  <c r="J182" i="1"/>
  <c r="K182" i="1" s="1"/>
  <c r="H183" i="1"/>
  <c r="T183" i="1" l="1"/>
  <c r="J183" i="1"/>
  <c r="K183" i="1" s="1"/>
  <c r="H184" i="1"/>
  <c r="T184" i="1" l="1"/>
  <c r="J184" i="1"/>
  <c r="K184" i="1" s="1"/>
  <c r="H185" i="1"/>
  <c r="T185" i="1" l="1"/>
  <c r="J185" i="1"/>
  <c r="K185" i="1" s="1"/>
  <c r="H186" i="1"/>
  <c r="T186" i="1" l="1"/>
  <c r="J186" i="1"/>
  <c r="K186" i="1" s="1"/>
  <c r="H187" i="1"/>
  <c r="T187" i="1" l="1"/>
  <c r="J187" i="1"/>
  <c r="K187" i="1" s="1"/>
  <c r="H188" i="1"/>
  <c r="T188" i="1" l="1"/>
  <c r="J188" i="1"/>
  <c r="K188" i="1" s="1"/>
  <c r="H189" i="1"/>
  <c r="T189" i="1" l="1"/>
  <c r="J189" i="1"/>
  <c r="K189" i="1" s="1"/>
  <c r="H190" i="1"/>
  <c r="T190" i="1" l="1"/>
  <c r="J190" i="1"/>
  <c r="K190" i="1" s="1"/>
  <c r="H191" i="1"/>
  <c r="T191" i="1" l="1"/>
  <c r="J191" i="1"/>
  <c r="K191" i="1" s="1"/>
  <c r="H192" i="1"/>
  <c r="T192" i="1" l="1"/>
  <c r="J192" i="1"/>
  <c r="K192" i="1" s="1"/>
  <c r="H193" i="1"/>
  <c r="T193" i="1" l="1"/>
  <c r="J193" i="1"/>
  <c r="K193" i="1" s="1"/>
  <c r="H194" i="1"/>
  <c r="T194" i="1" l="1"/>
  <c r="J194" i="1"/>
  <c r="K194" i="1" s="1"/>
  <c r="H195" i="1"/>
  <c r="T195" i="1" l="1"/>
  <c r="J195" i="1"/>
  <c r="K195" i="1" s="1"/>
  <c r="H196" i="1"/>
  <c r="T196" i="1" l="1"/>
  <c r="J196" i="1"/>
  <c r="K196" i="1" s="1"/>
  <c r="H197" i="1"/>
  <c r="T197" i="1" l="1"/>
  <c r="J197" i="1"/>
  <c r="K197" i="1" s="1"/>
  <c r="H198" i="1"/>
  <c r="T198" i="1" l="1"/>
  <c r="J198" i="1"/>
  <c r="K198" i="1" s="1"/>
  <c r="H199" i="1"/>
  <c r="T199" i="1" l="1"/>
  <c r="J199" i="1"/>
  <c r="K199" i="1" s="1"/>
  <c r="H200" i="1"/>
  <c r="T200" i="1" l="1"/>
  <c r="J200" i="1"/>
  <c r="K200" i="1" s="1"/>
  <c r="H201" i="1"/>
  <c r="T201" i="1" l="1"/>
  <c r="J201" i="1"/>
  <c r="K201" i="1" s="1"/>
  <c r="H202" i="1"/>
  <c r="T202" i="1" l="1"/>
  <c r="J202" i="1"/>
  <c r="K202" i="1" s="1"/>
  <c r="H203" i="1"/>
  <c r="T203" i="1" l="1"/>
  <c r="J203" i="1"/>
  <c r="K203" i="1" s="1"/>
  <c r="H204" i="1"/>
  <c r="T204" i="1" l="1"/>
  <c r="J204" i="1"/>
  <c r="K204" i="1" s="1"/>
  <c r="H205" i="1"/>
  <c r="T205" i="1" l="1"/>
  <c r="J205" i="1"/>
  <c r="K205" i="1" s="1"/>
  <c r="H206" i="1"/>
  <c r="T206" i="1" l="1"/>
  <c r="J206" i="1"/>
  <c r="K206" i="1" s="1"/>
  <c r="H207" i="1"/>
  <c r="T207" i="1" l="1"/>
  <c r="J207" i="1"/>
  <c r="K207" i="1" s="1"/>
  <c r="H208" i="1"/>
  <c r="T208" i="1" l="1"/>
  <c r="J5" i="6" l="1" a="1"/>
  <c r="J342" i="6" l="1"/>
  <c r="J67" i="6"/>
  <c r="J34" i="6"/>
  <c r="J121" i="6"/>
  <c r="J32" i="6"/>
  <c r="J251" i="6"/>
  <c r="J218" i="6"/>
  <c r="J305" i="6"/>
  <c r="J216" i="6"/>
  <c r="J213" i="6"/>
  <c r="J182" i="6"/>
  <c r="J94" i="6"/>
  <c r="J400" i="6"/>
  <c r="J110" i="6"/>
  <c r="J11" i="6"/>
  <c r="J231" i="6"/>
  <c r="J65" i="6"/>
  <c r="J191" i="6"/>
  <c r="J330" i="6"/>
  <c r="J328" i="6"/>
  <c r="J157" i="6"/>
  <c r="J180" i="6"/>
  <c r="J183" i="6"/>
  <c r="J25" i="6"/>
  <c r="J325" i="6"/>
  <c r="J236" i="6"/>
  <c r="J91" i="6"/>
  <c r="J145" i="6"/>
  <c r="J174" i="6"/>
  <c r="J292" i="6"/>
  <c r="J147" i="6"/>
  <c r="J201" i="6"/>
  <c r="J270" i="6"/>
  <c r="J316" i="6"/>
  <c r="J178" i="6"/>
  <c r="J53" i="6"/>
  <c r="J318" i="6"/>
  <c r="J171" i="6"/>
  <c r="J247" i="6"/>
  <c r="J122" i="6"/>
  <c r="J197" i="6"/>
  <c r="J384" i="6"/>
  <c r="J204" i="6"/>
  <c r="J335" i="6"/>
  <c r="J374" i="6"/>
  <c r="J196" i="6"/>
  <c r="J8" i="6"/>
  <c r="J299" i="6"/>
  <c r="J404" i="6"/>
  <c r="J101" i="6"/>
  <c r="J78" i="6"/>
  <c r="J367" i="6"/>
  <c r="J175" i="6"/>
  <c r="J57" i="6"/>
  <c r="J159" i="6"/>
  <c r="J187" i="6"/>
  <c r="J154" i="6"/>
  <c r="J241" i="6"/>
  <c r="J152" i="6"/>
  <c r="J371" i="6"/>
  <c r="J346" i="6"/>
  <c r="J386" i="6"/>
  <c r="J336" i="6"/>
  <c r="J269" i="6"/>
  <c r="J302" i="6"/>
  <c r="J190" i="6"/>
  <c r="J375" i="6"/>
  <c r="J103" i="6"/>
  <c r="J202" i="6"/>
  <c r="J200" i="6"/>
  <c r="J77" i="6"/>
  <c r="J116" i="6"/>
  <c r="J322" i="6"/>
  <c r="J320" i="6"/>
  <c r="J149" i="6"/>
  <c r="J172" i="6"/>
  <c r="J398" i="6"/>
  <c r="J17" i="6"/>
  <c r="J277" i="6"/>
  <c r="J228" i="6"/>
  <c r="J19" i="6"/>
  <c r="J73" i="6"/>
  <c r="J30" i="6"/>
  <c r="J252" i="6"/>
  <c r="J230" i="6"/>
  <c r="J381" i="6"/>
  <c r="J324" i="6"/>
  <c r="J142" i="6"/>
  <c r="J205" i="6"/>
  <c r="J376" i="6"/>
  <c r="J28" i="6"/>
  <c r="J128" i="6"/>
  <c r="J76" i="6"/>
  <c r="J337" i="6"/>
  <c r="J396" i="6"/>
  <c r="J339" i="6"/>
  <c r="J271" i="6"/>
  <c r="J353" i="6"/>
  <c r="J43" i="6"/>
  <c r="J140" i="6"/>
  <c r="J253" i="6"/>
  <c r="J254" i="6"/>
  <c r="J158" i="6"/>
  <c r="J303" i="6"/>
  <c r="J399" i="6"/>
  <c r="J123" i="6"/>
  <c r="J90" i="6"/>
  <c r="J177" i="6"/>
  <c r="J88" i="6"/>
  <c r="J307" i="6"/>
  <c r="J274" i="6"/>
  <c r="J361" i="6"/>
  <c r="J272" i="6"/>
  <c r="J395" i="6"/>
  <c r="J378" i="6"/>
  <c r="J349" i="6"/>
  <c r="J360" i="6"/>
  <c r="J295" i="6"/>
  <c r="J74" i="6"/>
  <c r="J72" i="6"/>
  <c r="J13" i="6"/>
  <c r="J52" i="6"/>
  <c r="J194" i="6"/>
  <c r="J192" i="6"/>
  <c r="J69" i="6"/>
  <c r="J108" i="6"/>
  <c r="J314" i="6"/>
  <c r="J312" i="6"/>
  <c r="J141" i="6"/>
  <c r="J164" i="6"/>
  <c r="J394" i="6"/>
  <c r="J368" i="6"/>
  <c r="J165" i="6"/>
  <c r="J188" i="6"/>
  <c r="J265" i="6"/>
  <c r="J348" i="6"/>
  <c r="J83" i="6"/>
  <c r="J138" i="6"/>
  <c r="J45" i="6"/>
  <c r="J29" i="6"/>
  <c r="J133" i="6"/>
  <c r="J95" i="6"/>
  <c r="J309" i="6"/>
  <c r="J81" i="6"/>
  <c r="J260" i="6"/>
  <c r="J50" i="6"/>
  <c r="J20" i="6"/>
  <c r="J39" i="6"/>
  <c r="J97" i="6"/>
  <c r="J264" i="6"/>
  <c r="J387" i="6"/>
  <c r="J362" i="6"/>
  <c r="J301" i="6"/>
  <c r="J352" i="6"/>
  <c r="J310" i="6"/>
  <c r="J59" i="6"/>
  <c r="J26" i="6"/>
  <c r="J113" i="6"/>
  <c r="J24" i="6"/>
  <c r="J243" i="6"/>
  <c r="J210" i="6"/>
  <c r="J297" i="6"/>
  <c r="J208" i="6"/>
  <c r="J331" i="6"/>
  <c r="J298" i="6"/>
  <c r="J385" i="6"/>
  <c r="J296" i="6"/>
  <c r="J365" i="6"/>
  <c r="J326" i="6"/>
  <c r="J143" i="6"/>
  <c r="J286" i="6"/>
  <c r="J263" i="6"/>
  <c r="J66" i="6"/>
  <c r="J64" i="6"/>
  <c r="J5" i="6"/>
  <c r="J44" i="6"/>
  <c r="J186" i="6"/>
  <c r="J184" i="6"/>
  <c r="J61" i="6"/>
  <c r="J100" i="6"/>
  <c r="J242" i="6"/>
  <c r="J240" i="6"/>
  <c r="J85" i="6"/>
  <c r="J124" i="6"/>
  <c r="J9" i="6"/>
  <c r="J220" i="6"/>
  <c r="J137" i="6"/>
  <c r="J70" i="6"/>
  <c r="J357" i="6"/>
  <c r="J68" i="6"/>
  <c r="J163" i="6"/>
  <c r="J366" i="6"/>
  <c r="J304" i="6"/>
  <c r="J248" i="6"/>
  <c r="J132" i="6"/>
  <c r="J48" i="6"/>
  <c r="J206" i="6"/>
  <c r="J125" i="6"/>
  <c r="J118" i="6"/>
  <c r="J256" i="6"/>
  <c r="J259" i="6"/>
  <c r="J226" i="6"/>
  <c r="J313" i="6"/>
  <c r="J224" i="6"/>
  <c r="J229" i="6"/>
  <c r="J222" i="6"/>
  <c r="J126" i="6"/>
  <c r="J215" i="6"/>
  <c r="J343" i="6"/>
  <c r="J115" i="6"/>
  <c r="J82" i="6"/>
  <c r="J169" i="6"/>
  <c r="J80" i="6"/>
  <c r="J203" i="6"/>
  <c r="J170" i="6"/>
  <c r="J257" i="6"/>
  <c r="J168" i="6"/>
  <c r="J235" i="6"/>
  <c r="J289" i="6"/>
  <c r="J7" i="6"/>
  <c r="J372" i="6"/>
  <c r="J355" i="6"/>
  <c r="J338" i="6"/>
  <c r="J63" i="6"/>
  <c r="J245" i="6"/>
  <c r="J317" i="6"/>
  <c r="J262" i="6"/>
  <c r="J127" i="6"/>
  <c r="J54" i="6"/>
  <c r="J134" i="6"/>
  <c r="J287" i="6"/>
  <c r="J207" i="6"/>
  <c r="J334" i="6"/>
  <c r="J293" i="6"/>
  <c r="J119" i="6"/>
  <c r="J155" i="6"/>
  <c r="J327" i="6"/>
  <c r="J392" i="6"/>
  <c r="J212" i="6"/>
  <c r="J306" i="6"/>
  <c r="J130" i="6"/>
  <c r="J37" i="6"/>
  <c r="J283" i="6"/>
  <c r="J23" i="6"/>
  <c r="J209" i="6"/>
  <c r="J284" i="6"/>
  <c r="J351" i="6"/>
  <c r="J291" i="6"/>
  <c r="J89" i="6"/>
  <c r="J266" i="6"/>
  <c r="J323" i="6"/>
  <c r="J185" i="6"/>
  <c r="J354" i="6"/>
  <c r="J151" i="6"/>
  <c r="J358" i="6"/>
  <c r="J139" i="6"/>
  <c r="J232" i="6"/>
  <c r="J33" i="6"/>
  <c r="J227" i="6"/>
  <c r="J214" i="6"/>
  <c r="J273" i="6"/>
  <c r="J403" i="6"/>
  <c r="J21" i="6"/>
  <c r="J237" i="6"/>
  <c r="J136" i="6"/>
  <c r="J86" i="6"/>
  <c r="J250" i="6"/>
  <c r="J246" i="6"/>
  <c r="J276" i="6"/>
  <c r="J195" i="6"/>
  <c r="J288" i="6"/>
  <c r="J282" i="6"/>
  <c r="J278" i="6"/>
  <c r="J233" i="6"/>
  <c r="J75" i="6"/>
  <c r="J104" i="6"/>
  <c r="J71" i="6"/>
  <c r="J99" i="6"/>
  <c r="J364" i="6"/>
  <c r="J56" i="6"/>
  <c r="J275" i="6"/>
  <c r="J285" i="6"/>
  <c r="J92" i="6"/>
  <c r="J111" i="6"/>
  <c r="J46" i="6"/>
  <c r="J255" i="6"/>
  <c r="J10" i="6"/>
  <c r="J102" i="6"/>
  <c r="J131" i="6"/>
  <c r="J160" i="6"/>
  <c r="J390" i="6"/>
  <c r="J389" i="6"/>
  <c r="J105" i="6"/>
  <c r="J234" i="6"/>
  <c r="J40" i="6"/>
  <c r="J238" i="6"/>
  <c r="J294" i="6"/>
  <c r="J300" i="6"/>
  <c r="J55" i="6"/>
  <c r="J114" i="6"/>
  <c r="J380" i="6"/>
  <c r="J14" i="6"/>
  <c r="J340" i="6"/>
  <c r="J217" i="6"/>
  <c r="J62" i="6"/>
  <c r="J391" i="6"/>
  <c r="J268" i="6"/>
  <c r="J290" i="6"/>
  <c r="J96" i="6"/>
  <c r="J402" i="6"/>
  <c r="J179" i="6"/>
  <c r="J41" i="6"/>
  <c r="J106" i="6"/>
  <c r="J363" i="6"/>
  <c r="J373" i="6"/>
  <c r="J281" i="6"/>
  <c r="J223" i="6"/>
  <c r="J359" i="6"/>
  <c r="J397" i="6"/>
  <c r="J60" i="6"/>
  <c r="J120" i="6"/>
  <c r="J84" i="6"/>
  <c r="J189" i="6"/>
  <c r="J93" i="6"/>
  <c r="J199" i="6"/>
  <c r="J148" i="6"/>
  <c r="J98" i="6"/>
  <c r="J379" i="6"/>
  <c r="J49" i="6"/>
  <c r="J279" i="6"/>
  <c r="J16" i="6"/>
  <c r="J321" i="6"/>
  <c r="J239" i="6"/>
  <c r="J308" i="6"/>
  <c r="J135" i="6"/>
  <c r="J219" i="6"/>
  <c r="J221" i="6"/>
  <c r="J112" i="6"/>
  <c r="J350" i="6"/>
  <c r="J156" i="6"/>
  <c r="J167" i="6"/>
  <c r="J332" i="6"/>
  <c r="J87" i="6"/>
  <c r="J35" i="6"/>
  <c r="J109" i="6"/>
  <c r="J162" i="6"/>
  <c r="J280" i="6"/>
  <c r="J193" i="6"/>
  <c r="J153" i="6"/>
  <c r="J36" i="6"/>
  <c r="J181" i="6"/>
  <c r="J22" i="6"/>
  <c r="J377" i="6"/>
  <c r="J51" i="6"/>
  <c r="J129" i="6"/>
  <c r="J6" i="6"/>
  <c r="J329" i="6"/>
  <c r="J225" i="6"/>
  <c r="J173" i="6"/>
  <c r="J249" i="6"/>
  <c r="J146" i="6"/>
  <c r="J107" i="6"/>
  <c r="J198" i="6"/>
  <c r="J79" i="6"/>
  <c r="J388" i="6"/>
  <c r="J117" i="6"/>
  <c r="J38" i="6"/>
  <c r="J18" i="6"/>
  <c r="J370" i="6"/>
  <c r="J347" i="6"/>
  <c r="J15" i="6"/>
  <c r="J393" i="6"/>
  <c r="J12" i="6"/>
  <c r="J319" i="6"/>
  <c r="J382" i="6"/>
  <c r="J261" i="6"/>
  <c r="J401" i="6"/>
  <c r="J176" i="6"/>
  <c r="J333" i="6"/>
  <c r="J31" i="6"/>
  <c r="J315" i="6"/>
  <c r="J341" i="6"/>
  <c r="J166" i="6"/>
  <c r="J345" i="6"/>
  <c r="J369" i="6"/>
  <c r="J58" i="6"/>
  <c r="J27" i="6"/>
  <c r="J344" i="6"/>
  <c r="J383" i="6"/>
  <c r="J144" i="6"/>
  <c r="J356" i="6"/>
  <c r="J258" i="6"/>
  <c r="J267" i="6"/>
  <c r="J211" i="6"/>
  <c r="J161" i="6"/>
  <c r="J244" i="6"/>
  <c r="J42" i="6"/>
  <c r="J311" i="6"/>
  <c r="J47" i="6"/>
  <c r="J150" i="6"/>
  <c r="K5" i="6" a="1"/>
  <c r="K229" i="6"/>
  <c r="K267" i="6"/>
  <c r="K148" i="6"/>
  <c r="K279" i="6"/>
  <c r="K370" i="6"/>
  <c r="K379" i="6"/>
  <c r="K128" i="6"/>
  <c r="K345" i="6"/>
  <c r="K165" i="6"/>
  <c r="K393" i="6"/>
  <c r="K269" i="6"/>
  <c r="K237" i="6"/>
  <c r="K45" i="6"/>
  <c r="K38" i="6"/>
  <c r="K169" i="6"/>
  <c r="K203" i="6"/>
  <c r="K199" i="6"/>
  <c r="K251" i="6"/>
  <c r="K360" i="6"/>
  <c r="K198" i="6"/>
  <c r="K33" i="6"/>
  <c r="K223" i="6"/>
  <c r="K174" i="6"/>
  <c r="K22" i="6"/>
  <c r="K235" i="6"/>
  <c r="K50" i="6"/>
  <c r="K320" i="6"/>
  <c r="K359" i="6"/>
  <c r="K67" i="6"/>
  <c r="K157" i="6"/>
  <c r="K219" i="6"/>
  <c r="K348" i="6"/>
  <c r="K250" i="6"/>
  <c r="K398" i="6"/>
  <c r="K87" i="6"/>
  <c r="K108" i="6"/>
  <c r="K295" i="6"/>
  <c r="K175" i="6"/>
  <c r="K310" i="6"/>
  <c r="K264" i="6"/>
  <c r="K312" i="6"/>
  <c r="K139" i="6"/>
  <c r="K82" i="6"/>
  <c r="K278" i="6"/>
  <c r="K323" i="6"/>
  <c r="K277" i="6"/>
  <c r="K374" i="6"/>
  <c r="K205" i="6"/>
  <c r="K111" i="6"/>
  <c r="K309" i="6"/>
  <c r="K131" i="6"/>
  <c r="K164" i="6"/>
  <c r="K47" i="6"/>
  <c r="K395" i="6"/>
  <c r="K194" i="6"/>
  <c r="K261" i="6"/>
  <c r="K287" i="6"/>
  <c r="K328" i="6"/>
  <c r="K118" i="6"/>
  <c r="K211" i="6"/>
  <c r="K375" i="6"/>
  <c r="K11" i="6"/>
  <c r="K302" i="6"/>
  <c r="K25" i="6"/>
  <c r="K352" i="6"/>
  <c r="K257" i="6"/>
  <c r="K318" i="6"/>
  <c r="K13" i="6"/>
  <c r="K365" i="6"/>
  <c r="K16" i="6"/>
  <c r="K180" i="6"/>
  <c r="K351" i="6"/>
  <c r="K356" i="6"/>
  <c r="K190" i="6"/>
  <c r="K70" i="6"/>
  <c r="K396" i="6"/>
  <c r="K216" i="6"/>
  <c r="K353" i="6"/>
  <c r="K344" i="6"/>
  <c r="K253" i="6"/>
  <c r="K258" i="6"/>
  <c r="K341" i="6"/>
  <c r="K162" i="6"/>
  <c r="K62" i="6"/>
  <c r="K291" i="6"/>
  <c r="K314" i="6"/>
  <c r="K394" i="6"/>
  <c r="K72" i="6"/>
  <c r="K144" i="6"/>
  <c r="K191" i="6"/>
  <c r="K285" i="6"/>
  <c r="K284" i="6"/>
  <c r="K368" i="6"/>
  <c r="K262" i="6"/>
  <c r="K367" i="6"/>
  <c r="K176" i="6"/>
  <c r="K125" i="6"/>
  <c r="K212" i="6"/>
  <c r="K117" i="6"/>
  <c r="K129" i="6"/>
  <c r="K65" i="6"/>
  <c r="K273" i="6"/>
  <c r="K61" i="6"/>
  <c r="K221" i="6"/>
  <c r="K321" i="6"/>
  <c r="K383" i="6"/>
  <c r="K255" i="6"/>
  <c r="K266" i="6"/>
  <c r="K77" i="6"/>
  <c r="K357" i="6"/>
  <c r="K19" i="6"/>
  <c r="K380" i="6"/>
  <c r="K24" i="6"/>
  <c r="K282" i="6"/>
  <c r="K71" i="6"/>
  <c r="K115" i="6"/>
  <c r="K21" i="6"/>
  <c r="K85" i="6"/>
  <c r="K179" i="6"/>
  <c r="K227" i="6"/>
  <c r="K120" i="6"/>
  <c r="K170" i="6"/>
  <c r="K53" i="6"/>
  <c r="K154" i="6"/>
  <c r="K112" i="6"/>
  <c r="K160" i="6"/>
  <c r="K311" i="6"/>
  <c r="K123" i="6"/>
  <c r="K46" i="6"/>
  <c r="K173" i="6"/>
  <c r="K245" i="6"/>
  <c r="K102" i="6"/>
  <c r="K105" i="6"/>
  <c r="K385" i="6"/>
  <c r="K249" i="6"/>
  <c r="K228" i="6"/>
  <c r="K49" i="6"/>
  <c r="K26" i="6"/>
  <c r="K315" i="6"/>
  <c r="K136" i="6"/>
  <c r="K137" i="6"/>
  <c r="K330" i="6"/>
  <c r="K30" i="6"/>
  <c r="K55" i="6"/>
  <c r="K389" i="6"/>
  <c r="K54" i="6"/>
  <c r="K182" i="6"/>
  <c r="K236" i="6"/>
  <c r="K196" i="6"/>
  <c r="K42" i="6"/>
  <c r="K159" i="6"/>
  <c r="K263" i="6"/>
  <c r="K369" i="6"/>
  <c r="K334" i="6"/>
  <c r="K300" i="6"/>
  <c r="K153" i="6"/>
  <c r="K142" i="6"/>
  <c r="K331" i="6"/>
  <c r="K305" i="6"/>
  <c r="K350" i="6"/>
  <c r="K322" i="6"/>
  <c r="K80" i="6"/>
  <c r="K336" i="6"/>
  <c r="K362" i="6"/>
  <c r="K167" i="6"/>
  <c r="K265" i="6"/>
  <c r="K32" i="6"/>
  <c r="K122" i="6"/>
  <c r="K386" i="6"/>
  <c r="K121" i="6"/>
  <c r="K217" i="6"/>
  <c r="K69" i="6"/>
  <c r="K286" i="6"/>
  <c r="K391" i="6"/>
  <c r="K90" i="6"/>
  <c r="K246" i="6"/>
  <c r="K201" i="6"/>
  <c r="K185" i="6"/>
  <c r="K133" i="6"/>
  <c r="K296" i="6"/>
  <c r="K377" i="6"/>
  <c r="K364" i="6"/>
  <c r="K283" i="6"/>
  <c r="K134" i="6"/>
  <c r="K96" i="6"/>
  <c r="K34" i="6"/>
  <c r="K215" i="6"/>
  <c r="K94" i="6"/>
  <c r="K104" i="6"/>
  <c r="K48" i="6"/>
  <c r="K304" i="6"/>
  <c r="K88" i="6"/>
  <c r="K184" i="6"/>
  <c r="K76" i="6"/>
  <c r="K303" i="6"/>
  <c r="K78" i="6"/>
  <c r="K259" i="6"/>
  <c r="K225" i="6"/>
  <c r="K293" i="6"/>
  <c r="K387" i="6"/>
  <c r="K256" i="6"/>
  <c r="K40" i="6"/>
  <c r="K51" i="6"/>
  <c r="K58" i="6"/>
  <c r="K197" i="6"/>
  <c r="K324" i="6"/>
  <c r="K247" i="6"/>
  <c r="K401" i="6"/>
  <c r="K143" i="6"/>
  <c r="K208" i="6"/>
  <c r="K127" i="6"/>
  <c r="K213" i="6"/>
  <c r="K332" i="6"/>
  <c r="K274" i="6"/>
  <c r="K347" i="6"/>
  <c r="K156" i="6"/>
  <c r="K392" i="6"/>
  <c r="K130" i="6"/>
  <c r="K339" i="6"/>
  <c r="K109" i="6"/>
  <c r="K116" i="6"/>
  <c r="K376" i="6"/>
  <c r="K91" i="6"/>
  <c r="K292" i="6"/>
  <c r="K313" i="6"/>
  <c r="K231" i="6"/>
  <c r="K220" i="6"/>
  <c r="K307" i="6"/>
  <c r="K280" i="6"/>
  <c r="K294" i="6"/>
  <c r="K270" i="6"/>
  <c r="K92" i="6"/>
  <c r="K354" i="6"/>
  <c r="K97" i="6"/>
  <c r="K355" i="6"/>
  <c r="K119" i="6"/>
  <c r="K260" i="6"/>
  <c r="K240" i="6"/>
  <c r="K337" i="6"/>
  <c r="K168" i="6"/>
  <c r="K66" i="6"/>
  <c r="K106" i="6"/>
  <c r="K404" i="6"/>
  <c r="K107" i="6"/>
  <c r="K135" i="6"/>
  <c r="K178" i="6"/>
  <c r="K272" i="6"/>
  <c r="K308" i="6"/>
  <c r="K372" i="6"/>
  <c r="K172" i="6"/>
  <c r="K171" i="6"/>
  <c r="K151" i="6"/>
  <c r="K275" i="6"/>
  <c r="K335" i="6"/>
  <c r="K124" i="6"/>
  <c r="K59" i="6"/>
  <c r="K110" i="6"/>
  <c r="K288" i="6"/>
  <c r="K233" i="6"/>
  <c r="K192" i="6"/>
  <c r="K234" i="6"/>
  <c r="K254" i="6"/>
  <c r="K271" i="6"/>
  <c r="K242" i="6"/>
  <c r="K187" i="6"/>
  <c r="K333" i="6"/>
  <c r="K204" i="6"/>
  <c r="K397" i="6"/>
  <c r="K149" i="6"/>
  <c r="K145" i="6"/>
  <c r="K371" i="6"/>
  <c r="K183" i="6"/>
  <c r="K378" i="6"/>
  <c r="K306" i="6"/>
  <c r="K93" i="6"/>
  <c r="K241" i="6"/>
  <c r="K226" i="6"/>
  <c r="K161" i="6"/>
  <c r="K155" i="6"/>
  <c r="K7" i="6"/>
  <c r="K73" i="6"/>
  <c r="K60" i="6"/>
  <c r="K290" i="6"/>
  <c r="K8" i="6"/>
  <c r="K9" i="6"/>
  <c r="K103" i="6"/>
  <c r="K41" i="6"/>
  <c r="K5" i="6"/>
  <c r="K132" i="6"/>
  <c r="K338" i="6"/>
  <c r="K209" i="6"/>
  <c r="K222" i="6"/>
  <c r="K298" i="6"/>
  <c r="K299" i="6"/>
  <c r="K252" i="6"/>
  <c r="K10" i="6"/>
  <c r="K138" i="6"/>
  <c r="K44" i="6"/>
  <c r="K200" i="6"/>
  <c r="K382" i="6"/>
  <c r="K75" i="6"/>
  <c r="K349" i="6"/>
  <c r="K81" i="6"/>
  <c r="K17" i="6"/>
  <c r="K346" i="6"/>
  <c r="K327" i="6"/>
  <c r="K152" i="6"/>
  <c r="K189" i="6"/>
  <c r="K37" i="6"/>
  <c r="K325" i="6"/>
  <c r="K297" i="6"/>
  <c r="K100" i="6"/>
  <c r="K276" i="6"/>
  <c r="K186" i="6"/>
  <c r="K15" i="6"/>
  <c r="K114" i="6"/>
  <c r="K248" i="6"/>
  <c r="K35" i="6"/>
  <c r="K36" i="6"/>
  <c r="K218" i="6"/>
  <c r="K28" i="6"/>
  <c r="K326" i="6"/>
  <c r="K12" i="6"/>
  <c r="K343" i="6"/>
  <c r="K56" i="6"/>
  <c r="K340" i="6"/>
  <c r="K84" i="6"/>
  <c r="K238" i="6"/>
  <c r="K79" i="6"/>
  <c r="K113" i="6"/>
  <c r="K74" i="6"/>
  <c r="K141" i="6"/>
  <c r="K57" i="6"/>
  <c r="K243" i="6"/>
  <c r="K99" i="6"/>
  <c r="K402" i="6"/>
  <c r="K403" i="6"/>
  <c r="K193" i="6"/>
  <c r="K207" i="6"/>
  <c r="K31" i="6"/>
  <c r="K244" i="6"/>
  <c r="K140" i="6"/>
  <c r="K399" i="6"/>
  <c r="K14" i="6"/>
  <c r="K27" i="6"/>
  <c r="K400" i="6"/>
  <c r="K163" i="6"/>
  <c r="K281" i="6"/>
  <c r="K232" i="6"/>
  <c r="K361" i="6"/>
  <c r="K188" i="6"/>
  <c r="K89" i="6"/>
  <c r="K366" i="6"/>
  <c r="K29" i="6"/>
  <c r="K177" i="6"/>
  <c r="K146" i="6"/>
  <c r="K202" i="6"/>
  <c r="K63" i="6"/>
  <c r="K319" i="6"/>
  <c r="K150" i="6"/>
  <c r="K39" i="6"/>
  <c r="K384" i="6"/>
  <c r="K98" i="6"/>
  <c r="K224" i="6"/>
  <c r="K289" i="6"/>
  <c r="K206" i="6"/>
  <c r="K381" i="6"/>
  <c r="K301" i="6"/>
  <c r="K373" i="6"/>
  <c r="K6" i="6"/>
  <c r="K230" i="6"/>
  <c r="K195" i="6"/>
  <c r="K388" i="6"/>
  <c r="K390" i="6"/>
  <c r="K20" i="6"/>
  <c r="K43" i="6"/>
  <c r="K158" i="6"/>
  <c r="K147" i="6"/>
  <c r="K64" i="6"/>
  <c r="K18" i="6"/>
  <c r="K358" i="6"/>
  <c r="K317" i="6"/>
  <c r="K342" i="6"/>
  <c r="K268" i="6"/>
  <c r="K52" i="6"/>
  <c r="K316" i="6"/>
  <c r="K239" i="6"/>
  <c r="K68" i="6"/>
  <c r="K181" i="6"/>
  <c r="K23" i="6"/>
  <c r="K95" i="6"/>
  <c r="K166" i="6"/>
  <c r="K329" i="6"/>
  <c r="K126" i="6"/>
  <c r="K363" i="6"/>
  <c r="K214" i="6"/>
  <c r="K101" i="6"/>
  <c r="K210" i="6"/>
  <c r="K83" i="6"/>
  <c r="K86" i="6"/>
  <c r="K5" i="8" a="1"/>
  <c r="K387" i="8"/>
  <c r="K357" i="8"/>
  <c r="K333" i="8"/>
  <c r="K299" i="8"/>
  <c r="K260" i="8"/>
  <c r="K224" i="8"/>
  <c r="K186" i="8"/>
  <c r="K146" i="8"/>
  <c r="K111" i="8"/>
  <c r="K59" i="8"/>
  <c r="K384" i="8"/>
  <c r="K356" i="8"/>
  <c r="K325" i="8"/>
  <c r="K287" i="8"/>
  <c r="K248" i="8"/>
  <c r="K212" i="8"/>
  <c r="K173" i="8"/>
  <c r="K133" i="8"/>
  <c r="K99" i="8"/>
  <c r="K58" i="8"/>
  <c r="K404" i="8"/>
  <c r="K376" i="8"/>
  <c r="K355" i="8"/>
  <c r="K324" i="8"/>
  <c r="K284" i="8"/>
  <c r="K245" i="8"/>
  <c r="K210" i="8"/>
  <c r="K171" i="8"/>
  <c r="K132" i="8"/>
  <c r="K96" i="8"/>
  <c r="K53" i="8"/>
  <c r="K402" i="8"/>
  <c r="K319" i="8"/>
  <c r="K205" i="8"/>
  <c r="K42" i="8"/>
  <c r="K372" i="8"/>
  <c r="K282" i="8"/>
  <c r="K128" i="8"/>
  <c r="K394" i="8"/>
  <c r="K370" i="8"/>
  <c r="K341" i="8"/>
  <c r="K304" i="8"/>
  <c r="K269" i="8"/>
  <c r="K229" i="8"/>
  <c r="K191" i="8"/>
  <c r="K155" i="8"/>
  <c r="K116" i="8"/>
  <c r="K77" i="8"/>
  <c r="K28" i="8"/>
  <c r="K373" i="8"/>
  <c r="K244" i="8"/>
  <c r="K131" i="8"/>
  <c r="K400" i="8"/>
  <c r="K316" i="8"/>
  <c r="K203" i="8"/>
  <c r="K90" i="8"/>
  <c r="K389" i="8"/>
  <c r="K368" i="8"/>
  <c r="K340" i="8"/>
  <c r="K303" i="8"/>
  <c r="K267" i="8"/>
  <c r="K228" i="8"/>
  <c r="K188" i="8"/>
  <c r="K154" i="8"/>
  <c r="K114" i="8"/>
  <c r="K75" i="8"/>
  <c r="K11" i="8"/>
  <c r="K352" i="8"/>
  <c r="K283" i="8"/>
  <c r="K170" i="8"/>
  <c r="K91" i="8"/>
  <c r="K344" i="8"/>
  <c r="K242" i="8"/>
  <c r="K167" i="8"/>
  <c r="K39" i="8"/>
  <c r="K388" i="8"/>
  <c r="K359" i="8"/>
  <c r="K338" i="8"/>
  <c r="K301" i="8"/>
  <c r="K261" i="8"/>
  <c r="K227" i="8"/>
  <c r="K187" i="8"/>
  <c r="K148" i="8"/>
  <c r="K112" i="8"/>
  <c r="K71" i="8"/>
  <c r="K7" i="8"/>
  <c r="K315" i="8"/>
  <c r="K298" i="8"/>
  <c r="K276" i="8"/>
  <c r="K259" i="8"/>
  <c r="K240" i="8"/>
  <c r="K219" i="8"/>
  <c r="K202" i="8"/>
  <c r="K184" i="8"/>
  <c r="K163" i="8"/>
  <c r="K144" i="8"/>
  <c r="K127" i="8"/>
  <c r="K106" i="8"/>
  <c r="K88" i="8"/>
  <c r="K69" i="8"/>
  <c r="K48" i="8"/>
  <c r="K27" i="8"/>
  <c r="K399" i="8"/>
  <c r="K383" i="8"/>
  <c r="K367" i="8"/>
  <c r="K351" i="8"/>
  <c r="K331" i="8"/>
  <c r="K314" i="8"/>
  <c r="K295" i="8"/>
  <c r="K274" i="8"/>
  <c r="K256" i="8"/>
  <c r="K239" i="8"/>
  <c r="K218" i="8"/>
  <c r="K199" i="8"/>
  <c r="K181" i="8"/>
  <c r="K160" i="8"/>
  <c r="K143" i="8"/>
  <c r="K124" i="8"/>
  <c r="K103" i="8"/>
  <c r="K85" i="8"/>
  <c r="K68" i="8"/>
  <c r="K47" i="8"/>
  <c r="K26" i="8"/>
  <c r="K397" i="8"/>
  <c r="K380" i="8"/>
  <c r="K365" i="8"/>
  <c r="K347" i="8"/>
  <c r="K330" i="8"/>
  <c r="K312" i="8"/>
  <c r="K291" i="8"/>
  <c r="K272" i="8"/>
  <c r="K255" i="8"/>
  <c r="K234" i="8"/>
  <c r="K216" i="8"/>
  <c r="K197" i="8"/>
  <c r="K176" i="8"/>
  <c r="K159" i="8"/>
  <c r="K141" i="8"/>
  <c r="K120" i="8"/>
  <c r="K101" i="8"/>
  <c r="K84" i="8"/>
  <c r="K63" i="8"/>
  <c r="K45" i="8"/>
  <c r="K21" i="8"/>
  <c r="K395" i="8"/>
  <c r="K379" i="8"/>
  <c r="K362" i="8"/>
  <c r="K346" i="8"/>
  <c r="K327" i="8"/>
  <c r="K309" i="8"/>
  <c r="K288" i="8"/>
  <c r="K271" i="8"/>
  <c r="K252" i="8"/>
  <c r="K231" i="8"/>
  <c r="K213" i="8"/>
  <c r="K196" i="8"/>
  <c r="K175" i="8"/>
  <c r="K156" i="8"/>
  <c r="K139" i="8"/>
  <c r="K117" i="8"/>
  <c r="K100" i="8"/>
  <c r="K82" i="8"/>
  <c r="K60" i="8"/>
  <c r="K43" i="8"/>
  <c r="K18" i="8"/>
  <c r="K74" i="8"/>
  <c r="K56" i="8"/>
  <c r="K32" i="8"/>
  <c r="K5" i="8"/>
  <c r="K336" i="8"/>
  <c r="K323" i="8"/>
  <c r="K308" i="8"/>
  <c r="K293" i="8"/>
  <c r="K280" i="8"/>
  <c r="K266" i="8"/>
  <c r="K251" i="8"/>
  <c r="K237" i="8"/>
  <c r="K223" i="8"/>
  <c r="K208" i="8"/>
  <c r="K195" i="8"/>
  <c r="K180" i="8"/>
  <c r="K165" i="8"/>
  <c r="K152" i="8"/>
  <c r="K138" i="8"/>
  <c r="K123" i="8"/>
  <c r="K109" i="8"/>
  <c r="K95" i="8"/>
  <c r="K80" i="8"/>
  <c r="K67" i="8"/>
  <c r="K52" i="8"/>
  <c r="K37" i="8"/>
  <c r="K16" i="8"/>
  <c r="K391" i="8"/>
  <c r="K378" i="8"/>
  <c r="K363" i="8"/>
  <c r="K348" i="8"/>
  <c r="K335" i="8"/>
  <c r="K320" i="8"/>
  <c r="K306" i="8"/>
  <c r="K292" i="8"/>
  <c r="K277" i="8"/>
  <c r="K263" i="8"/>
  <c r="K250" i="8"/>
  <c r="K235" i="8"/>
  <c r="K220" i="8"/>
  <c r="K207" i="8"/>
  <c r="K192" i="8"/>
  <c r="K178" i="8"/>
  <c r="K164" i="8"/>
  <c r="K149" i="8"/>
  <c r="K135" i="8"/>
  <c r="K122" i="8"/>
  <c r="K107" i="8"/>
  <c r="K92" i="8"/>
  <c r="K79" i="8"/>
  <c r="K64" i="8"/>
  <c r="K50" i="8"/>
  <c r="K36" i="8"/>
  <c r="K15" i="8"/>
  <c r="K35" i="8"/>
  <c r="K24" i="8"/>
  <c r="K13" i="8"/>
  <c r="K396" i="8"/>
  <c r="K386" i="8"/>
  <c r="K375" i="8"/>
  <c r="K364" i="8"/>
  <c r="K354" i="8"/>
  <c r="K343" i="8"/>
  <c r="K332" i="8"/>
  <c r="K322" i="8"/>
  <c r="K311" i="8"/>
  <c r="K300" i="8"/>
  <c r="K290" i="8"/>
  <c r="K279" i="8"/>
  <c r="K268" i="8"/>
  <c r="K258" i="8"/>
  <c r="K247" i="8"/>
  <c r="K236" i="8"/>
  <c r="K226" i="8"/>
  <c r="K215" i="8"/>
  <c r="K204" i="8"/>
  <c r="K194" i="8"/>
  <c r="K183" i="8"/>
  <c r="K172" i="8"/>
  <c r="K162" i="8"/>
  <c r="K151" i="8"/>
  <c r="K140" i="8"/>
  <c r="K130" i="8"/>
  <c r="K119" i="8"/>
  <c r="K108" i="8"/>
  <c r="K98" i="8"/>
  <c r="K87" i="8"/>
  <c r="K76" i="8"/>
  <c r="K66" i="8"/>
  <c r="K55" i="8"/>
  <c r="K44" i="8"/>
  <c r="K34" i="8"/>
  <c r="K23" i="8"/>
  <c r="K12" i="8"/>
  <c r="K31" i="8"/>
  <c r="K20" i="8"/>
  <c r="K10" i="8"/>
  <c r="K403" i="8"/>
  <c r="K392" i="8"/>
  <c r="K381" i="8"/>
  <c r="K371" i="8"/>
  <c r="K360" i="8"/>
  <c r="K349" i="8"/>
  <c r="K339" i="8"/>
  <c r="K328" i="8"/>
  <c r="K317" i="8"/>
  <c r="K307" i="8"/>
  <c r="K296" i="8"/>
  <c r="K285" i="8"/>
  <c r="K275" i="8"/>
  <c r="K264" i="8"/>
  <c r="K253" i="8"/>
  <c r="K243" i="8"/>
  <c r="K232" i="8"/>
  <c r="K221" i="8"/>
  <c r="K211" i="8"/>
  <c r="K200" i="8"/>
  <c r="K189" i="8"/>
  <c r="K179" i="8"/>
  <c r="K168" i="8"/>
  <c r="K157" i="8"/>
  <c r="K147" i="8"/>
  <c r="K136" i="8"/>
  <c r="K125" i="8"/>
  <c r="K115" i="8"/>
  <c r="K104" i="8"/>
  <c r="K93" i="8"/>
  <c r="K83" i="8"/>
  <c r="K72" i="8"/>
  <c r="K61" i="8"/>
  <c r="K51" i="8"/>
  <c r="K40" i="8"/>
  <c r="K29" i="8"/>
  <c r="K19" i="8"/>
  <c r="K8" i="8"/>
  <c r="K401" i="8"/>
  <c r="K393" i="8"/>
  <c r="K385" i="8"/>
  <c r="K377" i="8"/>
  <c r="K369" i="8"/>
  <c r="K361" i="8"/>
  <c r="K353" i="8"/>
  <c r="K345" i="8"/>
  <c r="K337" i="8"/>
  <c r="K329" i="8"/>
  <c r="K321" i="8"/>
  <c r="K313" i="8"/>
  <c r="K305" i="8"/>
  <c r="K297" i="8"/>
  <c r="K289" i="8"/>
  <c r="K281" i="8"/>
  <c r="K273" i="8"/>
  <c r="K265" i="8"/>
  <c r="K257" i="8"/>
  <c r="K249" i="8"/>
  <c r="K241" i="8"/>
  <c r="K233" i="8"/>
  <c r="K225" i="8"/>
  <c r="K217" i="8"/>
  <c r="K209" i="8"/>
  <c r="K201" i="8"/>
  <c r="K193" i="8"/>
  <c r="K185" i="8"/>
  <c r="K177" i="8"/>
  <c r="K169" i="8"/>
  <c r="K161" i="8"/>
  <c r="K153" i="8"/>
  <c r="K145" i="8"/>
  <c r="K137" i="8"/>
  <c r="K129" i="8"/>
  <c r="K121" i="8"/>
  <c r="K113" i="8"/>
  <c r="K105" i="8"/>
  <c r="K97" i="8"/>
  <c r="K89" i="8"/>
  <c r="K81" i="8"/>
  <c r="K73" i="8"/>
  <c r="K65" i="8"/>
  <c r="K57" i="8"/>
  <c r="K49" i="8"/>
  <c r="K41" i="8"/>
  <c r="K33" i="8"/>
  <c r="K25" i="8"/>
  <c r="K17" i="8"/>
  <c r="K9" i="8"/>
  <c r="K398" i="8"/>
  <c r="K390" i="8"/>
  <c r="K382" i="8"/>
  <c r="K374" i="8"/>
  <c r="K366" i="8"/>
  <c r="K358" i="8"/>
  <c r="K350" i="8"/>
  <c r="K342" i="8"/>
  <c r="K334" i="8"/>
  <c r="K326" i="8"/>
  <c r="K318" i="8"/>
  <c r="K310" i="8"/>
  <c r="K302" i="8"/>
  <c r="K294" i="8"/>
  <c r="K286" i="8"/>
  <c r="K278" i="8"/>
  <c r="K270" i="8"/>
  <c r="K262" i="8"/>
  <c r="K254" i="8"/>
  <c r="K246" i="8"/>
  <c r="K238" i="8"/>
  <c r="K230" i="8"/>
  <c r="K222" i="8"/>
  <c r="K214" i="8"/>
  <c r="K206" i="8"/>
  <c r="K198" i="8"/>
  <c r="K190" i="8"/>
  <c r="K182" i="8"/>
  <c r="K174" i="8"/>
  <c r="K166" i="8"/>
  <c r="K158" i="8"/>
  <c r="K150" i="8"/>
  <c r="K142" i="8"/>
  <c r="K134" i="8"/>
  <c r="K126" i="8"/>
  <c r="K118" i="8"/>
  <c r="K110" i="8"/>
  <c r="K102" i="8"/>
  <c r="K94" i="8"/>
  <c r="K86" i="8"/>
  <c r="K78" i="8"/>
  <c r="K70" i="8"/>
  <c r="K62" i="8"/>
  <c r="K54" i="8"/>
  <c r="K46" i="8"/>
  <c r="K38" i="8"/>
  <c r="K30" i="8"/>
  <c r="K22" i="8"/>
  <c r="K14" i="8"/>
  <c r="K6" i="8"/>
</calcChain>
</file>

<file path=xl/sharedStrings.xml><?xml version="1.0" encoding="utf-8"?>
<sst xmlns="http://schemas.openxmlformats.org/spreadsheetml/2006/main" count="1012" uniqueCount="78">
  <si>
    <t>z</t>
  </si>
  <si>
    <t>phi</t>
  </si>
  <si>
    <t>meMathNormalDistributionStandard</t>
  </si>
  <si>
    <t>meMathNormalDistributionStandardInverse</t>
  </si>
  <si>
    <t>meMathNormalDistribution</t>
  </si>
  <si>
    <t>Mean</t>
  </si>
  <si>
    <t>Variance</t>
  </si>
  <si>
    <t>meMathNormalDistributionInverse</t>
  </si>
  <si>
    <t>Check</t>
  </si>
  <si>
    <t>Excel Check</t>
  </si>
  <si>
    <t>-</t>
  </si>
  <si>
    <t>Probability, Phi</t>
  </si>
  <si>
    <t>Pdf</t>
  </si>
  <si>
    <t>Normal Variate, z</t>
  </si>
  <si>
    <t>Normal Variate, x</t>
  </si>
  <si>
    <t>CallOrPut</t>
  </si>
  <si>
    <t>Spot</t>
  </si>
  <si>
    <t>Strike</t>
  </si>
  <si>
    <t>Vol</t>
  </si>
  <si>
    <t>Time</t>
  </si>
  <si>
    <t>Rate</t>
  </si>
  <si>
    <t>Carry</t>
  </si>
  <si>
    <t>Gamma</t>
  </si>
  <si>
    <t>Vega</t>
  </si>
  <si>
    <t>Theta</t>
  </si>
  <si>
    <t>Rho</t>
  </si>
  <si>
    <t>Moneyness</t>
  </si>
  <si>
    <t>Forward Delta</t>
  </si>
  <si>
    <t>Spot Delta</t>
  </si>
  <si>
    <t>ShiftSize</t>
  </si>
  <si>
    <t>SpotShift</t>
  </si>
  <si>
    <t>TimeShift</t>
  </si>
  <si>
    <t>Result</t>
  </si>
  <si>
    <t>Price</t>
  </si>
  <si>
    <t>CALL</t>
  </si>
  <si>
    <t>Spot \ Expiry</t>
  </si>
  <si>
    <t>Display</t>
  </si>
  <si>
    <t>Parameters</t>
  </si>
  <si>
    <t>Nd1</t>
  </si>
  <si>
    <t>Nd2</t>
  </si>
  <si>
    <t>d1</t>
  </si>
  <si>
    <t>d2</t>
  </si>
  <si>
    <t>exp(-rt)</t>
  </si>
  <si>
    <t>Call Price</t>
  </si>
  <si>
    <t>Put Price</t>
  </si>
  <si>
    <t>exp((b-r)t)</t>
  </si>
  <si>
    <t>Nminusd1</t>
  </si>
  <si>
    <t>Nminusd2</t>
  </si>
  <si>
    <t>Manual Price Check</t>
  </si>
  <si>
    <t>Spot Delta Numerical</t>
  </si>
  <si>
    <t>Price No Bump</t>
  </si>
  <si>
    <t>Price Bump Up</t>
  </si>
  <si>
    <t>BumpSize</t>
  </si>
  <si>
    <t>DiscFact</t>
  </si>
  <si>
    <t>Theta Numerical</t>
  </si>
  <si>
    <t>Price Bump Down</t>
  </si>
  <si>
    <t>+/-</t>
  </si>
  <si>
    <t>Gamma Numerical</t>
  </si>
  <si>
    <t>Rho Numerical</t>
  </si>
  <si>
    <t>Vega Numerical</t>
  </si>
  <si>
    <t>VEGA</t>
  </si>
  <si>
    <t>Implied Volatility</t>
  </si>
  <si>
    <t>ImpVol</t>
  </si>
  <si>
    <t>ImpliedVol</t>
  </si>
  <si>
    <t xml:space="preserve"> </t>
  </si>
  <si>
    <t>PUT</t>
  </si>
  <si>
    <t>Optimize</t>
  </si>
  <si>
    <t>Annuity</t>
  </si>
  <si>
    <t>PayerReceiver</t>
  </si>
  <si>
    <t>SwapRate</t>
  </si>
  <si>
    <t>PayerOrReceiver</t>
  </si>
  <si>
    <t>RECEIVER</t>
  </si>
  <si>
    <t>PAYER</t>
  </si>
  <si>
    <t>Shift</t>
  </si>
  <si>
    <t>Shifted-LogNormal / Displaced Diffusion Prices</t>
  </si>
  <si>
    <t>DD Vol</t>
  </si>
  <si>
    <t>Check: +/-</t>
  </si>
  <si>
    <t>Black-76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</si>
</sst>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0000"/>
    <numFmt numFmtId="165" formatCode="#,##0.0000"/>
    <numFmt numFmtId="166" formatCode="0.000000E+00"/>
    <numFmt numFmtId="167" formatCode="0.0E+00"/>
    <numFmt numFmtId="168" formatCode="0.0000E+00"/>
    <numFmt numFmtId="169" formatCode="0.0%"/>
    <numFmt numFmtId="170" formatCode="0.0000"/>
    <numFmt numFmtId="171" formatCode="0.000%"/>
    <numFmt numFmtId="172" formatCode="0.000E+00"/>
  </numFmts>
  <fonts count="1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6" fontId="0" fillId="0" borderId="0" xfId="0" applyNumberFormat="1"/>
    <xf numFmtId="167" fontId="3" fillId="0" borderId="0" xfId="0" applyNumberFormat="1" applyFont="1" applyAlignment="1">
      <alignment horizontal="center" vertical="center"/>
    </xf>
    <xf numFmtId="167" fontId="3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  <xf numFmtId="0" fontId="6" fillId="0" borderId="0" xfId="0" applyFont="1"/>
    <xf numFmtId="168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0" borderId="0" xfId="0" applyFont="1"/>
    <xf numFmtId="0" fontId="8" fillId="5" borderId="0" xfId="0" applyFont="1" applyFill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6" fillId="2" borderId="4" xfId="0" applyFont="1" applyFill="1" applyBorder="1" applyAlignment="1">
      <alignment horizontal="center" vertical="center"/>
    </xf>
    <xf numFmtId="9" fontId="6" fillId="2" borderId="7" xfId="0" applyNumberFormat="1" applyFont="1" applyFill="1" applyBorder="1" applyAlignment="1">
      <alignment horizontal="center" vertical="center"/>
    </xf>
    <xf numFmtId="9" fontId="6" fillId="2" borderId="7" xfId="0" applyNumberFormat="1" applyFont="1" applyFill="1" applyBorder="1" applyAlignment="1">
      <alignment horizontal="center"/>
    </xf>
    <xf numFmtId="9" fontId="6" fillId="2" borderId="4" xfId="0" applyNumberFormat="1" applyFont="1" applyFill="1" applyBorder="1" applyAlignment="1">
      <alignment horizontal="center"/>
    </xf>
    <xf numFmtId="4" fontId="6" fillId="2" borderId="7" xfId="0" applyNumberFormat="1" applyFont="1" applyFill="1" applyBorder="1" applyAlignment="1">
      <alignment horizontal="center" vertical="center"/>
    </xf>
    <xf numFmtId="4" fontId="6" fillId="2" borderId="0" xfId="0" applyNumberFormat="1" applyFont="1" applyFill="1" applyBorder="1" applyAlignment="1">
      <alignment horizontal="center" vertical="center"/>
    </xf>
    <xf numFmtId="4" fontId="6" fillId="2" borderId="8" xfId="0" applyNumberFormat="1" applyFont="1" applyFill="1" applyBorder="1" applyAlignment="1">
      <alignment horizontal="center" vertical="center"/>
    </xf>
    <xf numFmtId="4" fontId="7" fillId="6" borderId="7" xfId="0" applyNumberFormat="1" applyFont="1" applyFill="1" applyBorder="1" applyAlignment="1">
      <alignment horizontal="center" vertical="center"/>
    </xf>
    <xf numFmtId="4" fontId="7" fillId="6" borderId="0" xfId="0" applyNumberFormat="1" applyFont="1" applyFill="1" applyBorder="1" applyAlignment="1">
      <alignment horizontal="center" vertical="center"/>
    </xf>
    <xf numFmtId="4" fontId="7" fillId="6" borderId="8" xfId="0" applyNumberFormat="1" applyFont="1" applyFill="1" applyBorder="1" applyAlignment="1">
      <alignment horizontal="center" vertical="center"/>
    </xf>
    <xf numFmtId="4" fontId="6" fillId="2" borderId="7" xfId="0" applyNumberFormat="1" applyFont="1" applyFill="1" applyBorder="1" applyAlignment="1">
      <alignment horizontal="center"/>
    </xf>
    <xf numFmtId="4" fontId="6" fillId="2" borderId="0" xfId="0" applyNumberFormat="1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center"/>
    </xf>
    <xf numFmtId="4" fontId="6" fillId="2" borderId="4" xfId="0" applyNumberFormat="1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/>
    </xf>
    <xf numFmtId="4" fontId="7" fillId="7" borderId="0" xfId="0" applyNumberFormat="1" applyFont="1" applyFill="1" applyBorder="1" applyAlignment="1">
      <alignment horizontal="center" vertical="center"/>
    </xf>
    <xf numFmtId="4" fontId="7" fillId="7" borderId="5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9" fontId="6" fillId="2" borderId="0" xfId="0" applyNumberFormat="1" applyFont="1" applyFill="1" applyBorder="1" applyAlignment="1">
      <alignment horizontal="center" vertical="center"/>
    </xf>
    <xf numFmtId="9" fontId="6" fillId="2" borderId="8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169" fontId="5" fillId="5" borderId="0" xfId="0" applyNumberFormat="1" applyFont="1" applyFill="1" applyAlignment="1">
      <alignment horizontal="center" vertical="center"/>
    </xf>
    <xf numFmtId="9" fontId="7" fillId="2" borderId="0" xfId="0" applyNumberFormat="1" applyFont="1" applyFill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" fontId="7" fillId="2" borderId="8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0" fontId="6" fillId="2" borderId="7" xfId="0" applyNumberFormat="1" applyFont="1" applyFill="1" applyBorder="1" applyAlignment="1">
      <alignment horizontal="center" vertical="center"/>
    </xf>
    <xf numFmtId="10" fontId="6" fillId="2" borderId="0" xfId="0" applyNumberFormat="1" applyFont="1" applyFill="1" applyBorder="1" applyAlignment="1">
      <alignment horizontal="center" vertical="center"/>
    </xf>
    <xf numFmtId="10" fontId="7" fillId="7" borderId="0" xfId="0" applyNumberFormat="1" applyFont="1" applyFill="1" applyBorder="1" applyAlignment="1">
      <alignment horizontal="center" vertical="center"/>
    </xf>
    <xf numFmtId="10" fontId="6" fillId="2" borderId="8" xfId="0" applyNumberFormat="1" applyFont="1" applyFill="1" applyBorder="1" applyAlignment="1">
      <alignment horizontal="center" vertical="center"/>
    </xf>
    <xf numFmtId="10" fontId="7" fillId="6" borderId="7" xfId="0" applyNumberFormat="1" applyFont="1" applyFill="1" applyBorder="1" applyAlignment="1">
      <alignment horizontal="center" vertical="center"/>
    </xf>
    <xf numFmtId="10" fontId="7" fillId="6" borderId="0" xfId="0" applyNumberFormat="1" applyFont="1" applyFill="1" applyBorder="1" applyAlignment="1">
      <alignment horizontal="center" vertical="center"/>
    </xf>
    <xf numFmtId="10" fontId="7" fillId="6" borderId="8" xfId="0" applyNumberFormat="1" applyFont="1" applyFill="1" applyBorder="1" applyAlignment="1">
      <alignment horizontal="center" vertical="center"/>
    </xf>
    <xf numFmtId="10" fontId="6" fillId="2" borderId="7" xfId="0" applyNumberFormat="1" applyFont="1" applyFill="1" applyBorder="1" applyAlignment="1">
      <alignment horizontal="center"/>
    </xf>
    <xf numFmtId="10" fontId="6" fillId="2" borderId="0" xfId="0" applyNumberFormat="1" applyFont="1" applyFill="1" applyBorder="1" applyAlignment="1">
      <alignment horizontal="center"/>
    </xf>
    <xf numFmtId="10" fontId="6" fillId="2" borderId="8" xfId="0" applyNumberFormat="1" applyFont="1" applyFill="1" applyBorder="1" applyAlignment="1">
      <alignment horizontal="center"/>
    </xf>
    <xf numFmtId="10" fontId="6" fillId="2" borderId="4" xfId="0" applyNumberFormat="1" applyFont="1" applyFill="1" applyBorder="1" applyAlignment="1">
      <alignment horizontal="center"/>
    </xf>
    <xf numFmtId="10" fontId="6" fillId="2" borderId="5" xfId="0" applyNumberFormat="1" applyFont="1" applyFill="1" applyBorder="1" applyAlignment="1">
      <alignment horizontal="center"/>
    </xf>
    <xf numFmtId="10" fontId="7" fillId="7" borderId="5" xfId="0" applyNumberFormat="1" applyFont="1" applyFill="1" applyBorder="1" applyAlignment="1">
      <alignment horizontal="center" vertical="center"/>
    </xf>
    <xf numFmtId="10" fontId="6" fillId="2" borderId="6" xfId="0" applyNumberFormat="1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7" fillId="6" borderId="7" xfId="0" applyNumberFormat="1" applyFont="1" applyFill="1" applyBorder="1" applyAlignment="1">
      <alignment horizontal="center" vertical="center"/>
    </xf>
    <xf numFmtId="165" fontId="7" fillId="6" borderId="0" xfId="0" applyNumberFormat="1" applyFont="1" applyFill="1" applyBorder="1" applyAlignment="1">
      <alignment horizontal="center" vertical="center"/>
    </xf>
    <xf numFmtId="165" fontId="7" fillId="6" borderId="8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/>
    </xf>
    <xf numFmtId="165" fontId="6" fillId="2" borderId="0" xfId="0" applyNumberFormat="1" applyFont="1" applyFill="1" applyBorder="1" applyAlignment="1">
      <alignment horizontal="center"/>
    </xf>
    <xf numFmtId="165" fontId="6" fillId="2" borderId="8" xfId="0" applyNumberFormat="1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165" fontId="6" fillId="2" borderId="5" xfId="0" applyNumberFormat="1" applyFont="1" applyFill="1" applyBorder="1" applyAlignment="1">
      <alignment horizontal="center"/>
    </xf>
    <xf numFmtId="165" fontId="7" fillId="7" borderId="5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quotePrefix="1"/>
    <xf numFmtId="171" fontId="0" fillId="0" borderId="0" xfId="0" applyNumberFormat="1"/>
    <xf numFmtId="172" fontId="0" fillId="0" borderId="0" xfId="0" applyNumberFormat="1"/>
    <xf numFmtId="16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" fontId="0" fillId="3" borderId="0" xfId="0" applyNumberForma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4" fontId="0" fillId="0" borderId="0" xfId="0" applyNumberFormat="1" applyFont="1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4" fontId="10" fillId="0" borderId="0" xfId="0" applyNumberFormat="1" applyFont="1" applyFill="1" applyAlignment="1">
      <alignment horizontal="center" vertical="center"/>
    </xf>
    <xf numFmtId="4" fontId="11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4" fontId="9" fillId="0" borderId="0" xfId="0" applyNumberFormat="1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10" fontId="10" fillId="0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  <color rgb="FFFFFFCC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Distribution'!$C$7</c:f>
              <c:strCache>
                <c:ptCount val="1"/>
                <c:pt idx="0">
                  <c:v>Probability, Phi</c:v>
                </c:pt>
              </c:strCache>
            </c:strRef>
          </c:tx>
          <c:marker>
            <c:symbol val="none"/>
          </c:marker>
          <c:xVal>
            <c:numRef>
              <c:f>'Normal Distribution'!$B$8:$B$208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Distribution'!$C$8:$C$208</c:f>
              <c:numCache>
                <c:formatCode>#,##0.000000</c:formatCode>
                <c:ptCount val="201"/>
                <c:pt idx="0">
                  <c:v>7.6198530241605255E-24</c:v>
                </c:pt>
                <c:pt idx="1">
                  <c:v>2.0813752194932082E-23</c:v>
                </c:pt>
                <c:pt idx="2">
                  <c:v>5.6292823113765143E-23</c:v>
                </c:pt>
                <c:pt idx="3">
                  <c:v>1.507493168810181E-22</c:v>
                </c:pt>
                <c:pt idx="4">
                  <c:v>3.9972212057261766E-22</c:v>
                </c:pt>
                <c:pt idx="5">
                  <c:v>1.0494515075362456E-21</c:v>
                </c:pt>
                <c:pt idx="6">
                  <c:v>2.7281535713460688E-21</c:v>
                </c:pt>
                <c:pt idx="7">
                  <c:v>7.02228424044149E-21</c:v>
                </c:pt>
                <c:pt idx="8">
                  <c:v>1.789748812013989E-20</c:v>
                </c:pt>
                <c:pt idx="9">
                  <c:v>4.5165914914353079E-20</c:v>
                </c:pt>
                <c:pt idx="10">
                  <c:v>1.1285884059538003E-19</c:v>
                </c:pt>
                <c:pt idx="11">
                  <c:v>2.7923343749395636E-19</c:v>
                </c:pt>
                <c:pt idx="12">
                  <c:v>6.8408076859353507E-19</c:v>
                </c:pt>
                <c:pt idx="13">
                  <c:v>1.6594208699647043E-18</c:v>
                </c:pt>
                <c:pt idx="14">
                  <c:v>3.9858049628480093E-18</c:v>
                </c:pt>
                <c:pt idx="15">
                  <c:v>9.4795348222029094E-18</c:v>
                </c:pt>
                <c:pt idx="16">
                  <c:v>2.2323931972879352E-17</c:v>
                </c:pt>
                <c:pt idx="17">
                  <c:v>5.2055697448900222E-17</c:v>
                </c:pt>
                <c:pt idx="18">
                  <c:v>1.2019351542735126E-16</c:v>
                </c:pt>
                <c:pt idx="19">
                  <c:v>2.7479593923980629E-16</c:v>
                </c:pt>
                <c:pt idx="20">
                  <c:v>6.2209605742714259E-16</c:v>
                </c:pt>
                <c:pt idx="21">
                  <c:v>1.3945171466591853E-15</c:v>
                </c:pt>
                <c:pt idx="22">
                  <c:v>3.0953587719585003E-15</c:v>
                </c:pt>
                <c:pt idx="23">
                  <c:v>6.8033115407735328E-15</c:v>
                </c:pt>
                <c:pt idx="24">
                  <c:v>1.480653749004705E-14</c:v>
                </c:pt>
                <c:pt idx="25">
                  <c:v>3.190891672910678E-14</c:v>
                </c:pt>
                <c:pt idx="26">
                  <c:v>6.8092248906195485E-14</c:v>
                </c:pt>
                <c:pt idx="27">
                  <c:v>1.4388386381574822E-13</c:v>
                </c:pt>
                <c:pt idx="28">
                  <c:v>3.0106279811172143E-13</c:v>
                </c:pt>
                <c:pt idx="29">
                  <c:v>6.2378444633311121E-13</c:v>
                </c:pt>
                <c:pt idx="30">
                  <c:v>1.2798125438857374E-12</c:v>
                </c:pt>
                <c:pt idx="31">
                  <c:v>2.6001269656379755E-12</c:v>
                </c:pt>
                <c:pt idx="32">
                  <c:v>5.2309575441441836E-12</c:v>
                </c:pt>
                <c:pt idx="33">
                  <c:v>1.042097698796436E-11</c:v>
                </c:pt>
                <c:pt idx="34">
                  <c:v>2.0557889093993516E-11</c:v>
                </c:pt>
                <c:pt idx="35">
                  <c:v>4.0160005838587824E-11</c:v>
                </c:pt>
                <c:pt idx="36">
                  <c:v>7.7688475817091785E-11</c:v>
                </c:pt>
                <c:pt idx="37">
                  <c:v>1.4882282217621826E-10</c:v>
                </c:pt>
                <c:pt idx="38">
                  <c:v>2.8231580370430314E-10</c:v>
                </c:pt>
                <c:pt idx="39">
                  <c:v>5.3034232629483644E-10</c:v>
                </c:pt>
                <c:pt idx="40">
                  <c:v>9.8658764503761186E-10</c:v>
                </c:pt>
                <c:pt idx="41">
                  <c:v>1.8175078630992715E-9</c:v>
                </c:pt>
                <c:pt idx="42">
                  <c:v>3.3157459783258697E-9</c:v>
                </c:pt>
                <c:pt idx="43">
                  <c:v>5.9903714010630027E-9</c:v>
                </c:pt>
                <c:pt idx="44">
                  <c:v>1.071759025830995E-8</c:v>
                </c:pt>
                <c:pt idx="45">
                  <c:v>1.8989562465885987E-8</c:v>
                </c:pt>
                <c:pt idx="46">
                  <c:v>3.3320448485425517E-8</c:v>
                </c:pt>
                <c:pt idx="47">
                  <c:v>5.7901340399640593E-8</c:v>
                </c:pt>
                <c:pt idx="48">
                  <c:v>9.9644263169325714E-8</c:v>
                </c:pt>
                <c:pt idx="49">
                  <c:v>1.6982674071474415E-7</c:v>
                </c:pt>
                <c:pt idx="50">
                  <c:v>2.8665157187916755E-7</c:v>
                </c:pt>
                <c:pt idx="51">
                  <c:v>4.7918327659027535E-7</c:v>
                </c:pt>
                <c:pt idx="52">
                  <c:v>7.9332815197552196E-7</c:v>
                </c:pt>
                <c:pt idx="53">
                  <c:v>1.3008074539171617E-6</c:v>
                </c:pt>
                <c:pt idx="54">
                  <c:v>2.1124547025026542E-6</c:v>
                </c:pt>
                <c:pt idx="55">
                  <c:v>3.397673124729746E-6</c:v>
                </c:pt>
                <c:pt idx="56">
                  <c:v>5.4125439077033664E-6</c:v>
                </c:pt>
                <c:pt idx="57">
                  <c:v>8.5399054709910335E-6</c:v>
                </c:pt>
                <c:pt idx="58">
                  <c:v>1.3345749015905116E-5</c:v>
                </c:pt>
                <c:pt idx="59">
                  <c:v>2.065750691254486E-5</c:v>
                </c:pt>
                <c:pt idx="60">
                  <c:v>3.1671241833117078E-5</c:v>
                </c:pt>
                <c:pt idx="61">
                  <c:v>4.8096344017598488E-5</c:v>
                </c:pt>
                <c:pt idx="62">
                  <c:v>7.2348043925113769E-5</c:v>
                </c:pt>
                <c:pt idx="63">
                  <c:v>1.0779973347737941E-4</c:v>
                </c:pt>
                <c:pt idx="64">
                  <c:v>1.5910859015752109E-4</c:v>
                </c:pt>
                <c:pt idx="65">
                  <c:v>2.3262907903550683E-4</c:v>
                </c:pt>
                <c:pt idx="66">
                  <c:v>3.3692926567685532E-4</c:v>
                </c:pt>
                <c:pt idx="67">
                  <c:v>4.8342414238374145E-4</c:v>
                </c:pt>
                <c:pt idx="68">
                  <c:v>6.8713793791579916E-4</c:v>
                </c:pt>
                <c:pt idx="69">
                  <c:v>9.6760321321828974E-4</c:v>
                </c:pt>
                <c:pt idx="70">
                  <c:v>1.3498980316300042E-3</c:v>
                </c:pt>
                <c:pt idx="71">
                  <c:v>1.8658133003839172E-3</c:v>
                </c:pt>
                <c:pt idx="72">
                  <c:v>2.555130330427772E-3</c:v>
                </c:pt>
                <c:pt idx="73">
                  <c:v>3.4669738030404574E-3</c:v>
                </c:pt>
                <c:pt idx="74">
                  <c:v>4.661188023718477E-3</c:v>
                </c:pt>
                <c:pt idx="75">
                  <c:v>6.2096653257757818E-3</c:v>
                </c:pt>
                <c:pt idx="76">
                  <c:v>8.1975359245956819E-3</c:v>
                </c:pt>
                <c:pt idx="77">
                  <c:v>1.0724110021675243E-2</c:v>
                </c:pt>
                <c:pt idx="78">
                  <c:v>1.390344751349791E-2</c:v>
                </c:pt>
                <c:pt idx="79">
                  <c:v>1.7864420562815692E-2</c:v>
                </c:pt>
                <c:pt idx="80">
                  <c:v>2.2750131948178147E-2</c:v>
                </c:pt>
                <c:pt idx="81">
                  <c:v>2.8716559816000527E-2</c:v>
                </c:pt>
                <c:pt idx="82">
                  <c:v>3.5930319112924269E-2</c:v>
                </c:pt>
                <c:pt idx="83">
                  <c:v>4.4565462758541237E-2</c:v>
                </c:pt>
                <c:pt idx="84">
                  <c:v>5.4799291699555865E-2</c:v>
                </c:pt>
                <c:pt idx="85">
                  <c:v>6.6807201268855601E-2</c:v>
                </c:pt>
                <c:pt idx="86">
                  <c:v>8.0756659233768208E-2</c:v>
                </c:pt>
                <c:pt idx="87">
                  <c:v>9.6800484585607069E-2</c:v>
                </c:pt>
                <c:pt idx="88">
                  <c:v>0.11506967022170463</c:v>
                </c:pt>
                <c:pt idx="89">
                  <c:v>0.13566606094637859</c:v>
                </c:pt>
                <c:pt idx="90">
                  <c:v>0.15865525393145255</c:v>
                </c:pt>
                <c:pt idx="91">
                  <c:v>0.18406012534675456</c:v>
                </c:pt>
                <c:pt idx="92">
                  <c:v>0.21185539858339131</c:v>
                </c:pt>
                <c:pt idx="93">
                  <c:v>0.24196365222306723</c:v>
                </c:pt>
                <c:pt idx="94">
                  <c:v>0.27425311775006733</c:v>
                </c:pt>
                <c:pt idx="95">
                  <c:v>0.30853753872598033</c:v>
                </c:pt>
                <c:pt idx="96">
                  <c:v>0.34457825838966893</c:v>
                </c:pt>
                <c:pt idx="97">
                  <c:v>0.38208857781104022</c:v>
                </c:pt>
                <c:pt idx="98">
                  <c:v>0.42074029056088963</c:v>
                </c:pt>
                <c:pt idx="99">
                  <c:v>0.46017216272296357</c:v>
                </c:pt>
                <c:pt idx="100">
                  <c:v>0.49999999999999251</c:v>
                </c:pt>
                <c:pt idx="101">
                  <c:v>0.53982783727702155</c:v>
                </c:pt>
                <c:pt idx="102">
                  <c:v>0.57925970943909566</c:v>
                </c:pt>
                <c:pt idx="103">
                  <c:v>0.61791142218894546</c:v>
                </c:pt>
                <c:pt idx="104">
                  <c:v>0.65542174161031719</c:v>
                </c:pt>
                <c:pt idx="105">
                  <c:v>0.69146246127400646</c:v>
                </c:pt>
                <c:pt idx="106">
                  <c:v>0.72574688224992012</c:v>
                </c:pt>
                <c:pt idx="107">
                  <c:v>0.75803634777692108</c:v>
                </c:pt>
                <c:pt idx="108">
                  <c:v>0.78814460141659792</c:v>
                </c:pt>
                <c:pt idx="109">
                  <c:v>0.81593987465323548</c:v>
                </c:pt>
                <c:pt idx="110">
                  <c:v>0.84134474606853837</c:v>
                </c:pt>
                <c:pt idx="111">
                  <c:v>0.86433393905361333</c:v>
                </c:pt>
                <c:pt idx="112">
                  <c:v>0.88493032977828812</c:v>
                </c:pt>
                <c:pt idx="113">
                  <c:v>0.90319951541438648</c:v>
                </c:pt>
                <c:pt idx="114">
                  <c:v>0.91924334076622616</c:v>
                </c:pt>
                <c:pt idx="115">
                  <c:v>0.93319279873113958</c:v>
                </c:pt>
                <c:pt idx="116">
                  <c:v>0.94520070830044001</c:v>
                </c:pt>
                <c:pt idx="117">
                  <c:v>0.95543453724145522</c:v>
                </c:pt>
                <c:pt idx="118">
                  <c:v>0.96406968088707279</c:v>
                </c:pt>
                <c:pt idx="119">
                  <c:v>0.97128344018399704</c:v>
                </c:pt>
                <c:pt idx="120">
                  <c:v>0.97724986805181979</c:v>
                </c:pt>
                <c:pt idx="121">
                  <c:v>0.98213557943718266</c:v>
                </c:pt>
                <c:pt idx="122">
                  <c:v>0.98609655248650074</c:v>
                </c:pt>
                <c:pt idx="123">
                  <c:v>0.98927588997832372</c:v>
                </c:pt>
                <c:pt idx="124">
                  <c:v>0.99180246407540351</c:v>
                </c:pt>
                <c:pt idx="125">
                  <c:v>0.99379033467422351</c:v>
                </c:pt>
                <c:pt idx="126">
                  <c:v>0.99533881197628105</c:v>
                </c:pt>
                <c:pt idx="127">
                  <c:v>0.99653302619695916</c:v>
                </c:pt>
                <c:pt idx="128">
                  <c:v>0.99744486966957191</c:v>
                </c:pt>
                <c:pt idx="129">
                  <c:v>0.99813418669961584</c:v>
                </c:pt>
                <c:pt idx="130">
                  <c:v>0.99865010196836979</c:v>
                </c:pt>
                <c:pt idx="131">
                  <c:v>0.99903239678678157</c:v>
                </c:pt>
                <c:pt idx="132">
                  <c:v>0.99931286206208414</c:v>
                </c:pt>
                <c:pt idx="133">
                  <c:v>0.99951657585761622</c:v>
                </c:pt>
                <c:pt idx="134">
                  <c:v>0.99966307073432314</c:v>
                </c:pt>
                <c:pt idx="135">
                  <c:v>0.99976737092096446</c:v>
                </c:pt>
                <c:pt idx="136">
                  <c:v>0.99984089140984245</c:v>
                </c:pt>
                <c:pt idx="137">
                  <c:v>0.99989220026652259</c:v>
                </c:pt>
                <c:pt idx="138">
                  <c:v>0.99992765195607491</c:v>
                </c:pt>
                <c:pt idx="139">
                  <c:v>0.99995190365598241</c:v>
                </c:pt>
                <c:pt idx="140">
                  <c:v>0.99996832875816688</c:v>
                </c:pt>
                <c:pt idx="141">
                  <c:v>0.9999793424930874</c:v>
                </c:pt>
                <c:pt idx="142">
                  <c:v>0.9999866542509841</c:v>
                </c:pt>
                <c:pt idx="143">
                  <c:v>0.99999146009452899</c:v>
                </c:pt>
                <c:pt idx="144">
                  <c:v>0.99999458745609227</c:v>
                </c:pt>
                <c:pt idx="145">
                  <c:v>0.99999660232687526</c:v>
                </c:pt>
                <c:pt idx="146">
                  <c:v>0.9999978875452975</c:v>
                </c:pt>
                <c:pt idx="147">
                  <c:v>0.99999869919254614</c:v>
                </c:pt>
                <c:pt idx="148">
                  <c:v>0.99999920667184805</c:v>
                </c:pt>
                <c:pt idx="149">
                  <c:v>0.99999952081672339</c:v>
                </c:pt>
                <c:pt idx="150">
                  <c:v>0.99999971334842808</c:v>
                </c:pt>
                <c:pt idx="151">
                  <c:v>0.99999983017325933</c:v>
                </c:pt>
                <c:pt idx="152">
                  <c:v>0.99999990035573683</c:v>
                </c:pt>
                <c:pt idx="153">
                  <c:v>0.99999994209865961</c:v>
                </c:pt>
                <c:pt idx="154">
                  <c:v>0.99999996667955149</c:v>
                </c:pt>
                <c:pt idx="155">
                  <c:v>0.99999998101043752</c:v>
                </c:pt>
                <c:pt idx="156">
                  <c:v>0.99999998928240974</c:v>
                </c:pt>
                <c:pt idx="157">
                  <c:v>0.99999999400962858</c:v>
                </c:pt>
                <c:pt idx="158">
                  <c:v>0.99999999668425399</c:v>
                </c:pt>
                <c:pt idx="159">
                  <c:v>0.99999999818249219</c:v>
                </c:pt>
                <c:pt idx="160">
                  <c:v>0.9999999990134123</c:v>
                </c:pt>
                <c:pt idx="161">
                  <c:v>0.99999999946965767</c:v>
                </c:pt>
                <c:pt idx="162">
                  <c:v>0.99999999971768416</c:v>
                </c:pt>
                <c:pt idx="163">
                  <c:v>0.99999999985117716</c:v>
                </c:pt>
                <c:pt idx="164">
                  <c:v>0.99999999992231148</c:v>
                </c:pt>
                <c:pt idx="165">
                  <c:v>0.99999999995984001</c:v>
                </c:pt>
                <c:pt idx="166">
                  <c:v>0.99999999997944211</c:v>
                </c:pt>
                <c:pt idx="167">
                  <c:v>0.999999999989579</c:v>
                </c:pt>
                <c:pt idx="168">
                  <c:v>0.99999999999476907</c:v>
                </c:pt>
                <c:pt idx="169">
                  <c:v>0.99999999999739986</c:v>
                </c:pt>
                <c:pt idx="170">
                  <c:v>0.99999999999872013</c:v>
                </c:pt>
                <c:pt idx="171">
                  <c:v>0.99999999999937617</c:v>
                </c:pt>
                <c:pt idx="172">
                  <c:v>0.99999999999969891</c:v>
                </c:pt>
                <c:pt idx="173">
                  <c:v>0.99999999999985612</c:v>
                </c:pt>
                <c:pt idx="174">
                  <c:v>0.99999999999993194</c:v>
                </c:pt>
                <c:pt idx="175">
                  <c:v>0.99999999999996814</c:v>
                </c:pt>
                <c:pt idx="176">
                  <c:v>0.99999999999998523</c:v>
                </c:pt>
                <c:pt idx="177">
                  <c:v>0.99999999999999323</c:v>
                </c:pt>
                <c:pt idx="178">
                  <c:v>0.99999999999999689</c:v>
                </c:pt>
                <c:pt idx="179">
                  <c:v>0.99999999999999856</c:v>
                </c:pt>
                <c:pt idx="180">
                  <c:v>0.99999999999999933</c:v>
                </c:pt>
                <c:pt idx="181">
                  <c:v>0.99999999999999978</c:v>
                </c:pt>
                <c:pt idx="182">
                  <c:v>0.99999999999999989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573760"/>
        <c:axId val="840830336"/>
      </c:scatterChart>
      <c:valAx>
        <c:axId val="401573760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840830336"/>
        <c:crosses val="autoZero"/>
        <c:crossBetween val="midCat"/>
        <c:majorUnit val="10"/>
      </c:valAx>
      <c:valAx>
        <c:axId val="84083033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401573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Distribution'!$D$7</c:f>
              <c:strCache>
                <c:ptCount val="1"/>
                <c:pt idx="0">
                  <c:v>Pdf</c:v>
                </c:pt>
              </c:strCache>
            </c:strRef>
          </c:tx>
          <c:marker>
            <c:symbol val="none"/>
          </c:marker>
          <c:xVal>
            <c:numRef>
              <c:f>'Normal Distribution'!$B$8:$B$208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Distribution'!$D$8:$D$208</c:f>
              <c:numCache>
                <c:formatCode>#,##0.000000</c:formatCode>
                <c:ptCount val="201"/>
                <c:pt idx="0">
                  <c:v>7.6945986267064199E-23</c:v>
                </c:pt>
                <c:pt idx="1">
                  <c:v>2.0811768202028245E-22</c:v>
                </c:pt>
                <c:pt idx="2">
                  <c:v>5.5730000227206912E-22</c:v>
                </c:pt>
                <c:pt idx="3">
                  <c:v>1.4774954927042438E-21</c:v>
                </c:pt>
                <c:pt idx="4">
                  <c:v>3.8781119317469065E-21</c:v>
                </c:pt>
                <c:pt idx="5">
                  <c:v>1.0077935394299867E-20</c:v>
                </c:pt>
                <c:pt idx="6">
                  <c:v>2.5928647011003341E-20</c:v>
                </c:pt>
                <c:pt idx="7">
                  <c:v>6.6045798607391687E-20</c:v>
                </c:pt>
                <c:pt idx="8">
                  <c:v>1.6655880323798698E-19</c:v>
                </c:pt>
                <c:pt idx="9">
                  <c:v>4.1585989791150129E-19</c:v>
                </c:pt>
                <c:pt idx="10">
                  <c:v>1.0279773571668551E-18</c:v>
                </c:pt>
                <c:pt idx="11">
                  <c:v>2.5158057769513331E-18</c:v>
                </c:pt>
                <c:pt idx="12">
                  <c:v>6.0957581295622447E-18</c:v>
                </c:pt>
                <c:pt idx="13">
                  <c:v>1.4622963575005855E-17</c:v>
                </c:pt>
                <c:pt idx="14">
                  <c:v>3.4729627485660597E-17</c:v>
                </c:pt>
                <c:pt idx="15">
                  <c:v>8.1662356316692026E-17</c:v>
                </c:pt>
                <c:pt idx="16">
                  <c:v>1.9010815379078693E-16</c:v>
                </c:pt>
                <c:pt idx="17">
                  <c:v>4.3816394355091402E-16</c:v>
                </c:pt>
                <c:pt idx="18">
                  <c:v>9.9983787484966114E-16</c:v>
                </c:pt>
                <c:pt idx="19">
                  <c:v>2.2588094031541746E-15</c:v>
                </c:pt>
                <c:pt idx="20">
                  <c:v>5.0522710835366056E-15</c:v>
                </c:pt>
                <c:pt idx="21">
                  <c:v>1.1187956214351181E-14</c:v>
                </c:pt>
                <c:pt idx="22">
                  <c:v>2.4528552856962759E-14</c:v>
                </c:pt>
                <c:pt idx="23">
                  <c:v>5.3241483722526217E-14</c:v>
                </c:pt>
                <c:pt idx="24">
                  <c:v>1.1441564901800597E-13</c:v>
                </c:pt>
                <c:pt idx="25">
                  <c:v>2.434320533028846E-13</c:v>
                </c:pt>
                <c:pt idx="26">
                  <c:v>5.1277536367963166E-13</c:v>
                </c:pt>
                <c:pt idx="27">
                  <c:v>1.0693837871540878E-12</c:v>
                </c:pt>
                <c:pt idx="28">
                  <c:v>2.2079899631369825E-12</c:v>
                </c:pt>
                <c:pt idx="29">
                  <c:v>4.5135436772051806E-12</c:v>
                </c:pt>
                <c:pt idx="30">
                  <c:v>9.1347204083639119E-12</c:v>
                </c:pt>
                <c:pt idx="31">
                  <c:v>1.8303322170154415E-11</c:v>
                </c:pt>
                <c:pt idx="32">
                  <c:v>3.6309615017915174E-11</c:v>
                </c:pt>
                <c:pt idx="33">
                  <c:v>7.1313281239955193E-11</c:v>
                </c:pt>
                <c:pt idx="34">
                  <c:v>1.386679994165204E-10</c:v>
                </c:pt>
                <c:pt idx="35">
                  <c:v>2.6695566147626343E-10</c:v>
                </c:pt>
                <c:pt idx="36">
                  <c:v>5.0881402816446408E-10</c:v>
                </c:pt>
                <c:pt idx="37">
                  <c:v>9.6014333703115174E-10</c:v>
                </c:pt>
                <c:pt idx="38">
                  <c:v>1.793783907963933E-9</c:v>
                </c:pt>
                <c:pt idx="39">
                  <c:v>3.3178842435470104E-9</c:v>
                </c:pt>
                <c:pt idx="40">
                  <c:v>6.0758828498227674E-9</c:v>
                </c:pt>
                <c:pt idx="41">
                  <c:v>1.101576362468137E-8</c:v>
                </c:pt>
                <c:pt idx="42">
                  <c:v>1.9773196406242984E-8</c:v>
                </c:pt>
                <c:pt idx="43">
                  <c:v>3.5139550948201343E-8</c:v>
                </c:pt>
                <c:pt idx="44">
                  <c:v>6.182620500165308E-8</c:v>
                </c:pt>
                <c:pt idx="45">
                  <c:v>1.0769760042542322E-7</c:v>
                </c:pt>
                <c:pt idx="46">
                  <c:v>1.8573618445551279E-7</c:v>
                </c:pt>
                <c:pt idx="47">
                  <c:v>3.1713492167156938E-7</c:v>
                </c:pt>
                <c:pt idx="48">
                  <c:v>5.3610353446971465E-7</c:v>
                </c:pt>
                <c:pt idx="49">
                  <c:v>8.9724351623825242E-7</c:v>
                </c:pt>
                <c:pt idx="50">
                  <c:v>1.4867195147341658E-6</c:v>
                </c:pt>
                <c:pt idx="51">
                  <c:v>2.43896074589314E-6</c:v>
                </c:pt>
                <c:pt idx="52">
                  <c:v>3.9612990910317238E-6</c:v>
                </c:pt>
                <c:pt idx="53">
                  <c:v>6.3698251788665359E-6</c:v>
                </c:pt>
                <c:pt idx="54">
                  <c:v>1.0140852065485842E-5</c:v>
                </c:pt>
                <c:pt idx="55">
                  <c:v>1.5983741106904055E-5</c:v>
                </c:pt>
                <c:pt idx="56">
                  <c:v>2.4942471290051404E-5</c:v>
                </c:pt>
                <c:pt idx="57">
                  <c:v>3.8535196742083775E-5</c:v>
                </c:pt>
                <c:pt idx="58">
                  <c:v>5.8943067756534725E-5</c:v>
                </c:pt>
                <c:pt idx="59">
                  <c:v>8.9261657177125162E-5</c:v>
                </c:pt>
                <c:pt idx="60">
                  <c:v>1.3383022576487396E-4</c:v>
                </c:pt>
                <c:pt idx="61">
                  <c:v>1.9865547139275616E-4</c:v>
                </c:pt>
                <c:pt idx="62">
                  <c:v>2.9194692579143664E-4</c:v>
                </c:pt>
                <c:pt idx="63">
                  <c:v>4.2478027055071864E-4</c:v>
                </c:pt>
                <c:pt idx="64">
                  <c:v>6.1190193011372625E-4</c:v>
                </c:pt>
                <c:pt idx="65">
                  <c:v>8.7268269504569662E-4</c:v>
                </c:pt>
                <c:pt idx="66">
                  <c:v>1.2322191684729323E-3</c:v>
                </c:pt>
                <c:pt idx="67">
                  <c:v>1.7225689390535622E-3</c:v>
                </c:pt>
                <c:pt idx="68">
                  <c:v>2.3840882014646856E-3</c:v>
                </c:pt>
                <c:pt idx="69">
                  <c:v>3.2668190561997131E-3</c:v>
                </c:pt>
                <c:pt idx="70">
                  <c:v>4.431848411937736E-3</c:v>
                </c:pt>
                <c:pt idx="71">
                  <c:v>5.9525324197755051E-3</c:v>
                </c:pt>
                <c:pt idx="72">
                  <c:v>7.9154515829795141E-3</c:v>
                </c:pt>
                <c:pt idx="73">
                  <c:v>1.0420934814422026E-2</c:v>
                </c:pt>
                <c:pt idx="74">
                  <c:v>1.3582969233684909E-2</c:v>
                </c:pt>
                <c:pt idx="75">
                  <c:v>1.7528300493567659E-2</c:v>
                </c:pt>
                <c:pt idx="76">
                  <c:v>2.2394530294841827E-2</c:v>
                </c:pt>
                <c:pt idx="77">
                  <c:v>2.8327037741599882E-2</c:v>
                </c:pt>
                <c:pt idx="78">
                  <c:v>3.5474592846229898E-2</c:v>
                </c:pt>
                <c:pt idx="79">
                  <c:v>4.398359598042538E-2</c:v>
                </c:pt>
                <c:pt idx="80">
                  <c:v>5.3990966513185946E-2</c:v>
                </c:pt>
                <c:pt idx="81">
                  <c:v>6.5615814774674167E-2</c:v>
                </c:pt>
                <c:pt idx="82">
                  <c:v>7.8950158300891415E-2</c:v>
                </c:pt>
                <c:pt idx="83">
                  <c:v>9.4049077376883852E-2</c:v>
                </c:pt>
                <c:pt idx="84">
                  <c:v>0.11092083467945216</c:v>
                </c:pt>
                <c:pt idx="85">
                  <c:v>0.12951759566588802</c:v>
                </c:pt>
                <c:pt idx="86">
                  <c:v>0.14972746563574085</c:v>
                </c:pt>
                <c:pt idx="87">
                  <c:v>0.17136859204780314</c:v>
                </c:pt>
                <c:pt idx="88">
                  <c:v>0.19418605498320857</c:v>
                </c:pt>
                <c:pt idx="89">
                  <c:v>0.21785217703254606</c:v>
                </c:pt>
                <c:pt idx="90">
                  <c:v>0.24197072451913884</c:v>
                </c:pt>
                <c:pt idx="91">
                  <c:v>0.26608524989875038</c:v>
                </c:pt>
                <c:pt idx="92">
                  <c:v>0.2896915527614784</c:v>
                </c:pt>
                <c:pt idx="93">
                  <c:v>0.31225393336675722</c:v>
                </c:pt>
                <c:pt idx="94">
                  <c:v>0.33322460289179595</c:v>
                </c:pt>
                <c:pt idx="95">
                  <c:v>0.35206532676429619</c:v>
                </c:pt>
                <c:pt idx="96">
                  <c:v>0.36827014030332056</c:v>
                </c:pt>
                <c:pt idx="97">
                  <c:v>0.38138781546052197</c:v>
                </c:pt>
                <c:pt idx="98">
                  <c:v>0.39104269397545444</c:v>
                </c:pt>
                <c:pt idx="99">
                  <c:v>0.39695254747701103</c:v>
                </c:pt>
                <c:pt idx="100">
                  <c:v>0.3989422804014327</c:v>
                </c:pt>
                <c:pt idx="101">
                  <c:v>0.39695254747701253</c:v>
                </c:pt>
                <c:pt idx="102">
                  <c:v>0.39104269397545738</c:v>
                </c:pt>
                <c:pt idx="103">
                  <c:v>0.38138781546052625</c:v>
                </c:pt>
                <c:pt idx="104">
                  <c:v>0.36827014030332611</c:v>
                </c:pt>
                <c:pt idx="105">
                  <c:v>0.3520653267643028</c:v>
                </c:pt>
                <c:pt idx="106">
                  <c:v>0.33322460289180339</c:v>
                </c:pt>
                <c:pt idx="107">
                  <c:v>0.31225393336676538</c:v>
                </c:pt>
                <c:pt idx="108">
                  <c:v>0.28969155276148711</c:v>
                </c:pt>
                <c:pt idx="109">
                  <c:v>0.26608524989875937</c:v>
                </c:pt>
                <c:pt idx="110">
                  <c:v>0.24197072451914792</c:v>
                </c:pt>
                <c:pt idx="111">
                  <c:v>0.21785217703255505</c:v>
                </c:pt>
                <c:pt idx="112">
                  <c:v>0.19418605498321731</c:v>
                </c:pt>
                <c:pt idx="113">
                  <c:v>0.17136859204781152</c:v>
                </c:pt>
                <c:pt idx="114">
                  <c:v>0.14972746563574874</c:v>
                </c:pt>
                <c:pt idx="115">
                  <c:v>0.1295175956658953</c:v>
                </c:pt>
                <c:pt idx="116">
                  <c:v>0.11092083467945882</c:v>
                </c:pt>
                <c:pt idx="117">
                  <c:v>9.4049077376889847E-2</c:v>
                </c:pt>
                <c:pt idx="118">
                  <c:v>7.8950158300896744E-2</c:v>
                </c:pt>
                <c:pt idx="119">
                  <c:v>6.5615814774678843E-2</c:v>
                </c:pt>
                <c:pt idx="120">
                  <c:v>5.3990966513189999E-2</c:v>
                </c:pt>
                <c:pt idx="121">
                  <c:v>4.3983595980428877E-2</c:v>
                </c:pt>
                <c:pt idx="122">
                  <c:v>3.547459284623284E-2</c:v>
                </c:pt>
                <c:pt idx="123">
                  <c:v>2.8327037741602345E-2</c:v>
                </c:pt>
                <c:pt idx="124">
                  <c:v>2.2394530294843853E-2</c:v>
                </c:pt>
                <c:pt idx="125">
                  <c:v>1.7528300493569317E-2</c:v>
                </c:pt>
                <c:pt idx="126">
                  <c:v>1.3582969233686243E-2</c:v>
                </c:pt>
                <c:pt idx="127">
                  <c:v>1.0420934814423091E-2</c:v>
                </c:pt>
                <c:pt idx="128">
                  <c:v>7.9154515829803502E-3</c:v>
                </c:pt>
                <c:pt idx="129">
                  <c:v>5.9525324197761548E-3</c:v>
                </c:pt>
                <c:pt idx="130">
                  <c:v>4.4318484119382356E-3</c:v>
                </c:pt>
                <c:pt idx="131">
                  <c:v>3.2668190562000956E-3</c:v>
                </c:pt>
                <c:pt idx="132">
                  <c:v>2.3840882014649735E-3</c:v>
                </c:pt>
                <c:pt idx="133">
                  <c:v>1.7225689390537777E-3</c:v>
                </c:pt>
                <c:pt idx="134">
                  <c:v>1.23221916847309E-3</c:v>
                </c:pt>
                <c:pt idx="135">
                  <c:v>8.7268269504581133E-4</c:v>
                </c:pt>
                <c:pt idx="136">
                  <c:v>6.1190193011380941E-4</c:v>
                </c:pt>
                <c:pt idx="137">
                  <c:v>4.2478027055077783E-4</c:v>
                </c:pt>
                <c:pt idx="138">
                  <c:v>2.9194692579147865E-4</c:v>
                </c:pt>
                <c:pt idx="139">
                  <c:v>1.9865547139278543E-4</c:v>
                </c:pt>
                <c:pt idx="140">
                  <c:v>1.3383022576489415E-4</c:v>
                </c:pt>
                <c:pt idx="141">
                  <c:v>8.9261657177138796E-5</c:v>
                </c:pt>
                <c:pt idx="142">
                  <c:v>5.8943067756544036E-5</c:v>
                </c:pt>
                <c:pt idx="143">
                  <c:v>3.8535196742089935E-5</c:v>
                </c:pt>
                <c:pt idx="144">
                  <c:v>2.494247129005548E-5</c:v>
                </c:pt>
                <c:pt idx="145">
                  <c:v>1.5983741106906752E-5</c:v>
                </c:pt>
                <c:pt idx="146">
                  <c:v>1.0140852065487588E-5</c:v>
                </c:pt>
                <c:pt idx="147">
                  <c:v>6.3698251788676566E-6</c:v>
                </c:pt>
                <c:pt idx="148">
                  <c:v>3.9612990910324344E-6</c:v>
                </c:pt>
                <c:pt idx="149">
                  <c:v>2.4389607458935864E-6</c:v>
                </c:pt>
                <c:pt idx="150">
                  <c:v>1.4867195147344432E-6</c:v>
                </c:pt>
                <c:pt idx="151">
                  <c:v>8.9724351623842458E-7</c:v>
                </c:pt>
                <c:pt idx="152">
                  <c:v>5.3610353446981852E-7</c:v>
                </c:pt>
                <c:pt idx="153">
                  <c:v>3.171349216716319E-7</c:v>
                </c:pt>
                <c:pt idx="154">
                  <c:v>1.8573618445555041E-7</c:v>
                </c:pt>
                <c:pt idx="155">
                  <c:v>1.0769760042544539E-7</c:v>
                </c:pt>
                <c:pt idx="156">
                  <c:v>6.1826205001665932E-8</c:v>
                </c:pt>
                <c:pt idx="157">
                  <c:v>3.5139550948208834E-8</c:v>
                </c:pt>
                <c:pt idx="158">
                  <c:v>1.9773196406247269E-8</c:v>
                </c:pt>
                <c:pt idx="159">
                  <c:v>1.1015763624683796E-8</c:v>
                </c:pt>
                <c:pt idx="160">
                  <c:v>6.0758828498241282E-9</c:v>
                </c:pt>
                <c:pt idx="161">
                  <c:v>3.3178842435477648E-9</c:v>
                </c:pt>
                <c:pt idx="162">
                  <c:v>1.793783907964347E-9</c:v>
                </c:pt>
                <c:pt idx="163">
                  <c:v>9.6014333703138025E-10</c:v>
                </c:pt>
                <c:pt idx="164">
                  <c:v>5.0881402816458526E-10</c:v>
                </c:pt>
                <c:pt idx="165">
                  <c:v>2.669556614763279E-10</c:v>
                </c:pt>
                <c:pt idx="166">
                  <c:v>1.3866799941655437E-10</c:v>
                </c:pt>
                <c:pt idx="167">
                  <c:v>7.1313281239972913E-11</c:v>
                </c:pt>
                <c:pt idx="168">
                  <c:v>3.6309615017924331E-11</c:v>
                </c:pt>
                <c:pt idx="169">
                  <c:v>1.8303322170159097E-11</c:v>
                </c:pt>
                <c:pt idx="170">
                  <c:v>9.1347204083662819E-12</c:v>
                </c:pt>
                <c:pt idx="171">
                  <c:v>4.5135436772063672E-12</c:v>
                </c:pt>
                <c:pt idx="172">
                  <c:v>2.2079899631375787E-12</c:v>
                </c:pt>
                <c:pt idx="173">
                  <c:v>1.0693837871543805E-12</c:v>
                </c:pt>
                <c:pt idx="174">
                  <c:v>5.1277536367977383E-13</c:v>
                </c:pt>
                <c:pt idx="175">
                  <c:v>2.4343205330295291E-13</c:v>
                </c:pt>
                <c:pt idx="176">
                  <c:v>1.1441564901803849E-13</c:v>
                </c:pt>
                <c:pt idx="177">
                  <c:v>5.3241483722541546E-14</c:v>
                </c:pt>
                <c:pt idx="178">
                  <c:v>2.4528552856969902E-14</c:v>
                </c:pt>
                <c:pt idx="179">
                  <c:v>1.1187956214354479E-14</c:v>
                </c:pt>
                <c:pt idx="180">
                  <c:v>5.0522710835381131E-15</c:v>
                </c:pt>
                <c:pt idx="181">
                  <c:v>2.2588094031548648E-15</c:v>
                </c:pt>
                <c:pt idx="182">
                  <c:v>9.9983787484996662E-16</c:v>
                </c:pt>
                <c:pt idx="183">
                  <c:v>4.3816394355105099E-16</c:v>
                </c:pt>
                <c:pt idx="184">
                  <c:v>1.9010815379084772E-16</c:v>
                </c:pt>
                <c:pt idx="185">
                  <c:v>8.1662356316717553E-17</c:v>
                </c:pt>
                <c:pt idx="186">
                  <c:v>3.4729627485671702E-17</c:v>
                </c:pt>
                <c:pt idx="187">
                  <c:v>1.4622963575010631E-17</c:v>
                </c:pt>
                <c:pt idx="188">
                  <c:v>6.0957581295642369E-18</c:v>
                </c:pt>
                <c:pt idx="189">
                  <c:v>2.5158057769521555E-18</c:v>
                </c:pt>
                <c:pt idx="190">
                  <c:v>1.0279773571672058E-18</c:v>
                </c:pt>
                <c:pt idx="191">
                  <c:v>4.1585989791164308E-19</c:v>
                </c:pt>
                <c:pt idx="192">
                  <c:v>1.6655880323804497E-19</c:v>
                </c:pt>
                <c:pt idx="193">
                  <c:v>6.6045798607414678E-20</c:v>
                </c:pt>
                <c:pt idx="194">
                  <c:v>2.5928647011012368E-20</c:v>
                </c:pt>
                <c:pt idx="195">
                  <c:v>1.0077935394303376E-20</c:v>
                </c:pt>
                <c:pt idx="196">
                  <c:v>3.878111931748284E-21</c:v>
                </c:pt>
                <c:pt idx="197">
                  <c:v>1.4774954927047792E-21</c:v>
                </c:pt>
                <c:pt idx="198">
                  <c:v>5.5730000227227497E-22</c:v>
                </c:pt>
                <c:pt idx="199">
                  <c:v>2.0811768202035936E-22</c:v>
                </c:pt>
                <c:pt idx="200">
                  <c:v>7.6945986267092623E-23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596288"/>
        <c:axId val="907207424"/>
      </c:scatterChart>
      <c:valAx>
        <c:axId val="903596288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907207424"/>
        <c:crosses val="autoZero"/>
        <c:crossBetween val="midCat"/>
      </c:valAx>
      <c:valAx>
        <c:axId val="907207424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03596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 Distribution'!$H$7</c:f>
              <c:strCache>
                <c:ptCount val="1"/>
                <c:pt idx="0">
                  <c:v>Normal Variate, z</c:v>
                </c:pt>
              </c:strCache>
            </c:strRef>
          </c:tx>
          <c:marker>
            <c:symbol val="none"/>
          </c:marker>
          <c:xVal>
            <c:numRef>
              <c:f>'Normal Distribution'!$G$8:$G$208</c:f>
              <c:numCache>
                <c:formatCode>#,##0.0000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'Normal Distribution'!$H$8:$H$208</c:f>
              <c:numCache>
                <c:formatCode>#,##0.000000</c:formatCode>
                <c:ptCount val="201"/>
                <c:pt idx="0">
                  <c:v>-10</c:v>
                </c:pt>
                <c:pt idx="1">
                  <c:v>-2.5758293035489008</c:v>
                </c:pt>
                <c:pt idx="2">
                  <c:v>-2.3263478740408412</c:v>
                </c:pt>
                <c:pt idx="3">
                  <c:v>-2.1700903775845606</c:v>
                </c:pt>
                <c:pt idx="4">
                  <c:v>-2.053748910631823</c:v>
                </c:pt>
                <c:pt idx="5">
                  <c:v>-1.959963984540054</c:v>
                </c:pt>
                <c:pt idx="6">
                  <c:v>-1.8807936081512509</c:v>
                </c:pt>
                <c:pt idx="7">
                  <c:v>-1.8119106729525978</c:v>
                </c:pt>
                <c:pt idx="8">
                  <c:v>-1.7506860712521699</c:v>
                </c:pt>
                <c:pt idx="9">
                  <c:v>-1.6953977102721365</c:v>
                </c:pt>
                <c:pt idx="10">
                  <c:v>-1.6448536269514729</c:v>
                </c:pt>
                <c:pt idx="11">
                  <c:v>-1.5981931399228175</c:v>
                </c:pt>
                <c:pt idx="12">
                  <c:v>-1.5547735945968537</c:v>
                </c:pt>
                <c:pt idx="13">
                  <c:v>-1.5141018876192838</c:v>
                </c:pt>
                <c:pt idx="14">
                  <c:v>-1.4757910281791708</c:v>
                </c:pt>
                <c:pt idx="15">
                  <c:v>-1.4395314709384559</c:v>
                </c:pt>
                <c:pt idx="16">
                  <c:v>-1.4050715603096324</c:v>
                </c:pt>
                <c:pt idx="17">
                  <c:v>-1.3722038089987258</c:v>
                </c:pt>
                <c:pt idx="18">
                  <c:v>-1.3407550336902163</c:v>
                </c:pt>
                <c:pt idx="19">
                  <c:v>-1.3105791121681287</c:v>
                </c:pt>
                <c:pt idx="20">
                  <c:v>-1.2815515655446004</c:v>
                </c:pt>
                <c:pt idx="21">
                  <c:v>-1.2535654384704507</c:v>
                </c:pt>
                <c:pt idx="22">
                  <c:v>-1.2265281200366098</c:v>
                </c:pt>
                <c:pt idx="23">
                  <c:v>-1.2003588580308588</c:v>
                </c:pt>
                <c:pt idx="24">
                  <c:v>-1.1749867920660897</c:v>
                </c:pt>
                <c:pt idx="25">
                  <c:v>-1.1503493803760081</c:v>
                </c:pt>
                <c:pt idx="26">
                  <c:v>-1.1263911290388005</c:v>
                </c:pt>
                <c:pt idx="27">
                  <c:v>-1.1030625561995975</c:v>
                </c:pt>
                <c:pt idx="28">
                  <c:v>-1.0803193408149558</c:v>
                </c:pt>
                <c:pt idx="29">
                  <c:v>-1.0581216176847765</c:v>
                </c:pt>
                <c:pt idx="30">
                  <c:v>-1.0364333894937894</c:v>
                </c:pt>
                <c:pt idx="31">
                  <c:v>-1.0152220332170279</c:v>
                </c:pt>
                <c:pt idx="32">
                  <c:v>-0.99445788320975292</c:v>
                </c:pt>
                <c:pt idx="33">
                  <c:v>-0.97411387705930885</c:v>
                </c:pt>
                <c:pt idx="34">
                  <c:v>-0.95416525314619427</c:v>
                </c:pt>
                <c:pt idx="35">
                  <c:v>-0.93458929107347999</c:v>
                </c:pt>
                <c:pt idx="36">
                  <c:v>-0.91536508784281378</c:v>
                </c:pt>
                <c:pt idx="37">
                  <c:v>-0.89647336400191591</c:v>
                </c:pt>
                <c:pt idx="38">
                  <c:v>-0.87789629505122824</c:v>
                </c:pt>
                <c:pt idx="39">
                  <c:v>-0.85961736424191115</c:v>
                </c:pt>
                <c:pt idx="40">
                  <c:v>-0.84162123357291396</c:v>
                </c:pt>
                <c:pt idx="41">
                  <c:v>-0.823893630338557</c:v>
                </c:pt>
                <c:pt idx="42">
                  <c:v>-0.80642124701823992</c:v>
                </c:pt>
                <c:pt idx="43">
                  <c:v>-0.78919165265822189</c:v>
                </c:pt>
                <c:pt idx="44">
                  <c:v>-0.77219321418868458</c:v>
                </c:pt>
                <c:pt idx="45">
                  <c:v>-0.75541502636046876</c:v>
                </c:pt>
                <c:pt idx="46">
                  <c:v>-0.73884684918521326</c:v>
                </c:pt>
                <c:pt idx="47">
                  <c:v>-0.72247905192806205</c:v>
                </c:pt>
                <c:pt idx="48">
                  <c:v>-0.70630256284008697</c:v>
                </c:pt>
                <c:pt idx="49">
                  <c:v>-0.69030882393303361</c:v>
                </c:pt>
                <c:pt idx="50">
                  <c:v>-0.67448975019608126</c:v>
                </c:pt>
                <c:pt idx="51">
                  <c:v>-0.65883769273618764</c:v>
                </c:pt>
                <c:pt idx="52">
                  <c:v>-0.64334540539291685</c:v>
                </c:pt>
                <c:pt idx="53">
                  <c:v>-0.62800601443756943</c:v>
                </c:pt>
                <c:pt idx="54">
                  <c:v>-0.61281299101662712</c:v>
                </c:pt>
                <c:pt idx="55">
                  <c:v>-0.59776012604247808</c:v>
                </c:pt>
                <c:pt idx="56">
                  <c:v>-0.58284150727121586</c:v>
                </c:pt>
                <c:pt idx="57">
                  <c:v>-0.56805149833898239</c:v>
                </c:pt>
                <c:pt idx="58">
                  <c:v>-0.55338471955567248</c:v>
                </c:pt>
                <c:pt idx="59">
                  <c:v>-0.53883603027845006</c:v>
                </c:pt>
                <c:pt idx="60">
                  <c:v>-0.52440051270804056</c:v>
                </c:pt>
                <c:pt idx="61">
                  <c:v>-0.51007345696859452</c:v>
                </c:pt>
                <c:pt idx="62">
                  <c:v>-0.49585034734745304</c:v>
                </c:pt>
                <c:pt idx="63">
                  <c:v>-0.48172684958472983</c:v>
                </c:pt>
                <c:pt idx="64">
                  <c:v>-0.46769879911450801</c:v>
                </c:pt>
                <c:pt idx="65">
                  <c:v>-0.45376219016987901</c:v>
                </c:pt>
                <c:pt idx="66">
                  <c:v>-0.43991316567323341</c:v>
                </c:pt>
                <c:pt idx="67">
                  <c:v>-0.42614800784127777</c:v>
                </c:pt>
                <c:pt idx="68">
                  <c:v>-0.41246312944140434</c:v>
                </c:pt>
                <c:pt idx="69">
                  <c:v>-0.3988550656423363</c:v>
                </c:pt>
                <c:pt idx="70">
                  <c:v>-0.38532046640756729</c:v>
                </c:pt>
                <c:pt idx="71">
                  <c:v>-0.37185608938507436</c:v>
                </c:pt>
                <c:pt idx="72">
                  <c:v>-0.35845879325119345</c:v>
                </c:pt>
                <c:pt idx="73">
                  <c:v>-0.34512553147047181</c:v>
                </c:pt>
                <c:pt idx="74">
                  <c:v>-0.33185334643681613</c:v>
                </c:pt>
                <c:pt idx="75">
                  <c:v>-0.31863936396437459</c:v>
                </c:pt>
                <c:pt idx="76">
                  <c:v>-0.30548078809939683</c:v>
                </c:pt>
                <c:pt idx="77">
                  <c:v>-0.29237489622680374</c:v>
                </c:pt>
                <c:pt idx="78">
                  <c:v>-0.2793190344474536</c:v>
                </c:pt>
                <c:pt idx="79">
                  <c:v>-0.26631061320409438</c:v>
                </c:pt>
                <c:pt idx="80">
                  <c:v>-0.25334710313579922</c:v>
                </c:pt>
                <c:pt idx="81">
                  <c:v>-0.24042603114230743</c:v>
                </c:pt>
                <c:pt idx="82">
                  <c:v>-0.22754497664114881</c:v>
                </c:pt>
                <c:pt idx="83">
                  <c:v>-0.21470156800174384</c:v>
                </c:pt>
                <c:pt idx="84">
                  <c:v>-0.20189347914185021</c:v>
                </c:pt>
                <c:pt idx="85">
                  <c:v>-0.18911842627279182</c:v>
                </c:pt>
                <c:pt idx="86">
                  <c:v>-0.17637416478086063</c:v>
                </c:pt>
                <c:pt idx="87">
                  <c:v>-0.16365848623314061</c:v>
                </c:pt>
                <c:pt idx="88">
                  <c:v>-0.15096921549677655</c:v>
                </c:pt>
                <c:pt idx="89">
                  <c:v>-0.1383042079614038</c:v>
                </c:pt>
                <c:pt idx="90">
                  <c:v>-0.12566134685507335</c:v>
                </c:pt>
                <c:pt idx="91">
                  <c:v>-0.11303854064456438</c:v>
                </c:pt>
                <c:pt idx="92">
                  <c:v>-0.10043372051146911</c:v>
                </c:pt>
                <c:pt idx="93">
                  <c:v>-8.7844837895870997E-2</c:v>
                </c:pt>
                <c:pt idx="94">
                  <c:v>-7.5269862099829055E-2</c:v>
                </c:pt>
                <c:pt idx="95">
                  <c:v>-6.2706777943212971E-2</c:v>
                </c:pt>
                <c:pt idx="96">
                  <c:v>-5.0153583464732872E-2</c:v>
                </c:pt>
                <c:pt idx="97">
                  <c:v>-3.760828766125518E-2</c:v>
                </c:pt>
                <c:pt idx="98">
                  <c:v>-2.50689082587102E-2</c:v>
                </c:pt>
                <c:pt idx="99">
                  <c:v>-1.2533469508068404E-2</c:v>
                </c:pt>
                <c:pt idx="100">
                  <c:v>8.3487492834352285E-16</c:v>
                </c:pt>
                <c:pt idx="101">
                  <c:v>1.2533469508070072E-2</c:v>
                </c:pt>
                <c:pt idx="102">
                  <c:v>2.5068908258711869E-2</c:v>
                </c:pt>
                <c:pt idx="103">
                  <c:v>3.7608287661256852E-2</c:v>
                </c:pt>
                <c:pt idx="104">
                  <c:v>5.0153583464734544E-2</c:v>
                </c:pt>
                <c:pt idx="105">
                  <c:v>6.270677794321465E-2</c:v>
                </c:pt>
                <c:pt idx="106">
                  <c:v>7.5269862099830734E-2</c:v>
                </c:pt>
                <c:pt idx="107">
                  <c:v>8.7844837895872677E-2</c:v>
                </c:pt>
                <c:pt idx="108">
                  <c:v>0.10043372051147079</c:v>
                </c:pt>
                <c:pt idx="109">
                  <c:v>0.11303854064456606</c:v>
                </c:pt>
                <c:pt idx="110">
                  <c:v>0.12566134685507505</c:v>
                </c:pt>
                <c:pt idx="111">
                  <c:v>0.13830420796140547</c:v>
                </c:pt>
                <c:pt idx="112">
                  <c:v>0.15096921549677825</c:v>
                </c:pt>
                <c:pt idx="113">
                  <c:v>0.16365848623314233</c:v>
                </c:pt>
                <c:pt idx="114">
                  <c:v>0.17637416478086235</c:v>
                </c:pt>
                <c:pt idx="115">
                  <c:v>0.18911842627279352</c:v>
                </c:pt>
                <c:pt idx="116">
                  <c:v>0.20189347914185191</c:v>
                </c:pt>
                <c:pt idx="117">
                  <c:v>0.21470156800174564</c:v>
                </c:pt>
                <c:pt idx="118">
                  <c:v>0.2275449766411505</c:v>
                </c:pt>
                <c:pt idx="119">
                  <c:v>0.24042603114230912</c:v>
                </c:pt>
                <c:pt idx="120">
                  <c:v>0.253347103135801</c:v>
                </c:pt>
                <c:pt idx="121">
                  <c:v>0.26631061320409605</c:v>
                </c:pt>
                <c:pt idx="122">
                  <c:v>0.27931903444745537</c:v>
                </c:pt>
                <c:pt idx="123">
                  <c:v>0.29237489622680546</c:v>
                </c:pt>
                <c:pt idx="124">
                  <c:v>0.30548078809939855</c:v>
                </c:pt>
                <c:pt idx="125">
                  <c:v>0.31863936396437648</c:v>
                </c:pt>
                <c:pt idx="126">
                  <c:v>0.33185334643681785</c:v>
                </c:pt>
                <c:pt idx="127">
                  <c:v>0.3451255314704737</c:v>
                </c:pt>
                <c:pt idx="128">
                  <c:v>0.35845879325119517</c:v>
                </c:pt>
                <c:pt idx="129">
                  <c:v>0.37185608938507614</c:v>
                </c:pt>
                <c:pt idx="130">
                  <c:v>0.38532046640756906</c:v>
                </c:pt>
                <c:pt idx="131">
                  <c:v>0.39885506564233814</c:v>
                </c:pt>
                <c:pt idx="132">
                  <c:v>0.41246312944140628</c:v>
                </c:pt>
                <c:pt idx="133">
                  <c:v>0.42614800784127965</c:v>
                </c:pt>
                <c:pt idx="134">
                  <c:v>0.4399131656732353</c:v>
                </c:pt>
                <c:pt idx="135">
                  <c:v>0.45376219016988084</c:v>
                </c:pt>
                <c:pt idx="136">
                  <c:v>0.46769879911450979</c:v>
                </c:pt>
                <c:pt idx="137">
                  <c:v>0.48172684958473194</c:v>
                </c:pt>
                <c:pt idx="138">
                  <c:v>0.49585034734745492</c:v>
                </c:pt>
                <c:pt idx="139">
                  <c:v>0.51007345696859641</c:v>
                </c:pt>
                <c:pt idx="140">
                  <c:v>0.52440051270804244</c:v>
                </c:pt>
                <c:pt idx="141">
                  <c:v>0.53883603027845195</c:v>
                </c:pt>
                <c:pt idx="142">
                  <c:v>0.55338471955567436</c:v>
                </c:pt>
                <c:pt idx="143">
                  <c:v>0.56805149833898438</c:v>
                </c:pt>
                <c:pt idx="144">
                  <c:v>0.58284150727121808</c:v>
                </c:pt>
                <c:pt idx="145">
                  <c:v>0.59776012604248019</c:v>
                </c:pt>
                <c:pt idx="146">
                  <c:v>0.61281299101662912</c:v>
                </c:pt>
                <c:pt idx="147">
                  <c:v>0.62800601443757142</c:v>
                </c:pt>
                <c:pt idx="148">
                  <c:v>0.64334540539291885</c:v>
                </c:pt>
                <c:pt idx="149">
                  <c:v>0.65883769273618975</c:v>
                </c:pt>
                <c:pt idx="150">
                  <c:v>0.67448975019608348</c:v>
                </c:pt>
                <c:pt idx="151">
                  <c:v>0.69030882393303561</c:v>
                </c:pt>
                <c:pt idx="152">
                  <c:v>0.70630256284008919</c:v>
                </c:pt>
                <c:pt idx="153">
                  <c:v>0.7224790519280645</c:v>
                </c:pt>
                <c:pt idx="154">
                  <c:v>0.73884684918521548</c:v>
                </c:pt>
                <c:pt idx="155">
                  <c:v>0.7554150263604712</c:v>
                </c:pt>
                <c:pt idx="156">
                  <c:v>0.77219321418868658</c:v>
                </c:pt>
                <c:pt idx="157">
                  <c:v>0.78919165265822433</c:v>
                </c:pt>
                <c:pt idx="158">
                  <c:v>0.80642124701824203</c:v>
                </c:pt>
                <c:pt idx="159">
                  <c:v>0.82389363033855956</c:v>
                </c:pt>
                <c:pt idx="160">
                  <c:v>0.84162123357291629</c:v>
                </c:pt>
                <c:pt idx="161">
                  <c:v>0.85961736424191382</c:v>
                </c:pt>
                <c:pt idx="162">
                  <c:v>0.8778962950512309</c:v>
                </c:pt>
                <c:pt idx="163">
                  <c:v>0.89647336400191846</c:v>
                </c:pt>
                <c:pt idx="164">
                  <c:v>0.91536508784281645</c:v>
                </c:pt>
                <c:pt idx="165">
                  <c:v>0.93458929107348265</c:v>
                </c:pt>
                <c:pt idx="166">
                  <c:v>0.95416525314619705</c:v>
                </c:pt>
                <c:pt idx="167">
                  <c:v>0.97411387705931185</c:v>
                </c:pt>
                <c:pt idx="168">
                  <c:v>0.99445788320975581</c:v>
                </c:pt>
                <c:pt idx="169">
                  <c:v>1.0152220332170308</c:v>
                </c:pt>
                <c:pt idx="170">
                  <c:v>1.036433389493792</c:v>
                </c:pt>
                <c:pt idx="171">
                  <c:v>1.0581216176847796</c:v>
                </c:pt>
                <c:pt idx="172">
                  <c:v>1.080319340814959</c:v>
                </c:pt>
                <c:pt idx="173">
                  <c:v>1.1030625561996004</c:v>
                </c:pt>
                <c:pt idx="174">
                  <c:v>1.1263911290388036</c:v>
                </c:pt>
                <c:pt idx="175">
                  <c:v>1.1503493803760112</c:v>
                </c:pt>
                <c:pt idx="176">
                  <c:v>1.1749867920660935</c:v>
                </c:pt>
                <c:pt idx="177">
                  <c:v>1.2003588580308626</c:v>
                </c:pt>
                <c:pt idx="178">
                  <c:v>1.2265281200366138</c:v>
                </c:pt>
                <c:pt idx="179">
                  <c:v>1.2535654384704544</c:v>
                </c:pt>
                <c:pt idx="180">
                  <c:v>1.2815515655446044</c:v>
                </c:pt>
                <c:pt idx="181">
                  <c:v>1.3105791121681329</c:v>
                </c:pt>
                <c:pt idx="182">
                  <c:v>1.3407550336902205</c:v>
                </c:pt>
                <c:pt idx="183">
                  <c:v>1.3722038089987305</c:v>
                </c:pt>
                <c:pt idx="184">
                  <c:v>1.4050715603096373</c:v>
                </c:pt>
                <c:pt idx="185">
                  <c:v>1.439531470938461</c:v>
                </c:pt>
                <c:pt idx="186">
                  <c:v>1.4757910281791762</c:v>
                </c:pt>
                <c:pt idx="187">
                  <c:v>1.5141018876192893</c:v>
                </c:pt>
                <c:pt idx="188">
                  <c:v>1.5547735945968597</c:v>
                </c:pt>
                <c:pt idx="189">
                  <c:v>1.5981931399228242</c:v>
                </c:pt>
                <c:pt idx="190">
                  <c:v>1.6448536269514797</c:v>
                </c:pt>
                <c:pt idx="191">
                  <c:v>1.6953977102721443</c:v>
                </c:pt>
                <c:pt idx="192">
                  <c:v>1.7506860712521786</c:v>
                </c:pt>
                <c:pt idx="193">
                  <c:v>1.8119106729526073</c:v>
                </c:pt>
                <c:pt idx="194">
                  <c:v>1.880793608151262</c:v>
                </c:pt>
                <c:pt idx="195">
                  <c:v>1.9599639845400672</c:v>
                </c:pt>
                <c:pt idx="196">
                  <c:v>2.053748910631839</c:v>
                </c:pt>
                <c:pt idx="197">
                  <c:v>2.170090377584581</c:v>
                </c:pt>
                <c:pt idx="198">
                  <c:v>2.3263478740408701</c:v>
                </c:pt>
                <c:pt idx="199">
                  <c:v>2.5758293035489541</c:v>
                </c:pt>
                <c:pt idx="200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546880"/>
        <c:axId val="919644800"/>
      </c:scatterChart>
      <c:valAx>
        <c:axId val="919546880"/>
        <c:scaling>
          <c:orientation val="minMax"/>
          <c:max val="1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919644800"/>
        <c:crosses val="autoZero"/>
        <c:crossBetween val="midCat"/>
      </c:valAx>
      <c:valAx>
        <c:axId val="919644800"/>
        <c:scaling>
          <c:orientation val="minMax"/>
          <c:max val="10"/>
          <c:min val="-10"/>
        </c:scaling>
        <c:delete val="0"/>
        <c:axPos val="l"/>
        <c:numFmt formatCode="#,##0.00" sourceLinked="0"/>
        <c:majorTickMark val="out"/>
        <c:minorTickMark val="none"/>
        <c:tickLblPos val="nextTo"/>
        <c:crossAx val="919546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 Distribution'!$S$7</c:f>
              <c:strCache>
                <c:ptCount val="1"/>
                <c:pt idx="0">
                  <c:v>Normal Variate, x</c:v>
                </c:pt>
              </c:strCache>
            </c:strRef>
          </c:tx>
          <c:marker>
            <c:symbol val="none"/>
          </c:marker>
          <c:xVal>
            <c:numRef>
              <c:f>'Normal Distribution'!$R$8:$R$208</c:f>
              <c:numCache>
                <c:formatCode>#,##0.0000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'Normal Distribution'!$S$8:$S$208</c:f>
              <c:numCache>
                <c:formatCode>#,##0.000000</c:formatCode>
                <c:ptCount val="201"/>
                <c:pt idx="0">
                  <c:v>-10</c:v>
                </c:pt>
                <c:pt idx="1">
                  <c:v>-2.5758293035489008</c:v>
                </c:pt>
                <c:pt idx="2">
                  <c:v>-2.3263478740408412</c:v>
                </c:pt>
                <c:pt idx="3">
                  <c:v>-2.1700903775845606</c:v>
                </c:pt>
                <c:pt idx="4">
                  <c:v>-2.053748910631823</c:v>
                </c:pt>
                <c:pt idx="5">
                  <c:v>-1.959963984540054</c:v>
                </c:pt>
                <c:pt idx="6">
                  <c:v>-1.8807936081512509</c:v>
                </c:pt>
                <c:pt idx="7">
                  <c:v>-1.8119106729525978</c:v>
                </c:pt>
                <c:pt idx="8">
                  <c:v>-1.7506860712521699</c:v>
                </c:pt>
                <c:pt idx="9">
                  <c:v>-1.6953977102721365</c:v>
                </c:pt>
                <c:pt idx="10">
                  <c:v>-1.6448536269514729</c:v>
                </c:pt>
                <c:pt idx="11">
                  <c:v>-1.5981931399228175</c:v>
                </c:pt>
                <c:pt idx="12">
                  <c:v>-1.5547735945968537</c:v>
                </c:pt>
                <c:pt idx="13">
                  <c:v>-1.5141018876192838</c:v>
                </c:pt>
                <c:pt idx="14">
                  <c:v>-1.4757910281791708</c:v>
                </c:pt>
                <c:pt idx="15">
                  <c:v>-1.4395314709384559</c:v>
                </c:pt>
                <c:pt idx="16">
                  <c:v>-1.4050715603096324</c:v>
                </c:pt>
                <c:pt idx="17">
                  <c:v>-1.3722038089987258</c:v>
                </c:pt>
                <c:pt idx="18">
                  <c:v>-1.3407550336902163</c:v>
                </c:pt>
                <c:pt idx="19">
                  <c:v>-1.3105791121681287</c:v>
                </c:pt>
                <c:pt idx="20">
                  <c:v>-1.2815515655446004</c:v>
                </c:pt>
                <c:pt idx="21">
                  <c:v>-1.2535654384704507</c:v>
                </c:pt>
                <c:pt idx="22">
                  <c:v>-1.2265281200366098</c:v>
                </c:pt>
                <c:pt idx="23">
                  <c:v>-1.2003588580308588</c:v>
                </c:pt>
                <c:pt idx="24">
                  <c:v>-1.1749867920660897</c:v>
                </c:pt>
                <c:pt idx="25">
                  <c:v>-1.1503493803760081</c:v>
                </c:pt>
                <c:pt idx="26">
                  <c:v>-1.1263911290388005</c:v>
                </c:pt>
                <c:pt idx="27">
                  <c:v>-1.1030625561995975</c:v>
                </c:pt>
                <c:pt idx="28">
                  <c:v>-1.0803193408149558</c:v>
                </c:pt>
                <c:pt idx="29">
                  <c:v>-1.0581216176847765</c:v>
                </c:pt>
                <c:pt idx="30">
                  <c:v>-1.0364333894937894</c:v>
                </c:pt>
                <c:pt idx="31">
                  <c:v>-1.0152220332170279</c:v>
                </c:pt>
                <c:pt idx="32">
                  <c:v>-0.99445788320975292</c:v>
                </c:pt>
                <c:pt idx="33">
                  <c:v>-0.97411387705930885</c:v>
                </c:pt>
                <c:pt idx="34">
                  <c:v>-0.95416525314619427</c:v>
                </c:pt>
                <c:pt idx="35">
                  <c:v>-0.93458929107347999</c:v>
                </c:pt>
                <c:pt idx="36">
                  <c:v>-0.91536508784281378</c:v>
                </c:pt>
                <c:pt idx="37">
                  <c:v>-0.89647336400191591</c:v>
                </c:pt>
                <c:pt idx="38">
                  <c:v>-0.87789629505122824</c:v>
                </c:pt>
                <c:pt idx="39">
                  <c:v>-0.85961736424191115</c:v>
                </c:pt>
                <c:pt idx="40">
                  <c:v>-0.84162123357291396</c:v>
                </c:pt>
                <c:pt idx="41">
                  <c:v>-0.823893630338557</c:v>
                </c:pt>
                <c:pt idx="42">
                  <c:v>-0.80642124701823992</c:v>
                </c:pt>
                <c:pt idx="43">
                  <c:v>-0.78919165265822189</c:v>
                </c:pt>
                <c:pt idx="44">
                  <c:v>-0.77219321418868458</c:v>
                </c:pt>
                <c:pt idx="45">
                  <c:v>-0.75541502636046876</c:v>
                </c:pt>
                <c:pt idx="46">
                  <c:v>-0.73884684918521326</c:v>
                </c:pt>
                <c:pt idx="47">
                  <c:v>-0.72247905192806205</c:v>
                </c:pt>
                <c:pt idx="48">
                  <c:v>-0.70630256284008697</c:v>
                </c:pt>
                <c:pt idx="49">
                  <c:v>-0.69030882393303361</c:v>
                </c:pt>
                <c:pt idx="50">
                  <c:v>-0.67448975019608126</c:v>
                </c:pt>
                <c:pt idx="51">
                  <c:v>-0.65883769273618764</c:v>
                </c:pt>
                <c:pt idx="52">
                  <c:v>-0.64334540539291685</c:v>
                </c:pt>
                <c:pt idx="53">
                  <c:v>-0.62800601443756943</c:v>
                </c:pt>
                <c:pt idx="54">
                  <c:v>-0.61281299101662712</c:v>
                </c:pt>
                <c:pt idx="55">
                  <c:v>-0.59776012604247808</c:v>
                </c:pt>
                <c:pt idx="56">
                  <c:v>-0.58284150727121586</c:v>
                </c:pt>
                <c:pt idx="57">
                  <c:v>-0.56805149833898239</c:v>
                </c:pt>
                <c:pt idx="58">
                  <c:v>-0.55338471955567248</c:v>
                </c:pt>
                <c:pt idx="59">
                  <c:v>-0.53883603027845006</c:v>
                </c:pt>
                <c:pt idx="60">
                  <c:v>-0.52440051270804056</c:v>
                </c:pt>
                <c:pt idx="61">
                  <c:v>-0.51007345696859452</c:v>
                </c:pt>
                <c:pt idx="62">
                  <c:v>-0.49585034734745304</c:v>
                </c:pt>
                <c:pt idx="63">
                  <c:v>-0.48172684958472983</c:v>
                </c:pt>
                <c:pt idx="64">
                  <c:v>-0.46769879911450801</c:v>
                </c:pt>
                <c:pt idx="65">
                  <c:v>-0.45376219016987901</c:v>
                </c:pt>
                <c:pt idx="66">
                  <c:v>-0.43991316567323341</c:v>
                </c:pt>
                <c:pt idx="67">
                  <c:v>-0.42614800784127777</c:v>
                </c:pt>
                <c:pt idx="68">
                  <c:v>-0.41246312944140434</c:v>
                </c:pt>
                <c:pt idx="69">
                  <c:v>-0.3988550656423363</c:v>
                </c:pt>
                <c:pt idx="70">
                  <c:v>-0.38532046640756729</c:v>
                </c:pt>
                <c:pt idx="71">
                  <c:v>-0.37185608938507436</c:v>
                </c:pt>
                <c:pt idx="72">
                  <c:v>-0.35845879325119345</c:v>
                </c:pt>
                <c:pt idx="73">
                  <c:v>-0.34512553147047181</c:v>
                </c:pt>
                <c:pt idx="74">
                  <c:v>-0.33185334643681613</c:v>
                </c:pt>
                <c:pt idx="75">
                  <c:v>-0.31863936396437459</c:v>
                </c:pt>
                <c:pt idx="76">
                  <c:v>-0.30548078809939683</c:v>
                </c:pt>
                <c:pt idx="77">
                  <c:v>-0.29237489622680374</c:v>
                </c:pt>
                <c:pt idx="78">
                  <c:v>-0.2793190344474536</c:v>
                </c:pt>
                <c:pt idx="79">
                  <c:v>-0.26631061320409438</c:v>
                </c:pt>
                <c:pt idx="80">
                  <c:v>-0.25334710313579922</c:v>
                </c:pt>
                <c:pt idx="81">
                  <c:v>-0.24042603114230743</c:v>
                </c:pt>
                <c:pt idx="82">
                  <c:v>-0.22754497664114881</c:v>
                </c:pt>
                <c:pt idx="83">
                  <c:v>-0.21470156800174384</c:v>
                </c:pt>
                <c:pt idx="84">
                  <c:v>-0.20189347914185021</c:v>
                </c:pt>
                <c:pt idx="85">
                  <c:v>-0.18911842627279182</c:v>
                </c:pt>
                <c:pt idx="86">
                  <c:v>-0.17637416478086063</c:v>
                </c:pt>
                <c:pt idx="87">
                  <c:v>-0.16365848623314061</c:v>
                </c:pt>
                <c:pt idx="88">
                  <c:v>-0.15096921549677655</c:v>
                </c:pt>
                <c:pt idx="89">
                  <c:v>-0.1383042079614038</c:v>
                </c:pt>
                <c:pt idx="90">
                  <c:v>-0.12566134685507335</c:v>
                </c:pt>
                <c:pt idx="91">
                  <c:v>-0.11303854064456438</c:v>
                </c:pt>
                <c:pt idx="92">
                  <c:v>-0.10043372051146911</c:v>
                </c:pt>
                <c:pt idx="93">
                  <c:v>-8.7844837895870997E-2</c:v>
                </c:pt>
                <c:pt idx="94">
                  <c:v>-7.5269862099829055E-2</c:v>
                </c:pt>
                <c:pt idx="95">
                  <c:v>-6.2706777943212971E-2</c:v>
                </c:pt>
                <c:pt idx="96">
                  <c:v>-5.0153583464732872E-2</c:v>
                </c:pt>
                <c:pt idx="97">
                  <c:v>-3.760828766125518E-2</c:v>
                </c:pt>
                <c:pt idx="98">
                  <c:v>-2.50689082587102E-2</c:v>
                </c:pt>
                <c:pt idx="99">
                  <c:v>-1.2533469508068404E-2</c:v>
                </c:pt>
                <c:pt idx="100">
                  <c:v>8.3487492834352285E-16</c:v>
                </c:pt>
                <c:pt idx="101">
                  <c:v>1.2533469508070072E-2</c:v>
                </c:pt>
                <c:pt idx="102">
                  <c:v>2.5068908258711869E-2</c:v>
                </c:pt>
                <c:pt idx="103">
                  <c:v>3.7608287661256852E-2</c:v>
                </c:pt>
                <c:pt idx="104">
                  <c:v>5.0153583464734544E-2</c:v>
                </c:pt>
                <c:pt idx="105">
                  <c:v>6.270677794321465E-2</c:v>
                </c:pt>
                <c:pt idx="106">
                  <c:v>7.5269862099830734E-2</c:v>
                </c:pt>
                <c:pt idx="107">
                  <c:v>8.7844837895872677E-2</c:v>
                </c:pt>
                <c:pt idx="108">
                  <c:v>0.10043372051147079</c:v>
                </c:pt>
                <c:pt idx="109">
                  <c:v>0.11303854064456606</c:v>
                </c:pt>
                <c:pt idx="110">
                  <c:v>0.12566134685507505</c:v>
                </c:pt>
                <c:pt idx="111">
                  <c:v>0.13830420796140547</c:v>
                </c:pt>
                <c:pt idx="112">
                  <c:v>0.15096921549677825</c:v>
                </c:pt>
                <c:pt idx="113">
                  <c:v>0.16365848623314233</c:v>
                </c:pt>
                <c:pt idx="114">
                  <c:v>0.17637416478086235</c:v>
                </c:pt>
                <c:pt idx="115">
                  <c:v>0.18911842627279352</c:v>
                </c:pt>
                <c:pt idx="116">
                  <c:v>0.20189347914185191</c:v>
                </c:pt>
                <c:pt idx="117">
                  <c:v>0.21470156800174564</c:v>
                </c:pt>
                <c:pt idx="118">
                  <c:v>0.2275449766411505</c:v>
                </c:pt>
                <c:pt idx="119">
                  <c:v>0.24042603114230912</c:v>
                </c:pt>
                <c:pt idx="120">
                  <c:v>0.253347103135801</c:v>
                </c:pt>
                <c:pt idx="121">
                  <c:v>0.26631061320409605</c:v>
                </c:pt>
                <c:pt idx="122">
                  <c:v>0.27931903444745537</c:v>
                </c:pt>
                <c:pt idx="123">
                  <c:v>0.29237489622680546</c:v>
                </c:pt>
                <c:pt idx="124">
                  <c:v>0.30548078809939855</c:v>
                </c:pt>
                <c:pt idx="125">
                  <c:v>0.31863936396437648</c:v>
                </c:pt>
                <c:pt idx="126">
                  <c:v>0.33185334643681785</c:v>
                </c:pt>
                <c:pt idx="127">
                  <c:v>0.3451255314704737</c:v>
                </c:pt>
                <c:pt idx="128">
                  <c:v>0.35845879325119517</c:v>
                </c:pt>
                <c:pt idx="129">
                  <c:v>0.37185608938507614</c:v>
                </c:pt>
                <c:pt idx="130">
                  <c:v>0.38532046640756906</c:v>
                </c:pt>
                <c:pt idx="131">
                  <c:v>0.39885506564233814</c:v>
                </c:pt>
                <c:pt idx="132">
                  <c:v>0.41246312944140628</c:v>
                </c:pt>
                <c:pt idx="133">
                  <c:v>0.42614800784127965</c:v>
                </c:pt>
                <c:pt idx="134">
                  <c:v>0.4399131656732353</c:v>
                </c:pt>
                <c:pt idx="135">
                  <c:v>0.45376219016988084</c:v>
                </c:pt>
                <c:pt idx="136">
                  <c:v>0.46769879911450979</c:v>
                </c:pt>
                <c:pt idx="137">
                  <c:v>0.48172684958473194</c:v>
                </c:pt>
                <c:pt idx="138">
                  <c:v>0.49585034734745492</c:v>
                </c:pt>
                <c:pt idx="139">
                  <c:v>0.51007345696859641</c:v>
                </c:pt>
                <c:pt idx="140">
                  <c:v>0.52440051270804244</c:v>
                </c:pt>
                <c:pt idx="141">
                  <c:v>0.53883603027845195</c:v>
                </c:pt>
                <c:pt idx="142">
                  <c:v>0.55338471955567436</c:v>
                </c:pt>
                <c:pt idx="143">
                  <c:v>0.56805149833898438</c:v>
                </c:pt>
                <c:pt idx="144">
                  <c:v>0.58284150727121808</c:v>
                </c:pt>
                <c:pt idx="145">
                  <c:v>0.59776012604248019</c:v>
                </c:pt>
                <c:pt idx="146">
                  <c:v>0.61281299101662912</c:v>
                </c:pt>
                <c:pt idx="147">
                  <c:v>0.62800601443757142</c:v>
                </c:pt>
                <c:pt idx="148">
                  <c:v>0.64334540539291885</c:v>
                </c:pt>
                <c:pt idx="149">
                  <c:v>0.65883769273618975</c:v>
                </c:pt>
                <c:pt idx="150">
                  <c:v>0.67448975019608348</c:v>
                </c:pt>
                <c:pt idx="151">
                  <c:v>0.69030882393303561</c:v>
                </c:pt>
                <c:pt idx="152">
                  <c:v>0.70630256284008919</c:v>
                </c:pt>
                <c:pt idx="153">
                  <c:v>0.7224790519280645</c:v>
                </c:pt>
                <c:pt idx="154">
                  <c:v>0.73884684918521548</c:v>
                </c:pt>
                <c:pt idx="155">
                  <c:v>0.7554150263604712</c:v>
                </c:pt>
                <c:pt idx="156">
                  <c:v>0.77219321418868658</c:v>
                </c:pt>
                <c:pt idx="157">
                  <c:v>0.78919165265822433</c:v>
                </c:pt>
                <c:pt idx="158">
                  <c:v>0.80642124701824203</c:v>
                </c:pt>
                <c:pt idx="159">
                  <c:v>0.82389363033855956</c:v>
                </c:pt>
                <c:pt idx="160">
                  <c:v>0.84162123357291629</c:v>
                </c:pt>
                <c:pt idx="161">
                  <c:v>0.85961736424191382</c:v>
                </c:pt>
                <c:pt idx="162">
                  <c:v>0.8778962950512309</c:v>
                </c:pt>
                <c:pt idx="163">
                  <c:v>0.89647336400191846</c:v>
                </c:pt>
                <c:pt idx="164">
                  <c:v>0.91536508784281645</c:v>
                </c:pt>
                <c:pt idx="165">
                  <c:v>0.93458929107348265</c:v>
                </c:pt>
                <c:pt idx="166">
                  <c:v>0.95416525314619705</c:v>
                </c:pt>
                <c:pt idx="167">
                  <c:v>0.97411387705931185</c:v>
                </c:pt>
                <c:pt idx="168">
                  <c:v>0.99445788320975581</c:v>
                </c:pt>
                <c:pt idx="169">
                  <c:v>1.0152220332170308</c:v>
                </c:pt>
                <c:pt idx="170">
                  <c:v>1.036433389493792</c:v>
                </c:pt>
                <c:pt idx="171">
                  <c:v>1.0581216176847796</c:v>
                </c:pt>
                <c:pt idx="172">
                  <c:v>1.080319340814959</c:v>
                </c:pt>
                <c:pt idx="173">
                  <c:v>1.1030625561996004</c:v>
                </c:pt>
                <c:pt idx="174">
                  <c:v>1.1263911290388036</c:v>
                </c:pt>
                <c:pt idx="175">
                  <c:v>1.1503493803760112</c:v>
                </c:pt>
                <c:pt idx="176">
                  <c:v>1.1749867920660935</c:v>
                </c:pt>
                <c:pt idx="177">
                  <c:v>1.2003588580308626</c:v>
                </c:pt>
                <c:pt idx="178">
                  <c:v>1.2265281200366138</c:v>
                </c:pt>
                <c:pt idx="179">
                  <c:v>1.2535654384704544</c:v>
                </c:pt>
                <c:pt idx="180">
                  <c:v>1.2815515655446044</c:v>
                </c:pt>
                <c:pt idx="181">
                  <c:v>1.3105791121681329</c:v>
                </c:pt>
                <c:pt idx="182">
                  <c:v>1.3407550336902205</c:v>
                </c:pt>
                <c:pt idx="183">
                  <c:v>1.3722038089987305</c:v>
                </c:pt>
                <c:pt idx="184">
                  <c:v>1.4050715603096373</c:v>
                </c:pt>
                <c:pt idx="185">
                  <c:v>1.439531470938461</c:v>
                </c:pt>
                <c:pt idx="186">
                  <c:v>1.4757910281791762</c:v>
                </c:pt>
                <c:pt idx="187">
                  <c:v>1.5141018876192893</c:v>
                </c:pt>
                <c:pt idx="188">
                  <c:v>1.5547735945968597</c:v>
                </c:pt>
                <c:pt idx="189">
                  <c:v>1.5981931399228242</c:v>
                </c:pt>
                <c:pt idx="190">
                  <c:v>1.6448536269514797</c:v>
                </c:pt>
                <c:pt idx="191">
                  <c:v>1.6953977102721443</c:v>
                </c:pt>
                <c:pt idx="192">
                  <c:v>1.7506860712521786</c:v>
                </c:pt>
                <c:pt idx="193">
                  <c:v>1.8119106729526073</c:v>
                </c:pt>
                <c:pt idx="194">
                  <c:v>1.880793608151262</c:v>
                </c:pt>
                <c:pt idx="195">
                  <c:v>1.9599639845400672</c:v>
                </c:pt>
                <c:pt idx="196">
                  <c:v>2.053748910631839</c:v>
                </c:pt>
                <c:pt idx="197">
                  <c:v>2.170090377584581</c:v>
                </c:pt>
                <c:pt idx="198">
                  <c:v>2.3263478740408701</c:v>
                </c:pt>
                <c:pt idx="199">
                  <c:v>2.5758293035489541</c:v>
                </c:pt>
                <c:pt idx="200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002304"/>
        <c:axId val="936004224"/>
      </c:scatterChart>
      <c:valAx>
        <c:axId val="936002304"/>
        <c:scaling>
          <c:orientation val="minMax"/>
          <c:max val="1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936004224"/>
        <c:crosses val="autoZero"/>
        <c:crossBetween val="midCat"/>
      </c:valAx>
      <c:valAx>
        <c:axId val="936004224"/>
        <c:scaling>
          <c:orientation val="minMax"/>
          <c:max val="10"/>
          <c:min val="-10"/>
        </c:scaling>
        <c:delete val="0"/>
        <c:axPos val="l"/>
        <c:numFmt formatCode="#,##0.00" sourceLinked="0"/>
        <c:majorTickMark val="out"/>
        <c:minorTickMark val="none"/>
        <c:tickLblPos val="nextTo"/>
        <c:crossAx val="936002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Distribution'!$N$7</c:f>
              <c:strCache>
                <c:ptCount val="1"/>
                <c:pt idx="0">
                  <c:v>Probability, Phi</c:v>
                </c:pt>
              </c:strCache>
            </c:strRef>
          </c:tx>
          <c:marker>
            <c:symbol val="none"/>
          </c:marker>
          <c:xVal>
            <c:numRef>
              <c:f>'Normal Distribution'!$B$8:$B$208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Distribution'!$N$8:$N$208</c:f>
              <c:numCache>
                <c:formatCode>#,##0.000000</c:formatCode>
                <c:ptCount val="201"/>
                <c:pt idx="0">
                  <c:v>7.6198530241605255E-24</c:v>
                </c:pt>
                <c:pt idx="1">
                  <c:v>2.0813752194932082E-23</c:v>
                </c:pt>
                <c:pt idx="2">
                  <c:v>5.6292823113765143E-23</c:v>
                </c:pt>
                <c:pt idx="3">
                  <c:v>1.507493168810181E-22</c:v>
                </c:pt>
                <c:pt idx="4">
                  <c:v>3.9972212057261766E-22</c:v>
                </c:pt>
                <c:pt idx="5">
                  <c:v>1.0494515075362456E-21</c:v>
                </c:pt>
                <c:pt idx="6">
                  <c:v>2.7281535713460688E-21</c:v>
                </c:pt>
                <c:pt idx="7">
                  <c:v>7.02228424044149E-21</c:v>
                </c:pt>
                <c:pt idx="8">
                  <c:v>1.789748812013989E-20</c:v>
                </c:pt>
                <c:pt idx="9">
                  <c:v>4.5165914914353079E-20</c:v>
                </c:pt>
                <c:pt idx="10">
                  <c:v>1.1285884059538003E-19</c:v>
                </c:pt>
                <c:pt idx="11">
                  <c:v>2.7923343749395636E-19</c:v>
                </c:pt>
                <c:pt idx="12">
                  <c:v>6.8408076859353507E-19</c:v>
                </c:pt>
                <c:pt idx="13">
                  <c:v>1.6594208699647043E-18</c:v>
                </c:pt>
                <c:pt idx="14">
                  <c:v>3.9858049628480093E-18</c:v>
                </c:pt>
                <c:pt idx="15">
                  <c:v>9.4795348222029094E-18</c:v>
                </c:pt>
                <c:pt idx="16">
                  <c:v>2.2323931972879352E-17</c:v>
                </c:pt>
                <c:pt idx="17">
                  <c:v>5.2055697448900222E-17</c:v>
                </c:pt>
                <c:pt idx="18">
                  <c:v>1.2019351542735126E-16</c:v>
                </c:pt>
                <c:pt idx="19">
                  <c:v>2.7479593923980629E-16</c:v>
                </c:pt>
                <c:pt idx="20">
                  <c:v>6.2209605742714259E-16</c:v>
                </c:pt>
                <c:pt idx="21">
                  <c:v>1.3945171466591853E-15</c:v>
                </c:pt>
                <c:pt idx="22">
                  <c:v>3.0953587719585003E-15</c:v>
                </c:pt>
                <c:pt idx="23">
                  <c:v>6.8033115407735328E-15</c:v>
                </c:pt>
                <c:pt idx="24">
                  <c:v>1.480653749004705E-14</c:v>
                </c:pt>
                <c:pt idx="25">
                  <c:v>3.190891672910678E-14</c:v>
                </c:pt>
                <c:pt idx="26">
                  <c:v>6.8092248906195485E-14</c:v>
                </c:pt>
                <c:pt idx="27">
                  <c:v>1.4388386381574822E-13</c:v>
                </c:pt>
                <c:pt idx="28">
                  <c:v>3.0106279811172143E-13</c:v>
                </c:pt>
                <c:pt idx="29">
                  <c:v>6.2378444633311121E-13</c:v>
                </c:pt>
                <c:pt idx="30">
                  <c:v>1.2798125438857374E-12</c:v>
                </c:pt>
                <c:pt idx="31">
                  <c:v>2.6001269656379755E-12</c:v>
                </c:pt>
                <c:pt idx="32">
                  <c:v>5.2309575441441836E-12</c:v>
                </c:pt>
                <c:pt idx="33">
                  <c:v>1.042097698796436E-11</c:v>
                </c:pt>
                <c:pt idx="34">
                  <c:v>2.0557889093993516E-11</c:v>
                </c:pt>
                <c:pt idx="35">
                  <c:v>4.0160005838587824E-11</c:v>
                </c:pt>
                <c:pt idx="36">
                  <c:v>7.7688475817091785E-11</c:v>
                </c:pt>
                <c:pt idx="37">
                  <c:v>1.4882282217621826E-10</c:v>
                </c:pt>
                <c:pt idx="38">
                  <c:v>2.8231580370430314E-10</c:v>
                </c:pt>
                <c:pt idx="39">
                  <c:v>5.3034232629483644E-10</c:v>
                </c:pt>
                <c:pt idx="40">
                  <c:v>9.8658764503761186E-10</c:v>
                </c:pt>
                <c:pt idx="41">
                  <c:v>1.8175078630992715E-9</c:v>
                </c:pt>
                <c:pt idx="42">
                  <c:v>3.3157459783258697E-9</c:v>
                </c:pt>
                <c:pt idx="43">
                  <c:v>5.9903714010630027E-9</c:v>
                </c:pt>
                <c:pt idx="44">
                  <c:v>1.071759025830995E-8</c:v>
                </c:pt>
                <c:pt idx="45">
                  <c:v>1.8989562465885987E-8</c:v>
                </c:pt>
                <c:pt idx="46">
                  <c:v>3.3320448485425517E-8</c:v>
                </c:pt>
                <c:pt idx="47">
                  <c:v>5.7901340399640593E-8</c:v>
                </c:pt>
                <c:pt idx="48">
                  <c:v>9.9644263169325714E-8</c:v>
                </c:pt>
                <c:pt idx="49">
                  <c:v>1.6982674071474415E-7</c:v>
                </c:pt>
                <c:pt idx="50">
                  <c:v>2.8665157187916755E-7</c:v>
                </c:pt>
                <c:pt idx="51">
                  <c:v>4.7918327659027535E-7</c:v>
                </c:pt>
                <c:pt idx="52">
                  <c:v>7.9332815197552196E-7</c:v>
                </c:pt>
                <c:pt idx="53">
                  <c:v>1.3008074539171617E-6</c:v>
                </c:pt>
                <c:pt idx="54">
                  <c:v>2.1124547025026542E-6</c:v>
                </c:pt>
                <c:pt idx="55">
                  <c:v>3.397673124729746E-6</c:v>
                </c:pt>
                <c:pt idx="56">
                  <c:v>5.4125439077033664E-6</c:v>
                </c:pt>
                <c:pt idx="57">
                  <c:v>8.5399054709910335E-6</c:v>
                </c:pt>
                <c:pt idx="58">
                  <c:v>1.3345749015905116E-5</c:v>
                </c:pt>
                <c:pt idx="59">
                  <c:v>2.065750691254486E-5</c:v>
                </c:pt>
                <c:pt idx="60">
                  <c:v>3.1671241833117078E-5</c:v>
                </c:pt>
                <c:pt idx="61">
                  <c:v>4.8096344017598488E-5</c:v>
                </c:pt>
                <c:pt idx="62">
                  <c:v>7.2348043925113769E-5</c:v>
                </c:pt>
                <c:pt idx="63">
                  <c:v>1.0779973347737941E-4</c:v>
                </c:pt>
                <c:pt idx="64">
                  <c:v>1.5910859015752109E-4</c:v>
                </c:pt>
                <c:pt idx="65">
                  <c:v>2.3262907903550683E-4</c:v>
                </c:pt>
                <c:pt idx="66">
                  <c:v>3.3692926567685532E-4</c:v>
                </c:pt>
                <c:pt idx="67">
                  <c:v>4.8342414238374145E-4</c:v>
                </c:pt>
                <c:pt idx="68">
                  <c:v>6.8713793791579916E-4</c:v>
                </c:pt>
                <c:pt idx="69">
                  <c:v>9.6760321321828974E-4</c:v>
                </c:pt>
                <c:pt idx="70">
                  <c:v>1.3498980316300042E-3</c:v>
                </c:pt>
                <c:pt idx="71">
                  <c:v>1.8658133003839172E-3</c:v>
                </c:pt>
                <c:pt idx="72">
                  <c:v>2.555130330427772E-3</c:v>
                </c:pt>
                <c:pt idx="73">
                  <c:v>3.4669738030404574E-3</c:v>
                </c:pt>
                <c:pt idx="74">
                  <c:v>4.661188023718477E-3</c:v>
                </c:pt>
                <c:pt idx="75">
                  <c:v>6.2096653257757818E-3</c:v>
                </c:pt>
                <c:pt idx="76">
                  <c:v>8.1975359245956819E-3</c:v>
                </c:pt>
                <c:pt idx="77">
                  <c:v>1.0724110021675243E-2</c:v>
                </c:pt>
                <c:pt idx="78">
                  <c:v>1.390344751349791E-2</c:v>
                </c:pt>
                <c:pt idx="79">
                  <c:v>1.7864420562815692E-2</c:v>
                </c:pt>
                <c:pt idx="80">
                  <c:v>2.2750131948178147E-2</c:v>
                </c:pt>
                <c:pt idx="81">
                  <c:v>2.8716559816000527E-2</c:v>
                </c:pt>
                <c:pt idx="82">
                  <c:v>3.5930319112924269E-2</c:v>
                </c:pt>
                <c:pt idx="83">
                  <c:v>4.4565462758541237E-2</c:v>
                </c:pt>
                <c:pt idx="84">
                  <c:v>5.4799291699555865E-2</c:v>
                </c:pt>
                <c:pt idx="85">
                  <c:v>6.6807201268855601E-2</c:v>
                </c:pt>
                <c:pt idx="86">
                  <c:v>8.0756659233768208E-2</c:v>
                </c:pt>
                <c:pt idx="87">
                  <c:v>9.6800484585607069E-2</c:v>
                </c:pt>
                <c:pt idx="88">
                  <c:v>0.11506967022170463</c:v>
                </c:pt>
                <c:pt idx="89">
                  <c:v>0.13566606094637859</c:v>
                </c:pt>
                <c:pt idx="90">
                  <c:v>0.15865525393145255</c:v>
                </c:pt>
                <c:pt idx="91">
                  <c:v>0.18406012534675456</c:v>
                </c:pt>
                <c:pt idx="92">
                  <c:v>0.21185539858339131</c:v>
                </c:pt>
                <c:pt idx="93">
                  <c:v>0.24196365222306723</c:v>
                </c:pt>
                <c:pt idx="94">
                  <c:v>0.27425311775006733</c:v>
                </c:pt>
                <c:pt idx="95">
                  <c:v>0.30853753872598033</c:v>
                </c:pt>
                <c:pt idx="96">
                  <c:v>0.34457825838966893</c:v>
                </c:pt>
                <c:pt idx="97">
                  <c:v>0.38208857781104022</c:v>
                </c:pt>
                <c:pt idx="98">
                  <c:v>0.42074029056088963</c:v>
                </c:pt>
                <c:pt idx="99">
                  <c:v>0.46017216272296357</c:v>
                </c:pt>
                <c:pt idx="100">
                  <c:v>0.49999999999999251</c:v>
                </c:pt>
                <c:pt idx="101">
                  <c:v>0.53982783727702155</c:v>
                </c:pt>
                <c:pt idx="102">
                  <c:v>0.57925970943909566</c:v>
                </c:pt>
                <c:pt idx="103">
                  <c:v>0.61791142218894546</c:v>
                </c:pt>
                <c:pt idx="104">
                  <c:v>0.65542174161031719</c:v>
                </c:pt>
                <c:pt idx="105">
                  <c:v>0.69146246127400646</c:v>
                </c:pt>
                <c:pt idx="106">
                  <c:v>0.72574688224992012</c:v>
                </c:pt>
                <c:pt idx="107">
                  <c:v>0.75803634777692108</c:v>
                </c:pt>
                <c:pt idx="108">
                  <c:v>0.78814460141659792</c:v>
                </c:pt>
                <c:pt idx="109">
                  <c:v>0.81593987465323548</c:v>
                </c:pt>
                <c:pt idx="110">
                  <c:v>0.84134474606853837</c:v>
                </c:pt>
                <c:pt idx="111">
                  <c:v>0.86433393905361333</c:v>
                </c:pt>
                <c:pt idx="112">
                  <c:v>0.88493032977828812</c:v>
                </c:pt>
                <c:pt idx="113">
                  <c:v>0.90319951541438648</c:v>
                </c:pt>
                <c:pt idx="114">
                  <c:v>0.91924334076622616</c:v>
                </c:pt>
                <c:pt idx="115">
                  <c:v>0.93319279873113958</c:v>
                </c:pt>
                <c:pt idx="116">
                  <c:v>0.94520070830044001</c:v>
                </c:pt>
                <c:pt idx="117">
                  <c:v>0.95543453724145522</c:v>
                </c:pt>
                <c:pt idx="118">
                  <c:v>0.96406968088707279</c:v>
                </c:pt>
                <c:pt idx="119">
                  <c:v>0.97128344018399704</c:v>
                </c:pt>
                <c:pt idx="120">
                  <c:v>0.97724986805181979</c:v>
                </c:pt>
                <c:pt idx="121">
                  <c:v>0.98213557943718266</c:v>
                </c:pt>
                <c:pt idx="122">
                  <c:v>0.98609655248650074</c:v>
                </c:pt>
                <c:pt idx="123">
                  <c:v>0.98927588997832372</c:v>
                </c:pt>
                <c:pt idx="124">
                  <c:v>0.99180246407540351</c:v>
                </c:pt>
                <c:pt idx="125">
                  <c:v>0.99379033467422351</c:v>
                </c:pt>
                <c:pt idx="126">
                  <c:v>0.99533881197628105</c:v>
                </c:pt>
                <c:pt idx="127">
                  <c:v>0.99653302619695916</c:v>
                </c:pt>
                <c:pt idx="128">
                  <c:v>0.99744486966957191</c:v>
                </c:pt>
                <c:pt idx="129">
                  <c:v>0.99813418669961584</c:v>
                </c:pt>
                <c:pt idx="130">
                  <c:v>0.99865010196836979</c:v>
                </c:pt>
                <c:pt idx="131">
                  <c:v>0.99903239678678157</c:v>
                </c:pt>
                <c:pt idx="132">
                  <c:v>0.99931286206208414</c:v>
                </c:pt>
                <c:pt idx="133">
                  <c:v>0.99951657585761622</c:v>
                </c:pt>
                <c:pt idx="134">
                  <c:v>0.99966307073432314</c:v>
                </c:pt>
                <c:pt idx="135">
                  <c:v>0.99976737092096446</c:v>
                </c:pt>
                <c:pt idx="136">
                  <c:v>0.99984089140984245</c:v>
                </c:pt>
                <c:pt idx="137">
                  <c:v>0.99989220026652259</c:v>
                </c:pt>
                <c:pt idx="138">
                  <c:v>0.99992765195607491</c:v>
                </c:pt>
                <c:pt idx="139">
                  <c:v>0.99995190365598241</c:v>
                </c:pt>
                <c:pt idx="140">
                  <c:v>0.99996832875816688</c:v>
                </c:pt>
                <c:pt idx="141">
                  <c:v>0.9999793424930874</c:v>
                </c:pt>
                <c:pt idx="142">
                  <c:v>0.9999866542509841</c:v>
                </c:pt>
                <c:pt idx="143">
                  <c:v>0.99999146009452899</c:v>
                </c:pt>
                <c:pt idx="144">
                  <c:v>0.99999458745609227</c:v>
                </c:pt>
                <c:pt idx="145">
                  <c:v>0.99999660232687526</c:v>
                </c:pt>
                <c:pt idx="146">
                  <c:v>0.9999978875452975</c:v>
                </c:pt>
                <c:pt idx="147">
                  <c:v>0.99999869919254614</c:v>
                </c:pt>
                <c:pt idx="148">
                  <c:v>0.99999920667184805</c:v>
                </c:pt>
                <c:pt idx="149">
                  <c:v>0.99999952081672339</c:v>
                </c:pt>
                <c:pt idx="150">
                  <c:v>0.99999971334842808</c:v>
                </c:pt>
                <c:pt idx="151">
                  <c:v>0.99999983017325933</c:v>
                </c:pt>
                <c:pt idx="152">
                  <c:v>0.99999990035573683</c:v>
                </c:pt>
                <c:pt idx="153">
                  <c:v>0.99999994209865961</c:v>
                </c:pt>
                <c:pt idx="154">
                  <c:v>0.99999996667955149</c:v>
                </c:pt>
                <c:pt idx="155">
                  <c:v>0.99999998101043752</c:v>
                </c:pt>
                <c:pt idx="156">
                  <c:v>0.99999998928240974</c:v>
                </c:pt>
                <c:pt idx="157">
                  <c:v>0.99999999400962858</c:v>
                </c:pt>
                <c:pt idx="158">
                  <c:v>0.99999999668425399</c:v>
                </c:pt>
                <c:pt idx="159">
                  <c:v>0.99999999818249219</c:v>
                </c:pt>
                <c:pt idx="160">
                  <c:v>0.9999999990134123</c:v>
                </c:pt>
                <c:pt idx="161">
                  <c:v>0.99999999946965767</c:v>
                </c:pt>
                <c:pt idx="162">
                  <c:v>0.99999999971768416</c:v>
                </c:pt>
                <c:pt idx="163">
                  <c:v>0.99999999985117716</c:v>
                </c:pt>
                <c:pt idx="164">
                  <c:v>0.99999999992231148</c:v>
                </c:pt>
                <c:pt idx="165">
                  <c:v>0.99999999995984001</c:v>
                </c:pt>
                <c:pt idx="166">
                  <c:v>0.99999999997944211</c:v>
                </c:pt>
                <c:pt idx="167">
                  <c:v>0.999999999989579</c:v>
                </c:pt>
                <c:pt idx="168">
                  <c:v>0.99999999999476907</c:v>
                </c:pt>
                <c:pt idx="169">
                  <c:v>0.99999999999739986</c:v>
                </c:pt>
                <c:pt idx="170">
                  <c:v>0.99999999999872013</c:v>
                </c:pt>
                <c:pt idx="171">
                  <c:v>0.99999999999937617</c:v>
                </c:pt>
                <c:pt idx="172">
                  <c:v>0.99999999999969891</c:v>
                </c:pt>
                <c:pt idx="173">
                  <c:v>0.99999999999985612</c:v>
                </c:pt>
                <c:pt idx="174">
                  <c:v>0.99999999999993194</c:v>
                </c:pt>
                <c:pt idx="175">
                  <c:v>0.99999999999996814</c:v>
                </c:pt>
                <c:pt idx="176">
                  <c:v>0.99999999999998523</c:v>
                </c:pt>
                <c:pt idx="177">
                  <c:v>0.99999999999999323</c:v>
                </c:pt>
                <c:pt idx="178">
                  <c:v>0.99999999999999689</c:v>
                </c:pt>
                <c:pt idx="179">
                  <c:v>0.99999999999999856</c:v>
                </c:pt>
                <c:pt idx="180">
                  <c:v>0.99999999999999933</c:v>
                </c:pt>
                <c:pt idx="181">
                  <c:v>0.99999999999999978</c:v>
                </c:pt>
                <c:pt idx="182">
                  <c:v>0.99999999999999989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599424"/>
        <c:axId val="946682112"/>
      </c:scatterChart>
      <c:valAx>
        <c:axId val="946599424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946682112"/>
        <c:crosses val="autoZero"/>
        <c:crossBetween val="midCat"/>
        <c:majorUnit val="10"/>
      </c:valAx>
      <c:valAx>
        <c:axId val="946682112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46599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Distribution'!$O$7</c:f>
              <c:strCache>
                <c:ptCount val="1"/>
                <c:pt idx="0">
                  <c:v>Pdf</c:v>
                </c:pt>
              </c:strCache>
            </c:strRef>
          </c:tx>
          <c:marker>
            <c:symbol val="none"/>
          </c:marker>
          <c:xVal>
            <c:numRef>
              <c:f>'Normal Distribution'!$M$8:$M$208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Distribution'!$O$8:$O$208</c:f>
              <c:numCache>
                <c:formatCode>#,##0.000000</c:formatCode>
                <c:ptCount val="201"/>
                <c:pt idx="0">
                  <c:v>7.6945986267064199E-23</c:v>
                </c:pt>
                <c:pt idx="1">
                  <c:v>2.0811768202028245E-22</c:v>
                </c:pt>
                <c:pt idx="2">
                  <c:v>5.5730000227206912E-22</c:v>
                </c:pt>
                <c:pt idx="3">
                  <c:v>1.4774954927042438E-21</c:v>
                </c:pt>
                <c:pt idx="4">
                  <c:v>3.8781119317469065E-21</c:v>
                </c:pt>
                <c:pt idx="5">
                  <c:v>1.0077935394299867E-20</c:v>
                </c:pt>
                <c:pt idx="6">
                  <c:v>2.5928647011003341E-20</c:v>
                </c:pt>
                <c:pt idx="7">
                  <c:v>6.6045798607391687E-20</c:v>
                </c:pt>
                <c:pt idx="8">
                  <c:v>1.6655880323798698E-19</c:v>
                </c:pt>
                <c:pt idx="9">
                  <c:v>4.1585989791150129E-19</c:v>
                </c:pt>
                <c:pt idx="10">
                  <c:v>1.0279773571668551E-18</c:v>
                </c:pt>
                <c:pt idx="11">
                  <c:v>2.5158057769513331E-18</c:v>
                </c:pt>
                <c:pt idx="12">
                  <c:v>6.0957581295622447E-18</c:v>
                </c:pt>
                <c:pt idx="13">
                  <c:v>1.4622963575005855E-17</c:v>
                </c:pt>
                <c:pt idx="14">
                  <c:v>3.4729627485660597E-17</c:v>
                </c:pt>
                <c:pt idx="15">
                  <c:v>8.1662356316692026E-17</c:v>
                </c:pt>
                <c:pt idx="16">
                  <c:v>1.9010815379078693E-16</c:v>
                </c:pt>
                <c:pt idx="17">
                  <c:v>4.3816394355091402E-16</c:v>
                </c:pt>
                <c:pt idx="18">
                  <c:v>9.9983787484966114E-16</c:v>
                </c:pt>
                <c:pt idx="19">
                  <c:v>2.2588094031541746E-15</c:v>
                </c:pt>
                <c:pt idx="20">
                  <c:v>5.0522710835366056E-15</c:v>
                </c:pt>
                <c:pt idx="21">
                  <c:v>1.1187956214351181E-14</c:v>
                </c:pt>
                <c:pt idx="22">
                  <c:v>2.4528552856962759E-14</c:v>
                </c:pt>
                <c:pt idx="23">
                  <c:v>5.3241483722526217E-14</c:v>
                </c:pt>
                <c:pt idx="24">
                  <c:v>1.1441564901800597E-13</c:v>
                </c:pt>
                <c:pt idx="25">
                  <c:v>2.434320533028846E-13</c:v>
                </c:pt>
                <c:pt idx="26">
                  <c:v>5.1277536367963166E-13</c:v>
                </c:pt>
                <c:pt idx="27">
                  <c:v>1.0693837871540878E-12</c:v>
                </c:pt>
                <c:pt idx="28">
                  <c:v>2.2079899631369825E-12</c:v>
                </c:pt>
                <c:pt idx="29">
                  <c:v>4.5135436772051806E-12</c:v>
                </c:pt>
                <c:pt idx="30">
                  <c:v>9.1347204083639119E-12</c:v>
                </c:pt>
                <c:pt idx="31">
                  <c:v>1.8303322170154415E-11</c:v>
                </c:pt>
                <c:pt idx="32">
                  <c:v>3.6309615017915174E-11</c:v>
                </c:pt>
                <c:pt idx="33">
                  <c:v>7.1313281239955193E-11</c:v>
                </c:pt>
                <c:pt idx="34">
                  <c:v>1.386679994165204E-10</c:v>
                </c:pt>
                <c:pt idx="35">
                  <c:v>2.6695566147626343E-10</c:v>
                </c:pt>
                <c:pt idx="36">
                  <c:v>5.0881402816446408E-10</c:v>
                </c:pt>
                <c:pt idx="37">
                  <c:v>9.6014333703115174E-10</c:v>
                </c:pt>
                <c:pt idx="38">
                  <c:v>1.793783907963933E-9</c:v>
                </c:pt>
                <c:pt idx="39">
                  <c:v>3.3178842435470104E-9</c:v>
                </c:pt>
                <c:pt idx="40">
                  <c:v>6.0758828498227674E-9</c:v>
                </c:pt>
                <c:pt idx="41">
                  <c:v>1.101576362468137E-8</c:v>
                </c:pt>
                <c:pt idx="42">
                  <c:v>1.9773196406242984E-8</c:v>
                </c:pt>
                <c:pt idx="43">
                  <c:v>3.5139550948201343E-8</c:v>
                </c:pt>
                <c:pt idx="44">
                  <c:v>6.182620500165308E-8</c:v>
                </c:pt>
                <c:pt idx="45">
                  <c:v>1.0769760042542322E-7</c:v>
                </c:pt>
                <c:pt idx="46">
                  <c:v>1.8573618445551279E-7</c:v>
                </c:pt>
                <c:pt idx="47">
                  <c:v>3.1713492167156938E-7</c:v>
                </c:pt>
                <c:pt idx="48">
                  <c:v>5.3610353446971465E-7</c:v>
                </c:pt>
                <c:pt idx="49">
                  <c:v>8.9724351623825242E-7</c:v>
                </c:pt>
                <c:pt idx="50">
                  <c:v>1.4867195147341658E-6</c:v>
                </c:pt>
                <c:pt idx="51">
                  <c:v>2.43896074589314E-6</c:v>
                </c:pt>
                <c:pt idx="52">
                  <c:v>3.9612990910317238E-6</c:v>
                </c:pt>
                <c:pt idx="53">
                  <c:v>6.3698251788665359E-6</c:v>
                </c:pt>
                <c:pt idx="54">
                  <c:v>1.0140852065485842E-5</c:v>
                </c:pt>
                <c:pt idx="55">
                  <c:v>1.5983741106904055E-5</c:v>
                </c:pt>
                <c:pt idx="56">
                  <c:v>2.4942471290051404E-5</c:v>
                </c:pt>
                <c:pt idx="57">
                  <c:v>3.8535196742083775E-5</c:v>
                </c:pt>
                <c:pt idx="58">
                  <c:v>5.8943067756534725E-5</c:v>
                </c:pt>
                <c:pt idx="59">
                  <c:v>8.9261657177125162E-5</c:v>
                </c:pt>
                <c:pt idx="60">
                  <c:v>1.3383022576487396E-4</c:v>
                </c:pt>
                <c:pt idx="61">
                  <c:v>1.9865547139275616E-4</c:v>
                </c:pt>
                <c:pt idx="62">
                  <c:v>2.9194692579143664E-4</c:v>
                </c:pt>
                <c:pt idx="63">
                  <c:v>4.2478027055071864E-4</c:v>
                </c:pt>
                <c:pt idx="64">
                  <c:v>6.1190193011372625E-4</c:v>
                </c:pt>
                <c:pt idx="65">
                  <c:v>8.7268269504569662E-4</c:v>
                </c:pt>
                <c:pt idx="66">
                  <c:v>1.2322191684729323E-3</c:v>
                </c:pt>
                <c:pt idx="67">
                  <c:v>1.7225689390535622E-3</c:v>
                </c:pt>
                <c:pt idx="68">
                  <c:v>2.3840882014646856E-3</c:v>
                </c:pt>
                <c:pt idx="69">
                  <c:v>3.2668190561997131E-3</c:v>
                </c:pt>
                <c:pt idx="70">
                  <c:v>4.431848411937736E-3</c:v>
                </c:pt>
                <c:pt idx="71">
                  <c:v>5.9525324197755051E-3</c:v>
                </c:pt>
                <c:pt idx="72">
                  <c:v>7.9154515829795141E-3</c:v>
                </c:pt>
                <c:pt idx="73">
                  <c:v>1.0420934814422026E-2</c:v>
                </c:pt>
                <c:pt idx="74">
                  <c:v>1.3582969233684909E-2</c:v>
                </c:pt>
                <c:pt idx="75">
                  <c:v>1.7528300493567659E-2</c:v>
                </c:pt>
                <c:pt idx="76">
                  <c:v>2.2394530294841827E-2</c:v>
                </c:pt>
                <c:pt idx="77">
                  <c:v>2.8327037741599882E-2</c:v>
                </c:pt>
                <c:pt idx="78">
                  <c:v>3.5474592846229898E-2</c:v>
                </c:pt>
                <c:pt idx="79">
                  <c:v>4.398359598042538E-2</c:v>
                </c:pt>
                <c:pt idx="80">
                  <c:v>5.3990966513185946E-2</c:v>
                </c:pt>
                <c:pt idx="81">
                  <c:v>6.5615814774674167E-2</c:v>
                </c:pt>
                <c:pt idx="82">
                  <c:v>7.8950158300891415E-2</c:v>
                </c:pt>
                <c:pt idx="83">
                  <c:v>9.4049077376883852E-2</c:v>
                </c:pt>
                <c:pt idx="84">
                  <c:v>0.11092083467945216</c:v>
                </c:pt>
                <c:pt idx="85">
                  <c:v>0.12951759566588802</c:v>
                </c:pt>
                <c:pt idx="86">
                  <c:v>0.14972746563574085</c:v>
                </c:pt>
                <c:pt idx="87">
                  <c:v>0.17136859204780314</c:v>
                </c:pt>
                <c:pt idx="88">
                  <c:v>0.19418605498320857</c:v>
                </c:pt>
                <c:pt idx="89">
                  <c:v>0.21785217703254606</c:v>
                </c:pt>
                <c:pt idx="90">
                  <c:v>0.24197072451913884</c:v>
                </c:pt>
                <c:pt idx="91">
                  <c:v>0.26608524989875038</c:v>
                </c:pt>
                <c:pt idx="92">
                  <c:v>0.2896915527614784</c:v>
                </c:pt>
                <c:pt idx="93">
                  <c:v>0.31225393336675722</c:v>
                </c:pt>
                <c:pt idx="94">
                  <c:v>0.33322460289179595</c:v>
                </c:pt>
                <c:pt idx="95">
                  <c:v>0.35206532676429619</c:v>
                </c:pt>
                <c:pt idx="96">
                  <c:v>0.36827014030332056</c:v>
                </c:pt>
                <c:pt idx="97">
                  <c:v>0.38138781546052197</c:v>
                </c:pt>
                <c:pt idx="98">
                  <c:v>0.39104269397545444</c:v>
                </c:pt>
                <c:pt idx="99">
                  <c:v>0.39695254747701103</c:v>
                </c:pt>
                <c:pt idx="100">
                  <c:v>0.3989422804014327</c:v>
                </c:pt>
                <c:pt idx="101">
                  <c:v>0.39695254747701253</c:v>
                </c:pt>
                <c:pt idx="102">
                  <c:v>0.39104269397545738</c:v>
                </c:pt>
                <c:pt idx="103">
                  <c:v>0.38138781546052625</c:v>
                </c:pt>
                <c:pt idx="104">
                  <c:v>0.36827014030332611</c:v>
                </c:pt>
                <c:pt idx="105">
                  <c:v>0.3520653267643028</c:v>
                </c:pt>
                <c:pt idx="106">
                  <c:v>0.33322460289180339</c:v>
                </c:pt>
                <c:pt idx="107">
                  <c:v>0.31225393336676538</c:v>
                </c:pt>
                <c:pt idx="108">
                  <c:v>0.28969155276148711</c:v>
                </c:pt>
                <c:pt idx="109">
                  <c:v>0.26608524989875937</c:v>
                </c:pt>
                <c:pt idx="110">
                  <c:v>0.24197072451914792</c:v>
                </c:pt>
                <c:pt idx="111">
                  <c:v>0.21785217703255505</c:v>
                </c:pt>
                <c:pt idx="112">
                  <c:v>0.19418605498321731</c:v>
                </c:pt>
                <c:pt idx="113">
                  <c:v>0.17136859204781152</c:v>
                </c:pt>
                <c:pt idx="114">
                  <c:v>0.14972746563574874</c:v>
                </c:pt>
                <c:pt idx="115">
                  <c:v>0.1295175956658953</c:v>
                </c:pt>
                <c:pt idx="116">
                  <c:v>0.11092083467945882</c:v>
                </c:pt>
                <c:pt idx="117">
                  <c:v>9.4049077376889847E-2</c:v>
                </c:pt>
                <c:pt idx="118">
                  <c:v>7.8950158300896744E-2</c:v>
                </c:pt>
                <c:pt idx="119">
                  <c:v>6.5615814774678843E-2</c:v>
                </c:pt>
                <c:pt idx="120">
                  <c:v>5.3990966513189999E-2</c:v>
                </c:pt>
                <c:pt idx="121">
                  <c:v>4.3983595980428877E-2</c:v>
                </c:pt>
                <c:pt idx="122">
                  <c:v>3.547459284623284E-2</c:v>
                </c:pt>
                <c:pt idx="123">
                  <c:v>2.8327037741602345E-2</c:v>
                </c:pt>
                <c:pt idx="124">
                  <c:v>2.2394530294843853E-2</c:v>
                </c:pt>
                <c:pt idx="125">
                  <c:v>1.7528300493569317E-2</c:v>
                </c:pt>
                <c:pt idx="126">
                  <c:v>1.3582969233686243E-2</c:v>
                </c:pt>
                <c:pt idx="127">
                  <c:v>1.0420934814423091E-2</c:v>
                </c:pt>
                <c:pt idx="128">
                  <c:v>7.9154515829803502E-3</c:v>
                </c:pt>
                <c:pt idx="129">
                  <c:v>5.9525324197761548E-3</c:v>
                </c:pt>
                <c:pt idx="130">
                  <c:v>4.4318484119382356E-3</c:v>
                </c:pt>
                <c:pt idx="131">
                  <c:v>3.2668190562000956E-3</c:v>
                </c:pt>
                <c:pt idx="132">
                  <c:v>2.3840882014649735E-3</c:v>
                </c:pt>
                <c:pt idx="133">
                  <c:v>1.7225689390537777E-3</c:v>
                </c:pt>
                <c:pt idx="134">
                  <c:v>1.23221916847309E-3</c:v>
                </c:pt>
                <c:pt idx="135">
                  <c:v>8.7268269504581133E-4</c:v>
                </c:pt>
                <c:pt idx="136">
                  <c:v>6.1190193011380941E-4</c:v>
                </c:pt>
                <c:pt idx="137">
                  <c:v>4.2478027055077783E-4</c:v>
                </c:pt>
                <c:pt idx="138">
                  <c:v>2.9194692579147865E-4</c:v>
                </c:pt>
                <c:pt idx="139">
                  <c:v>1.9865547139278543E-4</c:v>
                </c:pt>
                <c:pt idx="140">
                  <c:v>1.3383022576489415E-4</c:v>
                </c:pt>
                <c:pt idx="141">
                  <c:v>8.9261657177138796E-5</c:v>
                </c:pt>
                <c:pt idx="142">
                  <c:v>5.8943067756544036E-5</c:v>
                </c:pt>
                <c:pt idx="143">
                  <c:v>3.8535196742089935E-5</c:v>
                </c:pt>
                <c:pt idx="144">
                  <c:v>2.494247129005548E-5</c:v>
                </c:pt>
                <c:pt idx="145">
                  <c:v>1.5983741106906752E-5</c:v>
                </c:pt>
                <c:pt idx="146">
                  <c:v>1.0140852065487588E-5</c:v>
                </c:pt>
                <c:pt idx="147">
                  <c:v>6.3698251788676566E-6</c:v>
                </c:pt>
                <c:pt idx="148">
                  <c:v>3.9612990910324344E-6</c:v>
                </c:pt>
                <c:pt idx="149">
                  <c:v>2.4389607458935864E-6</c:v>
                </c:pt>
                <c:pt idx="150">
                  <c:v>1.4867195147344432E-6</c:v>
                </c:pt>
                <c:pt idx="151">
                  <c:v>8.9724351623842458E-7</c:v>
                </c:pt>
                <c:pt idx="152">
                  <c:v>5.3610353446981852E-7</c:v>
                </c:pt>
                <c:pt idx="153">
                  <c:v>3.171349216716319E-7</c:v>
                </c:pt>
                <c:pt idx="154">
                  <c:v>1.8573618445555041E-7</c:v>
                </c:pt>
                <c:pt idx="155">
                  <c:v>1.0769760042544539E-7</c:v>
                </c:pt>
                <c:pt idx="156">
                  <c:v>6.1826205001665932E-8</c:v>
                </c:pt>
                <c:pt idx="157">
                  <c:v>3.5139550948208834E-8</c:v>
                </c:pt>
                <c:pt idx="158">
                  <c:v>1.9773196406247269E-8</c:v>
                </c:pt>
                <c:pt idx="159">
                  <c:v>1.1015763624683796E-8</c:v>
                </c:pt>
                <c:pt idx="160">
                  <c:v>6.0758828498241282E-9</c:v>
                </c:pt>
                <c:pt idx="161">
                  <c:v>3.3178842435477648E-9</c:v>
                </c:pt>
                <c:pt idx="162">
                  <c:v>1.793783907964347E-9</c:v>
                </c:pt>
                <c:pt idx="163">
                  <c:v>9.6014333703138025E-10</c:v>
                </c:pt>
                <c:pt idx="164">
                  <c:v>5.0881402816458526E-10</c:v>
                </c:pt>
                <c:pt idx="165">
                  <c:v>2.669556614763279E-10</c:v>
                </c:pt>
                <c:pt idx="166">
                  <c:v>1.3866799941655437E-10</c:v>
                </c:pt>
                <c:pt idx="167">
                  <c:v>7.1313281239972913E-11</c:v>
                </c:pt>
                <c:pt idx="168">
                  <c:v>3.6309615017924331E-11</c:v>
                </c:pt>
                <c:pt idx="169">
                  <c:v>1.8303322170159097E-11</c:v>
                </c:pt>
                <c:pt idx="170">
                  <c:v>9.1347204083662819E-12</c:v>
                </c:pt>
                <c:pt idx="171">
                  <c:v>4.5135436772063672E-12</c:v>
                </c:pt>
                <c:pt idx="172">
                  <c:v>2.2079899631375787E-12</c:v>
                </c:pt>
                <c:pt idx="173">
                  <c:v>1.0693837871543805E-12</c:v>
                </c:pt>
                <c:pt idx="174">
                  <c:v>5.1277536367977383E-13</c:v>
                </c:pt>
                <c:pt idx="175">
                  <c:v>2.4343205330295291E-13</c:v>
                </c:pt>
                <c:pt idx="176">
                  <c:v>1.1441564901803849E-13</c:v>
                </c:pt>
                <c:pt idx="177">
                  <c:v>5.3241483722541546E-14</c:v>
                </c:pt>
                <c:pt idx="178">
                  <c:v>2.4528552856969902E-14</c:v>
                </c:pt>
                <c:pt idx="179">
                  <c:v>1.1187956214354479E-14</c:v>
                </c:pt>
                <c:pt idx="180">
                  <c:v>5.0522710835381131E-15</c:v>
                </c:pt>
                <c:pt idx="181">
                  <c:v>2.2588094031548648E-15</c:v>
                </c:pt>
                <c:pt idx="182">
                  <c:v>9.9983787484996662E-16</c:v>
                </c:pt>
                <c:pt idx="183">
                  <c:v>4.3816394355105099E-16</c:v>
                </c:pt>
                <c:pt idx="184">
                  <c:v>1.9010815379084772E-16</c:v>
                </c:pt>
                <c:pt idx="185">
                  <c:v>8.1662356316717553E-17</c:v>
                </c:pt>
                <c:pt idx="186">
                  <c:v>3.4729627485671702E-17</c:v>
                </c:pt>
                <c:pt idx="187">
                  <c:v>1.4622963575010631E-17</c:v>
                </c:pt>
                <c:pt idx="188">
                  <c:v>6.0957581295642369E-18</c:v>
                </c:pt>
                <c:pt idx="189">
                  <c:v>2.5158057769521555E-18</c:v>
                </c:pt>
                <c:pt idx="190">
                  <c:v>1.0279773571672058E-18</c:v>
                </c:pt>
                <c:pt idx="191">
                  <c:v>4.1585989791164308E-19</c:v>
                </c:pt>
                <c:pt idx="192">
                  <c:v>1.6655880323804497E-19</c:v>
                </c:pt>
                <c:pt idx="193">
                  <c:v>6.6045798607414678E-20</c:v>
                </c:pt>
                <c:pt idx="194">
                  <c:v>2.5928647011012368E-20</c:v>
                </c:pt>
                <c:pt idx="195">
                  <c:v>1.0077935394303376E-20</c:v>
                </c:pt>
                <c:pt idx="196">
                  <c:v>3.878111931748284E-21</c:v>
                </c:pt>
                <c:pt idx="197">
                  <c:v>1.4774954927047792E-21</c:v>
                </c:pt>
                <c:pt idx="198">
                  <c:v>5.5730000227227497E-22</c:v>
                </c:pt>
                <c:pt idx="199">
                  <c:v>2.0811768202035936E-22</c:v>
                </c:pt>
                <c:pt idx="200">
                  <c:v>7.6945986267092623E-23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403200"/>
        <c:axId val="948642560"/>
      </c:scatterChart>
      <c:valAx>
        <c:axId val="948403200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948642560"/>
        <c:crosses val="autoZero"/>
        <c:crossBetween val="midCat"/>
      </c:valAx>
      <c:valAx>
        <c:axId val="948642560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48403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280372928844015E-2"/>
          <c:y val="5.919193600777059E-2"/>
          <c:w val="0.87991970328862268"/>
          <c:h val="0.87649226852353113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'Black-Scholes'!$B$13</c:f>
              <c:strCache>
                <c:ptCount val="1"/>
                <c:pt idx="0">
                  <c:v>Price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45.000000000000007</c:v>
                </c:pt>
                <c:pt idx="1">
                  <c:v>54.000000000000007</c:v>
                </c:pt>
                <c:pt idx="2">
                  <c:v>63.000000000000007</c:v>
                </c:pt>
                <c:pt idx="3">
                  <c:v>72</c:v>
                </c:pt>
                <c:pt idx="4">
                  <c:v>81</c:v>
                </c:pt>
                <c:pt idx="5">
                  <c:v>90</c:v>
                </c:pt>
                <c:pt idx="6">
                  <c:v>99.000000000000014</c:v>
                </c:pt>
                <c:pt idx="7">
                  <c:v>108.00000000000001</c:v>
                </c:pt>
                <c:pt idx="8">
                  <c:v>117.00000000000003</c:v>
                </c:pt>
                <c:pt idx="9">
                  <c:v>126.00000000000003</c:v>
                </c:pt>
                <c:pt idx="10">
                  <c:v>135.00000000000003</c:v>
                </c:pt>
              </c:numCache>
            </c:numRef>
          </c:cat>
          <c:val>
            <c:numRef>
              <c:f>'Black-Scholes'!$C$13:$M$13</c:f>
              <c:numCache>
                <c:formatCode>#,##0.0000</c:formatCode>
                <c:ptCount val="11"/>
                <c:pt idx="0">
                  <c:v>5.6630492349461008E-16</c:v>
                </c:pt>
                <c:pt idx="1">
                  <c:v>4.0407521122927691E-10</c:v>
                </c:pt>
                <c:pt idx="2">
                  <c:v>3.0030830088676136E-6</c:v>
                </c:pt>
                <c:pt idx="3">
                  <c:v>1.1303235139804926E-3</c:v>
                </c:pt>
                <c:pt idx="4">
                  <c:v>5.6441685716132506E-2</c:v>
                </c:pt>
                <c:pt idx="5">
                  <c:v>0.70529258772381986</c:v>
                </c:pt>
                <c:pt idx="6">
                  <c:v>3.4531234907063251</c:v>
                </c:pt>
                <c:pt idx="7">
                  <c:v>9.223878702182347</c:v>
                </c:pt>
                <c:pt idx="8">
                  <c:v>17.097626579759819</c:v>
                </c:pt>
                <c:pt idx="9">
                  <c:v>25.780642066208017</c:v>
                </c:pt>
                <c:pt idx="10">
                  <c:v>34.656119281382942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634688"/>
        <c:axId val="1053614848"/>
      </c:lineChart>
      <c:catAx>
        <c:axId val="105163468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1053614848"/>
        <c:crosses val="autoZero"/>
        <c:auto val="1"/>
        <c:lblAlgn val="ctr"/>
        <c:lblOffset val="100"/>
        <c:noMultiLvlLbl val="0"/>
      </c:catAx>
      <c:valAx>
        <c:axId val="105361484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crossAx val="1051634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'Black-Scholes'!$B$15</c:f>
              <c:strCache>
                <c:ptCount val="1"/>
                <c:pt idx="0">
                  <c:v>Spot Delta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45.000000000000007</c:v>
                </c:pt>
                <c:pt idx="1">
                  <c:v>54.000000000000007</c:v>
                </c:pt>
                <c:pt idx="2">
                  <c:v>63.000000000000007</c:v>
                </c:pt>
                <c:pt idx="3">
                  <c:v>72</c:v>
                </c:pt>
                <c:pt idx="4">
                  <c:v>81</c:v>
                </c:pt>
                <c:pt idx="5">
                  <c:v>90</c:v>
                </c:pt>
                <c:pt idx="6">
                  <c:v>99.000000000000014</c:v>
                </c:pt>
                <c:pt idx="7">
                  <c:v>108.00000000000001</c:v>
                </c:pt>
                <c:pt idx="8">
                  <c:v>117.00000000000003</c:v>
                </c:pt>
                <c:pt idx="9">
                  <c:v>126.00000000000003</c:v>
                </c:pt>
                <c:pt idx="10">
                  <c:v>135.00000000000003</c:v>
                </c:pt>
              </c:numCache>
            </c:numRef>
          </c:cat>
          <c:val>
            <c:numRef>
              <c:f>'Black-Scholes'!$C$15:$M$15</c:f>
              <c:numCache>
                <c:formatCode>0.00%</c:formatCode>
                <c:ptCount val="11"/>
                <c:pt idx="0">
                  <c:v>1.0413583475478716E-15</c:v>
                </c:pt>
                <c:pt idx="1">
                  <c:v>4.8747923979294882E-10</c:v>
                </c:pt>
                <c:pt idx="2">
                  <c:v>2.4102745987501866E-6</c:v>
                </c:pt>
                <c:pt idx="3">
                  <c:v>6.0207606091805196E-4</c:v>
                </c:pt>
                <c:pt idx="4">
                  <c:v>1.963565832186449E-2</c:v>
                </c:pt>
                <c:pt idx="5">
                  <c:v>0.15621450219614413</c:v>
                </c:pt>
                <c:pt idx="6">
                  <c:v>0.47508594343814042</c:v>
                </c:pt>
                <c:pt idx="7">
                  <c:v>0.78588263001039493</c:v>
                </c:pt>
                <c:pt idx="8">
                  <c:v>0.93796122088445066</c:v>
                </c:pt>
                <c:pt idx="9">
                  <c:v>0.98103049412871612</c:v>
                </c:pt>
                <c:pt idx="10">
                  <c:v>0.9889209507546447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497792"/>
        <c:axId val="1056699136"/>
      </c:lineChart>
      <c:catAx>
        <c:axId val="105449779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1056699136"/>
        <c:crosses val="autoZero"/>
        <c:auto val="1"/>
        <c:lblAlgn val="ctr"/>
        <c:lblOffset val="100"/>
        <c:noMultiLvlLbl val="0"/>
      </c:catAx>
      <c:valAx>
        <c:axId val="105669913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1054497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'Black-Scholes'!$B$14</c:f>
              <c:strCache>
                <c:ptCount val="1"/>
                <c:pt idx="0">
                  <c:v>Forward Delta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45.000000000000007</c:v>
                </c:pt>
                <c:pt idx="1">
                  <c:v>54.000000000000007</c:v>
                </c:pt>
                <c:pt idx="2">
                  <c:v>63.000000000000007</c:v>
                </c:pt>
                <c:pt idx="3">
                  <c:v>72</c:v>
                </c:pt>
                <c:pt idx="4">
                  <c:v>81</c:v>
                </c:pt>
                <c:pt idx="5">
                  <c:v>90</c:v>
                </c:pt>
                <c:pt idx="6">
                  <c:v>99.000000000000014</c:v>
                </c:pt>
                <c:pt idx="7">
                  <c:v>108.00000000000001</c:v>
                </c:pt>
                <c:pt idx="8">
                  <c:v>117.00000000000003</c:v>
                </c:pt>
                <c:pt idx="9">
                  <c:v>126.00000000000003</c:v>
                </c:pt>
                <c:pt idx="10">
                  <c:v>135.00000000000003</c:v>
                </c:pt>
              </c:numCache>
            </c:numRef>
          </c:cat>
          <c:val>
            <c:numRef>
              <c:f>'Black-Scholes'!$C$14:$M$14</c:f>
              <c:numCache>
                <c:formatCode>0.00%</c:formatCode>
                <c:ptCount val="11"/>
                <c:pt idx="0">
                  <c:v>1.0518241729352207E-15</c:v>
                </c:pt>
                <c:pt idx="1">
                  <c:v>4.9237848760293119E-10</c:v>
                </c:pt>
                <c:pt idx="2">
                  <c:v>2.434498261186352E-6</c:v>
                </c:pt>
                <c:pt idx="3">
                  <c:v>6.0812702592765605E-4</c:v>
                </c:pt>
                <c:pt idx="4">
                  <c:v>1.9832999968806862E-2</c:v>
                </c:pt>
                <c:pt idx="5">
                  <c:v>0.15778448404418552</c:v>
                </c:pt>
                <c:pt idx="6">
                  <c:v>0.47986063654903333</c:v>
                </c:pt>
                <c:pt idx="7">
                  <c:v>0.79378088175054473</c:v>
                </c:pt>
                <c:pt idx="8">
                  <c:v>0.94738788787280959</c:v>
                </c:pt>
                <c:pt idx="9">
                  <c:v>0.99089001450937364</c:v>
                </c:pt>
                <c:pt idx="10">
                  <c:v>0.99885977154276318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053760"/>
        <c:axId val="1066242048"/>
      </c:lineChart>
      <c:catAx>
        <c:axId val="106205376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1066242048"/>
        <c:crosses val="autoZero"/>
        <c:auto val="1"/>
        <c:lblAlgn val="ctr"/>
        <c:lblOffset val="100"/>
        <c:noMultiLvlLbl val="0"/>
      </c:catAx>
      <c:valAx>
        <c:axId val="1066242048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1062053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'Black-Scholes'!$B$16</c:f>
              <c:strCache>
                <c:ptCount val="1"/>
                <c:pt idx="0">
                  <c:v>Gamma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45.000000000000007</c:v>
                </c:pt>
                <c:pt idx="1">
                  <c:v>54.000000000000007</c:v>
                </c:pt>
                <c:pt idx="2">
                  <c:v>63.000000000000007</c:v>
                </c:pt>
                <c:pt idx="3">
                  <c:v>72</c:v>
                </c:pt>
                <c:pt idx="4">
                  <c:v>81</c:v>
                </c:pt>
                <c:pt idx="5">
                  <c:v>90</c:v>
                </c:pt>
                <c:pt idx="6">
                  <c:v>99.000000000000014</c:v>
                </c:pt>
                <c:pt idx="7">
                  <c:v>108.00000000000001</c:v>
                </c:pt>
                <c:pt idx="8">
                  <c:v>117.00000000000003</c:v>
                </c:pt>
                <c:pt idx="9">
                  <c:v>126.00000000000003</c:v>
                </c:pt>
                <c:pt idx="10">
                  <c:v>135.00000000000003</c:v>
                </c:pt>
              </c:numCache>
            </c:numRef>
          </c:cat>
          <c:val>
            <c:numRef>
              <c:f>'Black-Scholes'!$C$16:$M$16</c:f>
              <c:numCache>
                <c:formatCode>#,##0.0000</c:formatCode>
                <c:ptCount val="11"/>
                <c:pt idx="0">
                  <c:v>1.864582685791739E-15</c:v>
                </c:pt>
                <c:pt idx="1">
                  <c:v>5.6581025187779492E-10</c:v>
                </c:pt>
                <c:pt idx="2">
                  <c:v>1.8256787303408262E-6</c:v>
                </c:pt>
                <c:pt idx="3">
                  <c:v>2.9287530299025442E-4</c:v>
                </c:pt>
                <c:pt idx="4">
                  <c:v>5.8761133462460575E-3</c:v>
                </c:pt>
                <c:pt idx="5">
                  <c:v>2.6522157435870795E-2</c:v>
                </c:pt>
                <c:pt idx="6">
                  <c:v>3.9845389175010376E-2</c:v>
                </c:pt>
                <c:pt idx="7">
                  <c:v>2.6137994883919307E-2</c:v>
                </c:pt>
                <c:pt idx="8">
                  <c:v>9.0881118792006579E-3</c:v>
                </c:pt>
                <c:pt idx="9">
                  <c:v>1.930314017414116E-3</c:v>
                </c:pt>
                <c:pt idx="10">
                  <c:v>2.7850659028851076E-4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149888"/>
        <c:axId val="842151424"/>
      </c:lineChart>
      <c:catAx>
        <c:axId val="84214988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842151424"/>
        <c:crosses val="autoZero"/>
        <c:auto val="1"/>
        <c:lblAlgn val="ctr"/>
        <c:lblOffset val="100"/>
        <c:noMultiLvlLbl val="0"/>
      </c:catAx>
      <c:valAx>
        <c:axId val="842151424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842149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'Black-Scholes'!$B$17</c:f>
              <c:strCache>
                <c:ptCount val="1"/>
                <c:pt idx="0">
                  <c:v>Vega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45.000000000000007</c:v>
                </c:pt>
                <c:pt idx="1">
                  <c:v>54.000000000000007</c:v>
                </c:pt>
                <c:pt idx="2">
                  <c:v>63.000000000000007</c:v>
                </c:pt>
                <c:pt idx="3">
                  <c:v>72</c:v>
                </c:pt>
                <c:pt idx="4">
                  <c:v>81</c:v>
                </c:pt>
                <c:pt idx="5">
                  <c:v>90</c:v>
                </c:pt>
                <c:pt idx="6">
                  <c:v>99.000000000000014</c:v>
                </c:pt>
                <c:pt idx="7">
                  <c:v>108.00000000000001</c:v>
                </c:pt>
                <c:pt idx="8">
                  <c:v>117.00000000000003</c:v>
                </c:pt>
                <c:pt idx="9">
                  <c:v>126.00000000000003</c:v>
                </c:pt>
                <c:pt idx="10">
                  <c:v>135.00000000000003</c:v>
                </c:pt>
              </c:numCache>
            </c:numRef>
          </c:cat>
          <c:val>
            <c:numRef>
              <c:f>'Black-Scholes'!$C$17:$M$17</c:f>
              <c:numCache>
                <c:formatCode>#,##0.0000</c:formatCode>
                <c:ptCount val="11"/>
                <c:pt idx="0">
                  <c:v>3.7757799387282734E-15</c:v>
                </c:pt>
                <c:pt idx="1">
                  <c:v>1.6499026944756506E-9</c:v>
                </c:pt>
                <c:pt idx="2">
                  <c:v>7.24611888072274E-6</c:v>
                </c:pt>
                <c:pt idx="3">
                  <c:v>1.5182655707014791E-3</c:v>
                </c:pt>
                <c:pt idx="4">
                  <c:v>3.8553179664720383E-2</c:v>
                </c:pt>
                <c:pt idx="5">
                  <c:v>0.21482947523055348</c:v>
                </c:pt>
                <c:pt idx="6">
                  <c:v>0.39052465930427682</c:v>
                </c:pt>
                <c:pt idx="7">
                  <c:v>0.3048735723260349</c:v>
                </c:pt>
                <c:pt idx="8">
                  <c:v>0.12440716351437786</c:v>
                </c:pt>
                <c:pt idx="9">
                  <c:v>3.0645665340466519E-2</c:v>
                </c:pt>
                <c:pt idx="10">
                  <c:v>5.07578260800811E-3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743552"/>
        <c:axId val="880745088"/>
      </c:lineChart>
      <c:catAx>
        <c:axId val="88074355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880745088"/>
        <c:crosses val="autoZero"/>
        <c:auto val="1"/>
        <c:lblAlgn val="ctr"/>
        <c:lblOffset val="100"/>
        <c:noMultiLvlLbl val="0"/>
      </c:catAx>
      <c:valAx>
        <c:axId val="880745088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880743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'Black-Scholes'!$B$18</c:f>
              <c:strCache>
                <c:ptCount val="1"/>
                <c:pt idx="0">
                  <c:v>Theta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45.000000000000007</c:v>
                </c:pt>
                <c:pt idx="1">
                  <c:v>54.000000000000007</c:v>
                </c:pt>
                <c:pt idx="2">
                  <c:v>63.000000000000007</c:v>
                </c:pt>
                <c:pt idx="3">
                  <c:v>72</c:v>
                </c:pt>
                <c:pt idx="4">
                  <c:v>81</c:v>
                </c:pt>
                <c:pt idx="5">
                  <c:v>90</c:v>
                </c:pt>
                <c:pt idx="6">
                  <c:v>99.000000000000014</c:v>
                </c:pt>
                <c:pt idx="7">
                  <c:v>108.00000000000001</c:v>
                </c:pt>
                <c:pt idx="8">
                  <c:v>117.00000000000003</c:v>
                </c:pt>
                <c:pt idx="9">
                  <c:v>126.00000000000003</c:v>
                </c:pt>
                <c:pt idx="10">
                  <c:v>135.00000000000003</c:v>
                </c:pt>
              </c:numCache>
            </c:numRef>
          </c:cat>
          <c:val>
            <c:numRef>
              <c:f>'Black-Scholes'!$C$18:$M$18</c:f>
              <c:numCache>
                <c:formatCode>#,##0.0000</c:formatCode>
                <c:ptCount val="11"/>
                <c:pt idx="0">
                  <c:v>-5.1672105802618541E-17</c:v>
                </c:pt>
                <c:pt idx="1">
                  <c:v>-2.2574873977456429E-11</c:v>
                </c:pt>
                <c:pt idx="2">
                  <c:v>-9.9111741474401165E-8</c:v>
                </c:pt>
                <c:pt idx="3">
                  <c:v>-2.0752976367878414E-5</c:v>
                </c:pt>
                <c:pt idx="4">
                  <c:v>-5.262189773208504E-4</c:v>
                </c:pt>
                <c:pt idx="5">
                  <c:v>-2.921545380631154E-3</c:v>
                </c:pt>
                <c:pt idx="6">
                  <c:v>-5.2514498606826034E-3</c:v>
                </c:pt>
                <c:pt idx="7">
                  <c:v>-3.920955714191242E-3</c:v>
                </c:pt>
                <c:pt idx="8">
                  <c:v>-1.2349337488686957E-3</c:v>
                </c:pt>
                <c:pt idx="9">
                  <c:v>2.8631921686447011E-4</c:v>
                </c:pt>
                <c:pt idx="10">
                  <c:v>8.7934915749155037E-4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756992"/>
        <c:axId val="880758784"/>
      </c:lineChart>
      <c:catAx>
        <c:axId val="88075699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880758784"/>
        <c:crosses val="autoZero"/>
        <c:auto val="1"/>
        <c:lblAlgn val="ctr"/>
        <c:lblOffset val="100"/>
        <c:noMultiLvlLbl val="0"/>
      </c:catAx>
      <c:valAx>
        <c:axId val="880758784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880756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'Black-Scholes'!$B$19</c:f>
              <c:strCache>
                <c:ptCount val="1"/>
                <c:pt idx="0">
                  <c:v>Rho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45.000000000000007</c:v>
                </c:pt>
                <c:pt idx="1">
                  <c:v>54.000000000000007</c:v>
                </c:pt>
                <c:pt idx="2">
                  <c:v>63.000000000000007</c:v>
                </c:pt>
                <c:pt idx="3">
                  <c:v>72</c:v>
                </c:pt>
                <c:pt idx="4">
                  <c:v>81</c:v>
                </c:pt>
                <c:pt idx="5">
                  <c:v>90</c:v>
                </c:pt>
                <c:pt idx="6">
                  <c:v>99.000000000000014</c:v>
                </c:pt>
                <c:pt idx="7">
                  <c:v>108.00000000000001</c:v>
                </c:pt>
                <c:pt idx="8">
                  <c:v>117.00000000000003</c:v>
                </c:pt>
                <c:pt idx="9">
                  <c:v>126.00000000000003</c:v>
                </c:pt>
                <c:pt idx="10">
                  <c:v>135.00000000000003</c:v>
                </c:pt>
              </c:numCache>
            </c:numRef>
          </c:cat>
          <c:val>
            <c:numRef>
              <c:f>'Black-Scholes'!$C$19:$M$19</c:f>
              <c:numCache>
                <c:formatCode>#,##0.0000</c:formatCode>
                <c:ptCount val="11"/>
                <c:pt idx="0">
                  <c:v>4.6294820716159621E-16</c:v>
                </c:pt>
                <c:pt idx="1">
                  <c:v>2.5919803737589963E-10</c:v>
                </c:pt>
                <c:pt idx="2">
                  <c:v>1.4884421671239419E-6</c:v>
                </c:pt>
                <c:pt idx="3">
                  <c:v>4.2219152872119235E-4</c:v>
                </c:pt>
                <c:pt idx="4">
                  <c:v>1.5340466383548912E-2</c:v>
                </c:pt>
                <c:pt idx="5">
                  <c:v>0.13354012609929153</c:v>
                </c:pt>
                <c:pt idx="6">
                  <c:v>0.43580384909669584</c:v>
                </c:pt>
                <c:pt idx="7">
                  <c:v>0.75651445338940304</c:v>
                </c:pt>
                <c:pt idx="8">
                  <c:v>0.92643836263720925</c:v>
                </c:pt>
                <c:pt idx="9">
                  <c:v>0.97829200194010246</c:v>
                </c:pt>
                <c:pt idx="10">
                  <c:v>0.9884820907049412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766336"/>
        <c:axId val="880768128"/>
      </c:lineChart>
      <c:catAx>
        <c:axId val="880766336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880768128"/>
        <c:crosses val="autoZero"/>
        <c:auto val="1"/>
        <c:lblAlgn val="ctr"/>
        <c:lblOffset val="100"/>
        <c:noMultiLvlLbl val="0"/>
      </c:catAx>
      <c:valAx>
        <c:axId val="880768128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880766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47100557742782"/>
          <c:y val="5.0267798612640718E-2"/>
          <c:w val="0.82052493438320206"/>
          <c:h val="0.88007171949436402"/>
        </c:manualLayout>
      </c:layout>
      <c:surface3DChart>
        <c:wireframe val="0"/>
        <c:ser>
          <c:idx val="0"/>
          <c:order val="0"/>
          <c:tx>
            <c:strRef>
              <c:f>Results!$P$4</c:f>
              <c:strCache>
                <c:ptCount val="1"/>
                <c:pt idx="0">
                  <c:v>0.75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Results!$P$5:$P$25</c:f>
              <c:numCache>
                <c:formatCode>#,##0.00</c:formatCode>
                <c:ptCount val="21"/>
                <c:pt idx="0">
                  <c:v>4.8619066458350799E-6</c:v>
                </c:pt>
                <c:pt idx="1">
                  <c:v>2.8632619572739985E-5</c:v>
                </c:pt>
                <c:pt idx="2">
                  <c:v>1.5270169348390882E-4</c:v>
                </c:pt>
                <c:pt idx="3">
                  <c:v>7.2782218354493472E-4</c:v>
                </c:pt>
                <c:pt idx="4">
                  <c:v>3.0537049547413246E-3</c:v>
                </c:pt>
                <c:pt idx="5">
                  <c:v>1.1083196520619445E-2</c:v>
                </c:pt>
                <c:pt idx="6">
                  <c:v>3.4100115101801602E-2</c:v>
                </c:pt>
                <c:pt idx="7">
                  <c:v>8.6871545227797567E-2</c:v>
                </c:pt>
                <c:pt idx="8">
                  <c:v>0.17826676259808541</c:v>
                </c:pt>
                <c:pt idx="9">
                  <c:v>0.28527238275673877</c:v>
                </c:pt>
                <c:pt idx="10">
                  <c:v>0.34259130617675765</c:v>
                </c:pt>
                <c:pt idx="11">
                  <c:v>0.29494376768024344</c:v>
                </c:pt>
                <c:pt idx="12">
                  <c:v>0.17228715376812431</c:v>
                </c:pt>
                <c:pt idx="13">
                  <c:v>6.3877733659578398E-2</c:v>
                </c:pt>
                <c:pt idx="14">
                  <c:v>1.385399565077429E-2</c:v>
                </c:pt>
                <c:pt idx="15">
                  <c:v>1.5888030358690596E-3</c:v>
                </c:pt>
                <c:pt idx="16">
                  <c:v>8.4901909558814868E-5</c:v>
                </c:pt>
                <c:pt idx="17">
                  <c:v>1.8005464943090224E-6</c:v>
                </c:pt>
                <c:pt idx="18">
                  <c:v>1.2320613077745065E-8</c:v>
                </c:pt>
                <c:pt idx="19">
                  <c:v>2.0727277409314281E-11</c:v>
                </c:pt>
                <c:pt idx="20">
                  <c:v>5.9532184416554534E-15</c:v>
                </c:pt>
              </c:numCache>
            </c:numRef>
          </c:val>
        </c:ser>
        <c:ser>
          <c:idx val="1"/>
          <c:order val="1"/>
          <c:tx>
            <c:strRef>
              <c:f>Results!$Q$4</c:f>
              <c:strCache>
                <c:ptCount val="1"/>
                <c:pt idx="0">
                  <c:v>0.80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Results!$Q$5:$Q$25</c:f>
              <c:numCache>
                <c:formatCode>#,##0.00</c:formatCode>
                <c:ptCount val="21"/>
                <c:pt idx="0">
                  <c:v>9.9557032381672792E-6</c:v>
                </c:pt>
                <c:pt idx="1">
                  <c:v>5.253613358347724E-5</c:v>
                </c:pt>
                <c:pt idx="2">
                  <c:v>2.5262754622349033E-4</c:v>
                </c:pt>
                <c:pt idx="3">
                  <c:v>1.0933755800638294E-3</c:v>
                </c:pt>
                <c:pt idx="4">
                  <c:v>4.1991195969349341E-3</c:v>
                </c:pt>
                <c:pt idx="5">
                  <c:v>1.4077924238848169E-2</c:v>
                </c:pt>
                <c:pt idx="6">
                  <c:v>4.0427583513910514E-2</c:v>
                </c:pt>
                <c:pt idx="7">
                  <c:v>9.7273487048198853E-2</c:v>
                </c:pt>
                <c:pt idx="8">
                  <c:v>0.19110786021475307</c:v>
                </c:pt>
                <c:pt idx="9">
                  <c:v>0.29739757516778265</c:v>
                </c:pt>
                <c:pt idx="10">
                  <c:v>0.35362780796997567</c:v>
                </c:pt>
                <c:pt idx="11">
                  <c:v>0.30780115974298605</c:v>
                </c:pt>
                <c:pt idx="12">
                  <c:v>0.1862561425256033</c:v>
                </c:pt>
                <c:pt idx="13">
                  <c:v>7.3606201526075402E-2</c:v>
                </c:pt>
                <c:pt idx="14">
                  <c:v>1.7597405298560194E-2</c:v>
                </c:pt>
                <c:pt idx="15">
                  <c:v>2.3152671506101578E-3</c:v>
                </c:pt>
                <c:pt idx="16">
                  <c:v>1.4889989640669683E-4</c:v>
                </c:pt>
                <c:pt idx="17">
                  <c:v>4.0269999011752995E-6</c:v>
                </c:pt>
                <c:pt idx="18">
                  <c:v>3.7721952577591823E-8</c:v>
                </c:pt>
                <c:pt idx="19">
                  <c:v>9.4856179112866578E-11</c:v>
                </c:pt>
                <c:pt idx="20">
                  <c:v>4.5491536899211999E-14</c:v>
                </c:pt>
              </c:numCache>
            </c:numRef>
          </c:val>
        </c:ser>
        <c:ser>
          <c:idx val="2"/>
          <c:order val="2"/>
          <c:tx>
            <c:strRef>
              <c:f>Results!$R$4</c:f>
              <c:strCache>
                <c:ptCount val="1"/>
                <c:pt idx="0">
                  <c:v>0.85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Results!$R$5:$R$25</c:f>
              <c:numCache>
                <c:formatCode>#,##0.00</c:formatCode>
                <c:ptCount val="21"/>
                <c:pt idx="0">
                  <c:v>1.8771022714539397E-5</c:v>
                </c:pt>
                <c:pt idx="1">
                  <c:v>8.991120814363453E-5</c:v>
                </c:pt>
                <c:pt idx="2">
                  <c:v>3.946078201445876E-4</c:v>
                </c:pt>
                <c:pt idx="3">
                  <c:v>1.5685203080405446E-3</c:v>
                </c:pt>
                <c:pt idx="4">
                  <c:v>5.5716685772495876E-3</c:v>
                </c:pt>
                <c:pt idx="5">
                  <c:v>1.7416541022458518E-2</c:v>
                </c:pt>
                <c:pt idx="6">
                  <c:v>4.706229895619532E-2</c:v>
                </c:pt>
                <c:pt idx="7">
                  <c:v>0.1076720732105606</c:v>
                </c:pt>
                <c:pt idx="8">
                  <c:v>0.20356491837514237</c:v>
                </c:pt>
                <c:pt idx="9">
                  <c:v>0.30907113371746009</c:v>
                </c:pt>
                <c:pt idx="10">
                  <c:v>0.36430622120934125</c:v>
                </c:pt>
                <c:pt idx="11">
                  <c:v>0.32017784332380755</c:v>
                </c:pt>
                <c:pt idx="12">
                  <c:v>0.19987347732600216</c:v>
                </c:pt>
                <c:pt idx="13">
                  <c:v>8.3561552310563225E-2</c:v>
                </c:pt>
                <c:pt idx="14">
                  <c:v>2.1770676278073137E-2</c:v>
                </c:pt>
                <c:pt idx="15">
                  <c:v>3.2334289913692887E-3</c:v>
                </c:pt>
                <c:pt idx="16">
                  <c:v>2.4487152155319415E-4</c:v>
                </c:pt>
                <c:pt idx="17">
                  <c:v>8.2073371615119812E-6</c:v>
                </c:pt>
                <c:pt idx="18">
                  <c:v>1.0142713182318553E-7</c:v>
                </c:pt>
                <c:pt idx="19">
                  <c:v>3.6362227397048546E-10</c:v>
                </c:pt>
                <c:pt idx="20">
                  <c:v>2.7414234863474044E-13</c:v>
                </c:pt>
              </c:numCache>
            </c:numRef>
          </c:val>
        </c:ser>
        <c:ser>
          <c:idx val="3"/>
          <c:order val="3"/>
          <c:tx>
            <c:strRef>
              <c:f>Results!$S$4</c:f>
              <c:strCache>
                <c:ptCount val="1"/>
                <c:pt idx="0">
                  <c:v>0.90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Results!$S$5:$S$25</c:f>
              <c:numCache>
                <c:formatCode>#,##0.00</c:formatCode>
                <c:ptCount val="21"/>
                <c:pt idx="0">
                  <c:v>3.3035816782008935E-5</c:v>
                </c:pt>
                <c:pt idx="1">
                  <c:v>1.4518576694388596E-4</c:v>
                </c:pt>
                <c:pt idx="2">
                  <c:v>5.8750695962987351E-4</c:v>
                </c:pt>
                <c:pt idx="3">
                  <c:v>2.1651121661498641E-3</c:v>
                </c:pt>
                <c:pt idx="4">
                  <c:v>7.175427094093096E-3</c:v>
                </c:pt>
                <c:pt idx="5">
                  <c:v>2.1076516585977863E-2</c:v>
                </c:pt>
                <c:pt idx="6">
                  <c:v>5.3953369730764908E-2</c:v>
                </c:pt>
                <c:pt idx="7">
                  <c:v>0.11803032678147536</c:v>
                </c:pt>
                <c:pt idx="8">
                  <c:v>0.21565675444124374</c:v>
                </c:pt>
                <c:pt idx="9">
                  <c:v>0.32033505994229872</c:v>
                </c:pt>
                <c:pt idx="10">
                  <c:v>0.37465720501521849</c:v>
                </c:pt>
                <c:pt idx="11">
                  <c:v>0.33211834114491312</c:v>
                </c:pt>
                <c:pt idx="12">
                  <c:v>0.21314624132838841</c:v>
                </c:pt>
                <c:pt idx="13">
                  <c:v>9.3682861219506725E-2</c:v>
                </c:pt>
                <c:pt idx="14">
                  <c:v>2.6345645732472299E-2</c:v>
                </c:pt>
                <c:pt idx="15">
                  <c:v>4.3580320477807424E-3</c:v>
                </c:pt>
                <c:pt idx="16">
                  <c:v>3.8164553510493487E-4</c:v>
                </c:pt>
                <c:pt idx="17">
                  <c:v>1.5479180979646449E-5</c:v>
                </c:pt>
                <c:pt idx="18">
                  <c:v>2.4471925152832957E-7</c:v>
                </c:pt>
                <c:pt idx="19">
                  <c:v>1.2024733680460683E-9</c:v>
                </c:pt>
                <c:pt idx="20">
                  <c:v>1.355291836467613E-12</c:v>
                </c:pt>
              </c:numCache>
            </c:numRef>
          </c:val>
        </c:ser>
        <c:ser>
          <c:idx val="4"/>
          <c:order val="4"/>
          <c:tx>
            <c:strRef>
              <c:f>Results!$T$4</c:f>
              <c:strCache>
                <c:ptCount val="1"/>
                <c:pt idx="0">
                  <c:v>0.95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Results!$T$5:$T$25</c:f>
              <c:numCache>
                <c:formatCode>#,##0.00</c:formatCode>
                <c:ptCount val="21"/>
                <c:pt idx="0">
                  <c:v>5.4859255147384426E-5</c:v>
                </c:pt>
                <c:pt idx="1">
                  <c:v>2.2322223933739227E-4</c:v>
                </c:pt>
                <c:pt idx="2">
                  <c:v>8.3999254897033351E-4</c:v>
                </c:pt>
                <c:pt idx="3">
                  <c:v>2.8929730253586306E-3</c:v>
                </c:pt>
                <c:pt idx="4">
                  <c:v>9.0106332025106529E-3</c:v>
                </c:pt>
                <c:pt idx="5">
                  <c:v>2.5033733883771312E-2</c:v>
                </c:pt>
                <c:pt idx="6">
                  <c:v>6.1055763717225847E-2</c:v>
                </c:pt>
                <c:pt idx="7">
                  <c:v>0.12832009891316645</c:v>
                </c:pt>
                <c:pt idx="8">
                  <c:v>0.22740228891943251</c:v>
                </c:pt>
                <c:pt idx="9">
                  <c:v>0.33122539296332087</c:v>
                </c:pt>
                <c:pt idx="10">
                  <c:v>0.38470722812905045</c:v>
                </c:pt>
                <c:pt idx="11">
                  <c:v>0.34366091317439368</c:v>
                </c:pt>
                <c:pt idx="12">
                  <c:v>0.22608436162940998</c:v>
                </c:pt>
                <c:pt idx="13">
                  <c:v>0.10391940209707913</c:v>
                </c:pt>
                <c:pt idx="14">
                  <c:v>3.1292167354714129E-2</c:v>
                </c:pt>
                <c:pt idx="15">
                  <c:v>5.7000950795711167E-3</c:v>
                </c:pt>
                <c:pt idx="16">
                  <c:v>5.6846682022190667E-4</c:v>
                </c:pt>
                <c:pt idx="17">
                  <c:v>2.7346290052873428E-5</c:v>
                </c:pt>
                <c:pt idx="18">
                  <c:v>5.3892340097626117E-7</c:v>
                </c:pt>
                <c:pt idx="19">
                  <c:v>3.5110230918441169E-9</c:v>
                </c:pt>
                <c:pt idx="20">
                  <c:v>5.6707494848053145E-12</c:v>
                </c:pt>
              </c:numCache>
            </c:numRef>
          </c:val>
        </c:ser>
        <c:ser>
          <c:idx val="5"/>
          <c:order val="5"/>
          <c:tx>
            <c:strRef>
              <c:f>Results!$U$4</c:f>
              <c:strCache>
                <c:ptCount val="1"/>
                <c:pt idx="0">
                  <c:v>1.00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Results!$U$5:$U$25</c:f>
              <c:numCache>
                <c:formatCode>#,##0.00</c:formatCode>
                <c:ptCount val="21"/>
                <c:pt idx="0">
                  <c:v>8.6703285321249293E-5</c:v>
                </c:pt>
                <c:pt idx="1">
                  <c:v>3.2916739577112638E-4</c:v>
                </c:pt>
                <c:pt idx="2">
                  <c:v>1.1602695242521489E-3</c:v>
                </c:pt>
                <c:pt idx="3">
                  <c:v>3.7598389688948946E-3</c:v>
                </c:pt>
                <c:pt idx="4">
                  <c:v>1.1074379087941686E-2</c:v>
                </c:pt>
                <c:pt idx="5">
                  <c:v>2.9263550912716676E-2</c:v>
                </c:pt>
                <c:pt idx="6">
                  <c:v>6.8329969593104542E-2</c:v>
                </c:pt>
                <c:pt idx="7">
                  <c:v>0.13852014243074254</c:v>
                </c:pt>
                <c:pt idx="8">
                  <c:v>0.23882000168449921</c:v>
                </c:pt>
                <c:pt idx="9">
                  <c:v>0.34177330202865702</c:v>
                </c:pt>
                <c:pt idx="10">
                  <c:v>0.39447933090788895</c:v>
                </c:pt>
                <c:pt idx="11">
                  <c:v>0.35483868952949416</c:v>
                </c:pt>
                <c:pt idx="12">
                  <c:v>0.2386994169228368</c:v>
                </c:pt>
                <c:pt idx="13">
                  <c:v>0.11422910084499041</c:v>
                </c:pt>
                <c:pt idx="14">
                  <c:v>3.6579438640895821E-2</c:v>
                </c:pt>
                <c:pt idx="15">
                  <c:v>7.2671125656935728E-3</c:v>
                </c:pt>
                <c:pt idx="16">
                  <c:v>8.1469084911895708E-4</c:v>
                </c:pt>
                <c:pt idx="17">
                  <c:v>4.5696305078150843E-5</c:v>
                </c:pt>
                <c:pt idx="18">
                  <c:v>1.098113757330448E-6</c:v>
                </c:pt>
                <c:pt idx="19">
                  <c:v>9.2215379590457516E-9</c:v>
                </c:pt>
                <c:pt idx="20">
                  <c:v>2.0588969620935007E-11</c:v>
                </c:pt>
              </c:numCache>
            </c:numRef>
          </c:val>
        </c:ser>
        <c:ser>
          <c:idx val="6"/>
          <c:order val="6"/>
          <c:tx>
            <c:strRef>
              <c:f>Results!$V$4</c:f>
              <c:strCache>
                <c:ptCount val="1"/>
                <c:pt idx="0">
                  <c:v>1.05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Results!$V$5:$V$25</c:f>
              <c:numCache>
                <c:formatCode>#,##0.00</c:formatCode>
                <c:ptCount val="21"/>
                <c:pt idx="0">
                  <c:v>1.3133582357579814E-4</c:v>
                </c:pt>
                <c:pt idx="1">
                  <c:v>4.6830137128375777E-4</c:v>
                </c:pt>
                <c:pt idx="2">
                  <c:v>1.5558795586153962E-3</c:v>
                </c:pt>
                <c:pt idx="3">
                  <c:v>4.7714195932260671E-3</c:v>
                </c:pt>
                <c:pt idx="4">
                  <c:v>1.336126309396975E-2</c:v>
                </c:pt>
                <c:pt idx="5">
                  <c:v>3.3741556066383196E-2</c:v>
                </c:pt>
                <c:pt idx="6">
                  <c:v>7.5741531388299962E-2</c:v>
                </c:pt>
                <c:pt idx="7">
                  <c:v>0.14861460721854988</c:v>
                </c:pt>
                <c:pt idx="8">
                  <c:v>0.24992762176162786</c:v>
                </c:pt>
                <c:pt idx="9">
                  <c:v>0.35200593969956445</c:v>
                </c:pt>
                <c:pt idx="10">
                  <c:v>0.40399371780886073</c:v>
                </c:pt>
                <c:pt idx="11">
                  <c:v>0.36568055918703235</c:v>
                </c:pt>
                <c:pt idx="12">
                  <c:v>0.2510038405452707</c:v>
                </c:pt>
                <c:pt idx="13">
                  <c:v>0.1245771674590179</c:v>
                </c:pt>
                <c:pt idx="14">
                  <c:v>4.2176945082978951E-2</c:v>
                </c:pt>
                <c:pt idx="15">
                  <c:v>9.0633749670141327E-3</c:v>
                </c:pt>
                <c:pt idx="16">
                  <c:v>1.129509733498509E-3</c:v>
                </c:pt>
                <c:pt idx="17">
                  <c:v>7.2798306574963607E-5</c:v>
                </c:pt>
                <c:pt idx="18">
                  <c:v>2.0932522301307129E-6</c:v>
                </c:pt>
                <c:pt idx="19">
                  <c:v>2.211704130879659E-8</c:v>
                </c:pt>
                <c:pt idx="20">
                  <c:v>6.6189630162549546E-11</c:v>
                </c:pt>
              </c:numCache>
            </c:numRef>
          </c:val>
        </c:ser>
        <c:ser>
          <c:idx val="7"/>
          <c:order val="7"/>
          <c:tx>
            <c:strRef>
              <c:f>Results!$W$4</c:f>
              <c:strCache>
                <c:ptCount val="1"/>
                <c:pt idx="0">
                  <c:v>1.10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Results!$W$5:$W$25</c:f>
              <c:numCache>
                <c:formatCode>#,##0.00</c:formatCode>
                <c:ptCount val="21"/>
                <c:pt idx="0">
                  <c:v>1.9177129201048017E-4</c:v>
                </c:pt>
                <c:pt idx="1">
                  <c:v>6.4589670257738253E-4</c:v>
                </c:pt>
                <c:pt idx="2">
                  <c:v>2.0335632192814003E-3</c:v>
                </c:pt>
                <c:pt idx="3">
                  <c:v>5.9315314239828535E-3</c:v>
                </c:pt>
                <c:pt idx="4">
                  <c:v>1.5863973751920935E-2</c:v>
                </c:pt>
                <c:pt idx="5">
                  <c:v>3.844408530075185E-2</c:v>
                </c:pt>
                <c:pt idx="6">
                  <c:v>8.3260536913593058E-2</c:v>
                </c:pt>
                <c:pt idx="7">
                  <c:v>0.1585918660466368</c:v>
                </c:pt>
                <c:pt idx="8">
                  <c:v>0.26074196389644855</c:v>
                </c:pt>
                <c:pt idx="9">
                  <c:v>0.36194711565080678</c:v>
                </c:pt>
                <c:pt idx="10">
                  <c:v>0.41326822430469606</c:v>
                </c:pt>
                <c:pt idx="11">
                  <c:v>0.37621187447894805</c:v>
                </c:pt>
                <c:pt idx="12">
                  <c:v>0.26301038977627317</c:v>
                </c:pt>
                <c:pt idx="13">
                  <c:v>0.13493491524955567</c:v>
                </c:pt>
                <c:pt idx="14">
                  <c:v>4.8055106625939793E-2</c:v>
                </c:pt>
                <c:pt idx="15">
                  <c:v>1.1090350218555011E-2</c:v>
                </c:pt>
                <c:pt idx="16">
                  <c:v>1.5217221515352092E-3</c:v>
                </c:pt>
                <c:pt idx="17">
                  <c:v>1.112817590215305E-4</c:v>
                </c:pt>
                <c:pt idx="18">
                  <c:v>3.7668072126905779E-6</c:v>
                </c:pt>
                <c:pt idx="19">
                  <c:v>4.9041096234994481E-8</c:v>
                </c:pt>
                <c:pt idx="20">
                  <c:v>1.9155268781801396E-10</c:v>
                </c:pt>
              </c:numCache>
            </c:numRef>
          </c:val>
        </c:ser>
        <c:ser>
          <c:idx val="8"/>
          <c:order val="8"/>
          <c:tx>
            <c:strRef>
              <c:f>Results!$X$4</c:f>
              <c:strCache>
                <c:ptCount val="1"/>
                <c:pt idx="0">
                  <c:v>1.15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Results!$X$5:$X$25</c:f>
              <c:numCache>
                <c:formatCode>#,##0.00</c:formatCode>
                <c:ptCount val="21"/>
                <c:pt idx="0">
                  <c:v>2.7120416213659277E-4</c:v>
                </c:pt>
                <c:pt idx="1">
                  <c:v>8.6709434125769713E-4</c:v>
                </c:pt>
                <c:pt idx="2">
                  <c:v>2.5991777406139923E-3</c:v>
                </c:pt>
                <c:pt idx="3">
                  <c:v>7.2422756125692968E-3</c:v>
                </c:pt>
                <c:pt idx="4">
                  <c:v>1.8573794356363305E-2</c:v>
                </c:pt>
                <c:pt idx="5">
                  <c:v>4.3348559075139834E-2</c:v>
                </c:pt>
                <c:pt idx="6">
                  <c:v>9.0861107027899596E-2</c:v>
                </c:pt>
                <c:pt idx="7">
                  <c:v>0.16844359762863134</c:v>
                </c:pt>
                <c:pt idx="8">
                  <c:v>0.27127885706808347</c:v>
                </c:pt>
                <c:pt idx="9">
                  <c:v>0.37161783436751633</c:v>
                </c:pt>
                <c:pt idx="10">
                  <c:v>0.42231868931066402</c:v>
                </c:pt>
                <c:pt idx="11">
                  <c:v>0.38645501505818453</c:v>
                </c:pt>
                <c:pt idx="12">
                  <c:v>0.27473179560901445</c:v>
                </c:pt>
                <c:pt idx="13">
                  <c:v>0.14527875686772362</c:v>
                </c:pt>
                <c:pt idx="14">
                  <c:v>5.4185698843924761E-2</c:v>
                </c:pt>
                <c:pt idx="15">
                  <c:v>1.3347084888305986E-2</c:v>
                </c:pt>
                <c:pt idx="16">
                  <c:v>1.999551881420026E-3</c:v>
                </c:pt>
                <c:pt idx="17">
                  <c:v>1.6409993713202114E-4</c:v>
                </c:pt>
                <c:pt idx="18">
                  <c:v>6.446829111530745E-6</c:v>
                </c:pt>
                <c:pt idx="19">
                  <c:v>1.0156145475739758E-7</c:v>
                </c:pt>
                <c:pt idx="20">
                  <c:v>5.0589956906904527E-10</c:v>
                </c:pt>
              </c:numCache>
            </c:numRef>
          </c:val>
        </c:ser>
        <c:ser>
          <c:idx val="9"/>
          <c:order val="9"/>
          <c:tx>
            <c:strRef>
              <c:f>Results!$Y$4</c:f>
              <c:strCache>
                <c:ptCount val="1"/>
                <c:pt idx="0">
                  <c:v>1.20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Results!$Y$5:$Y$25</c:f>
              <c:numCache>
                <c:formatCode>#,##0.00</c:formatCode>
                <c:ptCount val="21"/>
                <c:pt idx="0">
                  <c:v>3.7294048038108229E-4</c:v>
                </c:pt>
                <c:pt idx="1">
                  <c:v>1.136800297795393E-3</c:v>
                </c:pt>
                <c:pt idx="2">
                  <c:v>3.2576611149727308E-3</c:v>
                </c:pt>
                <c:pt idx="3">
                  <c:v>8.7042373679435334E-3</c:v>
                </c:pt>
                <c:pt idx="4">
                  <c:v>2.1481027185301108E-2</c:v>
                </c:pt>
                <c:pt idx="5">
                  <c:v>4.8433685900028688E-2</c:v>
                </c:pt>
                <c:pt idx="6">
                  <c:v>9.8520911596771885E-2</c:v>
                </c:pt>
                <c:pt idx="7">
                  <c:v>0.17816406940221755</c:v>
                </c:pt>
                <c:pt idx="8">
                  <c:v>0.28155313000155563</c:v>
                </c:pt>
                <c:pt idx="9">
                  <c:v>0.38103672838318398</c:v>
                </c:pt>
                <c:pt idx="10">
                  <c:v>0.43115925549986167</c:v>
                </c:pt>
                <c:pt idx="11">
                  <c:v>0.39642984351545479</c:v>
                </c:pt>
                <c:pt idx="12">
                  <c:v>0.28618053545414746</c:v>
                </c:pt>
                <c:pt idx="13">
                  <c:v>0.15558935866720047</c:v>
                </c:pt>
                <c:pt idx="14">
                  <c:v>6.0542107375035827E-2</c:v>
                </c:pt>
                <c:pt idx="15">
                  <c:v>1.5830597373487472E-2</c:v>
                </c:pt>
                <c:pt idx="16">
                  <c:v>2.5705143405843683E-3</c:v>
                </c:pt>
                <c:pt idx="17">
                  <c:v>2.3448170348468064E-4</c:v>
                </c:pt>
                <c:pt idx="18">
                  <c:v>1.0559524012726631E-5</c:v>
                </c:pt>
                <c:pt idx="19">
                  <c:v>1.9811776061804355E-7</c:v>
                </c:pt>
                <c:pt idx="20">
                  <c:v>1.2332908599289186E-9</c:v>
                </c:pt>
              </c:numCache>
            </c:numRef>
          </c:val>
        </c:ser>
        <c:ser>
          <c:idx val="10"/>
          <c:order val="10"/>
          <c:tx>
            <c:strRef>
              <c:f>Results!$Z$4</c:f>
              <c:strCache>
                <c:ptCount val="1"/>
                <c:pt idx="0">
                  <c:v>1.25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Results!$Z$5:$Z$25</c:f>
              <c:numCache>
                <c:formatCode>#,##0.00</c:formatCode>
                <c:ptCount val="21"/>
                <c:pt idx="0">
                  <c:v>5.0033135585511904E-4</c:v>
                </c:pt>
                <c:pt idx="1">
                  <c:v>1.4596040268784344E-3</c:v>
                </c:pt>
                <c:pt idx="2">
                  <c:v>4.0130327910147751E-3</c:v>
                </c:pt>
                <c:pt idx="3">
                  <c:v>1.0316690997063539E-2</c:v>
                </c:pt>
                <c:pt idx="4">
                  <c:v>2.4575342390743719E-2</c:v>
                </c:pt>
                <c:pt idx="5">
                  <c:v>5.3679569133269031E-2</c:v>
                </c:pt>
                <c:pt idx="6">
                  <c:v>0.10622072497229568</c:v>
                </c:pt>
                <c:pt idx="7">
                  <c:v>0.18774957533695194</c:v>
                </c:pt>
                <c:pt idx="8">
                  <c:v>0.29157863129240885</c:v>
                </c:pt>
                <c:pt idx="9">
                  <c:v>0.3902204104807877</c:v>
                </c:pt>
                <c:pt idx="10">
                  <c:v>0.43980261387722452</c:v>
                </c:pt>
                <c:pt idx="11">
                  <c:v>0.40615407661553715</c:v>
                </c:pt>
                <c:pt idx="12">
                  <c:v>0.29736868984469722</c:v>
                </c:pt>
                <c:pt idx="13">
                  <c:v>0.16585093257489714</c:v>
                </c:pt>
                <c:pt idx="14">
                  <c:v>6.7099461416586223E-2</c:v>
                </c:pt>
                <c:pt idx="15">
                  <c:v>1.8536246124946185E-2</c:v>
                </c:pt>
                <c:pt idx="16">
                  <c:v>3.2413271756817946E-3</c:v>
                </c:pt>
                <c:pt idx="17">
                  <c:v>3.2587566945368839E-4</c:v>
                </c:pt>
                <c:pt idx="18">
                  <c:v>1.6639533438747047E-5</c:v>
                </c:pt>
                <c:pt idx="19">
                  <c:v>3.6664420196659403E-7</c:v>
                </c:pt>
                <c:pt idx="20">
                  <c:v>2.8018771771226164E-9</c:v>
                </c:pt>
              </c:numCache>
            </c:numRef>
          </c:val>
        </c:ser>
        <c:bandFmts/>
        <c:axId val="881405952"/>
        <c:axId val="881407872"/>
        <c:axId val="881414592"/>
      </c:surface3DChart>
      <c:catAx>
        <c:axId val="88140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Spot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881407872"/>
        <c:crosses val="autoZero"/>
        <c:auto val="1"/>
        <c:lblAlgn val="ctr"/>
        <c:lblOffset val="100"/>
        <c:noMultiLvlLbl val="0"/>
      </c:catAx>
      <c:valAx>
        <c:axId val="88140787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881405952"/>
        <c:crosses val="autoZero"/>
        <c:crossBetween val="midCat"/>
      </c:valAx>
      <c:serAx>
        <c:axId val="881414592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GB"/>
                  <a:t>Time</a:t>
                </a:r>
                <a:r>
                  <a:rPr lang="en-GB" baseline="0"/>
                  <a:t> to Expiry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81781250000000005"/>
              <c:y val="0.61818302440118078"/>
            </c:manualLayout>
          </c:layout>
          <c:overlay val="0"/>
        </c:title>
        <c:majorTickMark val="out"/>
        <c:minorTickMark val="none"/>
        <c:tickLblPos val="nextTo"/>
        <c:crossAx val="881407872"/>
        <c:crosses val="autoZero"/>
      </c:ser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Call Prices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CallPx</c:v>
          </c:tx>
          <c:marker>
            <c:symbol val="none"/>
          </c:marker>
          <c:cat>
            <c:numRef>
              <c:f>'Black-Scholes Optimize'!$C$5:$C$204</c:f>
              <c:numCache>
                <c:formatCode>#,##0.00</c:formatCode>
                <c:ptCount val="200"/>
                <c:pt idx="0">
                  <c:v>90.1</c:v>
                </c:pt>
                <c:pt idx="1">
                  <c:v>90.199999999999989</c:v>
                </c:pt>
                <c:pt idx="2">
                  <c:v>90.299999999999983</c:v>
                </c:pt>
                <c:pt idx="3">
                  <c:v>90.399999999999977</c:v>
                </c:pt>
                <c:pt idx="4">
                  <c:v>90.499999999999972</c:v>
                </c:pt>
                <c:pt idx="5">
                  <c:v>90.599999999999966</c:v>
                </c:pt>
                <c:pt idx="6">
                  <c:v>90.69999999999996</c:v>
                </c:pt>
                <c:pt idx="7">
                  <c:v>90.799999999999955</c:v>
                </c:pt>
                <c:pt idx="8">
                  <c:v>90.899999999999949</c:v>
                </c:pt>
                <c:pt idx="9">
                  <c:v>90.999999999999943</c:v>
                </c:pt>
                <c:pt idx="10">
                  <c:v>91.099999999999937</c:v>
                </c:pt>
                <c:pt idx="11">
                  <c:v>91.199999999999932</c:v>
                </c:pt>
                <c:pt idx="12">
                  <c:v>91.299999999999926</c:v>
                </c:pt>
                <c:pt idx="13">
                  <c:v>91.39999999999992</c:v>
                </c:pt>
                <c:pt idx="14">
                  <c:v>91.499999999999915</c:v>
                </c:pt>
                <c:pt idx="15">
                  <c:v>91.599999999999909</c:v>
                </c:pt>
                <c:pt idx="16">
                  <c:v>91.699999999999903</c:v>
                </c:pt>
                <c:pt idx="17">
                  <c:v>91.799999999999898</c:v>
                </c:pt>
                <c:pt idx="18">
                  <c:v>91.899999999999892</c:v>
                </c:pt>
                <c:pt idx="19">
                  <c:v>91.999999999999886</c:v>
                </c:pt>
                <c:pt idx="20">
                  <c:v>92.099999999999881</c:v>
                </c:pt>
                <c:pt idx="21">
                  <c:v>92.199999999999875</c:v>
                </c:pt>
                <c:pt idx="22">
                  <c:v>92.299999999999869</c:v>
                </c:pt>
                <c:pt idx="23">
                  <c:v>92.399999999999864</c:v>
                </c:pt>
                <c:pt idx="24">
                  <c:v>92.499999999999858</c:v>
                </c:pt>
                <c:pt idx="25">
                  <c:v>92.599999999999852</c:v>
                </c:pt>
                <c:pt idx="26">
                  <c:v>92.699999999999847</c:v>
                </c:pt>
                <c:pt idx="27">
                  <c:v>92.799999999999841</c:v>
                </c:pt>
                <c:pt idx="28">
                  <c:v>92.899999999999835</c:v>
                </c:pt>
                <c:pt idx="29">
                  <c:v>92.999999999999829</c:v>
                </c:pt>
                <c:pt idx="30">
                  <c:v>93.099999999999824</c:v>
                </c:pt>
                <c:pt idx="31">
                  <c:v>93.199999999999818</c:v>
                </c:pt>
                <c:pt idx="32">
                  <c:v>93.299999999999812</c:v>
                </c:pt>
                <c:pt idx="33">
                  <c:v>93.399999999999807</c:v>
                </c:pt>
                <c:pt idx="34">
                  <c:v>93.499999999999801</c:v>
                </c:pt>
                <c:pt idx="35">
                  <c:v>93.599999999999795</c:v>
                </c:pt>
                <c:pt idx="36">
                  <c:v>93.69999999999979</c:v>
                </c:pt>
                <c:pt idx="37">
                  <c:v>93.799999999999784</c:v>
                </c:pt>
                <c:pt idx="38">
                  <c:v>93.899999999999778</c:v>
                </c:pt>
                <c:pt idx="39">
                  <c:v>93.999999999999773</c:v>
                </c:pt>
                <c:pt idx="40">
                  <c:v>94.099999999999767</c:v>
                </c:pt>
                <c:pt idx="41">
                  <c:v>94.199999999999761</c:v>
                </c:pt>
                <c:pt idx="42">
                  <c:v>94.299999999999756</c:v>
                </c:pt>
                <c:pt idx="43">
                  <c:v>94.39999999999975</c:v>
                </c:pt>
                <c:pt idx="44">
                  <c:v>94.499999999999744</c:v>
                </c:pt>
                <c:pt idx="45">
                  <c:v>94.599999999999739</c:v>
                </c:pt>
                <c:pt idx="46">
                  <c:v>94.699999999999733</c:v>
                </c:pt>
                <c:pt idx="47">
                  <c:v>94.799999999999727</c:v>
                </c:pt>
                <c:pt idx="48">
                  <c:v>94.899999999999721</c:v>
                </c:pt>
                <c:pt idx="49">
                  <c:v>94.999999999999716</c:v>
                </c:pt>
                <c:pt idx="50">
                  <c:v>95.09999999999971</c:v>
                </c:pt>
                <c:pt idx="51">
                  <c:v>95.199999999999704</c:v>
                </c:pt>
                <c:pt idx="52">
                  <c:v>95.299999999999699</c:v>
                </c:pt>
                <c:pt idx="53">
                  <c:v>95.399999999999693</c:v>
                </c:pt>
                <c:pt idx="54">
                  <c:v>95.499999999999687</c:v>
                </c:pt>
                <c:pt idx="55">
                  <c:v>95.599999999999682</c:v>
                </c:pt>
                <c:pt idx="56">
                  <c:v>95.699999999999676</c:v>
                </c:pt>
                <c:pt idx="57">
                  <c:v>95.79999999999967</c:v>
                </c:pt>
                <c:pt idx="58">
                  <c:v>95.899999999999665</c:v>
                </c:pt>
                <c:pt idx="59">
                  <c:v>95.999999999999659</c:v>
                </c:pt>
                <c:pt idx="60">
                  <c:v>96.099999999999653</c:v>
                </c:pt>
                <c:pt idx="61">
                  <c:v>96.199999999999648</c:v>
                </c:pt>
                <c:pt idx="62">
                  <c:v>96.299999999999642</c:v>
                </c:pt>
                <c:pt idx="63">
                  <c:v>96.399999999999636</c:v>
                </c:pt>
                <c:pt idx="64">
                  <c:v>96.499999999999631</c:v>
                </c:pt>
                <c:pt idx="65">
                  <c:v>96.599999999999625</c:v>
                </c:pt>
                <c:pt idx="66">
                  <c:v>96.699999999999619</c:v>
                </c:pt>
                <c:pt idx="67">
                  <c:v>96.799999999999613</c:v>
                </c:pt>
                <c:pt idx="68">
                  <c:v>96.899999999999608</c:v>
                </c:pt>
                <c:pt idx="69">
                  <c:v>96.999999999999602</c:v>
                </c:pt>
                <c:pt idx="70">
                  <c:v>97.099999999999596</c:v>
                </c:pt>
                <c:pt idx="71">
                  <c:v>97.199999999999591</c:v>
                </c:pt>
                <c:pt idx="72">
                  <c:v>97.299999999999585</c:v>
                </c:pt>
                <c:pt idx="73">
                  <c:v>97.399999999999579</c:v>
                </c:pt>
                <c:pt idx="74">
                  <c:v>97.499999999999574</c:v>
                </c:pt>
                <c:pt idx="75">
                  <c:v>97.599999999999568</c:v>
                </c:pt>
                <c:pt idx="76">
                  <c:v>97.699999999999562</c:v>
                </c:pt>
                <c:pt idx="77">
                  <c:v>97.799999999999557</c:v>
                </c:pt>
                <c:pt idx="78">
                  <c:v>97.899999999999551</c:v>
                </c:pt>
                <c:pt idx="79">
                  <c:v>97.999999999999545</c:v>
                </c:pt>
                <c:pt idx="80">
                  <c:v>98.09999999999954</c:v>
                </c:pt>
                <c:pt idx="81">
                  <c:v>98.199999999999534</c:v>
                </c:pt>
                <c:pt idx="82">
                  <c:v>98.299999999999528</c:v>
                </c:pt>
                <c:pt idx="83">
                  <c:v>98.399999999999523</c:v>
                </c:pt>
                <c:pt idx="84">
                  <c:v>98.499999999999517</c:v>
                </c:pt>
                <c:pt idx="85">
                  <c:v>98.599999999999511</c:v>
                </c:pt>
                <c:pt idx="86">
                  <c:v>98.699999999999505</c:v>
                </c:pt>
                <c:pt idx="87">
                  <c:v>98.7999999999995</c:v>
                </c:pt>
                <c:pt idx="88">
                  <c:v>98.899999999999494</c:v>
                </c:pt>
                <c:pt idx="89">
                  <c:v>98.999999999999488</c:v>
                </c:pt>
                <c:pt idx="90">
                  <c:v>99.099999999999483</c:v>
                </c:pt>
                <c:pt idx="91">
                  <c:v>99.199999999999477</c:v>
                </c:pt>
                <c:pt idx="92">
                  <c:v>99.299999999999471</c:v>
                </c:pt>
                <c:pt idx="93">
                  <c:v>99.399999999999466</c:v>
                </c:pt>
                <c:pt idx="94">
                  <c:v>99.49999999999946</c:v>
                </c:pt>
                <c:pt idx="95">
                  <c:v>99.599999999999454</c:v>
                </c:pt>
                <c:pt idx="96">
                  <c:v>99.699999999999449</c:v>
                </c:pt>
                <c:pt idx="97">
                  <c:v>99.799999999999443</c:v>
                </c:pt>
                <c:pt idx="98">
                  <c:v>99.899999999999437</c:v>
                </c:pt>
                <c:pt idx="99">
                  <c:v>99.999999999999432</c:v>
                </c:pt>
                <c:pt idx="100">
                  <c:v>100.09999999999943</c:v>
                </c:pt>
                <c:pt idx="101">
                  <c:v>100.19999999999942</c:v>
                </c:pt>
                <c:pt idx="102">
                  <c:v>100.29999999999941</c:v>
                </c:pt>
                <c:pt idx="103">
                  <c:v>100.39999999999941</c:v>
                </c:pt>
                <c:pt idx="104">
                  <c:v>100.4999999999994</c:v>
                </c:pt>
                <c:pt idx="105">
                  <c:v>100.5999999999994</c:v>
                </c:pt>
                <c:pt idx="106">
                  <c:v>100.69999999999939</c:v>
                </c:pt>
                <c:pt idx="107">
                  <c:v>100.79999999999939</c:v>
                </c:pt>
                <c:pt idx="108">
                  <c:v>100.89999999999938</c:v>
                </c:pt>
                <c:pt idx="109">
                  <c:v>100.99999999999937</c:v>
                </c:pt>
                <c:pt idx="110">
                  <c:v>101.09999999999937</c:v>
                </c:pt>
                <c:pt idx="111">
                  <c:v>101.19999999999936</c:v>
                </c:pt>
                <c:pt idx="112">
                  <c:v>101.29999999999936</c:v>
                </c:pt>
                <c:pt idx="113">
                  <c:v>101.39999999999935</c:v>
                </c:pt>
                <c:pt idx="114">
                  <c:v>101.49999999999935</c:v>
                </c:pt>
                <c:pt idx="115">
                  <c:v>101.59999999999934</c:v>
                </c:pt>
                <c:pt idx="116">
                  <c:v>101.69999999999933</c:v>
                </c:pt>
                <c:pt idx="117">
                  <c:v>101.79999999999933</c:v>
                </c:pt>
                <c:pt idx="118">
                  <c:v>101.89999999999932</c:v>
                </c:pt>
                <c:pt idx="119">
                  <c:v>101.99999999999932</c:v>
                </c:pt>
                <c:pt idx="120">
                  <c:v>102.09999999999931</c:v>
                </c:pt>
                <c:pt idx="121">
                  <c:v>102.19999999999931</c:v>
                </c:pt>
                <c:pt idx="122">
                  <c:v>102.2999999999993</c:v>
                </c:pt>
                <c:pt idx="123">
                  <c:v>102.3999999999993</c:v>
                </c:pt>
                <c:pt idx="124">
                  <c:v>102.49999999999929</c:v>
                </c:pt>
                <c:pt idx="125">
                  <c:v>102.59999999999928</c:v>
                </c:pt>
                <c:pt idx="126">
                  <c:v>102.69999999999928</c:v>
                </c:pt>
                <c:pt idx="127">
                  <c:v>102.79999999999927</c:v>
                </c:pt>
                <c:pt idx="128">
                  <c:v>102.89999999999927</c:v>
                </c:pt>
                <c:pt idx="129">
                  <c:v>102.99999999999926</c:v>
                </c:pt>
                <c:pt idx="130">
                  <c:v>103.09999999999926</c:v>
                </c:pt>
                <c:pt idx="131">
                  <c:v>103.19999999999925</c:v>
                </c:pt>
                <c:pt idx="132">
                  <c:v>103.29999999999924</c:v>
                </c:pt>
                <c:pt idx="133">
                  <c:v>103.39999999999924</c:v>
                </c:pt>
                <c:pt idx="134">
                  <c:v>103.49999999999923</c:v>
                </c:pt>
                <c:pt idx="135">
                  <c:v>103.59999999999923</c:v>
                </c:pt>
                <c:pt idx="136">
                  <c:v>103.69999999999922</c:v>
                </c:pt>
                <c:pt idx="137">
                  <c:v>103.79999999999922</c:v>
                </c:pt>
                <c:pt idx="138">
                  <c:v>103.89999999999921</c:v>
                </c:pt>
                <c:pt idx="139">
                  <c:v>103.9999999999992</c:v>
                </c:pt>
                <c:pt idx="140">
                  <c:v>104.0999999999992</c:v>
                </c:pt>
                <c:pt idx="141">
                  <c:v>104.19999999999919</c:v>
                </c:pt>
                <c:pt idx="142">
                  <c:v>104.29999999999919</c:v>
                </c:pt>
                <c:pt idx="143">
                  <c:v>104.39999999999918</c:v>
                </c:pt>
                <c:pt idx="144">
                  <c:v>104.49999999999918</c:v>
                </c:pt>
                <c:pt idx="145">
                  <c:v>104.59999999999917</c:v>
                </c:pt>
                <c:pt idx="146">
                  <c:v>104.69999999999916</c:v>
                </c:pt>
                <c:pt idx="147">
                  <c:v>104.79999999999916</c:v>
                </c:pt>
                <c:pt idx="148">
                  <c:v>104.89999999999915</c:v>
                </c:pt>
                <c:pt idx="149">
                  <c:v>104.99999999999915</c:v>
                </c:pt>
                <c:pt idx="150">
                  <c:v>105.09999999999914</c:v>
                </c:pt>
                <c:pt idx="151">
                  <c:v>105.19999999999914</c:v>
                </c:pt>
                <c:pt idx="152">
                  <c:v>105.29999999999913</c:v>
                </c:pt>
                <c:pt idx="153">
                  <c:v>105.39999999999912</c:v>
                </c:pt>
                <c:pt idx="154">
                  <c:v>105.49999999999912</c:v>
                </c:pt>
                <c:pt idx="155">
                  <c:v>105.59999999999911</c:v>
                </c:pt>
                <c:pt idx="156">
                  <c:v>105.69999999999911</c:v>
                </c:pt>
                <c:pt idx="157">
                  <c:v>105.7999999999991</c:v>
                </c:pt>
                <c:pt idx="158">
                  <c:v>105.8999999999991</c:v>
                </c:pt>
                <c:pt idx="159">
                  <c:v>105.99999999999909</c:v>
                </c:pt>
                <c:pt idx="160">
                  <c:v>106.09999999999908</c:v>
                </c:pt>
                <c:pt idx="161">
                  <c:v>106.19999999999908</c:v>
                </c:pt>
                <c:pt idx="162">
                  <c:v>106.29999999999907</c:v>
                </c:pt>
                <c:pt idx="163">
                  <c:v>106.39999999999907</c:v>
                </c:pt>
                <c:pt idx="164">
                  <c:v>106.49999999999906</c:v>
                </c:pt>
                <c:pt idx="165">
                  <c:v>106.59999999999906</c:v>
                </c:pt>
                <c:pt idx="166">
                  <c:v>106.69999999999905</c:v>
                </c:pt>
                <c:pt idx="167">
                  <c:v>106.79999999999905</c:v>
                </c:pt>
                <c:pt idx="168">
                  <c:v>106.89999999999904</c:v>
                </c:pt>
                <c:pt idx="169">
                  <c:v>106.99999999999903</c:v>
                </c:pt>
                <c:pt idx="170">
                  <c:v>107.09999999999903</c:v>
                </c:pt>
                <c:pt idx="171">
                  <c:v>107.19999999999902</c:v>
                </c:pt>
                <c:pt idx="172">
                  <c:v>107.29999999999902</c:v>
                </c:pt>
                <c:pt idx="173">
                  <c:v>107.39999999999901</c:v>
                </c:pt>
                <c:pt idx="174">
                  <c:v>107.49999999999901</c:v>
                </c:pt>
                <c:pt idx="175">
                  <c:v>107.599999999999</c:v>
                </c:pt>
                <c:pt idx="176">
                  <c:v>107.69999999999899</c:v>
                </c:pt>
                <c:pt idx="177">
                  <c:v>107.79999999999899</c:v>
                </c:pt>
                <c:pt idx="178">
                  <c:v>107.89999999999898</c:v>
                </c:pt>
                <c:pt idx="179">
                  <c:v>107.99999999999898</c:v>
                </c:pt>
                <c:pt idx="180">
                  <c:v>108.09999999999897</c:v>
                </c:pt>
                <c:pt idx="181">
                  <c:v>108.19999999999897</c:v>
                </c:pt>
                <c:pt idx="182">
                  <c:v>108.29999999999896</c:v>
                </c:pt>
                <c:pt idx="183">
                  <c:v>108.39999999999895</c:v>
                </c:pt>
                <c:pt idx="184">
                  <c:v>108.49999999999895</c:v>
                </c:pt>
                <c:pt idx="185">
                  <c:v>108.59999999999894</c:v>
                </c:pt>
                <c:pt idx="186">
                  <c:v>108.69999999999894</c:v>
                </c:pt>
                <c:pt idx="187">
                  <c:v>108.79999999999893</c:v>
                </c:pt>
                <c:pt idx="188">
                  <c:v>108.89999999999893</c:v>
                </c:pt>
                <c:pt idx="189">
                  <c:v>108.99999999999892</c:v>
                </c:pt>
                <c:pt idx="190">
                  <c:v>109.09999999999891</c:v>
                </c:pt>
                <c:pt idx="191">
                  <c:v>109.19999999999891</c:v>
                </c:pt>
                <c:pt idx="192">
                  <c:v>109.2999999999989</c:v>
                </c:pt>
                <c:pt idx="193">
                  <c:v>109.3999999999989</c:v>
                </c:pt>
                <c:pt idx="194">
                  <c:v>109.49999999999889</c:v>
                </c:pt>
                <c:pt idx="195">
                  <c:v>109.59999999999889</c:v>
                </c:pt>
                <c:pt idx="196">
                  <c:v>109.69999999999888</c:v>
                </c:pt>
                <c:pt idx="197">
                  <c:v>109.79999999999887</c:v>
                </c:pt>
                <c:pt idx="198">
                  <c:v>109.89999999999887</c:v>
                </c:pt>
                <c:pt idx="199">
                  <c:v>109.99999999999886</c:v>
                </c:pt>
              </c:numCache>
            </c:numRef>
          </c:cat>
          <c:val>
            <c:numRef>
              <c:f>'Black-Scholes Optimize'!$J$5:$J$204</c:f>
              <c:numCache>
                <c:formatCode>#,##0.00</c:formatCode>
                <c:ptCount val="200"/>
                <c:pt idx="0">
                  <c:v>0.72104709215786045</c:v>
                </c:pt>
                <c:pt idx="1">
                  <c:v>0.7370694756024605</c:v>
                </c:pt>
                <c:pt idx="2">
                  <c:v>0.75336238658272592</c:v>
                </c:pt>
                <c:pt idx="3">
                  <c:v>0.7699284632741854</c:v>
                </c:pt>
                <c:pt idx="4">
                  <c:v>0.78677033281191733</c:v>
                </c:pt>
                <c:pt idx="5">
                  <c:v>0.80389061060041023</c:v>
                </c:pt>
                <c:pt idx="6">
                  <c:v>0.82129189962438964</c:v>
                </c:pt>
                <c:pt idx="7">
                  <c:v>0.83897678976101098</c:v>
                </c:pt>
                <c:pt idx="8">
                  <c:v>0.8569478570937008</c:v>
                </c:pt>
                <c:pt idx="9">
                  <c:v>0.87520766322822219</c:v>
                </c:pt>
                <c:pt idx="10">
                  <c:v>0.89375875461068688</c:v>
                </c:pt>
                <c:pt idx="11">
                  <c:v>0.91260366184854291</c:v>
                </c:pt>
                <c:pt idx="12">
                  <c:v>0.93174489903449143</c:v>
                </c:pt>
                <c:pt idx="13">
                  <c:v>0.95118496307366485</c:v>
                </c:pt>
                <c:pt idx="14">
                  <c:v>0.97092633301442888</c:v>
                </c:pt>
                <c:pt idx="15">
                  <c:v>0.99097146938321501</c:v>
                </c:pt>
                <c:pt idx="16">
                  <c:v>1.0113228135236163</c:v>
                </c:pt>
                <c:pt idx="17">
                  <c:v>1.0319827869399774</c:v>
                </c:pt>
                <c:pt idx="18">
                  <c:v>1.0529537906460327</c:v>
                </c:pt>
                <c:pt idx="19">
                  <c:v>1.0742382045186645</c:v>
                </c:pt>
                <c:pt idx="20">
                  <c:v>1.0958383866571779</c:v>
                </c:pt>
                <c:pt idx="21">
                  <c:v>1.1177566727484383</c:v>
                </c:pt>
                <c:pt idx="22">
                  <c:v>1.1399953754381293</c:v>
                </c:pt>
                <c:pt idx="23">
                  <c:v>1.1625567837084603</c:v>
                </c:pt>
                <c:pt idx="24">
                  <c:v>1.1854431622623949</c:v>
                </c:pt>
                <c:pt idx="25">
                  <c:v>1.208656750915214</c:v>
                </c:pt>
                <c:pt idx="26">
                  <c:v>1.2321997639930373</c:v>
                </c:pt>
                <c:pt idx="27">
                  <c:v>1.2560743897391617</c:v>
                </c:pt>
                <c:pt idx="28">
                  <c:v>1.2802827897279769</c:v>
                </c:pt>
                <c:pt idx="29">
                  <c:v>1.3048270982871948</c:v>
                </c:pt>
                <c:pt idx="30">
                  <c:v>1.3297094219284524</c:v>
                </c:pt>
                <c:pt idx="31">
                  <c:v>1.3549318387863387</c:v>
                </c:pt>
                <c:pt idx="32">
                  <c:v>1.380496398066505</c:v>
                </c:pt>
                <c:pt idx="33">
                  <c:v>1.4064051195028497</c:v>
                </c:pt>
                <c:pt idx="34">
                  <c:v>1.4326599928240427</c:v>
                </c:pt>
                <c:pt idx="35">
                  <c:v>1.4592629772296455</c:v>
                </c:pt>
                <c:pt idx="36">
                  <c:v>1.4862160008761798</c:v>
                </c:pt>
                <c:pt idx="37">
                  <c:v>1.5135209603730999</c:v>
                </c:pt>
                <c:pt idx="38">
                  <c:v>1.5411797202892288</c:v>
                </c:pt>
                <c:pt idx="39">
                  <c:v>1.5691941126695177</c:v>
                </c:pt>
                <c:pt idx="40">
                  <c:v>1.59756593656261</c:v>
                </c:pt>
                <c:pt idx="41">
                  <c:v>1.6262969575593331</c:v>
                </c:pt>
                <c:pt idx="42">
                  <c:v>1.655388907342136</c:v>
                </c:pt>
                <c:pt idx="43">
                  <c:v>1.6848434832459063</c:v>
                </c:pt>
                <c:pt idx="44">
                  <c:v>1.7146623478304122</c:v>
                </c:pt>
                <c:pt idx="45">
                  <c:v>1.7448471284639133</c:v>
                </c:pt>
                <c:pt idx="46">
                  <c:v>1.7753994169190399</c:v>
                </c:pt>
                <c:pt idx="47">
                  <c:v>1.8063207689803811</c:v>
                </c:pt>
                <c:pt idx="48">
                  <c:v>1.8376127040641705</c:v>
                </c:pt>
                <c:pt idx="49">
                  <c:v>1.8692767048503356</c:v>
                </c:pt>
                <c:pt idx="50">
                  <c:v>1.9013142169267958</c:v>
                </c:pt>
                <c:pt idx="51">
                  <c:v>1.9337266484463633</c:v>
                </c:pt>
                <c:pt idx="52">
                  <c:v>1.9665153697961557</c:v>
                </c:pt>
                <c:pt idx="53">
                  <c:v>1.9996817132799229</c:v>
                </c:pt>
                <c:pt idx="54">
                  <c:v>2.0332269728130683</c:v>
                </c:pt>
                <c:pt idx="55">
                  <c:v>2.0671524036306614</c:v>
                </c:pt>
                <c:pt idx="56">
                  <c:v>2.1014592220084936</c:v>
                </c:pt>
                <c:pt idx="57">
                  <c:v>2.1361486049972633</c:v>
                </c:pt>
                <c:pt idx="58">
                  <c:v>2.1712216901699399</c:v>
                </c:pt>
                <c:pt idx="59">
                  <c:v>2.2066795753823953</c:v>
                </c:pt>
                <c:pt idx="60">
                  <c:v>2.2425233185473132</c:v>
                </c:pt>
                <c:pt idx="61">
                  <c:v>2.2787539374215484</c:v>
                </c:pt>
                <c:pt idx="62">
                  <c:v>2.315372409406983</c:v>
                </c:pt>
                <c:pt idx="63">
                  <c:v>2.3523796713644884</c:v>
                </c:pt>
                <c:pt idx="64">
                  <c:v>2.3897766194418182</c:v>
                </c:pt>
                <c:pt idx="65">
                  <c:v>2.4275641089147584</c:v>
                </c:pt>
                <c:pt idx="66">
                  <c:v>2.4657429540418647</c:v>
                </c:pt>
                <c:pt idx="67">
                  <c:v>2.5043139279326923</c:v>
                </c:pt>
                <c:pt idx="68">
                  <c:v>2.5432777624297174</c:v>
                </c:pt>
                <c:pt idx="69">
                  <c:v>2.5826351480035328</c:v>
                </c:pt>
                <c:pt idx="70">
                  <c:v>2.622386733661827</c:v>
                </c:pt>
                <c:pt idx="71">
                  <c:v>2.6625331268716721</c:v>
                </c:pt>
                <c:pt idx="72">
                  <c:v>2.7030748934953124</c:v>
                </c:pt>
                <c:pt idx="73">
                  <c:v>2.7440125577395449</c:v>
                </c:pt>
                <c:pt idx="74">
                  <c:v>2.7853466021181958</c:v>
                </c:pt>
                <c:pt idx="75">
                  <c:v>2.8270774674282038</c:v>
                </c:pt>
                <c:pt idx="76">
                  <c:v>2.8692055527389257</c:v>
                </c:pt>
                <c:pt idx="77">
                  <c:v>2.9117312153945036</c:v>
                </c:pt>
                <c:pt idx="78">
                  <c:v>2.954654771029638</c:v>
                </c:pt>
                <c:pt idx="79">
                  <c:v>2.9979764935982089</c:v>
                </c:pt>
                <c:pt idx="80">
                  <c:v>3.0416966154151552</c:v>
                </c:pt>
                <c:pt idx="81">
                  <c:v>3.0858153272109803</c:v>
                </c:pt>
                <c:pt idx="82">
                  <c:v>3.1303327781991825</c:v>
                </c:pt>
                <c:pt idx="83">
                  <c:v>3.1752490761565184</c:v>
                </c:pt>
                <c:pt idx="84">
                  <c:v>3.2205642875157636</c:v>
                </c:pt>
                <c:pt idx="85">
                  <c:v>3.2662784374709304</c:v>
                </c:pt>
                <c:pt idx="86">
                  <c:v>3.3123915100949546</c:v>
                </c:pt>
                <c:pt idx="87">
                  <c:v>3.3589034484695901</c:v>
                </c:pt>
                <c:pt idx="88">
                  <c:v>3.4058141548274605</c:v>
                </c:pt>
                <c:pt idx="89">
                  <c:v>3.4531234907060764</c:v>
                </c:pt>
                <c:pt idx="90">
                  <c:v>3.5008312771136758</c:v>
                </c:pt>
                <c:pt idx="91">
                  <c:v>3.548937294706846</c:v>
                </c:pt>
                <c:pt idx="92">
                  <c:v>3.5974412839796557</c:v>
                </c:pt>
                <c:pt idx="93">
                  <c:v>3.6463429454642338</c:v>
                </c:pt>
                <c:pt idx="94">
                  <c:v>3.6956419399424902</c:v>
                </c:pt>
                <c:pt idx="95">
                  <c:v>3.74533788866907</c:v>
                </c:pt>
                <c:pt idx="96">
                  <c:v>3.7954303736050363</c:v>
                </c:pt>
                <c:pt idx="97">
                  <c:v>3.8459189376626384</c:v>
                </c:pt>
                <c:pt idx="98">
                  <c:v>3.8968030849600623</c:v>
                </c:pt>
                <c:pt idx="99">
                  <c:v>3.9480822810872169</c:v>
                </c:pt>
                <c:pt idx="100">
                  <c:v>3.9997559533810332</c:v>
                </c:pt>
                <c:pt idx="101">
                  <c:v>4.0518234912121045</c:v>
                </c:pt>
                <c:pt idx="102">
                  <c:v>4.1042842462789579</c:v>
                </c:pt>
                <c:pt idx="103">
                  <c:v>4.1571375329139428</c:v>
                </c:pt>
                <c:pt idx="104">
                  <c:v>4.2103826283977739</c:v>
                </c:pt>
                <c:pt idx="105">
                  <c:v>4.2640187732832331</c:v>
                </c:pt>
                <c:pt idx="106">
                  <c:v>4.3180451717281585</c:v>
                </c:pt>
                <c:pt idx="107">
                  <c:v>4.3724609918369666</c:v>
                </c:pt>
                <c:pt idx="108">
                  <c:v>4.4272653660111132</c:v>
                </c:pt>
                <c:pt idx="109">
                  <c:v>4.4824573913076833</c:v>
                </c:pt>
                <c:pt idx="110">
                  <c:v>4.5380361298064003</c:v>
                </c:pt>
                <c:pt idx="111">
                  <c:v>4.594000608984409</c:v>
                </c:pt>
                <c:pt idx="112">
                  <c:v>4.6503498220990593</c:v>
                </c:pt>
                <c:pt idx="113">
                  <c:v>4.707082728577916</c:v>
                </c:pt>
                <c:pt idx="114">
                  <c:v>4.7641982544164065</c:v>
                </c:pt>
                <c:pt idx="115">
                  <c:v>4.8216952925824188</c:v>
                </c:pt>
                <c:pt idx="116">
                  <c:v>4.8795727034277334</c:v>
                </c:pt>
                <c:pt idx="117">
                  <c:v>4.9378293151063133</c:v>
                </c:pt>
                <c:pt idx="118">
                  <c:v>4.9964639239986823</c:v>
                </c:pt>
                <c:pt idx="119">
                  <c:v>5.0554752951429052</c:v>
                </c:pt>
                <c:pt idx="120">
                  <c:v>5.1148621626712298</c:v>
                </c:pt>
                <c:pt idx="121">
                  <c:v>5.1746232302526849</c:v>
                </c:pt>
                <c:pt idx="122">
                  <c:v>5.2347571715410837</c:v>
                </c:pt>
                <c:pt idx="123">
                  <c:v>5.2952626306283008</c:v>
                </c:pt>
                <c:pt idx="124">
                  <c:v>5.3561382225028353</c:v>
                </c:pt>
                <c:pt idx="125">
                  <c:v>5.4173825335128143</c:v>
                </c:pt>
                <c:pt idx="126">
                  <c:v>5.4789941218341269</c:v>
                </c:pt>
                <c:pt idx="127">
                  <c:v>5.540971517942431</c:v>
                </c:pt>
                <c:pt idx="128">
                  <c:v>5.6033132250896429</c:v>
                </c:pt>
                <c:pt idx="129">
                  <c:v>5.6660177197842856</c:v>
                </c:pt>
                <c:pt idx="130">
                  <c:v>5.7290834522754039</c:v>
                </c:pt>
                <c:pt idx="131">
                  <c:v>5.7925088470402457</c:v>
                </c:pt>
                <c:pt idx="132">
                  <c:v>5.8562923032748344</c:v>
                </c:pt>
                <c:pt idx="133">
                  <c:v>5.9204321953879244</c:v>
                </c:pt>
                <c:pt idx="134">
                  <c:v>5.9849268734974288</c:v>
                </c:pt>
                <c:pt idx="135">
                  <c:v>6.0497746639297532</c:v>
                </c:pt>
                <c:pt idx="136">
                  <c:v>6.1149738697212683</c:v>
                </c:pt>
                <c:pt idx="137">
                  <c:v>6.1805227711220141</c:v>
                </c:pt>
                <c:pt idx="138">
                  <c:v>6.2464196261013427</c:v>
                </c:pt>
                <c:pt idx="139">
                  <c:v>6.3126626708552891</c:v>
                </c:pt>
                <c:pt idx="140">
                  <c:v>6.3792501203153833</c:v>
                </c:pt>
                <c:pt idx="141">
                  <c:v>6.4461801686588132</c:v>
                </c:pt>
                <c:pt idx="142">
                  <c:v>6.5134509898196598</c:v>
                </c:pt>
                <c:pt idx="143">
                  <c:v>6.5810607380009856</c:v>
                </c:pt>
                <c:pt idx="144">
                  <c:v>6.6490075481876119</c:v>
                </c:pt>
                <c:pt idx="145">
                  <c:v>6.7172895366593792</c:v>
                </c:pt>
                <c:pt idx="146">
                  <c:v>6.7859048015046568</c:v>
                </c:pt>
                <c:pt idx="147">
                  <c:v>6.8548514231338942</c:v>
                </c:pt>
                <c:pt idx="148">
                  <c:v>6.9241274647930879</c:v>
                </c:pt>
                <c:pt idx="149">
                  <c:v>6.9937309730769783</c:v>
                </c:pt>
                <c:pt idx="150">
                  <c:v>7.0636599784415068</c:v>
                </c:pt>
                <c:pt idx="151">
                  <c:v>7.133912495715947</c:v>
                </c:pt>
                <c:pt idx="152">
                  <c:v>7.2044865246138272</c:v>
                </c:pt>
                <c:pt idx="153">
                  <c:v>7.2753800502428305</c:v>
                </c:pt>
                <c:pt idx="154">
                  <c:v>7.3465910436138273</c:v>
                </c:pt>
                <c:pt idx="155">
                  <c:v>7.4181174621477624</c:v>
                </c:pt>
                <c:pt idx="156">
                  <c:v>7.4899572501818312</c:v>
                </c:pt>
                <c:pt idx="157">
                  <c:v>7.5621083394730988</c:v>
                </c:pt>
                <c:pt idx="158">
                  <c:v>7.6345686497006398</c:v>
                </c:pt>
                <c:pt idx="159">
                  <c:v>7.7073360889655191</c:v>
                </c:pt>
                <c:pt idx="160">
                  <c:v>7.7804085542884422</c:v>
                </c:pt>
                <c:pt idx="161">
                  <c:v>7.8537839321049745</c:v>
                </c:pt>
                <c:pt idx="162">
                  <c:v>7.9274600987583455</c:v>
                </c:pt>
                <c:pt idx="163">
                  <c:v>8.001434920989368</c:v>
                </c:pt>
                <c:pt idx="164">
                  <c:v>8.0757062564235156</c:v>
                </c:pt>
                <c:pt idx="165">
                  <c:v>8.1502719540551851</c:v>
                </c:pt>
                <c:pt idx="166">
                  <c:v>8.2251298547284932</c:v>
                </c:pt>
                <c:pt idx="167">
                  <c:v>8.3002777916151587</c:v>
                </c:pt>
                <c:pt idx="168">
                  <c:v>8.3757135906885054</c:v>
                </c:pt>
                <c:pt idx="169">
                  <c:v>8.4514350711944957</c:v>
                </c:pt>
                <c:pt idx="170">
                  <c:v>8.5274400461184996</c:v>
                </c:pt>
                <c:pt idx="171">
                  <c:v>8.6037263226486971</c:v>
                </c:pt>
                <c:pt idx="172">
                  <c:v>8.6802917026353441</c:v>
                </c:pt>
                <c:pt idx="173">
                  <c:v>8.7571339830461312</c:v>
                </c:pt>
                <c:pt idx="174">
                  <c:v>8.8342509564172218</c:v>
                </c:pt>
                <c:pt idx="175">
                  <c:v>8.9116404113002687</c:v>
                </c:pt>
                <c:pt idx="176">
                  <c:v>8.9893001327048836</c:v>
                </c:pt>
                <c:pt idx="177">
                  <c:v>9.067227902536743</c:v>
                </c:pt>
                <c:pt idx="178">
                  <c:v>9.1454215000310626</c:v>
                </c:pt>
                <c:pt idx="179">
                  <c:v>9.2238787021815654</c:v>
                </c:pt>
                <c:pt idx="180">
                  <c:v>9.3025972841644062</c:v>
                </c:pt>
                <c:pt idx="181">
                  <c:v>9.3815750197577188</c:v>
                </c:pt>
                <c:pt idx="182">
                  <c:v>9.4608096817558049</c:v>
                </c:pt>
                <c:pt idx="183">
                  <c:v>9.540299042378507</c:v>
                </c:pt>
                <c:pt idx="184">
                  <c:v>9.6200408736756771</c:v>
                </c:pt>
                <c:pt idx="185">
                  <c:v>9.700032947926104</c:v>
                </c:pt>
                <c:pt idx="186">
                  <c:v>9.7802730380316945</c:v>
                </c:pt>
                <c:pt idx="187">
                  <c:v>9.8607589179058976</c:v>
                </c:pt>
                <c:pt idx="188">
                  <c:v>9.9414883628572426</c:v>
                </c:pt>
                <c:pt idx="189">
                  <c:v>10.022459149967077</c:v>
                </c:pt>
                <c:pt idx="190">
                  <c:v>10.103669058462046</c:v>
                </c:pt>
                <c:pt idx="191">
                  <c:v>10.185115870081134</c:v>
                </c:pt>
                <c:pt idx="192">
                  <c:v>10.266797369436901</c:v>
                </c:pt>
                <c:pt idx="193">
                  <c:v>10.348711344371267</c:v>
                </c:pt>
                <c:pt idx="194">
                  <c:v>10.430855586305697</c:v>
                </c:pt>
                <c:pt idx="195">
                  <c:v>10.513227890585441</c:v>
                </c:pt>
                <c:pt idx="196">
                  <c:v>10.595826056818396</c:v>
                </c:pt>
                <c:pt idx="197">
                  <c:v>10.678647889207966</c:v>
                </c:pt>
                <c:pt idx="198">
                  <c:v>10.761691196880065</c:v>
                </c:pt>
                <c:pt idx="199">
                  <c:v>10.844953794204557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980736"/>
        <c:axId val="881668096"/>
      </c:lineChart>
      <c:catAx>
        <c:axId val="880980736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881668096"/>
        <c:crosses val="autoZero"/>
        <c:auto val="1"/>
        <c:lblAlgn val="ctr"/>
        <c:lblOffset val="100"/>
        <c:tickMarkSkip val="10"/>
        <c:noMultiLvlLbl val="0"/>
      </c:catAx>
      <c:valAx>
        <c:axId val="88166809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880980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Put</a:t>
            </a:r>
            <a:r>
              <a:rPr lang="en-US" baseline="0"/>
              <a:t> Prices</a:t>
            </a:r>
            <a:endParaRPr lang="en-US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PutPx</c:v>
          </c:tx>
          <c:marker>
            <c:symbol val="none"/>
          </c:marker>
          <c:cat>
            <c:numRef>
              <c:f>'Black-Scholes Optimize'!$C$205:$C$404</c:f>
              <c:numCache>
                <c:formatCode>#,##0.00</c:formatCode>
                <c:ptCount val="200"/>
                <c:pt idx="0">
                  <c:v>90.1</c:v>
                </c:pt>
                <c:pt idx="1">
                  <c:v>90.199999999999989</c:v>
                </c:pt>
                <c:pt idx="2">
                  <c:v>90.299999999999983</c:v>
                </c:pt>
                <c:pt idx="3">
                  <c:v>90.399999999999977</c:v>
                </c:pt>
                <c:pt idx="4">
                  <c:v>90.499999999999972</c:v>
                </c:pt>
                <c:pt idx="5">
                  <c:v>90.599999999999966</c:v>
                </c:pt>
                <c:pt idx="6">
                  <c:v>90.69999999999996</c:v>
                </c:pt>
                <c:pt idx="7">
                  <c:v>90.799999999999955</c:v>
                </c:pt>
                <c:pt idx="8">
                  <c:v>90.899999999999949</c:v>
                </c:pt>
                <c:pt idx="9">
                  <c:v>90.999999999999943</c:v>
                </c:pt>
                <c:pt idx="10">
                  <c:v>91.099999999999937</c:v>
                </c:pt>
                <c:pt idx="11">
                  <c:v>91.199999999999932</c:v>
                </c:pt>
                <c:pt idx="12">
                  <c:v>91.299999999999926</c:v>
                </c:pt>
                <c:pt idx="13">
                  <c:v>91.39999999999992</c:v>
                </c:pt>
                <c:pt idx="14">
                  <c:v>91.499999999999915</c:v>
                </c:pt>
                <c:pt idx="15">
                  <c:v>91.599999999999909</c:v>
                </c:pt>
                <c:pt idx="16">
                  <c:v>91.699999999999903</c:v>
                </c:pt>
                <c:pt idx="17">
                  <c:v>91.799999999999898</c:v>
                </c:pt>
                <c:pt idx="18">
                  <c:v>91.899999999999892</c:v>
                </c:pt>
                <c:pt idx="19">
                  <c:v>91.999999999999886</c:v>
                </c:pt>
                <c:pt idx="20">
                  <c:v>92.099999999999881</c:v>
                </c:pt>
                <c:pt idx="21">
                  <c:v>92.199999999999875</c:v>
                </c:pt>
                <c:pt idx="22">
                  <c:v>92.299999999999869</c:v>
                </c:pt>
                <c:pt idx="23">
                  <c:v>92.399999999999864</c:v>
                </c:pt>
                <c:pt idx="24">
                  <c:v>92.499999999999858</c:v>
                </c:pt>
                <c:pt idx="25">
                  <c:v>92.599999999999852</c:v>
                </c:pt>
                <c:pt idx="26">
                  <c:v>92.699999999999847</c:v>
                </c:pt>
                <c:pt idx="27">
                  <c:v>92.799999999999841</c:v>
                </c:pt>
                <c:pt idx="28">
                  <c:v>92.899999999999835</c:v>
                </c:pt>
                <c:pt idx="29">
                  <c:v>92.999999999999829</c:v>
                </c:pt>
                <c:pt idx="30">
                  <c:v>93.099999999999824</c:v>
                </c:pt>
                <c:pt idx="31">
                  <c:v>93.199999999999818</c:v>
                </c:pt>
                <c:pt idx="32">
                  <c:v>93.299999999999812</c:v>
                </c:pt>
                <c:pt idx="33">
                  <c:v>93.399999999999807</c:v>
                </c:pt>
                <c:pt idx="34">
                  <c:v>93.499999999999801</c:v>
                </c:pt>
                <c:pt idx="35">
                  <c:v>93.599999999999795</c:v>
                </c:pt>
                <c:pt idx="36">
                  <c:v>93.69999999999979</c:v>
                </c:pt>
                <c:pt idx="37">
                  <c:v>93.799999999999784</c:v>
                </c:pt>
                <c:pt idx="38">
                  <c:v>93.899999999999778</c:v>
                </c:pt>
                <c:pt idx="39">
                  <c:v>93.999999999999773</c:v>
                </c:pt>
                <c:pt idx="40">
                  <c:v>94.099999999999767</c:v>
                </c:pt>
                <c:pt idx="41">
                  <c:v>94.199999999999761</c:v>
                </c:pt>
                <c:pt idx="42">
                  <c:v>94.299999999999756</c:v>
                </c:pt>
                <c:pt idx="43">
                  <c:v>94.39999999999975</c:v>
                </c:pt>
                <c:pt idx="44">
                  <c:v>94.499999999999744</c:v>
                </c:pt>
                <c:pt idx="45">
                  <c:v>94.599999999999739</c:v>
                </c:pt>
                <c:pt idx="46">
                  <c:v>94.699999999999733</c:v>
                </c:pt>
                <c:pt idx="47">
                  <c:v>94.799999999999727</c:v>
                </c:pt>
                <c:pt idx="48">
                  <c:v>94.899999999999721</c:v>
                </c:pt>
                <c:pt idx="49">
                  <c:v>94.999999999999716</c:v>
                </c:pt>
                <c:pt idx="50">
                  <c:v>95.09999999999971</c:v>
                </c:pt>
                <c:pt idx="51">
                  <c:v>95.199999999999704</c:v>
                </c:pt>
                <c:pt idx="52">
                  <c:v>95.299999999999699</c:v>
                </c:pt>
                <c:pt idx="53">
                  <c:v>95.399999999999693</c:v>
                </c:pt>
                <c:pt idx="54">
                  <c:v>95.499999999999687</c:v>
                </c:pt>
                <c:pt idx="55">
                  <c:v>95.599999999999682</c:v>
                </c:pt>
                <c:pt idx="56">
                  <c:v>95.699999999999676</c:v>
                </c:pt>
                <c:pt idx="57">
                  <c:v>95.79999999999967</c:v>
                </c:pt>
                <c:pt idx="58">
                  <c:v>95.899999999999665</c:v>
                </c:pt>
                <c:pt idx="59">
                  <c:v>95.999999999999659</c:v>
                </c:pt>
                <c:pt idx="60">
                  <c:v>96.099999999999653</c:v>
                </c:pt>
                <c:pt idx="61">
                  <c:v>96.199999999999648</c:v>
                </c:pt>
                <c:pt idx="62">
                  <c:v>96.299999999999642</c:v>
                </c:pt>
                <c:pt idx="63">
                  <c:v>96.399999999999636</c:v>
                </c:pt>
                <c:pt idx="64">
                  <c:v>96.499999999999631</c:v>
                </c:pt>
                <c:pt idx="65">
                  <c:v>96.599999999999625</c:v>
                </c:pt>
                <c:pt idx="66">
                  <c:v>96.699999999999619</c:v>
                </c:pt>
                <c:pt idx="67">
                  <c:v>96.799999999999613</c:v>
                </c:pt>
                <c:pt idx="68">
                  <c:v>96.899999999999608</c:v>
                </c:pt>
                <c:pt idx="69">
                  <c:v>96.999999999999602</c:v>
                </c:pt>
                <c:pt idx="70">
                  <c:v>97.099999999999596</c:v>
                </c:pt>
                <c:pt idx="71">
                  <c:v>97.199999999999591</c:v>
                </c:pt>
                <c:pt idx="72">
                  <c:v>97.299999999999585</c:v>
                </c:pt>
                <c:pt idx="73">
                  <c:v>97.399999999999579</c:v>
                </c:pt>
                <c:pt idx="74">
                  <c:v>97.499999999999574</c:v>
                </c:pt>
                <c:pt idx="75">
                  <c:v>97.599999999999568</c:v>
                </c:pt>
                <c:pt idx="76">
                  <c:v>97.699999999999562</c:v>
                </c:pt>
                <c:pt idx="77">
                  <c:v>97.799999999999557</c:v>
                </c:pt>
                <c:pt idx="78">
                  <c:v>97.899999999999551</c:v>
                </c:pt>
                <c:pt idx="79">
                  <c:v>97.999999999999545</c:v>
                </c:pt>
                <c:pt idx="80">
                  <c:v>98.09999999999954</c:v>
                </c:pt>
                <c:pt idx="81">
                  <c:v>98.199999999999534</c:v>
                </c:pt>
                <c:pt idx="82">
                  <c:v>98.299999999999528</c:v>
                </c:pt>
                <c:pt idx="83">
                  <c:v>98.399999999999523</c:v>
                </c:pt>
                <c:pt idx="84">
                  <c:v>98.499999999999517</c:v>
                </c:pt>
                <c:pt idx="85">
                  <c:v>98.599999999999511</c:v>
                </c:pt>
                <c:pt idx="86">
                  <c:v>98.699999999999505</c:v>
                </c:pt>
                <c:pt idx="87">
                  <c:v>98.7999999999995</c:v>
                </c:pt>
                <c:pt idx="88">
                  <c:v>98.899999999999494</c:v>
                </c:pt>
                <c:pt idx="89">
                  <c:v>98.999999999999488</c:v>
                </c:pt>
                <c:pt idx="90">
                  <c:v>99.099999999999483</c:v>
                </c:pt>
                <c:pt idx="91">
                  <c:v>99.199999999999477</c:v>
                </c:pt>
                <c:pt idx="92">
                  <c:v>99.299999999999471</c:v>
                </c:pt>
                <c:pt idx="93">
                  <c:v>99.399999999999466</c:v>
                </c:pt>
                <c:pt idx="94">
                  <c:v>99.49999999999946</c:v>
                </c:pt>
                <c:pt idx="95">
                  <c:v>99.599999999999454</c:v>
                </c:pt>
                <c:pt idx="96">
                  <c:v>99.699999999999449</c:v>
                </c:pt>
                <c:pt idx="97">
                  <c:v>99.799999999999443</c:v>
                </c:pt>
                <c:pt idx="98">
                  <c:v>99.899999999999437</c:v>
                </c:pt>
                <c:pt idx="99">
                  <c:v>99.999999999999432</c:v>
                </c:pt>
                <c:pt idx="100">
                  <c:v>100.09999999999943</c:v>
                </c:pt>
                <c:pt idx="101">
                  <c:v>100.19999999999942</c:v>
                </c:pt>
                <c:pt idx="102">
                  <c:v>100.29999999999941</c:v>
                </c:pt>
                <c:pt idx="103">
                  <c:v>100.39999999999941</c:v>
                </c:pt>
                <c:pt idx="104">
                  <c:v>100.4999999999994</c:v>
                </c:pt>
                <c:pt idx="105">
                  <c:v>100.5999999999994</c:v>
                </c:pt>
                <c:pt idx="106">
                  <c:v>100.69999999999939</c:v>
                </c:pt>
                <c:pt idx="107">
                  <c:v>100.79999999999939</c:v>
                </c:pt>
                <c:pt idx="108">
                  <c:v>100.89999999999938</c:v>
                </c:pt>
                <c:pt idx="109">
                  <c:v>100.99999999999937</c:v>
                </c:pt>
                <c:pt idx="110">
                  <c:v>101.09999999999937</c:v>
                </c:pt>
                <c:pt idx="111">
                  <c:v>101.19999999999936</c:v>
                </c:pt>
                <c:pt idx="112">
                  <c:v>101.29999999999936</c:v>
                </c:pt>
                <c:pt idx="113">
                  <c:v>101.39999999999935</c:v>
                </c:pt>
                <c:pt idx="114">
                  <c:v>101.49999999999935</c:v>
                </c:pt>
                <c:pt idx="115">
                  <c:v>101.59999999999934</c:v>
                </c:pt>
                <c:pt idx="116">
                  <c:v>101.69999999999933</c:v>
                </c:pt>
                <c:pt idx="117">
                  <c:v>101.79999999999933</c:v>
                </c:pt>
                <c:pt idx="118">
                  <c:v>101.89999999999932</c:v>
                </c:pt>
                <c:pt idx="119">
                  <c:v>101.99999999999932</c:v>
                </c:pt>
                <c:pt idx="120">
                  <c:v>102.09999999999931</c:v>
                </c:pt>
                <c:pt idx="121">
                  <c:v>102.19999999999931</c:v>
                </c:pt>
                <c:pt idx="122">
                  <c:v>102.2999999999993</c:v>
                </c:pt>
                <c:pt idx="123">
                  <c:v>102.3999999999993</c:v>
                </c:pt>
                <c:pt idx="124">
                  <c:v>102.49999999999929</c:v>
                </c:pt>
                <c:pt idx="125">
                  <c:v>102.59999999999928</c:v>
                </c:pt>
                <c:pt idx="126">
                  <c:v>102.69999999999928</c:v>
                </c:pt>
                <c:pt idx="127">
                  <c:v>102.79999999999927</c:v>
                </c:pt>
                <c:pt idx="128">
                  <c:v>102.89999999999927</c:v>
                </c:pt>
                <c:pt idx="129">
                  <c:v>102.99999999999926</c:v>
                </c:pt>
                <c:pt idx="130">
                  <c:v>103.09999999999926</c:v>
                </c:pt>
                <c:pt idx="131">
                  <c:v>103.19999999999925</c:v>
                </c:pt>
                <c:pt idx="132">
                  <c:v>103.29999999999924</c:v>
                </c:pt>
                <c:pt idx="133">
                  <c:v>103.39999999999924</c:v>
                </c:pt>
                <c:pt idx="134">
                  <c:v>103.49999999999923</c:v>
                </c:pt>
                <c:pt idx="135">
                  <c:v>103.59999999999923</c:v>
                </c:pt>
                <c:pt idx="136">
                  <c:v>103.69999999999922</c:v>
                </c:pt>
                <c:pt idx="137">
                  <c:v>103.79999999999922</c:v>
                </c:pt>
                <c:pt idx="138">
                  <c:v>103.89999999999921</c:v>
                </c:pt>
                <c:pt idx="139">
                  <c:v>103.9999999999992</c:v>
                </c:pt>
                <c:pt idx="140">
                  <c:v>104.0999999999992</c:v>
                </c:pt>
                <c:pt idx="141">
                  <c:v>104.19999999999919</c:v>
                </c:pt>
                <c:pt idx="142">
                  <c:v>104.29999999999919</c:v>
                </c:pt>
                <c:pt idx="143">
                  <c:v>104.39999999999918</c:v>
                </c:pt>
                <c:pt idx="144">
                  <c:v>104.49999999999918</c:v>
                </c:pt>
                <c:pt idx="145">
                  <c:v>104.59999999999917</c:v>
                </c:pt>
                <c:pt idx="146">
                  <c:v>104.69999999999916</c:v>
                </c:pt>
                <c:pt idx="147">
                  <c:v>104.79999999999916</c:v>
                </c:pt>
                <c:pt idx="148">
                  <c:v>104.89999999999915</c:v>
                </c:pt>
                <c:pt idx="149">
                  <c:v>104.99999999999915</c:v>
                </c:pt>
                <c:pt idx="150">
                  <c:v>105.09999999999914</c:v>
                </c:pt>
                <c:pt idx="151">
                  <c:v>105.19999999999914</c:v>
                </c:pt>
                <c:pt idx="152">
                  <c:v>105.29999999999913</c:v>
                </c:pt>
                <c:pt idx="153">
                  <c:v>105.39999999999912</c:v>
                </c:pt>
                <c:pt idx="154">
                  <c:v>105.49999999999912</c:v>
                </c:pt>
                <c:pt idx="155">
                  <c:v>105.59999999999911</c:v>
                </c:pt>
                <c:pt idx="156">
                  <c:v>105.69999999999911</c:v>
                </c:pt>
                <c:pt idx="157">
                  <c:v>105.7999999999991</c:v>
                </c:pt>
                <c:pt idx="158">
                  <c:v>105.8999999999991</c:v>
                </c:pt>
                <c:pt idx="159">
                  <c:v>105.99999999999909</c:v>
                </c:pt>
                <c:pt idx="160">
                  <c:v>106.09999999999908</c:v>
                </c:pt>
                <c:pt idx="161">
                  <c:v>106.19999999999908</c:v>
                </c:pt>
                <c:pt idx="162">
                  <c:v>106.29999999999907</c:v>
                </c:pt>
                <c:pt idx="163">
                  <c:v>106.39999999999907</c:v>
                </c:pt>
                <c:pt idx="164">
                  <c:v>106.49999999999906</c:v>
                </c:pt>
                <c:pt idx="165">
                  <c:v>106.59999999999906</c:v>
                </c:pt>
                <c:pt idx="166">
                  <c:v>106.69999999999905</c:v>
                </c:pt>
                <c:pt idx="167">
                  <c:v>106.79999999999905</c:v>
                </c:pt>
                <c:pt idx="168">
                  <c:v>106.89999999999904</c:v>
                </c:pt>
                <c:pt idx="169">
                  <c:v>106.99999999999903</c:v>
                </c:pt>
                <c:pt idx="170">
                  <c:v>107.09999999999903</c:v>
                </c:pt>
                <c:pt idx="171">
                  <c:v>107.19999999999902</c:v>
                </c:pt>
                <c:pt idx="172">
                  <c:v>107.29999999999902</c:v>
                </c:pt>
                <c:pt idx="173">
                  <c:v>107.39999999999901</c:v>
                </c:pt>
                <c:pt idx="174">
                  <c:v>107.49999999999901</c:v>
                </c:pt>
                <c:pt idx="175">
                  <c:v>107.599999999999</c:v>
                </c:pt>
                <c:pt idx="176">
                  <c:v>107.69999999999899</c:v>
                </c:pt>
                <c:pt idx="177">
                  <c:v>107.79999999999899</c:v>
                </c:pt>
                <c:pt idx="178">
                  <c:v>107.89999999999898</c:v>
                </c:pt>
                <c:pt idx="179">
                  <c:v>107.99999999999898</c:v>
                </c:pt>
                <c:pt idx="180">
                  <c:v>108.09999999999897</c:v>
                </c:pt>
                <c:pt idx="181">
                  <c:v>108.19999999999897</c:v>
                </c:pt>
                <c:pt idx="182">
                  <c:v>108.29999999999896</c:v>
                </c:pt>
                <c:pt idx="183">
                  <c:v>108.39999999999895</c:v>
                </c:pt>
                <c:pt idx="184">
                  <c:v>108.49999999999895</c:v>
                </c:pt>
                <c:pt idx="185">
                  <c:v>108.59999999999894</c:v>
                </c:pt>
                <c:pt idx="186">
                  <c:v>108.69999999999894</c:v>
                </c:pt>
                <c:pt idx="187">
                  <c:v>108.79999999999893</c:v>
                </c:pt>
                <c:pt idx="188">
                  <c:v>108.89999999999893</c:v>
                </c:pt>
                <c:pt idx="189">
                  <c:v>108.99999999999892</c:v>
                </c:pt>
                <c:pt idx="190">
                  <c:v>109.09999999999891</c:v>
                </c:pt>
                <c:pt idx="191">
                  <c:v>109.19999999999891</c:v>
                </c:pt>
                <c:pt idx="192">
                  <c:v>109.2999999999989</c:v>
                </c:pt>
                <c:pt idx="193">
                  <c:v>109.3999999999989</c:v>
                </c:pt>
                <c:pt idx="194">
                  <c:v>109.49999999999889</c:v>
                </c:pt>
                <c:pt idx="195">
                  <c:v>109.59999999999889</c:v>
                </c:pt>
                <c:pt idx="196">
                  <c:v>109.69999999999888</c:v>
                </c:pt>
                <c:pt idx="197">
                  <c:v>109.79999999999887</c:v>
                </c:pt>
                <c:pt idx="198">
                  <c:v>109.89999999999887</c:v>
                </c:pt>
                <c:pt idx="199">
                  <c:v>109.99999999999886</c:v>
                </c:pt>
              </c:numCache>
            </c:numRef>
          </c:cat>
          <c:val>
            <c:numRef>
              <c:f>'Black-Scholes Optimize'!$J$205:$J$404</c:f>
              <c:numCache>
                <c:formatCode>#,##0.00</c:formatCode>
                <c:ptCount val="200"/>
                <c:pt idx="0">
                  <c:v>10.522540446274633</c:v>
                </c:pt>
                <c:pt idx="1">
                  <c:v>10.4395578463443</c:v>
                </c:pt>
                <c:pt idx="2">
                  <c:v>10.356845773949672</c:v>
                </c:pt>
                <c:pt idx="3">
                  <c:v>10.274406867266208</c:v>
                </c:pt>
                <c:pt idx="4">
                  <c:v>10.192243753429011</c:v>
                </c:pt>
                <c:pt idx="5">
                  <c:v>10.110359047842593</c:v>
                </c:pt>
                <c:pt idx="6">
                  <c:v>10.028755353491661</c:v>
                </c:pt>
                <c:pt idx="7">
                  <c:v>9.9474352602533571</c:v>
                </c:pt>
                <c:pt idx="8">
                  <c:v>9.8664013442112122</c:v>
                </c:pt>
                <c:pt idx="9">
                  <c:v>9.7856561669708384</c:v>
                </c:pt>
                <c:pt idx="10">
                  <c:v>9.7052022749783902</c:v>
                </c:pt>
                <c:pt idx="11">
                  <c:v>9.6250421988413137</c:v>
                </c:pt>
                <c:pt idx="12">
                  <c:v>9.5451784526523795</c:v>
                </c:pt>
                <c:pt idx="13">
                  <c:v>9.4656135333166276</c:v>
                </c:pt>
                <c:pt idx="14">
                  <c:v>9.3863499198824485</c:v>
                </c:pt>
                <c:pt idx="15">
                  <c:v>9.3073900728763306</c:v>
                </c:pt>
                <c:pt idx="16">
                  <c:v>9.2287364336417994</c:v>
                </c:pt>
                <c:pt idx="17">
                  <c:v>9.1503914236832458</c:v>
                </c:pt>
                <c:pt idx="18">
                  <c:v>9.0723574440143864</c:v>
                </c:pt>
                <c:pt idx="19">
                  <c:v>8.9946368745121106</c:v>
                </c:pt>
                <c:pt idx="20">
                  <c:v>8.9172320732757129</c:v>
                </c:pt>
                <c:pt idx="21">
                  <c:v>8.8401453759920514</c:v>
                </c:pt>
                <c:pt idx="22">
                  <c:v>8.7633790953068313</c:v>
                </c:pt>
                <c:pt idx="23">
                  <c:v>8.6869355202022263</c:v>
                </c:pt>
                <c:pt idx="24">
                  <c:v>8.6108169153812497</c:v>
                </c:pt>
                <c:pt idx="25">
                  <c:v>8.535025520659147</c:v>
                </c:pt>
                <c:pt idx="26">
                  <c:v>8.4595635503621622</c:v>
                </c:pt>
                <c:pt idx="27">
                  <c:v>8.3844331927333684</c:v>
                </c:pt>
                <c:pt idx="28">
                  <c:v>8.3096366093472795</c:v>
                </c:pt>
                <c:pt idx="29">
                  <c:v>8.2351759345315685</c:v>
                </c:pt>
                <c:pt idx="30">
                  <c:v>8.1610532747979221</c:v>
                </c:pt>
                <c:pt idx="31">
                  <c:v>8.0872707082808688</c:v>
                </c:pt>
                <c:pt idx="32">
                  <c:v>8.0138302841861275</c:v>
                </c:pt>
                <c:pt idx="33">
                  <c:v>7.9407340222475398</c:v>
                </c:pt>
                <c:pt idx="34">
                  <c:v>7.8679839121938357</c:v>
                </c:pt>
                <c:pt idx="35">
                  <c:v>7.7955819132245381</c:v>
                </c:pt>
                <c:pt idx="36">
                  <c:v>7.7235299534961257</c:v>
                </c:pt>
                <c:pt idx="37">
                  <c:v>7.6518299296181453</c:v>
                </c:pt>
                <c:pt idx="38">
                  <c:v>7.580483706159356</c:v>
                </c:pt>
                <c:pt idx="39">
                  <c:v>7.5094931151647302</c:v>
                </c:pt>
                <c:pt idx="40">
                  <c:v>7.4388599556829149</c:v>
                </c:pt>
                <c:pt idx="41">
                  <c:v>7.3685859933047055</c:v>
                </c:pt>
                <c:pt idx="42">
                  <c:v>7.2986729597125901</c:v>
                </c:pt>
                <c:pt idx="43">
                  <c:v>7.2291225522415488</c:v>
                </c:pt>
                <c:pt idx="44">
                  <c:v>7.1599364334511364</c:v>
                </c:pt>
                <c:pt idx="45">
                  <c:v>7.0911162307097158</c:v>
                </c:pt>
                <c:pt idx="46">
                  <c:v>7.0226635357899312</c:v>
                </c:pt>
                <c:pt idx="47">
                  <c:v>6.9545799044763754</c:v>
                </c:pt>
                <c:pt idx="48">
                  <c:v>6.886866856185236</c:v>
                </c:pt>
                <c:pt idx="49">
                  <c:v>6.8195258735964757</c:v>
                </c:pt>
                <c:pt idx="50">
                  <c:v>6.7525584022980283</c:v>
                </c:pt>
                <c:pt idx="51">
                  <c:v>6.6859658504426704</c:v>
                </c:pt>
                <c:pt idx="52">
                  <c:v>6.619749588417541</c:v>
                </c:pt>
                <c:pt idx="53">
                  <c:v>6.5539109485264078</c:v>
                </c:pt>
                <c:pt idx="54">
                  <c:v>6.4884512246846242</c:v>
                </c:pt>
                <c:pt idx="55">
                  <c:v>6.4233716721273169</c:v>
                </c:pt>
                <c:pt idx="56">
                  <c:v>6.3586735071302058</c:v>
                </c:pt>
                <c:pt idx="57">
                  <c:v>6.2943579067440822</c:v>
                </c:pt>
                <c:pt idx="58">
                  <c:v>6.2304260085418406</c:v>
                </c:pt>
                <c:pt idx="59">
                  <c:v>6.16687891037936</c:v>
                </c:pt>
                <c:pt idx="60">
                  <c:v>6.1037176701693667</c:v>
                </c:pt>
                <c:pt idx="61">
                  <c:v>6.0409433056687689</c:v>
                </c:pt>
                <c:pt idx="62">
                  <c:v>5.9785567942793136</c:v>
                </c:pt>
                <c:pt idx="63">
                  <c:v>5.9165590728618795</c:v>
                </c:pt>
                <c:pt idx="64">
                  <c:v>5.8549510375642981</c:v>
                </c:pt>
                <c:pt idx="65">
                  <c:v>5.7937335436623272</c:v>
                </c:pt>
                <c:pt idx="66">
                  <c:v>5.7329074054145153</c:v>
                </c:pt>
                <c:pt idx="67">
                  <c:v>5.6724733959304316</c:v>
                </c:pt>
                <c:pt idx="68">
                  <c:v>5.6124322470525314</c:v>
                </c:pt>
                <c:pt idx="69">
                  <c:v>5.5527846492514357</c:v>
                </c:pt>
                <c:pt idx="70">
                  <c:v>5.4935312515348116</c:v>
                </c:pt>
                <c:pt idx="71">
                  <c:v>5.4346726613697243</c:v>
                </c:pt>
                <c:pt idx="72">
                  <c:v>5.3762094446184605</c:v>
                </c:pt>
                <c:pt idx="73">
                  <c:v>5.318142125487789</c:v>
                </c:pt>
                <c:pt idx="74">
                  <c:v>5.2604711864915004</c:v>
                </c:pt>
                <c:pt idx="75">
                  <c:v>5.2031970684266113</c:v>
                </c:pt>
                <c:pt idx="76">
                  <c:v>5.146320170362408</c:v>
                </c:pt>
                <c:pt idx="77">
                  <c:v>5.0898408496430747</c:v>
                </c:pt>
                <c:pt idx="78">
                  <c:v>5.0337594219032837</c:v>
                </c:pt>
                <c:pt idx="79">
                  <c:v>4.9780761610970288</c:v>
                </c:pt>
                <c:pt idx="80">
                  <c:v>4.9227912995390852</c:v>
                </c:pt>
                <c:pt idx="81">
                  <c:v>4.8679050279599707</c:v>
                </c:pt>
                <c:pt idx="82">
                  <c:v>4.8134174955732618</c:v>
                </c:pt>
                <c:pt idx="83">
                  <c:v>4.7593288101556794</c:v>
                </c:pt>
                <c:pt idx="84">
                  <c:v>4.7056390381399993</c:v>
                </c:pt>
                <c:pt idx="85">
                  <c:v>4.652348204720262</c:v>
                </c:pt>
                <c:pt idx="86">
                  <c:v>4.5994562939693466</c:v>
                </c:pt>
                <c:pt idx="87">
                  <c:v>4.5469632489690852</c:v>
                </c:pt>
                <c:pt idx="88">
                  <c:v>4.4948689719520445</c:v>
                </c:pt>
                <c:pt idx="89">
                  <c:v>4.4431733244557421</c:v>
                </c:pt>
                <c:pt idx="90">
                  <c:v>4.3918761274884233</c:v>
                </c:pt>
                <c:pt idx="91">
                  <c:v>4.340977161706661</c:v>
                </c:pt>
                <c:pt idx="92">
                  <c:v>4.2904761676045666</c:v>
                </c:pt>
                <c:pt idx="93">
                  <c:v>4.2403728457142336</c:v>
                </c:pt>
                <c:pt idx="94">
                  <c:v>4.1906668568175718</c:v>
                </c:pt>
                <c:pt idx="95">
                  <c:v>4.1413578221692404</c:v>
                </c:pt>
                <c:pt idx="96">
                  <c:v>4.0924453237303808</c:v>
                </c:pt>
                <c:pt idx="97">
                  <c:v>4.0439289044130575</c:v>
                </c:pt>
                <c:pt idx="98">
                  <c:v>3.9958080683355774</c:v>
                </c:pt>
                <c:pt idx="99">
                  <c:v>3.9480822810877996</c:v>
                </c:pt>
                <c:pt idx="100">
                  <c:v>3.9007509700071026</c:v>
                </c:pt>
                <c:pt idx="101">
                  <c:v>3.8538135244632699</c:v>
                </c:pt>
                <c:pt idx="102">
                  <c:v>3.8072692961551979</c:v>
                </c:pt>
                <c:pt idx="103">
                  <c:v>3.7611175994152575</c:v>
                </c:pt>
                <c:pt idx="104">
                  <c:v>3.7153577115241703</c:v>
                </c:pt>
                <c:pt idx="105">
                  <c:v>3.6699888730347396</c:v>
                </c:pt>
                <c:pt idx="106">
                  <c:v>3.6250102881047397</c:v>
                </c:pt>
                <c:pt idx="107">
                  <c:v>3.5804211248386295</c:v>
                </c:pt>
                <c:pt idx="108">
                  <c:v>3.5362205156378508</c:v>
                </c:pt>
                <c:pt idx="109">
                  <c:v>3.4924075575595026</c:v>
                </c:pt>
                <c:pt idx="110">
                  <c:v>3.4489813126832942</c:v>
                </c:pt>
                <c:pt idx="111">
                  <c:v>3.4059408084864131</c:v>
                </c:pt>
                <c:pt idx="112">
                  <c:v>3.363285038226131</c:v>
                </c:pt>
                <c:pt idx="113">
                  <c:v>3.3210129613300765</c:v>
                </c:pt>
                <c:pt idx="114">
                  <c:v>3.2791235037936346</c:v>
                </c:pt>
                <c:pt idx="115">
                  <c:v>3.2376155585847428</c:v>
                </c:pt>
                <c:pt idx="116">
                  <c:v>3.1964879860551605</c:v>
                </c:pt>
                <c:pt idx="117">
                  <c:v>3.1557396143588079</c:v>
                </c:pt>
                <c:pt idx="118">
                  <c:v>3.1153692398762587</c:v>
                </c:pt>
                <c:pt idx="119">
                  <c:v>3.0753756276455562</c:v>
                </c:pt>
                <c:pt idx="120">
                  <c:v>3.0357575117989768</c:v>
                </c:pt>
                <c:pt idx="121">
                  <c:v>2.9965135960055065</c:v>
                </c:pt>
                <c:pt idx="122">
                  <c:v>2.9576425539189799</c:v>
                </c:pt>
                <c:pt idx="123">
                  <c:v>2.919143029631293</c:v>
                </c:pt>
                <c:pt idx="124">
                  <c:v>2.8810136381308951</c:v>
                </c:pt>
                <c:pt idx="125">
                  <c:v>2.8432529657659771</c:v>
                </c:pt>
                <c:pt idx="126">
                  <c:v>2.8058595707123644</c:v>
                </c:pt>
                <c:pt idx="127">
                  <c:v>2.7688319834457502</c:v>
                </c:pt>
                <c:pt idx="128">
                  <c:v>2.7321687072180509</c:v>
                </c:pt>
                <c:pt idx="129">
                  <c:v>2.695868218537754</c:v>
                </c:pt>
                <c:pt idx="130">
                  <c:v>2.6599289676539684</c:v>
                </c:pt>
                <c:pt idx="131">
                  <c:v>2.624349379043899</c:v>
                </c:pt>
                <c:pt idx="132">
                  <c:v>2.5891278519035765</c:v>
                </c:pt>
                <c:pt idx="133">
                  <c:v>2.5542627606417412</c:v>
                </c:pt>
                <c:pt idx="134">
                  <c:v>2.5197524553763344</c:v>
                </c:pt>
                <c:pt idx="135">
                  <c:v>2.4855952624337334</c:v>
                </c:pt>
                <c:pt idx="136">
                  <c:v>2.4517894848503303</c:v>
                </c:pt>
                <c:pt idx="137">
                  <c:v>2.418333402876172</c:v>
                </c:pt>
                <c:pt idx="138">
                  <c:v>2.3852252744805824</c:v>
                </c:pt>
                <c:pt idx="139">
                  <c:v>2.3524633358596105</c:v>
                </c:pt>
                <c:pt idx="140">
                  <c:v>2.3200458019448007</c:v>
                </c:pt>
                <c:pt idx="141">
                  <c:v>2.2879708669133123</c:v>
                </c:pt>
                <c:pt idx="142">
                  <c:v>2.2562367046992335</c:v>
                </c:pt>
                <c:pt idx="143">
                  <c:v>2.2248414695056269</c:v>
                </c:pt>
                <c:pt idx="144">
                  <c:v>2.1937832963173278</c:v>
                </c:pt>
                <c:pt idx="145">
                  <c:v>2.1630603014141911</c:v>
                </c:pt>
                <c:pt idx="146">
                  <c:v>2.1326705828845469</c:v>
                </c:pt>
                <c:pt idx="147">
                  <c:v>2.1026122211388696</c:v>
                </c:pt>
                <c:pt idx="148">
                  <c:v>2.0728832794231735</c:v>
                </c:pt>
                <c:pt idx="149">
                  <c:v>2.043481804332135</c:v>
                </c:pt>
                <c:pt idx="150">
                  <c:v>2.0144058263217559</c:v>
                </c:pt>
                <c:pt idx="151">
                  <c:v>1.9856533602212778</c:v>
                </c:pt>
                <c:pt idx="152">
                  <c:v>1.9572224057442149</c:v>
                </c:pt>
                <c:pt idx="153">
                  <c:v>1.9291109479983355</c:v>
                </c:pt>
                <c:pt idx="154">
                  <c:v>1.9013169579943714</c:v>
                </c:pt>
                <c:pt idx="155">
                  <c:v>1.8738383931534131</c:v>
                </c:pt>
                <c:pt idx="156">
                  <c:v>1.8466731978125708</c:v>
                </c:pt>
                <c:pt idx="157">
                  <c:v>1.8198193037289023</c:v>
                </c:pt>
                <c:pt idx="158">
                  <c:v>1.7932746305815286</c:v>
                </c:pt>
                <c:pt idx="159">
                  <c:v>1.7670370864714968</c:v>
                </c:pt>
                <c:pt idx="160">
                  <c:v>1.7411045684194981</c:v>
                </c:pt>
                <c:pt idx="161">
                  <c:v>1.7154749628611299</c:v>
                </c:pt>
                <c:pt idx="162">
                  <c:v>1.6901461461395861</c:v>
                </c:pt>
                <c:pt idx="163">
                  <c:v>1.6651159849956869</c:v>
                </c:pt>
                <c:pt idx="164">
                  <c:v>1.6403823370549304</c:v>
                </c:pt>
                <c:pt idx="165">
                  <c:v>1.6159430513116604</c:v>
                </c:pt>
                <c:pt idx="166">
                  <c:v>1.5917959686100716</c:v>
                </c:pt>
                <c:pt idx="167">
                  <c:v>1.5679389221217939</c:v>
                </c:pt>
                <c:pt idx="168">
                  <c:v>1.5443697378202401</c:v>
                </c:pt>
                <c:pt idx="169">
                  <c:v>1.5210862349513086</c:v>
                </c:pt>
                <c:pt idx="170">
                  <c:v>1.4980862265004014</c:v>
                </c:pt>
                <c:pt idx="171">
                  <c:v>1.4753675196556806</c:v>
                </c:pt>
                <c:pt idx="172">
                  <c:v>1.45292791626742</c:v>
                </c:pt>
                <c:pt idx="173">
                  <c:v>1.4307652133032782</c:v>
                </c:pt>
                <c:pt idx="174">
                  <c:v>1.4088772032994505</c:v>
                </c:pt>
                <c:pt idx="175">
                  <c:v>1.3872616748075899</c:v>
                </c:pt>
                <c:pt idx="176">
                  <c:v>1.3659164128372865</c:v>
                </c:pt>
                <c:pt idx="177">
                  <c:v>1.3448391992942135</c:v>
                </c:pt>
                <c:pt idx="178">
                  <c:v>1.3240278134136396</c:v>
                </c:pt>
                <c:pt idx="179">
                  <c:v>1.3034800321891922</c:v>
                </c:pt>
                <c:pt idx="180">
                  <c:v>1.2831936307971361</c:v>
                </c:pt>
                <c:pt idx="181">
                  <c:v>1.2631663830155411</c:v>
                </c:pt>
                <c:pt idx="182">
                  <c:v>1.2433960616386805</c:v>
                </c:pt>
                <c:pt idx="183">
                  <c:v>1.2238804388864928</c:v>
                </c:pt>
                <c:pt idx="184">
                  <c:v>1.2046172868087233</c:v>
                </c:pt>
                <c:pt idx="185">
                  <c:v>1.1856043776842498</c:v>
                </c:pt>
                <c:pt idx="186">
                  <c:v>1.1668394844149113</c:v>
                </c:pt>
                <c:pt idx="187">
                  <c:v>1.148320380914214</c:v>
                </c:pt>
                <c:pt idx="188">
                  <c:v>1.1300448424906371</c:v>
                </c:pt>
                <c:pt idx="189">
                  <c:v>1.1120106462255386</c:v>
                </c:pt>
                <c:pt idx="190">
                  <c:v>1.094215571345611</c:v>
                </c:pt>
                <c:pt idx="191">
                  <c:v>1.0766573995897843</c:v>
                </c:pt>
                <c:pt idx="192">
                  <c:v>1.0593339155706332</c:v>
                </c:pt>
                <c:pt idx="193">
                  <c:v>1.0422429071300812</c:v>
                </c:pt>
                <c:pt idx="194">
                  <c:v>1.0253821656895781</c:v>
                </c:pt>
                <c:pt idx="195">
                  <c:v>1.0087494865944109</c:v>
                </c:pt>
                <c:pt idx="196">
                  <c:v>0.9923426694524764</c:v>
                </c:pt>
                <c:pt idx="197">
                  <c:v>0.97615951846711724</c:v>
                </c:pt>
                <c:pt idx="198">
                  <c:v>0.96019784276429121</c:v>
                </c:pt>
                <c:pt idx="199">
                  <c:v>0.94445545671385034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675648"/>
        <c:axId val="881677440"/>
      </c:lineChart>
      <c:catAx>
        <c:axId val="881675648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881677440"/>
        <c:crosses val="autoZero"/>
        <c:auto val="1"/>
        <c:lblAlgn val="ctr"/>
        <c:lblOffset val="100"/>
        <c:tickMarkSkip val="10"/>
        <c:noMultiLvlLbl val="0"/>
      </c:catAx>
      <c:valAx>
        <c:axId val="88167744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881675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/>
              <a:t>European IR Swaption</a:t>
            </a:r>
            <a:r>
              <a:rPr lang="en-US" sz="1600" b="0" baseline="0"/>
              <a:t> Prices</a:t>
            </a:r>
            <a:endParaRPr lang="en-US" sz="1600" b="0"/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Swaption!$B$7</c:f>
              <c:strCache>
                <c:ptCount val="1"/>
                <c:pt idx="0">
                  <c:v>SwapRate</c:v>
                </c:pt>
              </c:strCache>
            </c:strRef>
          </c:tx>
          <c:marker>
            <c:symbol val="none"/>
          </c:marker>
          <c:cat>
            <c:numRef>
              <c:f>Swaption!$C$7:$M$7</c:f>
              <c:numCache>
                <c:formatCode>0.00%</c:formatCode>
                <c:ptCount val="11"/>
                <c:pt idx="0">
                  <c:v>1.4999999999999996E-3</c:v>
                </c:pt>
                <c:pt idx="1">
                  <c:v>1.5999999999999996E-3</c:v>
                </c:pt>
                <c:pt idx="2">
                  <c:v>1.6999999999999997E-3</c:v>
                </c:pt>
                <c:pt idx="3">
                  <c:v>1.8E-3</c:v>
                </c:pt>
                <c:pt idx="4">
                  <c:v>1.9E-3</c:v>
                </c:pt>
                <c:pt idx="5">
                  <c:v>2E-3</c:v>
                </c:pt>
                <c:pt idx="6">
                  <c:v>2.1000000000000003E-3</c:v>
                </c:pt>
                <c:pt idx="7">
                  <c:v>2.2000000000000001E-3</c:v>
                </c:pt>
                <c:pt idx="8">
                  <c:v>2.3000000000000004E-3</c:v>
                </c:pt>
                <c:pt idx="9">
                  <c:v>2.4000000000000002E-3</c:v>
                </c:pt>
                <c:pt idx="10">
                  <c:v>2.5000000000000005E-3</c:v>
                </c:pt>
              </c:numCache>
            </c:numRef>
          </c:cat>
          <c:val>
            <c:numRef>
              <c:f>Swaption!$C$13:$M$13</c:f>
              <c:numCache>
                <c:formatCode>#,##0.00</c:formatCode>
                <c:ptCount val="11"/>
                <c:pt idx="0">
                  <c:v>0.50742901084041636</c:v>
                </c:pt>
                <c:pt idx="1">
                  <c:v>3.9914343421842515</c:v>
                </c:pt>
                <c:pt idx="2">
                  <c:v>20.16873279726509</c:v>
                </c:pt>
                <c:pt idx="3">
                  <c:v>71.238089607366874</c:v>
                </c:pt>
                <c:pt idx="4">
                  <c:v>188.80632480607258</c:v>
                </c:pt>
                <c:pt idx="5">
                  <c:v>398.77611676744965</c:v>
                </c:pt>
                <c:pt idx="6">
                  <c:v>706.40191378988357</c:v>
                </c:pt>
                <c:pt idx="7">
                  <c:v>1095.3947391857221</c:v>
                </c:pt>
                <c:pt idx="8">
                  <c:v>1539.4938837716431</c:v>
                </c:pt>
                <c:pt idx="9">
                  <c:v>2014.7332263256972</c:v>
                </c:pt>
                <c:pt idx="10">
                  <c:v>2504.9892929277321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693824"/>
        <c:axId val="881695360"/>
      </c:lineChart>
      <c:catAx>
        <c:axId val="881693824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881695360"/>
        <c:crosses val="autoZero"/>
        <c:auto val="1"/>
        <c:lblAlgn val="ctr"/>
        <c:lblOffset val="100"/>
        <c:noMultiLvlLbl val="0"/>
      </c:catAx>
      <c:valAx>
        <c:axId val="88169536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881693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9</xdr:row>
      <xdr:rowOff>71437</xdr:rowOff>
    </xdr:from>
    <xdr:to>
      <xdr:col>4</xdr:col>
      <xdr:colOff>152400</xdr:colOff>
      <xdr:row>21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24</xdr:row>
      <xdr:rowOff>57150</xdr:rowOff>
    </xdr:from>
    <xdr:to>
      <xdr:col>4</xdr:col>
      <xdr:colOff>171450</xdr:colOff>
      <xdr:row>36</xdr:row>
      <xdr:rowOff>119063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9</xdr:row>
      <xdr:rowOff>61912</xdr:rowOff>
    </xdr:from>
    <xdr:to>
      <xdr:col>9</xdr:col>
      <xdr:colOff>428625</xdr:colOff>
      <xdr:row>21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20</xdr:col>
      <xdr:colOff>542925</xdr:colOff>
      <xdr:row>21</xdr:row>
      <xdr:rowOff>80963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15</xdr:col>
      <xdr:colOff>266700</xdr:colOff>
      <xdr:row>21</xdr:row>
      <xdr:rowOff>61913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15</xdr:col>
      <xdr:colOff>266700</xdr:colOff>
      <xdr:row>36</xdr:row>
      <xdr:rowOff>61913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2</xdr:row>
      <xdr:rowOff>23811</xdr:rowOff>
    </xdr:from>
    <xdr:to>
      <xdr:col>20</xdr:col>
      <xdr:colOff>600075</xdr:colOff>
      <xdr:row>20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22</xdr:row>
      <xdr:rowOff>19050</xdr:rowOff>
    </xdr:from>
    <xdr:to>
      <xdr:col>5</xdr:col>
      <xdr:colOff>123825</xdr:colOff>
      <xdr:row>33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10</xdr:col>
      <xdr:colOff>314325</xdr:colOff>
      <xdr:row>33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15</xdr:col>
      <xdr:colOff>409575</xdr:colOff>
      <xdr:row>33</xdr:row>
      <xdr:rowOff>28575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34</xdr:row>
      <xdr:rowOff>9525</xdr:rowOff>
    </xdr:from>
    <xdr:to>
      <xdr:col>5</xdr:col>
      <xdr:colOff>123825</xdr:colOff>
      <xdr:row>45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10</xdr:col>
      <xdr:colOff>314325</xdr:colOff>
      <xdr:row>45</xdr:row>
      <xdr:rowOff>28575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15</xdr:col>
      <xdr:colOff>409575</xdr:colOff>
      <xdr:row>45</xdr:row>
      <xdr:rowOff>28575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23812</xdr:rowOff>
    </xdr:from>
    <xdr:to>
      <xdr:col>11</xdr:col>
      <xdr:colOff>600075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3</xdr:row>
      <xdr:rowOff>166687</xdr:rowOff>
    </xdr:from>
    <xdr:to>
      <xdr:col>20</xdr:col>
      <xdr:colOff>295275</xdr:colOff>
      <xdr:row>18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20</xdr:row>
      <xdr:rowOff>14287</xdr:rowOff>
    </xdr:from>
    <xdr:to>
      <xdr:col>20</xdr:col>
      <xdr:colOff>314325</xdr:colOff>
      <xdr:row>34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9524</xdr:colOff>
      <xdr:row>1</xdr:row>
      <xdr:rowOff>128587</xdr:rowOff>
    </xdr:from>
    <xdr:to>
      <xdr:col>22</xdr:col>
      <xdr:colOff>609599</xdr:colOff>
      <xdr:row>22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T428"/>
  <sheetViews>
    <sheetView showGridLines="0" workbookViewId="0"/>
  </sheetViews>
  <sheetFormatPr defaultRowHeight="15" x14ac:dyDescent="0.25"/>
  <cols>
    <col min="2" max="3" width="15.7109375" customWidth="1"/>
    <col min="4" max="4" width="9.140625" customWidth="1"/>
    <col min="7" max="7" width="12.7109375" customWidth="1"/>
    <col min="8" max="8" width="16.42578125" bestFit="1" customWidth="1"/>
    <col min="9" max="9" width="12.7109375" customWidth="1"/>
    <col min="13" max="13" width="17.5703125" customWidth="1"/>
    <col min="14" max="14" width="14.7109375" bestFit="1" customWidth="1"/>
    <col min="15" max="16" width="12.7109375" customWidth="1"/>
    <col min="18" max="18" width="12.7109375" customWidth="1"/>
    <col min="19" max="19" width="16.5703125" bestFit="1" customWidth="1"/>
  </cols>
  <sheetData>
    <row r="3" spans="2:20" x14ac:dyDescent="0.25">
      <c r="B3" s="4" t="s">
        <v>2</v>
      </c>
      <c r="G3" s="4" t="s">
        <v>3</v>
      </c>
      <c r="M3" s="4" t="s">
        <v>4</v>
      </c>
      <c r="R3" s="4" t="s">
        <v>7</v>
      </c>
    </row>
    <row r="4" spans="2:20" x14ac:dyDescent="0.25">
      <c r="B4" s="6" t="s">
        <v>5</v>
      </c>
      <c r="C4" s="5">
        <v>0</v>
      </c>
      <c r="G4" s="6" t="s">
        <v>5</v>
      </c>
      <c r="H4" s="5">
        <v>0</v>
      </c>
      <c r="M4" s="6" t="s">
        <v>5</v>
      </c>
      <c r="N4" s="5">
        <v>0</v>
      </c>
      <c r="O4" s="5"/>
      <c r="R4" s="6" t="s">
        <v>5</v>
      </c>
      <c r="S4" s="5">
        <v>0</v>
      </c>
    </row>
    <row r="5" spans="2:20" x14ac:dyDescent="0.25">
      <c r="B5" s="6" t="s">
        <v>6</v>
      </c>
      <c r="C5" s="5">
        <v>1</v>
      </c>
      <c r="G5" s="6" t="s">
        <v>6</v>
      </c>
      <c r="H5" s="5">
        <v>1</v>
      </c>
      <c r="J5" s="15" t="s">
        <v>9</v>
      </c>
      <c r="M5" s="6" t="s">
        <v>6</v>
      </c>
      <c r="N5" s="5">
        <v>1</v>
      </c>
      <c r="O5" s="5"/>
      <c r="R5" s="6" t="s">
        <v>6</v>
      </c>
      <c r="S5" s="5">
        <v>1</v>
      </c>
    </row>
    <row r="6" spans="2:20" x14ac:dyDescent="0.25">
      <c r="B6" s="4"/>
      <c r="C6" s="16"/>
      <c r="G6" s="4"/>
      <c r="M6" s="4"/>
      <c r="R6" s="4"/>
    </row>
    <row r="7" spans="2:20" x14ac:dyDescent="0.25">
      <c r="B7" s="2" t="s">
        <v>13</v>
      </c>
      <c r="C7" s="2" t="s">
        <v>11</v>
      </c>
      <c r="D7" s="19" t="s">
        <v>12</v>
      </c>
      <c r="G7" s="2" t="s">
        <v>1</v>
      </c>
      <c r="H7" s="2" t="s">
        <v>13</v>
      </c>
      <c r="I7" s="2"/>
      <c r="J7" s="9" t="s">
        <v>0</v>
      </c>
      <c r="K7" s="14" t="s">
        <v>8</v>
      </c>
      <c r="M7" s="2" t="s">
        <v>14</v>
      </c>
      <c r="N7" s="2" t="s">
        <v>11</v>
      </c>
      <c r="O7" s="19" t="s">
        <v>12</v>
      </c>
      <c r="P7" s="13" t="s">
        <v>8</v>
      </c>
      <c r="R7" s="2" t="s">
        <v>1</v>
      </c>
      <c r="S7" s="2" t="s">
        <v>14</v>
      </c>
      <c r="T7" s="13" t="s">
        <v>8</v>
      </c>
    </row>
    <row r="8" spans="2:20" x14ac:dyDescent="0.25">
      <c r="B8" s="1">
        <v>-10</v>
      </c>
      <c r="C8" s="3">
        <f ca="1">_xll.meMathNormalDistributionStandard(B8)</f>
        <v>7.6198530241605255E-24</v>
      </c>
      <c r="D8" s="20">
        <f ca="1">_xll.meMathNormalDistributionPDF(B8)</f>
        <v>7.6945986267064199E-23</v>
      </c>
      <c r="G8" s="7">
        <v>0</v>
      </c>
      <c r="H8" s="3">
        <f ca="1">_xll.meMathNormalDistributionStandardInverse(G8)</f>
        <v>-10</v>
      </c>
      <c r="I8" s="3"/>
      <c r="J8" s="10" t="s">
        <v>10</v>
      </c>
      <c r="K8" s="11" t="s">
        <v>10</v>
      </c>
      <c r="M8" s="1">
        <v>-10</v>
      </c>
      <c r="N8" s="3">
        <f ca="1">_xll.meMathNormalDistribution(M8,$N$4,$N$5)</f>
        <v>7.6198530241605255E-24</v>
      </c>
      <c r="O8" s="20">
        <f ca="1">_xll.meMathNormalDistributionPDF(M8,$N$4,$N$5)</f>
        <v>7.6945986267064199E-23</v>
      </c>
      <c r="P8" s="8" t="b">
        <f t="shared" ref="P8:P39" ca="1" si="0">C8=N8</f>
        <v>1</v>
      </c>
      <c r="R8" s="7">
        <v>0</v>
      </c>
      <c r="S8" s="3">
        <f ca="1">_xll.meMathNormalDistributionInverse(R8,$S$4,$S$5)</f>
        <v>-10</v>
      </c>
      <c r="T8" s="12" t="b">
        <f ca="1">S8=H8</f>
        <v>1</v>
      </c>
    </row>
    <row r="9" spans="2:20" x14ac:dyDescent="0.25">
      <c r="B9" s="1">
        <v>-9.9</v>
      </c>
      <c r="C9" s="3">
        <f ca="1">_xll.meMathNormalDistributionStandard(B9)</f>
        <v>2.0813752194932082E-23</v>
      </c>
      <c r="D9" s="20">
        <f ca="1">_xll.meMathNormalDistributionPDF(B9)</f>
        <v>2.0811768202028245E-22</v>
      </c>
      <c r="G9" s="7">
        <v>5.0000000000000001E-3</v>
      </c>
      <c r="H9" s="3">
        <f ca="1">_xll.meMathNormalDistributionStandardInverse(G9)</f>
        <v>-2.5758293035489008</v>
      </c>
      <c r="I9" s="3"/>
      <c r="J9" s="9">
        <f t="shared" ref="J9:J40" si="1">NORMSINV(G9)</f>
        <v>-2.5758293035488999</v>
      </c>
      <c r="K9" s="17">
        <f t="shared" ref="K9:K40" ca="1" si="2">H9-J9</f>
        <v>0</v>
      </c>
      <c r="M9" s="1">
        <v>-9.9</v>
      </c>
      <c r="N9" s="3">
        <f ca="1">_xll.meMathNormalDistribution(M9,$N$4,$N$5)</f>
        <v>2.0813752194932082E-23</v>
      </c>
      <c r="O9" s="20">
        <f ca="1">_xll.meMathNormalDistributionPDF(M9,$N$4,$N$5)</f>
        <v>2.0811768202028245E-22</v>
      </c>
      <c r="P9" s="8" t="b">
        <f t="shared" ca="1" si="0"/>
        <v>1</v>
      </c>
      <c r="R9" s="7">
        <v>5.0000000000000001E-3</v>
      </c>
      <c r="S9" s="3">
        <f ca="1">_xll.meMathNormalDistributionInverse(R9,$S$4,$S$5)</f>
        <v>-2.5758293035489008</v>
      </c>
      <c r="T9" s="12" t="b">
        <f t="shared" ref="T9:T72" ca="1" si="3">S9=H9</f>
        <v>1</v>
      </c>
    </row>
    <row r="10" spans="2:20" x14ac:dyDescent="0.25">
      <c r="B10" s="1">
        <v>-9.8000000000000007</v>
      </c>
      <c r="C10" s="3">
        <f ca="1">_xll.meMathNormalDistributionStandard(B10)</f>
        <v>5.6292823113765143E-23</v>
      </c>
      <c r="D10" s="20">
        <f ca="1">_xll.meMathNormalDistributionPDF(B10)</f>
        <v>5.5730000227206912E-22</v>
      </c>
      <c r="G10" s="7">
        <v>0.01</v>
      </c>
      <c r="H10" s="3">
        <f ca="1">_xll.meMathNormalDistributionStandardInverse(G10)</f>
        <v>-2.3263478740408412</v>
      </c>
      <c r="I10" s="3"/>
      <c r="J10" s="9">
        <f t="shared" si="1"/>
        <v>-2.3263478740408408</v>
      </c>
      <c r="K10" s="17">
        <f t="shared" ca="1" si="2"/>
        <v>0</v>
      </c>
      <c r="M10" s="1">
        <v>-9.8000000000000007</v>
      </c>
      <c r="N10" s="3">
        <f ca="1">_xll.meMathNormalDistribution(M10,$N$4,$N$5)</f>
        <v>5.6292823113765143E-23</v>
      </c>
      <c r="O10" s="20">
        <f ca="1">_xll.meMathNormalDistributionPDF(M10,$N$4,$N$5)</f>
        <v>5.5730000227206912E-22</v>
      </c>
      <c r="P10" s="8" t="b">
        <f t="shared" ca="1" si="0"/>
        <v>1</v>
      </c>
      <c r="R10" s="7">
        <v>0.01</v>
      </c>
      <c r="S10" s="3">
        <f ca="1">_xll.meMathNormalDistributionInverse(R10,$S$4,$S$5)</f>
        <v>-2.3263478740408412</v>
      </c>
      <c r="T10" s="12" t="b">
        <f t="shared" ca="1" si="3"/>
        <v>1</v>
      </c>
    </row>
    <row r="11" spans="2:20" x14ac:dyDescent="0.25">
      <c r="B11" s="1">
        <v>-9.7000000000000011</v>
      </c>
      <c r="C11" s="3">
        <f ca="1">_xll.meMathNormalDistributionStandard(B11)</f>
        <v>1.507493168810181E-22</v>
      </c>
      <c r="D11" s="20">
        <f ca="1">_xll.meMathNormalDistributionPDF(B11)</f>
        <v>1.4774954927042438E-21</v>
      </c>
      <c r="G11" s="7">
        <v>1.4999999999999999E-2</v>
      </c>
      <c r="H11" s="3">
        <f ca="1">_xll.meMathNormalDistributionStandardInverse(G11)</f>
        <v>-2.1700903775845606</v>
      </c>
      <c r="I11" s="3"/>
      <c r="J11" s="9">
        <f t="shared" si="1"/>
        <v>-2.1700903775845601</v>
      </c>
      <c r="K11" s="17">
        <f t="shared" ca="1" si="2"/>
        <v>0</v>
      </c>
      <c r="M11" s="1">
        <v>-9.7000000000000011</v>
      </c>
      <c r="N11" s="3">
        <f ca="1">_xll.meMathNormalDistribution(M11,$N$4,$N$5)</f>
        <v>1.507493168810181E-22</v>
      </c>
      <c r="O11" s="20">
        <f ca="1">_xll.meMathNormalDistributionPDF(M11,$N$4,$N$5)</f>
        <v>1.4774954927042438E-21</v>
      </c>
      <c r="P11" s="8" t="b">
        <f t="shared" ca="1" si="0"/>
        <v>1</v>
      </c>
      <c r="R11" s="7">
        <v>1.4999999999999999E-2</v>
      </c>
      <c r="S11" s="3">
        <f ca="1">_xll.meMathNormalDistributionInverse(R11,$S$4,$S$5)</f>
        <v>-2.1700903775845606</v>
      </c>
      <c r="T11" s="12" t="b">
        <f t="shared" ca="1" si="3"/>
        <v>1</v>
      </c>
    </row>
    <row r="12" spans="2:20" x14ac:dyDescent="0.25">
      <c r="B12" s="1">
        <v>-9.6000000000000014</v>
      </c>
      <c r="C12" s="3">
        <f ca="1">_xll.meMathNormalDistributionStandard(B12)</f>
        <v>3.9972212057261766E-22</v>
      </c>
      <c r="D12" s="20">
        <f ca="1">_xll.meMathNormalDistributionPDF(B12)</f>
        <v>3.8781119317469065E-21</v>
      </c>
      <c r="G12" s="7">
        <v>0.02</v>
      </c>
      <c r="H12" s="3">
        <f ca="1">_xll.meMathNormalDistributionStandardInverse(G12)</f>
        <v>-2.053748910631823</v>
      </c>
      <c r="I12" s="3"/>
      <c r="J12" s="9">
        <f t="shared" si="1"/>
        <v>-2.0537489106318225</v>
      </c>
      <c r="K12" s="17">
        <f t="shared" ca="1" si="2"/>
        <v>0</v>
      </c>
      <c r="M12" s="1">
        <v>-9.6000000000000014</v>
      </c>
      <c r="N12" s="3">
        <f ca="1">_xll.meMathNormalDistribution(M12,$N$4,$N$5)</f>
        <v>3.9972212057261766E-22</v>
      </c>
      <c r="O12" s="20">
        <f ca="1">_xll.meMathNormalDistributionPDF(M12,$N$4,$N$5)</f>
        <v>3.8781119317469065E-21</v>
      </c>
      <c r="P12" s="8" t="b">
        <f t="shared" ca="1" si="0"/>
        <v>1</v>
      </c>
      <c r="R12" s="7">
        <v>0.02</v>
      </c>
      <c r="S12" s="3">
        <f ca="1">_xll.meMathNormalDistributionInverse(R12,$S$4,$S$5)</f>
        <v>-2.053748910631823</v>
      </c>
      <c r="T12" s="12" t="b">
        <f t="shared" ca="1" si="3"/>
        <v>1</v>
      </c>
    </row>
    <row r="13" spans="2:20" x14ac:dyDescent="0.25">
      <c r="B13" s="1">
        <v>-9.5000000000000018</v>
      </c>
      <c r="C13" s="3">
        <f ca="1">_xll.meMathNormalDistributionStandard(B13)</f>
        <v>1.0494515075362456E-21</v>
      </c>
      <c r="D13" s="20">
        <f ca="1">_xll.meMathNormalDistributionPDF(B13)</f>
        <v>1.0077935394299867E-20</v>
      </c>
      <c r="G13" s="7">
        <v>2.5000000000000001E-2</v>
      </c>
      <c r="H13" s="3">
        <f ca="1">_xll.meMathNormalDistributionStandardInverse(G13)</f>
        <v>-1.959963984540054</v>
      </c>
      <c r="I13" s="3"/>
      <c r="J13" s="9">
        <f t="shared" si="1"/>
        <v>-1.9599639845400538</v>
      </c>
      <c r="K13" s="17">
        <f t="shared" ca="1" si="2"/>
        <v>0</v>
      </c>
      <c r="M13" s="1">
        <v>-9.5000000000000018</v>
      </c>
      <c r="N13" s="3">
        <f ca="1">_xll.meMathNormalDistribution(M13,$N$4,$N$5)</f>
        <v>1.0494515075362456E-21</v>
      </c>
      <c r="O13" s="20">
        <f ca="1">_xll.meMathNormalDistributionPDF(M13,$N$4,$N$5)</f>
        <v>1.0077935394299867E-20</v>
      </c>
      <c r="P13" s="8" t="b">
        <f t="shared" ca="1" si="0"/>
        <v>1</v>
      </c>
      <c r="R13" s="7">
        <v>2.5000000000000001E-2</v>
      </c>
      <c r="S13" s="3">
        <f ca="1">_xll.meMathNormalDistributionInverse(R13,$S$4,$S$5)</f>
        <v>-1.959963984540054</v>
      </c>
      <c r="T13" s="12" t="b">
        <f t="shared" ca="1" si="3"/>
        <v>1</v>
      </c>
    </row>
    <row r="14" spans="2:20" x14ac:dyDescent="0.25">
      <c r="B14" s="1">
        <v>-9.4000000000000021</v>
      </c>
      <c r="C14" s="3">
        <f ca="1">_xll.meMathNormalDistributionStandard(B14)</f>
        <v>2.7281535713460688E-21</v>
      </c>
      <c r="D14" s="20">
        <f ca="1">_xll.meMathNormalDistributionPDF(B14)</f>
        <v>2.5928647011003341E-20</v>
      </c>
      <c r="G14" s="7">
        <v>3.0000000000000002E-2</v>
      </c>
      <c r="H14" s="3">
        <f ca="1">_xll.meMathNormalDistributionStandardInverse(G14)</f>
        <v>-1.8807936081512509</v>
      </c>
      <c r="I14" s="3"/>
      <c r="J14" s="9">
        <f t="shared" si="1"/>
        <v>-1.8807936081512509</v>
      </c>
      <c r="K14" s="17">
        <f t="shared" ca="1" si="2"/>
        <v>0</v>
      </c>
      <c r="M14" s="1">
        <v>-9.4000000000000021</v>
      </c>
      <c r="N14" s="3">
        <f ca="1">_xll.meMathNormalDistribution(M14,$N$4,$N$5)</f>
        <v>2.7281535713460688E-21</v>
      </c>
      <c r="O14" s="20">
        <f ca="1">_xll.meMathNormalDistributionPDF(M14,$N$4,$N$5)</f>
        <v>2.5928647011003341E-20</v>
      </c>
      <c r="P14" s="8" t="b">
        <f t="shared" ca="1" si="0"/>
        <v>1</v>
      </c>
      <c r="R14" s="7">
        <v>3.0000000000000002E-2</v>
      </c>
      <c r="S14" s="3">
        <f ca="1">_xll.meMathNormalDistributionInverse(R14,$S$4,$S$5)</f>
        <v>-1.8807936081512509</v>
      </c>
      <c r="T14" s="12" t="b">
        <f t="shared" ca="1" si="3"/>
        <v>1</v>
      </c>
    </row>
    <row r="15" spans="2:20" x14ac:dyDescent="0.25">
      <c r="B15" s="1">
        <v>-9.3000000000000025</v>
      </c>
      <c r="C15" s="3">
        <f ca="1">_xll.meMathNormalDistributionStandard(B15)</f>
        <v>7.02228424044149E-21</v>
      </c>
      <c r="D15" s="20">
        <f ca="1">_xll.meMathNormalDistributionPDF(B15)</f>
        <v>6.6045798607391687E-20</v>
      </c>
      <c r="G15" s="7">
        <v>3.5000000000000003E-2</v>
      </c>
      <c r="H15" s="3">
        <f ca="1">_xll.meMathNormalDistributionStandardInverse(G15)</f>
        <v>-1.8119106729525978</v>
      </c>
      <c r="I15" s="3"/>
      <c r="J15" s="9">
        <f t="shared" si="1"/>
        <v>-1.8119106729525978</v>
      </c>
      <c r="K15" s="17">
        <f t="shared" ca="1" si="2"/>
        <v>0</v>
      </c>
      <c r="M15" s="1">
        <v>-9.3000000000000025</v>
      </c>
      <c r="N15" s="3">
        <f ca="1">_xll.meMathNormalDistribution(M15,$N$4,$N$5)</f>
        <v>7.02228424044149E-21</v>
      </c>
      <c r="O15" s="20">
        <f ca="1">_xll.meMathNormalDistributionPDF(M15,$N$4,$N$5)</f>
        <v>6.6045798607391687E-20</v>
      </c>
      <c r="P15" s="8" t="b">
        <f t="shared" ca="1" si="0"/>
        <v>1</v>
      </c>
      <c r="R15" s="7">
        <v>3.5000000000000003E-2</v>
      </c>
      <c r="S15" s="3">
        <f ca="1">_xll.meMathNormalDistributionInverse(R15,$S$4,$S$5)</f>
        <v>-1.8119106729525978</v>
      </c>
      <c r="T15" s="12" t="b">
        <f t="shared" ca="1" si="3"/>
        <v>1</v>
      </c>
    </row>
    <row r="16" spans="2:20" x14ac:dyDescent="0.25">
      <c r="B16" s="1">
        <v>-9.2000000000000028</v>
      </c>
      <c r="C16" s="3">
        <f ca="1">_xll.meMathNormalDistributionStandard(B16)</f>
        <v>1.789748812013989E-20</v>
      </c>
      <c r="D16" s="20">
        <f ca="1">_xll.meMathNormalDistributionPDF(B16)</f>
        <v>1.6655880323798698E-19</v>
      </c>
      <c r="G16" s="7">
        <v>0.04</v>
      </c>
      <c r="H16" s="3">
        <f ca="1">_xll.meMathNormalDistributionStandardInverse(G16)</f>
        <v>-1.7506860712521699</v>
      </c>
      <c r="I16" s="3"/>
      <c r="J16" s="9">
        <f t="shared" si="1"/>
        <v>-1.7506860712521695</v>
      </c>
      <c r="K16" s="17">
        <f t="shared" ca="1" si="2"/>
        <v>0</v>
      </c>
      <c r="M16" s="1">
        <v>-9.2000000000000028</v>
      </c>
      <c r="N16" s="3">
        <f ca="1">_xll.meMathNormalDistribution(M16,$N$4,$N$5)</f>
        <v>1.789748812013989E-20</v>
      </c>
      <c r="O16" s="20">
        <f ca="1">_xll.meMathNormalDistributionPDF(M16,$N$4,$N$5)</f>
        <v>1.6655880323798698E-19</v>
      </c>
      <c r="P16" s="8" t="b">
        <f t="shared" ca="1" si="0"/>
        <v>1</v>
      </c>
      <c r="R16" s="7">
        <v>0.04</v>
      </c>
      <c r="S16" s="3">
        <f ca="1">_xll.meMathNormalDistributionInverse(R16,$S$4,$S$5)</f>
        <v>-1.7506860712521699</v>
      </c>
      <c r="T16" s="12" t="b">
        <f t="shared" ca="1" si="3"/>
        <v>1</v>
      </c>
    </row>
    <row r="17" spans="2:20" x14ac:dyDescent="0.25">
      <c r="B17" s="1">
        <v>-9.1000000000000032</v>
      </c>
      <c r="C17" s="3">
        <f ca="1">_xll.meMathNormalDistributionStandard(B17)</f>
        <v>4.5165914914353079E-20</v>
      </c>
      <c r="D17" s="20">
        <f ca="1">_xll.meMathNormalDistributionPDF(B17)</f>
        <v>4.1585989791150129E-19</v>
      </c>
      <c r="G17" s="7">
        <v>4.4999999999999998E-2</v>
      </c>
      <c r="H17" s="3">
        <f ca="1">_xll.meMathNormalDistributionStandardInverse(G17)</f>
        <v>-1.6953977102721365</v>
      </c>
      <c r="I17" s="3"/>
      <c r="J17" s="9">
        <f t="shared" si="1"/>
        <v>-1.6953977102721358</v>
      </c>
      <c r="K17" s="17">
        <f t="shared" ca="1" si="2"/>
        <v>0</v>
      </c>
      <c r="M17" s="1">
        <v>-9.1000000000000032</v>
      </c>
      <c r="N17" s="3">
        <f ca="1">_xll.meMathNormalDistribution(M17,$N$4,$N$5)</f>
        <v>4.5165914914353079E-20</v>
      </c>
      <c r="O17" s="20">
        <f ca="1">_xll.meMathNormalDistributionPDF(M17,$N$4,$N$5)</f>
        <v>4.1585989791150129E-19</v>
      </c>
      <c r="P17" s="8" t="b">
        <f t="shared" ca="1" si="0"/>
        <v>1</v>
      </c>
      <c r="R17" s="7">
        <v>4.4999999999999998E-2</v>
      </c>
      <c r="S17" s="3">
        <f ca="1">_xll.meMathNormalDistributionInverse(R17,$S$4,$S$5)</f>
        <v>-1.6953977102721365</v>
      </c>
      <c r="T17" s="12" t="b">
        <f t="shared" ca="1" si="3"/>
        <v>1</v>
      </c>
    </row>
    <row r="18" spans="2:20" x14ac:dyDescent="0.25">
      <c r="B18" s="1">
        <v>-9.0000000000000036</v>
      </c>
      <c r="C18" s="3">
        <f ca="1">_xll.meMathNormalDistributionStandard(B18)</f>
        <v>1.1285884059538003E-19</v>
      </c>
      <c r="D18" s="20">
        <f ca="1">_xll.meMathNormalDistributionPDF(B18)</f>
        <v>1.0279773571668551E-18</v>
      </c>
      <c r="G18" s="7">
        <v>4.9999999999999996E-2</v>
      </c>
      <c r="H18" s="3">
        <f ca="1">_xll.meMathNormalDistributionStandardInverse(G18)</f>
        <v>-1.6448536269514729</v>
      </c>
      <c r="I18" s="3"/>
      <c r="J18" s="9">
        <f t="shared" si="1"/>
        <v>-1.6448536269514726</v>
      </c>
      <c r="K18" s="17">
        <f t="shared" ca="1" si="2"/>
        <v>0</v>
      </c>
      <c r="M18" s="1">
        <v>-9.0000000000000036</v>
      </c>
      <c r="N18" s="3">
        <f ca="1">_xll.meMathNormalDistribution(M18,$N$4,$N$5)</f>
        <v>1.1285884059538003E-19</v>
      </c>
      <c r="O18" s="20">
        <f ca="1">_xll.meMathNormalDistributionPDF(M18,$N$4,$N$5)</f>
        <v>1.0279773571668551E-18</v>
      </c>
      <c r="P18" s="8" t="b">
        <f t="shared" ca="1" si="0"/>
        <v>1</v>
      </c>
      <c r="R18" s="7">
        <v>4.9999999999999996E-2</v>
      </c>
      <c r="S18" s="3">
        <f ca="1">_xll.meMathNormalDistributionInverse(R18,$S$4,$S$5)</f>
        <v>-1.6448536269514729</v>
      </c>
      <c r="T18" s="12" t="b">
        <f t="shared" ca="1" si="3"/>
        <v>1</v>
      </c>
    </row>
    <row r="19" spans="2:20" x14ac:dyDescent="0.25">
      <c r="B19" s="1">
        <v>-8.9000000000000039</v>
      </c>
      <c r="C19" s="3">
        <f ca="1">_xll.meMathNormalDistributionStandard(B19)</f>
        <v>2.7923343749395636E-19</v>
      </c>
      <c r="D19" s="20">
        <f ca="1">_xll.meMathNormalDistributionPDF(B19)</f>
        <v>2.5158057769513331E-18</v>
      </c>
      <c r="G19" s="7">
        <v>5.4999999999999993E-2</v>
      </c>
      <c r="H19" s="3">
        <f ca="1">_xll.meMathNormalDistributionStandardInverse(G19)</f>
        <v>-1.5981931399228175</v>
      </c>
      <c r="I19" s="3"/>
      <c r="J19" s="9">
        <f t="shared" si="1"/>
        <v>-1.5981931399228173</v>
      </c>
      <c r="K19" s="17">
        <f t="shared" ca="1" si="2"/>
        <v>0</v>
      </c>
      <c r="M19" s="1">
        <v>-8.9000000000000039</v>
      </c>
      <c r="N19" s="3">
        <f ca="1">_xll.meMathNormalDistribution(M19,$N$4,$N$5)</f>
        <v>2.7923343749395636E-19</v>
      </c>
      <c r="O19" s="20">
        <f ca="1">_xll.meMathNormalDistributionPDF(M19,$N$4,$N$5)</f>
        <v>2.5158057769513331E-18</v>
      </c>
      <c r="P19" s="8" t="b">
        <f t="shared" ca="1" si="0"/>
        <v>1</v>
      </c>
      <c r="R19" s="7">
        <v>5.4999999999999993E-2</v>
      </c>
      <c r="S19" s="3">
        <f ca="1">_xll.meMathNormalDistributionInverse(R19,$S$4,$S$5)</f>
        <v>-1.5981931399228175</v>
      </c>
      <c r="T19" s="12" t="b">
        <f t="shared" ca="1" si="3"/>
        <v>1</v>
      </c>
    </row>
    <row r="20" spans="2:20" x14ac:dyDescent="0.25">
      <c r="B20" s="1">
        <v>-8.8000000000000043</v>
      </c>
      <c r="C20" s="3">
        <f ca="1">_xll.meMathNormalDistributionStandard(B20)</f>
        <v>6.8408076859353507E-19</v>
      </c>
      <c r="D20" s="20">
        <f ca="1">_xll.meMathNormalDistributionPDF(B20)</f>
        <v>6.0957581295622447E-18</v>
      </c>
      <c r="G20" s="7">
        <v>5.9999999999999991E-2</v>
      </c>
      <c r="H20" s="3">
        <f ca="1">_xll.meMathNormalDistributionStandardInverse(G20)</f>
        <v>-1.5547735945968537</v>
      </c>
      <c r="I20" s="3"/>
      <c r="J20" s="9">
        <f t="shared" si="1"/>
        <v>-1.554773594596853</v>
      </c>
      <c r="K20" s="17">
        <f t="shared" ca="1" si="2"/>
        <v>0</v>
      </c>
      <c r="M20" s="1">
        <v>-8.8000000000000043</v>
      </c>
      <c r="N20" s="3">
        <f ca="1">_xll.meMathNormalDistribution(M20,$N$4,$N$5)</f>
        <v>6.8408076859353507E-19</v>
      </c>
      <c r="O20" s="20">
        <f ca="1">_xll.meMathNormalDistributionPDF(M20,$N$4,$N$5)</f>
        <v>6.0957581295622447E-18</v>
      </c>
      <c r="P20" s="8" t="b">
        <f t="shared" ca="1" si="0"/>
        <v>1</v>
      </c>
      <c r="R20" s="7">
        <v>5.9999999999999991E-2</v>
      </c>
      <c r="S20" s="3">
        <f ca="1">_xll.meMathNormalDistributionInverse(R20,$S$4,$S$5)</f>
        <v>-1.5547735945968537</v>
      </c>
      <c r="T20" s="12" t="b">
        <f t="shared" ca="1" si="3"/>
        <v>1</v>
      </c>
    </row>
    <row r="21" spans="2:20" x14ac:dyDescent="0.25">
      <c r="B21" s="1">
        <v>-8.7000000000000046</v>
      </c>
      <c r="C21" s="3">
        <f ca="1">_xll.meMathNormalDistributionStandard(B21)</f>
        <v>1.6594208699647043E-18</v>
      </c>
      <c r="D21" s="20">
        <f ca="1">_xll.meMathNormalDistributionPDF(B21)</f>
        <v>1.4622963575005855E-17</v>
      </c>
      <c r="G21" s="7">
        <v>6.4999999999999988E-2</v>
      </c>
      <c r="H21" s="3">
        <f ca="1">_xll.meMathNormalDistributionStandardInverse(G21)</f>
        <v>-1.5141018876192838</v>
      </c>
      <c r="I21" s="3"/>
      <c r="J21" s="9">
        <f t="shared" si="1"/>
        <v>-1.5141018876192833</v>
      </c>
      <c r="K21" s="17">
        <f t="shared" ca="1" si="2"/>
        <v>0</v>
      </c>
      <c r="M21" s="1">
        <v>-8.7000000000000046</v>
      </c>
      <c r="N21" s="3">
        <f ca="1">_xll.meMathNormalDistribution(M21,$N$4,$N$5)</f>
        <v>1.6594208699647043E-18</v>
      </c>
      <c r="O21" s="20">
        <f ca="1">_xll.meMathNormalDistributionPDF(M21,$N$4,$N$5)</f>
        <v>1.4622963575005855E-17</v>
      </c>
      <c r="P21" s="8" t="b">
        <f t="shared" ca="1" si="0"/>
        <v>1</v>
      </c>
      <c r="R21" s="7">
        <v>6.4999999999999988E-2</v>
      </c>
      <c r="S21" s="3">
        <f ca="1">_xll.meMathNormalDistributionInverse(R21,$S$4,$S$5)</f>
        <v>-1.5141018876192838</v>
      </c>
      <c r="T21" s="12" t="b">
        <f t="shared" ca="1" si="3"/>
        <v>1</v>
      </c>
    </row>
    <row r="22" spans="2:20" x14ac:dyDescent="0.25">
      <c r="B22" s="1">
        <v>-8.600000000000005</v>
      </c>
      <c r="C22" s="3">
        <f ca="1">_xll.meMathNormalDistributionStandard(B22)</f>
        <v>3.9858049628480093E-18</v>
      </c>
      <c r="D22" s="20">
        <f ca="1">_xll.meMathNormalDistributionPDF(B22)</f>
        <v>3.4729627485660597E-17</v>
      </c>
      <c r="G22" s="7">
        <v>6.9999999999999993E-2</v>
      </c>
      <c r="H22" s="3">
        <f ca="1">_xll.meMathNormalDistributionStandardInverse(G22)</f>
        <v>-1.4757910281791708</v>
      </c>
      <c r="I22" s="3"/>
      <c r="J22" s="9">
        <f t="shared" si="1"/>
        <v>-1.4757910281791706</v>
      </c>
      <c r="K22" s="17">
        <f t="shared" ca="1" si="2"/>
        <v>0</v>
      </c>
      <c r="M22" s="1">
        <v>-8.600000000000005</v>
      </c>
      <c r="N22" s="3">
        <f ca="1">_xll.meMathNormalDistribution(M22,$N$4,$N$5)</f>
        <v>3.9858049628480093E-18</v>
      </c>
      <c r="O22" s="20">
        <f ca="1">_xll.meMathNormalDistributionPDF(M22,$N$4,$N$5)</f>
        <v>3.4729627485660597E-17</v>
      </c>
      <c r="P22" s="8" t="b">
        <f t="shared" ca="1" si="0"/>
        <v>1</v>
      </c>
      <c r="R22" s="7">
        <v>6.9999999999999993E-2</v>
      </c>
      <c r="S22" s="3">
        <f ca="1">_xll.meMathNormalDistributionInverse(R22,$S$4,$S$5)</f>
        <v>-1.4757910281791708</v>
      </c>
      <c r="T22" s="12" t="b">
        <f t="shared" ca="1" si="3"/>
        <v>1</v>
      </c>
    </row>
    <row r="23" spans="2:20" x14ac:dyDescent="0.25">
      <c r="B23" s="1">
        <v>-8.5000000000000053</v>
      </c>
      <c r="C23" s="3">
        <f ca="1">_xll.meMathNormalDistributionStandard(B23)</f>
        <v>9.4795348222029094E-18</v>
      </c>
      <c r="D23" s="20">
        <f ca="1">_xll.meMathNormalDistributionPDF(B23)</f>
        <v>8.1662356316692026E-17</v>
      </c>
      <c r="G23" s="7">
        <v>7.4999999999999997E-2</v>
      </c>
      <c r="H23" s="3">
        <f ca="1">_xll.meMathNormalDistributionStandardInverse(G23)</f>
        <v>-1.4395314709384559</v>
      </c>
      <c r="I23" s="3"/>
      <c r="J23" s="9">
        <f t="shared" si="1"/>
        <v>-1.4395314709384572</v>
      </c>
      <c r="K23" s="17">
        <f t="shared" ca="1" si="2"/>
        <v>0</v>
      </c>
      <c r="M23" s="1">
        <v>-8.5000000000000053</v>
      </c>
      <c r="N23" s="3">
        <f ca="1">_xll.meMathNormalDistribution(M23,$N$4,$N$5)</f>
        <v>9.4795348222029094E-18</v>
      </c>
      <c r="O23" s="20">
        <f ca="1">_xll.meMathNormalDistributionPDF(M23,$N$4,$N$5)</f>
        <v>8.1662356316692026E-17</v>
      </c>
      <c r="P23" s="8" t="b">
        <f t="shared" ca="1" si="0"/>
        <v>1</v>
      </c>
      <c r="R23" s="7">
        <v>7.4999999999999997E-2</v>
      </c>
      <c r="S23" s="3">
        <f ca="1">_xll.meMathNormalDistributionInverse(R23,$S$4,$S$5)</f>
        <v>-1.4395314709384559</v>
      </c>
      <c r="T23" s="12" t="b">
        <f t="shared" ca="1" si="3"/>
        <v>1</v>
      </c>
    </row>
    <row r="24" spans="2:20" x14ac:dyDescent="0.25">
      <c r="B24" s="1">
        <v>-8.4000000000000057</v>
      </c>
      <c r="C24" s="3">
        <f ca="1">_xll.meMathNormalDistributionStandard(B24)</f>
        <v>2.2323931972879352E-17</v>
      </c>
      <c r="D24" s="20">
        <f ca="1">_xll.meMathNormalDistributionPDF(B24)</f>
        <v>1.9010815379078693E-16</v>
      </c>
      <c r="G24" s="7">
        <v>0.08</v>
      </c>
      <c r="H24" s="3">
        <f ca="1">_xll.meMathNormalDistributionStandardInverse(G24)</f>
        <v>-1.4050715603096324</v>
      </c>
      <c r="I24" s="3"/>
      <c r="J24" s="9">
        <f t="shared" si="1"/>
        <v>-1.4050715603096353</v>
      </c>
      <c r="K24" s="17">
        <f t="shared" ca="1" si="2"/>
        <v>2.886579864025407E-15</v>
      </c>
      <c r="M24" s="1">
        <v>-8.4000000000000057</v>
      </c>
      <c r="N24" s="3">
        <f ca="1">_xll.meMathNormalDistribution(M24,$N$4,$N$5)</f>
        <v>2.2323931972879352E-17</v>
      </c>
      <c r="O24" s="20">
        <f ca="1">_xll.meMathNormalDistributionPDF(M24,$N$4,$N$5)</f>
        <v>1.9010815379078693E-16</v>
      </c>
      <c r="P24" s="8" t="b">
        <f t="shared" ca="1" si="0"/>
        <v>1</v>
      </c>
      <c r="R24" s="7">
        <v>0.08</v>
      </c>
      <c r="S24" s="3">
        <f ca="1">_xll.meMathNormalDistributionInverse(R24,$S$4,$S$5)</f>
        <v>-1.4050715603096324</v>
      </c>
      <c r="T24" s="12" t="b">
        <f t="shared" ca="1" si="3"/>
        <v>1</v>
      </c>
    </row>
    <row r="25" spans="2:20" x14ac:dyDescent="0.25">
      <c r="B25" s="1">
        <v>-8.300000000000006</v>
      </c>
      <c r="C25" s="3">
        <f ca="1">_xll.meMathNormalDistributionStandard(B25)</f>
        <v>5.2055697448900222E-17</v>
      </c>
      <c r="D25" s="20">
        <f ca="1">_xll.meMathNormalDistributionPDF(B25)</f>
        <v>4.3816394355091402E-16</v>
      </c>
      <c r="G25" s="7">
        <v>8.5000000000000006E-2</v>
      </c>
      <c r="H25" s="3">
        <f ca="1">_xll.meMathNormalDistributionStandardInverse(G25)</f>
        <v>-1.3722038089987258</v>
      </c>
      <c r="I25" s="3"/>
      <c r="J25" s="9">
        <f t="shared" si="1"/>
        <v>-1.3722038089987272</v>
      </c>
      <c r="K25" s="17">
        <f t="shared" ca="1" si="2"/>
        <v>0</v>
      </c>
      <c r="M25" s="1">
        <v>-8.300000000000006</v>
      </c>
      <c r="N25" s="3">
        <f ca="1">_xll.meMathNormalDistribution(M25,$N$4,$N$5)</f>
        <v>5.2055697448900222E-17</v>
      </c>
      <c r="O25" s="20">
        <f ca="1">_xll.meMathNormalDistributionPDF(M25,$N$4,$N$5)</f>
        <v>4.3816394355091402E-16</v>
      </c>
      <c r="P25" s="8" t="b">
        <f t="shared" ca="1" si="0"/>
        <v>1</v>
      </c>
      <c r="R25" s="7">
        <v>8.5000000000000006E-2</v>
      </c>
      <c r="S25" s="3">
        <f ca="1">_xll.meMathNormalDistributionInverse(R25,$S$4,$S$5)</f>
        <v>-1.3722038089987258</v>
      </c>
      <c r="T25" s="12" t="b">
        <f t="shared" ca="1" si="3"/>
        <v>1</v>
      </c>
    </row>
    <row r="26" spans="2:20" x14ac:dyDescent="0.25">
      <c r="B26" s="1">
        <v>-8.2000000000000064</v>
      </c>
      <c r="C26" s="3">
        <f ca="1">_xll.meMathNormalDistributionStandard(B26)</f>
        <v>1.2019351542735126E-16</v>
      </c>
      <c r="D26" s="20">
        <f ca="1">_xll.meMathNormalDistributionPDF(B26)</f>
        <v>9.9983787484966114E-16</v>
      </c>
      <c r="G26" s="7">
        <v>9.0000000000000011E-2</v>
      </c>
      <c r="H26" s="3">
        <f ca="1">_xll.meMathNormalDistributionStandardInverse(G26)</f>
        <v>-1.3407550336902163</v>
      </c>
      <c r="I26" s="3"/>
      <c r="J26" s="9">
        <f t="shared" si="1"/>
        <v>-1.3407550336902159</v>
      </c>
      <c r="K26" s="17">
        <f t="shared" ca="1" si="2"/>
        <v>0</v>
      </c>
      <c r="M26" s="1">
        <v>-8.2000000000000064</v>
      </c>
      <c r="N26" s="3">
        <f ca="1">_xll.meMathNormalDistribution(M26,$N$4,$N$5)</f>
        <v>1.2019351542735126E-16</v>
      </c>
      <c r="O26" s="20">
        <f ca="1">_xll.meMathNormalDistributionPDF(M26,$N$4,$N$5)</f>
        <v>9.9983787484966114E-16</v>
      </c>
      <c r="P26" s="8" t="b">
        <f t="shared" ca="1" si="0"/>
        <v>1</v>
      </c>
      <c r="R26" s="7">
        <v>9.0000000000000011E-2</v>
      </c>
      <c r="S26" s="3">
        <f ca="1">_xll.meMathNormalDistributionInverse(R26,$S$4,$S$5)</f>
        <v>-1.3407550336902163</v>
      </c>
      <c r="T26" s="12" t="b">
        <f t="shared" ca="1" si="3"/>
        <v>1</v>
      </c>
    </row>
    <row r="27" spans="2:20" x14ac:dyDescent="0.25">
      <c r="B27" s="1">
        <v>-8.1000000000000068</v>
      </c>
      <c r="C27" s="3">
        <f ca="1">_xll.meMathNormalDistributionStandard(B27)</f>
        <v>2.7479593923980629E-16</v>
      </c>
      <c r="D27" s="20">
        <f ca="1">_xll.meMathNormalDistributionPDF(B27)</f>
        <v>2.2588094031541746E-15</v>
      </c>
      <c r="G27" s="7">
        <v>9.5000000000000015E-2</v>
      </c>
      <c r="H27" s="3">
        <f ca="1">_xll.meMathNormalDistributionStandardInverse(G27)</f>
        <v>-1.3105791121681287</v>
      </c>
      <c r="I27" s="3"/>
      <c r="J27" s="9">
        <f t="shared" si="1"/>
        <v>-1.3105791121681289</v>
      </c>
      <c r="K27" s="17">
        <f t="shared" ca="1" si="2"/>
        <v>0</v>
      </c>
      <c r="M27" s="1">
        <v>-8.1000000000000068</v>
      </c>
      <c r="N27" s="3">
        <f ca="1">_xll.meMathNormalDistribution(M27,$N$4,$N$5)</f>
        <v>2.7479593923980629E-16</v>
      </c>
      <c r="O27" s="20">
        <f ca="1">_xll.meMathNormalDistributionPDF(M27,$N$4,$N$5)</f>
        <v>2.2588094031541746E-15</v>
      </c>
      <c r="P27" s="8" t="b">
        <f t="shared" ca="1" si="0"/>
        <v>1</v>
      </c>
      <c r="R27" s="7">
        <v>9.5000000000000015E-2</v>
      </c>
      <c r="S27" s="3">
        <f ca="1">_xll.meMathNormalDistributionInverse(R27,$S$4,$S$5)</f>
        <v>-1.3105791121681287</v>
      </c>
      <c r="T27" s="12" t="b">
        <f t="shared" ca="1" si="3"/>
        <v>1</v>
      </c>
    </row>
    <row r="28" spans="2:20" x14ac:dyDescent="0.25">
      <c r="B28" s="1">
        <v>-8.0000000000000071</v>
      </c>
      <c r="C28" s="3">
        <f ca="1">_xll.meMathNormalDistributionStandard(B28)</f>
        <v>6.2209605742714259E-16</v>
      </c>
      <c r="D28" s="20">
        <f ca="1">_xll.meMathNormalDistributionPDF(B28)</f>
        <v>5.0522710835366056E-15</v>
      </c>
      <c r="G28" s="7">
        <v>0.10000000000000002</v>
      </c>
      <c r="H28" s="3">
        <f ca="1">_xll.meMathNormalDistributionStandardInverse(G28)</f>
        <v>-1.2815515655446004</v>
      </c>
      <c r="I28" s="3"/>
      <c r="J28" s="9">
        <f t="shared" si="1"/>
        <v>-1.2815515655446008</v>
      </c>
      <c r="K28" s="17">
        <f t="shared" ca="1" si="2"/>
        <v>0</v>
      </c>
      <c r="M28" s="1">
        <v>-8.0000000000000071</v>
      </c>
      <c r="N28" s="3">
        <f ca="1">_xll.meMathNormalDistribution(M28,$N$4,$N$5)</f>
        <v>6.2209605742714259E-16</v>
      </c>
      <c r="O28" s="20">
        <f ca="1">_xll.meMathNormalDistributionPDF(M28,$N$4,$N$5)</f>
        <v>5.0522710835366056E-15</v>
      </c>
      <c r="P28" s="8" t="b">
        <f t="shared" ca="1" si="0"/>
        <v>1</v>
      </c>
      <c r="R28" s="7">
        <v>0.10000000000000002</v>
      </c>
      <c r="S28" s="3">
        <f ca="1">_xll.meMathNormalDistributionInverse(R28,$S$4,$S$5)</f>
        <v>-1.2815515655446004</v>
      </c>
      <c r="T28" s="12" t="b">
        <f t="shared" ca="1" si="3"/>
        <v>1</v>
      </c>
    </row>
    <row r="29" spans="2:20" x14ac:dyDescent="0.25">
      <c r="B29" s="1">
        <v>-7.9000000000000075</v>
      </c>
      <c r="C29" s="3">
        <f ca="1">_xll.meMathNormalDistributionStandard(B29)</f>
        <v>1.3945171466591853E-15</v>
      </c>
      <c r="D29" s="20">
        <f ca="1">_xll.meMathNormalDistributionPDF(B29)</f>
        <v>1.1187956214351181E-14</v>
      </c>
      <c r="G29" s="7">
        <v>0.10500000000000002</v>
      </c>
      <c r="H29" s="3">
        <f ca="1">_xll.meMathNormalDistributionStandardInverse(G29)</f>
        <v>-1.2535654384704507</v>
      </c>
      <c r="I29" s="3"/>
      <c r="J29" s="9">
        <f t="shared" si="1"/>
        <v>-1.2535654384704511</v>
      </c>
      <c r="K29" s="17">
        <f t="shared" ca="1" si="2"/>
        <v>0</v>
      </c>
      <c r="M29" s="1">
        <v>-7.9000000000000075</v>
      </c>
      <c r="N29" s="3">
        <f ca="1">_xll.meMathNormalDistribution(M29,$N$4,$N$5)</f>
        <v>1.3945171466591853E-15</v>
      </c>
      <c r="O29" s="20">
        <f ca="1">_xll.meMathNormalDistributionPDF(M29,$N$4,$N$5)</f>
        <v>1.1187956214351181E-14</v>
      </c>
      <c r="P29" s="8" t="b">
        <f t="shared" ca="1" si="0"/>
        <v>1</v>
      </c>
      <c r="R29" s="7">
        <v>0.10500000000000002</v>
      </c>
      <c r="S29" s="3">
        <f ca="1">_xll.meMathNormalDistributionInverse(R29,$S$4,$S$5)</f>
        <v>-1.2535654384704507</v>
      </c>
      <c r="T29" s="12" t="b">
        <f t="shared" ca="1" si="3"/>
        <v>1</v>
      </c>
    </row>
    <row r="30" spans="2:20" x14ac:dyDescent="0.25">
      <c r="B30" s="1">
        <v>-7.8000000000000078</v>
      </c>
      <c r="C30" s="3">
        <f ca="1">_xll.meMathNormalDistributionStandard(B30)</f>
        <v>3.0953587719585003E-15</v>
      </c>
      <c r="D30" s="20">
        <f ca="1">_xll.meMathNormalDistributionPDF(B30)</f>
        <v>2.4528552856962759E-14</v>
      </c>
      <c r="G30" s="7">
        <v>0.11000000000000003</v>
      </c>
      <c r="H30" s="3">
        <f ca="1">_xll.meMathNormalDistributionStandardInverse(G30)</f>
        <v>-1.2265281200366098</v>
      </c>
      <c r="I30" s="3"/>
      <c r="J30" s="9">
        <f t="shared" si="1"/>
        <v>-1.2265281200366096</v>
      </c>
      <c r="K30" s="17">
        <f t="shared" ca="1" si="2"/>
        <v>0</v>
      </c>
      <c r="M30" s="1">
        <v>-7.8000000000000078</v>
      </c>
      <c r="N30" s="3">
        <f ca="1">_xll.meMathNormalDistribution(M30,$N$4,$N$5)</f>
        <v>3.0953587719585003E-15</v>
      </c>
      <c r="O30" s="20">
        <f ca="1">_xll.meMathNormalDistributionPDF(M30,$N$4,$N$5)</f>
        <v>2.4528552856962759E-14</v>
      </c>
      <c r="P30" s="8" t="b">
        <f t="shared" ca="1" si="0"/>
        <v>1</v>
      </c>
      <c r="R30" s="7">
        <v>0.11000000000000003</v>
      </c>
      <c r="S30" s="3">
        <f ca="1">_xll.meMathNormalDistributionInverse(R30,$S$4,$S$5)</f>
        <v>-1.2265281200366098</v>
      </c>
      <c r="T30" s="12" t="b">
        <f t="shared" ca="1" si="3"/>
        <v>1</v>
      </c>
    </row>
    <row r="31" spans="2:20" x14ac:dyDescent="0.25">
      <c r="B31" s="1">
        <v>-7.7000000000000082</v>
      </c>
      <c r="C31" s="3">
        <f ca="1">_xll.meMathNormalDistributionStandard(B31)</f>
        <v>6.8033115407735328E-15</v>
      </c>
      <c r="D31" s="20">
        <f ca="1">_xll.meMathNormalDistributionPDF(B31)</f>
        <v>5.3241483722526217E-14</v>
      </c>
      <c r="G31" s="7">
        <v>0.11500000000000003</v>
      </c>
      <c r="H31" s="3">
        <f ca="1">_xll.meMathNormalDistributionStandardInverse(G31)</f>
        <v>-1.2003588580308588</v>
      </c>
      <c r="I31" s="3"/>
      <c r="J31" s="9">
        <f t="shared" si="1"/>
        <v>-1.2003588580308595</v>
      </c>
      <c r="K31" s="17">
        <f t="shared" ca="1" si="2"/>
        <v>0</v>
      </c>
      <c r="M31" s="1">
        <v>-7.7000000000000082</v>
      </c>
      <c r="N31" s="3">
        <f ca="1">_xll.meMathNormalDistribution(M31,$N$4,$N$5)</f>
        <v>6.8033115407735328E-15</v>
      </c>
      <c r="O31" s="20">
        <f ca="1">_xll.meMathNormalDistributionPDF(M31,$N$4,$N$5)</f>
        <v>5.3241483722526217E-14</v>
      </c>
      <c r="P31" s="8" t="b">
        <f t="shared" ca="1" si="0"/>
        <v>1</v>
      </c>
      <c r="R31" s="7">
        <v>0.11500000000000003</v>
      </c>
      <c r="S31" s="3">
        <f ca="1">_xll.meMathNormalDistributionInverse(R31,$S$4,$S$5)</f>
        <v>-1.2003588580308588</v>
      </c>
      <c r="T31" s="12" t="b">
        <f t="shared" ca="1" si="3"/>
        <v>1</v>
      </c>
    </row>
    <row r="32" spans="2:20" x14ac:dyDescent="0.25">
      <c r="B32" s="1">
        <v>-7.6000000000000085</v>
      </c>
      <c r="C32" s="3">
        <f ca="1">_xll.meMathNormalDistributionStandard(B32)</f>
        <v>1.480653749004705E-14</v>
      </c>
      <c r="D32" s="20">
        <f ca="1">_xll.meMathNormalDistributionPDF(B32)</f>
        <v>1.1441564901800597E-13</v>
      </c>
      <c r="G32" s="7">
        <v>0.12000000000000004</v>
      </c>
      <c r="H32" s="3">
        <f ca="1">_xll.meMathNormalDistributionStandardInverse(G32)</f>
        <v>-1.1749867920660897</v>
      </c>
      <c r="I32" s="3"/>
      <c r="J32" s="9">
        <f t="shared" si="1"/>
        <v>-1.1749867920660897</v>
      </c>
      <c r="K32" s="17">
        <f t="shared" ca="1" si="2"/>
        <v>0</v>
      </c>
      <c r="M32" s="1">
        <v>-7.6000000000000085</v>
      </c>
      <c r="N32" s="3">
        <f ca="1">_xll.meMathNormalDistribution(M32,$N$4,$N$5)</f>
        <v>1.480653749004705E-14</v>
      </c>
      <c r="O32" s="20">
        <f ca="1">_xll.meMathNormalDistributionPDF(M32,$N$4,$N$5)</f>
        <v>1.1441564901800597E-13</v>
      </c>
      <c r="P32" s="8" t="b">
        <f t="shared" ca="1" si="0"/>
        <v>1</v>
      </c>
      <c r="R32" s="7">
        <v>0.12000000000000004</v>
      </c>
      <c r="S32" s="3">
        <f ca="1">_xll.meMathNormalDistributionInverse(R32,$S$4,$S$5)</f>
        <v>-1.1749867920660897</v>
      </c>
      <c r="T32" s="12" t="b">
        <f t="shared" ca="1" si="3"/>
        <v>1</v>
      </c>
    </row>
    <row r="33" spans="2:20" x14ac:dyDescent="0.25">
      <c r="B33" s="1">
        <v>-7.5000000000000089</v>
      </c>
      <c r="C33" s="3">
        <f ca="1">_xll.meMathNormalDistributionStandard(B33)</f>
        <v>3.190891672910678E-14</v>
      </c>
      <c r="D33" s="20">
        <f ca="1">_xll.meMathNormalDistributionPDF(B33)</f>
        <v>2.434320533028846E-13</v>
      </c>
      <c r="G33" s="7">
        <v>0.12500000000000003</v>
      </c>
      <c r="H33" s="3">
        <f ca="1">_xll.meMathNormalDistributionStandardInverse(G33)</f>
        <v>-1.1503493803760081</v>
      </c>
      <c r="I33" s="3"/>
      <c r="J33" s="9">
        <f t="shared" si="1"/>
        <v>-1.1503493803760083</v>
      </c>
      <c r="K33" s="17">
        <f t="shared" ca="1" si="2"/>
        <v>0</v>
      </c>
      <c r="M33" s="1">
        <v>-7.5000000000000089</v>
      </c>
      <c r="N33" s="3">
        <f ca="1">_xll.meMathNormalDistribution(M33,$N$4,$N$5)</f>
        <v>3.190891672910678E-14</v>
      </c>
      <c r="O33" s="20">
        <f ca="1">_xll.meMathNormalDistributionPDF(M33,$N$4,$N$5)</f>
        <v>2.434320533028846E-13</v>
      </c>
      <c r="P33" s="8" t="b">
        <f t="shared" ca="1" si="0"/>
        <v>1</v>
      </c>
      <c r="R33" s="7">
        <v>0.12500000000000003</v>
      </c>
      <c r="S33" s="3">
        <f ca="1">_xll.meMathNormalDistributionInverse(R33,$S$4,$S$5)</f>
        <v>-1.1503493803760081</v>
      </c>
      <c r="T33" s="12" t="b">
        <f t="shared" ca="1" si="3"/>
        <v>1</v>
      </c>
    </row>
    <row r="34" spans="2:20" x14ac:dyDescent="0.25">
      <c r="B34" s="1">
        <v>-7.4000000000000092</v>
      </c>
      <c r="C34" s="3">
        <f ca="1">_xll.meMathNormalDistributionStandard(B34)</f>
        <v>6.8092248906195485E-14</v>
      </c>
      <c r="D34" s="20">
        <f ca="1">_xll.meMathNormalDistributionPDF(B34)</f>
        <v>5.1277536367963166E-13</v>
      </c>
      <c r="G34" s="7">
        <v>0.13000000000000003</v>
      </c>
      <c r="H34" s="3">
        <f ca="1">_xll.meMathNormalDistributionStandardInverse(G34)</f>
        <v>-1.1263911290388005</v>
      </c>
      <c r="I34" s="3"/>
      <c r="J34" s="9">
        <f t="shared" si="1"/>
        <v>-1.1263911290388013</v>
      </c>
      <c r="K34" s="17">
        <f t="shared" ca="1" si="2"/>
        <v>0</v>
      </c>
      <c r="M34" s="1">
        <v>-7.4000000000000092</v>
      </c>
      <c r="N34" s="3">
        <f ca="1">_xll.meMathNormalDistribution(M34,$N$4,$N$5)</f>
        <v>6.8092248906195485E-14</v>
      </c>
      <c r="O34" s="20">
        <f ca="1">_xll.meMathNormalDistributionPDF(M34,$N$4,$N$5)</f>
        <v>5.1277536367963166E-13</v>
      </c>
      <c r="P34" s="8" t="b">
        <f t="shared" ca="1" si="0"/>
        <v>1</v>
      </c>
      <c r="R34" s="7">
        <v>0.13000000000000003</v>
      </c>
      <c r="S34" s="3">
        <f ca="1">_xll.meMathNormalDistributionInverse(R34,$S$4,$S$5)</f>
        <v>-1.1263911290388005</v>
      </c>
      <c r="T34" s="12" t="b">
        <f t="shared" ca="1" si="3"/>
        <v>1</v>
      </c>
    </row>
    <row r="35" spans="2:20" x14ac:dyDescent="0.25">
      <c r="B35" s="1">
        <v>-7.3000000000000096</v>
      </c>
      <c r="C35" s="3">
        <f ca="1">_xll.meMathNormalDistributionStandard(B35)</f>
        <v>1.4388386381574822E-13</v>
      </c>
      <c r="D35" s="20">
        <f ca="1">_xll.meMathNormalDistributionPDF(B35)</f>
        <v>1.0693837871540878E-12</v>
      </c>
      <c r="G35" s="7">
        <v>0.13500000000000004</v>
      </c>
      <c r="H35" s="3">
        <f ca="1">_xll.meMathNormalDistributionStandardInverse(G35)</f>
        <v>-1.1030625561995975</v>
      </c>
      <c r="I35" s="3"/>
      <c r="J35" s="9">
        <f t="shared" si="1"/>
        <v>-1.1030625561995977</v>
      </c>
      <c r="K35" s="17">
        <f t="shared" ca="1" si="2"/>
        <v>0</v>
      </c>
      <c r="M35" s="1">
        <v>-7.3000000000000096</v>
      </c>
      <c r="N35" s="3">
        <f ca="1">_xll.meMathNormalDistribution(M35,$N$4,$N$5)</f>
        <v>1.4388386381574822E-13</v>
      </c>
      <c r="O35" s="20">
        <f ca="1">_xll.meMathNormalDistributionPDF(M35,$N$4,$N$5)</f>
        <v>1.0693837871540878E-12</v>
      </c>
      <c r="P35" s="8" t="b">
        <f t="shared" ca="1" si="0"/>
        <v>1</v>
      </c>
      <c r="R35" s="7">
        <v>0.13500000000000004</v>
      </c>
      <c r="S35" s="3">
        <f ca="1">_xll.meMathNormalDistributionInverse(R35,$S$4,$S$5)</f>
        <v>-1.1030625561995975</v>
      </c>
      <c r="T35" s="12" t="b">
        <f t="shared" ca="1" si="3"/>
        <v>1</v>
      </c>
    </row>
    <row r="36" spans="2:20" x14ac:dyDescent="0.25">
      <c r="B36" s="1">
        <v>-7.2000000000000099</v>
      </c>
      <c r="C36" s="3">
        <f ca="1">_xll.meMathNormalDistributionStandard(B36)</f>
        <v>3.0106279811172143E-13</v>
      </c>
      <c r="D36" s="20">
        <f ca="1">_xll.meMathNormalDistributionPDF(B36)</f>
        <v>2.2079899631369825E-12</v>
      </c>
      <c r="G36" s="7">
        <v>0.14000000000000004</v>
      </c>
      <c r="H36" s="3">
        <f ca="1">_xll.meMathNormalDistributionStandardInverse(G36)</f>
        <v>-1.0803193408149558</v>
      </c>
      <c r="I36" s="3"/>
      <c r="J36" s="9">
        <f t="shared" si="1"/>
        <v>-1.0803193408149565</v>
      </c>
      <c r="K36" s="17">
        <f t="shared" ca="1" si="2"/>
        <v>0</v>
      </c>
      <c r="M36" s="1">
        <v>-7.2000000000000099</v>
      </c>
      <c r="N36" s="3">
        <f ca="1">_xll.meMathNormalDistribution(M36,$N$4,$N$5)</f>
        <v>3.0106279811172143E-13</v>
      </c>
      <c r="O36" s="20">
        <f ca="1">_xll.meMathNormalDistributionPDF(M36,$N$4,$N$5)</f>
        <v>2.2079899631369825E-12</v>
      </c>
      <c r="P36" s="8" t="b">
        <f t="shared" ca="1" si="0"/>
        <v>1</v>
      </c>
      <c r="R36" s="7">
        <v>0.14000000000000004</v>
      </c>
      <c r="S36" s="3">
        <f ca="1">_xll.meMathNormalDistributionInverse(R36,$S$4,$S$5)</f>
        <v>-1.0803193408149558</v>
      </c>
      <c r="T36" s="12" t="b">
        <f t="shared" ca="1" si="3"/>
        <v>1</v>
      </c>
    </row>
    <row r="37" spans="2:20" x14ac:dyDescent="0.25">
      <c r="B37" s="1">
        <v>-7.1000000000000103</v>
      </c>
      <c r="C37" s="3">
        <f ca="1">_xll.meMathNormalDistributionStandard(B37)</f>
        <v>6.2378444633311121E-13</v>
      </c>
      <c r="D37" s="20">
        <f ca="1">_xll.meMathNormalDistributionPDF(B37)</f>
        <v>4.5135436772051806E-12</v>
      </c>
      <c r="G37" s="7">
        <v>0.14500000000000005</v>
      </c>
      <c r="H37" s="3">
        <f ca="1">_xll.meMathNormalDistributionStandardInverse(G37)</f>
        <v>-1.0581216176847765</v>
      </c>
      <c r="I37" s="3"/>
      <c r="J37" s="9">
        <f t="shared" si="1"/>
        <v>-1.058121617684777</v>
      </c>
      <c r="K37" s="17">
        <f t="shared" ca="1" si="2"/>
        <v>0</v>
      </c>
      <c r="M37" s="1">
        <v>-7.1000000000000103</v>
      </c>
      <c r="N37" s="3">
        <f ca="1">_xll.meMathNormalDistribution(M37,$N$4,$N$5)</f>
        <v>6.2378444633311121E-13</v>
      </c>
      <c r="O37" s="20">
        <f ca="1">_xll.meMathNormalDistributionPDF(M37,$N$4,$N$5)</f>
        <v>4.5135436772051806E-12</v>
      </c>
      <c r="P37" s="8" t="b">
        <f t="shared" ca="1" si="0"/>
        <v>1</v>
      </c>
      <c r="R37" s="7">
        <v>0.14500000000000005</v>
      </c>
      <c r="S37" s="3">
        <f ca="1">_xll.meMathNormalDistributionInverse(R37,$S$4,$S$5)</f>
        <v>-1.0581216176847765</v>
      </c>
      <c r="T37" s="12" t="b">
        <f t="shared" ca="1" si="3"/>
        <v>1</v>
      </c>
    </row>
    <row r="38" spans="2:20" x14ac:dyDescent="0.25">
      <c r="B38" s="1">
        <v>-7.0000000000000107</v>
      </c>
      <c r="C38" s="3">
        <f ca="1">_xll.meMathNormalDistributionStandard(B38)</f>
        <v>1.2798125438857374E-12</v>
      </c>
      <c r="D38" s="20">
        <f ca="1">_xll.meMathNormalDistributionPDF(B38)</f>
        <v>9.1347204083639119E-12</v>
      </c>
      <c r="G38" s="7">
        <v>0.15000000000000005</v>
      </c>
      <c r="H38" s="3">
        <f ca="1">_xll.meMathNormalDistributionStandardInverse(G38)</f>
        <v>-1.0364333894937894</v>
      </c>
      <c r="I38" s="3"/>
      <c r="J38" s="9">
        <f t="shared" si="1"/>
        <v>-1.0364333894937898</v>
      </c>
      <c r="K38" s="17">
        <f t="shared" ca="1" si="2"/>
        <v>0</v>
      </c>
      <c r="M38" s="1">
        <v>-7.0000000000000107</v>
      </c>
      <c r="N38" s="3">
        <f ca="1">_xll.meMathNormalDistribution(M38,$N$4,$N$5)</f>
        <v>1.2798125438857374E-12</v>
      </c>
      <c r="O38" s="20">
        <f ca="1">_xll.meMathNormalDistributionPDF(M38,$N$4,$N$5)</f>
        <v>9.1347204083639119E-12</v>
      </c>
      <c r="P38" s="8" t="b">
        <f t="shared" ca="1" si="0"/>
        <v>1</v>
      </c>
      <c r="R38" s="7">
        <v>0.15000000000000005</v>
      </c>
      <c r="S38" s="3">
        <f ca="1">_xll.meMathNormalDistributionInverse(R38,$S$4,$S$5)</f>
        <v>-1.0364333894937894</v>
      </c>
      <c r="T38" s="12" t="b">
        <f t="shared" ca="1" si="3"/>
        <v>1</v>
      </c>
    </row>
    <row r="39" spans="2:20" x14ac:dyDescent="0.25">
      <c r="B39" s="1">
        <v>-6.900000000000011</v>
      </c>
      <c r="C39" s="3">
        <f ca="1">_xll.meMathNormalDistributionStandard(B39)</f>
        <v>2.6001269656379755E-12</v>
      </c>
      <c r="D39" s="20">
        <f ca="1">_xll.meMathNormalDistributionPDF(B39)</f>
        <v>1.8303322170154415E-11</v>
      </c>
      <c r="G39" s="7">
        <v>0.15500000000000005</v>
      </c>
      <c r="H39" s="3">
        <f ca="1">_xll.meMathNormalDistributionStandardInverse(G39)</f>
        <v>-1.0152220332170279</v>
      </c>
      <c r="I39" s="3"/>
      <c r="J39" s="9">
        <f t="shared" si="1"/>
        <v>-1.0152220332170301</v>
      </c>
      <c r="K39" s="17">
        <f t="shared" ca="1" si="2"/>
        <v>2.2204460492503131E-15</v>
      </c>
      <c r="M39" s="1">
        <v>-6.900000000000011</v>
      </c>
      <c r="N39" s="3">
        <f ca="1">_xll.meMathNormalDistribution(M39,$N$4,$N$5)</f>
        <v>2.6001269656379755E-12</v>
      </c>
      <c r="O39" s="20">
        <f ca="1">_xll.meMathNormalDistributionPDF(M39,$N$4,$N$5)</f>
        <v>1.8303322170154415E-11</v>
      </c>
      <c r="P39" s="8" t="b">
        <f t="shared" ca="1" si="0"/>
        <v>1</v>
      </c>
      <c r="R39" s="7">
        <v>0.15500000000000005</v>
      </c>
      <c r="S39" s="3">
        <f ca="1">_xll.meMathNormalDistributionInverse(R39,$S$4,$S$5)</f>
        <v>-1.0152220332170279</v>
      </c>
      <c r="T39" s="12" t="b">
        <f t="shared" ca="1" si="3"/>
        <v>1</v>
      </c>
    </row>
    <row r="40" spans="2:20" x14ac:dyDescent="0.25">
      <c r="B40" s="1">
        <v>-6.8000000000000114</v>
      </c>
      <c r="C40" s="3">
        <f ca="1">_xll.meMathNormalDistributionStandard(B40)</f>
        <v>5.2309575441441836E-12</v>
      </c>
      <c r="D40" s="20">
        <f ca="1">_xll.meMathNormalDistributionPDF(B40)</f>
        <v>3.6309615017915174E-11</v>
      </c>
      <c r="G40" s="7">
        <v>0.16000000000000006</v>
      </c>
      <c r="H40" s="3">
        <f ca="1">_xll.meMathNormalDistributionStandardInverse(G40)</f>
        <v>-0.99445788320975292</v>
      </c>
      <c r="I40" s="3"/>
      <c r="J40" s="9">
        <f t="shared" si="1"/>
        <v>-0.9944578832097497</v>
      </c>
      <c r="K40" s="17">
        <f t="shared" ca="1" si="2"/>
        <v>-3.219646771412954E-15</v>
      </c>
      <c r="M40" s="1">
        <v>-6.8000000000000114</v>
      </c>
      <c r="N40" s="3">
        <f ca="1">_xll.meMathNormalDistribution(M40,$N$4,$N$5)</f>
        <v>5.2309575441441836E-12</v>
      </c>
      <c r="O40" s="20">
        <f ca="1">_xll.meMathNormalDistributionPDF(M40,$N$4,$N$5)</f>
        <v>3.6309615017915174E-11</v>
      </c>
      <c r="P40" s="8" t="b">
        <f t="shared" ref="P40:P73" ca="1" si="4">C40=N40</f>
        <v>1</v>
      </c>
      <c r="R40" s="7">
        <v>0.16000000000000006</v>
      </c>
      <c r="S40" s="3">
        <f ca="1">_xll.meMathNormalDistributionInverse(R40,$S$4,$S$5)</f>
        <v>-0.99445788320975292</v>
      </c>
      <c r="T40" s="12" t="b">
        <f t="shared" ca="1" si="3"/>
        <v>1</v>
      </c>
    </row>
    <row r="41" spans="2:20" x14ac:dyDescent="0.25">
      <c r="B41" s="1">
        <v>-6.7000000000000117</v>
      </c>
      <c r="C41" s="3">
        <f ca="1">_xll.meMathNormalDistributionStandard(B41)</f>
        <v>1.042097698796436E-11</v>
      </c>
      <c r="D41" s="20">
        <f ca="1">_xll.meMathNormalDistributionPDF(B41)</f>
        <v>7.1313281239955193E-11</v>
      </c>
      <c r="G41" s="7">
        <v>0.16500000000000006</v>
      </c>
      <c r="H41" s="3">
        <f ca="1">_xll.meMathNormalDistributionStandardInverse(G41)</f>
        <v>-0.97411387705930885</v>
      </c>
      <c r="I41" s="3"/>
      <c r="J41" s="9">
        <f t="shared" ref="J41:J72" si="5">NORMSINV(G41)</f>
        <v>-0.97411387705930974</v>
      </c>
      <c r="K41" s="17">
        <f t="shared" ref="K41:K72" ca="1" si="6">H41-J41</f>
        <v>8.8817841970012523E-16</v>
      </c>
      <c r="M41" s="1">
        <v>-6.7000000000000117</v>
      </c>
      <c r="N41" s="3">
        <f ca="1">_xll.meMathNormalDistribution(M41,$N$4,$N$5)</f>
        <v>1.042097698796436E-11</v>
      </c>
      <c r="O41" s="20">
        <f ca="1">_xll.meMathNormalDistributionPDF(M41,$N$4,$N$5)</f>
        <v>7.1313281239955193E-11</v>
      </c>
      <c r="P41" s="8" t="b">
        <f t="shared" ca="1" si="4"/>
        <v>1</v>
      </c>
      <c r="R41" s="7">
        <v>0.16500000000000006</v>
      </c>
      <c r="S41" s="3">
        <f ca="1">_xll.meMathNormalDistributionInverse(R41,$S$4,$S$5)</f>
        <v>-0.97411387705930885</v>
      </c>
      <c r="T41" s="12" t="b">
        <f t="shared" ca="1" si="3"/>
        <v>1</v>
      </c>
    </row>
    <row r="42" spans="2:20" x14ac:dyDescent="0.25">
      <c r="B42" s="1">
        <v>-6.6000000000000121</v>
      </c>
      <c r="C42" s="3">
        <f ca="1">_xll.meMathNormalDistributionStandard(B42)</f>
        <v>2.0557889093993516E-11</v>
      </c>
      <c r="D42" s="20">
        <f ca="1">_xll.meMathNormalDistributionPDF(B42)</f>
        <v>1.386679994165204E-10</v>
      </c>
      <c r="G42" s="7">
        <v>0.17000000000000007</v>
      </c>
      <c r="H42" s="3">
        <f ca="1">_xll.meMathNormalDistributionStandardInverse(G42)</f>
        <v>-0.95416525314619427</v>
      </c>
      <c r="I42" s="3"/>
      <c r="J42" s="9">
        <f t="shared" si="5"/>
        <v>-0.95416525314619549</v>
      </c>
      <c r="K42" s="17">
        <f t="shared" ca="1" si="6"/>
        <v>1.2212453270876722E-15</v>
      </c>
      <c r="M42" s="1">
        <v>-6.6000000000000121</v>
      </c>
      <c r="N42" s="3">
        <f ca="1">_xll.meMathNormalDistribution(M42,$N$4,$N$5)</f>
        <v>2.0557889093993516E-11</v>
      </c>
      <c r="O42" s="20">
        <f ca="1">_xll.meMathNormalDistributionPDF(M42,$N$4,$N$5)</f>
        <v>1.386679994165204E-10</v>
      </c>
      <c r="P42" s="8" t="b">
        <f t="shared" ca="1" si="4"/>
        <v>1</v>
      </c>
      <c r="R42" s="7">
        <v>0.17000000000000007</v>
      </c>
      <c r="S42" s="3">
        <f ca="1">_xll.meMathNormalDistributionInverse(R42,$S$4,$S$5)</f>
        <v>-0.95416525314619427</v>
      </c>
      <c r="T42" s="12" t="b">
        <f t="shared" ca="1" si="3"/>
        <v>1</v>
      </c>
    </row>
    <row r="43" spans="2:20" x14ac:dyDescent="0.25">
      <c r="B43" s="1">
        <v>-6.5000000000000124</v>
      </c>
      <c r="C43" s="3">
        <f ca="1">_xll.meMathNormalDistributionStandard(B43)</f>
        <v>4.0160005838587824E-11</v>
      </c>
      <c r="D43" s="20">
        <f ca="1">_xll.meMathNormalDistributionPDF(B43)</f>
        <v>2.6695566147626343E-10</v>
      </c>
      <c r="G43" s="7">
        <v>0.17500000000000007</v>
      </c>
      <c r="H43" s="3">
        <f ca="1">_xll.meMathNormalDistributionStandardInverse(G43)</f>
        <v>-0.93458929107347999</v>
      </c>
      <c r="I43" s="3"/>
      <c r="J43" s="9">
        <f t="shared" si="5"/>
        <v>-0.9345892910734801</v>
      </c>
      <c r="K43" s="17">
        <f t="shared" ca="1" si="6"/>
        <v>0</v>
      </c>
      <c r="M43" s="1">
        <v>-6.5000000000000124</v>
      </c>
      <c r="N43" s="3">
        <f ca="1">_xll.meMathNormalDistribution(M43,$N$4,$N$5)</f>
        <v>4.0160005838587824E-11</v>
      </c>
      <c r="O43" s="20">
        <f ca="1">_xll.meMathNormalDistributionPDF(M43,$N$4,$N$5)</f>
        <v>2.6695566147626343E-10</v>
      </c>
      <c r="P43" s="8" t="b">
        <f t="shared" ca="1" si="4"/>
        <v>1</v>
      </c>
      <c r="R43" s="7">
        <v>0.17500000000000007</v>
      </c>
      <c r="S43" s="3">
        <f ca="1">_xll.meMathNormalDistributionInverse(R43,$S$4,$S$5)</f>
        <v>-0.93458929107347999</v>
      </c>
      <c r="T43" s="12" t="b">
        <f t="shared" ca="1" si="3"/>
        <v>1</v>
      </c>
    </row>
    <row r="44" spans="2:20" x14ac:dyDescent="0.25">
      <c r="B44" s="1">
        <v>-6.4000000000000128</v>
      </c>
      <c r="C44" s="3">
        <f ca="1">_xll.meMathNormalDistributionStandard(B44)</f>
        <v>7.7688475817091785E-11</v>
      </c>
      <c r="D44" s="20">
        <f ca="1">_xll.meMathNormalDistributionPDF(B44)</f>
        <v>5.0881402816446408E-10</v>
      </c>
      <c r="G44" s="7">
        <v>0.18000000000000008</v>
      </c>
      <c r="H44" s="3">
        <f ca="1">_xll.meMathNormalDistributionStandardInverse(G44)</f>
        <v>-0.91536508784281378</v>
      </c>
      <c r="I44" s="3"/>
      <c r="J44" s="9">
        <f t="shared" si="5"/>
        <v>-0.91536508784281256</v>
      </c>
      <c r="K44" s="17">
        <f t="shared" ca="1" si="6"/>
        <v>-1.2212453270876722E-15</v>
      </c>
      <c r="M44" s="1">
        <v>-6.4000000000000128</v>
      </c>
      <c r="N44" s="3">
        <f ca="1">_xll.meMathNormalDistribution(M44,$N$4,$N$5)</f>
        <v>7.7688475817091785E-11</v>
      </c>
      <c r="O44" s="20">
        <f ca="1">_xll.meMathNormalDistributionPDF(M44,$N$4,$N$5)</f>
        <v>5.0881402816446408E-10</v>
      </c>
      <c r="P44" s="8" t="b">
        <f t="shared" ca="1" si="4"/>
        <v>1</v>
      </c>
      <c r="R44" s="7">
        <v>0.18000000000000008</v>
      </c>
      <c r="S44" s="3">
        <f ca="1">_xll.meMathNormalDistributionInverse(R44,$S$4,$S$5)</f>
        <v>-0.91536508784281378</v>
      </c>
      <c r="T44" s="12" t="b">
        <f t="shared" ca="1" si="3"/>
        <v>1</v>
      </c>
    </row>
    <row r="45" spans="2:20" x14ac:dyDescent="0.25">
      <c r="B45" s="1">
        <v>-6.3000000000000131</v>
      </c>
      <c r="C45" s="3">
        <f ca="1">_xll.meMathNormalDistributionStandard(B45)</f>
        <v>1.4882282217621826E-10</v>
      </c>
      <c r="D45" s="20">
        <f ca="1">_xll.meMathNormalDistributionPDF(B45)</f>
        <v>9.6014333703115174E-10</v>
      </c>
      <c r="G45" s="7">
        <v>0.18500000000000008</v>
      </c>
      <c r="H45" s="3">
        <f ca="1">_xll.meMathNormalDistributionStandardInverse(G45)</f>
        <v>-0.89647336400191591</v>
      </c>
      <c r="I45" s="3"/>
      <c r="J45" s="9">
        <f t="shared" si="5"/>
        <v>-0.89647336400191591</v>
      </c>
      <c r="K45" s="17">
        <f t="shared" ca="1" si="6"/>
        <v>0</v>
      </c>
      <c r="M45" s="1">
        <v>-6.3000000000000131</v>
      </c>
      <c r="N45" s="3">
        <f ca="1">_xll.meMathNormalDistribution(M45,$N$4,$N$5)</f>
        <v>1.4882282217621826E-10</v>
      </c>
      <c r="O45" s="20">
        <f ca="1">_xll.meMathNormalDistributionPDF(M45,$N$4,$N$5)</f>
        <v>9.6014333703115174E-10</v>
      </c>
      <c r="P45" s="8" t="b">
        <f t="shared" ca="1" si="4"/>
        <v>1</v>
      </c>
      <c r="R45" s="7">
        <v>0.18500000000000008</v>
      </c>
      <c r="S45" s="3">
        <f ca="1">_xll.meMathNormalDistributionInverse(R45,$S$4,$S$5)</f>
        <v>-0.89647336400191591</v>
      </c>
      <c r="T45" s="12" t="b">
        <f t="shared" ca="1" si="3"/>
        <v>1</v>
      </c>
    </row>
    <row r="46" spans="2:20" x14ac:dyDescent="0.25">
      <c r="B46" s="1">
        <v>-6.2000000000000135</v>
      </c>
      <c r="C46" s="3">
        <f ca="1">_xll.meMathNormalDistributionStandard(B46)</f>
        <v>2.8231580370430314E-10</v>
      </c>
      <c r="D46" s="20">
        <f ca="1">_xll.meMathNormalDistributionPDF(B46)</f>
        <v>1.793783907963933E-9</v>
      </c>
      <c r="G46" s="7">
        <v>0.19000000000000009</v>
      </c>
      <c r="H46" s="3">
        <f ca="1">_xll.meMathNormalDistributionStandardInverse(G46)</f>
        <v>-0.87789629505122824</v>
      </c>
      <c r="I46" s="3"/>
      <c r="J46" s="9">
        <f t="shared" si="5"/>
        <v>-0.87789629505122779</v>
      </c>
      <c r="K46" s="17">
        <f t="shared" ca="1" si="6"/>
        <v>0</v>
      </c>
      <c r="M46" s="1">
        <v>-6.2000000000000135</v>
      </c>
      <c r="N46" s="3">
        <f ca="1">_xll.meMathNormalDistribution(M46,$N$4,$N$5)</f>
        <v>2.8231580370430314E-10</v>
      </c>
      <c r="O46" s="20">
        <f ca="1">_xll.meMathNormalDistributionPDF(M46,$N$4,$N$5)</f>
        <v>1.793783907963933E-9</v>
      </c>
      <c r="P46" s="8" t="b">
        <f t="shared" ca="1" si="4"/>
        <v>1</v>
      </c>
      <c r="R46" s="7">
        <v>0.19000000000000009</v>
      </c>
      <c r="S46" s="3">
        <f ca="1">_xll.meMathNormalDistributionInverse(R46,$S$4,$S$5)</f>
        <v>-0.87789629505122824</v>
      </c>
      <c r="T46" s="12" t="b">
        <f t="shared" ca="1" si="3"/>
        <v>1</v>
      </c>
    </row>
    <row r="47" spans="2:20" x14ac:dyDescent="0.25">
      <c r="B47" s="1">
        <v>-6.1000000000000139</v>
      </c>
      <c r="C47" s="3">
        <f ca="1">_xll.meMathNormalDistributionStandard(B47)</f>
        <v>5.3034232629483644E-10</v>
      </c>
      <c r="D47" s="20">
        <f ca="1">_xll.meMathNormalDistributionPDF(B47)</f>
        <v>3.3178842435470104E-9</v>
      </c>
      <c r="G47" s="7">
        <v>0.19500000000000009</v>
      </c>
      <c r="H47" s="3">
        <f ca="1">_xll.meMathNormalDistributionStandardInverse(G47)</f>
        <v>-0.85961736424191115</v>
      </c>
      <c r="I47" s="3"/>
      <c r="J47" s="9">
        <f t="shared" si="5"/>
        <v>-0.85961736424191115</v>
      </c>
      <c r="K47" s="17">
        <f t="shared" ca="1" si="6"/>
        <v>0</v>
      </c>
      <c r="M47" s="1">
        <v>-6.1000000000000139</v>
      </c>
      <c r="N47" s="3">
        <f ca="1">_xll.meMathNormalDistribution(M47,$N$4,$N$5)</f>
        <v>5.3034232629483644E-10</v>
      </c>
      <c r="O47" s="20">
        <f ca="1">_xll.meMathNormalDistributionPDF(M47,$N$4,$N$5)</f>
        <v>3.3178842435470104E-9</v>
      </c>
      <c r="P47" s="8" t="b">
        <f t="shared" ca="1" si="4"/>
        <v>1</v>
      </c>
      <c r="R47" s="7">
        <v>0.19500000000000009</v>
      </c>
      <c r="S47" s="3">
        <f ca="1">_xll.meMathNormalDistributionInverse(R47,$S$4,$S$5)</f>
        <v>-0.85961736424191115</v>
      </c>
      <c r="T47" s="12" t="b">
        <f t="shared" ca="1" si="3"/>
        <v>1</v>
      </c>
    </row>
    <row r="48" spans="2:20" x14ac:dyDescent="0.25">
      <c r="B48" s="1">
        <v>-6.0000000000000142</v>
      </c>
      <c r="C48" s="3">
        <f ca="1">_xll.meMathNormalDistributionStandard(B48)</f>
        <v>9.8658764503761186E-10</v>
      </c>
      <c r="D48" s="20">
        <f ca="1">_xll.meMathNormalDistributionPDF(B48)</f>
        <v>6.0758828498227674E-9</v>
      </c>
      <c r="G48" s="7">
        <v>0.20000000000000009</v>
      </c>
      <c r="H48" s="3">
        <f ca="1">_xll.meMathNormalDistributionStandardInverse(G48)</f>
        <v>-0.84162123357291396</v>
      </c>
      <c r="I48" s="3"/>
      <c r="J48" s="9">
        <f t="shared" si="5"/>
        <v>-0.84162123357291341</v>
      </c>
      <c r="K48" s="17">
        <f t="shared" ca="1" si="6"/>
        <v>0</v>
      </c>
      <c r="M48" s="1">
        <v>-6.0000000000000142</v>
      </c>
      <c r="N48" s="3">
        <f ca="1">_xll.meMathNormalDistribution(M48,$N$4,$N$5)</f>
        <v>9.8658764503761186E-10</v>
      </c>
      <c r="O48" s="20">
        <f ca="1">_xll.meMathNormalDistributionPDF(M48,$N$4,$N$5)</f>
        <v>6.0758828498227674E-9</v>
      </c>
      <c r="P48" s="8" t="b">
        <f t="shared" ca="1" si="4"/>
        <v>1</v>
      </c>
      <c r="R48" s="7">
        <v>0.20000000000000009</v>
      </c>
      <c r="S48" s="3">
        <f ca="1">_xll.meMathNormalDistributionInverse(R48,$S$4,$S$5)</f>
        <v>-0.84162123357291396</v>
      </c>
      <c r="T48" s="12" t="b">
        <f t="shared" ca="1" si="3"/>
        <v>1</v>
      </c>
    </row>
    <row r="49" spans="2:20" x14ac:dyDescent="0.25">
      <c r="B49" s="1">
        <v>-5.9000000000000146</v>
      </c>
      <c r="C49" s="3">
        <f ca="1">_xll.meMathNormalDistributionStandard(B49)</f>
        <v>1.8175078630992715E-9</v>
      </c>
      <c r="D49" s="20">
        <f ca="1">_xll.meMathNormalDistributionPDF(B49)</f>
        <v>1.101576362468137E-8</v>
      </c>
      <c r="G49" s="7">
        <v>0.2050000000000001</v>
      </c>
      <c r="H49" s="3">
        <f ca="1">_xll.meMathNormalDistributionStandardInverse(G49)</f>
        <v>-0.823893630338557</v>
      </c>
      <c r="I49" s="3"/>
      <c r="J49" s="9">
        <f t="shared" si="5"/>
        <v>-0.82389363033855734</v>
      </c>
      <c r="K49" s="17">
        <f t="shared" ca="1" si="6"/>
        <v>0</v>
      </c>
      <c r="M49" s="1">
        <v>-5.9000000000000146</v>
      </c>
      <c r="N49" s="3">
        <f ca="1">_xll.meMathNormalDistribution(M49,$N$4,$N$5)</f>
        <v>1.8175078630992715E-9</v>
      </c>
      <c r="O49" s="20">
        <f ca="1">_xll.meMathNormalDistributionPDF(M49,$N$4,$N$5)</f>
        <v>1.101576362468137E-8</v>
      </c>
      <c r="P49" s="8" t="b">
        <f t="shared" ca="1" si="4"/>
        <v>1</v>
      </c>
      <c r="R49" s="7">
        <v>0.2050000000000001</v>
      </c>
      <c r="S49" s="3">
        <f ca="1">_xll.meMathNormalDistributionInverse(R49,$S$4,$S$5)</f>
        <v>-0.823893630338557</v>
      </c>
      <c r="T49" s="12" t="b">
        <f t="shared" ca="1" si="3"/>
        <v>1</v>
      </c>
    </row>
    <row r="50" spans="2:20" x14ac:dyDescent="0.25">
      <c r="B50" s="1">
        <v>-5.8000000000000149</v>
      </c>
      <c r="C50" s="3">
        <f ca="1">_xll.meMathNormalDistributionStandard(B50)</f>
        <v>3.3157459783258697E-9</v>
      </c>
      <c r="D50" s="20">
        <f ca="1">_xll.meMathNormalDistributionPDF(B50)</f>
        <v>1.9773196406242984E-8</v>
      </c>
      <c r="G50" s="7">
        <v>0.2100000000000001</v>
      </c>
      <c r="H50" s="3">
        <f ca="1">_xll.meMathNormalDistributionStandardInverse(G50)</f>
        <v>-0.80642124701823992</v>
      </c>
      <c r="I50" s="3"/>
      <c r="J50" s="9">
        <f t="shared" si="5"/>
        <v>-0.80642124701823992</v>
      </c>
      <c r="K50" s="17">
        <f t="shared" ca="1" si="6"/>
        <v>0</v>
      </c>
      <c r="M50" s="1">
        <v>-5.8000000000000149</v>
      </c>
      <c r="N50" s="3">
        <f ca="1">_xll.meMathNormalDistribution(M50,$N$4,$N$5)</f>
        <v>3.3157459783258697E-9</v>
      </c>
      <c r="O50" s="20">
        <f ca="1">_xll.meMathNormalDistributionPDF(M50,$N$4,$N$5)</f>
        <v>1.9773196406242984E-8</v>
      </c>
      <c r="P50" s="8" t="b">
        <f t="shared" ca="1" si="4"/>
        <v>1</v>
      </c>
      <c r="R50" s="7">
        <v>0.2100000000000001</v>
      </c>
      <c r="S50" s="3">
        <f ca="1">_xll.meMathNormalDistributionInverse(R50,$S$4,$S$5)</f>
        <v>-0.80642124701823992</v>
      </c>
      <c r="T50" s="12" t="b">
        <f t="shared" ca="1" si="3"/>
        <v>1</v>
      </c>
    </row>
    <row r="51" spans="2:20" x14ac:dyDescent="0.25">
      <c r="B51" s="1">
        <v>-5.7000000000000153</v>
      </c>
      <c r="C51" s="3">
        <f ca="1">_xll.meMathNormalDistributionStandard(B51)</f>
        <v>5.9903714010630027E-9</v>
      </c>
      <c r="D51" s="20">
        <f ca="1">_xll.meMathNormalDistributionPDF(B51)</f>
        <v>3.5139550948201343E-8</v>
      </c>
      <c r="G51" s="7">
        <v>0.21500000000000011</v>
      </c>
      <c r="H51" s="3">
        <f ca="1">_xll.meMathNormalDistributionStandardInverse(G51)</f>
        <v>-0.78919165265822189</v>
      </c>
      <c r="I51" s="3"/>
      <c r="J51" s="9">
        <f t="shared" si="5"/>
        <v>-0.789191652658222</v>
      </c>
      <c r="K51" s="17">
        <f t="shared" ca="1" si="6"/>
        <v>0</v>
      </c>
      <c r="M51" s="1">
        <v>-5.7000000000000153</v>
      </c>
      <c r="N51" s="3">
        <f ca="1">_xll.meMathNormalDistribution(M51,$N$4,$N$5)</f>
        <v>5.9903714010630027E-9</v>
      </c>
      <c r="O51" s="20">
        <f ca="1">_xll.meMathNormalDistributionPDF(M51,$N$4,$N$5)</f>
        <v>3.5139550948201343E-8</v>
      </c>
      <c r="P51" s="8" t="b">
        <f t="shared" ca="1" si="4"/>
        <v>1</v>
      </c>
      <c r="R51" s="7">
        <v>0.21500000000000011</v>
      </c>
      <c r="S51" s="3">
        <f ca="1">_xll.meMathNormalDistributionInverse(R51,$S$4,$S$5)</f>
        <v>-0.78919165265822189</v>
      </c>
      <c r="T51" s="12" t="b">
        <f t="shared" ca="1" si="3"/>
        <v>1</v>
      </c>
    </row>
    <row r="52" spans="2:20" x14ac:dyDescent="0.25">
      <c r="B52" s="1">
        <v>-5.6000000000000156</v>
      </c>
      <c r="C52" s="3">
        <f ca="1">_xll.meMathNormalDistributionStandard(B52)</f>
        <v>1.071759025830995E-8</v>
      </c>
      <c r="D52" s="20">
        <f ca="1">_xll.meMathNormalDistributionPDF(B52)</f>
        <v>6.182620500165308E-8</v>
      </c>
      <c r="G52" s="7">
        <v>0.22000000000000011</v>
      </c>
      <c r="H52" s="3">
        <f ca="1">_xll.meMathNormalDistributionStandardInverse(G52)</f>
        <v>-0.77219321418868458</v>
      </c>
      <c r="I52" s="3"/>
      <c r="J52" s="9">
        <f t="shared" si="5"/>
        <v>-0.77219321418868436</v>
      </c>
      <c r="K52" s="17">
        <f t="shared" ca="1" si="6"/>
        <v>0</v>
      </c>
      <c r="M52" s="1">
        <v>-5.6000000000000156</v>
      </c>
      <c r="N52" s="3">
        <f ca="1">_xll.meMathNormalDistribution(M52,$N$4,$N$5)</f>
        <v>1.071759025830995E-8</v>
      </c>
      <c r="O52" s="20">
        <f ca="1">_xll.meMathNormalDistributionPDF(M52,$N$4,$N$5)</f>
        <v>6.182620500165308E-8</v>
      </c>
      <c r="P52" s="8" t="b">
        <f t="shared" ca="1" si="4"/>
        <v>1</v>
      </c>
      <c r="R52" s="7">
        <v>0.22000000000000011</v>
      </c>
      <c r="S52" s="3">
        <f ca="1">_xll.meMathNormalDistributionInverse(R52,$S$4,$S$5)</f>
        <v>-0.77219321418868458</v>
      </c>
      <c r="T52" s="12" t="b">
        <f t="shared" ca="1" si="3"/>
        <v>1</v>
      </c>
    </row>
    <row r="53" spans="2:20" x14ac:dyDescent="0.25">
      <c r="B53" s="1">
        <v>-5.500000000000016</v>
      </c>
      <c r="C53" s="3">
        <f ca="1">_xll.meMathNormalDistributionStandard(B53)</f>
        <v>1.8989562465885987E-8</v>
      </c>
      <c r="D53" s="20">
        <f ca="1">_xll.meMathNormalDistributionPDF(B53)</f>
        <v>1.0769760042542322E-7</v>
      </c>
      <c r="G53" s="7">
        <v>0.22500000000000012</v>
      </c>
      <c r="H53" s="3">
        <f ca="1">_xll.meMathNormalDistributionStandardInverse(G53)</f>
        <v>-0.75541502636046876</v>
      </c>
      <c r="I53" s="3"/>
      <c r="J53" s="9">
        <f t="shared" si="5"/>
        <v>-0.75541502636046942</v>
      </c>
      <c r="K53" s="17">
        <f t="shared" ca="1" si="6"/>
        <v>0</v>
      </c>
      <c r="M53" s="1">
        <v>-5.500000000000016</v>
      </c>
      <c r="N53" s="3">
        <f ca="1">_xll.meMathNormalDistribution(M53,$N$4,$N$5)</f>
        <v>1.8989562465885987E-8</v>
      </c>
      <c r="O53" s="20">
        <f ca="1">_xll.meMathNormalDistributionPDF(M53,$N$4,$N$5)</f>
        <v>1.0769760042542322E-7</v>
      </c>
      <c r="P53" s="8" t="b">
        <f t="shared" ca="1" si="4"/>
        <v>1</v>
      </c>
      <c r="R53" s="7">
        <v>0.22500000000000012</v>
      </c>
      <c r="S53" s="3">
        <f ca="1">_xll.meMathNormalDistributionInverse(R53,$S$4,$S$5)</f>
        <v>-0.75541502636046876</v>
      </c>
      <c r="T53" s="12" t="b">
        <f t="shared" ca="1" si="3"/>
        <v>1</v>
      </c>
    </row>
    <row r="54" spans="2:20" x14ac:dyDescent="0.25">
      <c r="B54" s="1">
        <v>-5.4000000000000163</v>
      </c>
      <c r="C54" s="3">
        <f ca="1">_xll.meMathNormalDistributionStandard(B54)</f>
        <v>3.3320448485425517E-8</v>
      </c>
      <c r="D54" s="20">
        <f ca="1">_xll.meMathNormalDistributionPDF(B54)</f>
        <v>1.8573618445551279E-7</v>
      </c>
      <c r="G54" s="7">
        <v>0.23000000000000012</v>
      </c>
      <c r="H54" s="3">
        <f ca="1">_xll.meMathNormalDistributionStandardInverse(G54)</f>
        <v>-0.73884684918521326</v>
      </c>
      <c r="I54" s="3"/>
      <c r="J54" s="9">
        <f t="shared" si="5"/>
        <v>-0.73884684918521337</v>
      </c>
      <c r="K54" s="17">
        <f t="shared" ca="1" si="6"/>
        <v>0</v>
      </c>
      <c r="M54" s="1">
        <v>-5.4000000000000163</v>
      </c>
      <c r="N54" s="3">
        <f ca="1">_xll.meMathNormalDistribution(M54,$N$4,$N$5)</f>
        <v>3.3320448485425517E-8</v>
      </c>
      <c r="O54" s="20">
        <f ca="1">_xll.meMathNormalDistributionPDF(M54,$N$4,$N$5)</f>
        <v>1.8573618445551279E-7</v>
      </c>
      <c r="P54" s="8" t="b">
        <f t="shared" ca="1" si="4"/>
        <v>1</v>
      </c>
      <c r="R54" s="7">
        <v>0.23000000000000012</v>
      </c>
      <c r="S54" s="3">
        <f ca="1">_xll.meMathNormalDistributionInverse(R54,$S$4,$S$5)</f>
        <v>-0.73884684918521326</v>
      </c>
      <c r="T54" s="12" t="b">
        <f t="shared" ca="1" si="3"/>
        <v>1</v>
      </c>
    </row>
    <row r="55" spans="2:20" x14ac:dyDescent="0.25">
      <c r="B55" s="1">
        <v>-5.3000000000000167</v>
      </c>
      <c r="C55" s="3">
        <f ca="1">_xll.meMathNormalDistributionStandard(B55)</f>
        <v>5.7901340399640593E-8</v>
      </c>
      <c r="D55" s="20">
        <f ca="1">_xll.meMathNormalDistributionPDF(B55)</f>
        <v>3.1713492167156938E-7</v>
      </c>
      <c r="G55" s="7">
        <v>0.23500000000000013</v>
      </c>
      <c r="H55" s="3">
        <f ca="1">_xll.meMathNormalDistributionStandardInverse(G55)</f>
        <v>-0.72247905192806205</v>
      </c>
      <c r="I55" s="3"/>
      <c r="J55" s="9">
        <f t="shared" si="5"/>
        <v>-0.72247905192806261</v>
      </c>
      <c r="K55" s="17">
        <f t="shared" ca="1" si="6"/>
        <v>0</v>
      </c>
      <c r="M55" s="1">
        <v>-5.3000000000000167</v>
      </c>
      <c r="N55" s="3">
        <f ca="1">_xll.meMathNormalDistribution(M55,$N$4,$N$5)</f>
        <v>5.7901340399640593E-8</v>
      </c>
      <c r="O55" s="20">
        <f ca="1">_xll.meMathNormalDistributionPDF(M55,$N$4,$N$5)</f>
        <v>3.1713492167156938E-7</v>
      </c>
      <c r="P55" s="8" t="b">
        <f t="shared" ca="1" si="4"/>
        <v>1</v>
      </c>
      <c r="R55" s="7">
        <v>0.23500000000000013</v>
      </c>
      <c r="S55" s="3">
        <f ca="1">_xll.meMathNormalDistributionInverse(R55,$S$4,$S$5)</f>
        <v>-0.72247905192806205</v>
      </c>
      <c r="T55" s="12" t="b">
        <f t="shared" ca="1" si="3"/>
        <v>1</v>
      </c>
    </row>
    <row r="56" spans="2:20" x14ac:dyDescent="0.25">
      <c r="B56" s="1">
        <v>-5.2000000000000171</v>
      </c>
      <c r="C56" s="3">
        <f ca="1">_xll.meMathNormalDistributionStandard(B56)</f>
        <v>9.9644263169325714E-8</v>
      </c>
      <c r="D56" s="20">
        <f ca="1">_xll.meMathNormalDistributionPDF(B56)</f>
        <v>5.3610353446971465E-7</v>
      </c>
      <c r="G56" s="7">
        <v>0.24000000000000013</v>
      </c>
      <c r="H56" s="3">
        <f ca="1">_xll.meMathNormalDistributionStandardInverse(G56)</f>
        <v>-0.70630256284008697</v>
      </c>
      <c r="I56" s="3"/>
      <c r="J56" s="9">
        <f t="shared" si="5"/>
        <v>-0.70630256284008697</v>
      </c>
      <c r="K56" s="17">
        <f t="shared" ca="1" si="6"/>
        <v>0</v>
      </c>
      <c r="M56" s="1">
        <v>-5.2000000000000171</v>
      </c>
      <c r="N56" s="3">
        <f ca="1">_xll.meMathNormalDistribution(M56,$N$4,$N$5)</f>
        <v>9.9644263169325714E-8</v>
      </c>
      <c r="O56" s="20">
        <f ca="1">_xll.meMathNormalDistributionPDF(M56,$N$4,$N$5)</f>
        <v>5.3610353446971465E-7</v>
      </c>
      <c r="P56" s="8" t="b">
        <f t="shared" ca="1" si="4"/>
        <v>1</v>
      </c>
      <c r="R56" s="7">
        <v>0.24000000000000013</v>
      </c>
      <c r="S56" s="3">
        <f ca="1">_xll.meMathNormalDistributionInverse(R56,$S$4,$S$5)</f>
        <v>-0.70630256284008697</v>
      </c>
      <c r="T56" s="12" t="b">
        <f t="shared" ca="1" si="3"/>
        <v>1</v>
      </c>
    </row>
    <row r="57" spans="2:20" x14ac:dyDescent="0.25">
      <c r="B57" s="1">
        <v>-5.1000000000000174</v>
      </c>
      <c r="C57" s="3">
        <f ca="1">_xll.meMathNormalDistributionStandard(B57)</f>
        <v>1.6982674071474415E-7</v>
      </c>
      <c r="D57" s="20">
        <f ca="1">_xll.meMathNormalDistributionPDF(B57)</f>
        <v>8.9724351623825242E-7</v>
      </c>
      <c r="G57" s="7">
        <v>0.24500000000000013</v>
      </c>
      <c r="H57" s="3">
        <f ca="1">_xll.meMathNormalDistributionStandardInverse(G57)</f>
        <v>-0.69030882393303361</v>
      </c>
      <c r="I57" s="3"/>
      <c r="J57" s="9">
        <f t="shared" si="5"/>
        <v>-0.69030882393303394</v>
      </c>
      <c r="K57" s="17">
        <f t="shared" ca="1" si="6"/>
        <v>0</v>
      </c>
      <c r="M57" s="1">
        <v>-5.1000000000000174</v>
      </c>
      <c r="N57" s="3">
        <f ca="1">_xll.meMathNormalDistribution(M57,$N$4,$N$5)</f>
        <v>1.6982674071474415E-7</v>
      </c>
      <c r="O57" s="20">
        <f ca="1">_xll.meMathNormalDistributionPDF(M57,$N$4,$N$5)</f>
        <v>8.9724351623825242E-7</v>
      </c>
      <c r="P57" s="8" t="b">
        <f t="shared" ca="1" si="4"/>
        <v>1</v>
      </c>
      <c r="R57" s="7">
        <v>0.24500000000000013</v>
      </c>
      <c r="S57" s="3">
        <f ca="1">_xll.meMathNormalDistributionInverse(R57,$S$4,$S$5)</f>
        <v>-0.69030882393303361</v>
      </c>
      <c r="T57" s="12" t="b">
        <f t="shared" ca="1" si="3"/>
        <v>1</v>
      </c>
    </row>
    <row r="58" spans="2:20" x14ac:dyDescent="0.25">
      <c r="B58" s="1">
        <v>-5.0000000000000178</v>
      </c>
      <c r="C58" s="3">
        <f ca="1">_xll.meMathNormalDistributionStandard(B58)</f>
        <v>2.8665157187916755E-7</v>
      </c>
      <c r="D58" s="20">
        <f ca="1">_xll.meMathNormalDistributionPDF(B58)</f>
        <v>1.4867195147341658E-6</v>
      </c>
      <c r="G58" s="7">
        <v>0.25000000000000011</v>
      </c>
      <c r="H58" s="3">
        <f ca="1">_xll.meMathNormalDistributionStandardInverse(G58)</f>
        <v>-0.67448975019608126</v>
      </c>
      <c r="I58" s="3"/>
      <c r="J58" s="9">
        <f t="shared" si="5"/>
        <v>-0.67448975019608159</v>
      </c>
      <c r="K58" s="17">
        <f t="shared" ca="1" si="6"/>
        <v>0</v>
      </c>
      <c r="M58" s="1">
        <v>-5.0000000000000178</v>
      </c>
      <c r="N58" s="3">
        <f ca="1">_xll.meMathNormalDistribution(M58,$N$4,$N$5)</f>
        <v>2.8665157187916755E-7</v>
      </c>
      <c r="O58" s="20">
        <f ca="1">_xll.meMathNormalDistributionPDF(M58,$N$4,$N$5)</f>
        <v>1.4867195147341658E-6</v>
      </c>
      <c r="P58" s="8" t="b">
        <f t="shared" ca="1" si="4"/>
        <v>1</v>
      </c>
      <c r="R58" s="7">
        <v>0.25000000000000011</v>
      </c>
      <c r="S58" s="3">
        <f ca="1">_xll.meMathNormalDistributionInverse(R58,$S$4,$S$5)</f>
        <v>-0.67448975019608126</v>
      </c>
      <c r="T58" s="12" t="b">
        <f t="shared" ca="1" si="3"/>
        <v>1</v>
      </c>
    </row>
    <row r="59" spans="2:20" x14ac:dyDescent="0.25">
      <c r="B59" s="1">
        <v>-4.9000000000000181</v>
      </c>
      <c r="C59" s="3">
        <f ca="1">_xll.meMathNormalDistributionStandard(B59)</f>
        <v>4.7918327659027535E-7</v>
      </c>
      <c r="D59" s="20">
        <f ca="1">_xll.meMathNormalDistributionPDF(B59)</f>
        <v>2.43896074589314E-6</v>
      </c>
      <c r="G59" s="7">
        <v>0.25500000000000012</v>
      </c>
      <c r="H59" s="3">
        <f ca="1">_xll.meMathNormalDistributionStandardInverse(G59)</f>
        <v>-0.65883769273618764</v>
      </c>
      <c r="I59" s="3"/>
      <c r="J59" s="9">
        <f t="shared" si="5"/>
        <v>-0.6588376927361872</v>
      </c>
      <c r="K59" s="17">
        <f t="shared" ca="1" si="6"/>
        <v>0</v>
      </c>
      <c r="M59" s="1">
        <v>-4.9000000000000181</v>
      </c>
      <c r="N59" s="3">
        <f ca="1">_xll.meMathNormalDistribution(M59,$N$4,$N$5)</f>
        <v>4.7918327659027535E-7</v>
      </c>
      <c r="O59" s="20">
        <f ca="1">_xll.meMathNormalDistributionPDF(M59,$N$4,$N$5)</f>
        <v>2.43896074589314E-6</v>
      </c>
      <c r="P59" s="8" t="b">
        <f t="shared" ca="1" si="4"/>
        <v>1</v>
      </c>
      <c r="R59" s="7">
        <v>0.25500000000000012</v>
      </c>
      <c r="S59" s="3">
        <f ca="1">_xll.meMathNormalDistributionInverse(R59,$S$4,$S$5)</f>
        <v>-0.65883769273618764</v>
      </c>
      <c r="T59" s="12" t="b">
        <f t="shared" ca="1" si="3"/>
        <v>1</v>
      </c>
    </row>
    <row r="60" spans="2:20" x14ac:dyDescent="0.25">
      <c r="B60" s="1">
        <v>-4.8000000000000185</v>
      </c>
      <c r="C60" s="3">
        <f ca="1">_xll.meMathNormalDistributionStandard(B60)</f>
        <v>7.9332815197552196E-7</v>
      </c>
      <c r="D60" s="20">
        <f ca="1">_xll.meMathNormalDistributionPDF(B60)</f>
        <v>3.9612990910317238E-6</v>
      </c>
      <c r="G60" s="7">
        <v>0.26000000000000012</v>
      </c>
      <c r="H60" s="3">
        <f ca="1">_xll.meMathNormalDistributionStandardInverse(G60)</f>
        <v>-0.64334540539291685</v>
      </c>
      <c r="I60" s="3"/>
      <c r="J60" s="9">
        <f t="shared" si="5"/>
        <v>-0.64334540539291651</v>
      </c>
      <c r="K60" s="17">
        <f t="shared" ca="1" si="6"/>
        <v>0</v>
      </c>
      <c r="M60" s="1">
        <v>-4.8000000000000185</v>
      </c>
      <c r="N60" s="3">
        <f ca="1">_xll.meMathNormalDistribution(M60,$N$4,$N$5)</f>
        <v>7.9332815197552196E-7</v>
      </c>
      <c r="O60" s="20">
        <f ca="1">_xll.meMathNormalDistributionPDF(M60,$N$4,$N$5)</f>
        <v>3.9612990910317238E-6</v>
      </c>
      <c r="P60" s="8" t="b">
        <f t="shared" ca="1" si="4"/>
        <v>1</v>
      </c>
      <c r="R60" s="7">
        <v>0.26000000000000012</v>
      </c>
      <c r="S60" s="3">
        <f ca="1">_xll.meMathNormalDistributionInverse(R60,$S$4,$S$5)</f>
        <v>-0.64334540539291685</v>
      </c>
      <c r="T60" s="12" t="b">
        <f t="shared" ca="1" si="3"/>
        <v>1</v>
      </c>
    </row>
    <row r="61" spans="2:20" x14ac:dyDescent="0.25">
      <c r="B61" s="1">
        <v>-4.7000000000000188</v>
      </c>
      <c r="C61" s="3">
        <f ca="1">_xll.meMathNormalDistributionStandard(B61)</f>
        <v>1.3008074539171617E-6</v>
      </c>
      <c r="D61" s="20">
        <f ca="1">_xll.meMathNormalDistributionPDF(B61)</f>
        <v>6.3698251788665359E-6</v>
      </c>
      <c r="G61" s="7">
        <v>0.26500000000000012</v>
      </c>
      <c r="H61" s="3">
        <f ca="1">_xll.meMathNormalDistributionStandardInverse(G61)</f>
        <v>-0.62800601443756943</v>
      </c>
      <c r="I61" s="3"/>
      <c r="J61" s="9">
        <f t="shared" si="5"/>
        <v>-0.62800601443756943</v>
      </c>
      <c r="K61" s="17">
        <f t="shared" ca="1" si="6"/>
        <v>0</v>
      </c>
      <c r="M61" s="1">
        <v>-4.7000000000000188</v>
      </c>
      <c r="N61" s="3">
        <f ca="1">_xll.meMathNormalDistribution(M61,$N$4,$N$5)</f>
        <v>1.3008074539171617E-6</v>
      </c>
      <c r="O61" s="20">
        <f ca="1">_xll.meMathNormalDistributionPDF(M61,$N$4,$N$5)</f>
        <v>6.3698251788665359E-6</v>
      </c>
      <c r="P61" s="8" t="b">
        <f t="shared" ca="1" si="4"/>
        <v>1</v>
      </c>
      <c r="R61" s="7">
        <v>0.26500000000000012</v>
      </c>
      <c r="S61" s="3">
        <f ca="1">_xll.meMathNormalDistributionInverse(R61,$S$4,$S$5)</f>
        <v>-0.62800601443756943</v>
      </c>
      <c r="T61" s="12" t="b">
        <f t="shared" ca="1" si="3"/>
        <v>1</v>
      </c>
    </row>
    <row r="62" spans="2:20" x14ac:dyDescent="0.25">
      <c r="B62" s="1">
        <v>-4.6000000000000192</v>
      </c>
      <c r="C62" s="3">
        <f ca="1">_xll.meMathNormalDistributionStandard(B62)</f>
        <v>2.1124547025026542E-6</v>
      </c>
      <c r="D62" s="20">
        <f ca="1">_xll.meMathNormalDistributionPDF(B62)</f>
        <v>1.0140852065485842E-5</v>
      </c>
      <c r="G62" s="7">
        <v>0.27000000000000013</v>
      </c>
      <c r="H62" s="3">
        <f ca="1">_xll.meMathNormalDistributionStandardInverse(G62)</f>
        <v>-0.61281299101662712</v>
      </c>
      <c r="I62" s="3"/>
      <c r="J62" s="9">
        <f t="shared" si="5"/>
        <v>-0.61281299101662701</v>
      </c>
      <c r="K62" s="17">
        <f t="shared" ca="1" si="6"/>
        <v>0</v>
      </c>
      <c r="M62" s="1">
        <v>-4.6000000000000192</v>
      </c>
      <c r="N62" s="3">
        <f ca="1">_xll.meMathNormalDistribution(M62,$N$4,$N$5)</f>
        <v>2.1124547025026542E-6</v>
      </c>
      <c r="O62" s="20">
        <f ca="1">_xll.meMathNormalDistributionPDF(M62,$N$4,$N$5)</f>
        <v>1.0140852065485842E-5</v>
      </c>
      <c r="P62" s="8" t="b">
        <f t="shared" ca="1" si="4"/>
        <v>1</v>
      </c>
      <c r="R62" s="7">
        <v>0.27000000000000013</v>
      </c>
      <c r="S62" s="3">
        <f ca="1">_xll.meMathNormalDistributionInverse(R62,$S$4,$S$5)</f>
        <v>-0.61281299101662712</v>
      </c>
      <c r="T62" s="12" t="b">
        <f t="shared" ca="1" si="3"/>
        <v>1</v>
      </c>
    </row>
    <row r="63" spans="2:20" x14ac:dyDescent="0.25">
      <c r="B63" s="1">
        <v>-4.5000000000000195</v>
      </c>
      <c r="C63" s="3">
        <f ca="1">_xll.meMathNormalDistributionStandard(B63)</f>
        <v>3.397673124729746E-6</v>
      </c>
      <c r="D63" s="20">
        <f ca="1">_xll.meMathNormalDistributionPDF(B63)</f>
        <v>1.5983741106904055E-5</v>
      </c>
      <c r="G63" s="7">
        <v>0.27500000000000013</v>
      </c>
      <c r="H63" s="3">
        <f ca="1">_xll.meMathNormalDistributionStandardInverse(G63)</f>
        <v>-0.59776012604247808</v>
      </c>
      <c r="I63" s="3"/>
      <c r="J63" s="9">
        <f t="shared" si="5"/>
        <v>-0.59776012604247797</v>
      </c>
      <c r="K63" s="17">
        <f t="shared" ca="1" si="6"/>
        <v>0</v>
      </c>
      <c r="M63" s="1">
        <v>-4.5000000000000195</v>
      </c>
      <c r="N63" s="3">
        <f ca="1">_xll.meMathNormalDistribution(M63,$N$4,$N$5)</f>
        <v>3.397673124729746E-6</v>
      </c>
      <c r="O63" s="20">
        <f ca="1">_xll.meMathNormalDistributionPDF(M63,$N$4,$N$5)</f>
        <v>1.5983741106904055E-5</v>
      </c>
      <c r="P63" s="8" t="b">
        <f t="shared" ca="1" si="4"/>
        <v>1</v>
      </c>
      <c r="R63" s="7">
        <v>0.27500000000000013</v>
      </c>
      <c r="S63" s="3">
        <f ca="1">_xll.meMathNormalDistributionInverse(R63,$S$4,$S$5)</f>
        <v>-0.59776012604247808</v>
      </c>
      <c r="T63" s="12" t="b">
        <f t="shared" ca="1" si="3"/>
        <v>1</v>
      </c>
    </row>
    <row r="64" spans="2:20" x14ac:dyDescent="0.25">
      <c r="B64" s="1">
        <v>-4.4000000000000199</v>
      </c>
      <c r="C64" s="3">
        <f ca="1">_xll.meMathNormalDistributionStandard(B64)</f>
        <v>5.4125439077033664E-6</v>
      </c>
      <c r="D64" s="20">
        <f ca="1">_xll.meMathNormalDistributionPDF(B64)</f>
        <v>2.4942471290051404E-5</v>
      </c>
      <c r="G64" s="7">
        <v>0.28000000000000014</v>
      </c>
      <c r="H64" s="3">
        <f ca="1">_xll.meMathNormalDistributionStandardInverse(G64)</f>
        <v>-0.58284150727121586</v>
      </c>
      <c r="I64" s="3"/>
      <c r="J64" s="9">
        <f t="shared" si="5"/>
        <v>-0.58284150727121609</v>
      </c>
      <c r="K64" s="17">
        <f t="shared" ca="1" si="6"/>
        <v>0</v>
      </c>
      <c r="M64" s="1">
        <v>-4.4000000000000199</v>
      </c>
      <c r="N64" s="3">
        <f ca="1">_xll.meMathNormalDistribution(M64,$N$4,$N$5)</f>
        <v>5.4125439077033664E-6</v>
      </c>
      <c r="O64" s="20">
        <f ca="1">_xll.meMathNormalDistributionPDF(M64,$N$4,$N$5)</f>
        <v>2.4942471290051404E-5</v>
      </c>
      <c r="P64" s="8" t="b">
        <f t="shared" ca="1" si="4"/>
        <v>1</v>
      </c>
      <c r="R64" s="7">
        <v>0.28000000000000014</v>
      </c>
      <c r="S64" s="3">
        <f ca="1">_xll.meMathNormalDistributionInverse(R64,$S$4,$S$5)</f>
        <v>-0.58284150727121586</v>
      </c>
      <c r="T64" s="12" t="b">
        <f t="shared" ca="1" si="3"/>
        <v>1</v>
      </c>
    </row>
    <row r="65" spans="2:20" x14ac:dyDescent="0.25">
      <c r="B65" s="1">
        <v>-4.3000000000000203</v>
      </c>
      <c r="C65" s="3">
        <f ca="1">_xll.meMathNormalDistributionStandard(B65)</f>
        <v>8.5399054709910335E-6</v>
      </c>
      <c r="D65" s="20">
        <f ca="1">_xll.meMathNormalDistributionPDF(B65)</f>
        <v>3.8535196742083775E-5</v>
      </c>
      <c r="G65" s="7">
        <v>0.28500000000000014</v>
      </c>
      <c r="H65" s="3">
        <f ca="1">_xll.meMathNormalDistributionStandardInverse(G65)</f>
        <v>-0.56805149833898239</v>
      </c>
      <c r="I65" s="3"/>
      <c r="J65" s="9">
        <f t="shared" si="5"/>
        <v>-0.56805149833898227</v>
      </c>
      <c r="K65" s="17">
        <f t="shared" ca="1" si="6"/>
        <v>0</v>
      </c>
      <c r="M65" s="1">
        <v>-4.3000000000000203</v>
      </c>
      <c r="N65" s="3">
        <f ca="1">_xll.meMathNormalDistribution(M65,$N$4,$N$5)</f>
        <v>8.5399054709910335E-6</v>
      </c>
      <c r="O65" s="20">
        <f ca="1">_xll.meMathNormalDistributionPDF(M65,$N$4,$N$5)</f>
        <v>3.8535196742083775E-5</v>
      </c>
      <c r="P65" s="8" t="b">
        <f t="shared" ca="1" si="4"/>
        <v>1</v>
      </c>
      <c r="R65" s="7">
        <v>0.28500000000000014</v>
      </c>
      <c r="S65" s="3">
        <f ca="1">_xll.meMathNormalDistributionInverse(R65,$S$4,$S$5)</f>
        <v>-0.56805149833898239</v>
      </c>
      <c r="T65" s="12" t="b">
        <f t="shared" ca="1" si="3"/>
        <v>1</v>
      </c>
    </row>
    <row r="66" spans="2:20" x14ac:dyDescent="0.25">
      <c r="B66" s="1">
        <v>-4.2000000000000206</v>
      </c>
      <c r="C66" s="3">
        <f ca="1">_xll.meMathNormalDistributionStandard(B66)</f>
        <v>1.3345749015905116E-5</v>
      </c>
      <c r="D66" s="20">
        <f ca="1">_xll.meMathNormalDistributionPDF(B66)</f>
        <v>5.8943067756534725E-5</v>
      </c>
      <c r="G66" s="7">
        <v>0.29000000000000015</v>
      </c>
      <c r="H66" s="3">
        <f ca="1">_xll.meMathNormalDistributionStandardInverse(G66)</f>
        <v>-0.55338471955567248</v>
      </c>
      <c r="I66" s="3"/>
      <c r="J66" s="9">
        <f t="shared" si="5"/>
        <v>-0.55338471955567248</v>
      </c>
      <c r="K66" s="17">
        <f t="shared" ca="1" si="6"/>
        <v>0</v>
      </c>
      <c r="M66" s="1">
        <v>-4.2000000000000206</v>
      </c>
      <c r="N66" s="3">
        <f ca="1">_xll.meMathNormalDistribution(M66,$N$4,$N$5)</f>
        <v>1.3345749015905116E-5</v>
      </c>
      <c r="O66" s="20">
        <f ca="1">_xll.meMathNormalDistributionPDF(M66,$N$4,$N$5)</f>
        <v>5.8943067756534725E-5</v>
      </c>
      <c r="P66" s="8" t="b">
        <f t="shared" ca="1" si="4"/>
        <v>1</v>
      </c>
      <c r="R66" s="7">
        <v>0.29000000000000015</v>
      </c>
      <c r="S66" s="3">
        <f ca="1">_xll.meMathNormalDistributionInverse(R66,$S$4,$S$5)</f>
        <v>-0.55338471955567248</v>
      </c>
      <c r="T66" s="12" t="b">
        <f t="shared" ca="1" si="3"/>
        <v>1</v>
      </c>
    </row>
    <row r="67" spans="2:20" x14ac:dyDescent="0.25">
      <c r="B67" s="1">
        <v>-4.100000000000021</v>
      </c>
      <c r="C67" s="3">
        <f ca="1">_xll.meMathNormalDistributionStandard(B67)</f>
        <v>2.065750691254486E-5</v>
      </c>
      <c r="D67" s="20">
        <f ca="1">_xll.meMathNormalDistributionPDF(B67)</f>
        <v>8.9261657177125162E-5</v>
      </c>
      <c r="G67" s="7">
        <v>0.29500000000000015</v>
      </c>
      <c r="H67" s="3">
        <f ca="1">_xll.meMathNormalDistributionStandardInverse(G67)</f>
        <v>-0.53883603027845006</v>
      </c>
      <c r="I67" s="3"/>
      <c r="J67" s="9">
        <f t="shared" si="5"/>
        <v>-0.53883603027844984</v>
      </c>
      <c r="K67" s="17">
        <f t="shared" ca="1" si="6"/>
        <v>0</v>
      </c>
      <c r="M67" s="1">
        <v>-4.100000000000021</v>
      </c>
      <c r="N67" s="3">
        <f ca="1">_xll.meMathNormalDistribution(M67,$N$4,$N$5)</f>
        <v>2.065750691254486E-5</v>
      </c>
      <c r="O67" s="20">
        <f ca="1">_xll.meMathNormalDistributionPDF(M67,$N$4,$N$5)</f>
        <v>8.9261657177125162E-5</v>
      </c>
      <c r="P67" s="8" t="b">
        <f t="shared" ca="1" si="4"/>
        <v>1</v>
      </c>
      <c r="R67" s="7">
        <v>0.29500000000000015</v>
      </c>
      <c r="S67" s="3">
        <f ca="1">_xll.meMathNormalDistributionInverse(R67,$S$4,$S$5)</f>
        <v>-0.53883603027845006</v>
      </c>
      <c r="T67" s="12" t="b">
        <f t="shared" ca="1" si="3"/>
        <v>1</v>
      </c>
    </row>
    <row r="68" spans="2:20" x14ac:dyDescent="0.25">
      <c r="B68" s="1">
        <v>-4.0000000000000213</v>
      </c>
      <c r="C68" s="3">
        <f ca="1">_xll.meMathNormalDistributionStandard(B68)</f>
        <v>3.1671241833117078E-5</v>
      </c>
      <c r="D68" s="20">
        <f ca="1">_xll.meMathNormalDistributionPDF(B68)</f>
        <v>1.3383022576487396E-4</v>
      </c>
      <c r="G68" s="7">
        <v>0.30000000000000016</v>
      </c>
      <c r="H68" s="3">
        <f ca="1">_xll.meMathNormalDistributionStandardInverse(G68)</f>
        <v>-0.52440051270804056</v>
      </c>
      <c r="I68" s="3"/>
      <c r="J68" s="9">
        <f t="shared" si="5"/>
        <v>-0.52440051270804033</v>
      </c>
      <c r="K68" s="17">
        <f t="shared" ca="1" si="6"/>
        <v>0</v>
      </c>
      <c r="M68" s="1">
        <v>-4.0000000000000213</v>
      </c>
      <c r="N68" s="3">
        <f ca="1">_xll.meMathNormalDistribution(M68,$N$4,$N$5)</f>
        <v>3.1671241833117078E-5</v>
      </c>
      <c r="O68" s="20">
        <f ca="1">_xll.meMathNormalDistributionPDF(M68,$N$4,$N$5)</f>
        <v>1.3383022576487396E-4</v>
      </c>
      <c r="P68" s="8" t="b">
        <f t="shared" ca="1" si="4"/>
        <v>1</v>
      </c>
      <c r="R68" s="7">
        <v>0.30000000000000016</v>
      </c>
      <c r="S68" s="3">
        <f ca="1">_xll.meMathNormalDistributionInverse(R68,$S$4,$S$5)</f>
        <v>-0.52440051270804056</v>
      </c>
      <c r="T68" s="12" t="b">
        <f t="shared" ca="1" si="3"/>
        <v>1</v>
      </c>
    </row>
    <row r="69" spans="2:20" x14ac:dyDescent="0.25">
      <c r="B69" s="1">
        <v>-3.9000000000000212</v>
      </c>
      <c r="C69" s="3">
        <f ca="1">_xll.meMathNormalDistributionStandard(B69)</f>
        <v>4.8096344017598488E-5</v>
      </c>
      <c r="D69" s="20">
        <f ca="1">_xll.meMathNormalDistributionPDF(B69)</f>
        <v>1.9865547139275616E-4</v>
      </c>
      <c r="G69" s="7">
        <v>0.30500000000000016</v>
      </c>
      <c r="H69" s="3">
        <f ca="1">_xll.meMathNormalDistributionStandardInverse(G69)</f>
        <v>-0.51007345696859452</v>
      </c>
      <c r="I69" s="3"/>
      <c r="J69" s="9">
        <f t="shared" si="5"/>
        <v>-0.51007345696859441</v>
      </c>
      <c r="K69" s="17">
        <f t="shared" ca="1" si="6"/>
        <v>0</v>
      </c>
      <c r="M69" s="1">
        <v>-3.9000000000000212</v>
      </c>
      <c r="N69" s="3">
        <f ca="1">_xll.meMathNormalDistribution(M69,$N$4,$N$5)</f>
        <v>4.8096344017598488E-5</v>
      </c>
      <c r="O69" s="20">
        <f ca="1">_xll.meMathNormalDistributionPDF(M69,$N$4,$N$5)</f>
        <v>1.9865547139275616E-4</v>
      </c>
      <c r="P69" s="8" t="b">
        <f t="shared" ca="1" si="4"/>
        <v>1</v>
      </c>
      <c r="R69" s="7">
        <v>0.30500000000000016</v>
      </c>
      <c r="S69" s="3">
        <f ca="1">_xll.meMathNormalDistributionInverse(R69,$S$4,$S$5)</f>
        <v>-0.51007345696859452</v>
      </c>
      <c r="T69" s="12" t="b">
        <f t="shared" ca="1" si="3"/>
        <v>1</v>
      </c>
    </row>
    <row r="70" spans="2:20" x14ac:dyDescent="0.25">
      <c r="B70" s="1">
        <v>-3.8000000000000211</v>
      </c>
      <c r="C70" s="3">
        <f ca="1">_xll.meMathNormalDistributionStandard(B70)</f>
        <v>7.2348043925113769E-5</v>
      </c>
      <c r="D70" s="20">
        <f ca="1">_xll.meMathNormalDistributionPDF(B70)</f>
        <v>2.9194692579143664E-4</v>
      </c>
      <c r="G70" s="7">
        <v>0.31000000000000016</v>
      </c>
      <c r="H70" s="3">
        <f ca="1">_xll.meMathNormalDistributionStandardInverse(G70)</f>
        <v>-0.49585034734745304</v>
      </c>
      <c r="I70" s="3"/>
      <c r="J70" s="9">
        <f t="shared" si="5"/>
        <v>-0.49585034734745298</v>
      </c>
      <c r="K70" s="17">
        <f t="shared" ca="1" si="6"/>
        <v>0</v>
      </c>
      <c r="M70" s="1">
        <v>-3.8000000000000211</v>
      </c>
      <c r="N70" s="3">
        <f ca="1">_xll.meMathNormalDistribution(M70,$N$4,$N$5)</f>
        <v>7.2348043925113769E-5</v>
      </c>
      <c r="O70" s="20">
        <f ca="1">_xll.meMathNormalDistributionPDF(M70,$N$4,$N$5)</f>
        <v>2.9194692579143664E-4</v>
      </c>
      <c r="P70" s="8" t="b">
        <f t="shared" ca="1" si="4"/>
        <v>1</v>
      </c>
      <c r="R70" s="7">
        <v>0.31000000000000016</v>
      </c>
      <c r="S70" s="3">
        <f ca="1">_xll.meMathNormalDistributionInverse(R70,$S$4,$S$5)</f>
        <v>-0.49585034734745304</v>
      </c>
      <c r="T70" s="12" t="b">
        <f t="shared" ca="1" si="3"/>
        <v>1</v>
      </c>
    </row>
    <row r="71" spans="2:20" x14ac:dyDescent="0.25">
      <c r="B71" s="1">
        <v>-3.700000000000021</v>
      </c>
      <c r="C71" s="3">
        <f ca="1">_xll.meMathNormalDistributionStandard(B71)</f>
        <v>1.0779973347737941E-4</v>
      </c>
      <c r="D71" s="20">
        <f ca="1">_xll.meMathNormalDistributionPDF(B71)</f>
        <v>4.2478027055071864E-4</v>
      </c>
      <c r="G71" s="7">
        <v>0.31500000000000017</v>
      </c>
      <c r="H71" s="3">
        <f ca="1">_xll.meMathNormalDistributionStandardInverse(G71)</f>
        <v>-0.48172684958472983</v>
      </c>
      <c r="I71" s="3"/>
      <c r="J71" s="9">
        <f t="shared" si="5"/>
        <v>-0.48172684958472989</v>
      </c>
      <c r="K71" s="17">
        <f t="shared" ca="1" si="6"/>
        <v>0</v>
      </c>
      <c r="M71" s="1">
        <v>-3.700000000000021</v>
      </c>
      <c r="N71" s="3">
        <f ca="1">_xll.meMathNormalDistribution(M71,$N$4,$N$5)</f>
        <v>1.0779973347737941E-4</v>
      </c>
      <c r="O71" s="20">
        <f ca="1">_xll.meMathNormalDistributionPDF(M71,$N$4,$N$5)</f>
        <v>4.2478027055071864E-4</v>
      </c>
      <c r="P71" s="8" t="b">
        <f t="shared" ca="1" si="4"/>
        <v>1</v>
      </c>
      <c r="R71" s="7">
        <v>0.31500000000000017</v>
      </c>
      <c r="S71" s="3">
        <f ca="1">_xll.meMathNormalDistributionInverse(R71,$S$4,$S$5)</f>
        <v>-0.48172684958472983</v>
      </c>
      <c r="T71" s="12" t="b">
        <f t="shared" ca="1" si="3"/>
        <v>1</v>
      </c>
    </row>
    <row r="72" spans="2:20" x14ac:dyDescent="0.25">
      <c r="B72" s="1">
        <v>-3.600000000000021</v>
      </c>
      <c r="C72" s="3">
        <f ca="1">_xll.meMathNormalDistributionStandard(B72)</f>
        <v>1.5910859015752109E-4</v>
      </c>
      <c r="D72" s="20">
        <f ca="1">_xll.meMathNormalDistributionPDF(B72)</f>
        <v>6.1190193011372625E-4</v>
      </c>
      <c r="G72" s="7">
        <v>0.32000000000000017</v>
      </c>
      <c r="H72" s="3">
        <f ca="1">_xll.meMathNormalDistributionStandardInverse(G72)</f>
        <v>-0.46769879911450801</v>
      </c>
      <c r="I72" s="3"/>
      <c r="J72" s="9">
        <f t="shared" si="5"/>
        <v>-0.46769879911450779</v>
      </c>
      <c r="K72" s="17">
        <f t="shared" ca="1" si="6"/>
        <v>0</v>
      </c>
      <c r="M72" s="1">
        <v>-3.600000000000021</v>
      </c>
      <c r="N72" s="3">
        <f ca="1">_xll.meMathNormalDistribution(M72,$N$4,$N$5)</f>
        <v>1.5910859015752109E-4</v>
      </c>
      <c r="O72" s="20">
        <f ca="1">_xll.meMathNormalDistributionPDF(M72,$N$4,$N$5)</f>
        <v>6.1190193011372625E-4</v>
      </c>
      <c r="P72" s="8" t="b">
        <f t="shared" ca="1" si="4"/>
        <v>1</v>
      </c>
      <c r="R72" s="7">
        <v>0.32000000000000017</v>
      </c>
      <c r="S72" s="3">
        <f ca="1">_xll.meMathNormalDistributionInverse(R72,$S$4,$S$5)</f>
        <v>-0.46769879911450801</v>
      </c>
      <c r="T72" s="12" t="b">
        <f t="shared" ca="1" si="3"/>
        <v>1</v>
      </c>
    </row>
    <row r="73" spans="2:20" x14ac:dyDescent="0.25">
      <c r="B73" s="1">
        <v>-3.5000000000000209</v>
      </c>
      <c r="C73" s="3">
        <f ca="1">_xll.meMathNormalDistributionStandard(B73)</f>
        <v>2.3262907903550683E-4</v>
      </c>
      <c r="D73" s="20">
        <f ca="1">_xll.meMathNormalDistributionPDF(B73)</f>
        <v>8.7268269504569662E-4</v>
      </c>
      <c r="G73" s="7">
        <v>0.32500000000000018</v>
      </c>
      <c r="H73" s="3">
        <f ca="1">_xll.meMathNormalDistributionStandardInverse(G73)</f>
        <v>-0.45376219016987901</v>
      </c>
      <c r="I73" s="3"/>
      <c r="J73" s="9">
        <f t="shared" ref="J73:J104" si="7">NORMSINV(G73)</f>
        <v>-0.45376219016987895</v>
      </c>
      <c r="K73" s="17">
        <f t="shared" ref="K73:K104" ca="1" si="8">H73-J73</f>
        <v>0</v>
      </c>
      <c r="M73" s="1">
        <v>-3.5000000000000209</v>
      </c>
      <c r="N73" s="3">
        <f ca="1">_xll.meMathNormalDistribution(M73,$N$4,$N$5)</f>
        <v>2.3262907903550683E-4</v>
      </c>
      <c r="O73" s="20">
        <f ca="1">_xll.meMathNormalDistributionPDF(M73,$N$4,$N$5)</f>
        <v>8.7268269504569662E-4</v>
      </c>
      <c r="P73" s="8" t="b">
        <f t="shared" ca="1" si="4"/>
        <v>1</v>
      </c>
      <c r="R73" s="7">
        <v>0.32500000000000018</v>
      </c>
      <c r="S73" s="3">
        <f ca="1">_xll.meMathNormalDistributionInverse(R73,$S$4,$S$5)</f>
        <v>-0.45376219016987901</v>
      </c>
      <c r="T73" s="12" t="b">
        <f t="shared" ref="T73" ca="1" si="9">S73=H73</f>
        <v>1</v>
      </c>
    </row>
    <row r="74" spans="2:20" x14ac:dyDescent="0.25">
      <c r="B74" s="1">
        <v>-3.4000000000000208</v>
      </c>
      <c r="C74" s="3">
        <f ca="1">_xll.meMathNormalDistributionStandard(B74)</f>
        <v>3.3692926567685532E-4</v>
      </c>
      <c r="D74" s="20">
        <f ca="1">_xll.meMathNormalDistributionPDF(B74)</f>
        <v>1.2322191684729323E-3</v>
      </c>
      <c r="G74" s="7">
        <v>0.33000000000000018</v>
      </c>
      <c r="H74" s="3">
        <f ca="1">_xll.meMathNormalDistributionStandardInverse(G74)</f>
        <v>-0.43991316567323341</v>
      </c>
      <c r="I74" s="3"/>
      <c r="J74" s="9">
        <f t="shared" si="7"/>
        <v>-0.43991316567323341</v>
      </c>
      <c r="K74" s="17">
        <f t="shared" ca="1" si="8"/>
        <v>0</v>
      </c>
      <c r="M74" s="1">
        <v>-3.4000000000000208</v>
      </c>
      <c r="N74" s="3">
        <f ca="1">_xll.meMathNormalDistribution(M74,$N$4,$N$5)</f>
        <v>3.3692926567685532E-4</v>
      </c>
      <c r="O74" s="20">
        <f ca="1">_xll.meMathNormalDistributionPDF(M74,$N$4,$N$5)</f>
        <v>1.2322191684729323E-3</v>
      </c>
      <c r="P74" s="8" t="b">
        <f t="shared" ref="P74:P137" ca="1" si="10">C74=N74</f>
        <v>1</v>
      </c>
      <c r="R74" s="7">
        <v>0.33000000000000018</v>
      </c>
      <c r="S74" s="3">
        <f ca="1">_xll.meMathNormalDistributionInverse(R74,$S$4,$S$5)</f>
        <v>-0.43991316567323341</v>
      </c>
      <c r="T74" s="12" t="b">
        <f t="shared" ref="T74:T137" ca="1" si="11">S74=H74</f>
        <v>1</v>
      </c>
    </row>
    <row r="75" spans="2:20" x14ac:dyDescent="0.25">
      <c r="B75" s="1">
        <v>-3.3000000000000207</v>
      </c>
      <c r="C75" s="3">
        <f ca="1">_xll.meMathNormalDistributionStandard(B75)</f>
        <v>4.8342414238374145E-4</v>
      </c>
      <c r="D75" s="20">
        <f ca="1">_xll.meMathNormalDistributionPDF(B75)</f>
        <v>1.7225689390535622E-3</v>
      </c>
      <c r="G75" s="7">
        <v>0.33500000000000019</v>
      </c>
      <c r="H75" s="3">
        <f ca="1">_xll.meMathNormalDistributionStandardInverse(G75)</f>
        <v>-0.42614800784127777</v>
      </c>
      <c r="I75" s="3"/>
      <c r="J75" s="9">
        <f t="shared" si="7"/>
        <v>-0.42614800784127777</v>
      </c>
      <c r="K75" s="17">
        <f t="shared" ca="1" si="8"/>
        <v>0</v>
      </c>
      <c r="M75" s="1">
        <v>-3.3000000000000207</v>
      </c>
      <c r="N75" s="3">
        <f ca="1">_xll.meMathNormalDistribution(M75,$N$4,$N$5)</f>
        <v>4.8342414238374145E-4</v>
      </c>
      <c r="O75" s="20">
        <f ca="1">_xll.meMathNormalDistributionPDF(M75,$N$4,$N$5)</f>
        <v>1.7225689390535622E-3</v>
      </c>
      <c r="P75" s="8" t="b">
        <f t="shared" ca="1" si="10"/>
        <v>1</v>
      </c>
      <c r="R75" s="7">
        <v>0.33500000000000019</v>
      </c>
      <c r="S75" s="3">
        <f ca="1">_xll.meMathNormalDistributionInverse(R75,$S$4,$S$5)</f>
        <v>-0.42614800784127777</v>
      </c>
      <c r="T75" s="12" t="b">
        <f t="shared" ca="1" si="11"/>
        <v>1</v>
      </c>
    </row>
    <row r="76" spans="2:20" x14ac:dyDescent="0.25">
      <c r="B76" s="1">
        <v>-3.2000000000000206</v>
      </c>
      <c r="C76" s="3">
        <f ca="1">_xll.meMathNormalDistributionStandard(B76)</f>
        <v>6.8713793791579916E-4</v>
      </c>
      <c r="D76" s="20">
        <f ca="1">_xll.meMathNormalDistributionPDF(B76)</f>
        <v>2.3840882014646856E-3</v>
      </c>
      <c r="G76" s="7">
        <v>0.34000000000000019</v>
      </c>
      <c r="H76" s="3">
        <f ca="1">_xll.meMathNormalDistributionStandardInverse(G76)</f>
        <v>-0.41246312944140434</v>
      </c>
      <c r="I76" s="3"/>
      <c r="J76" s="9">
        <f t="shared" si="7"/>
        <v>-0.41246312944140445</v>
      </c>
      <c r="K76" s="17">
        <f t="shared" ca="1" si="8"/>
        <v>0</v>
      </c>
      <c r="M76" s="1">
        <v>-3.2000000000000206</v>
      </c>
      <c r="N76" s="3">
        <f ca="1">_xll.meMathNormalDistribution(M76,$N$4,$N$5)</f>
        <v>6.8713793791579916E-4</v>
      </c>
      <c r="O76" s="20">
        <f ca="1">_xll.meMathNormalDistributionPDF(M76,$N$4,$N$5)</f>
        <v>2.3840882014646856E-3</v>
      </c>
      <c r="P76" s="8" t="b">
        <f t="shared" ca="1" si="10"/>
        <v>1</v>
      </c>
      <c r="R76" s="7">
        <v>0.34000000000000019</v>
      </c>
      <c r="S76" s="3">
        <f ca="1">_xll.meMathNormalDistributionInverse(R76,$S$4,$S$5)</f>
        <v>-0.41246312944140434</v>
      </c>
      <c r="T76" s="12" t="b">
        <f t="shared" ca="1" si="11"/>
        <v>1</v>
      </c>
    </row>
    <row r="77" spans="2:20" x14ac:dyDescent="0.25">
      <c r="B77" s="1">
        <v>-3.1000000000000205</v>
      </c>
      <c r="C77" s="3">
        <f ca="1">_xll.meMathNormalDistributionStandard(B77)</f>
        <v>9.6760321321828974E-4</v>
      </c>
      <c r="D77" s="20">
        <f ca="1">_xll.meMathNormalDistributionPDF(B77)</f>
        <v>3.2668190561997131E-3</v>
      </c>
      <c r="G77" s="7">
        <v>0.3450000000000002</v>
      </c>
      <c r="H77" s="3">
        <f ca="1">_xll.meMathNormalDistributionStandardInverse(G77)</f>
        <v>-0.3988550656423363</v>
      </c>
      <c r="I77" s="3"/>
      <c r="J77" s="9">
        <f t="shared" si="7"/>
        <v>-0.3988550656423363</v>
      </c>
      <c r="K77" s="17">
        <f t="shared" ca="1" si="8"/>
        <v>0</v>
      </c>
      <c r="M77" s="1">
        <v>-3.1000000000000205</v>
      </c>
      <c r="N77" s="3">
        <f ca="1">_xll.meMathNormalDistribution(M77,$N$4,$N$5)</f>
        <v>9.6760321321828974E-4</v>
      </c>
      <c r="O77" s="20">
        <f ca="1">_xll.meMathNormalDistributionPDF(M77,$N$4,$N$5)</f>
        <v>3.2668190561997131E-3</v>
      </c>
      <c r="P77" s="8" t="b">
        <f t="shared" ca="1" si="10"/>
        <v>1</v>
      </c>
      <c r="R77" s="7">
        <v>0.3450000000000002</v>
      </c>
      <c r="S77" s="3">
        <f ca="1">_xll.meMathNormalDistributionInverse(R77,$S$4,$S$5)</f>
        <v>-0.3988550656423363</v>
      </c>
      <c r="T77" s="12" t="b">
        <f t="shared" ca="1" si="11"/>
        <v>1</v>
      </c>
    </row>
    <row r="78" spans="2:20" x14ac:dyDescent="0.25">
      <c r="B78" s="1">
        <v>-3.0000000000000204</v>
      </c>
      <c r="C78" s="3">
        <f ca="1">_xll.meMathNormalDistributionStandard(B78)</f>
        <v>1.3498980316300042E-3</v>
      </c>
      <c r="D78" s="20">
        <f ca="1">_xll.meMathNormalDistributionPDF(B78)</f>
        <v>4.431848411937736E-3</v>
      </c>
      <c r="G78" s="7">
        <v>0.3500000000000002</v>
      </c>
      <c r="H78" s="3">
        <f ca="1">_xll.meMathNormalDistributionStandardInverse(G78)</f>
        <v>-0.38532046640756729</v>
      </c>
      <c r="I78" s="3"/>
      <c r="J78" s="9">
        <f t="shared" si="7"/>
        <v>-0.38532046640756712</v>
      </c>
      <c r="K78" s="17">
        <f t="shared" ca="1" si="8"/>
        <v>0</v>
      </c>
      <c r="M78" s="1">
        <v>-3.0000000000000204</v>
      </c>
      <c r="N78" s="3">
        <f ca="1">_xll.meMathNormalDistribution(M78,$N$4,$N$5)</f>
        <v>1.3498980316300042E-3</v>
      </c>
      <c r="O78" s="20">
        <f ca="1">_xll.meMathNormalDistributionPDF(M78,$N$4,$N$5)</f>
        <v>4.431848411937736E-3</v>
      </c>
      <c r="P78" s="8" t="b">
        <f t="shared" ca="1" si="10"/>
        <v>1</v>
      </c>
      <c r="R78" s="7">
        <v>0.3500000000000002</v>
      </c>
      <c r="S78" s="3">
        <f ca="1">_xll.meMathNormalDistributionInverse(R78,$S$4,$S$5)</f>
        <v>-0.38532046640756729</v>
      </c>
      <c r="T78" s="12" t="b">
        <f t="shared" ca="1" si="11"/>
        <v>1</v>
      </c>
    </row>
    <row r="79" spans="2:20" x14ac:dyDescent="0.25">
      <c r="B79" s="1">
        <v>-2.9000000000000203</v>
      </c>
      <c r="C79" s="3">
        <f ca="1">_xll.meMathNormalDistributionStandard(B79)</f>
        <v>1.8658133003839172E-3</v>
      </c>
      <c r="D79" s="20">
        <f ca="1">_xll.meMathNormalDistributionPDF(B79)</f>
        <v>5.9525324197755051E-3</v>
      </c>
      <c r="G79" s="7">
        <v>0.3550000000000002</v>
      </c>
      <c r="H79" s="3">
        <f ca="1">_xll.meMathNormalDistributionStandardInverse(G79)</f>
        <v>-0.37185608938507436</v>
      </c>
      <c r="I79" s="3"/>
      <c r="J79" s="9">
        <f t="shared" si="7"/>
        <v>-0.37185608938507414</v>
      </c>
      <c r="K79" s="17">
        <f t="shared" ca="1" si="8"/>
        <v>0</v>
      </c>
      <c r="M79" s="1">
        <v>-2.9000000000000203</v>
      </c>
      <c r="N79" s="3">
        <f ca="1">_xll.meMathNormalDistribution(M79,$N$4,$N$5)</f>
        <v>1.8658133003839172E-3</v>
      </c>
      <c r="O79" s="20">
        <f ca="1">_xll.meMathNormalDistributionPDF(M79,$N$4,$N$5)</f>
        <v>5.9525324197755051E-3</v>
      </c>
      <c r="P79" s="8" t="b">
        <f t="shared" ca="1" si="10"/>
        <v>1</v>
      </c>
      <c r="R79" s="7">
        <v>0.3550000000000002</v>
      </c>
      <c r="S79" s="3">
        <f ca="1">_xll.meMathNormalDistributionInverse(R79,$S$4,$S$5)</f>
        <v>-0.37185608938507436</v>
      </c>
      <c r="T79" s="12" t="b">
        <f t="shared" ca="1" si="11"/>
        <v>1</v>
      </c>
    </row>
    <row r="80" spans="2:20" x14ac:dyDescent="0.25">
      <c r="B80" s="1">
        <v>-2.8000000000000203</v>
      </c>
      <c r="C80" s="3">
        <f ca="1">_xll.meMathNormalDistributionStandard(B80)</f>
        <v>2.555130330427772E-3</v>
      </c>
      <c r="D80" s="20">
        <f ca="1">_xll.meMathNormalDistributionPDF(B80)</f>
        <v>7.9154515829795141E-3</v>
      </c>
      <c r="G80" s="7">
        <v>0.36000000000000021</v>
      </c>
      <c r="H80" s="3">
        <f ca="1">_xll.meMathNormalDistributionStandardInverse(G80)</f>
        <v>-0.35845879325119345</v>
      </c>
      <c r="I80" s="3"/>
      <c r="J80" s="9">
        <f t="shared" si="7"/>
        <v>-0.35845879325119318</v>
      </c>
      <c r="K80" s="17">
        <f t="shared" ca="1" si="8"/>
        <v>0</v>
      </c>
      <c r="M80" s="1">
        <v>-2.8000000000000203</v>
      </c>
      <c r="N80" s="3">
        <f ca="1">_xll.meMathNormalDistribution(M80,$N$4,$N$5)</f>
        <v>2.555130330427772E-3</v>
      </c>
      <c r="O80" s="20">
        <f ca="1">_xll.meMathNormalDistributionPDF(M80,$N$4,$N$5)</f>
        <v>7.9154515829795141E-3</v>
      </c>
      <c r="P80" s="8" t="b">
        <f t="shared" ca="1" si="10"/>
        <v>1</v>
      </c>
      <c r="R80" s="7">
        <v>0.36000000000000021</v>
      </c>
      <c r="S80" s="3">
        <f ca="1">_xll.meMathNormalDistributionInverse(R80,$S$4,$S$5)</f>
        <v>-0.35845879325119345</v>
      </c>
      <c r="T80" s="12" t="b">
        <f t="shared" ca="1" si="11"/>
        <v>1</v>
      </c>
    </row>
    <row r="81" spans="2:20" x14ac:dyDescent="0.25">
      <c r="B81" s="1">
        <v>-2.7000000000000202</v>
      </c>
      <c r="C81" s="3">
        <f ca="1">_xll.meMathNormalDistributionStandard(B81)</f>
        <v>3.4669738030404574E-3</v>
      </c>
      <c r="D81" s="20">
        <f ca="1">_xll.meMathNormalDistributionPDF(B81)</f>
        <v>1.0420934814422026E-2</v>
      </c>
      <c r="G81" s="7">
        <v>0.36500000000000021</v>
      </c>
      <c r="H81" s="3">
        <f ca="1">_xll.meMathNormalDistributionStandardInverse(G81)</f>
        <v>-0.34512553147047181</v>
      </c>
      <c r="I81" s="3"/>
      <c r="J81" s="9">
        <f t="shared" si="7"/>
        <v>-0.34512553147047187</v>
      </c>
      <c r="K81" s="17">
        <f t="shared" ca="1" si="8"/>
        <v>0</v>
      </c>
      <c r="M81" s="1">
        <v>-2.7000000000000202</v>
      </c>
      <c r="N81" s="3">
        <f ca="1">_xll.meMathNormalDistribution(M81,$N$4,$N$5)</f>
        <v>3.4669738030404574E-3</v>
      </c>
      <c r="O81" s="20">
        <f ca="1">_xll.meMathNormalDistributionPDF(M81,$N$4,$N$5)</f>
        <v>1.0420934814422026E-2</v>
      </c>
      <c r="P81" s="8" t="b">
        <f t="shared" ca="1" si="10"/>
        <v>1</v>
      </c>
      <c r="R81" s="7">
        <v>0.36500000000000021</v>
      </c>
      <c r="S81" s="3">
        <f ca="1">_xll.meMathNormalDistributionInverse(R81,$S$4,$S$5)</f>
        <v>-0.34512553147047181</v>
      </c>
      <c r="T81" s="12" t="b">
        <f t="shared" ca="1" si="11"/>
        <v>1</v>
      </c>
    </row>
    <row r="82" spans="2:20" x14ac:dyDescent="0.25">
      <c r="B82" s="1">
        <v>-2.6000000000000201</v>
      </c>
      <c r="C82" s="3">
        <f ca="1">_xll.meMathNormalDistributionStandard(B82)</f>
        <v>4.661188023718477E-3</v>
      </c>
      <c r="D82" s="20">
        <f ca="1">_xll.meMathNormalDistributionPDF(B82)</f>
        <v>1.3582969233684909E-2</v>
      </c>
      <c r="G82" s="7">
        <v>0.37000000000000022</v>
      </c>
      <c r="H82" s="3">
        <f ca="1">_xll.meMathNormalDistributionStandardInverse(G82)</f>
        <v>-0.33185334643681613</v>
      </c>
      <c r="I82" s="3"/>
      <c r="J82" s="9">
        <f t="shared" si="7"/>
        <v>-0.33185334643681608</v>
      </c>
      <c r="K82" s="17">
        <f t="shared" ca="1" si="8"/>
        <v>0</v>
      </c>
      <c r="M82" s="1">
        <v>-2.6000000000000201</v>
      </c>
      <c r="N82" s="3">
        <f ca="1">_xll.meMathNormalDistribution(M82,$N$4,$N$5)</f>
        <v>4.661188023718477E-3</v>
      </c>
      <c r="O82" s="20">
        <f ca="1">_xll.meMathNormalDistributionPDF(M82,$N$4,$N$5)</f>
        <v>1.3582969233684909E-2</v>
      </c>
      <c r="P82" s="8" t="b">
        <f t="shared" ca="1" si="10"/>
        <v>1</v>
      </c>
      <c r="R82" s="7">
        <v>0.37000000000000022</v>
      </c>
      <c r="S82" s="3">
        <f ca="1">_xll.meMathNormalDistributionInverse(R82,$S$4,$S$5)</f>
        <v>-0.33185334643681613</v>
      </c>
      <c r="T82" s="12" t="b">
        <f t="shared" ca="1" si="11"/>
        <v>1</v>
      </c>
    </row>
    <row r="83" spans="2:20" x14ac:dyDescent="0.25">
      <c r="B83" s="1">
        <v>-2.50000000000002</v>
      </c>
      <c r="C83" s="3">
        <f ca="1">_xll.meMathNormalDistributionStandard(B83)</f>
        <v>6.2096653257757818E-3</v>
      </c>
      <c r="D83" s="20">
        <f ca="1">_xll.meMathNormalDistributionPDF(B83)</f>
        <v>1.7528300493567659E-2</v>
      </c>
      <c r="G83" s="7">
        <v>0.37500000000000022</v>
      </c>
      <c r="H83" s="3">
        <f ca="1">_xll.meMathNormalDistributionStandardInverse(G83)</f>
        <v>-0.31863936396437459</v>
      </c>
      <c r="I83" s="3"/>
      <c r="J83" s="9">
        <f t="shared" si="7"/>
        <v>-0.31863936396437464</v>
      </c>
      <c r="K83" s="17">
        <f t="shared" ca="1" si="8"/>
        <v>0</v>
      </c>
      <c r="M83" s="1">
        <v>-2.50000000000002</v>
      </c>
      <c r="N83" s="3">
        <f ca="1">_xll.meMathNormalDistribution(M83,$N$4,$N$5)</f>
        <v>6.2096653257757818E-3</v>
      </c>
      <c r="O83" s="20">
        <f ca="1">_xll.meMathNormalDistributionPDF(M83,$N$4,$N$5)</f>
        <v>1.7528300493567659E-2</v>
      </c>
      <c r="P83" s="8" t="b">
        <f t="shared" ca="1" si="10"/>
        <v>1</v>
      </c>
      <c r="R83" s="7">
        <v>0.37500000000000022</v>
      </c>
      <c r="S83" s="3">
        <f ca="1">_xll.meMathNormalDistributionInverse(R83,$S$4,$S$5)</f>
        <v>-0.31863936396437459</v>
      </c>
      <c r="T83" s="12" t="b">
        <f t="shared" ca="1" si="11"/>
        <v>1</v>
      </c>
    </row>
    <row r="84" spans="2:20" x14ac:dyDescent="0.25">
      <c r="B84" s="1">
        <v>-2.4000000000000199</v>
      </c>
      <c r="C84" s="3">
        <f ca="1">_xll.meMathNormalDistributionStandard(B84)</f>
        <v>8.1975359245956819E-3</v>
      </c>
      <c r="D84" s="20">
        <f ca="1">_xll.meMathNormalDistributionPDF(B84)</f>
        <v>2.2394530294841827E-2</v>
      </c>
      <c r="G84" s="7">
        <v>0.38000000000000023</v>
      </c>
      <c r="H84" s="3">
        <f ca="1">_xll.meMathNormalDistributionStandardInverse(G84)</f>
        <v>-0.30548078809939683</v>
      </c>
      <c r="I84" s="3"/>
      <c r="J84" s="9">
        <f t="shared" si="7"/>
        <v>-0.30548078809939677</v>
      </c>
      <c r="K84" s="17">
        <f t="shared" ca="1" si="8"/>
        <v>0</v>
      </c>
      <c r="M84" s="1">
        <v>-2.4000000000000199</v>
      </c>
      <c r="N84" s="3">
        <f ca="1">_xll.meMathNormalDistribution(M84,$N$4,$N$5)</f>
        <v>8.1975359245956819E-3</v>
      </c>
      <c r="O84" s="20">
        <f ca="1">_xll.meMathNormalDistributionPDF(M84,$N$4,$N$5)</f>
        <v>2.2394530294841827E-2</v>
      </c>
      <c r="P84" s="8" t="b">
        <f t="shared" ca="1" si="10"/>
        <v>1</v>
      </c>
      <c r="R84" s="7">
        <v>0.38000000000000023</v>
      </c>
      <c r="S84" s="3">
        <f ca="1">_xll.meMathNormalDistributionInverse(R84,$S$4,$S$5)</f>
        <v>-0.30548078809939683</v>
      </c>
      <c r="T84" s="12" t="b">
        <f t="shared" ca="1" si="11"/>
        <v>1</v>
      </c>
    </row>
    <row r="85" spans="2:20" x14ac:dyDescent="0.25">
      <c r="B85" s="1">
        <v>-2.3000000000000198</v>
      </c>
      <c r="C85" s="3">
        <f ca="1">_xll.meMathNormalDistributionStandard(B85)</f>
        <v>1.0724110021675243E-2</v>
      </c>
      <c r="D85" s="20">
        <f ca="1">_xll.meMathNormalDistributionPDF(B85)</f>
        <v>2.8327037741599882E-2</v>
      </c>
      <c r="G85" s="7">
        <v>0.38500000000000023</v>
      </c>
      <c r="H85" s="3">
        <f ca="1">_xll.meMathNormalDistributionStandardInverse(G85)</f>
        <v>-0.29237489622680374</v>
      </c>
      <c r="I85" s="3"/>
      <c r="J85" s="9">
        <f t="shared" si="7"/>
        <v>-0.29237489622680363</v>
      </c>
      <c r="K85" s="17">
        <f t="shared" ca="1" si="8"/>
        <v>0</v>
      </c>
      <c r="M85" s="1">
        <v>-2.3000000000000198</v>
      </c>
      <c r="N85" s="3">
        <f ca="1">_xll.meMathNormalDistribution(M85,$N$4,$N$5)</f>
        <v>1.0724110021675243E-2</v>
      </c>
      <c r="O85" s="20">
        <f ca="1">_xll.meMathNormalDistributionPDF(M85,$N$4,$N$5)</f>
        <v>2.8327037741599882E-2</v>
      </c>
      <c r="P85" s="8" t="b">
        <f t="shared" ca="1" si="10"/>
        <v>1</v>
      </c>
      <c r="R85" s="7">
        <v>0.38500000000000023</v>
      </c>
      <c r="S85" s="3">
        <f ca="1">_xll.meMathNormalDistributionInverse(R85,$S$4,$S$5)</f>
        <v>-0.29237489622680374</v>
      </c>
      <c r="T85" s="12" t="b">
        <f t="shared" ca="1" si="11"/>
        <v>1</v>
      </c>
    </row>
    <row r="86" spans="2:20" x14ac:dyDescent="0.25">
      <c r="B86" s="1">
        <v>-2.2000000000000197</v>
      </c>
      <c r="C86" s="3">
        <f ca="1">_xll.meMathNormalDistributionStandard(B86)</f>
        <v>1.390344751349791E-2</v>
      </c>
      <c r="D86" s="20">
        <f ca="1">_xll.meMathNormalDistributionPDF(B86)</f>
        <v>3.5474592846229898E-2</v>
      </c>
      <c r="G86" s="7">
        <v>0.39000000000000024</v>
      </c>
      <c r="H86" s="3">
        <f ca="1">_xll.meMathNormalDistributionStandardInverse(G86)</f>
        <v>-0.2793190344474536</v>
      </c>
      <c r="I86" s="3"/>
      <c r="J86" s="9">
        <f t="shared" si="7"/>
        <v>-0.2793190344474536</v>
      </c>
      <c r="K86" s="17">
        <f t="shared" ca="1" si="8"/>
        <v>0</v>
      </c>
      <c r="M86" s="1">
        <v>-2.2000000000000197</v>
      </c>
      <c r="N86" s="3">
        <f ca="1">_xll.meMathNormalDistribution(M86,$N$4,$N$5)</f>
        <v>1.390344751349791E-2</v>
      </c>
      <c r="O86" s="20">
        <f ca="1">_xll.meMathNormalDistributionPDF(M86,$N$4,$N$5)</f>
        <v>3.5474592846229898E-2</v>
      </c>
      <c r="P86" s="8" t="b">
        <f t="shared" ca="1" si="10"/>
        <v>1</v>
      </c>
      <c r="R86" s="7">
        <v>0.39000000000000024</v>
      </c>
      <c r="S86" s="3">
        <f ca="1">_xll.meMathNormalDistributionInverse(R86,$S$4,$S$5)</f>
        <v>-0.2793190344474536</v>
      </c>
      <c r="T86" s="12" t="b">
        <f t="shared" ca="1" si="11"/>
        <v>1</v>
      </c>
    </row>
    <row r="87" spans="2:20" x14ac:dyDescent="0.25">
      <c r="B87" s="1">
        <v>-2.1000000000000196</v>
      </c>
      <c r="C87" s="3">
        <f ca="1">_xll.meMathNormalDistributionStandard(B87)</f>
        <v>1.7864420562815692E-2</v>
      </c>
      <c r="D87" s="20">
        <f ca="1">_xll.meMathNormalDistributionPDF(B87)</f>
        <v>4.398359598042538E-2</v>
      </c>
      <c r="G87" s="7">
        <v>0.39500000000000024</v>
      </c>
      <c r="H87" s="3">
        <f ca="1">_xll.meMathNormalDistributionStandardInverse(G87)</f>
        <v>-0.26631061320409438</v>
      </c>
      <c r="I87" s="3"/>
      <c r="J87" s="9">
        <f t="shared" si="7"/>
        <v>-0.26631061320409444</v>
      </c>
      <c r="K87" s="17">
        <f t="shared" ca="1" si="8"/>
        <v>0</v>
      </c>
      <c r="M87" s="1">
        <v>-2.1000000000000196</v>
      </c>
      <c r="N87" s="3">
        <f ca="1">_xll.meMathNormalDistribution(M87,$N$4,$N$5)</f>
        <v>1.7864420562815692E-2</v>
      </c>
      <c r="O87" s="20">
        <f ca="1">_xll.meMathNormalDistributionPDF(M87,$N$4,$N$5)</f>
        <v>4.398359598042538E-2</v>
      </c>
      <c r="P87" s="8" t="b">
        <f t="shared" ca="1" si="10"/>
        <v>1</v>
      </c>
      <c r="R87" s="7">
        <v>0.39500000000000024</v>
      </c>
      <c r="S87" s="3">
        <f ca="1">_xll.meMathNormalDistributionInverse(R87,$S$4,$S$5)</f>
        <v>-0.26631061320409438</v>
      </c>
      <c r="T87" s="12" t="b">
        <f t="shared" ca="1" si="11"/>
        <v>1</v>
      </c>
    </row>
    <row r="88" spans="2:20" x14ac:dyDescent="0.25">
      <c r="B88" s="1">
        <v>-2.0000000000000195</v>
      </c>
      <c r="C88" s="3">
        <f ca="1">_xll.meMathNormalDistributionStandard(B88)</f>
        <v>2.2750131948178147E-2</v>
      </c>
      <c r="D88" s="20">
        <f ca="1">_xll.meMathNormalDistributionPDF(B88)</f>
        <v>5.3990966513185946E-2</v>
      </c>
      <c r="G88" s="7">
        <v>0.40000000000000024</v>
      </c>
      <c r="H88" s="3">
        <f ca="1">_xll.meMathNormalDistributionStandardInverse(G88)</f>
        <v>-0.25334710313579922</v>
      </c>
      <c r="I88" s="3"/>
      <c r="J88" s="9">
        <f t="shared" si="7"/>
        <v>-0.25334710313579917</v>
      </c>
      <c r="K88" s="17">
        <f t="shared" ca="1" si="8"/>
        <v>0</v>
      </c>
      <c r="M88" s="1">
        <v>-2.0000000000000195</v>
      </c>
      <c r="N88" s="3">
        <f ca="1">_xll.meMathNormalDistribution(M88,$N$4,$N$5)</f>
        <v>2.2750131948178147E-2</v>
      </c>
      <c r="O88" s="20">
        <f ca="1">_xll.meMathNormalDistributionPDF(M88,$N$4,$N$5)</f>
        <v>5.3990966513185946E-2</v>
      </c>
      <c r="P88" s="8" t="b">
        <f t="shared" ca="1" si="10"/>
        <v>1</v>
      </c>
      <c r="R88" s="7">
        <v>0.40000000000000024</v>
      </c>
      <c r="S88" s="3">
        <f ca="1">_xll.meMathNormalDistributionInverse(R88,$S$4,$S$5)</f>
        <v>-0.25334710313579922</v>
      </c>
      <c r="T88" s="12" t="b">
        <f t="shared" ca="1" si="11"/>
        <v>1</v>
      </c>
    </row>
    <row r="89" spans="2:20" x14ac:dyDescent="0.25">
      <c r="B89" s="1">
        <v>-1.9000000000000195</v>
      </c>
      <c r="C89" s="3">
        <f ca="1">_xll.meMathNormalDistributionStandard(B89)</f>
        <v>2.8716559816000527E-2</v>
      </c>
      <c r="D89" s="20">
        <f ca="1">_xll.meMathNormalDistributionPDF(B89)</f>
        <v>6.5615814774674167E-2</v>
      </c>
      <c r="G89" s="7">
        <v>0.40500000000000025</v>
      </c>
      <c r="H89" s="3">
        <f ca="1">_xll.meMathNormalDistributionStandardInverse(G89)</f>
        <v>-0.24042603114230743</v>
      </c>
      <c r="I89" s="3"/>
      <c r="J89" s="9">
        <f t="shared" si="7"/>
        <v>-0.24042603114230734</v>
      </c>
      <c r="K89" s="17">
        <f t="shared" ca="1" si="8"/>
        <v>0</v>
      </c>
      <c r="M89" s="1">
        <v>-1.9000000000000195</v>
      </c>
      <c r="N89" s="3">
        <f ca="1">_xll.meMathNormalDistribution(M89,$N$4,$N$5)</f>
        <v>2.8716559816000527E-2</v>
      </c>
      <c r="O89" s="20">
        <f ca="1">_xll.meMathNormalDistributionPDF(M89,$N$4,$N$5)</f>
        <v>6.5615814774674167E-2</v>
      </c>
      <c r="P89" s="8" t="b">
        <f t="shared" ca="1" si="10"/>
        <v>1</v>
      </c>
      <c r="R89" s="7">
        <v>0.40500000000000025</v>
      </c>
      <c r="S89" s="3">
        <f ca="1">_xll.meMathNormalDistributionInverse(R89,$S$4,$S$5)</f>
        <v>-0.24042603114230743</v>
      </c>
      <c r="T89" s="12" t="b">
        <f t="shared" ca="1" si="11"/>
        <v>1</v>
      </c>
    </row>
    <row r="90" spans="2:20" x14ac:dyDescent="0.25">
      <c r="B90" s="1">
        <v>-1.8000000000000194</v>
      </c>
      <c r="C90" s="3">
        <f ca="1">_xll.meMathNormalDistributionStandard(B90)</f>
        <v>3.5930319112924269E-2</v>
      </c>
      <c r="D90" s="20">
        <f ca="1">_xll.meMathNormalDistributionPDF(B90)</f>
        <v>7.8950158300891415E-2</v>
      </c>
      <c r="G90" s="7">
        <v>0.41000000000000025</v>
      </c>
      <c r="H90" s="3">
        <f ca="1">_xll.meMathNormalDistributionStandardInverse(G90)</f>
        <v>-0.22754497664114881</v>
      </c>
      <c r="I90" s="3"/>
      <c r="J90" s="9">
        <f t="shared" si="7"/>
        <v>-0.22754497664114881</v>
      </c>
      <c r="K90" s="17">
        <f t="shared" ca="1" si="8"/>
        <v>0</v>
      </c>
      <c r="M90" s="1">
        <v>-1.8000000000000194</v>
      </c>
      <c r="N90" s="3">
        <f ca="1">_xll.meMathNormalDistribution(M90,$N$4,$N$5)</f>
        <v>3.5930319112924269E-2</v>
      </c>
      <c r="O90" s="20">
        <f ca="1">_xll.meMathNormalDistributionPDF(M90,$N$4,$N$5)</f>
        <v>7.8950158300891415E-2</v>
      </c>
      <c r="P90" s="8" t="b">
        <f t="shared" ca="1" si="10"/>
        <v>1</v>
      </c>
      <c r="R90" s="7">
        <v>0.41000000000000025</v>
      </c>
      <c r="S90" s="3">
        <f ca="1">_xll.meMathNormalDistributionInverse(R90,$S$4,$S$5)</f>
        <v>-0.22754497664114881</v>
      </c>
      <c r="T90" s="12" t="b">
        <f t="shared" ca="1" si="11"/>
        <v>1</v>
      </c>
    </row>
    <row r="91" spans="2:20" x14ac:dyDescent="0.25">
      <c r="B91" s="1">
        <v>-1.7000000000000193</v>
      </c>
      <c r="C91" s="3">
        <f ca="1">_xll.meMathNormalDistributionStandard(B91)</f>
        <v>4.4565462758541237E-2</v>
      </c>
      <c r="D91" s="20">
        <f ca="1">_xll.meMathNormalDistributionPDF(B91)</f>
        <v>9.4049077376883852E-2</v>
      </c>
      <c r="G91" s="7">
        <v>0.41500000000000026</v>
      </c>
      <c r="H91" s="3">
        <f ca="1">_xll.meMathNormalDistributionStandardInverse(G91)</f>
        <v>-0.21470156800174384</v>
      </c>
      <c r="I91" s="3"/>
      <c r="J91" s="9">
        <f t="shared" si="7"/>
        <v>-0.21470156800174386</v>
      </c>
      <c r="K91" s="17">
        <f t="shared" ca="1" si="8"/>
        <v>0</v>
      </c>
      <c r="M91" s="1">
        <v>-1.7000000000000193</v>
      </c>
      <c r="N91" s="3">
        <f ca="1">_xll.meMathNormalDistribution(M91,$N$4,$N$5)</f>
        <v>4.4565462758541237E-2</v>
      </c>
      <c r="O91" s="20">
        <f ca="1">_xll.meMathNormalDistributionPDF(M91,$N$4,$N$5)</f>
        <v>9.4049077376883852E-2</v>
      </c>
      <c r="P91" s="8" t="b">
        <f t="shared" ca="1" si="10"/>
        <v>1</v>
      </c>
      <c r="R91" s="7">
        <v>0.41500000000000026</v>
      </c>
      <c r="S91" s="3">
        <f ca="1">_xll.meMathNormalDistributionInverse(R91,$S$4,$S$5)</f>
        <v>-0.21470156800174384</v>
      </c>
      <c r="T91" s="12" t="b">
        <f t="shared" ca="1" si="11"/>
        <v>1</v>
      </c>
    </row>
    <row r="92" spans="2:20" x14ac:dyDescent="0.25">
      <c r="B92" s="1">
        <v>-1.6000000000000192</v>
      </c>
      <c r="C92" s="3">
        <f ca="1">_xll.meMathNormalDistributionStandard(B92)</f>
        <v>5.4799291699555865E-2</v>
      </c>
      <c r="D92" s="20">
        <f ca="1">_xll.meMathNormalDistributionPDF(B92)</f>
        <v>0.11092083467945216</v>
      </c>
      <c r="G92" s="7">
        <v>0.42000000000000026</v>
      </c>
      <c r="H92" s="3">
        <f ca="1">_xll.meMathNormalDistributionStandardInverse(G92)</f>
        <v>-0.20189347914185021</v>
      </c>
      <c r="I92" s="3"/>
      <c r="J92" s="9">
        <f t="shared" si="7"/>
        <v>-0.20189347914185019</v>
      </c>
      <c r="K92" s="17">
        <f t="shared" ca="1" si="8"/>
        <v>0</v>
      </c>
      <c r="M92" s="1">
        <v>-1.6000000000000192</v>
      </c>
      <c r="N92" s="3">
        <f ca="1">_xll.meMathNormalDistribution(M92,$N$4,$N$5)</f>
        <v>5.4799291699555865E-2</v>
      </c>
      <c r="O92" s="20">
        <f ca="1">_xll.meMathNormalDistributionPDF(M92,$N$4,$N$5)</f>
        <v>0.11092083467945216</v>
      </c>
      <c r="P92" s="8" t="b">
        <f t="shared" ca="1" si="10"/>
        <v>1</v>
      </c>
      <c r="R92" s="7">
        <v>0.42000000000000026</v>
      </c>
      <c r="S92" s="3">
        <f ca="1">_xll.meMathNormalDistributionInverse(R92,$S$4,$S$5)</f>
        <v>-0.20189347914185021</v>
      </c>
      <c r="T92" s="12" t="b">
        <f t="shared" ca="1" si="11"/>
        <v>1</v>
      </c>
    </row>
    <row r="93" spans="2:20" x14ac:dyDescent="0.25">
      <c r="B93" s="1">
        <v>-1.5000000000000191</v>
      </c>
      <c r="C93" s="3">
        <f ca="1">_xll.meMathNormalDistributionStandard(B93)</f>
        <v>6.6807201268855601E-2</v>
      </c>
      <c r="D93" s="20">
        <f ca="1">_xll.meMathNormalDistributionPDF(B93)</f>
        <v>0.12951759566588802</v>
      </c>
      <c r="G93" s="7">
        <v>0.42500000000000027</v>
      </c>
      <c r="H93" s="3">
        <f ca="1">_xll.meMathNormalDistributionStandardInverse(G93)</f>
        <v>-0.18911842627279182</v>
      </c>
      <c r="I93" s="3"/>
      <c r="J93" s="9">
        <f t="shared" si="7"/>
        <v>-0.18911842627279182</v>
      </c>
      <c r="K93" s="17">
        <f t="shared" ca="1" si="8"/>
        <v>0</v>
      </c>
      <c r="M93" s="1">
        <v>-1.5000000000000191</v>
      </c>
      <c r="N93" s="3">
        <f ca="1">_xll.meMathNormalDistribution(M93,$N$4,$N$5)</f>
        <v>6.6807201268855601E-2</v>
      </c>
      <c r="O93" s="20">
        <f ca="1">_xll.meMathNormalDistributionPDF(M93,$N$4,$N$5)</f>
        <v>0.12951759566588802</v>
      </c>
      <c r="P93" s="8" t="b">
        <f t="shared" ca="1" si="10"/>
        <v>1</v>
      </c>
      <c r="R93" s="7">
        <v>0.42500000000000027</v>
      </c>
      <c r="S93" s="3">
        <f ca="1">_xll.meMathNormalDistributionInverse(R93,$S$4,$S$5)</f>
        <v>-0.18911842627279182</v>
      </c>
      <c r="T93" s="12" t="b">
        <f t="shared" ca="1" si="11"/>
        <v>1</v>
      </c>
    </row>
    <row r="94" spans="2:20" x14ac:dyDescent="0.25">
      <c r="B94" s="1">
        <v>-1.400000000000019</v>
      </c>
      <c r="C94" s="3">
        <f ca="1">_xll.meMathNormalDistributionStandard(B94)</f>
        <v>8.0756659233768208E-2</v>
      </c>
      <c r="D94" s="20">
        <f ca="1">_xll.meMathNormalDistributionPDF(B94)</f>
        <v>0.14972746563574085</v>
      </c>
      <c r="G94" s="7">
        <v>0.43000000000000027</v>
      </c>
      <c r="H94" s="3">
        <f ca="1">_xll.meMathNormalDistributionStandardInverse(G94)</f>
        <v>-0.17637416478086063</v>
      </c>
      <c r="I94" s="3"/>
      <c r="J94" s="9">
        <f t="shared" si="7"/>
        <v>-0.17637416478086065</v>
      </c>
      <c r="K94" s="17">
        <f t="shared" ca="1" si="8"/>
        <v>0</v>
      </c>
      <c r="M94" s="1">
        <v>-1.400000000000019</v>
      </c>
      <c r="N94" s="3">
        <f ca="1">_xll.meMathNormalDistribution(M94,$N$4,$N$5)</f>
        <v>8.0756659233768208E-2</v>
      </c>
      <c r="O94" s="20">
        <f ca="1">_xll.meMathNormalDistributionPDF(M94,$N$4,$N$5)</f>
        <v>0.14972746563574085</v>
      </c>
      <c r="P94" s="8" t="b">
        <f t="shared" ca="1" si="10"/>
        <v>1</v>
      </c>
      <c r="R94" s="7">
        <v>0.43000000000000027</v>
      </c>
      <c r="S94" s="3">
        <f ca="1">_xll.meMathNormalDistributionInverse(R94,$S$4,$S$5)</f>
        <v>-0.17637416478086063</v>
      </c>
      <c r="T94" s="12" t="b">
        <f t="shared" ca="1" si="11"/>
        <v>1</v>
      </c>
    </row>
    <row r="95" spans="2:20" x14ac:dyDescent="0.25">
      <c r="B95" s="1">
        <v>-1.3000000000000189</v>
      </c>
      <c r="C95" s="3">
        <f ca="1">_xll.meMathNormalDistributionStandard(B95)</f>
        <v>9.6800484585607069E-2</v>
      </c>
      <c r="D95" s="20">
        <f ca="1">_xll.meMathNormalDistributionPDF(B95)</f>
        <v>0.17136859204780314</v>
      </c>
      <c r="G95" s="7">
        <v>0.43500000000000028</v>
      </c>
      <c r="H95" s="3">
        <f ca="1">_xll.meMathNormalDistributionStandardInverse(G95)</f>
        <v>-0.16365848623314061</v>
      </c>
      <c r="I95" s="3"/>
      <c r="J95" s="9">
        <f t="shared" si="7"/>
        <v>-0.16365848623314058</v>
      </c>
      <c r="K95" s="17">
        <f t="shared" ca="1" si="8"/>
        <v>0</v>
      </c>
      <c r="M95" s="1">
        <v>-1.3000000000000189</v>
      </c>
      <c r="N95" s="3">
        <f ca="1">_xll.meMathNormalDistribution(M95,$N$4,$N$5)</f>
        <v>9.6800484585607069E-2</v>
      </c>
      <c r="O95" s="20">
        <f ca="1">_xll.meMathNormalDistributionPDF(M95,$N$4,$N$5)</f>
        <v>0.17136859204780314</v>
      </c>
      <c r="P95" s="8" t="b">
        <f t="shared" ca="1" si="10"/>
        <v>1</v>
      </c>
      <c r="R95" s="7">
        <v>0.43500000000000028</v>
      </c>
      <c r="S95" s="3">
        <f ca="1">_xll.meMathNormalDistributionInverse(R95,$S$4,$S$5)</f>
        <v>-0.16365848623314061</v>
      </c>
      <c r="T95" s="12" t="b">
        <f t="shared" ca="1" si="11"/>
        <v>1</v>
      </c>
    </row>
    <row r="96" spans="2:20" x14ac:dyDescent="0.25">
      <c r="B96" s="1">
        <v>-1.2000000000000188</v>
      </c>
      <c r="C96" s="3">
        <f ca="1">_xll.meMathNormalDistributionStandard(B96)</f>
        <v>0.11506967022170463</v>
      </c>
      <c r="D96" s="20">
        <f ca="1">_xll.meMathNormalDistributionPDF(B96)</f>
        <v>0.19418605498320857</v>
      </c>
      <c r="G96" s="7">
        <v>0.44000000000000028</v>
      </c>
      <c r="H96" s="3">
        <f ca="1">_xll.meMathNormalDistributionStandardInverse(G96)</f>
        <v>-0.15096921549677655</v>
      </c>
      <c r="I96" s="3"/>
      <c r="J96" s="9">
        <f t="shared" si="7"/>
        <v>-0.15096921549677655</v>
      </c>
      <c r="K96" s="17">
        <f t="shared" ca="1" si="8"/>
        <v>0</v>
      </c>
      <c r="M96" s="1">
        <v>-1.2000000000000188</v>
      </c>
      <c r="N96" s="3">
        <f ca="1">_xll.meMathNormalDistribution(M96,$N$4,$N$5)</f>
        <v>0.11506967022170463</v>
      </c>
      <c r="O96" s="20">
        <f ca="1">_xll.meMathNormalDistributionPDF(M96,$N$4,$N$5)</f>
        <v>0.19418605498320857</v>
      </c>
      <c r="P96" s="8" t="b">
        <f t="shared" ca="1" si="10"/>
        <v>1</v>
      </c>
      <c r="R96" s="7">
        <v>0.44000000000000028</v>
      </c>
      <c r="S96" s="3">
        <f ca="1">_xll.meMathNormalDistributionInverse(R96,$S$4,$S$5)</f>
        <v>-0.15096921549677655</v>
      </c>
      <c r="T96" s="12" t="b">
        <f t="shared" ca="1" si="11"/>
        <v>1</v>
      </c>
    </row>
    <row r="97" spans="2:20" x14ac:dyDescent="0.25">
      <c r="B97" s="1">
        <v>-1.1000000000000187</v>
      </c>
      <c r="C97" s="3">
        <f ca="1">_xll.meMathNormalDistributionStandard(B97)</f>
        <v>0.13566606094637859</v>
      </c>
      <c r="D97" s="20">
        <f ca="1">_xll.meMathNormalDistributionPDF(B97)</f>
        <v>0.21785217703254606</v>
      </c>
      <c r="G97" s="7">
        <v>0.44500000000000028</v>
      </c>
      <c r="H97" s="3">
        <f ca="1">_xll.meMathNormalDistributionStandardInverse(G97)</f>
        <v>-0.1383042079614038</v>
      </c>
      <c r="I97" s="3"/>
      <c r="J97" s="9">
        <f t="shared" si="7"/>
        <v>-0.13830420796140383</v>
      </c>
      <c r="K97" s="17">
        <f t="shared" ca="1" si="8"/>
        <v>0</v>
      </c>
      <c r="M97" s="1">
        <v>-1.1000000000000187</v>
      </c>
      <c r="N97" s="3">
        <f ca="1">_xll.meMathNormalDistribution(M97,$N$4,$N$5)</f>
        <v>0.13566606094637859</v>
      </c>
      <c r="O97" s="20">
        <f ca="1">_xll.meMathNormalDistributionPDF(M97,$N$4,$N$5)</f>
        <v>0.21785217703254606</v>
      </c>
      <c r="P97" s="8" t="b">
        <f t="shared" ca="1" si="10"/>
        <v>1</v>
      </c>
      <c r="R97" s="7">
        <v>0.44500000000000028</v>
      </c>
      <c r="S97" s="3">
        <f ca="1">_xll.meMathNormalDistributionInverse(R97,$S$4,$S$5)</f>
        <v>-0.1383042079614038</v>
      </c>
      <c r="T97" s="12" t="b">
        <f t="shared" ca="1" si="11"/>
        <v>1</v>
      </c>
    </row>
    <row r="98" spans="2:20" x14ac:dyDescent="0.25">
      <c r="B98" s="1">
        <v>-1.0000000000000187</v>
      </c>
      <c r="C98" s="3">
        <f ca="1">_xll.meMathNormalDistributionStandard(B98)</f>
        <v>0.15865525393145255</v>
      </c>
      <c r="D98" s="20">
        <f ca="1">_xll.meMathNormalDistributionPDF(B98)</f>
        <v>0.24197072451913884</v>
      </c>
      <c r="G98" s="7">
        <v>0.45000000000000029</v>
      </c>
      <c r="H98" s="3">
        <f ca="1">_xll.meMathNormalDistributionStandardInverse(G98)</f>
        <v>-0.12566134685507335</v>
      </c>
      <c r="I98" s="3"/>
      <c r="J98" s="9">
        <f t="shared" si="7"/>
        <v>-0.12566134685507332</v>
      </c>
      <c r="K98" s="17">
        <f t="shared" ca="1" si="8"/>
        <v>0</v>
      </c>
      <c r="M98" s="1">
        <v>-1.0000000000000187</v>
      </c>
      <c r="N98" s="3">
        <f ca="1">_xll.meMathNormalDistribution(M98,$N$4,$N$5)</f>
        <v>0.15865525393145255</v>
      </c>
      <c r="O98" s="20">
        <f ca="1">_xll.meMathNormalDistributionPDF(M98,$N$4,$N$5)</f>
        <v>0.24197072451913884</v>
      </c>
      <c r="P98" s="8" t="b">
        <f t="shared" ca="1" si="10"/>
        <v>1</v>
      </c>
      <c r="R98" s="7">
        <v>0.45000000000000029</v>
      </c>
      <c r="S98" s="3">
        <f ca="1">_xll.meMathNormalDistributionInverse(R98,$S$4,$S$5)</f>
        <v>-0.12566134685507335</v>
      </c>
      <c r="T98" s="12" t="b">
        <f t="shared" ca="1" si="11"/>
        <v>1</v>
      </c>
    </row>
    <row r="99" spans="2:20" x14ac:dyDescent="0.25">
      <c r="B99" s="1">
        <v>-0.90000000000001867</v>
      </c>
      <c r="C99" s="3">
        <f ca="1">_xll.meMathNormalDistributionStandard(B99)</f>
        <v>0.18406012534675456</v>
      </c>
      <c r="D99" s="20">
        <f ca="1">_xll.meMathNormalDistributionPDF(B99)</f>
        <v>0.26608524989875038</v>
      </c>
      <c r="G99" s="7">
        <v>0.45500000000000029</v>
      </c>
      <c r="H99" s="3">
        <f ca="1">_xll.meMathNormalDistributionStandardInverse(G99)</f>
        <v>-0.11303854064456438</v>
      </c>
      <c r="I99" s="3"/>
      <c r="J99" s="9">
        <f t="shared" si="7"/>
        <v>-0.11303854064456441</v>
      </c>
      <c r="K99" s="17">
        <f t="shared" ca="1" si="8"/>
        <v>0</v>
      </c>
      <c r="M99" s="1">
        <v>-0.90000000000001867</v>
      </c>
      <c r="N99" s="3">
        <f ca="1">_xll.meMathNormalDistribution(M99,$N$4,$N$5)</f>
        <v>0.18406012534675456</v>
      </c>
      <c r="O99" s="20">
        <f ca="1">_xll.meMathNormalDistributionPDF(M99,$N$4,$N$5)</f>
        <v>0.26608524989875038</v>
      </c>
      <c r="P99" s="8" t="b">
        <f t="shared" ca="1" si="10"/>
        <v>1</v>
      </c>
      <c r="R99" s="7">
        <v>0.45500000000000029</v>
      </c>
      <c r="S99" s="3">
        <f ca="1">_xll.meMathNormalDistributionInverse(R99,$S$4,$S$5)</f>
        <v>-0.11303854064456438</v>
      </c>
      <c r="T99" s="12" t="b">
        <f t="shared" ca="1" si="11"/>
        <v>1</v>
      </c>
    </row>
    <row r="100" spans="2:20" x14ac:dyDescent="0.25">
      <c r="B100" s="1">
        <v>-0.8000000000000187</v>
      </c>
      <c r="C100" s="3">
        <f ca="1">_xll.meMathNormalDistributionStandard(B100)</f>
        <v>0.21185539858339131</v>
      </c>
      <c r="D100" s="20">
        <f ca="1">_xll.meMathNormalDistributionPDF(B100)</f>
        <v>0.2896915527614784</v>
      </c>
      <c r="G100" s="7">
        <v>0.4600000000000003</v>
      </c>
      <c r="H100" s="3">
        <f ca="1">_xll.meMathNormalDistributionStandardInverse(G100)</f>
        <v>-0.10043372051146911</v>
      </c>
      <c r="I100" s="3"/>
      <c r="J100" s="9">
        <f t="shared" si="7"/>
        <v>-0.10043372051146907</v>
      </c>
      <c r="K100" s="17">
        <f t="shared" ca="1" si="8"/>
        <v>0</v>
      </c>
      <c r="M100" s="1">
        <v>-0.8000000000000187</v>
      </c>
      <c r="N100" s="3">
        <f ca="1">_xll.meMathNormalDistribution(M100,$N$4,$N$5)</f>
        <v>0.21185539858339131</v>
      </c>
      <c r="O100" s="20">
        <f ca="1">_xll.meMathNormalDistributionPDF(M100,$N$4,$N$5)</f>
        <v>0.2896915527614784</v>
      </c>
      <c r="P100" s="8" t="b">
        <f t="shared" ca="1" si="10"/>
        <v>1</v>
      </c>
      <c r="R100" s="7">
        <v>0.4600000000000003</v>
      </c>
      <c r="S100" s="3">
        <f ca="1">_xll.meMathNormalDistributionInverse(R100,$S$4,$S$5)</f>
        <v>-0.10043372051146911</v>
      </c>
      <c r="T100" s="12" t="b">
        <f t="shared" ca="1" si="11"/>
        <v>1</v>
      </c>
    </row>
    <row r="101" spans="2:20" x14ac:dyDescent="0.25">
      <c r="B101" s="1">
        <v>-0.70000000000001872</v>
      </c>
      <c r="C101" s="3">
        <f ca="1">_xll.meMathNormalDistributionStandard(B101)</f>
        <v>0.24196365222306723</v>
      </c>
      <c r="D101" s="20">
        <f ca="1">_xll.meMathNormalDistributionPDF(B101)</f>
        <v>0.31225393336675722</v>
      </c>
      <c r="G101" s="7">
        <v>0.4650000000000003</v>
      </c>
      <c r="H101" s="3">
        <f ca="1">_xll.meMathNormalDistributionStandardInverse(G101)</f>
        <v>-8.7844837895870997E-2</v>
      </c>
      <c r="I101" s="3"/>
      <c r="J101" s="9">
        <f t="shared" si="7"/>
        <v>-8.7844837895870984E-2</v>
      </c>
      <c r="K101" s="17">
        <f t="shared" ca="1" si="8"/>
        <v>0</v>
      </c>
      <c r="M101" s="1">
        <v>-0.70000000000001872</v>
      </c>
      <c r="N101" s="3">
        <f ca="1">_xll.meMathNormalDistribution(M101,$N$4,$N$5)</f>
        <v>0.24196365222306723</v>
      </c>
      <c r="O101" s="20">
        <f ca="1">_xll.meMathNormalDistributionPDF(M101,$N$4,$N$5)</f>
        <v>0.31225393336675722</v>
      </c>
      <c r="P101" s="8" t="b">
        <f t="shared" ca="1" si="10"/>
        <v>1</v>
      </c>
      <c r="R101" s="7">
        <v>0.4650000000000003</v>
      </c>
      <c r="S101" s="3">
        <f ca="1">_xll.meMathNormalDistributionInverse(R101,$S$4,$S$5)</f>
        <v>-8.7844837895870997E-2</v>
      </c>
      <c r="T101" s="12" t="b">
        <f t="shared" ca="1" si="11"/>
        <v>1</v>
      </c>
    </row>
    <row r="102" spans="2:20" x14ac:dyDescent="0.25">
      <c r="B102" s="1">
        <v>-0.60000000000001874</v>
      </c>
      <c r="C102" s="3">
        <f ca="1">_xll.meMathNormalDistributionStandard(B102)</f>
        <v>0.27425311775006733</v>
      </c>
      <c r="D102" s="20">
        <f ca="1">_xll.meMathNormalDistributionPDF(B102)</f>
        <v>0.33322460289179595</v>
      </c>
      <c r="G102" s="7">
        <v>0.47000000000000031</v>
      </c>
      <c r="H102" s="3">
        <f ca="1">_xll.meMathNormalDistributionStandardInverse(G102)</f>
        <v>-7.5269862099829055E-2</v>
      </c>
      <c r="I102" s="3"/>
      <c r="J102" s="9">
        <f t="shared" si="7"/>
        <v>-7.5269862099829069E-2</v>
      </c>
      <c r="K102" s="17">
        <f t="shared" ca="1" si="8"/>
        <v>0</v>
      </c>
      <c r="M102" s="1">
        <v>-0.60000000000001874</v>
      </c>
      <c r="N102" s="3">
        <f ca="1">_xll.meMathNormalDistribution(M102,$N$4,$N$5)</f>
        <v>0.27425311775006733</v>
      </c>
      <c r="O102" s="20">
        <f ca="1">_xll.meMathNormalDistributionPDF(M102,$N$4,$N$5)</f>
        <v>0.33322460289179595</v>
      </c>
      <c r="P102" s="8" t="b">
        <f t="shared" ca="1" si="10"/>
        <v>1</v>
      </c>
      <c r="R102" s="7">
        <v>0.47000000000000031</v>
      </c>
      <c r="S102" s="3">
        <f ca="1">_xll.meMathNormalDistributionInverse(R102,$S$4,$S$5)</f>
        <v>-7.5269862099829055E-2</v>
      </c>
      <c r="T102" s="12" t="b">
        <f t="shared" ca="1" si="11"/>
        <v>1</v>
      </c>
    </row>
    <row r="103" spans="2:20" x14ac:dyDescent="0.25">
      <c r="B103" s="1">
        <v>-0.50000000000001876</v>
      </c>
      <c r="C103" s="3">
        <f ca="1">_xll.meMathNormalDistributionStandard(B103)</f>
        <v>0.30853753872598033</v>
      </c>
      <c r="D103" s="20">
        <f ca="1">_xll.meMathNormalDistributionPDF(B103)</f>
        <v>0.35206532676429619</v>
      </c>
      <c r="G103" s="7">
        <v>0.47500000000000031</v>
      </c>
      <c r="H103" s="3">
        <f ca="1">_xll.meMathNormalDistributionStandardInverse(G103)</f>
        <v>-6.2706777943212971E-2</v>
      </c>
      <c r="I103" s="3"/>
      <c r="J103" s="9">
        <f t="shared" si="7"/>
        <v>-6.2706777943213013E-2</v>
      </c>
      <c r="K103" s="17">
        <f t="shared" ca="1" si="8"/>
        <v>0</v>
      </c>
      <c r="M103" s="1">
        <v>-0.50000000000001876</v>
      </c>
      <c r="N103" s="3">
        <f ca="1">_xll.meMathNormalDistribution(M103,$N$4,$N$5)</f>
        <v>0.30853753872598033</v>
      </c>
      <c r="O103" s="20">
        <f ca="1">_xll.meMathNormalDistributionPDF(M103,$N$4,$N$5)</f>
        <v>0.35206532676429619</v>
      </c>
      <c r="P103" s="8" t="b">
        <f t="shared" ca="1" si="10"/>
        <v>1</v>
      </c>
      <c r="R103" s="7">
        <v>0.47500000000000031</v>
      </c>
      <c r="S103" s="3">
        <f ca="1">_xll.meMathNormalDistributionInverse(R103,$S$4,$S$5)</f>
        <v>-6.2706777943212971E-2</v>
      </c>
      <c r="T103" s="12" t="b">
        <f t="shared" ca="1" si="11"/>
        <v>1</v>
      </c>
    </row>
    <row r="104" spans="2:20" x14ac:dyDescent="0.25">
      <c r="B104" s="1">
        <v>-0.40000000000001878</v>
      </c>
      <c r="C104" s="3">
        <f ca="1">_xll.meMathNormalDistributionStandard(B104)</f>
        <v>0.34457825838966893</v>
      </c>
      <c r="D104" s="20">
        <f ca="1">_xll.meMathNormalDistributionPDF(B104)</f>
        <v>0.36827014030332056</v>
      </c>
      <c r="G104" s="7">
        <v>0.48000000000000032</v>
      </c>
      <c r="H104" s="3">
        <f ca="1">_xll.meMathNormalDistributionStandardInverse(G104)</f>
        <v>-5.0153583464732872E-2</v>
      </c>
      <c r="I104" s="3"/>
      <c r="J104" s="9">
        <f t="shared" si="7"/>
        <v>-5.015358346473283E-2</v>
      </c>
      <c r="K104" s="17">
        <f t="shared" ca="1" si="8"/>
        <v>0</v>
      </c>
      <c r="M104" s="1">
        <v>-0.40000000000001878</v>
      </c>
      <c r="N104" s="3">
        <f ca="1">_xll.meMathNormalDistribution(M104,$N$4,$N$5)</f>
        <v>0.34457825838966893</v>
      </c>
      <c r="O104" s="20">
        <f ca="1">_xll.meMathNormalDistributionPDF(M104,$N$4,$N$5)</f>
        <v>0.36827014030332056</v>
      </c>
      <c r="P104" s="8" t="b">
        <f t="shared" ca="1" si="10"/>
        <v>1</v>
      </c>
      <c r="R104" s="7">
        <v>0.48000000000000032</v>
      </c>
      <c r="S104" s="3">
        <f ca="1">_xll.meMathNormalDistributionInverse(R104,$S$4,$S$5)</f>
        <v>-5.0153583464732872E-2</v>
      </c>
      <c r="T104" s="12" t="b">
        <f t="shared" ca="1" si="11"/>
        <v>1</v>
      </c>
    </row>
    <row r="105" spans="2:20" x14ac:dyDescent="0.25">
      <c r="B105" s="1">
        <v>-0.30000000000001881</v>
      </c>
      <c r="C105" s="3">
        <f ca="1">_xll.meMathNormalDistributionStandard(B105)</f>
        <v>0.38208857781104022</v>
      </c>
      <c r="D105" s="20">
        <f ca="1">_xll.meMathNormalDistributionPDF(B105)</f>
        <v>0.38138781546052197</v>
      </c>
      <c r="G105" s="7">
        <v>0.48500000000000032</v>
      </c>
      <c r="H105" s="3">
        <f ca="1">_xll.meMathNormalDistributionStandardInverse(G105)</f>
        <v>-3.760828766125518E-2</v>
      </c>
      <c r="I105" s="3"/>
      <c r="J105" s="9">
        <f t="shared" ref="J105:J136" si="12">NORMSINV(G105)</f>
        <v>-3.7608287661255103E-2</v>
      </c>
      <c r="K105" s="17">
        <f t="shared" ref="K105:K136" ca="1" si="13">H105-J105</f>
        <v>-7.6327832942979512E-17</v>
      </c>
      <c r="M105" s="1">
        <v>-0.30000000000001881</v>
      </c>
      <c r="N105" s="3">
        <f ca="1">_xll.meMathNormalDistribution(M105,$N$4,$N$5)</f>
        <v>0.38208857781104022</v>
      </c>
      <c r="O105" s="20">
        <f ca="1">_xll.meMathNormalDistributionPDF(M105,$N$4,$N$5)</f>
        <v>0.38138781546052197</v>
      </c>
      <c r="P105" s="8" t="b">
        <f t="shared" ca="1" si="10"/>
        <v>1</v>
      </c>
      <c r="R105" s="7">
        <v>0.48500000000000032</v>
      </c>
      <c r="S105" s="3">
        <f ca="1">_xll.meMathNormalDistributionInverse(R105,$S$4,$S$5)</f>
        <v>-3.760828766125518E-2</v>
      </c>
      <c r="T105" s="12" t="b">
        <f t="shared" ca="1" si="11"/>
        <v>1</v>
      </c>
    </row>
    <row r="106" spans="2:20" x14ac:dyDescent="0.25">
      <c r="B106" s="1">
        <v>-0.2000000000000188</v>
      </c>
      <c r="C106" s="3">
        <f ca="1">_xll.meMathNormalDistributionStandard(B106)</f>
        <v>0.42074029056088963</v>
      </c>
      <c r="D106" s="20">
        <f ca="1">_xll.meMathNormalDistributionPDF(B106)</f>
        <v>0.39104269397545444</v>
      </c>
      <c r="G106" s="7">
        <v>0.49000000000000032</v>
      </c>
      <c r="H106" s="3">
        <f ca="1">_xll.meMathNormalDistributionStandardInverse(G106)</f>
        <v>-2.50689082587102E-2</v>
      </c>
      <c r="I106" s="3"/>
      <c r="J106" s="9">
        <f t="shared" si="12"/>
        <v>-2.5068908258710224E-2</v>
      </c>
      <c r="K106" s="17">
        <f t="shared" ca="1" si="13"/>
        <v>0</v>
      </c>
      <c r="M106" s="1">
        <v>-0.2000000000000188</v>
      </c>
      <c r="N106" s="3">
        <f ca="1">_xll.meMathNormalDistribution(M106,$N$4,$N$5)</f>
        <v>0.42074029056088963</v>
      </c>
      <c r="O106" s="20">
        <f ca="1">_xll.meMathNormalDistributionPDF(M106,$N$4,$N$5)</f>
        <v>0.39104269397545444</v>
      </c>
      <c r="P106" s="8" t="b">
        <f t="shared" ca="1" si="10"/>
        <v>1</v>
      </c>
      <c r="R106" s="7">
        <v>0.49000000000000032</v>
      </c>
      <c r="S106" s="3">
        <f ca="1">_xll.meMathNormalDistributionInverse(R106,$S$4,$S$5)</f>
        <v>-2.50689082587102E-2</v>
      </c>
      <c r="T106" s="12" t="b">
        <f t="shared" ca="1" si="11"/>
        <v>1</v>
      </c>
    </row>
    <row r="107" spans="2:20" x14ac:dyDescent="0.25">
      <c r="B107" s="1">
        <v>-0.1000000000000188</v>
      </c>
      <c r="C107" s="3">
        <f ca="1">_xll.meMathNormalDistributionStandard(B107)</f>
        <v>0.46017216272296357</v>
      </c>
      <c r="D107" s="20">
        <f ca="1">_xll.meMathNormalDistributionPDF(B107)</f>
        <v>0.39695254747701103</v>
      </c>
      <c r="G107" s="7">
        <v>0.49500000000000033</v>
      </c>
      <c r="H107" s="3">
        <f ca="1">_xll.meMathNormalDistributionStandardInverse(G107)</f>
        <v>-1.2533469508068404E-2</v>
      </c>
      <c r="I107" s="3"/>
      <c r="J107" s="9">
        <f t="shared" si="12"/>
        <v>-1.253346950806844E-2</v>
      </c>
      <c r="K107" s="17">
        <f t="shared" ca="1" si="13"/>
        <v>3.6429192995512949E-17</v>
      </c>
      <c r="M107" s="1">
        <v>-0.1000000000000188</v>
      </c>
      <c r="N107" s="3">
        <f ca="1">_xll.meMathNormalDistribution(M107,$N$4,$N$5)</f>
        <v>0.46017216272296357</v>
      </c>
      <c r="O107" s="20">
        <f ca="1">_xll.meMathNormalDistributionPDF(M107,$N$4,$N$5)</f>
        <v>0.39695254747701103</v>
      </c>
      <c r="P107" s="8" t="b">
        <f t="shared" ca="1" si="10"/>
        <v>1</v>
      </c>
      <c r="R107" s="7">
        <v>0.49500000000000033</v>
      </c>
      <c r="S107" s="3">
        <f ca="1">_xll.meMathNormalDistributionInverse(R107,$S$4,$S$5)</f>
        <v>-1.2533469508068404E-2</v>
      </c>
      <c r="T107" s="12" t="b">
        <f t="shared" ca="1" si="11"/>
        <v>1</v>
      </c>
    </row>
    <row r="108" spans="2:20" x14ac:dyDescent="0.25">
      <c r="B108" s="1">
        <v>-1.8790524691780774E-14</v>
      </c>
      <c r="C108" s="3">
        <f ca="1">_xll.meMathNormalDistributionStandard(B108)</f>
        <v>0.49999999999999251</v>
      </c>
      <c r="D108" s="20">
        <f ca="1">_xll.meMathNormalDistributionPDF(B108)</f>
        <v>0.3989422804014327</v>
      </c>
      <c r="G108" s="7">
        <v>0.50000000000000033</v>
      </c>
      <c r="H108" s="3">
        <f ca="1">_xll.meMathNormalDistributionStandardInverse(G108)</f>
        <v>8.3487492834352285E-16</v>
      </c>
      <c r="I108" s="3"/>
      <c r="J108" s="9">
        <f t="shared" si="12"/>
        <v>8.3487492740153014E-16</v>
      </c>
      <c r="K108" s="17">
        <f t="shared" ca="1" si="13"/>
        <v>9.4199271059786472E-25</v>
      </c>
      <c r="M108" s="1">
        <v>-1.8790524691780774E-14</v>
      </c>
      <c r="N108" s="3">
        <f ca="1">_xll.meMathNormalDistribution(M108,$N$4,$N$5)</f>
        <v>0.49999999999999251</v>
      </c>
      <c r="O108" s="20">
        <f ca="1">_xll.meMathNormalDistributionPDF(M108,$N$4,$N$5)</f>
        <v>0.3989422804014327</v>
      </c>
      <c r="P108" s="8" t="b">
        <f t="shared" ca="1" si="10"/>
        <v>1</v>
      </c>
      <c r="R108" s="7">
        <v>0.50000000000000033</v>
      </c>
      <c r="S108" s="3">
        <f ca="1">_xll.meMathNormalDistributionInverse(R108,$S$4,$S$5)</f>
        <v>8.3487492834352285E-16</v>
      </c>
      <c r="T108" s="12" t="b">
        <f t="shared" ca="1" si="11"/>
        <v>1</v>
      </c>
    </row>
    <row r="109" spans="2:20" x14ac:dyDescent="0.25">
      <c r="B109" s="1">
        <v>9.9999999999981215E-2</v>
      </c>
      <c r="C109" s="3">
        <f ca="1">_xll.meMathNormalDistributionStandard(B109)</f>
        <v>0.53982783727702155</v>
      </c>
      <c r="D109" s="20">
        <f ca="1">_xll.meMathNormalDistributionPDF(B109)</f>
        <v>0.39695254747701253</v>
      </c>
      <c r="G109" s="7">
        <v>0.50500000000000034</v>
      </c>
      <c r="H109" s="3">
        <f ca="1">_xll.meMathNormalDistributionStandardInverse(G109)</f>
        <v>1.2533469508070072E-2</v>
      </c>
      <c r="I109" s="3"/>
      <c r="J109" s="9">
        <f t="shared" si="12"/>
        <v>1.253346950807011E-2</v>
      </c>
      <c r="K109" s="17">
        <f t="shared" ca="1" si="13"/>
        <v>-3.8163916471489756E-17</v>
      </c>
      <c r="M109" s="1">
        <v>9.9999999999981215E-2</v>
      </c>
      <c r="N109" s="3">
        <f ca="1">_xll.meMathNormalDistribution(M109,$N$4,$N$5)</f>
        <v>0.53982783727702155</v>
      </c>
      <c r="O109" s="20">
        <f ca="1">_xll.meMathNormalDistributionPDF(M109,$N$4,$N$5)</f>
        <v>0.39695254747701253</v>
      </c>
      <c r="P109" s="8" t="b">
        <f t="shared" ca="1" si="10"/>
        <v>1</v>
      </c>
      <c r="R109" s="7">
        <v>0.50500000000000034</v>
      </c>
      <c r="S109" s="3">
        <f ca="1">_xll.meMathNormalDistributionInverse(R109,$S$4,$S$5)</f>
        <v>1.2533469508070072E-2</v>
      </c>
      <c r="T109" s="12" t="b">
        <f t="shared" ca="1" si="11"/>
        <v>1</v>
      </c>
    </row>
    <row r="110" spans="2:20" x14ac:dyDescent="0.25">
      <c r="B110" s="1">
        <v>0.19999999999998122</v>
      </c>
      <c r="C110" s="3">
        <f ca="1">_xll.meMathNormalDistributionStandard(B110)</f>
        <v>0.57925970943909566</v>
      </c>
      <c r="D110" s="20">
        <f ca="1">_xll.meMathNormalDistributionPDF(B110)</f>
        <v>0.39104269397545738</v>
      </c>
      <c r="G110" s="7">
        <v>0.51000000000000034</v>
      </c>
      <c r="H110" s="3">
        <f ca="1">_xll.meMathNormalDistributionStandardInverse(G110)</f>
        <v>2.5068908258711869E-2</v>
      </c>
      <c r="I110" s="3"/>
      <c r="J110" s="9">
        <f t="shared" si="12"/>
        <v>2.5068908258711893E-2</v>
      </c>
      <c r="K110" s="17">
        <f t="shared" ca="1" si="13"/>
        <v>0</v>
      </c>
      <c r="M110" s="1">
        <v>0.19999999999998122</v>
      </c>
      <c r="N110" s="3">
        <f ca="1">_xll.meMathNormalDistribution(M110,$N$4,$N$5)</f>
        <v>0.57925970943909566</v>
      </c>
      <c r="O110" s="20">
        <f ca="1">_xll.meMathNormalDistributionPDF(M110,$N$4,$N$5)</f>
        <v>0.39104269397545738</v>
      </c>
      <c r="P110" s="8" t="b">
        <f t="shared" ca="1" si="10"/>
        <v>1</v>
      </c>
      <c r="R110" s="7">
        <v>0.51000000000000034</v>
      </c>
      <c r="S110" s="3">
        <f ca="1">_xll.meMathNormalDistributionInverse(R110,$S$4,$S$5)</f>
        <v>2.5068908258711869E-2</v>
      </c>
      <c r="T110" s="12" t="b">
        <f t="shared" ca="1" si="11"/>
        <v>1</v>
      </c>
    </row>
    <row r="111" spans="2:20" x14ac:dyDescent="0.25">
      <c r="B111" s="1">
        <v>0.29999999999998123</v>
      </c>
      <c r="C111" s="3">
        <f ca="1">_xll.meMathNormalDistributionStandard(B111)</f>
        <v>0.61791142218894546</v>
      </c>
      <c r="D111" s="20">
        <f ca="1">_xll.meMathNormalDistributionPDF(B111)</f>
        <v>0.38138781546052625</v>
      </c>
      <c r="G111" s="7">
        <v>0.51500000000000035</v>
      </c>
      <c r="H111" s="3">
        <f ca="1">_xll.meMathNormalDistributionStandardInverse(G111)</f>
        <v>3.7608287661256852E-2</v>
      </c>
      <c r="I111" s="3"/>
      <c r="J111" s="9">
        <f t="shared" si="12"/>
        <v>3.7608287661256776E-2</v>
      </c>
      <c r="K111" s="17">
        <f t="shared" ca="1" si="13"/>
        <v>7.6327832942979512E-17</v>
      </c>
      <c r="M111" s="1">
        <v>0.29999999999998123</v>
      </c>
      <c r="N111" s="3">
        <f ca="1">_xll.meMathNormalDistribution(M111,$N$4,$N$5)</f>
        <v>0.61791142218894546</v>
      </c>
      <c r="O111" s="20">
        <f ca="1">_xll.meMathNormalDistributionPDF(M111,$N$4,$N$5)</f>
        <v>0.38138781546052625</v>
      </c>
      <c r="P111" s="8" t="b">
        <f t="shared" ca="1" si="10"/>
        <v>1</v>
      </c>
      <c r="R111" s="7">
        <v>0.51500000000000035</v>
      </c>
      <c r="S111" s="3">
        <f ca="1">_xll.meMathNormalDistributionInverse(R111,$S$4,$S$5)</f>
        <v>3.7608287661256852E-2</v>
      </c>
      <c r="T111" s="12" t="b">
        <f t="shared" ca="1" si="11"/>
        <v>1</v>
      </c>
    </row>
    <row r="112" spans="2:20" x14ac:dyDescent="0.25">
      <c r="B112" s="1">
        <v>0.39999999999998126</v>
      </c>
      <c r="C112" s="3">
        <f ca="1">_xll.meMathNormalDistributionStandard(B112)</f>
        <v>0.65542174161031719</v>
      </c>
      <c r="D112" s="20">
        <f ca="1">_xll.meMathNormalDistributionPDF(B112)</f>
        <v>0.36827014030332611</v>
      </c>
      <c r="G112" s="7">
        <v>0.52000000000000035</v>
      </c>
      <c r="H112" s="3">
        <f ca="1">_xll.meMathNormalDistributionStandardInverse(G112)</f>
        <v>5.0153583464734544E-2</v>
      </c>
      <c r="I112" s="3"/>
      <c r="J112" s="9">
        <f t="shared" si="12"/>
        <v>5.0153583464734502E-2</v>
      </c>
      <c r="K112" s="17">
        <f t="shared" ca="1" si="13"/>
        <v>0</v>
      </c>
      <c r="M112" s="1">
        <v>0.39999999999998126</v>
      </c>
      <c r="N112" s="3">
        <f ca="1">_xll.meMathNormalDistribution(M112,$N$4,$N$5)</f>
        <v>0.65542174161031719</v>
      </c>
      <c r="O112" s="20">
        <f ca="1">_xll.meMathNormalDistributionPDF(M112,$N$4,$N$5)</f>
        <v>0.36827014030332611</v>
      </c>
      <c r="P112" s="8" t="b">
        <f t="shared" ca="1" si="10"/>
        <v>1</v>
      </c>
      <c r="R112" s="7">
        <v>0.52000000000000035</v>
      </c>
      <c r="S112" s="3">
        <f ca="1">_xll.meMathNormalDistributionInverse(R112,$S$4,$S$5)</f>
        <v>5.0153583464734544E-2</v>
      </c>
      <c r="T112" s="12" t="b">
        <f t="shared" ca="1" si="11"/>
        <v>1</v>
      </c>
    </row>
    <row r="113" spans="2:20" x14ac:dyDescent="0.25">
      <c r="B113" s="1">
        <v>0.49999999999998124</v>
      </c>
      <c r="C113" s="3">
        <f ca="1">_xll.meMathNormalDistributionStandard(B113)</f>
        <v>0.69146246127400646</v>
      </c>
      <c r="D113" s="20">
        <f ca="1">_xll.meMathNormalDistributionPDF(B113)</f>
        <v>0.3520653267643028</v>
      </c>
      <c r="G113" s="7">
        <v>0.52500000000000036</v>
      </c>
      <c r="H113" s="3">
        <f ca="1">_xll.meMathNormalDistributionStandardInverse(G113)</f>
        <v>6.270677794321465E-2</v>
      </c>
      <c r="I113" s="3"/>
      <c r="J113" s="9">
        <f t="shared" si="12"/>
        <v>6.2706777943214678E-2</v>
      </c>
      <c r="K113" s="17">
        <f t="shared" ca="1" si="13"/>
        <v>0</v>
      </c>
      <c r="M113" s="1">
        <v>0.49999999999998124</v>
      </c>
      <c r="N113" s="3">
        <f ca="1">_xll.meMathNormalDistribution(M113,$N$4,$N$5)</f>
        <v>0.69146246127400646</v>
      </c>
      <c r="O113" s="20">
        <f ca="1">_xll.meMathNormalDistributionPDF(M113,$N$4,$N$5)</f>
        <v>0.3520653267643028</v>
      </c>
      <c r="P113" s="8" t="b">
        <f t="shared" ca="1" si="10"/>
        <v>1</v>
      </c>
      <c r="R113" s="7">
        <v>0.52500000000000036</v>
      </c>
      <c r="S113" s="3">
        <f ca="1">_xll.meMathNormalDistributionInverse(R113,$S$4,$S$5)</f>
        <v>6.270677794321465E-2</v>
      </c>
      <c r="T113" s="12" t="b">
        <f t="shared" ca="1" si="11"/>
        <v>1</v>
      </c>
    </row>
    <row r="114" spans="2:20" x14ac:dyDescent="0.25">
      <c r="B114" s="1">
        <v>0.59999999999998122</v>
      </c>
      <c r="C114" s="3">
        <f ca="1">_xll.meMathNormalDistributionStandard(B114)</f>
        <v>0.72574688224992012</v>
      </c>
      <c r="D114" s="20">
        <f ca="1">_xll.meMathNormalDistributionPDF(B114)</f>
        <v>0.33322460289180339</v>
      </c>
      <c r="G114" s="7">
        <v>0.53000000000000036</v>
      </c>
      <c r="H114" s="3">
        <f ca="1">_xll.meMathNormalDistributionStandardInverse(G114)</f>
        <v>7.5269862099830734E-2</v>
      </c>
      <c r="I114" s="3"/>
      <c r="J114" s="9">
        <f t="shared" si="12"/>
        <v>7.5269862099830748E-2</v>
      </c>
      <c r="K114" s="17">
        <f t="shared" ca="1" si="13"/>
        <v>0</v>
      </c>
      <c r="M114" s="1">
        <v>0.59999999999998122</v>
      </c>
      <c r="N114" s="3">
        <f ca="1">_xll.meMathNormalDistribution(M114,$N$4,$N$5)</f>
        <v>0.72574688224992012</v>
      </c>
      <c r="O114" s="20">
        <f ca="1">_xll.meMathNormalDistributionPDF(M114,$N$4,$N$5)</f>
        <v>0.33322460289180339</v>
      </c>
      <c r="P114" s="8" t="b">
        <f t="shared" ca="1" si="10"/>
        <v>1</v>
      </c>
      <c r="R114" s="7">
        <v>0.53000000000000036</v>
      </c>
      <c r="S114" s="3">
        <f ca="1">_xll.meMathNormalDistributionInverse(R114,$S$4,$S$5)</f>
        <v>7.5269862099830734E-2</v>
      </c>
      <c r="T114" s="12" t="b">
        <f t="shared" ca="1" si="11"/>
        <v>1</v>
      </c>
    </row>
    <row r="115" spans="2:20" x14ac:dyDescent="0.25">
      <c r="B115" s="1">
        <v>0.69999999999998119</v>
      </c>
      <c r="C115" s="3">
        <f ca="1">_xll.meMathNormalDistributionStandard(B115)</f>
        <v>0.75803634777692108</v>
      </c>
      <c r="D115" s="20">
        <f ca="1">_xll.meMathNormalDistributionPDF(B115)</f>
        <v>0.31225393336676538</v>
      </c>
      <c r="G115" s="7">
        <v>0.53500000000000036</v>
      </c>
      <c r="H115" s="3">
        <f ca="1">_xll.meMathNormalDistributionStandardInverse(G115)</f>
        <v>8.7844837895872677E-2</v>
      </c>
      <c r="I115" s="3"/>
      <c r="J115" s="9">
        <f t="shared" si="12"/>
        <v>8.7844837895872649E-2</v>
      </c>
      <c r="K115" s="17">
        <f t="shared" ca="1" si="13"/>
        <v>0</v>
      </c>
      <c r="M115" s="1">
        <v>0.69999999999998119</v>
      </c>
      <c r="N115" s="3">
        <f ca="1">_xll.meMathNormalDistribution(M115,$N$4,$N$5)</f>
        <v>0.75803634777692108</v>
      </c>
      <c r="O115" s="20">
        <f ca="1">_xll.meMathNormalDistributionPDF(M115,$N$4,$N$5)</f>
        <v>0.31225393336676538</v>
      </c>
      <c r="P115" s="8" t="b">
        <f t="shared" ca="1" si="10"/>
        <v>1</v>
      </c>
      <c r="R115" s="7">
        <v>0.53500000000000036</v>
      </c>
      <c r="S115" s="3">
        <f ca="1">_xll.meMathNormalDistributionInverse(R115,$S$4,$S$5)</f>
        <v>8.7844837895872677E-2</v>
      </c>
      <c r="T115" s="12" t="b">
        <f t="shared" ca="1" si="11"/>
        <v>1</v>
      </c>
    </row>
    <row r="116" spans="2:20" x14ac:dyDescent="0.25">
      <c r="B116" s="1">
        <v>0.79999999999998117</v>
      </c>
      <c r="C116" s="3">
        <f ca="1">_xll.meMathNormalDistributionStandard(B116)</f>
        <v>0.78814460141659792</v>
      </c>
      <c r="D116" s="20">
        <f ca="1">_xll.meMathNormalDistributionPDF(B116)</f>
        <v>0.28969155276148711</v>
      </c>
      <c r="G116" s="7">
        <v>0.54000000000000037</v>
      </c>
      <c r="H116" s="3">
        <f ca="1">_xll.meMathNormalDistributionStandardInverse(G116)</f>
        <v>0.10043372051147079</v>
      </c>
      <c r="I116" s="3"/>
      <c r="J116" s="9">
        <f t="shared" si="12"/>
        <v>0.10043372051147072</v>
      </c>
      <c r="K116" s="17">
        <f t="shared" ca="1" si="13"/>
        <v>0</v>
      </c>
      <c r="M116" s="1">
        <v>0.79999999999998117</v>
      </c>
      <c r="N116" s="3">
        <f ca="1">_xll.meMathNormalDistribution(M116,$N$4,$N$5)</f>
        <v>0.78814460141659792</v>
      </c>
      <c r="O116" s="20">
        <f ca="1">_xll.meMathNormalDistributionPDF(M116,$N$4,$N$5)</f>
        <v>0.28969155276148711</v>
      </c>
      <c r="P116" s="8" t="b">
        <f t="shared" ca="1" si="10"/>
        <v>1</v>
      </c>
      <c r="R116" s="7">
        <v>0.54000000000000037</v>
      </c>
      <c r="S116" s="3">
        <f ca="1">_xll.meMathNormalDistributionInverse(R116,$S$4,$S$5)</f>
        <v>0.10043372051147079</v>
      </c>
      <c r="T116" s="12" t="b">
        <f t="shared" ca="1" si="11"/>
        <v>1</v>
      </c>
    </row>
    <row r="117" spans="2:20" x14ac:dyDescent="0.25">
      <c r="B117" s="1">
        <v>0.89999999999998115</v>
      </c>
      <c r="C117" s="3">
        <f ca="1">_xll.meMathNormalDistributionStandard(B117)</f>
        <v>0.81593987465323548</v>
      </c>
      <c r="D117" s="20">
        <f ca="1">_xll.meMathNormalDistributionPDF(B117)</f>
        <v>0.26608524989875937</v>
      </c>
      <c r="G117" s="7">
        <v>0.54500000000000037</v>
      </c>
      <c r="H117" s="3">
        <f ca="1">_xll.meMathNormalDistributionStandardInverse(G117)</f>
        <v>0.11303854064456606</v>
      </c>
      <c r="I117" s="3"/>
      <c r="J117" s="9">
        <f t="shared" si="12"/>
        <v>0.11303854064456609</v>
      </c>
      <c r="K117" s="17">
        <f t="shared" ca="1" si="13"/>
        <v>0</v>
      </c>
      <c r="M117" s="1">
        <v>0.89999999999998115</v>
      </c>
      <c r="N117" s="3">
        <f ca="1">_xll.meMathNormalDistribution(M117,$N$4,$N$5)</f>
        <v>0.81593987465323548</v>
      </c>
      <c r="O117" s="20">
        <f ca="1">_xll.meMathNormalDistributionPDF(M117,$N$4,$N$5)</f>
        <v>0.26608524989875937</v>
      </c>
      <c r="P117" s="8" t="b">
        <f t="shared" ca="1" si="10"/>
        <v>1</v>
      </c>
      <c r="R117" s="7">
        <v>0.54500000000000037</v>
      </c>
      <c r="S117" s="3">
        <f ca="1">_xll.meMathNormalDistributionInverse(R117,$S$4,$S$5)</f>
        <v>0.11303854064456606</v>
      </c>
      <c r="T117" s="12" t="b">
        <f t="shared" ca="1" si="11"/>
        <v>1</v>
      </c>
    </row>
    <row r="118" spans="2:20" x14ac:dyDescent="0.25">
      <c r="B118" s="1">
        <v>0.99999999999998113</v>
      </c>
      <c r="C118" s="3">
        <f ca="1">_xll.meMathNormalDistributionStandard(B118)</f>
        <v>0.84134474606853837</v>
      </c>
      <c r="D118" s="20">
        <f ca="1">_xll.meMathNormalDistributionPDF(B118)</f>
        <v>0.24197072451914792</v>
      </c>
      <c r="G118" s="7">
        <v>0.55000000000000038</v>
      </c>
      <c r="H118" s="3">
        <f ca="1">_xll.meMathNormalDistributionStandardInverse(G118)</f>
        <v>0.12566134685507505</v>
      </c>
      <c r="I118" s="3"/>
      <c r="J118" s="9">
        <f t="shared" si="12"/>
        <v>0.12566134685507499</v>
      </c>
      <c r="K118" s="17">
        <f t="shared" ca="1" si="13"/>
        <v>0</v>
      </c>
      <c r="M118" s="1">
        <v>0.99999999999998113</v>
      </c>
      <c r="N118" s="3">
        <f ca="1">_xll.meMathNormalDistribution(M118,$N$4,$N$5)</f>
        <v>0.84134474606853837</v>
      </c>
      <c r="O118" s="20">
        <f ca="1">_xll.meMathNormalDistributionPDF(M118,$N$4,$N$5)</f>
        <v>0.24197072451914792</v>
      </c>
      <c r="P118" s="8" t="b">
        <f t="shared" ca="1" si="10"/>
        <v>1</v>
      </c>
      <c r="R118" s="7">
        <v>0.55000000000000038</v>
      </c>
      <c r="S118" s="3">
        <f ca="1">_xll.meMathNormalDistributionInverse(R118,$S$4,$S$5)</f>
        <v>0.12566134685507505</v>
      </c>
      <c r="T118" s="12" t="b">
        <f t="shared" ca="1" si="11"/>
        <v>1</v>
      </c>
    </row>
    <row r="119" spans="2:20" x14ac:dyDescent="0.25">
      <c r="B119" s="1">
        <v>1.0999999999999812</v>
      </c>
      <c r="C119" s="3">
        <f ca="1">_xll.meMathNormalDistributionStandard(B119)</f>
        <v>0.86433393905361333</v>
      </c>
      <c r="D119" s="20">
        <f ca="1">_xll.meMathNormalDistributionPDF(B119)</f>
        <v>0.21785217703255505</v>
      </c>
      <c r="G119" s="7">
        <v>0.55500000000000038</v>
      </c>
      <c r="H119" s="3">
        <f ca="1">_xll.meMathNormalDistributionStandardInverse(G119)</f>
        <v>0.13830420796140547</v>
      </c>
      <c r="I119" s="3"/>
      <c r="J119" s="9">
        <f t="shared" si="12"/>
        <v>0.1383042079614055</v>
      </c>
      <c r="K119" s="17">
        <f t="shared" ca="1" si="13"/>
        <v>0</v>
      </c>
      <c r="M119" s="1">
        <v>1.0999999999999812</v>
      </c>
      <c r="N119" s="3">
        <f ca="1">_xll.meMathNormalDistribution(M119,$N$4,$N$5)</f>
        <v>0.86433393905361333</v>
      </c>
      <c r="O119" s="20">
        <f ca="1">_xll.meMathNormalDistributionPDF(M119,$N$4,$N$5)</f>
        <v>0.21785217703255505</v>
      </c>
      <c r="P119" s="8" t="b">
        <f t="shared" ca="1" si="10"/>
        <v>1</v>
      </c>
      <c r="R119" s="7">
        <v>0.55500000000000038</v>
      </c>
      <c r="S119" s="3">
        <f ca="1">_xll.meMathNormalDistributionInverse(R119,$S$4,$S$5)</f>
        <v>0.13830420796140547</v>
      </c>
      <c r="T119" s="12" t="b">
        <f t="shared" ca="1" si="11"/>
        <v>1</v>
      </c>
    </row>
    <row r="120" spans="2:20" x14ac:dyDescent="0.25">
      <c r="B120" s="1">
        <v>1.1999999999999813</v>
      </c>
      <c r="C120" s="3">
        <f ca="1">_xll.meMathNormalDistributionStandard(B120)</f>
        <v>0.88493032977828812</v>
      </c>
      <c r="D120" s="20">
        <f ca="1">_xll.meMathNormalDistributionPDF(B120)</f>
        <v>0.19418605498321731</v>
      </c>
      <c r="G120" s="7">
        <v>0.56000000000000039</v>
      </c>
      <c r="H120" s="3">
        <f ca="1">_xll.meMathNormalDistributionStandardInverse(G120)</f>
        <v>0.15096921549677825</v>
      </c>
      <c r="I120" s="3"/>
      <c r="J120" s="9">
        <f t="shared" si="12"/>
        <v>0.15096921549677825</v>
      </c>
      <c r="K120" s="17">
        <f t="shared" ca="1" si="13"/>
        <v>0</v>
      </c>
      <c r="M120" s="1">
        <v>1.1999999999999813</v>
      </c>
      <c r="N120" s="3">
        <f ca="1">_xll.meMathNormalDistribution(M120,$N$4,$N$5)</f>
        <v>0.88493032977828812</v>
      </c>
      <c r="O120" s="20">
        <f ca="1">_xll.meMathNormalDistributionPDF(M120,$N$4,$N$5)</f>
        <v>0.19418605498321731</v>
      </c>
      <c r="P120" s="8" t="b">
        <f t="shared" ca="1" si="10"/>
        <v>1</v>
      </c>
      <c r="R120" s="7">
        <v>0.56000000000000039</v>
      </c>
      <c r="S120" s="3">
        <f ca="1">_xll.meMathNormalDistributionInverse(R120,$S$4,$S$5)</f>
        <v>0.15096921549677825</v>
      </c>
      <c r="T120" s="12" t="b">
        <f t="shared" ca="1" si="11"/>
        <v>1</v>
      </c>
    </row>
    <row r="121" spans="2:20" x14ac:dyDescent="0.25">
      <c r="B121" s="1">
        <v>1.2999999999999814</v>
      </c>
      <c r="C121" s="3">
        <f ca="1">_xll.meMathNormalDistributionStandard(B121)</f>
        <v>0.90319951541438648</v>
      </c>
      <c r="D121" s="20">
        <f ca="1">_xll.meMathNormalDistributionPDF(B121)</f>
        <v>0.17136859204781152</v>
      </c>
      <c r="G121" s="7">
        <v>0.56500000000000039</v>
      </c>
      <c r="H121" s="3">
        <f ca="1">_xll.meMathNormalDistributionStandardInverse(G121)</f>
        <v>0.16365848623314233</v>
      </c>
      <c r="I121" s="3"/>
      <c r="J121" s="9">
        <f t="shared" si="12"/>
        <v>0.16365848623314225</v>
      </c>
      <c r="K121" s="17">
        <f t="shared" ca="1" si="13"/>
        <v>0</v>
      </c>
      <c r="M121" s="1">
        <v>1.2999999999999814</v>
      </c>
      <c r="N121" s="3">
        <f ca="1">_xll.meMathNormalDistribution(M121,$N$4,$N$5)</f>
        <v>0.90319951541438648</v>
      </c>
      <c r="O121" s="20">
        <f ca="1">_xll.meMathNormalDistributionPDF(M121,$N$4,$N$5)</f>
        <v>0.17136859204781152</v>
      </c>
      <c r="P121" s="8" t="b">
        <f t="shared" ca="1" si="10"/>
        <v>1</v>
      </c>
      <c r="R121" s="7">
        <v>0.56500000000000039</v>
      </c>
      <c r="S121" s="3">
        <f ca="1">_xll.meMathNormalDistributionInverse(R121,$S$4,$S$5)</f>
        <v>0.16365848623314233</v>
      </c>
      <c r="T121" s="12" t="b">
        <f t="shared" ca="1" si="11"/>
        <v>1</v>
      </c>
    </row>
    <row r="122" spans="2:20" x14ac:dyDescent="0.25">
      <c r="B122" s="1">
        <v>1.3999999999999815</v>
      </c>
      <c r="C122" s="3">
        <f ca="1">_xll.meMathNormalDistributionStandard(B122)</f>
        <v>0.91924334076622616</v>
      </c>
      <c r="D122" s="20">
        <f ca="1">_xll.meMathNormalDistributionPDF(B122)</f>
        <v>0.14972746563574874</v>
      </c>
      <c r="G122" s="7">
        <v>0.5700000000000004</v>
      </c>
      <c r="H122" s="3">
        <f ca="1">_xll.meMathNormalDistributionStandardInverse(G122)</f>
        <v>0.17637416478086235</v>
      </c>
      <c r="I122" s="3"/>
      <c r="J122" s="9">
        <f t="shared" si="12"/>
        <v>0.17637416478086232</v>
      </c>
      <c r="K122" s="17">
        <f t="shared" ca="1" si="13"/>
        <v>0</v>
      </c>
      <c r="M122" s="1">
        <v>1.3999999999999815</v>
      </c>
      <c r="N122" s="3">
        <f ca="1">_xll.meMathNormalDistribution(M122,$N$4,$N$5)</f>
        <v>0.91924334076622616</v>
      </c>
      <c r="O122" s="20">
        <f ca="1">_xll.meMathNormalDistributionPDF(M122,$N$4,$N$5)</f>
        <v>0.14972746563574874</v>
      </c>
      <c r="P122" s="8" t="b">
        <f t="shared" ca="1" si="10"/>
        <v>1</v>
      </c>
      <c r="R122" s="7">
        <v>0.5700000000000004</v>
      </c>
      <c r="S122" s="3">
        <f ca="1">_xll.meMathNormalDistributionInverse(R122,$S$4,$S$5)</f>
        <v>0.17637416478086235</v>
      </c>
      <c r="T122" s="12" t="b">
        <f t="shared" ca="1" si="11"/>
        <v>1</v>
      </c>
    </row>
    <row r="123" spans="2:20" x14ac:dyDescent="0.25">
      <c r="B123" s="1">
        <v>1.4999999999999816</v>
      </c>
      <c r="C123" s="3">
        <f ca="1">_xll.meMathNormalDistributionStandard(B123)</f>
        <v>0.93319279873113958</v>
      </c>
      <c r="D123" s="20">
        <f ca="1">_xll.meMathNormalDistributionPDF(B123)</f>
        <v>0.1295175956658953</v>
      </c>
      <c r="G123" s="7">
        <v>0.5750000000000004</v>
      </c>
      <c r="H123" s="3">
        <f ca="1">_xll.meMathNormalDistributionStandardInverse(G123)</f>
        <v>0.18911842627279352</v>
      </c>
      <c r="I123" s="3"/>
      <c r="J123" s="9">
        <f t="shared" si="12"/>
        <v>0.18911842627279352</v>
      </c>
      <c r="K123" s="17">
        <f t="shared" ca="1" si="13"/>
        <v>0</v>
      </c>
      <c r="M123" s="1">
        <v>1.4999999999999816</v>
      </c>
      <c r="N123" s="3">
        <f ca="1">_xll.meMathNormalDistribution(M123,$N$4,$N$5)</f>
        <v>0.93319279873113958</v>
      </c>
      <c r="O123" s="20">
        <f ca="1">_xll.meMathNormalDistributionPDF(M123,$N$4,$N$5)</f>
        <v>0.1295175956658953</v>
      </c>
      <c r="P123" s="8" t="b">
        <f t="shared" ca="1" si="10"/>
        <v>1</v>
      </c>
      <c r="R123" s="7">
        <v>0.5750000000000004</v>
      </c>
      <c r="S123" s="3">
        <f ca="1">_xll.meMathNormalDistributionInverse(R123,$S$4,$S$5)</f>
        <v>0.18911842627279352</v>
      </c>
      <c r="T123" s="12" t="b">
        <f t="shared" ca="1" si="11"/>
        <v>1</v>
      </c>
    </row>
    <row r="124" spans="2:20" x14ac:dyDescent="0.25">
      <c r="B124" s="1">
        <v>1.5999999999999817</v>
      </c>
      <c r="C124" s="3">
        <f ca="1">_xll.meMathNormalDistributionStandard(B124)</f>
        <v>0.94520070830044001</v>
      </c>
      <c r="D124" s="20">
        <f ca="1">_xll.meMathNormalDistributionPDF(B124)</f>
        <v>0.11092083467945882</v>
      </c>
      <c r="G124" s="7">
        <v>0.5800000000000004</v>
      </c>
      <c r="H124" s="3">
        <f ca="1">_xll.meMathNormalDistributionStandardInverse(G124)</f>
        <v>0.20189347914185191</v>
      </c>
      <c r="I124" s="3"/>
      <c r="J124" s="9">
        <f t="shared" si="12"/>
        <v>0.20189347914185188</v>
      </c>
      <c r="K124" s="17">
        <f t="shared" ca="1" si="13"/>
        <v>0</v>
      </c>
      <c r="M124" s="1">
        <v>1.5999999999999817</v>
      </c>
      <c r="N124" s="3">
        <f ca="1">_xll.meMathNormalDistribution(M124,$N$4,$N$5)</f>
        <v>0.94520070830044001</v>
      </c>
      <c r="O124" s="20">
        <f ca="1">_xll.meMathNormalDistributionPDF(M124,$N$4,$N$5)</f>
        <v>0.11092083467945882</v>
      </c>
      <c r="P124" s="8" t="b">
        <f t="shared" ca="1" si="10"/>
        <v>1</v>
      </c>
      <c r="R124" s="7">
        <v>0.5800000000000004</v>
      </c>
      <c r="S124" s="3">
        <f ca="1">_xll.meMathNormalDistributionInverse(R124,$S$4,$S$5)</f>
        <v>0.20189347914185191</v>
      </c>
      <c r="T124" s="12" t="b">
        <f t="shared" ca="1" si="11"/>
        <v>1</v>
      </c>
    </row>
    <row r="125" spans="2:20" x14ac:dyDescent="0.25">
      <c r="B125" s="1">
        <v>1.6999999999999817</v>
      </c>
      <c r="C125" s="3">
        <f ca="1">_xll.meMathNormalDistributionStandard(B125)</f>
        <v>0.95543453724145522</v>
      </c>
      <c r="D125" s="20">
        <f ca="1">_xll.meMathNormalDistributionPDF(B125)</f>
        <v>9.4049077376889847E-2</v>
      </c>
      <c r="G125" s="7">
        <v>0.58500000000000041</v>
      </c>
      <c r="H125" s="3">
        <f ca="1">_xll.meMathNormalDistributionStandardInverse(G125)</f>
        <v>0.21470156800174564</v>
      </c>
      <c r="I125" s="3"/>
      <c r="J125" s="9">
        <f t="shared" si="12"/>
        <v>0.21470156800174559</v>
      </c>
      <c r="K125" s="17">
        <f t="shared" ca="1" si="13"/>
        <v>0</v>
      </c>
      <c r="M125" s="1">
        <v>1.6999999999999817</v>
      </c>
      <c r="N125" s="3">
        <f ca="1">_xll.meMathNormalDistribution(M125,$N$4,$N$5)</f>
        <v>0.95543453724145522</v>
      </c>
      <c r="O125" s="20">
        <f ca="1">_xll.meMathNormalDistributionPDF(M125,$N$4,$N$5)</f>
        <v>9.4049077376889847E-2</v>
      </c>
      <c r="P125" s="8" t="b">
        <f t="shared" ca="1" si="10"/>
        <v>1</v>
      </c>
      <c r="R125" s="7">
        <v>0.58500000000000041</v>
      </c>
      <c r="S125" s="3">
        <f ca="1">_xll.meMathNormalDistributionInverse(R125,$S$4,$S$5)</f>
        <v>0.21470156800174564</v>
      </c>
      <c r="T125" s="12" t="b">
        <f t="shared" ca="1" si="11"/>
        <v>1</v>
      </c>
    </row>
    <row r="126" spans="2:20" x14ac:dyDescent="0.25">
      <c r="B126" s="1">
        <v>1.7999999999999818</v>
      </c>
      <c r="C126" s="3">
        <f ca="1">_xll.meMathNormalDistributionStandard(B126)</f>
        <v>0.96406968088707279</v>
      </c>
      <c r="D126" s="20">
        <f ca="1">_xll.meMathNormalDistributionPDF(B126)</f>
        <v>7.8950158300896744E-2</v>
      </c>
      <c r="G126" s="7">
        <v>0.59000000000000041</v>
      </c>
      <c r="H126" s="3">
        <f ca="1">_xll.meMathNormalDistributionStandardInverse(G126)</f>
        <v>0.2275449766411505</v>
      </c>
      <c r="I126" s="3"/>
      <c r="J126" s="9">
        <f t="shared" si="12"/>
        <v>0.22754497664115048</v>
      </c>
      <c r="K126" s="17">
        <f t="shared" ca="1" si="13"/>
        <v>0</v>
      </c>
      <c r="M126" s="1">
        <v>1.7999999999999818</v>
      </c>
      <c r="N126" s="3">
        <f ca="1">_xll.meMathNormalDistribution(M126,$N$4,$N$5)</f>
        <v>0.96406968088707279</v>
      </c>
      <c r="O126" s="20">
        <f ca="1">_xll.meMathNormalDistributionPDF(M126,$N$4,$N$5)</f>
        <v>7.8950158300896744E-2</v>
      </c>
      <c r="P126" s="8" t="b">
        <f t="shared" ca="1" si="10"/>
        <v>1</v>
      </c>
      <c r="R126" s="7">
        <v>0.59000000000000041</v>
      </c>
      <c r="S126" s="3">
        <f ca="1">_xll.meMathNormalDistributionInverse(R126,$S$4,$S$5)</f>
        <v>0.2275449766411505</v>
      </c>
      <c r="T126" s="12" t="b">
        <f t="shared" ca="1" si="11"/>
        <v>1</v>
      </c>
    </row>
    <row r="127" spans="2:20" x14ac:dyDescent="0.25">
      <c r="B127" s="1">
        <v>1.8999999999999819</v>
      </c>
      <c r="C127" s="3">
        <f ca="1">_xll.meMathNormalDistributionStandard(B127)</f>
        <v>0.97128344018399704</v>
      </c>
      <c r="D127" s="20">
        <f ca="1">_xll.meMathNormalDistributionPDF(B127)</f>
        <v>6.5615814774678843E-2</v>
      </c>
      <c r="G127" s="7">
        <v>0.59500000000000042</v>
      </c>
      <c r="H127" s="3">
        <f ca="1">_xll.meMathNormalDistributionStandardInverse(G127)</f>
        <v>0.24042603114230912</v>
      </c>
      <c r="I127" s="3"/>
      <c r="J127" s="9">
        <f t="shared" si="12"/>
        <v>0.24042603114230904</v>
      </c>
      <c r="K127" s="17">
        <f t="shared" ca="1" si="13"/>
        <v>0</v>
      </c>
      <c r="M127" s="1">
        <v>1.8999999999999819</v>
      </c>
      <c r="N127" s="3">
        <f ca="1">_xll.meMathNormalDistribution(M127,$N$4,$N$5)</f>
        <v>0.97128344018399704</v>
      </c>
      <c r="O127" s="20">
        <f ca="1">_xll.meMathNormalDistributionPDF(M127,$N$4,$N$5)</f>
        <v>6.5615814774678843E-2</v>
      </c>
      <c r="P127" s="8" t="b">
        <f t="shared" ca="1" si="10"/>
        <v>1</v>
      </c>
      <c r="R127" s="7">
        <v>0.59500000000000042</v>
      </c>
      <c r="S127" s="3">
        <f ca="1">_xll.meMathNormalDistributionInverse(R127,$S$4,$S$5)</f>
        <v>0.24042603114230912</v>
      </c>
      <c r="T127" s="12" t="b">
        <f t="shared" ca="1" si="11"/>
        <v>1</v>
      </c>
    </row>
    <row r="128" spans="2:20" x14ac:dyDescent="0.25">
      <c r="B128" s="1">
        <v>1.999999999999982</v>
      </c>
      <c r="C128" s="3">
        <f ca="1">_xll.meMathNormalDistributionStandard(B128)</f>
        <v>0.97724986805181979</v>
      </c>
      <c r="D128" s="20">
        <f ca="1">_xll.meMathNormalDistributionPDF(B128)</f>
        <v>5.3990966513189999E-2</v>
      </c>
      <c r="G128" s="7">
        <v>0.60000000000000042</v>
      </c>
      <c r="H128" s="3">
        <f ca="1">_xll.meMathNormalDistributionStandardInverse(G128)</f>
        <v>0.253347103135801</v>
      </c>
      <c r="I128" s="3"/>
      <c r="J128" s="9">
        <f t="shared" si="12"/>
        <v>0.25334710313580094</v>
      </c>
      <c r="K128" s="17">
        <f t="shared" ca="1" si="13"/>
        <v>0</v>
      </c>
      <c r="M128" s="1">
        <v>1.999999999999982</v>
      </c>
      <c r="N128" s="3">
        <f ca="1">_xll.meMathNormalDistribution(M128,$N$4,$N$5)</f>
        <v>0.97724986805181979</v>
      </c>
      <c r="O128" s="20">
        <f ca="1">_xll.meMathNormalDistributionPDF(M128,$N$4,$N$5)</f>
        <v>5.3990966513189999E-2</v>
      </c>
      <c r="P128" s="8" t="b">
        <f t="shared" ca="1" si="10"/>
        <v>1</v>
      </c>
      <c r="R128" s="7">
        <v>0.60000000000000042</v>
      </c>
      <c r="S128" s="3">
        <f ca="1">_xll.meMathNormalDistributionInverse(R128,$S$4,$S$5)</f>
        <v>0.253347103135801</v>
      </c>
      <c r="T128" s="12" t="b">
        <f t="shared" ca="1" si="11"/>
        <v>1</v>
      </c>
    </row>
    <row r="129" spans="2:20" x14ac:dyDescent="0.25">
      <c r="B129" s="1">
        <v>2.0999999999999819</v>
      </c>
      <c r="C129" s="3">
        <f ca="1">_xll.meMathNormalDistributionStandard(B129)</f>
        <v>0.98213557943718266</v>
      </c>
      <c r="D129" s="20">
        <f ca="1">_xll.meMathNormalDistributionPDF(B129)</f>
        <v>4.3983595980428877E-2</v>
      </c>
      <c r="G129" s="7">
        <v>0.60500000000000043</v>
      </c>
      <c r="H129" s="3">
        <f ca="1">_xll.meMathNormalDistributionStandardInverse(G129)</f>
        <v>0.26631061320409605</v>
      </c>
      <c r="I129" s="3"/>
      <c r="J129" s="9">
        <f t="shared" si="12"/>
        <v>0.2663106132040961</v>
      </c>
      <c r="K129" s="17">
        <f t="shared" ca="1" si="13"/>
        <v>0</v>
      </c>
      <c r="M129" s="1">
        <v>2.0999999999999819</v>
      </c>
      <c r="N129" s="3">
        <f ca="1">_xll.meMathNormalDistribution(M129,$N$4,$N$5)</f>
        <v>0.98213557943718266</v>
      </c>
      <c r="O129" s="20">
        <f ca="1">_xll.meMathNormalDistributionPDF(M129,$N$4,$N$5)</f>
        <v>4.3983595980428877E-2</v>
      </c>
      <c r="P129" s="8" t="b">
        <f t="shared" ca="1" si="10"/>
        <v>1</v>
      </c>
      <c r="R129" s="7">
        <v>0.60500000000000043</v>
      </c>
      <c r="S129" s="3">
        <f ca="1">_xll.meMathNormalDistributionInverse(R129,$S$4,$S$5)</f>
        <v>0.26631061320409605</v>
      </c>
      <c r="T129" s="12" t="b">
        <f t="shared" ca="1" si="11"/>
        <v>1</v>
      </c>
    </row>
    <row r="130" spans="2:20" x14ac:dyDescent="0.25">
      <c r="B130" s="1">
        <v>2.199999999999982</v>
      </c>
      <c r="C130" s="3">
        <f ca="1">_xll.meMathNormalDistributionStandard(B130)</f>
        <v>0.98609655248650074</v>
      </c>
      <c r="D130" s="20">
        <f ca="1">_xll.meMathNormalDistributionPDF(B130)</f>
        <v>3.547459284623284E-2</v>
      </c>
      <c r="G130" s="7">
        <v>0.61000000000000043</v>
      </c>
      <c r="H130" s="3">
        <f ca="1">_xll.meMathNormalDistributionStandardInverse(G130)</f>
        <v>0.27931903444745537</v>
      </c>
      <c r="I130" s="3"/>
      <c r="J130" s="9">
        <f t="shared" si="12"/>
        <v>0.27931903444745532</v>
      </c>
      <c r="K130" s="17">
        <f t="shared" ca="1" si="13"/>
        <v>0</v>
      </c>
      <c r="M130" s="1">
        <v>2.199999999999982</v>
      </c>
      <c r="N130" s="3">
        <f ca="1">_xll.meMathNormalDistribution(M130,$N$4,$N$5)</f>
        <v>0.98609655248650074</v>
      </c>
      <c r="O130" s="20">
        <f ca="1">_xll.meMathNormalDistributionPDF(M130,$N$4,$N$5)</f>
        <v>3.547459284623284E-2</v>
      </c>
      <c r="P130" s="8" t="b">
        <f t="shared" ca="1" si="10"/>
        <v>1</v>
      </c>
      <c r="R130" s="7">
        <v>0.61000000000000043</v>
      </c>
      <c r="S130" s="3">
        <f ca="1">_xll.meMathNormalDistributionInverse(R130,$S$4,$S$5)</f>
        <v>0.27931903444745537</v>
      </c>
      <c r="T130" s="12" t="b">
        <f t="shared" ca="1" si="11"/>
        <v>1</v>
      </c>
    </row>
    <row r="131" spans="2:20" x14ac:dyDescent="0.25">
      <c r="B131" s="1">
        <v>2.2999999999999821</v>
      </c>
      <c r="C131" s="3">
        <f ca="1">_xll.meMathNormalDistributionStandard(B131)</f>
        <v>0.98927588997832372</v>
      </c>
      <c r="D131" s="20">
        <f ca="1">_xll.meMathNormalDistributionPDF(B131)</f>
        <v>2.8327037741602345E-2</v>
      </c>
      <c r="G131" s="7">
        <v>0.61500000000000044</v>
      </c>
      <c r="H131" s="3">
        <f ca="1">_xll.meMathNormalDistributionStandardInverse(G131)</f>
        <v>0.29237489622680546</v>
      </c>
      <c r="I131" s="3"/>
      <c r="J131" s="9">
        <f t="shared" si="12"/>
        <v>0.29237489622680535</v>
      </c>
      <c r="K131" s="17">
        <f t="shared" ca="1" si="13"/>
        <v>0</v>
      </c>
      <c r="M131" s="1">
        <v>2.2999999999999821</v>
      </c>
      <c r="N131" s="3">
        <f ca="1">_xll.meMathNormalDistribution(M131,$N$4,$N$5)</f>
        <v>0.98927588997832372</v>
      </c>
      <c r="O131" s="20">
        <f ca="1">_xll.meMathNormalDistributionPDF(M131,$N$4,$N$5)</f>
        <v>2.8327037741602345E-2</v>
      </c>
      <c r="P131" s="8" t="b">
        <f t="shared" ca="1" si="10"/>
        <v>1</v>
      </c>
      <c r="R131" s="7">
        <v>0.61500000000000044</v>
      </c>
      <c r="S131" s="3">
        <f ca="1">_xll.meMathNormalDistributionInverse(R131,$S$4,$S$5)</f>
        <v>0.29237489622680546</v>
      </c>
      <c r="T131" s="12" t="b">
        <f t="shared" ca="1" si="11"/>
        <v>1</v>
      </c>
    </row>
    <row r="132" spans="2:20" x14ac:dyDescent="0.25">
      <c r="B132" s="1">
        <v>2.3999999999999821</v>
      </c>
      <c r="C132" s="3">
        <f ca="1">_xll.meMathNormalDistributionStandard(B132)</f>
        <v>0.99180246407540351</v>
      </c>
      <c r="D132" s="20">
        <f ca="1">_xll.meMathNormalDistributionPDF(B132)</f>
        <v>2.2394530294843853E-2</v>
      </c>
      <c r="G132" s="7">
        <v>0.62000000000000044</v>
      </c>
      <c r="H132" s="3">
        <f ca="1">_xll.meMathNormalDistributionStandardInverse(G132)</f>
        <v>0.30548078809939855</v>
      </c>
      <c r="I132" s="3"/>
      <c r="J132" s="9">
        <f t="shared" si="12"/>
        <v>0.30548078809939849</v>
      </c>
      <c r="K132" s="17">
        <f t="shared" ca="1" si="13"/>
        <v>0</v>
      </c>
      <c r="M132" s="1">
        <v>2.3999999999999821</v>
      </c>
      <c r="N132" s="3">
        <f ca="1">_xll.meMathNormalDistribution(M132,$N$4,$N$5)</f>
        <v>0.99180246407540351</v>
      </c>
      <c r="O132" s="20">
        <f ca="1">_xll.meMathNormalDistributionPDF(M132,$N$4,$N$5)</f>
        <v>2.2394530294843853E-2</v>
      </c>
      <c r="P132" s="8" t="b">
        <f t="shared" ca="1" si="10"/>
        <v>1</v>
      </c>
      <c r="R132" s="7">
        <v>0.62000000000000044</v>
      </c>
      <c r="S132" s="3">
        <f ca="1">_xll.meMathNormalDistributionInverse(R132,$S$4,$S$5)</f>
        <v>0.30548078809939855</v>
      </c>
      <c r="T132" s="12" t="b">
        <f t="shared" ca="1" si="11"/>
        <v>1</v>
      </c>
    </row>
    <row r="133" spans="2:20" x14ac:dyDescent="0.25">
      <c r="B133" s="1">
        <v>2.4999999999999822</v>
      </c>
      <c r="C133" s="3">
        <f ca="1">_xll.meMathNormalDistributionStandard(B133)</f>
        <v>0.99379033467422351</v>
      </c>
      <c r="D133" s="20">
        <f ca="1">_xll.meMathNormalDistributionPDF(B133)</f>
        <v>1.7528300493569317E-2</v>
      </c>
      <c r="G133" s="7">
        <v>0.62500000000000044</v>
      </c>
      <c r="H133" s="3">
        <f ca="1">_xll.meMathNormalDistributionStandardInverse(G133)</f>
        <v>0.31863936396437648</v>
      </c>
      <c r="I133" s="3"/>
      <c r="J133" s="9">
        <f t="shared" si="12"/>
        <v>0.31863936396437637</v>
      </c>
      <c r="K133" s="17">
        <f t="shared" ca="1" si="13"/>
        <v>0</v>
      </c>
      <c r="M133" s="1">
        <v>2.4999999999999822</v>
      </c>
      <c r="N133" s="3">
        <f ca="1">_xll.meMathNormalDistribution(M133,$N$4,$N$5)</f>
        <v>0.99379033467422351</v>
      </c>
      <c r="O133" s="20">
        <f ca="1">_xll.meMathNormalDistributionPDF(M133,$N$4,$N$5)</f>
        <v>1.7528300493569317E-2</v>
      </c>
      <c r="P133" s="8" t="b">
        <f t="shared" ca="1" si="10"/>
        <v>1</v>
      </c>
      <c r="R133" s="7">
        <v>0.62500000000000044</v>
      </c>
      <c r="S133" s="3">
        <f ca="1">_xll.meMathNormalDistributionInverse(R133,$S$4,$S$5)</f>
        <v>0.31863936396437648</v>
      </c>
      <c r="T133" s="12" t="b">
        <f t="shared" ca="1" si="11"/>
        <v>1</v>
      </c>
    </row>
    <row r="134" spans="2:20" x14ac:dyDescent="0.25">
      <c r="B134" s="1">
        <v>2.5999999999999823</v>
      </c>
      <c r="C134" s="3">
        <f ca="1">_xll.meMathNormalDistributionStandard(B134)</f>
        <v>0.99533881197628105</v>
      </c>
      <c r="D134" s="20">
        <f ca="1">_xll.meMathNormalDistributionPDF(B134)</f>
        <v>1.3582969233686243E-2</v>
      </c>
      <c r="G134" s="7">
        <v>0.63000000000000045</v>
      </c>
      <c r="H134" s="3">
        <f ca="1">_xll.meMathNormalDistributionStandardInverse(G134)</f>
        <v>0.33185334643681785</v>
      </c>
      <c r="I134" s="3"/>
      <c r="J134" s="9">
        <f t="shared" si="12"/>
        <v>0.3318533464368178</v>
      </c>
      <c r="K134" s="17">
        <f t="shared" ca="1" si="13"/>
        <v>0</v>
      </c>
      <c r="M134" s="1">
        <v>2.5999999999999823</v>
      </c>
      <c r="N134" s="3">
        <f ca="1">_xll.meMathNormalDistribution(M134,$N$4,$N$5)</f>
        <v>0.99533881197628105</v>
      </c>
      <c r="O134" s="20">
        <f ca="1">_xll.meMathNormalDistributionPDF(M134,$N$4,$N$5)</f>
        <v>1.3582969233686243E-2</v>
      </c>
      <c r="P134" s="8" t="b">
        <f t="shared" ca="1" si="10"/>
        <v>1</v>
      </c>
      <c r="R134" s="7">
        <v>0.63000000000000045</v>
      </c>
      <c r="S134" s="3">
        <f ca="1">_xll.meMathNormalDistributionInverse(R134,$S$4,$S$5)</f>
        <v>0.33185334643681785</v>
      </c>
      <c r="T134" s="12" t="b">
        <f t="shared" ca="1" si="11"/>
        <v>1</v>
      </c>
    </row>
    <row r="135" spans="2:20" x14ac:dyDescent="0.25">
      <c r="B135" s="1">
        <v>2.6999999999999824</v>
      </c>
      <c r="C135" s="3">
        <f ca="1">_xll.meMathNormalDistributionStandard(B135)</f>
        <v>0.99653302619695916</v>
      </c>
      <c r="D135" s="20">
        <f ca="1">_xll.meMathNormalDistributionPDF(B135)</f>
        <v>1.0420934814423091E-2</v>
      </c>
      <c r="G135" s="7">
        <v>0.63500000000000045</v>
      </c>
      <c r="H135" s="3">
        <f ca="1">_xll.meMathNormalDistributionStandardInverse(G135)</f>
        <v>0.3451255314704737</v>
      </c>
      <c r="I135" s="3"/>
      <c r="J135" s="9">
        <f t="shared" si="12"/>
        <v>0.34512553147047359</v>
      </c>
      <c r="K135" s="17">
        <f t="shared" ca="1" si="13"/>
        <v>0</v>
      </c>
      <c r="M135" s="1">
        <v>2.6999999999999824</v>
      </c>
      <c r="N135" s="3">
        <f ca="1">_xll.meMathNormalDistribution(M135,$N$4,$N$5)</f>
        <v>0.99653302619695916</v>
      </c>
      <c r="O135" s="20">
        <f ca="1">_xll.meMathNormalDistributionPDF(M135,$N$4,$N$5)</f>
        <v>1.0420934814423091E-2</v>
      </c>
      <c r="P135" s="8" t="b">
        <f t="shared" ca="1" si="10"/>
        <v>1</v>
      </c>
      <c r="R135" s="7">
        <v>0.63500000000000045</v>
      </c>
      <c r="S135" s="3">
        <f ca="1">_xll.meMathNormalDistributionInverse(R135,$S$4,$S$5)</f>
        <v>0.3451255314704737</v>
      </c>
      <c r="T135" s="12" t="b">
        <f t="shared" ca="1" si="11"/>
        <v>1</v>
      </c>
    </row>
    <row r="136" spans="2:20" x14ac:dyDescent="0.25">
      <c r="B136" s="1">
        <v>2.7999999999999825</v>
      </c>
      <c r="C136" s="3">
        <f ca="1">_xll.meMathNormalDistributionStandard(B136)</f>
        <v>0.99744486966957191</v>
      </c>
      <c r="D136" s="20">
        <f ca="1">_xll.meMathNormalDistributionPDF(B136)</f>
        <v>7.9154515829803502E-3</v>
      </c>
      <c r="G136" s="7">
        <v>0.64000000000000046</v>
      </c>
      <c r="H136" s="3">
        <f ca="1">_xll.meMathNormalDistributionStandardInverse(G136)</f>
        <v>0.35845879325119517</v>
      </c>
      <c r="I136" s="3"/>
      <c r="J136" s="9">
        <f t="shared" si="12"/>
        <v>0.35845879325119501</v>
      </c>
      <c r="K136" s="17">
        <f t="shared" ca="1" si="13"/>
        <v>0</v>
      </c>
      <c r="M136" s="1">
        <v>2.7999999999999825</v>
      </c>
      <c r="N136" s="3">
        <f ca="1">_xll.meMathNormalDistribution(M136,$N$4,$N$5)</f>
        <v>0.99744486966957191</v>
      </c>
      <c r="O136" s="20">
        <f ca="1">_xll.meMathNormalDistributionPDF(M136,$N$4,$N$5)</f>
        <v>7.9154515829803502E-3</v>
      </c>
      <c r="P136" s="8" t="b">
        <f t="shared" ca="1" si="10"/>
        <v>1</v>
      </c>
      <c r="R136" s="7">
        <v>0.64000000000000046</v>
      </c>
      <c r="S136" s="3">
        <f ca="1">_xll.meMathNormalDistributionInverse(R136,$S$4,$S$5)</f>
        <v>0.35845879325119517</v>
      </c>
      <c r="T136" s="12" t="b">
        <f t="shared" ca="1" si="11"/>
        <v>1</v>
      </c>
    </row>
    <row r="137" spans="2:20" x14ac:dyDescent="0.25">
      <c r="B137" s="1">
        <v>2.8999999999999826</v>
      </c>
      <c r="C137" s="3">
        <f ca="1">_xll.meMathNormalDistributionStandard(B137)</f>
        <v>0.99813418669961584</v>
      </c>
      <c r="D137" s="20">
        <f ca="1">_xll.meMathNormalDistributionPDF(B137)</f>
        <v>5.9525324197761548E-3</v>
      </c>
      <c r="G137" s="7">
        <v>0.64500000000000046</v>
      </c>
      <c r="H137" s="3">
        <f ca="1">_xll.meMathNormalDistributionStandardInverse(G137)</f>
        <v>0.37185608938507614</v>
      </c>
      <c r="I137" s="3"/>
      <c r="J137" s="9">
        <f t="shared" ref="J137:J168" si="14">NORMSINV(G137)</f>
        <v>0.37185608938507597</v>
      </c>
      <c r="K137" s="17">
        <f t="shared" ref="K137:K168" ca="1" si="15">H137-J137</f>
        <v>0</v>
      </c>
      <c r="M137" s="1">
        <v>2.8999999999999826</v>
      </c>
      <c r="N137" s="3">
        <f ca="1">_xll.meMathNormalDistribution(M137,$N$4,$N$5)</f>
        <v>0.99813418669961584</v>
      </c>
      <c r="O137" s="20">
        <f ca="1">_xll.meMathNormalDistributionPDF(M137,$N$4,$N$5)</f>
        <v>5.9525324197761548E-3</v>
      </c>
      <c r="P137" s="8" t="b">
        <f t="shared" ca="1" si="10"/>
        <v>1</v>
      </c>
      <c r="R137" s="7">
        <v>0.64500000000000046</v>
      </c>
      <c r="S137" s="3">
        <f ca="1">_xll.meMathNormalDistributionInverse(R137,$S$4,$S$5)</f>
        <v>0.37185608938507614</v>
      </c>
      <c r="T137" s="12" t="b">
        <f t="shared" ca="1" si="11"/>
        <v>1</v>
      </c>
    </row>
    <row r="138" spans="2:20" x14ac:dyDescent="0.25">
      <c r="B138" s="1">
        <v>2.9999999999999827</v>
      </c>
      <c r="C138" s="3">
        <f ca="1">_xll.meMathNormalDistributionStandard(B138)</f>
        <v>0.99865010196836979</v>
      </c>
      <c r="D138" s="20">
        <f ca="1">_xll.meMathNormalDistributionPDF(B138)</f>
        <v>4.4318484119382356E-3</v>
      </c>
      <c r="G138" s="7">
        <v>0.65000000000000047</v>
      </c>
      <c r="H138" s="3">
        <f ca="1">_xll.meMathNormalDistributionStandardInverse(G138)</f>
        <v>0.38532046640756906</v>
      </c>
      <c r="I138" s="3"/>
      <c r="J138" s="9">
        <f t="shared" si="14"/>
        <v>0.38532046640756895</v>
      </c>
      <c r="K138" s="17">
        <f t="shared" ca="1" si="15"/>
        <v>0</v>
      </c>
      <c r="M138" s="1">
        <v>2.9999999999999827</v>
      </c>
      <c r="N138" s="3">
        <f ca="1">_xll.meMathNormalDistribution(M138,$N$4,$N$5)</f>
        <v>0.99865010196836979</v>
      </c>
      <c r="O138" s="20">
        <f ca="1">_xll.meMathNormalDistributionPDF(M138,$N$4,$N$5)</f>
        <v>4.4318484119382356E-3</v>
      </c>
      <c r="P138" s="8" t="b">
        <f t="shared" ref="P138:P201" ca="1" si="16">C138=N138</f>
        <v>1</v>
      </c>
      <c r="R138" s="7">
        <v>0.65000000000000047</v>
      </c>
      <c r="S138" s="3">
        <f ca="1">_xll.meMathNormalDistributionInverse(R138,$S$4,$S$5)</f>
        <v>0.38532046640756906</v>
      </c>
      <c r="T138" s="12" t="b">
        <f t="shared" ref="T138:T201" ca="1" si="17">S138=H138</f>
        <v>1</v>
      </c>
    </row>
    <row r="139" spans="2:20" x14ac:dyDescent="0.25">
      <c r="B139" s="1">
        <v>3.0999999999999828</v>
      </c>
      <c r="C139" s="3">
        <f ca="1">_xll.meMathNormalDistributionStandard(B139)</f>
        <v>0.99903239678678157</v>
      </c>
      <c r="D139" s="20">
        <f ca="1">_xll.meMathNormalDistributionPDF(B139)</f>
        <v>3.2668190562000956E-3</v>
      </c>
      <c r="G139" s="7">
        <v>0.65500000000000047</v>
      </c>
      <c r="H139" s="3">
        <f ca="1">_xll.meMathNormalDistributionStandardInverse(G139)</f>
        <v>0.39885506564233814</v>
      </c>
      <c r="I139" s="3"/>
      <c r="J139" s="9">
        <f t="shared" si="14"/>
        <v>0.39885506564233808</v>
      </c>
      <c r="K139" s="17">
        <f t="shared" ca="1" si="15"/>
        <v>0</v>
      </c>
      <c r="M139" s="1">
        <v>3.0999999999999828</v>
      </c>
      <c r="N139" s="3">
        <f ca="1">_xll.meMathNormalDistribution(M139,$N$4,$N$5)</f>
        <v>0.99903239678678157</v>
      </c>
      <c r="O139" s="20">
        <f ca="1">_xll.meMathNormalDistributionPDF(M139,$N$4,$N$5)</f>
        <v>3.2668190562000956E-3</v>
      </c>
      <c r="P139" s="8" t="b">
        <f t="shared" ca="1" si="16"/>
        <v>1</v>
      </c>
      <c r="R139" s="7">
        <v>0.65500000000000047</v>
      </c>
      <c r="S139" s="3">
        <f ca="1">_xll.meMathNormalDistributionInverse(R139,$S$4,$S$5)</f>
        <v>0.39885506564233814</v>
      </c>
      <c r="T139" s="12" t="b">
        <f t="shared" ca="1" si="17"/>
        <v>1</v>
      </c>
    </row>
    <row r="140" spans="2:20" x14ac:dyDescent="0.25">
      <c r="B140" s="1">
        <v>3.1999999999999829</v>
      </c>
      <c r="C140" s="3">
        <f ca="1">_xll.meMathNormalDistributionStandard(B140)</f>
        <v>0.99931286206208414</v>
      </c>
      <c r="D140" s="20">
        <f ca="1">_xll.meMathNormalDistributionPDF(B140)</f>
        <v>2.3840882014649735E-3</v>
      </c>
      <c r="G140" s="7">
        <v>0.66000000000000048</v>
      </c>
      <c r="H140" s="3">
        <f ca="1">_xll.meMathNormalDistributionStandardInverse(G140)</f>
        <v>0.41246312944140628</v>
      </c>
      <c r="I140" s="3"/>
      <c r="J140" s="9">
        <f t="shared" si="14"/>
        <v>0.41246312944140606</v>
      </c>
      <c r="K140" s="17">
        <f t="shared" ca="1" si="15"/>
        <v>0</v>
      </c>
      <c r="M140" s="1">
        <v>3.1999999999999829</v>
      </c>
      <c r="N140" s="3">
        <f ca="1">_xll.meMathNormalDistribution(M140,$N$4,$N$5)</f>
        <v>0.99931286206208414</v>
      </c>
      <c r="O140" s="20">
        <f ca="1">_xll.meMathNormalDistributionPDF(M140,$N$4,$N$5)</f>
        <v>2.3840882014649735E-3</v>
      </c>
      <c r="P140" s="8" t="b">
        <f t="shared" ca="1" si="16"/>
        <v>1</v>
      </c>
      <c r="R140" s="7">
        <v>0.66000000000000048</v>
      </c>
      <c r="S140" s="3">
        <f ca="1">_xll.meMathNormalDistributionInverse(R140,$S$4,$S$5)</f>
        <v>0.41246312944140628</v>
      </c>
      <c r="T140" s="12" t="b">
        <f t="shared" ca="1" si="17"/>
        <v>1</v>
      </c>
    </row>
    <row r="141" spans="2:20" x14ac:dyDescent="0.25">
      <c r="B141" s="1">
        <v>3.2999999999999829</v>
      </c>
      <c r="C141" s="3">
        <f ca="1">_xll.meMathNormalDistributionStandard(B141)</f>
        <v>0.99951657585761622</v>
      </c>
      <c r="D141" s="20">
        <f ca="1">_xll.meMathNormalDistributionPDF(B141)</f>
        <v>1.7225689390537777E-3</v>
      </c>
      <c r="G141" s="7">
        <v>0.66500000000000048</v>
      </c>
      <c r="H141" s="3">
        <f ca="1">_xll.meMathNormalDistributionStandardInverse(G141)</f>
        <v>0.42614800784127965</v>
      </c>
      <c r="I141" s="3"/>
      <c r="J141" s="9">
        <f t="shared" si="14"/>
        <v>0.4261480078412796</v>
      </c>
      <c r="K141" s="17">
        <f t="shared" ca="1" si="15"/>
        <v>0</v>
      </c>
      <c r="M141" s="1">
        <v>3.2999999999999829</v>
      </c>
      <c r="N141" s="3">
        <f ca="1">_xll.meMathNormalDistribution(M141,$N$4,$N$5)</f>
        <v>0.99951657585761622</v>
      </c>
      <c r="O141" s="20">
        <f ca="1">_xll.meMathNormalDistributionPDF(M141,$N$4,$N$5)</f>
        <v>1.7225689390537777E-3</v>
      </c>
      <c r="P141" s="8" t="b">
        <f t="shared" ca="1" si="16"/>
        <v>1</v>
      </c>
      <c r="R141" s="7">
        <v>0.66500000000000048</v>
      </c>
      <c r="S141" s="3">
        <f ca="1">_xll.meMathNormalDistributionInverse(R141,$S$4,$S$5)</f>
        <v>0.42614800784127965</v>
      </c>
      <c r="T141" s="12" t="b">
        <f t="shared" ca="1" si="17"/>
        <v>1</v>
      </c>
    </row>
    <row r="142" spans="2:20" x14ac:dyDescent="0.25">
      <c r="B142" s="1">
        <v>3.399999999999983</v>
      </c>
      <c r="C142" s="3">
        <f ca="1">_xll.meMathNormalDistributionStandard(B142)</f>
        <v>0.99966307073432314</v>
      </c>
      <c r="D142" s="20">
        <f ca="1">_xll.meMathNormalDistributionPDF(B142)</f>
        <v>1.23221916847309E-3</v>
      </c>
      <c r="G142" s="7">
        <v>0.67000000000000048</v>
      </c>
      <c r="H142" s="3">
        <f ca="1">_xll.meMathNormalDistributionStandardInverse(G142)</f>
        <v>0.4399131656732353</v>
      </c>
      <c r="I142" s="3"/>
      <c r="J142" s="9">
        <f t="shared" si="14"/>
        <v>0.43991316567323524</v>
      </c>
      <c r="K142" s="17">
        <f t="shared" ca="1" si="15"/>
        <v>0</v>
      </c>
      <c r="M142" s="1">
        <v>3.399999999999983</v>
      </c>
      <c r="N142" s="3">
        <f ca="1">_xll.meMathNormalDistribution(M142,$N$4,$N$5)</f>
        <v>0.99966307073432314</v>
      </c>
      <c r="O142" s="20">
        <f ca="1">_xll.meMathNormalDistributionPDF(M142,$N$4,$N$5)</f>
        <v>1.23221916847309E-3</v>
      </c>
      <c r="P142" s="8" t="b">
        <f t="shared" ca="1" si="16"/>
        <v>1</v>
      </c>
      <c r="R142" s="7">
        <v>0.67000000000000048</v>
      </c>
      <c r="S142" s="3">
        <f ca="1">_xll.meMathNormalDistributionInverse(R142,$S$4,$S$5)</f>
        <v>0.4399131656732353</v>
      </c>
      <c r="T142" s="12" t="b">
        <f t="shared" ca="1" si="17"/>
        <v>1</v>
      </c>
    </row>
    <row r="143" spans="2:20" x14ac:dyDescent="0.25">
      <c r="B143" s="1">
        <v>3.4999999999999831</v>
      </c>
      <c r="C143" s="3">
        <f ca="1">_xll.meMathNormalDistributionStandard(B143)</f>
        <v>0.99976737092096446</v>
      </c>
      <c r="D143" s="20">
        <f ca="1">_xll.meMathNormalDistributionPDF(B143)</f>
        <v>8.7268269504581133E-4</v>
      </c>
      <c r="G143" s="7">
        <v>0.67500000000000049</v>
      </c>
      <c r="H143" s="3">
        <f ca="1">_xll.meMathNormalDistributionStandardInverse(G143)</f>
        <v>0.45376219016988084</v>
      </c>
      <c r="I143" s="3"/>
      <c r="J143" s="9">
        <f t="shared" si="14"/>
        <v>0.45376219016988084</v>
      </c>
      <c r="K143" s="17">
        <f t="shared" ca="1" si="15"/>
        <v>0</v>
      </c>
      <c r="M143" s="1">
        <v>3.4999999999999831</v>
      </c>
      <c r="N143" s="3">
        <f ca="1">_xll.meMathNormalDistribution(M143,$N$4,$N$5)</f>
        <v>0.99976737092096446</v>
      </c>
      <c r="O143" s="20">
        <f ca="1">_xll.meMathNormalDistributionPDF(M143,$N$4,$N$5)</f>
        <v>8.7268269504581133E-4</v>
      </c>
      <c r="P143" s="8" t="b">
        <f t="shared" ca="1" si="16"/>
        <v>1</v>
      </c>
      <c r="R143" s="7">
        <v>0.67500000000000049</v>
      </c>
      <c r="S143" s="3">
        <f ca="1">_xll.meMathNormalDistributionInverse(R143,$S$4,$S$5)</f>
        <v>0.45376219016988084</v>
      </c>
      <c r="T143" s="12" t="b">
        <f t="shared" ca="1" si="17"/>
        <v>1</v>
      </c>
    </row>
    <row r="144" spans="2:20" x14ac:dyDescent="0.25">
      <c r="B144" s="1">
        <v>3.5999999999999832</v>
      </c>
      <c r="C144" s="3">
        <f ca="1">_xll.meMathNormalDistributionStandard(B144)</f>
        <v>0.99984089140984245</v>
      </c>
      <c r="D144" s="20">
        <f ca="1">_xll.meMathNormalDistributionPDF(B144)</f>
        <v>6.1190193011380941E-4</v>
      </c>
      <c r="G144" s="7">
        <v>0.68000000000000049</v>
      </c>
      <c r="H144" s="3">
        <f ca="1">_xll.meMathNormalDistributionStandardInverse(G144)</f>
        <v>0.46769879911450979</v>
      </c>
      <c r="I144" s="3"/>
      <c r="J144" s="9">
        <f t="shared" si="14"/>
        <v>0.46769879911450968</v>
      </c>
      <c r="K144" s="17">
        <f t="shared" ca="1" si="15"/>
        <v>0</v>
      </c>
      <c r="M144" s="1">
        <v>3.5999999999999832</v>
      </c>
      <c r="N144" s="3">
        <f ca="1">_xll.meMathNormalDistribution(M144,$N$4,$N$5)</f>
        <v>0.99984089140984245</v>
      </c>
      <c r="O144" s="20">
        <f ca="1">_xll.meMathNormalDistributionPDF(M144,$N$4,$N$5)</f>
        <v>6.1190193011380941E-4</v>
      </c>
      <c r="P144" s="8" t="b">
        <f t="shared" ca="1" si="16"/>
        <v>1</v>
      </c>
      <c r="R144" s="7">
        <v>0.68000000000000049</v>
      </c>
      <c r="S144" s="3">
        <f ca="1">_xll.meMathNormalDistributionInverse(R144,$S$4,$S$5)</f>
        <v>0.46769879911450979</v>
      </c>
      <c r="T144" s="12" t="b">
        <f t="shared" ca="1" si="17"/>
        <v>1</v>
      </c>
    </row>
    <row r="145" spans="2:20" x14ac:dyDescent="0.25">
      <c r="B145" s="1">
        <v>3.6999999999999833</v>
      </c>
      <c r="C145" s="3">
        <f ca="1">_xll.meMathNormalDistributionStandard(B145)</f>
        <v>0.99989220026652259</v>
      </c>
      <c r="D145" s="20">
        <f ca="1">_xll.meMathNormalDistributionPDF(B145)</f>
        <v>4.2478027055077783E-4</v>
      </c>
      <c r="G145" s="7">
        <v>0.6850000000000005</v>
      </c>
      <c r="H145" s="3">
        <f ca="1">_xll.meMathNormalDistributionStandardInverse(G145)</f>
        <v>0.48172684958473194</v>
      </c>
      <c r="I145" s="3"/>
      <c r="J145" s="9">
        <f t="shared" si="14"/>
        <v>0.48172684958473161</v>
      </c>
      <c r="K145" s="17">
        <f t="shared" ca="1" si="15"/>
        <v>0</v>
      </c>
      <c r="M145" s="1">
        <v>3.6999999999999833</v>
      </c>
      <c r="N145" s="3">
        <f ca="1">_xll.meMathNormalDistribution(M145,$N$4,$N$5)</f>
        <v>0.99989220026652259</v>
      </c>
      <c r="O145" s="20">
        <f ca="1">_xll.meMathNormalDistributionPDF(M145,$N$4,$N$5)</f>
        <v>4.2478027055077783E-4</v>
      </c>
      <c r="P145" s="8" t="b">
        <f t="shared" ca="1" si="16"/>
        <v>1</v>
      </c>
      <c r="R145" s="7">
        <v>0.6850000000000005</v>
      </c>
      <c r="S145" s="3">
        <f ca="1">_xll.meMathNormalDistributionInverse(R145,$S$4,$S$5)</f>
        <v>0.48172684958473194</v>
      </c>
      <c r="T145" s="12" t="b">
        <f t="shared" ca="1" si="17"/>
        <v>1</v>
      </c>
    </row>
    <row r="146" spans="2:20" x14ac:dyDescent="0.25">
      <c r="B146" s="1">
        <v>3.7999999999999834</v>
      </c>
      <c r="C146" s="3">
        <f ca="1">_xll.meMathNormalDistributionStandard(B146)</f>
        <v>0.99992765195607491</v>
      </c>
      <c r="D146" s="20">
        <f ca="1">_xll.meMathNormalDistributionPDF(B146)</f>
        <v>2.9194692579147865E-4</v>
      </c>
      <c r="G146" s="7">
        <v>0.6900000000000005</v>
      </c>
      <c r="H146" s="3">
        <f ca="1">_xll.meMathNormalDistributionStandardInverse(G146)</f>
        <v>0.49585034734745492</v>
      </c>
      <c r="I146" s="3"/>
      <c r="J146" s="9">
        <f t="shared" si="14"/>
        <v>0.49585034734745487</v>
      </c>
      <c r="K146" s="17">
        <f t="shared" ca="1" si="15"/>
        <v>0</v>
      </c>
      <c r="M146" s="1">
        <v>3.7999999999999834</v>
      </c>
      <c r="N146" s="3">
        <f ca="1">_xll.meMathNormalDistribution(M146,$N$4,$N$5)</f>
        <v>0.99992765195607491</v>
      </c>
      <c r="O146" s="20">
        <f ca="1">_xll.meMathNormalDistributionPDF(M146,$N$4,$N$5)</f>
        <v>2.9194692579147865E-4</v>
      </c>
      <c r="P146" s="8" t="b">
        <f t="shared" ca="1" si="16"/>
        <v>1</v>
      </c>
      <c r="R146" s="7">
        <v>0.6900000000000005</v>
      </c>
      <c r="S146" s="3">
        <f ca="1">_xll.meMathNormalDistributionInverse(R146,$S$4,$S$5)</f>
        <v>0.49585034734745492</v>
      </c>
      <c r="T146" s="12" t="b">
        <f t="shared" ca="1" si="17"/>
        <v>1</v>
      </c>
    </row>
    <row r="147" spans="2:20" x14ac:dyDescent="0.25">
      <c r="B147" s="1">
        <v>3.8999999999999835</v>
      </c>
      <c r="C147" s="3">
        <f ca="1">_xll.meMathNormalDistributionStandard(B147)</f>
        <v>0.99995190365598241</v>
      </c>
      <c r="D147" s="20">
        <f ca="1">_xll.meMathNormalDistributionPDF(B147)</f>
        <v>1.9865547139278543E-4</v>
      </c>
      <c r="G147" s="7">
        <v>0.69500000000000051</v>
      </c>
      <c r="H147" s="3">
        <f ca="1">_xll.meMathNormalDistributionStandardInverse(G147)</f>
        <v>0.51007345696859641</v>
      </c>
      <c r="I147" s="3"/>
      <c r="J147" s="9">
        <f t="shared" si="14"/>
        <v>0.51007345696859629</v>
      </c>
      <c r="K147" s="17">
        <f t="shared" ca="1" si="15"/>
        <v>0</v>
      </c>
      <c r="M147" s="1">
        <v>3.8999999999999835</v>
      </c>
      <c r="N147" s="3">
        <f ca="1">_xll.meMathNormalDistribution(M147,$N$4,$N$5)</f>
        <v>0.99995190365598241</v>
      </c>
      <c r="O147" s="20">
        <f ca="1">_xll.meMathNormalDistributionPDF(M147,$N$4,$N$5)</f>
        <v>1.9865547139278543E-4</v>
      </c>
      <c r="P147" s="8" t="b">
        <f t="shared" ca="1" si="16"/>
        <v>1</v>
      </c>
      <c r="R147" s="7">
        <v>0.69500000000000051</v>
      </c>
      <c r="S147" s="3">
        <f ca="1">_xll.meMathNormalDistributionInverse(R147,$S$4,$S$5)</f>
        <v>0.51007345696859641</v>
      </c>
      <c r="T147" s="12" t="b">
        <f t="shared" ca="1" si="17"/>
        <v>1</v>
      </c>
    </row>
    <row r="148" spans="2:20" x14ac:dyDescent="0.25">
      <c r="B148" s="1">
        <v>3.9999999999999836</v>
      </c>
      <c r="C148" s="3">
        <f ca="1">_xll.meMathNormalDistributionStandard(B148)</f>
        <v>0.99996832875816688</v>
      </c>
      <c r="D148" s="20">
        <f ca="1">_xll.meMathNormalDistributionPDF(B148)</f>
        <v>1.3383022576489415E-4</v>
      </c>
      <c r="G148" s="7">
        <v>0.70000000000000051</v>
      </c>
      <c r="H148" s="3">
        <f ca="1">_xll.meMathNormalDistributionStandardInverse(G148)</f>
        <v>0.52440051270804244</v>
      </c>
      <c r="I148" s="3"/>
      <c r="J148" s="9">
        <f t="shared" si="14"/>
        <v>0.52440051270804233</v>
      </c>
      <c r="K148" s="17">
        <f t="shared" ca="1" si="15"/>
        <v>0</v>
      </c>
      <c r="M148" s="1">
        <v>3.9999999999999836</v>
      </c>
      <c r="N148" s="3">
        <f ca="1">_xll.meMathNormalDistribution(M148,$N$4,$N$5)</f>
        <v>0.99996832875816688</v>
      </c>
      <c r="O148" s="20">
        <f ca="1">_xll.meMathNormalDistributionPDF(M148,$N$4,$N$5)</f>
        <v>1.3383022576489415E-4</v>
      </c>
      <c r="P148" s="8" t="b">
        <f t="shared" ca="1" si="16"/>
        <v>1</v>
      </c>
      <c r="R148" s="7">
        <v>0.70000000000000051</v>
      </c>
      <c r="S148" s="3">
        <f ca="1">_xll.meMathNormalDistributionInverse(R148,$S$4,$S$5)</f>
        <v>0.52440051270804244</v>
      </c>
      <c r="T148" s="12" t="b">
        <f t="shared" ca="1" si="17"/>
        <v>1</v>
      </c>
    </row>
    <row r="149" spans="2:20" x14ac:dyDescent="0.25">
      <c r="B149" s="1">
        <v>4.0999999999999837</v>
      </c>
      <c r="C149" s="3">
        <f ca="1">_xll.meMathNormalDistributionStandard(B149)</f>
        <v>0.9999793424930874</v>
      </c>
      <c r="D149" s="20">
        <f ca="1">_xll.meMathNormalDistributionPDF(B149)</f>
        <v>8.9261657177138796E-5</v>
      </c>
      <c r="G149" s="7">
        <v>0.70500000000000052</v>
      </c>
      <c r="H149" s="3">
        <f ca="1">_xll.meMathNormalDistributionStandardInverse(G149)</f>
        <v>0.53883603027845195</v>
      </c>
      <c r="I149" s="3"/>
      <c r="J149" s="9">
        <f t="shared" si="14"/>
        <v>0.53883603027845173</v>
      </c>
      <c r="K149" s="17">
        <f t="shared" ca="1" si="15"/>
        <v>0</v>
      </c>
      <c r="M149" s="1">
        <v>4.0999999999999837</v>
      </c>
      <c r="N149" s="3">
        <f ca="1">_xll.meMathNormalDistribution(M149,$N$4,$N$5)</f>
        <v>0.9999793424930874</v>
      </c>
      <c r="O149" s="20">
        <f ca="1">_xll.meMathNormalDistributionPDF(M149,$N$4,$N$5)</f>
        <v>8.9261657177138796E-5</v>
      </c>
      <c r="P149" s="8" t="b">
        <f t="shared" ca="1" si="16"/>
        <v>1</v>
      </c>
      <c r="R149" s="7">
        <v>0.70500000000000052</v>
      </c>
      <c r="S149" s="3">
        <f ca="1">_xll.meMathNormalDistributionInverse(R149,$S$4,$S$5)</f>
        <v>0.53883603027845195</v>
      </c>
      <c r="T149" s="12" t="b">
        <f t="shared" ca="1" si="17"/>
        <v>1</v>
      </c>
    </row>
    <row r="150" spans="2:20" x14ac:dyDescent="0.25">
      <c r="B150" s="1">
        <v>4.1999999999999833</v>
      </c>
      <c r="C150" s="3">
        <f ca="1">_xll.meMathNormalDistributionStandard(B150)</f>
        <v>0.9999866542509841</v>
      </c>
      <c r="D150" s="20">
        <f ca="1">_xll.meMathNormalDistributionPDF(B150)</f>
        <v>5.8943067756544036E-5</v>
      </c>
      <c r="G150" s="7">
        <v>0.71000000000000052</v>
      </c>
      <c r="H150" s="3">
        <f ca="1">_xll.meMathNormalDistributionStandardInverse(G150)</f>
        <v>0.55338471955567436</v>
      </c>
      <c r="I150" s="3"/>
      <c r="J150" s="9">
        <f t="shared" si="14"/>
        <v>0.55338471955567436</v>
      </c>
      <c r="K150" s="17">
        <f t="shared" ca="1" si="15"/>
        <v>0</v>
      </c>
      <c r="M150" s="1">
        <v>4.1999999999999833</v>
      </c>
      <c r="N150" s="3">
        <f ca="1">_xll.meMathNormalDistribution(M150,$N$4,$N$5)</f>
        <v>0.9999866542509841</v>
      </c>
      <c r="O150" s="20">
        <f ca="1">_xll.meMathNormalDistributionPDF(M150,$N$4,$N$5)</f>
        <v>5.8943067756544036E-5</v>
      </c>
      <c r="P150" s="8" t="b">
        <f t="shared" ca="1" si="16"/>
        <v>1</v>
      </c>
      <c r="R150" s="7">
        <v>0.71000000000000052</v>
      </c>
      <c r="S150" s="3">
        <f ca="1">_xll.meMathNormalDistributionInverse(R150,$S$4,$S$5)</f>
        <v>0.55338471955567436</v>
      </c>
      <c r="T150" s="12" t="b">
        <f t="shared" ca="1" si="17"/>
        <v>1</v>
      </c>
    </row>
    <row r="151" spans="2:20" x14ac:dyDescent="0.25">
      <c r="B151" s="1">
        <v>4.2999999999999829</v>
      </c>
      <c r="C151" s="3">
        <f ca="1">_xll.meMathNormalDistributionStandard(B151)</f>
        <v>0.99999146009452899</v>
      </c>
      <c r="D151" s="20">
        <f ca="1">_xll.meMathNormalDistributionPDF(B151)</f>
        <v>3.8535196742089935E-5</v>
      </c>
      <c r="G151" s="7">
        <v>0.71500000000000052</v>
      </c>
      <c r="H151" s="3">
        <f ca="1">_xll.meMathNormalDistributionStandardInverse(G151)</f>
        <v>0.56805149833898438</v>
      </c>
      <c r="I151" s="3"/>
      <c r="J151" s="9">
        <f t="shared" si="14"/>
        <v>0.56805149833898427</v>
      </c>
      <c r="K151" s="17">
        <f t="shared" ca="1" si="15"/>
        <v>0</v>
      </c>
      <c r="M151" s="1">
        <v>4.2999999999999829</v>
      </c>
      <c r="N151" s="3">
        <f ca="1">_xll.meMathNormalDistribution(M151,$N$4,$N$5)</f>
        <v>0.99999146009452899</v>
      </c>
      <c r="O151" s="20">
        <f ca="1">_xll.meMathNormalDistributionPDF(M151,$N$4,$N$5)</f>
        <v>3.8535196742089935E-5</v>
      </c>
      <c r="P151" s="8" t="b">
        <f t="shared" ca="1" si="16"/>
        <v>1</v>
      </c>
      <c r="R151" s="7">
        <v>0.71500000000000052</v>
      </c>
      <c r="S151" s="3">
        <f ca="1">_xll.meMathNormalDistributionInverse(R151,$S$4,$S$5)</f>
        <v>0.56805149833898438</v>
      </c>
      <c r="T151" s="12" t="b">
        <f t="shared" ca="1" si="17"/>
        <v>1</v>
      </c>
    </row>
    <row r="152" spans="2:20" x14ac:dyDescent="0.25">
      <c r="B152" s="1">
        <v>4.3999999999999826</v>
      </c>
      <c r="C152" s="3">
        <f ca="1">_xll.meMathNormalDistributionStandard(B152)</f>
        <v>0.99999458745609227</v>
      </c>
      <c r="D152" s="20">
        <f ca="1">_xll.meMathNormalDistributionPDF(B152)</f>
        <v>2.494247129005548E-5</v>
      </c>
      <c r="G152" s="7">
        <v>0.72000000000000053</v>
      </c>
      <c r="H152" s="3">
        <f ca="1">_xll.meMathNormalDistributionStandardInverse(G152)</f>
        <v>0.58284150727121808</v>
      </c>
      <c r="I152" s="3"/>
      <c r="J152" s="9">
        <f t="shared" si="14"/>
        <v>0.58284150727121786</v>
      </c>
      <c r="K152" s="17">
        <f t="shared" ca="1" si="15"/>
        <v>0</v>
      </c>
      <c r="M152" s="1">
        <v>4.3999999999999826</v>
      </c>
      <c r="N152" s="3">
        <f ca="1">_xll.meMathNormalDistribution(M152,$N$4,$N$5)</f>
        <v>0.99999458745609227</v>
      </c>
      <c r="O152" s="20">
        <f ca="1">_xll.meMathNormalDistributionPDF(M152,$N$4,$N$5)</f>
        <v>2.494247129005548E-5</v>
      </c>
      <c r="P152" s="8" t="b">
        <f t="shared" ca="1" si="16"/>
        <v>1</v>
      </c>
      <c r="R152" s="7">
        <v>0.72000000000000053</v>
      </c>
      <c r="S152" s="3">
        <f ca="1">_xll.meMathNormalDistributionInverse(R152,$S$4,$S$5)</f>
        <v>0.58284150727121808</v>
      </c>
      <c r="T152" s="12" t="b">
        <f t="shared" ca="1" si="17"/>
        <v>1</v>
      </c>
    </row>
    <row r="153" spans="2:20" x14ac:dyDescent="0.25">
      <c r="B153" s="1">
        <v>4.4999999999999822</v>
      </c>
      <c r="C153" s="3">
        <f ca="1">_xll.meMathNormalDistributionStandard(B153)</f>
        <v>0.99999660232687526</v>
      </c>
      <c r="D153" s="20">
        <f ca="1">_xll.meMathNormalDistributionPDF(B153)</f>
        <v>1.5983741106906752E-5</v>
      </c>
      <c r="G153" s="7">
        <v>0.72500000000000053</v>
      </c>
      <c r="H153" s="3">
        <f ca="1">_xll.meMathNormalDistributionStandardInverse(G153)</f>
        <v>0.59776012604248019</v>
      </c>
      <c r="I153" s="3"/>
      <c r="J153" s="9">
        <f t="shared" si="14"/>
        <v>0.59776012604248008</v>
      </c>
      <c r="K153" s="17">
        <f t="shared" ca="1" si="15"/>
        <v>0</v>
      </c>
      <c r="M153" s="1">
        <v>4.4999999999999822</v>
      </c>
      <c r="N153" s="3">
        <f ca="1">_xll.meMathNormalDistribution(M153,$N$4,$N$5)</f>
        <v>0.99999660232687526</v>
      </c>
      <c r="O153" s="20">
        <f ca="1">_xll.meMathNormalDistributionPDF(M153,$N$4,$N$5)</f>
        <v>1.5983741106906752E-5</v>
      </c>
      <c r="P153" s="8" t="b">
        <f t="shared" ca="1" si="16"/>
        <v>1</v>
      </c>
      <c r="R153" s="7">
        <v>0.72500000000000053</v>
      </c>
      <c r="S153" s="3">
        <f ca="1">_xll.meMathNormalDistributionInverse(R153,$S$4,$S$5)</f>
        <v>0.59776012604248019</v>
      </c>
      <c r="T153" s="12" t="b">
        <f t="shared" ca="1" si="17"/>
        <v>1</v>
      </c>
    </row>
    <row r="154" spans="2:20" x14ac:dyDescent="0.25">
      <c r="B154" s="1">
        <v>4.5999999999999819</v>
      </c>
      <c r="C154" s="3">
        <f ca="1">_xll.meMathNormalDistributionStandard(B154)</f>
        <v>0.9999978875452975</v>
      </c>
      <c r="D154" s="20">
        <f ca="1">_xll.meMathNormalDistributionPDF(B154)</f>
        <v>1.0140852065487588E-5</v>
      </c>
      <c r="G154" s="7">
        <v>0.73000000000000054</v>
      </c>
      <c r="H154" s="3">
        <f ca="1">_xll.meMathNormalDistributionStandardInverse(G154)</f>
        <v>0.61281299101662912</v>
      </c>
      <c r="I154" s="3"/>
      <c r="J154" s="9">
        <f t="shared" si="14"/>
        <v>0.61281299101662901</v>
      </c>
      <c r="K154" s="17">
        <f t="shared" ca="1" si="15"/>
        <v>0</v>
      </c>
      <c r="M154" s="1">
        <v>4.5999999999999819</v>
      </c>
      <c r="N154" s="3">
        <f ca="1">_xll.meMathNormalDistribution(M154,$N$4,$N$5)</f>
        <v>0.9999978875452975</v>
      </c>
      <c r="O154" s="20">
        <f ca="1">_xll.meMathNormalDistributionPDF(M154,$N$4,$N$5)</f>
        <v>1.0140852065487588E-5</v>
      </c>
      <c r="P154" s="8" t="b">
        <f t="shared" ca="1" si="16"/>
        <v>1</v>
      </c>
      <c r="R154" s="7">
        <v>0.73000000000000054</v>
      </c>
      <c r="S154" s="3">
        <f ca="1">_xll.meMathNormalDistributionInverse(R154,$S$4,$S$5)</f>
        <v>0.61281299101662912</v>
      </c>
      <c r="T154" s="12" t="b">
        <f t="shared" ca="1" si="17"/>
        <v>1</v>
      </c>
    </row>
    <row r="155" spans="2:20" x14ac:dyDescent="0.25">
      <c r="B155" s="1">
        <v>4.6999999999999815</v>
      </c>
      <c r="C155" s="3">
        <f ca="1">_xll.meMathNormalDistributionStandard(B155)</f>
        <v>0.99999869919254614</v>
      </c>
      <c r="D155" s="20">
        <f ca="1">_xll.meMathNormalDistributionPDF(B155)</f>
        <v>6.3698251788676566E-6</v>
      </c>
      <c r="G155" s="7">
        <v>0.73500000000000054</v>
      </c>
      <c r="H155" s="3">
        <f ca="1">_xll.meMathNormalDistributionStandardInverse(G155)</f>
        <v>0.62800601443757142</v>
      </c>
      <c r="I155" s="3"/>
      <c r="J155" s="9">
        <f t="shared" si="14"/>
        <v>0.62800601443757131</v>
      </c>
      <c r="K155" s="17">
        <f t="shared" ca="1" si="15"/>
        <v>0</v>
      </c>
      <c r="M155" s="1">
        <v>4.6999999999999815</v>
      </c>
      <c r="N155" s="3">
        <f ca="1">_xll.meMathNormalDistribution(M155,$N$4,$N$5)</f>
        <v>0.99999869919254614</v>
      </c>
      <c r="O155" s="20">
        <f ca="1">_xll.meMathNormalDistributionPDF(M155,$N$4,$N$5)</f>
        <v>6.3698251788676566E-6</v>
      </c>
      <c r="P155" s="8" t="b">
        <f t="shared" ca="1" si="16"/>
        <v>1</v>
      </c>
      <c r="R155" s="7">
        <v>0.73500000000000054</v>
      </c>
      <c r="S155" s="3">
        <f ca="1">_xll.meMathNormalDistributionInverse(R155,$S$4,$S$5)</f>
        <v>0.62800601443757142</v>
      </c>
      <c r="T155" s="12" t="b">
        <f t="shared" ca="1" si="17"/>
        <v>1</v>
      </c>
    </row>
    <row r="156" spans="2:20" x14ac:dyDescent="0.25">
      <c r="B156" s="1">
        <v>4.7999999999999812</v>
      </c>
      <c r="C156" s="3">
        <f ca="1">_xll.meMathNormalDistributionStandard(B156)</f>
        <v>0.99999920667184805</v>
      </c>
      <c r="D156" s="20">
        <f ca="1">_xll.meMathNormalDistributionPDF(B156)</f>
        <v>3.9612990910324344E-6</v>
      </c>
      <c r="G156" s="7">
        <v>0.74000000000000055</v>
      </c>
      <c r="H156" s="3">
        <f ca="1">_xll.meMathNormalDistributionStandardInverse(G156)</f>
        <v>0.64334540539291885</v>
      </c>
      <c r="I156" s="3"/>
      <c r="J156" s="9">
        <f t="shared" si="14"/>
        <v>0.64334540539291862</v>
      </c>
      <c r="K156" s="17">
        <f t="shared" ca="1" si="15"/>
        <v>0</v>
      </c>
      <c r="M156" s="1">
        <v>4.7999999999999812</v>
      </c>
      <c r="N156" s="3">
        <f ca="1">_xll.meMathNormalDistribution(M156,$N$4,$N$5)</f>
        <v>0.99999920667184805</v>
      </c>
      <c r="O156" s="20">
        <f ca="1">_xll.meMathNormalDistributionPDF(M156,$N$4,$N$5)</f>
        <v>3.9612990910324344E-6</v>
      </c>
      <c r="P156" s="8" t="b">
        <f t="shared" ca="1" si="16"/>
        <v>1</v>
      </c>
      <c r="R156" s="7">
        <v>0.74000000000000055</v>
      </c>
      <c r="S156" s="3">
        <f ca="1">_xll.meMathNormalDistributionInverse(R156,$S$4,$S$5)</f>
        <v>0.64334540539291885</v>
      </c>
      <c r="T156" s="12" t="b">
        <f t="shared" ca="1" si="17"/>
        <v>1</v>
      </c>
    </row>
    <row r="157" spans="2:20" x14ac:dyDescent="0.25">
      <c r="B157" s="1">
        <v>4.8999999999999808</v>
      </c>
      <c r="C157" s="3">
        <f ca="1">_xll.meMathNormalDistributionStandard(B157)</f>
        <v>0.99999952081672339</v>
      </c>
      <c r="D157" s="20">
        <f ca="1">_xll.meMathNormalDistributionPDF(B157)</f>
        <v>2.4389607458935864E-6</v>
      </c>
      <c r="G157" s="7">
        <v>0.74500000000000055</v>
      </c>
      <c r="H157" s="3">
        <f ca="1">_xll.meMathNormalDistributionStandardInverse(G157)</f>
        <v>0.65883769273618975</v>
      </c>
      <c r="I157" s="3"/>
      <c r="J157" s="9">
        <f t="shared" si="14"/>
        <v>0.65883769273618931</v>
      </c>
      <c r="K157" s="17">
        <f t="shared" ca="1" si="15"/>
        <v>0</v>
      </c>
      <c r="M157" s="1">
        <v>4.8999999999999808</v>
      </c>
      <c r="N157" s="3">
        <f ca="1">_xll.meMathNormalDistribution(M157,$N$4,$N$5)</f>
        <v>0.99999952081672339</v>
      </c>
      <c r="O157" s="20">
        <f ca="1">_xll.meMathNormalDistributionPDF(M157,$N$4,$N$5)</f>
        <v>2.4389607458935864E-6</v>
      </c>
      <c r="P157" s="8" t="b">
        <f t="shared" ca="1" si="16"/>
        <v>1</v>
      </c>
      <c r="R157" s="7">
        <v>0.74500000000000055</v>
      </c>
      <c r="S157" s="3">
        <f ca="1">_xll.meMathNormalDistributionInverse(R157,$S$4,$S$5)</f>
        <v>0.65883769273618975</v>
      </c>
      <c r="T157" s="12" t="b">
        <f t="shared" ca="1" si="17"/>
        <v>1</v>
      </c>
    </row>
    <row r="158" spans="2:20" x14ac:dyDescent="0.25">
      <c r="B158" s="1">
        <v>4.9999999999999805</v>
      </c>
      <c r="C158" s="3">
        <f ca="1">_xll.meMathNormalDistributionStandard(B158)</f>
        <v>0.99999971334842808</v>
      </c>
      <c r="D158" s="20">
        <f ca="1">_xll.meMathNormalDistributionPDF(B158)</f>
        <v>1.4867195147344432E-6</v>
      </c>
      <c r="G158" s="7">
        <v>0.75000000000000056</v>
      </c>
      <c r="H158" s="3">
        <f ca="1">_xll.meMathNormalDistributionStandardInverse(G158)</f>
        <v>0.67448975019608348</v>
      </c>
      <c r="I158" s="3"/>
      <c r="J158" s="9">
        <f t="shared" si="14"/>
        <v>0.67448975019608348</v>
      </c>
      <c r="K158" s="17">
        <f t="shared" ca="1" si="15"/>
        <v>0</v>
      </c>
      <c r="M158" s="1">
        <v>4.9999999999999805</v>
      </c>
      <c r="N158" s="3">
        <f ca="1">_xll.meMathNormalDistribution(M158,$N$4,$N$5)</f>
        <v>0.99999971334842808</v>
      </c>
      <c r="O158" s="20">
        <f ca="1">_xll.meMathNormalDistributionPDF(M158,$N$4,$N$5)</f>
        <v>1.4867195147344432E-6</v>
      </c>
      <c r="P158" s="8" t="b">
        <f t="shared" ca="1" si="16"/>
        <v>1</v>
      </c>
      <c r="R158" s="7">
        <v>0.75000000000000056</v>
      </c>
      <c r="S158" s="3">
        <f ca="1">_xll.meMathNormalDistributionInverse(R158,$S$4,$S$5)</f>
        <v>0.67448975019608348</v>
      </c>
      <c r="T158" s="12" t="b">
        <f t="shared" ca="1" si="17"/>
        <v>1</v>
      </c>
    </row>
    <row r="159" spans="2:20" x14ac:dyDescent="0.25">
      <c r="B159" s="1">
        <v>5.0999999999999801</v>
      </c>
      <c r="C159" s="3">
        <f ca="1">_xll.meMathNormalDistributionStandard(B159)</f>
        <v>0.99999983017325933</v>
      </c>
      <c r="D159" s="20">
        <f ca="1">_xll.meMathNormalDistributionPDF(B159)</f>
        <v>8.9724351623842458E-7</v>
      </c>
      <c r="G159" s="7">
        <v>0.75500000000000056</v>
      </c>
      <c r="H159" s="3">
        <f ca="1">_xll.meMathNormalDistributionStandardInverse(G159)</f>
        <v>0.69030882393303561</v>
      </c>
      <c r="I159" s="3"/>
      <c r="J159" s="9">
        <f t="shared" si="14"/>
        <v>0.69030882393303605</v>
      </c>
      <c r="K159" s="17">
        <f t="shared" ca="1" si="15"/>
        <v>0</v>
      </c>
      <c r="M159" s="1">
        <v>5.0999999999999801</v>
      </c>
      <c r="N159" s="3">
        <f ca="1">_xll.meMathNormalDistribution(M159,$N$4,$N$5)</f>
        <v>0.99999983017325933</v>
      </c>
      <c r="O159" s="20">
        <f ca="1">_xll.meMathNormalDistributionPDF(M159,$N$4,$N$5)</f>
        <v>8.9724351623842458E-7</v>
      </c>
      <c r="P159" s="8" t="b">
        <f t="shared" ca="1" si="16"/>
        <v>1</v>
      </c>
      <c r="R159" s="7">
        <v>0.75500000000000056</v>
      </c>
      <c r="S159" s="3">
        <f ca="1">_xll.meMathNormalDistributionInverse(R159,$S$4,$S$5)</f>
        <v>0.69030882393303561</v>
      </c>
      <c r="T159" s="12" t="b">
        <f t="shared" ca="1" si="17"/>
        <v>1</v>
      </c>
    </row>
    <row r="160" spans="2:20" x14ac:dyDescent="0.25">
      <c r="B160" s="1">
        <v>5.1999999999999797</v>
      </c>
      <c r="C160" s="3">
        <f ca="1">_xll.meMathNormalDistributionStandard(B160)</f>
        <v>0.99999990035573683</v>
      </c>
      <c r="D160" s="20">
        <f ca="1">_xll.meMathNormalDistributionPDF(B160)</f>
        <v>5.3610353446981852E-7</v>
      </c>
      <c r="G160" s="7">
        <v>0.76000000000000056</v>
      </c>
      <c r="H160" s="3">
        <f ca="1">_xll.meMathNormalDistributionStandardInverse(G160)</f>
        <v>0.70630256284008919</v>
      </c>
      <c r="I160" s="3"/>
      <c r="J160" s="9">
        <f t="shared" si="14"/>
        <v>0.70630256284008919</v>
      </c>
      <c r="K160" s="17">
        <f t="shared" ca="1" si="15"/>
        <v>0</v>
      </c>
      <c r="M160" s="1">
        <v>5.1999999999999797</v>
      </c>
      <c r="N160" s="3">
        <f ca="1">_xll.meMathNormalDistribution(M160,$N$4,$N$5)</f>
        <v>0.99999990035573683</v>
      </c>
      <c r="O160" s="20">
        <f ca="1">_xll.meMathNormalDistributionPDF(M160,$N$4,$N$5)</f>
        <v>5.3610353446981852E-7</v>
      </c>
      <c r="P160" s="8" t="b">
        <f t="shared" ca="1" si="16"/>
        <v>1</v>
      </c>
      <c r="R160" s="7">
        <v>0.76000000000000056</v>
      </c>
      <c r="S160" s="3">
        <f ca="1">_xll.meMathNormalDistributionInverse(R160,$S$4,$S$5)</f>
        <v>0.70630256284008919</v>
      </c>
      <c r="T160" s="12" t="b">
        <f t="shared" ca="1" si="17"/>
        <v>1</v>
      </c>
    </row>
    <row r="161" spans="2:20" x14ac:dyDescent="0.25">
      <c r="B161" s="1">
        <v>5.2999999999999794</v>
      </c>
      <c r="C161" s="3">
        <f ca="1">_xll.meMathNormalDistributionStandard(B161)</f>
        <v>0.99999994209865961</v>
      </c>
      <c r="D161" s="20">
        <f ca="1">_xll.meMathNormalDistributionPDF(B161)</f>
        <v>3.171349216716319E-7</v>
      </c>
      <c r="G161" s="7">
        <v>0.76500000000000057</v>
      </c>
      <c r="H161" s="3">
        <f ca="1">_xll.meMathNormalDistributionStandardInverse(G161)</f>
        <v>0.7224790519280645</v>
      </c>
      <c r="I161" s="3"/>
      <c r="J161" s="9">
        <f t="shared" si="14"/>
        <v>0.72247905192806416</v>
      </c>
      <c r="K161" s="17">
        <f t="shared" ca="1" si="15"/>
        <v>0</v>
      </c>
      <c r="M161" s="1">
        <v>5.2999999999999794</v>
      </c>
      <c r="N161" s="3">
        <f ca="1">_xll.meMathNormalDistribution(M161,$N$4,$N$5)</f>
        <v>0.99999994209865961</v>
      </c>
      <c r="O161" s="20">
        <f ca="1">_xll.meMathNormalDistributionPDF(M161,$N$4,$N$5)</f>
        <v>3.171349216716319E-7</v>
      </c>
      <c r="P161" s="8" t="b">
        <f t="shared" ca="1" si="16"/>
        <v>1</v>
      </c>
      <c r="R161" s="7">
        <v>0.76500000000000057</v>
      </c>
      <c r="S161" s="3">
        <f ca="1">_xll.meMathNormalDistributionInverse(R161,$S$4,$S$5)</f>
        <v>0.7224790519280645</v>
      </c>
      <c r="T161" s="12" t="b">
        <f t="shared" ca="1" si="17"/>
        <v>1</v>
      </c>
    </row>
    <row r="162" spans="2:20" x14ac:dyDescent="0.25">
      <c r="B162" s="1">
        <v>5.399999999999979</v>
      </c>
      <c r="C162" s="3">
        <f ca="1">_xll.meMathNormalDistributionStandard(B162)</f>
        <v>0.99999996667955149</v>
      </c>
      <c r="D162" s="20">
        <f ca="1">_xll.meMathNormalDistributionPDF(B162)</f>
        <v>1.8573618445555041E-7</v>
      </c>
      <c r="G162" s="7">
        <v>0.77000000000000057</v>
      </c>
      <c r="H162" s="3">
        <f ca="1">_xll.meMathNormalDistributionStandardInverse(G162)</f>
        <v>0.73884684918521548</v>
      </c>
      <c r="I162" s="3"/>
      <c r="J162" s="9">
        <f t="shared" si="14"/>
        <v>0.73884684918521537</v>
      </c>
      <c r="K162" s="17">
        <f t="shared" ca="1" si="15"/>
        <v>0</v>
      </c>
      <c r="M162" s="1">
        <v>5.399999999999979</v>
      </c>
      <c r="N162" s="3">
        <f ca="1">_xll.meMathNormalDistribution(M162,$N$4,$N$5)</f>
        <v>0.99999996667955149</v>
      </c>
      <c r="O162" s="20">
        <f ca="1">_xll.meMathNormalDistributionPDF(M162,$N$4,$N$5)</f>
        <v>1.8573618445555041E-7</v>
      </c>
      <c r="P162" s="8" t="b">
        <f t="shared" ca="1" si="16"/>
        <v>1</v>
      </c>
      <c r="R162" s="7">
        <v>0.77000000000000057</v>
      </c>
      <c r="S162" s="3">
        <f ca="1">_xll.meMathNormalDistributionInverse(R162,$S$4,$S$5)</f>
        <v>0.73884684918521548</v>
      </c>
      <c r="T162" s="12" t="b">
        <f t="shared" ca="1" si="17"/>
        <v>1</v>
      </c>
    </row>
    <row r="163" spans="2:20" x14ac:dyDescent="0.25">
      <c r="B163" s="1">
        <v>5.4999999999999787</v>
      </c>
      <c r="C163" s="3">
        <f ca="1">_xll.meMathNormalDistributionStandard(B163)</f>
        <v>0.99999998101043752</v>
      </c>
      <c r="D163" s="20">
        <f ca="1">_xll.meMathNormalDistributionPDF(B163)</f>
        <v>1.0769760042544539E-7</v>
      </c>
      <c r="G163" s="7">
        <v>0.77500000000000058</v>
      </c>
      <c r="H163" s="3">
        <f ca="1">_xll.meMathNormalDistributionStandardInverse(G163)</f>
        <v>0.7554150263604712</v>
      </c>
      <c r="I163" s="3"/>
      <c r="J163" s="9">
        <f t="shared" si="14"/>
        <v>0.7554150263604712</v>
      </c>
      <c r="K163" s="17">
        <f t="shared" ca="1" si="15"/>
        <v>0</v>
      </c>
      <c r="M163" s="1">
        <v>5.4999999999999787</v>
      </c>
      <c r="N163" s="3">
        <f ca="1">_xll.meMathNormalDistribution(M163,$N$4,$N$5)</f>
        <v>0.99999998101043752</v>
      </c>
      <c r="O163" s="20">
        <f ca="1">_xll.meMathNormalDistributionPDF(M163,$N$4,$N$5)</f>
        <v>1.0769760042544539E-7</v>
      </c>
      <c r="P163" s="8" t="b">
        <f t="shared" ca="1" si="16"/>
        <v>1</v>
      </c>
      <c r="R163" s="7">
        <v>0.77500000000000058</v>
      </c>
      <c r="S163" s="3">
        <f ca="1">_xll.meMathNormalDistributionInverse(R163,$S$4,$S$5)</f>
        <v>0.7554150263604712</v>
      </c>
      <c r="T163" s="12" t="b">
        <f t="shared" ca="1" si="17"/>
        <v>1</v>
      </c>
    </row>
    <row r="164" spans="2:20" x14ac:dyDescent="0.25">
      <c r="B164" s="1">
        <v>5.5999999999999783</v>
      </c>
      <c r="C164" s="3">
        <f ca="1">_xll.meMathNormalDistributionStandard(B164)</f>
        <v>0.99999998928240974</v>
      </c>
      <c r="D164" s="20">
        <f ca="1">_xll.meMathNormalDistributionPDF(B164)</f>
        <v>6.1826205001665932E-8</v>
      </c>
      <c r="G164" s="7">
        <v>0.78000000000000058</v>
      </c>
      <c r="H164" s="3">
        <f ca="1">_xll.meMathNormalDistributionStandardInverse(G164)</f>
        <v>0.77219321418868658</v>
      </c>
      <c r="I164" s="3"/>
      <c r="J164" s="9">
        <f t="shared" si="14"/>
        <v>0.77219321418868669</v>
      </c>
      <c r="K164" s="17">
        <f t="shared" ca="1" si="15"/>
        <v>0</v>
      </c>
      <c r="M164" s="1">
        <v>5.5999999999999783</v>
      </c>
      <c r="N164" s="3">
        <f ca="1">_xll.meMathNormalDistribution(M164,$N$4,$N$5)</f>
        <v>0.99999998928240974</v>
      </c>
      <c r="O164" s="20">
        <f ca="1">_xll.meMathNormalDistributionPDF(M164,$N$4,$N$5)</f>
        <v>6.1826205001665932E-8</v>
      </c>
      <c r="P164" s="8" t="b">
        <f t="shared" ca="1" si="16"/>
        <v>1</v>
      </c>
      <c r="R164" s="7">
        <v>0.78000000000000058</v>
      </c>
      <c r="S164" s="3">
        <f ca="1">_xll.meMathNormalDistributionInverse(R164,$S$4,$S$5)</f>
        <v>0.77219321418868658</v>
      </c>
      <c r="T164" s="12" t="b">
        <f t="shared" ca="1" si="17"/>
        <v>1</v>
      </c>
    </row>
    <row r="165" spans="2:20" x14ac:dyDescent="0.25">
      <c r="B165" s="1">
        <v>5.699999999999978</v>
      </c>
      <c r="C165" s="3">
        <f ca="1">_xll.meMathNormalDistributionStandard(B165)</f>
        <v>0.99999999400962858</v>
      </c>
      <c r="D165" s="20">
        <f ca="1">_xll.meMathNormalDistributionPDF(B165)</f>
        <v>3.5139550948208834E-8</v>
      </c>
      <c r="G165" s="7">
        <v>0.78500000000000059</v>
      </c>
      <c r="H165" s="3">
        <f ca="1">_xll.meMathNormalDistributionStandardInverse(G165)</f>
        <v>0.78919165265822433</v>
      </c>
      <c r="I165" s="3"/>
      <c r="J165" s="9">
        <f t="shared" si="14"/>
        <v>0.78919165265822455</v>
      </c>
      <c r="K165" s="17">
        <f t="shared" ca="1" si="15"/>
        <v>0</v>
      </c>
      <c r="M165" s="1">
        <v>5.699999999999978</v>
      </c>
      <c r="N165" s="3">
        <f ca="1">_xll.meMathNormalDistribution(M165,$N$4,$N$5)</f>
        <v>0.99999999400962858</v>
      </c>
      <c r="O165" s="20">
        <f ca="1">_xll.meMathNormalDistributionPDF(M165,$N$4,$N$5)</f>
        <v>3.5139550948208834E-8</v>
      </c>
      <c r="P165" s="8" t="b">
        <f t="shared" ca="1" si="16"/>
        <v>1</v>
      </c>
      <c r="R165" s="7">
        <v>0.78500000000000059</v>
      </c>
      <c r="S165" s="3">
        <f ca="1">_xll.meMathNormalDistributionInverse(R165,$S$4,$S$5)</f>
        <v>0.78919165265822433</v>
      </c>
      <c r="T165" s="12" t="b">
        <f t="shared" ca="1" si="17"/>
        <v>1</v>
      </c>
    </row>
    <row r="166" spans="2:20" x14ac:dyDescent="0.25">
      <c r="B166" s="1">
        <v>5.7999999999999776</v>
      </c>
      <c r="C166" s="3">
        <f ca="1">_xll.meMathNormalDistributionStandard(B166)</f>
        <v>0.99999999668425399</v>
      </c>
      <c r="D166" s="20">
        <f ca="1">_xll.meMathNormalDistributionPDF(B166)</f>
        <v>1.9773196406247269E-8</v>
      </c>
      <c r="G166" s="7">
        <v>0.79000000000000059</v>
      </c>
      <c r="H166" s="3">
        <f ca="1">_xll.meMathNormalDistributionStandardInverse(G166)</f>
        <v>0.80642124701824203</v>
      </c>
      <c r="I166" s="3"/>
      <c r="J166" s="9">
        <f t="shared" si="14"/>
        <v>0.80642124701824247</v>
      </c>
      <c r="K166" s="17">
        <f t="shared" ca="1" si="15"/>
        <v>0</v>
      </c>
      <c r="M166" s="1">
        <v>5.7999999999999776</v>
      </c>
      <c r="N166" s="3">
        <f ca="1">_xll.meMathNormalDistribution(M166,$N$4,$N$5)</f>
        <v>0.99999999668425399</v>
      </c>
      <c r="O166" s="20">
        <f ca="1">_xll.meMathNormalDistributionPDF(M166,$N$4,$N$5)</f>
        <v>1.9773196406247269E-8</v>
      </c>
      <c r="P166" s="8" t="b">
        <f t="shared" ca="1" si="16"/>
        <v>1</v>
      </c>
      <c r="R166" s="7">
        <v>0.79000000000000059</v>
      </c>
      <c r="S166" s="3">
        <f ca="1">_xll.meMathNormalDistributionInverse(R166,$S$4,$S$5)</f>
        <v>0.80642124701824203</v>
      </c>
      <c r="T166" s="12" t="b">
        <f t="shared" ca="1" si="17"/>
        <v>1</v>
      </c>
    </row>
    <row r="167" spans="2:20" x14ac:dyDescent="0.25">
      <c r="B167" s="1">
        <v>5.8999999999999773</v>
      </c>
      <c r="C167" s="3">
        <f ca="1">_xll.meMathNormalDistributionStandard(B167)</f>
        <v>0.99999999818249219</v>
      </c>
      <c r="D167" s="20">
        <f ca="1">_xll.meMathNormalDistributionPDF(B167)</f>
        <v>1.1015763624683796E-8</v>
      </c>
      <c r="G167" s="7">
        <v>0.7950000000000006</v>
      </c>
      <c r="H167" s="3">
        <f ca="1">_xll.meMathNormalDistributionStandardInverse(G167)</f>
        <v>0.82389363033855956</v>
      </c>
      <c r="I167" s="3"/>
      <c r="J167" s="9">
        <f t="shared" si="14"/>
        <v>0.82389363033855911</v>
      </c>
      <c r="K167" s="17">
        <f t="shared" ca="1" si="15"/>
        <v>0</v>
      </c>
      <c r="M167" s="1">
        <v>5.8999999999999773</v>
      </c>
      <c r="N167" s="3">
        <f ca="1">_xll.meMathNormalDistribution(M167,$N$4,$N$5)</f>
        <v>0.99999999818249219</v>
      </c>
      <c r="O167" s="20">
        <f ca="1">_xll.meMathNormalDistributionPDF(M167,$N$4,$N$5)</f>
        <v>1.1015763624683796E-8</v>
      </c>
      <c r="P167" s="8" t="b">
        <f t="shared" ca="1" si="16"/>
        <v>1</v>
      </c>
      <c r="R167" s="7">
        <v>0.7950000000000006</v>
      </c>
      <c r="S167" s="3">
        <f ca="1">_xll.meMathNormalDistributionInverse(R167,$S$4,$S$5)</f>
        <v>0.82389363033855956</v>
      </c>
      <c r="T167" s="12" t="b">
        <f t="shared" ca="1" si="17"/>
        <v>1</v>
      </c>
    </row>
    <row r="168" spans="2:20" x14ac:dyDescent="0.25">
      <c r="B168" s="1">
        <v>5.9999999999999769</v>
      </c>
      <c r="C168" s="3">
        <f ca="1">_xll.meMathNormalDistributionStandard(B168)</f>
        <v>0.9999999990134123</v>
      </c>
      <c r="D168" s="20">
        <f ca="1">_xll.meMathNormalDistributionPDF(B168)</f>
        <v>6.0758828498241282E-9</v>
      </c>
      <c r="G168" s="7">
        <v>0.8000000000000006</v>
      </c>
      <c r="H168" s="3">
        <f ca="1">_xll.meMathNormalDistributionStandardInverse(G168)</f>
        <v>0.84162123357291629</v>
      </c>
      <c r="I168" s="3"/>
      <c r="J168" s="9">
        <f t="shared" si="14"/>
        <v>0.84162123357291629</v>
      </c>
      <c r="K168" s="17">
        <f t="shared" ca="1" si="15"/>
        <v>0</v>
      </c>
      <c r="M168" s="1">
        <v>5.9999999999999769</v>
      </c>
      <c r="N168" s="3">
        <f ca="1">_xll.meMathNormalDistribution(M168,$N$4,$N$5)</f>
        <v>0.9999999990134123</v>
      </c>
      <c r="O168" s="20">
        <f ca="1">_xll.meMathNormalDistributionPDF(M168,$N$4,$N$5)</f>
        <v>6.0758828498241282E-9</v>
      </c>
      <c r="P168" s="8" t="b">
        <f t="shared" ca="1" si="16"/>
        <v>1</v>
      </c>
      <c r="R168" s="7">
        <v>0.8000000000000006</v>
      </c>
      <c r="S168" s="3">
        <f ca="1">_xll.meMathNormalDistributionInverse(R168,$S$4,$S$5)</f>
        <v>0.84162123357291629</v>
      </c>
      <c r="T168" s="12" t="b">
        <f t="shared" ca="1" si="17"/>
        <v>1</v>
      </c>
    </row>
    <row r="169" spans="2:20" x14ac:dyDescent="0.25">
      <c r="B169" s="1">
        <v>6.0999999999999766</v>
      </c>
      <c r="C169" s="3">
        <f ca="1">_xll.meMathNormalDistributionStandard(B169)</f>
        <v>0.99999999946965767</v>
      </c>
      <c r="D169" s="20">
        <f ca="1">_xll.meMathNormalDistributionPDF(B169)</f>
        <v>3.3178842435477648E-9</v>
      </c>
      <c r="G169" s="7">
        <v>0.8050000000000006</v>
      </c>
      <c r="H169" s="3">
        <f ca="1">_xll.meMathNormalDistributionStandardInverse(G169)</f>
        <v>0.85961736424191382</v>
      </c>
      <c r="I169" s="3"/>
      <c r="J169" s="9">
        <f t="shared" ref="J169:J200" si="18">NORMSINV(G169)</f>
        <v>0.85961736424191304</v>
      </c>
      <c r="K169" s="17">
        <f t="shared" ref="K169:K200" ca="1" si="19">H169-J169</f>
        <v>0</v>
      </c>
      <c r="M169" s="1">
        <v>6.0999999999999766</v>
      </c>
      <c r="N169" s="3">
        <f ca="1">_xll.meMathNormalDistribution(M169,$N$4,$N$5)</f>
        <v>0.99999999946965767</v>
      </c>
      <c r="O169" s="20">
        <f ca="1">_xll.meMathNormalDistributionPDF(M169,$N$4,$N$5)</f>
        <v>3.3178842435477648E-9</v>
      </c>
      <c r="P169" s="8" t="b">
        <f t="shared" ca="1" si="16"/>
        <v>1</v>
      </c>
      <c r="R169" s="7">
        <v>0.8050000000000006</v>
      </c>
      <c r="S169" s="3">
        <f ca="1">_xll.meMathNormalDistributionInverse(R169,$S$4,$S$5)</f>
        <v>0.85961736424191382</v>
      </c>
      <c r="T169" s="12" t="b">
        <f t="shared" ca="1" si="17"/>
        <v>1</v>
      </c>
    </row>
    <row r="170" spans="2:20" x14ac:dyDescent="0.25">
      <c r="B170" s="1">
        <v>6.1999999999999762</v>
      </c>
      <c r="C170" s="3">
        <f ca="1">_xll.meMathNormalDistributionStandard(B170)</f>
        <v>0.99999999971768416</v>
      </c>
      <c r="D170" s="20">
        <f ca="1">_xll.meMathNormalDistributionPDF(B170)</f>
        <v>1.793783907964347E-9</v>
      </c>
      <c r="G170" s="7">
        <v>0.81000000000000061</v>
      </c>
      <c r="H170" s="3">
        <f ca="1">_xll.meMathNormalDistributionStandardInverse(G170)</f>
        <v>0.8778962950512309</v>
      </c>
      <c r="I170" s="3"/>
      <c r="J170" s="9">
        <f t="shared" si="18"/>
        <v>0.87789629505123135</v>
      </c>
      <c r="K170" s="17">
        <f t="shared" ca="1" si="19"/>
        <v>0</v>
      </c>
      <c r="M170" s="1">
        <v>6.1999999999999762</v>
      </c>
      <c r="N170" s="3">
        <f ca="1">_xll.meMathNormalDistribution(M170,$N$4,$N$5)</f>
        <v>0.99999999971768416</v>
      </c>
      <c r="O170" s="20">
        <f ca="1">_xll.meMathNormalDistributionPDF(M170,$N$4,$N$5)</f>
        <v>1.793783907964347E-9</v>
      </c>
      <c r="P170" s="8" t="b">
        <f t="shared" ca="1" si="16"/>
        <v>1</v>
      </c>
      <c r="R170" s="7">
        <v>0.81000000000000061</v>
      </c>
      <c r="S170" s="3">
        <f ca="1">_xll.meMathNormalDistributionInverse(R170,$S$4,$S$5)</f>
        <v>0.8778962950512309</v>
      </c>
      <c r="T170" s="12" t="b">
        <f t="shared" ca="1" si="17"/>
        <v>1</v>
      </c>
    </row>
    <row r="171" spans="2:20" x14ac:dyDescent="0.25">
      <c r="B171" s="1">
        <v>6.2999999999999758</v>
      </c>
      <c r="C171" s="3">
        <f ca="1">_xll.meMathNormalDistributionStandard(B171)</f>
        <v>0.99999999985117716</v>
      </c>
      <c r="D171" s="20">
        <f ca="1">_xll.meMathNormalDistributionPDF(B171)</f>
        <v>9.6014333703138025E-10</v>
      </c>
      <c r="G171" s="7">
        <v>0.81500000000000061</v>
      </c>
      <c r="H171" s="3">
        <f ca="1">_xll.meMathNormalDistributionStandardInverse(G171)</f>
        <v>0.89647336400191846</v>
      </c>
      <c r="I171" s="3"/>
      <c r="J171" s="9">
        <f t="shared" si="18"/>
        <v>0.89647336400191857</v>
      </c>
      <c r="K171" s="17">
        <f t="shared" ca="1" si="19"/>
        <v>0</v>
      </c>
      <c r="M171" s="1">
        <v>6.2999999999999758</v>
      </c>
      <c r="N171" s="3">
        <f ca="1">_xll.meMathNormalDistribution(M171,$N$4,$N$5)</f>
        <v>0.99999999985117716</v>
      </c>
      <c r="O171" s="20">
        <f ca="1">_xll.meMathNormalDistributionPDF(M171,$N$4,$N$5)</f>
        <v>9.6014333703138025E-10</v>
      </c>
      <c r="P171" s="8" t="b">
        <f t="shared" ca="1" si="16"/>
        <v>1</v>
      </c>
      <c r="R171" s="7">
        <v>0.81500000000000061</v>
      </c>
      <c r="S171" s="3">
        <f ca="1">_xll.meMathNormalDistributionInverse(R171,$S$4,$S$5)</f>
        <v>0.89647336400191846</v>
      </c>
      <c r="T171" s="12" t="b">
        <f t="shared" ca="1" si="17"/>
        <v>1</v>
      </c>
    </row>
    <row r="172" spans="2:20" x14ac:dyDescent="0.25">
      <c r="B172" s="1">
        <v>6.3999999999999755</v>
      </c>
      <c r="C172" s="3">
        <f ca="1">_xll.meMathNormalDistributionStandard(B172)</f>
        <v>0.99999999992231148</v>
      </c>
      <c r="D172" s="20">
        <f ca="1">_xll.meMathNormalDistributionPDF(B172)</f>
        <v>5.0881402816458526E-10</v>
      </c>
      <c r="G172" s="7">
        <v>0.82000000000000062</v>
      </c>
      <c r="H172" s="3">
        <f ca="1">_xll.meMathNormalDistributionStandardInverse(G172)</f>
        <v>0.91536508784281645</v>
      </c>
      <c r="I172" s="3"/>
      <c r="J172" s="9">
        <f t="shared" si="18"/>
        <v>0.91536508784281612</v>
      </c>
      <c r="K172" s="17">
        <f t="shared" ca="1" si="19"/>
        <v>0</v>
      </c>
      <c r="M172" s="1">
        <v>6.3999999999999755</v>
      </c>
      <c r="N172" s="3">
        <f ca="1">_xll.meMathNormalDistribution(M172,$N$4,$N$5)</f>
        <v>0.99999999992231148</v>
      </c>
      <c r="O172" s="20">
        <f ca="1">_xll.meMathNormalDistributionPDF(M172,$N$4,$N$5)</f>
        <v>5.0881402816458526E-10</v>
      </c>
      <c r="P172" s="8" t="b">
        <f t="shared" ca="1" si="16"/>
        <v>1</v>
      </c>
      <c r="R172" s="7">
        <v>0.82000000000000062</v>
      </c>
      <c r="S172" s="3">
        <f ca="1">_xll.meMathNormalDistributionInverse(R172,$S$4,$S$5)</f>
        <v>0.91536508784281645</v>
      </c>
      <c r="T172" s="12" t="b">
        <f t="shared" ca="1" si="17"/>
        <v>1</v>
      </c>
    </row>
    <row r="173" spans="2:20" x14ac:dyDescent="0.25">
      <c r="B173" s="1">
        <v>6.4999999999999751</v>
      </c>
      <c r="C173" s="3">
        <f ca="1">_xll.meMathNormalDistributionStandard(B173)</f>
        <v>0.99999999995984001</v>
      </c>
      <c r="D173" s="20">
        <f ca="1">_xll.meMathNormalDistributionPDF(B173)</f>
        <v>2.669556614763279E-10</v>
      </c>
      <c r="G173" s="7">
        <v>0.82500000000000062</v>
      </c>
      <c r="H173" s="3">
        <f ca="1">_xll.meMathNormalDistributionStandardInverse(G173)</f>
        <v>0.93458929107348265</v>
      </c>
      <c r="I173" s="3"/>
      <c r="J173" s="9">
        <f t="shared" si="18"/>
        <v>0.9345892910734831</v>
      </c>
      <c r="K173" s="17">
        <f t="shared" ca="1" si="19"/>
        <v>0</v>
      </c>
      <c r="M173" s="1">
        <v>6.4999999999999751</v>
      </c>
      <c r="N173" s="3">
        <f ca="1">_xll.meMathNormalDistribution(M173,$N$4,$N$5)</f>
        <v>0.99999999995984001</v>
      </c>
      <c r="O173" s="20">
        <f ca="1">_xll.meMathNormalDistributionPDF(M173,$N$4,$N$5)</f>
        <v>2.669556614763279E-10</v>
      </c>
      <c r="P173" s="8" t="b">
        <f t="shared" ca="1" si="16"/>
        <v>1</v>
      </c>
      <c r="R173" s="7">
        <v>0.82500000000000062</v>
      </c>
      <c r="S173" s="3">
        <f ca="1">_xll.meMathNormalDistributionInverse(R173,$S$4,$S$5)</f>
        <v>0.93458929107348265</v>
      </c>
      <c r="T173" s="12" t="b">
        <f t="shared" ca="1" si="17"/>
        <v>1</v>
      </c>
    </row>
    <row r="174" spans="2:20" x14ac:dyDescent="0.25">
      <c r="B174" s="1">
        <v>6.5999999999999748</v>
      </c>
      <c r="C174" s="3">
        <f ca="1">_xll.meMathNormalDistributionStandard(B174)</f>
        <v>0.99999999997944211</v>
      </c>
      <c r="D174" s="20">
        <f ca="1">_xll.meMathNormalDistributionPDF(B174)</f>
        <v>1.3866799941655437E-10</v>
      </c>
      <c r="G174" s="7">
        <v>0.83000000000000063</v>
      </c>
      <c r="H174" s="3">
        <f ca="1">_xll.meMathNormalDistributionStandardInverse(G174)</f>
        <v>0.95416525314619705</v>
      </c>
      <c r="I174" s="3"/>
      <c r="J174" s="9">
        <f t="shared" si="18"/>
        <v>0.9541652531461956</v>
      </c>
      <c r="K174" s="17">
        <f t="shared" ca="1" si="19"/>
        <v>1.4432899320127035E-15</v>
      </c>
      <c r="M174" s="1">
        <v>6.5999999999999748</v>
      </c>
      <c r="N174" s="3">
        <f ca="1">_xll.meMathNormalDistribution(M174,$N$4,$N$5)</f>
        <v>0.99999999997944211</v>
      </c>
      <c r="O174" s="20">
        <f ca="1">_xll.meMathNormalDistributionPDF(M174,$N$4,$N$5)</f>
        <v>1.3866799941655437E-10</v>
      </c>
      <c r="P174" s="8" t="b">
        <f t="shared" ca="1" si="16"/>
        <v>1</v>
      </c>
      <c r="R174" s="7">
        <v>0.83000000000000063</v>
      </c>
      <c r="S174" s="3">
        <f ca="1">_xll.meMathNormalDistributionInverse(R174,$S$4,$S$5)</f>
        <v>0.95416525314619705</v>
      </c>
      <c r="T174" s="12" t="b">
        <f t="shared" ca="1" si="17"/>
        <v>1</v>
      </c>
    </row>
    <row r="175" spans="2:20" x14ac:dyDescent="0.25">
      <c r="B175" s="1">
        <v>6.6999999999999744</v>
      </c>
      <c r="C175" s="3">
        <f ca="1">_xll.meMathNormalDistributionStandard(B175)</f>
        <v>0.999999999989579</v>
      </c>
      <c r="D175" s="20">
        <f ca="1">_xll.meMathNormalDistributionPDF(B175)</f>
        <v>7.1313281239972913E-11</v>
      </c>
      <c r="G175" s="7">
        <v>0.83500000000000063</v>
      </c>
      <c r="H175" s="3">
        <f ca="1">_xll.meMathNormalDistributionStandardInverse(G175)</f>
        <v>0.97411387705931185</v>
      </c>
      <c r="I175" s="3"/>
      <c r="J175" s="9">
        <f t="shared" si="18"/>
        <v>0.97411387705931207</v>
      </c>
      <c r="K175" s="17">
        <f t="shared" ca="1" si="19"/>
        <v>0</v>
      </c>
      <c r="M175" s="1">
        <v>6.6999999999999744</v>
      </c>
      <c r="N175" s="3">
        <f ca="1">_xll.meMathNormalDistribution(M175,$N$4,$N$5)</f>
        <v>0.999999999989579</v>
      </c>
      <c r="O175" s="20">
        <f ca="1">_xll.meMathNormalDistributionPDF(M175,$N$4,$N$5)</f>
        <v>7.1313281239972913E-11</v>
      </c>
      <c r="P175" s="8" t="b">
        <f t="shared" ca="1" si="16"/>
        <v>1</v>
      </c>
      <c r="R175" s="7">
        <v>0.83500000000000063</v>
      </c>
      <c r="S175" s="3">
        <f ca="1">_xll.meMathNormalDistributionInverse(R175,$S$4,$S$5)</f>
        <v>0.97411387705931185</v>
      </c>
      <c r="T175" s="12" t="b">
        <f t="shared" ca="1" si="17"/>
        <v>1</v>
      </c>
    </row>
    <row r="176" spans="2:20" x14ac:dyDescent="0.25">
      <c r="B176" s="1">
        <v>6.7999999999999741</v>
      </c>
      <c r="C176" s="3">
        <f ca="1">_xll.meMathNormalDistributionStandard(B176)</f>
        <v>0.99999999999476907</v>
      </c>
      <c r="D176" s="20">
        <f ca="1">_xll.meMathNormalDistributionPDF(B176)</f>
        <v>3.6309615017924331E-11</v>
      </c>
      <c r="G176" s="7">
        <v>0.84000000000000064</v>
      </c>
      <c r="H176" s="3">
        <f ca="1">_xll.meMathNormalDistributionStandardInverse(G176)</f>
        <v>0.99445788320975581</v>
      </c>
      <c r="I176" s="3"/>
      <c r="J176" s="9">
        <f t="shared" si="18"/>
        <v>0.99445788320975548</v>
      </c>
      <c r="K176" s="17">
        <f t="shared" ca="1" si="19"/>
        <v>0</v>
      </c>
      <c r="M176" s="1">
        <v>6.7999999999999741</v>
      </c>
      <c r="N176" s="3">
        <f ca="1">_xll.meMathNormalDistribution(M176,$N$4,$N$5)</f>
        <v>0.99999999999476907</v>
      </c>
      <c r="O176" s="20">
        <f ca="1">_xll.meMathNormalDistributionPDF(M176,$N$4,$N$5)</f>
        <v>3.6309615017924331E-11</v>
      </c>
      <c r="P176" s="8" t="b">
        <f t="shared" ca="1" si="16"/>
        <v>1</v>
      </c>
      <c r="R176" s="7">
        <v>0.84000000000000064</v>
      </c>
      <c r="S176" s="3">
        <f ca="1">_xll.meMathNormalDistributionInverse(R176,$S$4,$S$5)</f>
        <v>0.99445788320975581</v>
      </c>
      <c r="T176" s="12" t="b">
        <f t="shared" ca="1" si="17"/>
        <v>1</v>
      </c>
    </row>
    <row r="177" spans="2:20" x14ac:dyDescent="0.25">
      <c r="B177" s="1">
        <v>6.8999999999999737</v>
      </c>
      <c r="C177" s="3">
        <f ca="1">_xll.meMathNormalDistributionStandard(B177)</f>
        <v>0.99999999999739986</v>
      </c>
      <c r="D177" s="20">
        <f ca="1">_xll.meMathNormalDistributionPDF(B177)</f>
        <v>1.8303322170159097E-11</v>
      </c>
      <c r="G177" s="7">
        <v>0.84500000000000064</v>
      </c>
      <c r="H177" s="3">
        <f ca="1">_xll.meMathNormalDistributionStandardInverse(G177)</f>
        <v>1.0152220332170308</v>
      </c>
      <c r="I177" s="3"/>
      <c r="J177" s="9">
        <f t="shared" si="18"/>
        <v>1.0152220332170299</v>
      </c>
      <c r="K177" s="17">
        <f t="shared" ca="1" si="19"/>
        <v>0</v>
      </c>
      <c r="M177" s="1">
        <v>6.8999999999999737</v>
      </c>
      <c r="N177" s="3">
        <f ca="1">_xll.meMathNormalDistribution(M177,$N$4,$N$5)</f>
        <v>0.99999999999739986</v>
      </c>
      <c r="O177" s="20">
        <f ca="1">_xll.meMathNormalDistributionPDF(M177,$N$4,$N$5)</f>
        <v>1.8303322170159097E-11</v>
      </c>
      <c r="P177" s="8" t="b">
        <f t="shared" ca="1" si="16"/>
        <v>1</v>
      </c>
      <c r="R177" s="7">
        <v>0.84500000000000064</v>
      </c>
      <c r="S177" s="3">
        <f ca="1">_xll.meMathNormalDistributionInverse(R177,$S$4,$S$5)</f>
        <v>1.0152220332170308</v>
      </c>
      <c r="T177" s="12" t="b">
        <f t="shared" ca="1" si="17"/>
        <v>1</v>
      </c>
    </row>
    <row r="178" spans="2:20" x14ac:dyDescent="0.25">
      <c r="B178" s="1">
        <v>6.9999999999999734</v>
      </c>
      <c r="C178" s="3">
        <f ca="1">_xll.meMathNormalDistributionStandard(B178)</f>
        <v>0.99999999999872013</v>
      </c>
      <c r="D178" s="20">
        <f ca="1">_xll.meMathNormalDistributionPDF(B178)</f>
        <v>9.1347204083662819E-12</v>
      </c>
      <c r="G178" s="7">
        <v>0.85000000000000064</v>
      </c>
      <c r="H178" s="3">
        <f ca="1">_xll.meMathNormalDistributionStandardInverse(G178)</f>
        <v>1.036433389493792</v>
      </c>
      <c r="I178" s="3"/>
      <c r="J178" s="9">
        <f t="shared" si="18"/>
        <v>1.0364333894937909</v>
      </c>
      <c r="K178" s="17">
        <f t="shared" ca="1" si="19"/>
        <v>0</v>
      </c>
      <c r="M178" s="1">
        <v>6.9999999999999734</v>
      </c>
      <c r="N178" s="3">
        <f ca="1">_xll.meMathNormalDistribution(M178,$N$4,$N$5)</f>
        <v>0.99999999999872013</v>
      </c>
      <c r="O178" s="20">
        <f ca="1">_xll.meMathNormalDistributionPDF(M178,$N$4,$N$5)</f>
        <v>9.1347204083662819E-12</v>
      </c>
      <c r="P178" s="8" t="b">
        <f t="shared" ca="1" si="16"/>
        <v>1</v>
      </c>
      <c r="R178" s="7">
        <v>0.85000000000000064</v>
      </c>
      <c r="S178" s="3">
        <f ca="1">_xll.meMathNormalDistributionInverse(R178,$S$4,$S$5)</f>
        <v>1.036433389493792</v>
      </c>
      <c r="T178" s="12" t="b">
        <f t="shared" ca="1" si="17"/>
        <v>1</v>
      </c>
    </row>
    <row r="179" spans="2:20" x14ac:dyDescent="0.25">
      <c r="B179" s="1">
        <v>7.099999999999973</v>
      </c>
      <c r="C179" s="3">
        <f ca="1">_xll.meMathNormalDistributionStandard(B179)</f>
        <v>0.99999999999937617</v>
      </c>
      <c r="D179" s="20">
        <f ca="1">_xll.meMathNormalDistributionPDF(B179)</f>
        <v>4.5135436772063672E-12</v>
      </c>
      <c r="G179" s="7">
        <v>0.85500000000000065</v>
      </c>
      <c r="H179" s="3">
        <f ca="1">_xll.meMathNormalDistributionStandardInverse(G179)</f>
        <v>1.0581216176847796</v>
      </c>
      <c r="I179" s="3"/>
      <c r="J179" s="9">
        <f t="shared" si="18"/>
        <v>1.0581216176847796</v>
      </c>
      <c r="K179" s="17">
        <f t="shared" ca="1" si="19"/>
        <v>0</v>
      </c>
      <c r="M179" s="1">
        <v>7.099999999999973</v>
      </c>
      <c r="N179" s="3">
        <f ca="1">_xll.meMathNormalDistribution(M179,$N$4,$N$5)</f>
        <v>0.99999999999937617</v>
      </c>
      <c r="O179" s="20">
        <f ca="1">_xll.meMathNormalDistributionPDF(M179,$N$4,$N$5)</f>
        <v>4.5135436772063672E-12</v>
      </c>
      <c r="P179" s="8" t="b">
        <f t="shared" ca="1" si="16"/>
        <v>1</v>
      </c>
      <c r="R179" s="7">
        <v>0.85500000000000065</v>
      </c>
      <c r="S179" s="3">
        <f ca="1">_xll.meMathNormalDistributionInverse(R179,$S$4,$S$5)</f>
        <v>1.0581216176847796</v>
      </c>
      <c r="T179" s="12" t="b">
        <f t="shared" ca="1" si="17"/>
        <v>1</v>
      </c>
    </row>
    <row r="180" spans="2:20" x14ac:dyDescent="0.25">
      <c r="B180" s="1">
        <v>7.1999999999999726</v>
      </c>
      <c r="C180" s="3">
        <f ca="1">_xll.meMathNormalDistributionStandard(B180)</f>
        <v>0.99999999999969891</v>
      </c>
      <c r="D180" s="20">
        <f ca="1">_xll.meMathNormalDistributionPDF(B180)</f>
        <v>2.2079899631375787E-12</v>
      </c>
      <c r="G180" s="7">
        <v>0.86000000000000065</v>
      </c>
      <c r="H180" s="3">
        <f ca="1">_xll.meMathNormalDistributionStandardInverse(G180)</f>
        <v>1.080319340814959</v>
      </c>
      <c r="I180" s="3"/>
      <c r="J180" s="9">
        <f t="shared" si="18"/>
        <v>1.0803193408149592</v>
      </c>
      <c r="K180" s="17">
        <f t="shared" ca="1" si="19"/>
        <v>0</v>
      </c>
      <c r="M180" s="1">
        <v>7.1999999999999726</v>
      </c>
      <c r="N180" s="3">
        <f ca="1">_xll.meMathNormalDistribution(M180,$N$4,$N$5)</f>
        <v>0.99999999999969891</v>
      </c>
      <c r="O180" s="20">
        <f ca="1">_xll.meMathNormalDistributionPDF(M180,$N$4,$N$5)</f>
        <v>2.2079899631375787E-12</v>
      </c>
      <c r="P180" s="8" t="b">
        <f t="shared" ca="1" si="16"/>
        <v>1</v>
      </c>
      <c r="R180" s="7">
        <v>0.86000000000000065</v>
      </c>
      <c r="S180" s="3">
        <f ca="1">_xll.meMathNormalDistributionInverse(R180,$S$4,$S$5)</f>
        <v>1.080319340814959</v>
      </c>
      <c r="T180" s="12" t="b">
        <f t="shared" ca="1" si="17"/>
        <v>1</v>
      </c>
    </row>
    <row r="181" spans="2:20" x14ac:dyDescent="0.25">
      <c r="B181" s="1">
        <v>7.2999999999999723</v>
      </c>
      <c r="C181" s="3">
        <f ca="1">_xll.meMathNormalDistributionStandard(B181)</f>
        <v>0.99999999999985612</v>
      </c>
      <c r="D181" s="20">
        <f ca="1">_xll.meMathNormalDistributionPDF(B181)</f>
        <v>1.0693837871543805E-12</v>
      </c>
      <c r="G181" s="7">
        <v>0.86500000000000066</v>
      </c>
      <c r="H181" s="3">
        <f ca="1">_xll.meMathNormalDistributionStandardInverse(G181)</f>
        <v>1.1030625561996004</v>
      </c>
      <c r="I181" s="3"/>
      <c r="J181" s="9">
        <f t="shared" si="18"/>
        <v>1.103062556199601</v>
      </c>
      <c r="K181" s="17">
        <f t="shared" ca="1" si="19"/>
        <v>0</v>
      </c>
      <c r="M181" s="1">
        <v>7.2999999999999723</v>
      </c>
      <c r="N181" s="3">
        <f ca="1">_xll.meMathNormalDistribution(M181,$N$4,$N$5)</f>
        <v>0.99999999999985612</v>
      </c>
      <c r="O181" s="20">
        <f ca="1">_xll.meMathNormalDistributionPDF(M181,$N$4,$N$5)</f>
        <v>1.0693837871543805E-12</v>
      </c>
      <c r="P181" s="8" t="b">
        <f t="shared" ca="1" si="16"/>
        <v>1</v>
      </c>
      <c r="R181" s="7">
        <v>0.86500000000000066</v>
      </c>
      <c r="S181" s="3">
        <f ca="1">_xll.meMathNormalDistributionInverse(R181,$S$4,$S$5)</f>
        <v>1.1030625561996004</v>
      </c>
      <c r="T181" s="12" t="b">
        <f t="shared" ca="1" si="17"/>
        <v>1</v>
      </c>
    </row>
    <row r="182" spans="2:20" x14ac:dyDescent="0.25">
      <c r="B182" s="1">
        <v>7.3999999999999719</v>
      </c>
      <c r="C182" s="3">
        <f ca="1">_xll.meMathNormalDistributionStandard(B182)</f>
        <v>0.99999999999993194</v>
      </c>
      <c r="D182" s="20">
        <f ca="1">_xll.meMathNormalDistributionPDF(B182)</f>
        <v>5.1277536367977383E-13</v>
      </c>
      <c r="G182" s="7">
        <v>0.87000000000000066</v>
      </c>
      <c r="H182" s="3">
        <f ca="1">_xll.meMathNormalDistributionStandardInverse(G182)</f>
        <v>1.1263911290388036</v>
      </c>
      <c r="I182" s="3"/>
      <c r="J182" s="9">
        <f t="shared" si="18"/>
        <v>1.126391129038804</v>
      </c>
      <c r="K182" s="17">
        <f t="shared" ca="1" si="19"/>
        <v>0</v>
      </c>
      <c r="M182" s="1">
        <v>7.3999999999999719</v>
      </c>
      <c r="N182" s="3">
        <f ca="1">_xll.meMathNormalDistribution(M182,$N$4,$N$5)</f>
        <v>0.99999999999993194</v>
      </c>
      <c r="O182" s="20">
        <f ca="1">_xll.meMathNormalDistributionPDF(M182,$N$4,$N$5)</f>
        <v>5.1277536367977383E-13</v>
      </c>
      <c r="P182" s="8" t="b">
        <f t="shared" ca="1" si="16"/>
        <v>1</v>
      </c>
      <c r="R182" s="7">
        <v>0.87000000000000066</v>
      </c>
      <c r="S182" s="3">
        <f ca="1">_xll.meMathNormalDistributionInverse(R182,$S$4,$S$5)</f>
        <v>1.1263911290388036</v>
      </c>
      <c r="T182" s="12" t="b">
        <f t="shared" ca="1" si="17"/>
        <v>1</v>
      </c>
    </row>
    <row r="183" spans="2:20" x14ac:dyDescent="0.25">
      <c r="B183" s="1">
        <v>7.4999999999999716</v>
      </c>
      <c r="C183" s="3">
        <f ca="1">_xll.meMathNormalDistributionStandard(B183)</f>
        <v>0.99999999999996814</v>
      </c>
      <c r="D183" s="20">
        <f ca="1">_xll.meMathNormalDistributionPDF(B183)</f>
        <v>2.4343205330295291E-13</v>
      </c>
      <c r="G183" s="7">
        <v>0.87500000000000067</v>
      </c>
      <c r="H183" s="3">
        <f ca="1">_xll.meMathNormalDistributionStandardInverse(G183)</f>
        <v>1.1503493803760112</v>
      </c>
      <c r="I183" s="3"/>
      <c r="J183" s="9">
        <f t="shared" si="18"/>
        <v>1.1503493803760121</v>
      </c>
      <c r="K183" s="17">
        <f t="shared" ca="1" si="19"/>
        <v>0</v>
      </c>
      <c r="M183" s="1">
        <v>7.4999999999999716</v>
      </c>
      <c r="N183" s="3">
        <f ca="1">_xll.meMathNormalDistribution(M183,$N$4,$N$5)</f>
        <v>0.99999999999996814</v>
      </c>
      <c r="O183" s="20">
        <f ca="1">_xll.meMathNormalDistributionPDF(M183,$N$4,$N$5)</f>
        <v>2.4343205330295291E-13</v>
      </c>
      <c r="P183" s="8" t="b">
        <f t="shared" ca="1" si="16"/>
        <v>1</v>
      </c>
      <c r="R183" s="7">
        <v>0.87500000000000067</v>
      </c>
      <c r="S183" s="3">
        <f ca="1">_xll.meMathNormalDistributionInverse(R183,$S$4,$S$5)</f>
        <v>1.1503493803760112</v>
      </c>
      <c r="T183" s="12" t="b">
        <f t="shared" ca="1" si="17"/>
        <v>1</v>
      </c>
    </row>
    <row r="184" spans="2:20" x14ac:dyDescent="0.25">
      <c r="B184" s="1">
        <v>7.5999999999999712</v>
      </c>
      <c r="C184" s="3">
        <f ca="1">_xll.meMathNormalDistributionStandard(B184)</f>
        <v>0.99999999999998523</v>
      </c>
      <c r="D184" s="20">
        <f ca="1">_xll.meMathNormalDistributionPDF(B184)</f>
        <v>1.1441564901803849E-13</v>
      </c>
      <c r="G184" s="7">
        <v>0.88000000000000067</v>
      </c>
      <c r="H184" s="3">
        <f ca="1">_xll.meMathNormalDistributionStandardInverse(G184)</f>
        <v>1.1749867920660935</v>
      </c>
      <c r="I184" s="3"/>
      <c r="J184" s="9">
        <f t="shared" si="18"/>
        <v>1.1749867920660937</v>
      </c>
      <c r="K184" s="17">
        <f t="shared" ca="1" si="19"/>
        <v>0</v>
      </c>
      <c r="M184" s="1">
        <v>7.5999999999999712</v>
      </c>
      <c r="N184" s="3">
        <f ca="1">_xll.meMathNormalDistribution(M184,$N$4,$N$5)</f>
        <v>0.99999999999998523</v>
      </c>
      <c r="O184" s="20">
        <f ca="1">_xll.meMathNormalDistributionPDF(M184,$N$4,$N$5)</f>
        <v>1.1441564901803849E-13</v>
      </c>
      <c r="P184" s="8" t="b">
        <f t="shared" ca="1" si="16"/>
        <v>1</v>
      </c>
      <c r="R184" s="7">
        <v>0.88000000000000067</v>
      </c>
      <c r="S184" s="3">
        <f ca="1">_xll.meMathNormalDistributionInverse(R184,$S$4,$S$5)</f>
        <v>1.1749867920660935</v>
      </c>
      <c r="T184" s="12" t="b">
        <f t="shared" ca="1" si="17"/>
        <v>1</v>
      </c>
    </row>
    <row r="185" spans="2:20" x14ac:dyDescent="0.25">
      <c r="B185" s="1">
        <v>7.6999999999999709</v>
      </c>
      <c r="C185" s="3">
        <f ca="1">_xll.meMathNormalDistributionStandard(B185)</f>
        <v>0.99999999999999323</v>
      </c>
      <c r="D185" s="20">
        <f ca="1">_xll.meMathNormalDistributionPDF(B185)</f>
        <v>5.3241483722541546E-14</v>
      </c>
      <c r="G185" s="7">
        <v>0.88500000000000068</v>
      </c>
      <c r="H185" s="3">
        <f ca="1">_xll.meMathNormalDistributionStandardInverse(G185)</f>
        <v>1.2003588580308626</v>
      </c>
      <c r="I185" s="3"/>
      <c r="J185" s="9">
        <f t="shared" si="18"/>
        <v>1.2003588580308626</v>
      </c>
      <c r="K185" s="17">
        <f t="shared" ca="1" si="19"/>
        <v>0</v>
      </c>
      <c r="M185" s="1">
        <v>7.6999999999999709</v>
      </c>
      <c r="N185" s="3">
        <f ca="1">_xll.meMathNormalDistribution(M185,$N$4,$N$5)</f>
        <v>0.99999999999999323</v>
      </c>
      <c r="O185" s="20">
        <f ca="1">_xll.meMathNormalDistributionPDF(M185,$N$4,$N$5)</f>
        <v>5.3241483722541546E-14</v>
      </c>
      <c r="P185" s="8" t="b">
        <f t="shared" ca="1" si="16"/>
        <v>1</v>
      </c>
      <c r="R185" s="7">
        <v>0.88500000000000068</v>
      </c>
      <c r="S185" s="3">
        <f ca="1">_xll.meMathNormalDistributionInverse(R185,$S$4,$S$5)</f>
        <v>1.2003588580308626</v>
      </c>
      <c r="T185" s="12" t="b">
        <f t="shared" ca="1" si="17"/>
        <v>1</v>
      </c>
    </row>
    <row r="186" spans="2:20" x14ac:dyDescent="0.25">
      <c r="B186" s="1">
        <v>7.7999999999999705</v>
      </c>
      <c r="C186" s="3">
        <f ca="1">_xll.meMathNormalDistributionStandard(B186)</f>
        <v>0.99999999999999689</v>
      </c>
      <c r="D186" s="20">
        <f ca="1">_xll.meMathNormalDistributionPDF(B186)</f>
        <v>2.4528552856969902E-14</v>
      </c>
      <c r="G186" s="7">
        <v>0.89000000000000068</v>
      </c>
      <c r="H186" s="3">
        <f ca="1">_xll.meMathNormalDistributionStandardInverse(G186)</f>
        <v>1.2265281200366138</v>
      </c>
      <c r="I186" s="3"/>
      <c r="J186" s="9">
        <f t="shared" si="18"/>
        <v>1.2265281200366147</v>
      </c>
      <c r="K186" s="17">
        <f t="shared" ca="1" si="19"/>
        <v>0</v>
      </c>
      <c r="M186" s="1">
        <v>7.7999999999999705</v>
      </c>
      <c r="N186" s="3">
        <f ca="1">_xll.meMathNormalDistribution(M186,$N$4,$N$5)</f>
        <v>0.99999999999999689</v>
      </c>
      <c r="O186" s="20">
        <f ca="1">_xll.meMathNormalDistributionPDF(M186,$N$4,$N$5)</f>
        <v>2.4528552856969902E-14</v>
      </c>
      <c r="P186" s="8" t="b">
        <f t="shared" ca="1" si="16"/>
        <v>1</v>
      </c>
      <c r="R186" s="7">
        <v>0.89000000000000068</v>
      </c>
      <c r="S186" s="3">
        <f ca="1">_xll.meMathNormalDistributionInverse(R186,$S$4,$S$5)</f>
        <v>1.2265281200366138</v>
      </c>
      <c r="T186" s="12" t="b">
        <f t="shared" ca="1" si="17"/>
        <v>1</v>
      </c>
    </row>
    <row r="187" spans="2:20" x14ac:dyDescent="0.25">
      <c r="B187" s="1">
        <v>7.8999999999999702</v>
      </c>
      <c r="C187" s="3">
        <f ca="1">_xll.meMathNormalDistributionStandard(B187)</f>
        <v>0.99999999999999856</v>
      </c>
      <c r="D187" s="20">
        <f ca="1">_xll.meMathNormalDistributionPDF(B187)</f>
        <v>1.1187956214354479E-14</v>
      </c>
      <c r="G187" s="7">
        <v>0.89500000000000068</v>
      </c>
      <c r="H187" s="3">
        <f ca="1">_xll.meMathNormalDistributionStandardInverse(G187)</f>
        <v>1.2535654384704544</v>
      </c>
      <c r="I187" s="3"/>
      <c r="J187" s="9">
        <f t="shared" si="18"/>
        <v>1.2535654384704547</v>
      </c>
      <c r="K187" s="17">
        <f t="shared" ca="1" si="19"/>
        <v>0</v>
      </c>
      <c r="M187" s="1">
        <v>7.8999999999999702</v>
      </c>
      <c r="N187" s="3">
        <f ca="1">_xll.meMathNormalDistribution(M187,$N$4,$N$5)</f>
        <v>0.99999999999999856</v>
      </c>
      <c r="O187" s="20">
        <f ca="1">_xll.meMathNormalDistributionPDF(M187,$N$4,$N$5)</f>
        <v>1.1187956214354479E-14</v>
      </c>
      <c r="P187" s="8" t="b">
        <f t="shared" ca="1" si="16"/>
        <v>1</v>
      </c>
      <c r="R187" s="7">
        <v>0.89500000000000068</v>
      </c>
      <c r="S187" s="3">
        <f ca="1">_xll.meMathNormalDistributionInverse(R187,$S$4,$S$5)</f>
        <v>1.2535654384704544</v>
      </c>
      <c r="T187" s="12" t="b">
        <f t="shared" ca="1" si="17"/>
        <v>1</v>
      </c>
    </row>
    <row r="188" spans="2:20" x14ac:dyDescent="0.25">
      <c r="B188" s="1">
        <v>7.9999999999999698</v>
      </c>
      <c r="C188" s="3">
        <f ca="1">_xll.meMathNormalDistributionStandard(B188)</f>
        <v>0.99999999999999933</v>
      </c>
      <c r="D188" s="20">
        <f ca="1">_xll.meMathNormalDistributionPDF(B188)</f>
        <v>5.0522710835381131E-15</v>
      </c>
      <c r="G188" s="7">
        <v>0.90000000000000069</v>
      </c>
      <c r="H188" s="3">
        <f ca="1">_xll.meMathNormalDistributionStandardInverse(G188)</f>
        <v>1.2815515655446044</v>
      </c>
      <c r="I188" s="3"/>
      <c r="J188" s="9">
        <f t="shared" si="18"/>
        <v>1.2815515655446041</v>
      </c>
      <c r="K188" s="17">
        <f t="shared" ca="1" si="19"/>
        <v>0</v>
      </c>
      <c r="M188" s="1">
        <v>7.9999999999999698</v>
      </c>
      <c r="N188" s="3">
        <f ca="1">_xll.meMathNormalDistribution(M188,$N$4,$N$5)</f>
        <v>0.99999999999999933</v>
      </c>
      <c r="O188" s="20">
        <f ca="1">_xll.meMathNormalDistributionPDF(M188,$N$4,$N$5)</f>
        <v>5.0522710835381131E-15</v>
      </c>
      <c r="P188" s="8" t="b">
        <f t="shared" ca="1" si="16"/>
        <v>1</v>
      </c>
      <c r="R188" s="7">
        <v>0.90000000000000069</v>
      </c>
      <c r="S188" s="3">
        <f ca="1">_xll.meMathNormalDistributionInverse(R188,$S$4,$S$5)</f>
        <v>1.2815515655446044</v>
      </c>
      <c r="T188" s="12" t="b">
        <f t="shared" ca="1" si="17"/>
        <v>1</v>
      </c>
    </row>
    <row r="189" spans="2:20" x14ac:dyDescent="0.25">
      <c r="B189" s="1">
        <v>8.0999999999999694</v>
      </c>
      <c r="C189" s="3">
        <f ca="1">_xll.meMathNormalDistributionStandard(B189)</f>
        <v>0.99999999999999978</v>
      </c>
      <c r="D189" s="20">
        <f ca="1">_xll.meMathNormalDistributionPDF(B189)</f>
        <v>2.2588094031548648E-15</v>
      </c>
      <c r="G189" s="7">
        <v>0.90500000000000069</v>
      </c>
      <c r="H189" s="3">
        <f ca="1">_xll.meMathNormalDistributionStandardInverse(G189)</f>
        <v>1.3105791121681329</v>
      </c>
      <c r="I189" s="3"/>
      <c r="J189" s="9">
        <f t="shared" si="18"/>
        <v>1.3105791121681334</v>
      </c>
      <c r="K189" s="17">
        <f t="shared" ca="1" si="19"/>
        <v>0</v>
      </c>
      <c r="M189" s="1">
        <v>8.0999999999999694</v>
      </c>
      <c r="N189" s="3">
        <f ca="1">_xll.meMathNormalDistribution(M189,$N$4,$N$5)</f>
        <v>0.99999999999999978</v>
      </c>
      <c r="O189" s="20">
        <f ca="1">_xll.meMathNormalDistributionPDF(M189,$N$4,$N$5)</f>
        <v>2.2588094031548648E-15</v>
      </c>
      <c r="P189" s="8" t="b">
        <f t="shared" ca="1" si="16"/>
        <v>1</v>
      </c>
      <c r="R189" s="7">
        <v>0.90500000000000069</v>
      </c>
      <c r="S189" s="3">
        <f ca="1">_xll.meMathNormalDistributionInverse(R189,$S$4,$S$5)</f>
        <v>1.3105791121681329</v>
      </c>
      <c r="T189" s="12" t="b">
        <f t="shared" ca="1" si="17"/>
        <v>1</v>
      </c>
    </row>
    <row r="190" spans="2:20" x14ac:dyDescent="0.25">
      <c r="B190" s="1">
        <v>8.1999999999999691</v>
      </c>
      <c r="C190" s="3">
        <f ca="1">_xll.meMathNormalDistributionStandard(B190)</f>
        <v>0.99999999999999989</v>
      </c>
      <c r="D190" s="20">
        <f ca="1">_xll.meMathNormalDistributionPDF(B190)</f>
        <v>9.9983787484996662E-16</v>
      </c>
      <c r="G190" s="7">
        <v>0.9100000000000007</v>
      </c>
      <c r="H190" s="3">
        <f ca="1">_xll.meMathNormalDistributionStandardInverse(G190)</f>
        <v>1.3407550336902205</v>
      </c>
      <c r="I190" s="3"/>
      <c r="J190" s="9">
        <f t="shared" si="18"/>
        <v>1.3407550336902199</v>
      </c>
      <c r="K190" s="17">
        <f t="shared" ca="1" si="19"/>
        <v>0</v>
      </c>
      <c r="M190" s="1">
        <v>8.1999999999999691</v>
      </c>
      <c r="N190" s="3">
        <f ca="1">_xll.meMathNormalDistribution(M190,$N$4,$N$5)</f>
        <v>0.99999999999999989</v>
      </c>
      <c r="O190" s="20">
        <f ca="1">_xll.meMathNormalDistributionPDF(M190,$N$4,$N$5)</f>
        <v>9.9983787484996662E-16</v>
      </c>
      <c r="P190" s="8" t="b">
        <f t="shared" ca="1" si="16"/>
        <v>1</v>
      </c>
      <c r="R190" s="7">
        <v>0.9100000000000007</v>
      </c>
      <c r="S190" s="3">
        <f ca="1">_xll.meMathNormalDistributionInverse(R190,$S$4,$S$5)</f>
        <v>1.3407550336902205</v>
      </c>
      <c r="T190" s="12" t="b">
        <f t="shared" ca="1" si="17"/>
        <v>1</v>
      </c>
    </row>
    <row r="191" spans="2:20" x14ac:dyDescent="0.25">
      <c r="B191" s="1">
        <v>8.2999999999999687</v>
      </c>
      <c r="C191" s="3">
        <f ca="1">_xll.meMathNormalDistributionStandard(B191)</f>
        <v>1</v>
      </c>
      <c r="D191" s="20">
        <f ca="1">_xll.meMathNormalDistributionPDF(B191)</f>
        <v>4.3816394355105099E-16</v>
      </c>
      <c r="G191" s="7">
        <v>0.9150000000000007</v>
      </c>
      <c r="H191" s="3">
        <f ca="1">_xll.meMathNormalDistributionStandardInverse(G191)</f>
        <v>1.3722038089987305</v>
      </c>
      <c r="I191" s="3"/>
      <c r="J191" s="9">
        <f t="shared" si="18"/>
        <v>1.372203808998731</v>
      </c>
      <c r="K191" s="17">
        <f t="shared" ca="1" si="19"/>
        <v>0</v>
      </c>
      <c r="M191" s="1">
        <v>8.2999999999999687</v>
      </c>
      <c r="N191" s="3">
        <f ca="1">_xll.meMathNormalDistribution(M191,$N$4,$N$5)</f>
        <v>1</v>
      </c>
      <c r="O191" s="20">
        <f ca="1">_xll.meMathNormalDistributionPDF(M191,$N$4,$N$5)</f>
        <v>4.3816394355105099E-16</v>
      </c>
      <c r="P191" s="8" t="b">
        <f t="shared" ca="1" si="16"/>
        <v>1</v>
      </c>
      <c r="R191" s="7">
        <v>0.9150000000000007</v>
      </c>
      <c r="S191" s="3">
        <f ca="1">_xll.meMathNormalDistributionInverse(R191,$S$4,$S$5)</f>
        <v>1.3722038089987305</v>
      </c>
      <c r="T191" s="12" t="b">
        <f t="shared" ca="1" si="17"/>
        <v>1</v>
      </c>
    </row>
    <row r="192" spans="2:20" x14ac:dyDescent="0.25">
      <c r="B192" s="1">
        <v>8.3999999999999684</v>
      </c>
      <c r="C192" s="3">
        <f ca="1">_xll.meMathNormalDistributionStandard(B192)</f>
        <v>1</v>
      </c>
      <c r="D192" s="20">
        <f ca="1">_xll.meMathNormalDistributionPDF(B192)</f>
        <v>1.9010815379084772E-16</v>
      </c>
      <c r="G192" s="7">
        <v>0.92000000000000071</v>
      </c>
      <c r="H192" s="3">
        <f ca="1">_xll.meMathNormalDistributionStandardInverse(G192)</f>
        <v>1.4050715603096373</v>
      </c>
      <c r="I192" s="3"/>
      <c r="J192" s="9">
        <f t="shared" si="18"/>
        <v>1.405071560309638</v>
      </c>
      <c r="K192" s="17">
        <f t="shared" ca="1" si="19"/>
        <v>0</v>
      </c>
      <c r="M192" s="1">
        <v>8.3999999999999684</v>
      </c>
      <c r="N192" s="3">
        <f ca="1">_xll.meMathNormalDistribution(M192,$N$4,$N$5)</f>
        <v>1</v>
      </c>
      <c r="O192" s="20">
        <f ca="1">_xll.meMathNormalDistributionPDF(M192,$N$4,$N$5)</f>
        <v>1.9010815379084772E-16</v>
      </c>
      <c r="P192" s="8" t="b">
        <f t="shared" ca="1" si="16"/>
        <v>1</v>
      </c>
      <c r="R192" s="7">
        <v>0.92000000000000071</v>
      </c>
      <c r="S192" s="3">
        <f ca="1">_xll.meMathNormalDistributionInverse(R192,$S$4,$S$5)</f>
        <v>1.4050715603096373</v>
      </c>
      <c r="T192" s="12" t="b">
        <f t="shared" ca="1" si="17"/>
        <v>1</v>
      </c>
    </row>
    <row r="193" spans="2:20" x14ac:dyDescent="0.25">
      <c r="B193" s="1">
        <v>8.499999999999968</v>
      </c>
      <c r="C193" s="3">
        <f ca="1">_xll.meMathNormalDistributionStandard(B193)</f>
        <v>1</v>
      </c>
      <c r="D193" s="20">
        <f ca="1">_xll.meMathNormalDistributionPDF(B193)</f>
        <v>8.1662356316717553E-17</v>
      </c>
      <c r="G193" s="7">
        <v>0.92500000000000071</v>
      </c>
      <c r="H193" s="3">
        <f ca="1">_xll.meMathNormalDistributionStandardInverse(G193)</f>
        <v>1.439531470938461</v>
      </c>
      <c r="I193" s="3"/>
      <c r="J193" s="9">
        <f t="shared" si="18"/>
        <v>1.439531470938461</v>
      </c>
      <c r="K193" s="17">
        <f t="shared" ca="1" si="19"/>
        <v>0</v>
      </c>
      <c r="M193" s="1">
        <v>8.499999999999968</v>
      </c>
      <c r="N193" s="3">
        <f ca="1">_xll.meMathNormalDistribution(M193,$N$4,$N$5)</f>
        <v>1</v>
      </c>
      <c r="O193" s="20">
        <f ca="1">_xll.meMathNormalDistributionPDF(M193,$N$4,$N$5)</f>
        <v>8.1662356316717553E-17</v>
      </c>
      <c r="P193" s="8" t="b">
        <f t="shared" ca="1" si="16"/>
        <v>1</v>
      </c>
      <c r="R193" s="7">
        <v>0.92500000000000071</v>
      </c>
      <c r="S193" s="3">
        <f ca="1">_xll.meMathNormalDistributionInverse(R193,$S$4,$S$5)</f>
        <v>1.439531470938461</v>
      </c>
      <c r="T193" s="12" t="b">
        <f t="shared" ca="1" si="17"/>
        <v>1</v>
      </c>
    </row>
    <row r="194" spans="2:20" x14ac:dyDescent="0.25">
      <c r="B194" s="1">
        <v>8.5999999999999677</v>
      </c>
      <c r="C194" s="3">
        <f ca="1">_xll.meMathNormalDistributionStandard(B194)</f>
        <v>1</v>
      </c>
      <c r="D194" s="20">
        <f ca="1">_xll.meMathNormalDistributionPDF(B194)</f>
        <v>3.4729627485671702E-17</v>
      </c>
      <c r="G194" s="7">
        <v>0.93000000000000071</v>
      </c>
      <c r="H194" s="3">
        <f ca="1">_xll.meMathNormalDistributionStandardInverse(G194)</f>
        <v>1.4757910281791762</v>
      </c>
      <c r="I194" s="3"/>
      <c r="J194" s="9">
        <f t="shared" si="18"/>
        <v>1.4757910281791764</v>
      </c>
      <c r="K194" s="17">
        <f t="shared" ca="1" si="19"/>
        <v>0</v>
      </c>
      <c r="M194" s="1">
        <v>8.5999999999999677</v>
      </c>
      <c r="N194" s="3">
        <f ca="1">_xll.meMathNormalDistribution(M194,$N$4,$N$5)</f>
        <v>1</v>
      </c>
      <c r="O194" s="20">
        <f ca="1">_xll.meMathNormalDistributionPDF(M194,$N$4,$N$5)</f>
        <v>3.4729627485671702E-17</v>
      </c>
      <c r="P194" s="8" t="b">
        <f t="shared" ca="1" si="16"/>
        <v>1</v>
      </c>
      <c r="R194" s="7">
        <v>0.93000000000000071</v>
      </c>
      <c r="S194" s="3">
        <f ca="1">_xll.meMathNormalDistributionInverse(R194,$S$4,$S$5)</f>
        <v>1.4757910281791762</v>
      </c>
      <c r="T194" s="12" t="b">
        <f t="shared" ca="1" si="17"/>
        <v>1</v>
      </c>
    </row>
    <row r="195" spans="2:20" x14ac:dyDescent="0.25">
      <c r="B195" s="1">
        <v>8.6999999999999673</v>
      </c>
      <c r="C195" s="3">
        <f ca="1">_xll.meMathNormalDistributionStandard(B195)</f>
        <v>1</v>
      </c>
      <c r="D195" s="20">
        <f ca="1">_xll.meMathNormalDistributionPDF(B195)</f>
        <v>1.4622963575010631E-17</v>
      </c>
      <c r="G195" s="7">
        <v>0.93500000000000072</v>
      </c>
      <c r="H195" s="3">
        <f ca="1">_xll.meMathNormalDistributionStandardInverse(G195)</f>
        <v>1.5141018876192893</v>
      </c>
      <c r="I195" s="3"/>
      <c r="J195" s="9">
        <f t="shared" si="18"/>
        <v>1.5141018876192898</v>
      </c>
      <c r="K195" s="17">
        <f t="shared" ca="1" si="19"/>
        <v>0</v>
      </c>
      <c r="M195" s="1">
        <v>8.6999999999999673</v>
      </c>
      <c r="N195" s="3">
        <f ca="1">_xll.meMathNormalDistribution(M195,$N$4,$N$5)</f>
        <v>1</v>
      </c>
      <c r="O195" s="20">
        <f ca="1">_xll.meMathNormalDistributionPDF(M195,$N$4,$N$5)</f>
        <v>1.4622963575010631E-17</v>
      </c>
      <c r="P195" s="8" t="b">
        <f t="shared" ca="1" si="16"/>
        <v>1</v>
      </c>
      <c r="R195" s="7">
        <v>0.93500000000000072</v>
      </c>
      <c r="S195" s="3">
        <f ca="1">_xll.meMathNormalDistributionInverse(R195,$S$4,$S$5)</f>
        <v>1.5141018876192893</v>
      </c>
      <c r="T195" s="12" t="b">
        <f t="shared" ca="1" si="17"/>
        <v>1</v>
      </c>
    </row>
    <row r="196" spans="2:20" x14ac:dyDescent="0.25">
      <c r="B196" s="1">
        <v>8.799999999999967</v>
      </c>
      <c r="C196" s="3">
        <f ca="1">_xll.meMathNormalDistributionStandard(B196)</f>
        <v>1</v>
      </c>
      <c r="D196" s="20">
        <f ca="1">_xll.meMathNormalDistributionPDF(B196)</f>
        <v>6.0957581295642369E-18</v>
      </c>
      <c r="G196" s="7">
        <v>0.94000000000000072</v>
      </c>
      <c r="H196" s="3">
        <f ca="1">_xll.meMathNormalDistributionStandardInverse(G196)</f>
        <v>1.5547735945968597</v>
      </c>
      <c r="I196" s="3"/>
      <c r="J196" s="9">
        <f t="shared" si="18"/>
        <v>1.5547735945968597</v>
      </c>
      <c r="K196" s="17">
        <f t="shared" ca="1" si="19"/>
        <v>0</v>
      </c>
      <c r="M196" s="1">
        <v>8.799999999999967</v>
      </c>
      <c r="N196" s="3">
        <f ca="1">_xll.meMathNormalDistribution(M196,$N$4,$N$5)</f>
        <v>1</v>
      </c>
      <c r="O196" s="20">
        <f ca="1">_xll.meMathNormalDistributionPDF(M196,$N$4,$N$5)</f>
        <v>6.0957581295642369E-18</v>
      </c>
      <c r="P196" s="8" t="b">
        <f t="shared" ca="1" si="16"/>
        <v>1</v>
      </c>
      <c r="R196" s="7">
        <v>0.94000000000000072</v>
      </c>
      <c r="S196" s="3">
        <f ca="1">_xll.meMathNormalDistributionInverse(R196,$S$4,$S$5)</f>
        <v>1.5547735945968597</v>
      </c>
      <c r="T196" s="12" t="b">
        <f t="shared" ca="1" si="17"/>
        <v>1</v>
      </c>
    </row>
    <row r="197" spans="2:20" x14ac:dyDescent="0.25">
      <c r="B197" s="1">
        <v>8.8999999999999666</v>
      </c>
      <c r="C197" s="3">
        <f ca="1">_xll.meMathNormalDistributionStandard(B197)</f>
        <v>1</v>
      </c>
      <c r="D197" s="20">
        <f ca="1">_xll.meMathNormalDistributionPDF(B197)</f>
        <v>2.5158057769521555E-18</v>
      </c>
      <c r="G197" s="7">
        <v>0.94500000000000073</v>
      </c>
      <c r="H197" s="3">
        <f ca="1">_xll.meMathNormalDistributionStandardInverse(G197)</f>
        <v>1.5981931399228242</v>
      </c>
      <c r="I197" s="3"/>
      <c r="J197" s="9">
        <f t="shared" si="18"/>
        <v>1.5981931399228242</v>
      </c>
      <c r="K197" s="17">
        <f t="shared" ca="1" si="19"/>
        <v>0</v>
      </c>
      <c r="M197" s="1">
        <v>8.8999999999999666</v>
      </c>
      <c r="N197" s="3">
        <f ca="1">_xll.meMathNormalDistribution(M197,$N$4,$N$5)</f>
        <v>1</v>
      </c>
      <c r="O197" s="20">
        <f ca="1">_xll.meMathNormalDistributionPDF(M197,$N$4,$N$5)</f>
        <v>2.5158057769521555E-18</v>
      </c>
      <c r="P197" s="8" t="b">
        <f t="shared" ca="1" si="16"/>
        <v>1</v>
      </c>
      <c r="R197" s="7">
        <v>0.94500000000000073</v>
      </c>
      <c r="S197" s="3">
        <f ca="1">_xll.meMathNormalDistributionInverse(R197,$S$4,$S$5)</f>
        <v>1.5981931399228242</v>
      </c>
      <c r="T197" s="12" t="b">
        <f t="shared" ca="1" si="17"/>
        <v>1</v>
      </c>
    </row>
    <row r="198" spans="2:20" x14ac:dyDescent="0.25">
      <c r="B198" s="1">
        <v>8.9999999999999662</v>
      </c>
      <c r="C198" s="3">
        <f ca="1">_xll.meMathNormalDistributionStandard(B198)</f>
        <v>1</v>
      </c>
      <c r="D198" s="20">
        <f ca="1">_xll.meMathNormalDistributionPDF(B198)</f>
        <v>1.0279773571672058E-18</v>
      </c>
      <c r="G198" s="7">
        <v>0.95000000000000073</v>
      </c>
      <c r="H198" s="3">
        <f ca="1">_xll.meMathNormalDistributionStandardInverse(G198)</f>
        <v>1.6448536269514797</v>
      </c>
      <c r="I198" s="3"/>
      <c r="J198" s="9">
        <f t="shared" si="18"/>
        <v>1.6448536269514795</v>
      </c>
      <c r="K198" s="17">
        <f t="shared" ca="1" si="19"/>
        <v>0</v>
      </c>
      <c r="M198" s="1">
        <v>8.9999999999999662</v>
      </c>
      <c r="N198" s="3">
        <f ca="1">_xll.meMathNormalDistribution(M198,$N$4,$N$5)</f>
        <v>1</v>
      </c>
      <c r="O198" s="20">
        <f ca="1">_xll.meMathNormalDistributionPDF(M198,$N$4,$N$5)</f>
        <v>1.0279773571672058E-18</v>
      </c>
      <c r="P198" s="8" t="b">
        <f t="shared" ca="1" si="16"/>
        <v>1</v>
      </c>
      <c r="R198" s="7">
        <v>0.95000000000000073</v>
      </c>
      <c r="S198" s="3">
        <f ca="1">_xll.meMathNormalDistributionInverse(R198,$S$4,$S$5)</f>
        <v>1.6448536269514797</v>
      </c>
      <c r="T198" s="12" t="b">
        <f t="shared" ca="1" si="17"/>
        <v>1</v>
      </c>
    </row>
    <row r="199" spans="2:20" x14ac:dyDescent="0.25">
      <c r="B199" s="1">
        <v>9.0999999999999659</v>
      </c>
      <c r="C199" s="3">
        <f ca="1">_xll.meMathNormalDistributionStandard(B199)</f>
        <v>1</v>
      </c>
      <c r="D199" s="20">
        <f ca="1">_xll.meMathNormalDistributionPDF(B199)</f>
        <v>4.1585989791164308E-19</v>
      </c>
      <c r="G199" s="7">
        <v>0.95500000000000074</v>
      </c>
      <c r="H199" s="3">
        <f ca="1">_xll.meMathNormalDistributionStandardInverse(G199)</f>
        <v>1.6953977102721443</v>
      </c>
      <c r="I199" s="3"/>
      <c r="J199" s="9">
        <f t="shared" si="18"/>
        <v>1.6953977102721438</v>
      </c>
      <c r="K199" s="17">
        <f t="shared" ca="1" si="19"/>
        <v>0</v>
      </c>
      <c r="M199" s="1">
        <v>9.0999999999999659</v>
      </c>
      <c r="N199" s="3">
        <f ca="1">_xll.meMathNormalDistribution(M199,$N$4,$N$5)</f>
        <v>1</v>
      </c>
      <c r="O199" s="20">
        <f ca="1">_xll.meMathNormalDistributionPDF(M199,$N$4,$N$5)</f>
        <v>4.1585989791164308E-19</v>
      </c>
      <c r="P199" s="8" t="b">
        <f t="shared" ca="1" si="16"/>
        <v>1</v>
      </c>
      <c r="R199" s="7">
        <v>0.95500000000000074</v>
      </c>
      <c r="S199" s="3">
        <f ca="1">_xll.meMathNormalDistributionInverse(R199,$S$4,$S$5)</f>
        <v>1.6953977102721443</v>
      </c>
      <c r="T199" s="12" t="b">
        <f t="shared" ca="1" si="17"/>
        <v>1</v>
      </c>
    </row>
    <row r="200" spans="2:20" x14ac:dyDescent="0.25">
      <c r="B200" s="1">
        <v>9.1999999999999655</v>
      </c>
      <c r="C200" s="3">
        <f ca="1">_xll.meMathNormalDistributionStandard(B200)</f>
        <v>1</v>
      </c>
      <c r="D200" s="20">
        <f ca="1">_xll.meMathNormalDistributionPDF(B200)</f>
        <v>1.6655880323804497E-19</v>
      </c>
      <c r="G200" s="7">
        <v>0.96000000000000074</v>
      </c>
      <c r="H200" s="3">
        <f ca="1">_xll.meMathNormalDistributionStandardInverse(G200)</f>
        <v>1.7506860712521786</v>
      </c>
      <c r="I200" s="3"/>
      <c r="J200" s="9">
        <f t="shared" si="18"/>
        <v>1.7506860712521779</v>
      </c>
      <c r="K200" s="17">
        <f t="shared" ca="1" si="19"/>
        <v>0</v>
      </c>
      <c r="M200" s="1">
        <v>9.1999999999999655</v>
      </c>
      <c r="N200" s="3">
        <f ca="1">_xll.meMathNormalDistribution(M200,$N$4,$N$5)</f>
        <v>1</v>
      </c>
      <c r="O200" s="20">
        <f ca="1">_xll.meMathNormalDistributionPDF(M200,$N$4,$N$5)</f>
        <v>1.6655880323804497E-19</v>
      </c>
      <c r="P200" s="8" t="b">
        <f t="shared" ca="1" si="16"/>
        <v>1</v>
      </c>
      <c r="R200" s="7">
        <v>0.96000000000000074</v>
      </c>
      <c r="S200" s="3">
        <f ca="1">_xll.meMathNormalDistributionInverse(R200,$S$4,$S$5)</f>
        <v>1.7506860712521786</v>
      </c>
      <c r="T200" s="12" t="b">
        <f t="shared" ca="1" si="17"/>
        <v>1</v>
      </c>
    </row>
    <row r="201" spans="2:20" x14ac:dyDescent="0.25">
      <c r="B201" s="1">
        <v>9.2999999999999652</v>
      </c>
      <c r="C201" s="3">
        <f ca="1">_xll.meMathNormalDistributionStandard(B201)</f>
        <v>1</v>
      </c>
      <c r="D201" s="20">
        <f ca="1">_xll.meMathNormalDistributionPDF(B201)</f>
        <v>6.6045798607414678E-20</v>
      </c>
      <c r="G201" s="7">
        <v>0.96500000000000075</v>
      </c>
      <c r="H201" s="3">
        <f ca="1">_xll.meMathNormalDistributionStandardInverse(G201)</f>
        <v>1.8119106729526073</v>
      </c>
      <c r="I201" s="3"/>
      <c r="J201" s="9">
        <f t="shared" ref="J201:J207" si="20">NORMSINV(G201)</f>
        <v>1.8119106729526071</v>
      </c>
      <c r="K201" s="17">
        <f t="shared" ref="K201:K207" ca="1" si="21">H201-J201</f>
        <v>0</v>
      </c>
      <c r="M201" s="1">
        <v>9.2999999999999652</v>
      </c>
      <c r="N201" s="3">
        <f ca="1">_xll.meMathNormalDistribution(M201,$N$4,$N$5)</f>
        <v>1</v>
      </c>
      <c r="O201" s="20">
        <f ca="1">_xll.meMathNormalDistributionPDF(M201,$N$4,$N$5)</f>
        <v>6.6045798607414678E-20</v>
      </c>
      <c r="P201" s="8" t="b">
        <f t="shared" ca="1" si="16"/>
        <v>1</v>
      </c>
      <c r="R201" s="7">
        <v>0.96500000000000075</v>
      </c>
      <c r="S201" s="3">
        <f ca="1">_xll.meMathNormalDistributionInverse(R201,$S$4,$S$5)</f>
        <v>1.8119106729526073</v>
      </c>
      <c r="T201" s="12" t="b">
        <f t="shared" ca="1" si="17"/>
        <v>1</v>
      </c>
    </row>
    <row r="202" spans="2:20" x14ac:dyDescent="0.25">
      <c r="B202" s="1">
        <v>9.3999999999999648</v>
      </c>
      <c r="C202" s="3">
        <f ca="1">_xll.meMathNormalDistributionStandard(B202)</f>
        <v>1</v>
      </c>
      <c r="D202" s="20">
        <f ca="1">_xll.meMathNormalDistributionPDF(B202)</f>
        <v>2.5928647011012368E-20</v>
      </c>
      <c r="G202" s="7">
        <v>0.97000000000000075</v>
      </c>
      <c r="H202" s="3">
        <f ca="1">_xll.meMathNormalDistributionStandardInverse(G202)</f>
        <v>1.880793608151262</v>
      </c>
      <c r="I202" s="3"/>
      <c r="J202" s="9">
        <f t="shared" si="20"/>
        <v>1.8807936081512615</v>
      </c>
      <c r="K202" s="17">
        <f t="shared" ca="1" si="21"/>
        <v>0</v>
      </c>
      <c r="M202" s="1">
        <v>9.3999999999999648</v>
      </c>
      <c r="N202" s="3">
        <f ca="1">_xll.meMathNormalDistribution(M202,$N$4,$N$5)</f>
        <v>1</v>
      </c>
      <c r="O202" s="20">
        <f ca="1">_xll.meMathNormalDistributionPDF(M202,$N$4,$N$5)</f>
        <v>2.5928647011012368E-20</v>
      </c>
      <c r="P202" s="8" t="b">
        <f t="shared" ref="P202:P208" ca="1" si="22">C202=N202</f>
        <v>1</v>
      </c>
      <c r="R202" s="7">
        <v>0.97000000000000075</v>
      </c>
      <c r="S202" s="3">
        <f ca="1">_xll.meMathNormalDistributionInverse(R202,$S$4,$S$5)</f>
        <v>1.880793608151262</v>
      </c>
      <c r="T202" s="12" t="b">
        <f t="shared" ref="T202:T208" ca="1" si="23">S202=H202</f>
        <v>1</v>
      </c>
    </row>
    <row r="203" spans="2:20" x14ac:dyDescent="0.25">
      <c r="B203" s="1">
        <v>9.4999999999999645</v>
      </c>
      <c r="C203" s="3">
        <f ca="1">_xll.meMathNormalDistributionStandard(B203)</f>
        <v>1</v>
      </c>
      <c r="D203" s="20">
        <f ca="1">_xll.meMathNormalDistributionPDF(B203)</f>
        <v>1.0077935394303376E-20</v>
      </c>
      <c r="G203" s="7">
        <v>0.97500000000000075</v>
      </c>
      <c r="H203" s="3">
        <f ca="1">_xll.meMathNormalDistributionStandardInverse(G203)</f>
        <v>1.9599639845400672</v>
      </c>
      <c r="I203" s="3"/>
      <c r="J203" s="9">
        <f t="shared" si="20"/>
        <v>1.9599639845400669</v>
      </c>
      <c r="K203" s="17">
        <f t="shared" ca="1" si="21"/>
        <v>0</v>
      </c>
      <c r="M203" s="1">
        <v>9.4999999999999645</v>
      </c>
      <c r="N203" s="3">
        <f ca="1">_xll.meMathNormalDistribution(M203,$N$4,$N$5)</f>
        <v>1</v>
      </c>
      <c r="O203" s="20">
        <f ca="1">_xll.meMathNormalDistributionPDF(M203,$N$4,$N$5)</f>
        <v>1.0077935394303376E-20</v>
      </c>
      <c r="P203" s="8" t="b">
        <f t="shared" ca="1" si="22"/>
        <v>1</v>
      </c>
      <c r="R203" s="7">
        <v>0.97500000000000075</v>
      </c>
      <c r="S203" s="3">
        <f ca="1">_xll.meMathNormalDistributionInverse(R203,$S$4,$S$5)</f>
        <v>1.9599639845400672</v>
      </c>
      <c r="T203" s="12" t="b">
        <f t="shared" ca="1" si="23"/>
        <v>1</v>
      </c>
    </row>
    <row r="204" spans="2:20" x14ac:dyDescent="0.25">
      <c r="B204" s="1">
        <v>9.5999999999999641</v>
      </c>
      <c r="C204" s="3">
        <f ca="1">_xll.meMathNormalDistributionStandard(B204)</f>
        <v>1</v>
      </c>
      <c r="D204" s="20">
        <f ca="1">_xll.meMathNormalDistributionPDF(B204)</f>
        <v>3.878111931748284E-21</v>
      </c>
      <c r="G204" s="7">
        <v>0.98000000000000076</v>
      </c>
      <c r="H204" s="3">
        <f ca="1">_xll.meMathNormalDistributionStandardInverse(G204)</f>
        <v>2.053748910631839</v>
      </c>
      <c r="I204" s="3"/>
      <c r="J204" s="9">
        <f t="shared" si="20"/>
        <v>2.053748910631839</v>
      </c>
      <c r="K204" s="17">
        <f t="shared" ca="1" si="21"/>
        <v>0</v>
      </c>
      <c r="M204" s="1">
        <v>9.5999999999999641</v>
      </c>
      <c r="N204" s="3">
        <f ca="1">_xll.meMathNormalDistribution(M204,$N$4,$N$5)</f>
        <v>1</v>
      </c>
      <c r="O204" s="20">
        <f ca="1">_xll.meMathNormalDistributionPDF(M204,$N$4,$N$5)</f>
        <v>3.878111931748284E-21</v>
      </c>
      <c r="P204" s="8" t="b">
        <f t="shared" ca="1" si="22"/>
        <v>1</v>
      </c>
      <c r="R204" s="7">
        <v>0.98000000000000076</v>
      </c>
      <c r="S204" s="3">
        <f ca="1">_xll.meMathNormalDistributionInverse(R204,$S$4,$S$5)</f>
        <v>2.053748910631839</v>
      </c>
      <c r="T204" s="12" t="b">
        <f t="shared" ca="1" si="23"/>
        <v>1</v>
      </c>
    </row>
    <row r="205" spans="2:20" x14ac:dyDescent="0.25">
      <c r="B205" s="1">
        <v>9.6999999999999638</v>
      </c>
      <c r="C205" s="3">
        <f ca="1">_xll.meMathNormalDistributionStandard(B205)</f>
        <v>1</v>
      </c>
      <c r="D205" s="20">
        <f ca="1">_xll.meMathNormalDistributionPDF(B205)</f>
        <v>1.4774954927047792E-21</v>
      </c>
      <c r="G205" s="7">
        <v>0.98500000000000076</v>
      </c>
      <c r="H205" s="3">
        <f ca="1">_xll.meMathNormalDistributionStandardInverse(G205)</f>
        <v>2.170090377584581</v>
      </c>
      <c r="I205" s="3"/>
      <c r="J205" s="9">
        <f t="shared" si="20"/>
        <v>2.1700903775845801</v>
      </c>
      <c r="K205" s="17">
        <f t="shared" ca="1" si="21"/>
        <v>0</v>
      </c>
      <c r="M205" s="1">
        <v>9.6999999999999638</v>
      </c>
      <c r="N205" s="3">
        <f ca="1">_xll.meMathNormalDistribution(M205,$N$4,$N$5)</f>
        <v>1</v>
      </c>
      <c r="O205" s="20">
        <f ca="1">_xll.meMathNormalDistributionPDF(M205,$N$4,$N$5)</f>
        <v>1.4774954927047792E-21</v>
      </c>
      <c r="P205" s="8" t="b">
        <f t="shared" ca="1" si="22"/>
        <v>1</v>
      </c>
      <c r="R205" s="7">
        <v>0.98500000000000076</v>
      </c>
      <c r="S205" s="3">
        <f ca="1">_xll.meMathNormalDistributionInverse(R205,$S$4,$S$5)</f>
        <v>2.170090377584581</v>
      </c>
      <c r="T205" s="12" t="b">
        <f t="shared" ca="1" si="23"/>
        <v>1</v>
      </c>
    </row>
    <row r="206" spans="2:20" x14ac:dyDescent="0.25">
      <c r="B206" s="1">
        <v>9.7999999999999634</v>
      </c>
      <c r="C206" s="3">
        <f ca="1">_xll.meMathNormalDistributionStandard(B206)</f>
        <v>1</v>
      </c>
      <c r="D206" s="20">
        <f ca="1">_xll.meMathNormalDistributionPDF(B206)</f>
        <v>5.5730000227227497E-22</v>
      </c>
      <c r="G206" s="7">
        <v>0.99000000000000077</v>
      </c>
      <c r="H206" s="3">
        <f ca="1">_xll.meMathNormalDistributionStandardInverse(G206)</f>
        <v>2.3263478740408701</v>
      </c>
      <c r="I206" s="3"/>
      <c r="J206" s="9">
        <f t="shared" si="20"/>
        <v>2.3263478740408692</v>
      </c>
      <c r="K206" s="17">
        <f t="shared" ca="1" si="21"/>
        <v>0</v>
      </c>
      <c r="M206" s="1">
        <v>9.7999999999999634</v>
      </c>
      <c r="N206" s="3">
        <f ca="1">_xll.meMathNormalDistribution(M206,$N$4,$N$5)</f>
        <v>1</v>
      </c>
      <c r="O206" s="20">
        <f ca="1">_xll.meMathNormalDistributionPDF(M206,$N$4,$N$5)</f>
        <v>5.5730000227227497E-22</v>
      </c>
      <c r="P206" s="8" t="b">
        <f t="shared" ca="1" si="22"/>
        <v>1</v>
      </c>
      <c r="R206" s="7">
        <v>0.99000000000000077</v>
      </c>
      <c r="S206" s="3">
        <f ca="1">_xll.meMathNormalDistributionInverse(R206,$S$4,$S$5)</f>
        <v>2.3263478740408701</v>
      </c>
      <c r="T206" s="12" t="b">
        <f t="shared" ca="1" si="23"/>
        <v>1</v>
      </c>
    </row>
    <row r="207" spans="2:20" x14ac:dyDescent="0.25">
      <c r="B207" s="1">
        <v>9.8999999999999631</v>
      </c>
      <c r="C207" s="3">
        <f ca="1">_xll.meMathNormalDistributionStandard(B207)</f>
        <v>1</v>
      </c>
      <c r="D207" s="20">
        <f ca="1">_xll.meMathNormalDistributionPDF(B207)</f>
        <v>2.0811768202035936E-22</v>
      </c>
      <c r="G207" s="7">
        <v>0.99500000000000077</v>
      </c>
      <c r="H207" s="3">
        <f ca="1">_xll.meMathNormalDistributionStandardInverse(G207)</f>
        <v>2.5758293035489541</v>
      </c>
      <c r="I207" s="3"/>
      <c r="J207" s="9">
        <f t="shared" si="20"/>
        <v>2.5758293035489541</v>
      </c>
      <c r="K207" s="17">
        <f t="shared" ca="1" si="21"/>
        <v>0</v>
      </c>
      <c r="M207" s="1">
        <v>9.8999999999999631</v>
      </c>
      <c r="N207" s="3">
        <f ca="1">_xll.meMathNormalDistribution(M207,$N$4,$N$5)</f>
        <v>1</v>
      </c>
      <c r="O207" s="20">
        <f ca="1">_xll.meMathNormalDistributionPDF(M207,$N$4,$N$5)</f>
        <v>2.0811768202035936E-22</v>
      </c>
      <c r="P207" s="8" t="b">
        <f t="shared" ca="1" si="22"/>
        <v>1</v>
      </c>
      <c r="R207" s="7">
        <v>0.99500000000000077</v>
      </c>
      <c r="S207" s="3">
        <f ca="1">_xll.meMathNormalDistributionInverse(R207,$S$4,$S$5)</f>
        <v>2.5758293035489541</v>
      </c>
      <c r="T207" s="12" t="b">
        <f t="shared" ca="1" si="23"/>
        <v>1</v>
      </c>
    </row>
    <row r="208" spans="2:20" x14ac:dyDescent="0.25">
      <c r="B208" s="1">
        <v>9.9999999999999627</v>
      </c>
      <c r="C208" s="3">
        <f ca="1">_xll.meMathNormalDistributionStandard(B208)</f>
        <v>1</v>
      </c>
      <c r="D208" s="20">
        <f ca="1">_xll.meMathNormalDistributionPDF(B208)</f>
        <v>7.6945986267092623E-23</v>
      </c>
      <c r="G208" s="7">
        <v>1.0000000000000007</v>
      </c>
      <c r="H208" s="3">
        <f ca="1">_xll.meMathNormalDistributionStandardInverse(G208)</f>
        <v>10</v>
      </c>
      <c r="I208" s="3"/>
      <c r="J208" s="10" t="s">
        <v>10</v>
      </c>
      <c r="K208" s="18" t="s">
        <v>10</v>
      </c>
      <c r="M208" s="1">
        <v>9.9999999999999627</v>
      </c>
      <c r="N208" s="3">
        <f ca="1">_xll.meMathNormalDistribution(M208,$N$4,$N$5)</f>
        <v>1</v>
      </c>
      <c r="O208" s="20">
        <f ca="1">_xll.meMathNormalDistributionPDF(M208,$N$4,$N$5)</f>
        <v>7.6945986267092623E-23</v>
      </c>
      <c r="P208" s="8" t="b">
        <f t="shared" ca="1" si="22"/>
        <v>1</v>
      </c>
      <c r="R208" s="7">
        <v>1.0000000000000007</v>
      </c>
      <c r="S208" s="3">
        <f ca="1">_xll.meMathNormalDistributionInverse(R208,$S$4,$S$5)</f>
        <v>10</v>
      </c>
      <c r="T208" s="12" t="b">
        <f t="shared" ca="1" si="23"/>
        <v>1</v>
      </c>
    </row>
    <row r="209" spans="2:19" x14ac:dyDescent="0.25">
      <c r="B209" s="1"/>
      <c r="C209" s="3"/>
      <c r="D209" s="3"/>
      <c r="G209" s="1"/>
      <c r="H209" s="3"/>
      <c r="I209" s="3"/>
      <c r="M209" s="1"/>
      <c r="N209" s="3"/>
      <c r="O209" s="3"/>
      <c r="P209" s="3"/>
      <c r="R209" s="1"/>
      <c r="S209" s="3"/>
    </row>
    <row r="210" spans="2:19" x14ac:dyDescent="0.25">
      <c r="B210" s="1"/>
      <c r="C210" s="3"/>
      <c r="D210" s="3"/>
      <c r="G210" s="1"/>
      <c r="H210" s="3"/>
      <c r="I210" s="3"/>
      <c r="M210" s="1"/>
      <c r="N210" s="3"/>
      <c r="O210" s="3"/>
      <c r="P210" s="3"/>
      <c r="R210" s="1"/>
      <c r="S210" s="3"/>
    </row>
    <row r="211" spans="2:19" x14ac:dyDescent="0.25">
      <c r="B211" s="1"/>
      <c r="C211" s="3"/>
      <c r="D211" s="3"/>
      <c r="G211" s="1"/>
      <c r="H211" s="3"/>
      <c r="I211" s="3"/>
      <c r="M211" s="1"/>
      <c r="N211" s="3"/>
      <c r="O211" s="3"/>
      <c r="P211" s="3"/>
      <c r="R211" s="1"/>
      <c r="S211" s="3"/>
    </row>
    <row r="212" spans="2:19" x14ac:dyDescent="0.25">
      <c r="B212" s="1"/>
      <c r="C212" s="3"/>
      <c r="D212" s="3"/>
      <c r="G212" s="1"/>
      <c r="H212" s="3"/>
      <c r="I212" s="3"/>
      <c r="M212" s="1"/>
      <c r="N212" s="3"/>
      <c r="O212" s="3"/>
      <c r="P212" s="3"/>
      <c r="R212" s="1"/>
      <c r="S212" s="3"/>
    </row>
    <row r="213" spans="2:19" x14ac:dyDescent="0.25">
      <c r="B213" s="1"/>
      <c r="C213" s="3"/>
      <c r="D213" s="3"/>
      <c r="G213" s="1"/>
      <c r="H213" s="3"/>
      <c r="I213" s="3"/>
      <c r="M213" s="1"/>
      <c r="N213" s="3"/>
      <c r="O213" s="3"/>
      <c r="P213" s="3"/>
      <c r="R213" s="1"/>
      <c r="S213" s="3"/>
    </row>
    <row r="214" spans="2:19" x14ac:dyDescent="0.25">
      <c r="B214" s="1"/>
      <c r="C214" s="3"/>
      <c r="D214" s="3"/>
      <c r="G214" s="1"/>
      <c r="H214" s="3"/>
      <c r="I214" s="3"/>
      <c r="M214" s="1"/>
      <c r="N214" s="3"/>
      <c r="O214" s="3"/>
      <c r="P214" s="3"/>
      <c r="R214" s="1"/>
      <c r="S214" s="3"/>
    </row>
    <row r="215" spans="2:19" x14ac:dyDescent="0.25">
      <c r="B215" s="1"/>
      <c r="C215" s="3"/>
      <c r="D215" s="3"/>
      <c r="G215" s="1"/>
      <c r="H215" s="3"/>
      <c r="I215" s="3"/>
      <c r="M215" s="1"/>
      <c r="N215" s="3"/>
      <c r="O215" s="3"/>
      <c r="P215" s="3"/>
      <c r="R215" s="1"/>
      <c r="S215" s="3"/>
    </row>
    <row r="216" spans="2:19" x14ac:dyDescent="0.25">
      <c r="B216" s="1"/>
      <c r="C216" s="3"/>
      <c r="D216" s="3"/>
      <c r="G216" s="1"/>
      <c r="H216" s="3"/>
      <c r="I216" s="3"/>
      <c r="M216" s="1"/>
      <c r="N216" s="3"/>
      <c r="O216" s="3"/>
      <c r="P216" s="3"/>
      <c r="R216" s="1"/>
      <c r="S216" s="3"/>
    </row>
    <row r="217" spans="2:19" x14ac:dyDescent="0.25">
      <c r="B217" s="1"/>
      <c r="C217" s="3"/>
      <c r="D217" s="3"/>
      <c r="G217" s="1"/>
      <c r="H217" s="3"/>
      <c r="I217" s="3"/>
      <c r="M217" s="1"/>
      <c r="N217" s="3"/>
      <c r="O217" s="3"/>
      <c r="P217" s="3"/>
      <c r="R217" s="1"/>
      <c r="S217" s="3"/>
    </row>
    <row r="218" spans="2:19" x14ac:dyDescent="0.25">
      <c r="B218" s="1"/>
      <c r="C218" s="3"/>
      <c r="D218" s="3"/>
      <c r="G218" s="1"/>
      <c r="H218" s="3"/>
      <c r="I218" s="3"/>
      <c r="M218" s="1"/>
      <c r="N218" s="3"/>
      <c r="O218" s="3"/>
      <c r="P218" s="3"/>
      <c r="R218" s="1"/>
      <c r="S218" s="3"/>
    </row>
    <row r="219" spans="2:19" x14ac:dyDescent="0.25">
      <c r="B219" s="1"/>
      <c r="C219" s="3"/>
      <c r="D219" s="3"/>
      <c r="G219" s="1"/>
      <c r="H219" s="3"/>
      <c r="I219" s="3"/>
      <c r="M219" s="1"/>
      <c r="N219" s="3"/>
      <c r="O219" s="3"/>
      <c r="P219" s="3"/>
      <c r="R219" s="1"/>
      <c r="S219" s="3"/>
    </row>
    <row r="220" spans="2:19" x14ac:dyDescent="0.25">
      <c r="B220" s="1"/>
      <c r="C220" s="3"/>
      <c r="D220" s="3"/>
      <c r="G220" s="1"/>
      <c r="H220" s="3"/>
      <c r="I220" s="3"/>
      <c r="M220" s="1"/>
      <c r="N220" s="3"/>
      <c r="O220" s="3"/>
      <c r="P220" s="3"/>
      <c r="R220" s="1"/>
      <c r="S220" s="3"/>
    </row>
    <row r="221" spans="2:19" x14ac:dyDescent="0.25">
      <c r="B221" s="1"/>
      <c r="C221" s="3"/>
      <c r="D221" s="3"/>
      <c r="G221" s="1"/>
      <c r="H221" s="3"/>
      <c r="I221" s="3"/>
      <c r="M221" s="1"/>
      <c r="N221" s="3"/>
      <c r="O221" s="3"/>
      <c r="P221" s="3"/>
      <c r="R221" s="1"/>
      <c r="S221" s="3"/>
    </row>
    <row r="222" spans="2:19" x14ac:dyDescent="0.25">
      <c r="B222" s="1"/>
      <c r="C222" s="3"/>
      <c r="D222" s="3"/>
      <c r="G222" s="1"/>
      <c r="H222" s="3"/>
      <c r="I222" s="3"/>
      <c r="M222" s="1"/>
      <c r="N222" s="3"/>
      <c r="O222" s="3"/>
      <c r="P222" s="3"/>
      <c r="R222" s="1"/>
      <c r="S222" s="3"/>
    </row>
    <row r="223" spans="2:19" x14ac:dyDescent="0.25">
      <c r="B223" s="1"/>
      <c r="C223" s="3"/>
      <c r="D223" s="3"/>
      <c r="G223" s="1"/>
      <c r="H223" s="3"/>
      <c r="I223" s="3"/>
      <c r="M223" s="1"/>
      <c r="N223" s="3"/>
      <c r="O223" s="3"/>
      <c r="P223" s="3"/>
      <c r="R223" s="1"/>
      <c r="S223" s="3"/>
    </row>
    <row r="224" spans="2:19" x14ac:dyDescent="0.25">
      <c r="B224" s="1"/>
      <c r="C224" s="3"/>
      <c r="D224" s="3"/>
      <c r="G224" s="1"/>
      <c r="H224" s="3"/>
      <c r="I224" s="3"/>
      <c r="M224" s="1"/>
      <c r="N224" s="3"/>
      <c r="O224" s="3"/>
      <c r="P224" s="3"/>
      <c r="R224" s="1"/>
      <c r="S224" s="3"/>
    </row>
    <row r="225" spans="2:19" x14ac:dyDescent="0.25">
      <c r="B225" s="1"/>
      <c r="C225" s="3"/>
      <c r="D225" s="3"/>
      <c r="G225" s="1"/>
      <c r="H225" s="3"/>
      <c r="I225" s="3"/>
      <c r="M225" s="1"/>
      <c r="N225" s="3"/>
      <c r="O225" s="3"/>
      <c r="P225" s="3"/>
      <c r="R225" s="1"/>
      <c r="S225" s="3"/>
    </row>
    <row r="226" spans="2:19" x14ac:dyDescent="0.25">
      <c r="B226" s="1"/>
      <c r="C226" s="3"/>
      <c r="D226" s="3"/>
      <c r="G226" s="1"/>
      <c r="H226" s="3"/>
      <c r="I226" s="3"/>
      <c r="M226" s="1"/>
      <c r="N226" s="3"/>
      <c r="O226" s="3"/>
      <c r="P226" s="3"/>
      <c r="R226" s="1"/>
      <c r="S226" s="3"/>
    </row>
    <row r="227" spans="2:19" x14ac:dyDescent="0.25">
      <c r="B227" s="1"/>
      <c r="C227" s="3"/>
      <c r="D227" s="3"/>
      <c r="G227" s="1"/>
      <c r="H227" s="3"/>
      <c r="I227" s="3"/>
      <c r="M227" s="1"/>
      <c r="N227" s="3"/>
      <c r="O227" s="3"/>
      <c r="P227" s="3"/>
      <c r="R227" s="1"/>
      <c r="S227" s="3"/>
    </row>
    <row r="228" spans="2:19" x14ac:dyDescent="0.25">
      <c r="B228" s="1"/>
      <c r="C228" s="3"/>
      <c r="D228" s="3"/>
      <c r="G228" s="1"/>
      <c r="H228" s="3"/>
      <c r="I228" s="3"/>
      <c r="M228" s="1"/>
      <c r="N228" s="3"/>
      <c r="O228" s="3"/>
      <c r="P228" s="3"/>
      <c r="R228" s="1"/>
      <c r="S228" s="3"/>
    </row>
    <row r="229" spans="2:19" x14ac:dyDescent="0.25">
      <c r="B229" s="1"/>
      <c r="C229" s="3"/>
      <c r="D229" s="3"/>
      <c r="G229" s="1"/>
      <c r="H229" s="3"/>
      <c r="I229" s="3"/>
      <c r="M229" s="1"/>
      <c r="N229" s="3"/>
      <c r="O229" s="3"/>
      <c r="P229" s="3"/>
      <c r="R229" s="1"/>
      <c r="S229" s="3"/>
    </row>
    <row r="230" spans="2:19" x14ac:dyDescent="0.25">
      <c r="B230" s="1"/>
      <c r="C230" s="3"/>
      <c r="D230" s="3"/>
      <c r="G230" s="1"/>
      <c r="H230" s="3"/>
      <c r="I230" s="3"/>
      <c r="M230" s="1"/>
      <c r="N230" s="3"/>
      <c r="O230" s="3"/>
      <c r="P230" s="3"/>
      <c r="R230" s="1"/>
      <c r="S230" s="3"/>
    </row>
    <row r="231" spans="2:19" x14ac:dyDescent="0.25">
      <c r="B231" s="1"/>
      <c r="C231" s="3"/>
      <c r="D231" s="3"/>
      <c r="G231" s="1"/>
      <c r="H231" s="3"/>
      <c r="I231" s="3"/>
      <c r="M231" s="1"/>
      <c r="N231" s="3"/>
      <c r="O231" s="3"/>
      <c r="P231" s="3"/>
      <c r="R231" s="1"/>
      <c r="S231" s="3"/>
    </row>
    <row r="232" spans="2:19" x14ac:dyDescent="0.25">
      <c r="B232" s="1"/>
      <c r="C232" s="3"/>
      <c r="D232" s="3"/>
      <c r="G232" s="1"/>
      <c r="H232" s="3"/>
      <c r="I232" s="3"/>
      <c r="M232" s="1"/>
      <c r="N232" s="3"/>
      <c r="O232" s="3"/>
      <c r="P232" s="3"/>
      <c r="R232" s="1"/>
      <c r="S232" s="3"/>
    </row>
    <row r="233" spans="2:19" x14ac:dyDescent="0.25">
      <c r="B233" s="1"/>
      <c r="C233" s="3"/>
      <c r="D233" s="3"/>
      <c r="G233" s="1"/>
      <c r="H233" s="3"/>
      <c r="I233" s="3"/>
      <c r="M233" s="1"/>
      <c r="N233" s="3"/>
      <c r="O233" s="3"/>
      <c r="P233" s="3"/>
      <c r="R233" s="1"/>
      <c r="S233" s="3"/>
    </row>
    <row r="234" spans="2:19" x14ac:dyDescent="0.25">
      <c r="B234" s="1"/>
      <c r="C234" s="3"/>
      <c r="D234" s="3"/>
      <c r="G234" s="1"/>
      <c r="H234" s="3"/>
      <c r="I234" s="3"/>
      <c r="M234" s="1"/>
      <c r="N234" s="3"/>
      <c r="O234" s="3"/>
      <c r="P234" s="3"/>
      <c r="R234" s="1"/>
      <c r="S234" s="3"/>
    </row>
    <row r="235" spans="2:19" x14ac:dyDescent="0.25">
      <c r="B235" s="1"/>
      <c r="C235" s="3"/>
      <c r="D235" s="3"/>
      <c r="G235" s="1"/>
      <c r="H235" s="3"/>
      <c r="I235" s="3"/>
      <c r="M235" s="1"/>
      <c r="N235" s="3"/>
      <c r="O235" s="3"/>
      <c r="P235" s="3"/>
      <c r="R235" s="1"/>
      <c r="S235" s="3"/>
    </row>
    <row r="236" spans="2:19" x14ac:dyDescent="0.25">
      <c r="B236" s="1"/>
      <c r="C236" s="3"/>
      <c r="D236" s="3"/>
      <c r="G236" s="1"/>
      <c r="H236" s="3"/>
      <c r="I236" s="3"/>
      <c r="M236" s="1"/>
      <c r="N236" s="3"/>
      <c r="O236" s="3"/>
      <c r="P236" s="3"/>
      <c r="R236" s="1"/>
      <c r="S236" s="3"/>
    </row>
    <row r="237" spans="2:19" x14ac:dyDescent="0.25">
      <c r="B237" s="1"/>
      <c r="C237" s="3"/>
      <c r="D237" s="3"/>
      <c r="G237" s="1"/>
      <c r="H237" s="3"/>
      <c r="I237" s="3"/>
      <c r="M237" s="1"/>
      <c r="N237" s="3"/>
      <c r="O237" s="3"/>
      <c r="P237" s="3"/>
      <c r="R237" s="1"/>
      <c r="S237" s="3"/>
    </row>
    <row r="238" spans="2:19" x14ac:dyDescent="0.25">
      <c r="B238" s="1"/>
      <c r="C238" s="3"/>
      <c r="D238" s="3"/>
      <c r="G238" s="1"/>
      <c r="H238" s="3"/>
      <c r="I238" s="3"/>
      <c r="M238" s="1"/>
      <c r="N238" s="3"/>
      <c r="O238" s="3"/>
      <c r="P238" s="3"/>
      <c r="R238" s="1"/>
      <c r="S238" s="3"/>
    </row>
    <row r="239" spans="2:19" x14ac:dyDescent="0.25">
      <c r="B239" s="1"/>
      <c r="C239" s="3"/>
      <c r="D239" s="3"/>
      <c r="G239" s="1"/>
      <c r="H239" s="3"/>
      <c r="I239" s="3"/>
      <c r="M239" s="1"/>
      <c r="N239" s="3"/>
      <c r="O239" s="3"/>
      <c r="P239" s="3"/>
      <c r="R239" s="1"/>
      <c r="S239" s="3"/>
    </row>
    <row r="240" spans="2:19" x14ac:dyDescent="0.25">
      <c r="B240" s="1"/>
      <c r="C240" s="3"/>
      <c r="D240" s="3"/>
      <c r="G240" s="1"/>
      <c r="H240" s="3"/>
      <c r="I240" s="3"/>
      <c r="M240" s="1"/>
      <c r="N240" s="3"/>
      <c r="O240" s="3"/>
      <c r="P240" s="3"/>
      <c r="R240" s="1"/>
      <c r="S240" s="3"/>
    </row>
    <row r="241" spans="2:19" x14ac:dyDescent="0.25">
      <c r="B241" s="1"/>
      <c r="C241" s="3"/>
      <c r="D241" s="3"/>
      <c r="G241" s="1"/>
      <c r="H241" s="3"/>
      <c r="I241" s="3"/>
      <c r="M241" s="1"/>
      <c r="N241" s="3"/>
      <c r="O241" s="3"/>
      <c r="P241" s="3"/>
      <c r="R241" s="1"/>
      <c r="S241" s="3"/>
    </row>
    <row r="242" spans="2:19" x14ac:dyDescent="0.25">
      <c r="B242" s="1"/>
      <c r="C242" s="3"/>
      <c r="D242" s="3"/>
      <c r="G242" s="1"/>
      <c r="H242" s="3"/>
      <c r="I242" s="3"/>
      <c r="M242" s="1"/>
      <c r="N242" s="3"/>
      <c r="O242" s="3"/>
      <c r="P242" s="3"/>
      <c r="R242" s="1"/>
      <c r="S242" s="3"/>
    </row>
    <row r="243" spans="2:19" x14ac:dyDescent="0.25">
      <c r="B243" s="1"/>
      <c r="C243" s="3"/>
      <c r="D243" s="3"/>
      <c r="G243" s="1"/>
      <c r="H243" s="3"/>
      <c r="I243" s="3"/>
      <c r="M243" s="1"/>
      <c r="N243" s="3"/>
      <c r="O243" s="3"/>
      <c r="P243" s="3"/>
      <c r="R243" s="1"/>
      <c r="S243" s="3"/>
    </row>
    <row r="244" spans="2:19" x14ac:dyDescent="0.25">
      <c r="B244" s="1"/>
      <c r="C244" s="3"/>
      <c r="D244" s="3"/>
      <c r="G244" s="1"/>
      <c r="H244" s="3"/>
      <c r="I244" s="3"/>
      <c r="M244" s="1"/>
      <c r="N244" s="3"/>
      <c r="O244" s="3"/>
      <c r="P244" s="3"/>
      <c r="R244" s="1"/>
      <c r="S244" s="3"/>
    </row>
    <row r="245" spans="2:19" x14ac:dyDescent="0.25">
      <c r="B245" s="1"/>
      <c r="C245" s="3"/>
      <c r="D245" s="3"/>
      <c r="G245" s="1"/>
      <c r="H245" s="3"/>
      <c r="I245" s="3"/>
      <c r="M245" s="1"/>
      <c r="N245" s="3"/>
      <c r="O245" s="3"/>
      <c r="P245" s="3"/>
      <c r="R245" s="1"/>
      <c r="S245" s="3"/>
    </row>
    <row r="246" spans="2:19" x14ac:dyDescent="0.25">
      <c r="B246" s="1"/>
      <c r="C246" s="3"/>
      <c r="D246" s="3"/>
      <c r="G246" s="1"/>
      <c r="H246" s="3"/>
      <c r="I246" s="3"/>
      <c r="M246" s="1"/>
      <c r="N246" s="3"/>
      <c r="O246" s="3"/>
      <c r="P246" s="3"/>
      <c r="R246" s="1"/>
      <c r="S246" s="3"/>
    </row>
    <row r="247" spans="2:19" x14ac:dyDescent="0.25">
      <c r="B247" s="1"/>
      <c r="C247" s="3"/>
      <c r="D247" s="3"/>
      <c r="G247" s="1"/>
      <c r="H247" s="3"/>
      <c r="I247" s="3"/>
      <c r="M247" s="1"/>
      <c r="N247" s="3"/>
      <c r="O247" s="3"/>
      <c r="P247" s="3"/>
      <c r="R247" s="1"/>
      <c r="S247" s="3"/>
    </row>
    <row r="248" spans="2:19" x14ac:dyDescent="0.25">
      <c r="B248" s="1"/>
      <c r="C248" s="3"/>
      <c r="D248" s="3"/>
      <c r="G248" s="1"/>
      <c r="H248" s="3"/>
      <c r="I248" s="3"/>
      <c r="M248" s="1"/>
      <c r="N248" s="3"/>
      <c r="O248" s="3"/>
      <c r="P248" s="3"/>
      <c r="R248" s="1"/>
      <c r="S248" s="3"/>
    </row>
    <row r="249" spans="2:19" x14ac:dyDescent="0.25">
      <c r="B249" s="1"/>
      <c r="C249" s="3"/>
      <c r="D249" s="3"/>
      <c r="G249" s="1"/>
      <c r="H249" s="3"/>
      <c r="I249" s="3"/>
      <c r="M249" s="1"/>
      <c r="N249" s="3"/>
      <c r="O249" s="3"/>
      <c r="P249" s="3"/>
      <c r="R249" s="1"/>
      <c r="S249" s="3"/>
    </row>
    <row r="250" spans="2:19" x14ac:dyDescent="0.25">
      <c r="B250" s="1"/>
      <c r="C250" s="3"/>
      <c r="D250" s="3"/>
      <c r="G250" s="1"/>
      <c r="H250" s="3"/>
      <c r="I250" s="3"/>
      <c r="M250" s="1"/>
      <c r="N250" s="3"/>
      <c r="O250" s="3"/>
      <c r="P250" s="3"/>
      <c r="R250" s="1"/>
      <c r="S250" s="3"/>
    </row>
    <row r="251" spans="2:19" x14ac:dyDescent="0.25">
      <c r="B251" s="1"/>
      <c r="C251" s="3"/>
      <c r="D251" s="3"/>
      <c r="G251" s="1"/>
      <c r="H251" s="3"/>
      <c r="I251" s="3"/>
      <c r="M251" s="1"/>
      <c r="N251" s="3"/>
      <c r="O251" s="3"/>
      <c r="P251" s="3"/>
      <c r="R251" s="1"/>
      <c r="S251" s="3"/>
    </row>
    <row r="252" spans="2:19" x14ac:dyDescent="0.25">
      <c r="B252" s="1"/>
      <c r="C252" s="3"/>
      <c r="D252" s="3"/>
      <c r="G252" s="1"/>
      <c r="H252" s="3"/>
      <c r="I252" s="3"/>
      <c r="M252" s="1"/>
      <c r="N252" s="3"/>
      <c r="O252" s="3"/>
      <c r="P252" s="3"/>
      <c r="R252" s="1"/>
      <c r="S252" s="3"/>
    </row>
    <row r="253" spans="2:19" x14ac:dyDescent="0.25">
      <c r="B253" s="1"/>
      <c r="C253" s="3"/>
      <c r="D253" s="3"/>
      <c r="G253" s="1"/>
      <c r="H253" s="3"/>
      <c r="I253" s="3"/>
      <c r="M253" s="1"/>
      <c r="N253" s="3"/>
      <c r="O253" s="3"/>
      <c r="P253" s="3"/>
      <c r="R253" s="1"/>
      <c r="S253" s="3"/>
    </row>
    <row r="254" spans="2:19" x14ac:dyDescent="0.25">
      <c r="B254" s="1"/>
      <c r="C254" s="3"/>
      <c r="D254" s="3"/>
      <c r="G254" s="1"/>
      <c r="H254" s="3"/>
      <c r="I254" s="3"/>
      <c r="M254" s="1"/>
      <c r="N254" s="3"/>
      <c r="O254" s="3"/>
      <c r="P254" s="3"/>
      <c r="R254" s="1"/>
      <c r="S254" s="3"/>
    </row>
    <row r="255" spans="2:19" x14ac:dyDescent="0.25">
      <c r="B255" s="1"/>
      <c r="C255" s="3"/>
      <c r="D255" s="3"/>
      <c r="G255" s="1"/>
      <c r="H255" s="3"/>
      <c r="I255" s="3"/>
      <c r="M255" s="1"/>
      <c r="N255" s="3"/>
      <c r="O255" s="3"/>
      <c r="P255" s="3"/>
      <c r="R255" s="1"/>
      <c r="S255" s="3"/>
    </row>
    <row r="256" spans="2:19" x14ac:dyDescent="0.25">
      <c r="B256" s="1"/>
      <c r="C256" s="3"/>
      <c r="D256" s="3"/>
      <c r="G256" s="1"/>
      <c r="H256" s="3"/>
      <c r="I256" s="3"/>
      <c r="M256" s="1"/>
      <c r="N256" s="3"/>
      <c r="O256" s="3"/>
      <c r="P256" s="3"/>
      <c r="R256" s="1"/>
      <c r="S256" s="3"/>
    </row>
    <row r="257" spans="2:19" x14ac:dyDescent="0.25">
      <c r="B257" s="1"/>
      <c r="C257" s="3"/>
      <c r="D257" s="3"/>
      <c r="G257" s="1"/>
      <c r="H257" s="3"/>
      <c r="I257" s="3"/>
      <c r="M257" s="1"/>
      <c r="N257" s="3"/>
      <c r="O257" s="3"/>
      <c r="P257" s="3"/>
      <c r="R257" s="1"/>
      <c r="S257" s="3"/>
    </row>
    <row r="258" spans="2:19" x14ac:dyDescent="0.25">
      <c r="B258" s="1"/>
      <c r="C258" s="3"/>
      <c r="D258" s="3"/>
      <c r="G258" s="1"/>
      <c r="H258" s="3"/>
      <c r="I258" s="3"/>
      <c r="M258" s="1"/>
      <c r="N258" s="3"/>
      <c r="O258" s="3"/>
      <c r="P258" s="3"/>
      <c r="R258" s="1"/>
      <c r="S258" s="3"/>
    </row>
    <row r="259" spans="2:19" x14ac:dyDescent="0.25">
      <c r="B259" s="1"/>
      <c r="C259" s="3"/>
      <c r="D259" s="3"/>
      <c r="G259" s="1"/>
      <c r="H259" s="3"/>
      <c r="I259" s="3"/>
      <c r="M259" s="1"/>
      <c r="N259" s="3"/>
      <c r="O259" s="3"/>
      <c r="P259" s="3"/>
      <c r="R259" s="1"/>
      <c r="S259" s="3"/>
    </row>
    <row r="260" spans="2:19" x14ac:dyDescent="0.25">
      <c r="B260" s="1"/>
      <c r="C260" s="3"/>
      <c r="D260" s="3"/>
      <c r="G260" s="1"/>
      <c r="H260" s="3"/>
      <c r="I260" s="3"/>
      <c r="M260" s="1"/>
      <c r="N260" s="3"/>
      <c r="O260" s="3"/>
      <c r="P260" s="3"/>
      <c r="R260" s="1"/>
      <c r="S260" s="3"/>
    </row>
    <row r="261" spans="2:19" x14ac:dyDescent="0.25">
      <c r="B261" s="1"/>
      <c r="C261" s="3"/>
      <c r="D261" s="3"/>
      <c r="G261" s="1"/>
      <c r="H261" s="3"/>
      <c r="I261" s="3"/>
      <c r="M261" s="1"/>
      <c r="N261" s="3"/>
      <c r="O261" s="3"/>
      <c r="P261" s="3"/>
      <c r="R261" s="1"/>
      <c r="S261" s="3"/>
    </row>
    <row r="262" spans="2:19" x14ac:dyDescent="0.25">
      <c r="B262" s="1"/>
      <c r="C262" s="3"/>
      <c r="D262" s="3"/>
      <c r="G262" s="1"/>
      <c r="H262" s="3"/>
      <c r="I262" s="3"/>
      <c r="M262" s="1"/>
      <c r="N262" s="3"/>
      <c r="O262" s="3"/>
      <c r="P262" s="3"/>
      <c r="R262" s="1"/>
      <c r="S262" s="3"/>
    </row>
    <row r="263" spans="2:19" x14ac:dyDescent="0.25">
      <c r="B263" s="1"/>
      <c r="C263" s="3"/>
      <c r="D263" s="3"/>
      <c r="G263" s="1"/>
      <c r="H263" s="3"/>
      <c r="I263" s="3"/>
      <c r="M263" s="1"/>
      <c r="N263" s="3"/>
      <c r="O263" s="3"/>
      <c r="P263" s="3"/>
      <c r="R263" s="1"/>
      <c r="S263" s="3"/>
    </row>
    <row r="264" spans="2:19" x14ac:dyDescent="0.25">
      <c r="B264" s="1"/>
      <c r="C264" s="3"/>
      <c r="D264" s="3"/>
      <c r="G264" s="1"/>
      <c r="H264" s="3"/>
      <c r="I264" s="3"/>
      <c r="M264" s="1"/>
      <c r="N264" s="3"/>
      <c r="O264" s="3"/>
      <c r="P264" s="3"/>
      <c r="R264" s="1"/>
      <c r="S264" s="3"/>
    </row>
    <row r="265" spans="2:19" x14ac:dyDescent="0.25">
      <c r="B265" s="1"/>
      <c r="C265" s="3"/>
      <c r="D265" s="3"/>
      <c r="G265" s="1"/>
      <c r="H265" s="3"/>
      <c r="I265" s="3"/>
      <c r="M265" s="1"/>
      <c r="N265" s="3"/>
      <c r="O265" s="3"/>
      <c r="P265" s="3"/>
      <c r="R265" s="1"/>
      <c r="S265" s="3"/>
    </row>
    <row r="266" spans="2:19" x14ac:dyDescent="0.25">
      <c r="B266" s="1"/>
      <c r="C266" s="3"/>
      <c r="D266" s="3"/>
      <c r="G266" s="1"/>
      <c r="H266" s="3"/>
      <c r="I266" s="3"/>
      <c r="M266" s="1"/>
      <c r="N266" s="3"/>
      <c r="O266" s="3"/>
      <c r="P266" s="3"/>
      <c r="R266" s="1"/>
      <c r="S266" s="3"/>
    </row>
    <row r="267" spans="2:19" x14ac:dyDescent="0.25">
      <c r="B267" s="1"/>
      <c r="C267" s="3"/>
      <c r="D267" s="3"/>
      <c r="G267" s="1"/>
      <c r="H267" s="3"/>
      <c r="I267" s="3"/>
      <c r="M267" s="1"/>
      <c r="N267" s="3"/>
      <c r="O267" s="3"/>
      <c r="P267" s="3"/>
      <c r="R267" s="1"/>
      <c r="S267" s="3"/>
    </row>
    <row r="268" spans="2:19" x14ac:dyDescent="0.25">
      <c r="B268" s="1"/>
      <c r="C268" s="3"/>
      <c r="D268" s="3"/>
      <c r="G268" s="1"/>
      <c r="H268" s="3"/>
      <c r="I268" s="3"/>
      <c r="M268" s="1"/>
      <c r="N268" s="3"/>
      <c r="O268" s="3"/>
      <c r="P268" s="3"/>
      <c r="R268" s="1"/>
      <c r="S268" s="3"/>
    </row>
    <row r="269" spans="2:19" x14ac:dyDescent="0.25">
      <c r="B269" s="1"/>
      <c r="C269" s="3"/>
      <c r="D269" s="3"/>
      <c r="G269" s="1"/>
      <c r="H269" s="3"/>
      <c r="I269" s="3"/>
      <c r="M269" s="1"/>
      <c r="N269" s="3"/>
      <c r="O269" s="3"/>
      <c r="P269" s="3"/>
      <c r="R269" s="1"/>
      <c r="S269" s="3"/>
    </row>
    <row r="270" spans="2:19" x14ac:dyDescent="0.25">
      <c r="B270" s="1"/>
      <c r="C270" s="3"/>
      <c r="D270" s="3"/>
      <c r="G270" s="1"/>
      <c r="H270" s="3"/>
      <c r="I270" s="3"/>
      <c r="M270" s="1"/>
      <c r="N270" s="3"/>
      <c r="O270" s="3"/>
      <c r="P270" s="3"/>
      <c r="R270" s="1"/>
      <c r="S270" s="3"/>
    </row>
    <row r="271" spans="2:19" x14ac:dyDescent="0.25">
      <c r="B271" s="1"/>
      <c r="C271" s="3"/>
      <c r="D271" s="3"/>
      <c r="G271" s="1"/>
      <c r="H271" s="3"/>
      <c r="I271" s="3"/>
      <c r="M271" s="1"/>
      <c r="N271" s="3"/>
      <c r="O271" s="3"/>
      <c r="P271" s="3"/>
      <c r="R271" s="1"/>
      <c r="S271" s="3"/>
    </row>
    <row r="272" spans="2:19" x14ac:dyDescent="0.25">
      <c r="B272" s="1"/>
      <c r="C272" s="3"/>
      <c r="D272" s="3"/>
      <c r="G272" s="1"/>
      <c r="H272" s="3"/>
      <c r="I272" s="3"/>
      <c r="M272" s="1"/>
      <c r="N272" s="3"/>
      <c r="O272" s="3"/>
      <c r="P272" s="3"/>
      <c r="R272" s="1"/>
      <c r="S272" s="3"/>
    </row>
    <row r="273" spans="2:19" x14ac:dyDescent="0.25">
      <c r="B273" s="1"/>
      <c r="C273" s="3"/>
      <c r="D273" s="3"/>
      <c r="G273" s="1"/>
      <c r="H273" s="3"/>
      <c r="I273" s="3"/>
      <c r="M273" s="1"/>
      <c r="N273" s="3"/>
      <c r="O273" s="3"/>
      <c r="P273" s="3"/>
      <c r="R273" s="1"/>
      <c r="S273" s="3"/>
    </row>
    <row r="274" spans="2:19" x14ac:dyDescent="0.25">
      <c r="B274" s="1"/>
      <c r="C274" s="3"/>
      <c r="D274" s="3"/>
      <c r="G274" s="1"/>
      <c r="H274" s="3"/>
      <c r="I274" s="3"/>
      <c r="M274" s="1"/>
      <c r="N274" s="3"/>
      <c r="O274" s="3"/>
      <c r="P274" s="3"/>
      <c r="R274" s="1"/>
      <c r="S274" s="3"/>
    </row>
    <row r="275" spans="2:19" x14ac:dyDescent="0.25">
      <c r="B275" s="1"/>
      <c r="C275" s="3"/>
      <c r="D275" s="3"/>
      <c r="G275" s="1"/>
      <c r="H275" s="3"/>
      <c r="I275" s="3"/>
      <c r="M275" s="1"/>
      <c r="N275" s="3"/>
      <c r="O275" s="3"/>
      <c r="P275" s="3"/>
      <c r="R275" s="1"/>
      <c r="S275" s="3"/>
    </row>
    <row r="276" spans="2:19" x14ac:dyDescent="0.25">
      <c r="B276" s="1"/>
      <c r="C276" s="3"/>
      <c r="D276" s="3"/>
      <c r="G276" s="1"/>
      <c r="H276" s="3"/>
      <c r="I276" s="3"/>
      <c r="M276" s="1"/>
      <c r="N276" s="3"/>
      <c r="O276" s="3"/>
      <c r="P276" s="3"/>
      <c r="R276" s="1"/>
      <c r="S276" s="3"/>
    </row>
    <row r="277" spans="2:19" x14ac:dyDescent="0.25">
      <c r="B277" s="1"/>
      <c r="C277" s="3"/>
      <c r="D277" s="3"/>
      <c r="G277" s="1"/>
      <c r="H277" s="3"/>
      <c r="I277" s="3"/>
      <c r="M277" s="1"/>
      <c r="N277" s="3"/>
      <c r="O277" s="3"/>
      <c r="P277" s="3"/>
      <c r="R277" s="1"/>
      <c r="S277" s="3"/>
    </row>
    <row r="278" spans="2:19" x14ac:dyDescent="0.25">
      <c r="B278" s="1"/>
      <c r="C278" s="3"/>
      <c r="D278" s="3"/>
      <c r="G278" s="1"/>
      <c r="H278" s="3"/>
      <c r="I278" s="3"/>
      <c r="M278" s="1"/>
      <c r="N278" s="3"/>
      <c r="O278" s="3"/>
      <c r="P278" s="3"/>
      <c r="R278" s="1"/>
      <c r="S278" s="3"/>
    </row>
    <row r="279" spans="2:19" x14ac:dyDescent="0.25">
      <c r="B279" s="1"/>
      <c r="C279" s="3"/>
      <c r="D279" s="3"/>
      <c r="G279" s="1"/>
      <c r="H279" s="3"/>
      <c r="I279" s="3"/>
      <c r="M279" s="1"/>
      <c r="N279" s="3"/>
      <c r="O279" s="3"/>
      <c r="P279" s="3"/>
      <c r="R279" s="1"/>
      <c r="S279" s="3"/>
    </row>
    <row r="280" spans="2:19" x14ac:dyDescent="0.25">
      <c r="B280" s="1"/>
      <c r="C280" s="3"/>
      <c r="D280" s="3"/>
      <c r="G280" s="1"/>
      <c r="H280" s="3"/>
      <c r="I280" s="3"/>
      <c r="M280" s="1"/>
      <c r="N280" s="3"/>
      <c r="O280" s="3"/>
      <c r="P280" s="3"/>
      <c r="R280" s="1"/>
      <c r="S280" s="3"/>
    </row>
    <row r="281" spans="2:19" x14ac:dyDescent="0.25">
      <c r="B281" s="1"/>
      <c r="C281" s="3"/>
      <c r="D281" s="3"/>
      <c r="G281" s="1"/>
      <c r="H281" s="3"/>
      <c r="I281" s="3"/>
      <c r="M281" s="1"/>
      <c r="N281" s="3"/>
      <c r="O281" s="3"/>
      <c r="P281" s="3"/>
      <c r="R281" s="1"/>
      <c r="S281" s="3"/>
    </row>
    <row r="282" spans="2:19" x14ac:dyDescent="0.25">
      <c r="B282" s="1"/>
      <c r="C282" s="3"/>
      <c r="D282" s="3"/>
      <c r="G282" s="1"/>
      <c r="H282" s="3"/>
      <c r="I282" s="3"/>
      <c r="M282" s="1"/>
      <c r="N282" s="3"/>
      <c r="O282" s="3"/>
      <c r="P282" s="3"/>
      <c r="R282" s="1"/>
      <c r="S282" s="3"/>
    </row>
    <row r="283" spans="2:19" x14ac:dyDescent="0.25">
      <c r="B283" s="1"/>
      <c r="C283" s="3"/>
      <c r="D283" s="3"/>
      <c r="G283" s="1"/>
      <c r="H283" s="3"/>
      <c r="I283" s="3"/>
      <c r="M283" s="1"/>
      <c r="N283" s="3"/>
      <c r="O283" s="3"/>
      <c r="P283" s="3"/>
      <c r="R283" s="1"/>
      <c r="S283" s="3"/>
    </row>
    <row r="284" spans="2:19" x14ac:dyDescent="0.25">
      <c r="B284" s="1"/>
      <c r="C284" s="3"/>
      <c r="D284" s="3"/>
      <c r="G284" s="1"/>
      <c r="H284" s="3"/>
      <c r="I284" s="3"/>
      <c r="M284" s="1"/>
      <c r="N284" s="3"/>
      <c r="O284" s="3"/>
      <c r="P284" s="3"/>
      <c r="R284" s="1"/>
      <c r="S284" s="3"/>
    </row>
    <row r="285" spans="2:19" x14ac:dyDescent="0.25">
      <c r="B285" s="1"/>
      <c r="C285" s="3"/>
      <c r="D285" s="3"/>
      <c r="G285" s="1"/>
      <c r="H285" s="3"/>
      <c r="I285" s="3"/>
      <c r="M285" s="1"/>
      <c r="N285" s="3"/>
      <c r="O285" s="3"/>
      <c r="P285" s="3"/>
      <c r="R285" s="1"/>
      <c r="S285" s="3"/>
    </row>
    <row r="286" spans="2:19" x14ac:dyDescent="0.25">
      <c r="B286" s="1"/>
      <c r="C286" s="3"/>
      <c r="D286" s="3"/>
      <c r="G286" s="1"/>
      <c r="H286" s="3"/>
      <c r="I286" s="3"/>
      <c r="M286" s="1"/>
      <c r="N286" s="3"/>
      <c r="O286" s="3"/>
      <c r="P286" s="3"/>
      <c r="R286" s="1"/>
      <c r="S286" s="3"/>
    </row>
    <row r="287" spans="2:19" x14ac:dyDescent="0.25">
      <c r="B287" s="1"/>
      <c r="C287" s="3"/>
      <c r="D287" s="3"/>
      <c r="G287" s="1"/>
      <c r="H287" s="3"/>
      <c r="I287" s="3"/>
      <c r="M287" s="1"/>
      <c r="N287" s="3"/>
      <c r="O287" s="3"/>
      <c r="P287" s="3"/>
      <c r="R287" s="1"/>
      <c r="S287" s="3"/>
    </row>
    <row r="288" spans="2:19" x14ac:dyDescent="0.25">
      <c r="B288" s="1"/>
      <c r="C288" s="3"/>
      <c r="D288" s="3"/>
      <c r="G288" s="1"/>
      <c r="H288" s="3"/>
      <c r="I288" s="3"/>
      <c r="M288" s="1"/>
      <c r="N288" s="3"/>
      <c r="O288" s="3"/>
      <c r="P288" s="3"/>
      <c r="R288" s="1"/>
      <c r="S288" s="3"/>
    </row>
    <row r="289" spans="2:19" x14ac:dyDescent="0.25">
      <c r="B289" s="1"/>
      <c r="C289" s="3"/>
      <c r="D289" s="3"/>
      <c r="G289" s="1"/>
      <c r="H289" s="3"/>
      <c r="I289" s="3"/>
      <c r="M289" s="1"/>
      <c r="N289" s="3"/>
      <c r="O289" s="3"/>
      <c r="P289" s="3"/>
      <c r="R289" s="1"/>
      <c r="S289" s="3"/>
    </row>
    <row r="290" spans="2:19" x14ac:dyDescent="0.25">
      <c r="B290" s="1"/>
      <c r="C290" s="3"/>
      <c r="D290" s="3"/>
      <c r="G290" s="1"/>
      <c r="H290" s="3"/>
      <c r="I290" s="3"/>
      <c r="M290" s="1"/>
      <c r="N290" s="3"/>
      <c r="O290" s="3"/>
      <c r="P290" s="3"/>
      <c r="R290" s="1"/>
      <c r="S290" s="3"/>
    </row>
    <row r="291" spans="2:19" x14ac:dyDescent="0.25">
      <c r="B291" s="1"/>
      <c r="C291" s="3"/>
      <c r="D291" s="3"/>
      <c r="G291" s="1"/>
      <c r="H291" s="3"/>
      <c r="I291" s="3"/>
      <c r="M291" s="1"/>
      <c r="N291" s="3"/>
      <c r="O291" s="3"/>
      <c r="P291" s="3"/>
      <c r="R291" s="1"/>
      <c r="S291" s="3"/>
    </row>
    <row r="292" spans="2:19" x14ac:dyDescent="0.25">
      <c r="B292" s="1"/>
      <c r="C292" s="3"/>
      <c r="D292" s="3"/>
      <c r="G292" s="1"/>
      <c r="H292" s="3"/>
      <c r="I292" s="3"/>
      <c r="M292" s="1"/>
      <c r="N292" s="3"/>
      <c r="O292" s="3"/>
      <c r="P292" s="3"/>
      <c r="R292" s="1"/>
      <c r="S292" s="3"/>
    </row>
    <row r="293" spans="2:19" x14ac:dyDescent="0.25">
      <c r="B293" s="1"/>
      <c r="C293" s="3"/>
      <c r="D293" s="3"/>
      <c r="G293" s="1"/>
      <c r="H293" s="3"/>
      <c r="I293" s="3"/>
      <c r="M293" s="1"/>
      <c r="N293" s="3"/>
      <c r="O293" s="3"/>
      <c r="P293" s="3"/>
      <c r="R293" s="1"/>
      <c r="S293" s="3"/>
    </row>
    <row r="294" spans="2:19" x14ac:dyDescent="0.25">
      <c r="B294" s="1"/>
      <c r="C294" s="3"/>
      <c r="D294" s="3"/>
      <c r="G294" s="1"/>
      <c r="H294" s="3"/>
      <c r="I294" s="3"/>
      <c r="M294" s="1"/>
      <c r="N294" s="3"/>
      <c r="O294" s="3"/>
      <c r="P294" s="3"/>
      <c r="R294" s="1"/>
      <c r="S294" s="3"/>
    </row>
    <row r="295" spans="2:19" x14ac:dyDescent="0.25">
      <c r="B295" s="1"/>
      <c r="C295" s="3"/>
      <c r="D295" s="3"/>
      <c r="G295" s="1"/>
      <c r="H295" s="3"/>
      <c r="I295" s="3"/>
      <c r="M295" s="1"/>
      <c r="N295" s="3"/>
      <c r="O295" s="3"/>
      <c r="P295" s="3"/>
      <c r="R295" s="1"/>
      <c r="S295" s="3"/>
    </row>
    <row r="296" spans="2:19" x14ac:dyDescent="0.25">
      <c r="B296" s="1"/>
      <c r="C296" s="3"/>
      <c r="D296" s="3"/>
      <c r="G296" s="1"/>
      <c r="H296" s="3"/>
      <c r="I296" s="3"/>
      <c r="M296" s="1"/>
      <c r="N296" s="3"/>
      <c r="O296" s="3"/>
      <c r="P296" s="3"/>
      <c r="R296" s="1"/>
      <c r="S296" s="3"/>
    </row>
    <row r="297" spans="2:19" x14ac:dyDescent="0.25">
      <c r="B297" s="1"/>
      <c r="C297" s="3"/>
      <c r="D297" s="3"/>
      <c r="G297" s="1"/>
      <c r="H297" s="3"/>
      <c r="I297" s="3"/>
      <c r="M297" s="1"/>
      <c r="N297" s="3"/>
      <c r="O297" s="3"/>
      <c r="P297" s="3"/>
      <c r="R297" s="1"/>
      <c r="S297" s="3"/>
    </row>
    <row r="298" spans="2:19" x14ac:dyDescent="0.25">
      <c r="B298" s="1"/>
      <c r="C298" s="3"/>
      <c r="D298" s="3"/>
      <c r="G298" s="1"/>
      <c r="H298" s="3"/>
      <c r="I298" s="3"/>
      <c r="M298" s="1"/>
      <c r="N298" s="3"/>
      <c r="O298" s="3"/>
      <c r="P298" s="3"/>
      <c r="R298" s="1"/>
      <c r="S298" s="3"/>
    </row>
    <row r="299" spans="2:19" x14ac:dyDescent="0.25">
      <c r="B299" s="1"/>
      <c r="C299" s="3"/>
      <c r="D299" s="3"/>
      <c r="G299" s="1"/>
      <c r="H299" s="3"/>
      <c r="I299" s="3"/>
      <c r="M299" s="1"/>
      <c r="N299" s="3"/>
      <c r="O299" s="3"/>
      <c r="P299" s="3"/>
      <c r="R299" s="1"/>
      <c r="S299" s="3"/>
    </row>
    <row r="300" spans="2:19" x14ac:dyDescent="0.25">
      <c r="B300" s="1"/>
      <c r="C300" s="3"/>
      <c r="D300" s="3"/>
      <c r="G300" s="1"/>
      <c r="H300" s="3"/>
      <c r="I300" s="3"/>
      <c r="M300" s="1"/>
      <c r="N300" s="3"/>
      <c r="O300" s="3"/>
      <c r="P300" s="3"/>
      <c r="R300" s="1"/>
      <c r="S300" s="3"/>
    </row>
    <row r="301" spans="2:19" x14ac:dyDescent="0.25">
      <c r="B301" s="1"/>
      <c r="C301" s="3"/>
      <c r="D301" s="3"/>
      <c r="G301" s="1"/>
      <c r="H301" s="3"/>
      <c r="I301" s="3"/>
      <c r="M301" s="1"/>
      <c r="N301" s="3"/>
      <c r="O301" s="3"/>
      <c r="P301" s="3"/>
      <c r="R301" s="1"/>
      <c r="S301" s="3"/>
    </row>
    <row r="302" spans="2:19" x14ac:dyDescent="0.25">
      <c r="B302" s="1"/>
      <c r="C302" s="3"/>
      <c r="D302" s="3"/>
      <c r="G302" s="1"/>
      <c r="H302" s="3"/>
      <c r="I302" s="3"/>
      <c r="M302" s="1"/>
      <c r="N302" s="3"/>
      <c r="O302" s="3"/>
      <c r="P302" s="3"/>
      <c r="R302" s="1"/>
      <c r="S302" s="3"/>
    </row>
    <row r="303" spans="2:19" x14ac:dyDescent="0.25">
      <c r="B303" s="1"/>
      <c r="C303" s="3"/>
      <c r="D303" s="3"/>
      <c r="G303" s="1"/>
      <c r="H303" s="3"/>
      <c r="I303" s="3"/>
      <c r="M303" s="1"/>
      <c r="N303" s="3"/>
      <c r="O303" s="3"/>
      <c r="P303" s="3"/>
      <c r="R303" s="1"/>
      <c r="S303" s="3"/>
    </row>
    <row r="304" spans="2:19" x14ac:dyDescent="0.25">
      <c r="B304" s="1"/>
      <c r="C304" s="3"/>
      <c r="D304" s="3"/>
      <c r="G304" s="1"/>
      <c r="H304" s="3"/>
      <c r="I304" s="3"/>
      <c r="M304" s="1"/>
      <c r="N304" s="3"/>
      <c r="O304" s="3"/>
      <c r="P304" s="3"/>
      <c r="R304" s="1"/>
      <c r="S304" s="3"/>
    </row>
    <row r="305" spans="2:19" x14ac:dyDescent="0.25">
      <c r="B305" s="1"/>
      <c r="C305" s="3"/>
      <c r="D305" s="3"/>
      <c r="G305" s="1"/>
      <c r="H305" s="3"/>
      <c r="I305" s="3"/>
      <c r="M305" s="1"/>
      <c r="N305" s="3"/>
      <c r="O305" s="3"/>
      <c r="P305" s="3"/>
      <c r="R305" s="1"/>
      <c r="S305" s="3"/>
    </row>
    <row r="306" spans="2:19" x14ac:dyDescent="0.25">
      <c r="B306" s="1"/>
      <c r="C306" s="3"/>
      <c r="D306" s="3"/>
      <c r="G306" s="1"/>
      <c r="H306" s="3"/>
      <c r="I306" s="3"/>
      <c r="M306" s="1"/>
      <c r="N306" s="3"/>
      <c r="O306" s="3"/>
      <c r="P306" s="3"/>
      <c r="R306" s="1"/>
      <c r="S306" s="3"/>
    </row>
    <row r="307" spans="2:19" x14ac:dyDescent="0.25">
      <c r="B307" s="1"/>
      <c r="C307" s="3"/>
      <c r="D307" s="3"/>
      <c r="G307" s="1"/>
      <c r="H307" s="3"/>
      <c r="I307" s="3"/>
      <c r="M307" s="1"/>
      <c r="N307" s="3"/>
      <c r="O307" s="3"/>
      <c r="P307" s="3"/>
      <c r="R307" s="1"/>
      <c r="S307" s="3"/>
    </row>
    <row r="308" spans="2:19" x14ac:dyDescent="0.25">
      <c r="B308" s="1"/>
      <c r="C308" s="3"/>
      <c r="D308" s="3"/>
      <c r="G308" s="1"/>
      <c r="H308" s="3"/>
      <c r="I308" s="3"/>
      <c r="M308" s="1"/>
      <c r="N308" s="3"/>
      <c r="O308" s="3"/>
      <c r="P308" s="3"/>
      <c r="R308" s="1"/>
      <c r="S308" s="3"/>
    </row>
    <row r="309" spans="2:19" x14ac:dyDescent="0.25">
      <c r="B309" s="1"/>
      <c r="C309" s="3"/>
      <c r="D309" s="3"/>
      <c r="G309" s="1"/>
      <c r="H309" s="3"/>
      <c r="I309" s="3"/>
      <c r="M309" s="1"/>
      <c r="N309" s="3"/>
      <c r="O309" s="3"/>
      <c r="P309" s="3"/>
      <c r="R309" s="1"/>
      <c r="S309" s="3"/>
    </row>
    <row r="310" spans="2:19" x14ac:dyDescent="0.25">
      <c r="B310" s="1"/>
      <c r="C310" s="3"/>
      <c r="D310" s="3"/>
      <c r="G310" s="1"/>
      <c r="H310" s="3"/>
      <c r="I310" s="3"/>
      <c r="M310" s="1"/>
      <c r="N310" s="3"/>
      <c r="O310" s="3"/>
      <c r="P310" s="3"/>
      <c r="R310" s="1"/>
      <c r="S310" s="3"/>
    </row>
    <row r="311" spans="2:19" x14ac:dyDescent="0.25">
      <c r="B311" s="1"/>
      <c r="C311" s="3"/>
      <c r="D311" s="3"/>
      <c r="G311" s="1"/>
      <c r="H311" s="3"/>
      <c r="I311" s="3"/>
      <c r="M311" s="1"/>
      <c r="N311" s="3"/>
      <c r="O311" s="3"/>
      <c r="P311" s="3"/>
      <c r="R311" s="1"/>
      <c r="S311" s="3"/>
    </row>
    <row r="312" spans="2:19" x14ac:dyDescent="0.25">
      <c r="B312" s="1"/>
      <c r="C312" s="3"/>
      <c r="D312" s="3"/>
      <c r="G312" s="1"/>
      <c r="H312" s="3"/>
      <c r="I312" s="3"/>
      <c r="M312" s="1"/>
      <c r="N312" s="3"/>
      <c r="O312" s="3"/>
      <c r="P312" s="3"/>
      <c r="R312" s="1"/>
      <c r="S312" s="3"/>
    </row>
    <row r="313" spans="2:19" x14ac:dyDescent="0.25">
      <c r="B313" s="1"/>
      <c r="C313" s="3"/>
      <c r="D313" s="3"/>
      <c r="G313" s="1"/>
      <c r="H313" s="3"/>
      <c r="I313" s="3"/>
      <c r="M313" s="1"/>
      <c r="N313" s="3"/>
      <c r="O313" s="3"/>
      <c r="P313" s="3"/>
      <c r="R313" s="1"/>
      <c r="S313" s="3"/>
    </row>
    <row r="314" spans="2:19" x14ac:dyDescent="0.25">
      <c r="B314" s="1"/>
      <c r="C314" s="3"/>
      <c r="D314" s="3"/>
      <c r="G314" s="1"/>
      <c r="H314" s="3"/>
      <c r="I314" s="3"/>
      <c r="M314" s="1"/>
      <c r="N314" s="3"/>
      <c r="O314" s="3"/>
      <c r="P314" s="3"/>
      <c r="R314" s="1"/>
      <c r="S314" s="3"/>
    </row>
    <row r="315" spans="2:19" x14ac:dyDescent="0.25">
      <c r="B315" s="1"/>
      <c r="C315" s="3"/>
      <c r="D315" s="3"/>
      <c r="G315" s="1"/>
      <c r="H315" s="3"/>
      <c r="I315" s="3"/>
      <c r="M315" s="1"/>
      <c r="N315" s="3"/>
      <c r="O315" s="3"/>
      <c r="P315" s="3"/>
      <c r="R315" s="1"/>
      <c r="S315" s="3"/>
    </row>
    <row r="316" spans="2:19" x14ac:dyDescent="0.25">
      <c r="B316" s="1"/>
      <c r="C316" s="3"/>
      <c r="D316" s="3"/>
      <c r="G316" s="1"/>
      <c r="H316" s="3"/>
      <c r="I316" s="3"/>
      <c r="M316" s="1"/>
      <c r="N316" s="3"/>
      <c r="O316" s="3"/>
      <c r="P316" s="3"/>
      <c r="R316" s="1"/>
      <c r="S316" s="3"/>
    </row>
    <row r="317" spans="2:19" x14ac:dyDescent="0.25">
      <c r="B317" s="1"/>
      <c r="C317" s="3"/>
      <c r="D317" s="3"/>
      <c r="G317" s="1"/>
      <c r="H317" s="3"/>
      <c r="I317" s="3"/>
      <c r="M317" s="1"/>
      <c r="N317" s="3"/>
      <c r="O317" s="3"/>
      <c r="P317" s="3"/>
      <c r="R317" s="1"/>
      <c r="S317" s="3"/>
    </row>
    <row r="318" spans="2:19" x14ac:dyDescent="0.25">
      <c r="B318" s="1"/>
      <c r="C318" s="3"/>
      <c r="D318" s="3"/>
      <c r="G318" s="1"/>
      <c r="H318" s="3"/>
      <c r="I318" s="3"/>
      <c r="M318" s="1"/>
      <c r="N318" s="3"/>
      <c r="O318" s="3"/>
      <c r="P318" s="3"/>
      <c r="R318" s="1"/>
      <c r="S318" s="3"/>
    </row>
    <row r="319" spans="2:19" x14ac:dyDescent="0.25">
      <c r="B319" s="1"/>
      <c r="C319" s="3"/>
      <c r="D319" s="3"/>
      <c r="G319" s="1"/>
      <c r="H319" s="3"/>
      <c r="I319" s="3"/>
      <c r="M319" s="1"/>
      <c r="N319" s="3"/>
      <c r="O319" s="3"/>
      <c r="P319" s="3"/>
      <c r="R319" s="1"/>
      <c r="S319" s="3"/>
    </row>
    <row r="320" spans="2:19" x14ac:dyDescent="0.25">
      <c r="B320" s="1"/>
      <c r="C320" s="3"/>
      <c r="D320" s="3"/>
      <c r="G320" s="1"/>
      <c r="H320" s="3"/>
      <c r="I320" s="3"/>
      <c r="M320" s="1"/>
      <c r="N320" s="3"/>
      <c r="O320" s="3"/>
      <c r="P320" s="3"/>
      <c r="R320" s="1"/>
      <c r="S320" s="3"/>
    </row>
    <row r="321" spans="2:19" x14ac:dyDescent="0.25">
      <c r="B321" s="1"/>
      <c r="C321" s="3"/>
      <c r="D321" s="3"/>
      <c r="G321" s="1"/>
      <c r="H321" s="3"/>
      <c r="I321" s="3"/>
      <c r="M321" s="1"/>
      <c r="N321" s="3"/>
      <c r="O321" s="3"/>
      <c r="P321" s="3"/>
      <c r="R321" s="1"/>
      <c r="S321" s="3"/>
    </row>
    <row r="322" spans="2:19" x14ac:dyDescent="0.25">
      <c r="B322" s="1"/>
      <c r="C322" s="3"/>
      <c r="D322" s="3"/>
      <c r="G322" s="1"/>
      <c r="H322" s="3"/>
      <c r="I322" s="3"/>
      <c r="M322" s="1"/>
      <c r="N322" s="3"/>
      <c r="O322" s="3"/>
      <c r="P322" s="3"/>
      <c r="R322" s="1"/>
      <c r="S322" s="3"/>
    </row>
    <row r="323" spans="2:19" x14ac:dyDescent="0.25">
      <c r="B323" s="1"/>
      <c r="C323" s="3"/>
      <c r="D323" s="3"/>
      <c r="G323" s="1"/>
      <c r="H323" s="3"/>
      <c r="I323" s="3"/>
      <c r="M323" s="1"/>
      <c r="N323" s="3"/>
      <c r="O323" s="3"/>
      <c r="P323" s="3"/>
      <c r="R323" s="1"/>
      <c r="S323" s="3"/>
    </row>
    <row r="324" spans="2:19" x14ac:dyDescent="0.25">
      <c r="B324" s="1"/>
      <c r="C324" s="3"/>
      <c r="D324" s="3"/>
      <c r="G324" s="1"/>
      <c r="H324" s="3"/>
      <c r="I324" s="3"/>
      <c r="M324" s="1"/>
      <c r="N324" s="3"/>
      <c r="O324" s="3"/>
      <c r="P324" s="3"/>
      <c r="R324" s="1"/>
      <c r="S324" s="3"/>
    </row>
    <row r="325" spans="2:19" x14ac:dyDescent="0.25">
      <c r="B325" s="1"/>
      <c r="C325" s="3"/>
      <c r="D325" s="3"/>
      <c r="G325" s="1"/>
      <c r="H325" s="3"/>
      <c r="I325" s="3"/>
      <c r="M325" s="1"/>
      <c r="N325" s="3"/>
      <c r="O325" s="3"/>
      <c r="P325" s="3"/>
      <c r="R325" s="1"/>
      <c r="S325" s="3"/>
    </row>
    <row r="326" spans="2:19" x14ac:dyDescent="0.25">
      <c r="B326" s="1"/>
      <c r="C326" s="3"/>
      <c r="D326" s="3"/>
      <c r="G326" s="1"/>
      <c r="H326" s="3"/>
      <c r="I326" s="3"/>
      <c r="M326" s="1"/>
      <c r="N326" s="3"/>
      <c r="O326" s="3"/>
      <c r="P326" s="3"/>
      <c r="R326" s="1"/>
      <c r="S326" s="3"/>
    </row>
    <row r="327" spans="2:19" x14ac:dyDescent="0.25">
      <c r="B327" s="1"/>
      <c r="C327" s="3"/>
      <c r="D327" s="3"/>
      <c r="G327" s="1"/>
      <c r="H327" s="3"/>
      <c r="I327" s="3"/>
      <c r="M327" s="1"/>
      <c r="N327" s="3"/>
      <c r="O327" s="3"/>
      <c r="P327" s="3"/>
      <c r="R327" s="1"/>
      <c r="S327" s="3"/>
    </row>
    <row r="328" spans="2:19" x14ac:dyDescent="0.25">
      <c r="B328" s="1"/>
      <c r="C328" s="3"/>
      <c r="D328" s="3"/>
      <c r="G328" s="1"/>
      <c r="H328" s="3"/>
      <c r="I328" s="3"/>
      <c r="M328" s="1"/>
      <c r="N328" s="3"/>
      <c r="O328" s="3"/>
      <c r="P328" s="3"/>
      <c r="R328" s="1"/>
      <c r="S328" s="3"/>
    </row>
    <row r="329" spans="2:19" x14ac:dyDescent="0.25">
      <c r="B329" s="1"/>
      <c r="C329" s="3"/>
      <c r="D329" s="3"/>
      <c r="G329" s="1"/>
      <c r="H329" s="3"/>
      <c r="I329" s="3"/>
      <c r="M329" s="1"/>
      <c r="N329" s="3"/>
      <c r="O329" s="3"/>
      <c r="P329" s="3"/>
      <c r="R329" s="1"/>
      <c r="S329" s="3"/>
    </row>
    <row r="330" spans="2:19" x14ac:dyDescent="0.25">
      <c r="B330" s="1"/>
      <c r="C330" s="3"/>
      <c r="D330" s="3"/>
      <c r="G330" s="1"/>
      <c r="H330" s="3"/>
      <c r="I330" s="3"/>
      <c r="M330" s="1"/>
      <c r="N330" s="3"/>
      <c r="O330" s="3"/>
      <c r="P330" s="3"/>
      <c r="R330" s="1"/>
      <c r="S330" s="3"/>
    </row>
    <row r="331" spans="2:19" x14ac:dyDescent="0.25">
      <c r="B331" s="1"/>
      <c r="C331" s="3"/>
      <c r="D331" s="3"/>
      <c r="G331" s="1"/>
      <c r="H331" s="3"/>
      <c r="I331" s="3"/>
      <c r="M331" s="1"/>
      <c r="N331" s="3"/>
      <c r="O331" s="3"/>
      <c r="P331" s="3"/>
      <c r="R331" s="1"/>
      <c r="S331" s="3"/>
    </row>
    <row r="332" spans="2:19" x14ac:dyDescent="0.25">
      <c r="B332" s="1"/>
      <c r="C332" s="3"/>
      <c r="D332" s="3"/>
      <c r="G332" s="1"/>
      <c r="H332" s="3"/>
      <c r="I332" s="3"/>
      <c r="M332" s="1"/>
      <c r="N332" s="3"/>
      <c r="O332" s="3"/>
      <c r="P332" s="3"/>
      <c r="R332" s="1"/>
      <c r="S332" s="3"/>
    </row>
    <row r="333" spans="2:19" x14ac:dyDescent="0.25">
      <c r="B333" s="1"/>
      <c r="C333" s="3"/>
      <c r="D333" s="3"/>
      <c r="G333" s="1"/>
      <c r="H333" s="3"/>
      <c r="I333" s="3"/>
      <c r="M333" s="1"/>
      <c r="N333" s="3"/>
      <c r="O333" s="3"/>
      <c r="P333" s="3"/>
      <c r="R333" s="1"/>
      <c r="S333" s="3"/>
    </row>
    <row r="334" spans="2:19" x14ac:dyDescent="0.25">
      <c r="B334" s="1"/>
      <c r="C334" s="3"/>
      <c r="D334" s="3"/>
      <c r="G334" s="1"/>
      <c r="H334" s="3"/>
      <c r="I334" s="3"/>
      <c r="M334" s="1"/>
      <c r="N334" s="3"/>
      <c r="O334" s="3"/>
      <c r="P334" s="3"/>
      <c r="R334" s="1"/>
      <c r="S334" s="3"/>
    </row>
    <row r="335" spans="2:19" x14ac:dyDescent="0.25">
      <c r="B335" s="1"/>
      <c r="C335" s="3"/>
      <c r="D335" s="3"/>
      <c r="G335" s="1"/>
      <c r="H335" s="3"/>
      <c r="I335" s="3"/>
      <c r="M335" s="1"/>
      <c r="N335" s="3"/>
      <c r="O335" s="3"/>
      <c r="P335" s="3"/>
      <c r="R335" s="1"/>
      <c r="S335" s="3"/>
    </row>
    <row r="336" spans="2:19" x14ac:dyDescent="0.25">
      <c r="B336" s="1"/>
      <c r="C336" s="3"/>
      <c r="D336" s="3"/>
      <c r="G336" s="1"/>
      <c r="H336" s="3"/>
      <c r="I336" s="3"/>
      <c r="M336" s="1"/>
      <c r="N336" s="3"/>
      <c r="O336" s="3"/>
      <c r="P336" s="3"/>
      <c r="R336" s="1"/>
      <c r="S336" s="3"/>
    </row>
    <row r="337" spans="2:19" x14ac:dyDescent="0.25">
      <c r="B337" s="1"/>
      <c r="C337" s="3"/>
      <c r="D337" s="3"/>
      <c r="G337" s="1"/>
      <c r="H337" s="3"/>
      <c r="I337" s="3"/>
      <c r="M337" s="1"/>
      <c r="N337" s="3"/>
      <c r="O337" s="3"/>
      <c r="P337" s="3"/>
      <c r="R337" s="1"/>
      <c r="S337" s="3"/>
    </row>
    <row r="338" spans="2:19" x14ac:dyDescent="0.25">
      <c r="B338" s="1"/>
      <c r="C338" s="3"/>
      <c r="D338" s="3"/>
      <c r="G338" s="1"/>
      <c r="H338" s="3"/>
      <c r="I338" s="3"/>
      <c r="M338" s="1"/>
      <c r="N338" s="3"/>
      <c r="O338" s="3"/>
      <c r="P338" s="3"/>
      <c r="R338" s="1"/>
      <c r="S338" s="3"/>
    </row>
    <row r="339" spans="2:19" x14ac:dyDescent="0.25">
      <c r="B339" s="1"/>
      <c r="C339" s="3"/>
      <c r="D339" s="3"/>
      <c r="G339" s="1"/>
      <c r="H339" s="3"/>
      <c r="I339" s="3"/>
      <c r="M339" s="1"/>
      <c r="N339" s="3"/>
      <c r="O339" s="3"/>
      <c r="P339" s="3"/>
      <c r="R339" s="1"/>
      <c r="S339" s="3"/>
    </row>
    <row r="340" spans="2:19" x14ac:dyDescent="0.25">
      <c r="B340" s="1"/>
      <c r="C340" s="3"/>
      <c r="D340" s="3"/>
      <c r="G340" s="1"/>
      <c r="H340" s="3"/>
      <c r="I340" s="3"/>
      <c r="M340" s="1"/>
      <c r="N340" s="3"/>
      <c r="O340" s="3"/>
      <c r="P340" s="3"/>
      <c r="R340" s="1"/>
      <c r="S340" s="3"/>
    </row>
    <row r="341" spans="2:19" x14ac:dyDescent="0.25">
      <c r="B341" s="1"/>
      <c r="C341" s="3"/>
      <c r="D341" s="3"/>
      <c r="G341" s="1"/>
      <c r="H341" s="3"/>
      <c r="I341" s="3"/>
      <c r="M341" s="1"/>
      <c r="N341" s="3"/>
      <c r="O341" s="3"/>
      <c r="P341" s="3"/>
      <c r="R341" s="1"/>
      <c r="S341" s="3"/>
    </row>
    <row r="342" spans="2:19" x14ac:dyDescent="0.25">
      <c r="B342" s="1"/>
      <c r="C342" s="3"/>
      <c r="D342" s="3"/>
      <c r="G342" s="1"/>
      <c r="H342" s="3"/>
      <c r="I342" s="3"/>
      <c r="M342" s="1"/>
      <c r="N342" s="3"/>
      <c r="O342" s="3"/>
      <c r="P342" s="3"/>
      <c r="R342" s="1"/>
      <c r="S342" s="3"/>
    </row>
    <row r="343" spans="2:19" x14ac:dyDescent="0.25">
      <c r="B343" s="1"/>
      <c r="C343" s="3"/>
      <c r="D343" s="3"/>
      <c r="G343" s="1"/>
      <c r="H343" s="3"/>
      <c r="I343" s="3"/>
      <c r="M343" s="1"/>
      <c r="N343" s="3"/>
      <c r="O343" s="3"/>
      <c r="P343" s="3"/>
      <c r="R343" s="1"/>
      <c r="S343" s="3"/>
    </row>
    <row r="344" spans="2:19" x14ac:dyDescent="0.25">
      <c r="B344" s="1"/>
      <c r="C344" s="3"/>
      <c r="D344" s="3"/>
      <c r="G344" s="1"/>
      <c r="H344" s="3"/>
      <c r="I344" s="3"/>
      <c r="M344" s="1"/>
      <c r="N344" s="3"/>
      <c r="O344" s="3"/>
      <c r="P344" s="3"/>
      <c r="R344" s="1"/>
      <c r="S344" s="3"/>
    </row>
    <row r="345" spans="2:19" x14ac:dyDescent="0.25">
      <c r="B345" s="1"/>
      <c r="C345" s="3"/>
      <c r="D345" s="3"/>
      <c r="G345" s="1"/>
      <c r="H345" s="3"/>
      <c r="I345" s="3"/>
      <c r="M345" s="1"/>
      <c r="N345" s="3"/>
      <c r="O345" s="3"/>
      <c r="P345" s="3"/>
      <c r="R345" s="1"/>
      <c r="S345" s="3"/>
    </row>
    <row r="346" spans="2:19" x14ac:dyDescent="0.25">
      <c r="B346" s="1"/>
      <c r="C346" s="3"/>
      <c r="D346" s="3"/>
      <c r="G346" s="1"/>
      <c r="H346" s="3"/>
      <c r="I346" s="3"/>
      <c r="M346" s="1"/>
      <c r="N346" s="3"/>
      <c r="O346" s="3"/>
      <c r="P346" s="3"/>
      <c r="R346" s="1"/>
      <c r="S346" s="3"/>
    </row>
    <row r="347" spans="2:19" x14ac:dyDescent="0.25">
      <c r="B347" s="1"/>
      <c r="C347" s="3"/>
      <c r="D347" s="3"/>
      <c r="G347" s="1"/>
      <c r="H347" s="3"/>
      <c r="I347" s="3"/>
      <c r="M347" s="1"/>
      <c r="N347" s="3"/>
      <c r="O347" s="3"/>
      <c r="P347" s="3"/>
      <c r="R347" s="1"/>
      <c r="S347" s="3"/>
    </row>
    <row r="348" spans="2:19" x14ac:dyDescent="0.25">
      <c r="B348" s="1"/>
      <c r="C348" s="3"/>
      <c r="D348" s="3"/>
      <c r="G348" s="1"/>
      <c r="H348" s="3"/>
      <c r="I348" s="3"/>
      <c r="M348" s="1"/>
      <c r="N348" s="3"/>
      <c r="O348" s="3"/>
      <c r="P348" s="3"/>
      <c r="R348" s="1"/>
      <c r="S348" s="3"/>
    </row>
    <row r="349" spans="2:19" x14ac:dyDescent="0.25">
      <c r="B349" s="1"/>
      <c r="C349" s="3"/>
      <c r="D349" s="3"/>
      <c r="G349" s="1"/>
      <c r="H349" s="3"/>
      <c r="I349" s="3"/>
      <c r="M349" s="1"/>
      <c r="N349" s="3"/>
      <c r="O349" s="3"/>
      <c r="P349" s="3"/>
      <c r="R349" s="1"/>
      <c r="S349" s="3"/>
    </row>
    <row r="350" spans="2:19" x14ac:dyDescent="0.25">
      <c r="B350" s="1"/>
      <c r="C350" s="3"/>
      <c r="D350" s="3"/>
      <c r="G350" s="1"/>
      <c r="H350" s="3"/>
      <c r="I350" s="3"/>
      <c r="M350" s="1"/>
      <c r="N350" s="3"/>
      <c r="O350" s="3"/>
      <c r="P350" s="3"/>
      <c r="R350" s="1"/>
      <c r="S350" s="3"/>
    </row>
    <row r="351" spans="2:19" x14ac:dyDescent="0.25">
      <c r="B351" s="1"/>
      <c r="C351" s="3"/>
      <c r="D351" s="3"/>
      <c r="G351" s="1"/>
      <c r="H351" s="3"/>
      <c r="I351" s="3"/>
      <c r="M351" s="1"/>
      <c r="N351" s="3"/>
      <c r="O351" s="3"/>
      <c r="P351" s="3"/>
      <c r="R351" s="1"/>
      <c r="S351" s="3"/>
    </row>
    <row r="352" spans="2:19" x14ac:dyDescent="0.25">
      <c r="B352" s="1"/>
      <c r="C352" s="3"/>
      <c r="D352" s="3"/>
      <c r="G352" s="1"/>
      <c r="H352" s="3"/>
      <c r="I352" s="3"/>
      <c r="M352" s="1"/>
      <c r="N352" s="3"/>
      <c r="O352" s="3"/>
      <c r="P352" s="3"/>
      <c r="R352" s="1"/>
      <c r="S352" s="3"/>
    </row>
    <row r="353" spans="2:19" x14ac:dyDescent="0.25">
      <c r="B353" s="1"/>
      <c r="C353" s="3"/>
      <c r="D353" s="3"/>
      <c r="G353" s="1"/>
      <c r="H353" s="3"/>
      <c r="I353" s="3"/>
      <c r="M353" s="1"/>
      <c r="N353" s="3"/>
      <c r="O353" s="3"/>
      <c r="P353" s="3"/>
      <c r="R353" s="1"/>
      <c r="S353" s="3"/>
    </row>
    <row r="354" spans="2:19" x14ac:dyDescent="0.25">
      <c r="B354" s="1"/>
      <c r="C354" s="3"/>
      <c r="D354" s="3"/>
      <c r="G354" s="1"/>
      <c r="H354" s="3"/>
      <c r="I354" s="3"/>
      <c r="M354" s="1"/>
      <c r="N354" s="3"/>
      <c r="O354" s="3"/>
      <c r="P354" s="3"/>
      <c r="R354" s="1"/>
      <c r="S354" s="3"/>
    </row>
    <row r="355" spans="2:19" x14ac:dyDescent="0.25">
      <c r="B355" s="1"/>
      <c r="C355" s="3"/>
      <c r="D355" s="3"/>
      <c r="G355" s="1"/>
      <c r="H355" s="3"/>
      <c r="I355" s="3"/>
      <c r="M355" s="1"/>
      <c r="N355" s="3"/>
      <c r="O355" s="3"/>
      <c r="P355" s="3"/>
      <c r="R355" s="1"/>
      <c r="S355" s="3"/>
    </row>
    <row r="356" spans="2:19" x14ac:dyDescent="0.25">
      <c r="B356" s="1"/>
      <c r="C356" s="3"/>
      <c r="D356" s="3"/>
      <c r="G356" s="1"/>
      <c r="H356" s="3"/>
      <c r="I356" s="3"/>
      <c r="M356" s="1"/>
      <c r="N356" s="3"/>
      <c r="O356" s="3"/>
      <c r="P356" s="3"/>
      <c r="R356" s="1"/>
      <c r="S356" s="3"/>
    </row>
    <row r="357" spans="2:19" x14ac:dyDescent="0.25">
      <c r="B357" s="1"/>
      <c r="C357" s="3"/>
      <c r="D357" s="3"/>
      <c r="G357" s="1"/>
      <c r="H357" s="3"/>
      <c r="I357" s="3"/>
      <c r="M357" s="1"/>
      <c r="N357" s="3"/>
      <c r="O357" s="3"/>
      <c r="P357" s="3"/>
      <c r="R357" s="1"/>
      <c r="S357" s="3"/>
    </row>
    <row r="358" spans="2:19" x14ac:dyDescent="0.25">
      <c r="B358" s="1"/>
      <c r="C358" s="3"/>
      <c r="D358" s="3"/>
      <c r="G358" s="1"/>
      <c r="H358" s="3"/>
      <c r="I358" s="3"/>
      <c r="M358" s="1"/>
      <c r="N358" s="3"/>
      <c r="O358" s="3"/>
      <c r="P358" s="3"/>
      <c r="R358" s="1"/>
      <c r="S358" s="3"/>
    </row>
    <row r="359" spans="2:19" x14ac:dyDescent="0.25">
      <c r="B359" s="1"/>
      <c r="C359" s="3"/>
      <c r="D359" s="3"/>
      <c r="G359" s="1"/>
      <c r="H359" s="3"/>
      <c r="I359" s="3"/>
      <c r="M359" s="1"/>
      <c r="N359" s="3"/>
      <c r="O359" s="3"/>
      <c r="P359" s="3"/>
      <c r="R359" s="1"/>
      <c r="S359" s="3"/>
    </row>
    <row r="360" spans="2:19" x14ac:dyDescent="0.25">
      <c r="B360" s="1"/>
      <c r="C360" s="3"/>
      <c r="D360" s="3"/>
      <c r="G360" s="1"/>
      <c r="H360" s="3"/>
      <c r="I360" s="3"/>
      <c r="M360" s="1"/>
      <c r="N360" s="3"/>
      <c r="O360" s="3"/>
      <c r="P360" s="3"/>
      <c r="R360" s="1"/>
      <c r="S360" s="3"/>
    </row>
    <row r="361" spans="2:19" x14ac:dyDescent="0.25">
      <c r="B361" s="1"/>
      <c r="C361" s="3"/>
      <c r="D361" s="3"/>
      <c r="G361" s="1"/>
      <c r="H361" s="3"/>
      <c r="I361" s="3"/>
      <c r="M361" s="1"/>
      <c r="N361" s="3"/>
      <c r="O361" s="3"/>
      <c r="P361" s="3"/>
      <c r="R361" s="1"/>
      <c r="S361" s="3"/>
    </row>
    <row r="362" spans="2:19" x14ac:dyDescent="0.25">
      <c r="B362" s="1"/>
      <c r="C362" s="3"/>
      <c r="D362" s="3"/>
      <c r="G362" s="1"/>
      <c r="H362" s="3"/>
      <c r="I362" s="3"/>
      <c r="M362" s="1"/>
      <c r="N362" s="3"/>
      <c r="O362" s="3"/>
      <c r="P362" s="3"/>
      <c r="R362" s="1"/>
      <c r="S362" s="3"/>
    </row>
    <row r="363" spans="2:19" x14ac:dyDescent="0.25">
      <c r="B363" s="1"/>
      <c r="C363" s="3"/>
      <c r="D363" s="3"/>
      <c r="G363" s="1"/>
      <c r="H363" s="3"/>
      <c r="I363" s="3"/>
      <c r="M363" s="1"/>
      <c r="N363" s="3"/>
      <c r="O363" s="3"/>
      <c r="P363" s="3"/>
      <c r="R363" s="1"/>
      <c r="S363" s="3"/>
    </row>
    <row r="364" spans="2:19" x14ac:dyDescent="0.25">
      <c r="B364" s="1"/>
      <c r="C364" s="3"/>
      <c r="D364" s="3"/>
      <c r="G364" s="1"/>
      <c r="H364" s="3"/>
      <c r="I364" s="3"/>
      <c r="M364" s="1"/>
      <c r="N364" s="3"/>
      <c r="O364" s="3"/>
      <c r="P364" s="3"/>
      <c r="R364" s="1"/>
      <c r="S364" s="3"/>
    </row>
    <row r="365" spans="2:19" x14ac:dyDescent="0.25">
      <c r="B365" s="1"/>
      <c r="C365" s="3"/>
      <c r="D365" s="3"/>
      <c r="G365" s="1"/>
      <c r="H365" s="3"/>
      <c r="I365" s="3"/>
      <c r="M365" s="1"/>
      <c r="N365" s="3"/>
      <c r="O365" s="3"/>
      <c r="P365" s="3"/>
      <c r="R365" s="1"/>
      <c r="S365" s="3"/>
    </row>
    <row r="366" spans="2:19" x14ac:dyDescent="0.25">
      <c r="B366" s="1"/>
      <c r="C366" s="3"/>
      <c r="D366" s="3"/>
      <c r="G366" s="1"/>
      <c r="H366" s="3"/>
      <c r="I366" s="3"/>
      <c r="M366" s="1"/>
      <c r="N366" s="3"/>
      <c r="O366" s="3"/>
      <c r="P366" s="3"/>
      <c r="R366" s="1"/>
      <c r="S366" s="3"/>
    </row>
    <row r="367" spans="2:19" x14ac:dyDescent="0.25">
      <c r="B367" s="1"/>
      <c r="C367" s="3"/>
      <c r="D367" s="3"/>
      <c r="G367" s="1"/>
      <c r="H367" s="3"/>
      <c r="I367" s="3"/>
      <c r="M367" s="1"/>
      <c r="N367" s="3"/>
      <c r="O367" s="3"/>
      <c r="P367" s="3"/>
      <c r="R367" s="1"/>
      <c r="S367" s="3"/>
    </row>
    <row r="368" spans="2:19" x14ac:dyDescent="0.25">
      <c r="B368" s="1"/>
      <c r="C368" s="3"/>
      <c r="D368" s="3"/>
      <c r="G368" s="1"/>
      <c r="H368" s="3"/>
      <c r="I368" s="3"/>
      <c r="M368" s="1"/>
      <c r="N368" s="3"/>
      <c r="O368" s="3"/>
      <c r="P368" s="3"/>
      <c r="R368" s="1"/>
      <c r="S368" s="3"/>
    </row>
    <row r="369" spans="2:19" x14ac:dyDescent="0.25">
      <c r="B369" s="1"/>
      <c r="C369" s="3"/>
      <c r="D369" s="3"/>
      <c r="G369" s="1"/>
      <c r="H369" s="3"/>
      <c r="I369" s="3"/>
      <c r="M369" s="1"/>
      <c r="N369" s="3"/>
      <c r="O369" s="3"/>
      <c r="P369" s="3"/>
      <c r="R369" s="1"/>
      <c r="S369" s="3"/>
    </row>
    <row r="370" spans="2:19" x14ac:dyDescent="0.25">
      <c r="B370" s="1"/>
      <c r="C370" s="3"/>
      <c r="D370" s="3"/>
      <c r="G370" s="1"/>
      <c r="H370" s="3"/>
      <c r="I370" s="3"/>
      <c r="M370" s="1"/>
      <c r="N370" s="3"/>
      <c r="O370" s="3"/>
      <c r="P370" s="3"/>
      <c r="R370" s="1"/>
      <c r="S370" s="3"/>
    </row>
    <row r="371" spans="2:19" x14ac:dyDescent="0.25">
      <c r="B371" s="1"/>
      <c r="C371" s="3"/>
      <c r="D371" s="3"/>
      <c r="G371" s="1"/>
      <c r="H371" s="3"/>
      <c r="I371" s="3"/>
      <c r="M371" s="1"/>
      <c r="N371" s="3"/>
      <c r="O371" s="3"/>
      <c r="P371" s="3"/>
      <c r="R371" s="1"/>
      <c r="S371" s="3"/>
    </row>
    <row r="372" spans="2:19" x14ac:dyDescent="0.25">
      <c r="B372" s="1"/>
      <c r="C372" s="3"/>
      <c r="D372" s="3"/>
      <c r="G372" s="1"/>
      <c r="H372" s="3"/>
      <c r="I372" s="3"/>
      <c r="M372" s="1"/>
      <c r="N372" s="3"/>
      <c r="O372" s="3"/>
      <c r="P372" s="3"/>
      <c r="R372" s="1"/>
      <c r="S372" s="3"/>
    </row>
    <row r="373" spans="2:19" x14ac:dyDescent="0.25">
      <c r="B373" s="1"/>
      <c r="C373" s="3"/>
      <c r="D373" s="3"/>
      <c r="G373" s="1"/>
      <c r="H373" s="3"/>
      <c r="I373" s="3"/>
      <c r="M373" s="1"/>
      <c r="N373" s="3"/>
      <c r="O373" s="3"/>
      <c r="P373" s="3"/>
      <c r="R373" s="1"/>
      <c r="S373" s="3"/>
    </row>
    <row r="374" spans="2:19" x14ac:dyDescent="0.25">
      <c r="B374" s="1"/>
      <c r="C374" s="3"/>
      <c r="D374" s="3"/>
      <c r="G374" s="1"/>
      <c r="H374" s="3"/>
      <c r="I374" s="3"/>
      <c r="M374" s="1"/>
      <c r="N374" s="3"/>
      <c r="O374" s="3"/>
      <c r="P374" s="3"/>
      <c r="R374" s="1"/>
      <c r="S374" s="3"/>
    </row>
    <row r="375" spans="2:19" x14ac:dyDescent="0.25">
      <c r="B375" s="1"/>
      <c r="C375" s="3"/>
      <c r="D375" s="3"/>
      <c r="G375" s="1"/>
      <c r="H375" s="3"/>
      <c r="I375" s="3"/>
      <c r="M375" s="1"/>
      <c r="N375" s="3"/>
      <c r="O375" s="3"/>
      <c r="P375" s="3"/>
      <c r="R375" s="1"/>
      <c r="S375" s="3"/>
    </row>
    <row r="376" spans="2:19" x14ac:dyDescent="0.25">
      <c r="B376" s="1"/>
      <c r="C376" s="3"/>
      <c r="D376" s="3"/>
      <c r="G376" s="1"/>
      <c r="H376" s="3"/>
      <c r="I376" s="3"/>
      <c r="M376" s="1"/>
      <c r="N376" s="3"/>
      <c r="O376" s="3"/>
      <c r="P376" s="3"/>
      <c r="R376" s="1"/>
      <c r="S376" s="3"/>
    </row>
    <row r="377" spans="2:19" x14ac:dyDescent="0.25">
      <c r="B377" s="1"/>
      <c r="C377" s="3"/>
      <c r="D377" s="3"/>
      <c r="G377" s="1"/>
      <c r="H377" s="3"/>
      <c r="I377" s="3"/>
      <c r="M377" s="1"/>
      <c r="N377" s="3"/>
      <c r="O377" s="3"/>
      <c r="P377" s="3"/>
      <c r="R377" s="1"/>
      <c r="S377" s="3"/>
    </row>
    <row r="378" spans="2:19" x14ac:dyDescent="0.25">
      <c r="B378" s="1"/>
      <c r="C378" s="3"/>
      <c r="D378" s="3"/>
      <c r="G378" s="1"/>
      <c r="H378" s="3"/>
      <c r="I378" s="3"/>
      <c r="M378" s="1"/>
      <c r="N378" s="3"/>
      <c r="O378" s="3"/>
      <c r="P378" s="3"/>
      <c r="R378" s="1"/>
      <c r="S378" s="3"/>
    </row>
    <row r="379" spans="2:19" x14ac:dyDescent="0.25">
      <c r="B379" s="1"/>
      <c r="C379" s="3"/>
      <c r="D379" s="3"/>
      <c r="G379" s="1"/>
      <c r="H379" s="3"/>
      <c r="I379" s="3"/>
      <c r="M379" s="1"/>
      <c r="N379" s="3"/>
      <c r="O379" s="3"/>
      <c r="P379" s="3"/>
      <c r="R379" s="1"/>
      <c r="S379" s="3"/>
    </row>
    <row r="380" spans="2:19" x14ac:dyDescent="0.25">
      <c r="B380" s="1"/>
      <c r="C380" s="3"/>
      <c r="D380" s="3"/>
      <c r="G380" s="1"/>
      <c r="H380" s="3"/>
      <c r="I380" s="3"/>
      <c r="M380" s="1"/>
      <c r="N380" s="3"/>
      <c r="O380" s="3"/>
      <c r="P380" s="3"/>
      <c r="R380" s="1"/>
      <c r="S380" s="3"/>
    </row>
    <row r="381" spans="2:19" x14ac:dyDescent="0.25">
      <c r="B381" s="1"/>
      <c r="C381" s="3"/>
      <c r="D381" s="3"/>
      <c r="G381" s="1"/>
      <c r="H381" s="3"/>
      <c r="I381" s="3"/>
      <c r="M381" s="1"/>
      <c r="N381" s="3"/>
      <c r="O381" s="3"/>
      <c r="P381" s="3"/>
      <c r="R381" s="1"/>
      <c r="S381" s="3"/>
    </row>
    <row r="382" spans="2:19" x14ac:dyDescent="0.25">
      <c r="B382" s="1"/>
      <c r="C382" s="3"/>
      <c r="D382" s="3"/>
      <c r="G382" s="1"/>
      <c r="H382" s="3"/>
      <c r="I382" s="3"/>
      <c r="M382" s="1"/>
      <c r="N382" s="3"/>
      <c r="O382" s="3"/>
      <c r="P382" s="3"/>
      <c r="R382" s="1"/>
      <c r="S382" s="3"/>
    </row>
    <row r="383" spans="2:19" x14ac:dyDescent="0.25">
      <c r="B383" s="1"/>
      <c r="C383" s="3"/>
      <c r="D383" s="3"/>
      <c r="G383" s="1"/>
      <c r="H383" s="3"/>
      <c r="I383" s="3"/>
      <c r="M383" s="1"/>
      <c r="N383" s="3"/>
      <c r="O383" s="3"/>
      <c r="P383" s="3"/>
      <c r="R383" s="1"/>
      <c r="S383" s="3"/>
    </row>
    <row r="384" spans="2:19" x14ac:dyDescent="0.25">
      <c r="B384" s="1"/>
      <c r="C384" s="3"/>
      <c r="D384" s="3"/>
      <c r="G384" s="1"/>
      <c r="H384" s="3"/>
      <c r="I384" s="3"/>
      <c r="M384" s="1"/>
      <c r="N384" s="3"/>
      <c r="O384" s="3"/>
      <c r="P384" s="3"/>
      <c r="R384" s="1"/>
      <c r="S384" s="3"/>
    </row>
    <row r="385" spans="2:19" x14ac:dyDescent="0.25">
      <c r="B385" s="1"/>
      <c r="C385" s="3"/>
      <c r="D385" s="3"/>
      <c r="G385" s="1"/>
      <c r="H385" s="3"/>
      <c r="I385" s="3"/>
      <c r="M385" s="1"/>
      <c r="N385" s="3"/>
      <c r="O385" s="3"/>
      <c r="P385" s="3"/>
      <c r="R385" s="1"/>
      <c r="S385" s="3"/>
    </row>
    <row r="386" spans="2:19" x14ac:dyDescent="0.25">
      <c r="B386" s="1"/>
      <c r="C386" s="3"/>
      <c r="D386" s="3"/>
      <c r="G386" s="1"/>
      <c r="H386" s="3"/>
      <c r="I386" s="3"/>
      <c r="M386" s="1"/>
      <c r="N386" s="3"/>
      <c r="O386" s="3"/>
      <c r="P386" s="3"/>
      <c r="R386" s="1"/>
      <c r="S386" s="3"/>
    </row>
    <row r="387" spans="2:19" x14ac:dyDescent="0.25">
      <c r="B387" s="1"/>
      <c r="C387" s="3"/>
      <c r="D387" s="3"/>
      <c r="G387" s="1"/>
      <c r="H387" s="3"/>
      <c r="I387" s="3"/>
      <c r="M387" s="1"/>
      <c r="N387" s="3"/>
      <c r="O387" s="3"/>
      <c r="P387" s="3"/>
      <c r="R387" s="1"/>
      <c r="S387" s="3"/>
    </row>
    <row r="388" spans="2:19" x14ac:dyDescent="0.25">
      <c r="B388" s="1"/>
      <c r="C388" s="3"/>
      <c r="D388" s="3"/>
      <c r="G388" s="1"/>
      <c r="H388" s="3"/>
      <c r="I388" s="3"/>
      <c r="M388" s="1"/>
      <c r="N388" s="3"/>
      <c r="O388" s="3"/>
      <c r="P388" s="3"/>
      <c r="R388" s="1"/>
      <c r="S388" s="3"/>
    </row>
    <row r="389" spans="2:19" x14ac:dyDescent="0.25">
      <c r="B389" s="1"/>
      <c r="C389" s="3"/>
      <c r="D389" s="3"/>
      <c r="G389" s="1"/>
      <c r="H389" s="3"/>
      <c r="I389" s="3"/>
      <c r="M389" s="1"/>
      <c r="N389" s="3"/>
      <c r="O389" s="3"/>
      <c r="P389" s="3"/>
      <c r="R389" s="1"/>
      <c r="S389" s="3"/>
    </row>
    <row r="390" spans="2:19" x14ac:dyDescent="0.25">
      <c r="B390" s="1"/>
      <c r="C390" s="3"/>
      <c r="D390" s="3"/>
      <c r="G390" s="1"/>
      <c r="H390" s="3"/>
      <c r="I390" s="3"/>
      <c r="M390" s="1"/>
      <c r="N390" s="3"/>
      <c r="O390" s="3"/>
      <c r="P390" s="3"/>
      <c r="R390" s="1"/>
      <c r="S390" s="3"/>
    </row>
    <row r="391" spans="2:19" x14ac:dyDescent="0.25">
      <c r="B391" s="1"/>
      <c r="C391" s="3"/>
      <c r="D391" s="3"/>
      <c r="G391" s="1"/>
      <c r="H391" s="3"/>
      <c r="I391" s="3"/>
      <c r="M391" s="1"/>
      <c r="N391" s="3"/>
      <c r="O391" s="3"/>
      <c r="P391" s="3"/>
      <c r="R391" s="1"/>
      <c r="S391" s="3"/>
    </row>
    <row r="392" spans="2:19" x14ac:dyDescent="0.25">
      <c r="B392" s="1"/>
      <c r="C392" s="3"/>
      <c r="D392" s="3"/>
      <c r="G392" s="1"/>
      <c r="H392" s="3"/>
      <c r="I392" s="3"/>
      <c r="M392" s="1"/>
      <c r="N392" s="3"/>
      <c r="O392" s="3"/>
      <c r="P392" s="3"/>
      <c r="R392" s="1"/>
      <c r="S392" s="3"/>
    </row>
    <row r="393" spans="2:19" x14ac:dyDescent="0.25">
      <c r="B393" s="1"/>
      <c r="C393" s="3"/>
      <c r="D393" s="3"/>
      <c r="G393" s="1"/>
      <c r="H393" s="3"/>
      <c r="I393" s="3"/>
      <c r="M393" s="1"/>
      <c r="N393" s="3"/>
      <c r="O393" s="3"/>
      <c r="P393" s="3"/>
      <c r="R393" s="1"/>
      <c r="S393" s="3"/>
    </row>
    <row r="394" spans="2:19" x14ac:dyDescent="0.25">
      <c r="B394" s="1"/>
      <c r="C394" s="3"/>
      <c r="D394" s="3"/>
      <c r="G394" s="1"/>
      <c r="H394" s="3"/>
      <c r="I394" s="3"/>
      <c r="M394" s="1"/>
      <c r="N394" s="3"/>
      <c r="O394" s="3"/>
      <c r="P394" s="3"/>
      <c r="R394" s="1"/>
      <c r="S394" s="3"/>
    </row>
    <row r="395" spans="2:19" x14ac:dyDescent="0.25">
      <c r="B395" s="1"/>
      <c r="C395" s="3"/>
      <c r="D395" s="3"/>
      <c r="G395" s="1"/>
      <c r="H395" s="3"/>
      <c r="I395" s="3"/>
      <c r="M395" s="1"/>
      <c r="N395" s="3"/>
      <c r="O395" s="3"/>
      <c r="P395" s="3"/>
      <c r="R395" s="1"/>
      <c r="S395" s="3"/>
    </row>
    <row r="396" spans="2:19" x14ac:dyDescent="0.25">
      <c r="B396" s="1"/>
      <c r="C396" s="3"/>
      <c r="D396" s="3"/>
      <c r="G396" s="1"/>
      <c r="H396" s="3"/>
      <c r="I396" s="3"/>
      <c r="M396" s="1"/>
      <c r="N396" s="3"/>
      <c r="O396" s="3"/>
      <c r="P396" s="3"/>
      <c r="R396" s="1"/>
      <c r="S396" s="3"/>
    </row>
    <row r="397" spans="2:19" x14ac:dyDescent="0.25">
      <c r="B397" s="1"/>
      <c r="C397" s="3"/>
      <c r="D397" s="3"/>
      <c r="G397" s="1"/>
      <c r="H397" s="3"/>
      <c r="I397" s="3"/>
      <c r="M397" s="1"/>
      <c r="N397" s="3"/>
      <c r="O397" s="3"/>
      <c r="P397" s="3"/>
      <c r="R397" s="1"/>
      <c r="S397" s="3"/>
    </row>
    <row r="398" spans="2:19" x14ac:dyDescent="0.25">
      <c r="B398" s="1"/>
      <c r="C398" s="3"/>
      <c r="D398" s="3"/>
      <c r="G398" s="1"/>
      <c r="H398" s="3"/>
      <c r="I398" s="3"/>
      <c r="M398" s="1"/>
      <c r="N398" s="3"/>
      <c r="O398" s="3"/>
      <c r="P398" s="3"/>
      <c r="R398" s="1"/>
      <c r="S398" s="3"/>
    </row>
    <row r="399" spans="2:19" x14ac:dyDescent="0.25">
      <c r="B399" s="1"/>
      <c r="C399" s="3"/>
      <c r="D399" s="3"/>
      <c r="G399" s="1"/>
      <c r="H399" s="3"/>
      <c r="I399" s="3"/>
      <c r="M399" s="1"/>
      <c r="N399" s="3"/>
      <c r="O399" s="3"/>
      <c r="P399" s="3"/>
      <c r="R399" s="1"/>
      <c r="S399" s="3"/>
    </row>
    <row r="400" spans="2:19" x14ac:dyDescent="0.25">
      <c r="B400" s="1"/>
      <c r="C400" s="3"/>
      <c r="D400" s="3"/>
      <c r="G400" s="1"/>
      <c r="H400" s="3"/>
      <c r="I400" s="3"/>
      <c r="M400" s="1"/>
      <c r="N400" s="3"/>
      <c r="O400" s="3"/>
      <c r="P400" s="3"/>
      <c r="R400" s="1"/>
      <c r="S400" s="3"/>
    </row>
    <row r="401" spans="2:19" x14ac:dyDescent="0.25">
      <c r="B401" s="1"/>
      <c r="C401" s="3"/>
      <c r="D401" s="3"/>
      <c r="G401" s="1"/>
      <c r="H401" s="3"/>
      <c r="I401" s="3"/>
      <c r="M401" s="1"/>
      <c r="N401" s="3"/>
      <c r="O401" s="3"/>
      <c r="P401" s="3"/>
      <c r="R401" s="1"/>
      <c r="S401" s="3"/>
    </row>
    <row r="402" spans="2:19" x14ac:dyDescent="0.25">
      <c r="B402" s="1"/>
      <c r="C402" s="3"/>
      <c r="D402" s="3"/>
      <c r="G402" s="1"/>
      <c r="H402" s="3"/>
      <c r="I402" s="3"/>
      <c r="M402" s="1"/>
      <c r="N402" s="3"/>
      <c r="O402" s="3"/>
      <c r="P402" s="3"/>
      <c r="R402" s="1"/>
      <c r="S402" s="3"/>
    </row>
    <row r="403" spans="2:19" x14ac:dyDescent="0.25">
      <c r="B403" s="1"/>
      <c r="C403" s="3"/>
      <c r="D403" s="3"/>
      <c r="G403" s="1"/>
      <c r="H403" s="3"/>
      <c r="I403" s="3"/>
      <c r="M403" s="1"/>
      <c r="N403" s="3"/>
      <c r="O403" s="3"/>
      <c r="P403" s="3"/>
      <c r="R403" s="1"/>
      <c r="S403" s="3"/>
    </row>
    <row r="404" spans="2:19" x14ac:dyDescent="0.25">
      <c r="B404" s="1"/>
      <c r="C404" s="3"/>
      <c r="D404" s="3"/>
      <c r="G404" s="1"/>
      <c r="H404" s="3"/>
      <c r="I404" s="3"/>
      <c r="M404" s="1"/>
      <c r="N404" s="3"/>
      <c r="O404" s="3"/>
      <c r="P404" s="3"/>
      <c r="R404" s="1"/>
      <c r="S404" s="3"/>
    </row>
    <row r="405" spans="2:19" x14ac:dyDescent="0.25">
      <c r="B405" s="1"/>
      <c r="C405" s="3"/>
      <c r="D405" s="3"/>
      <c r="G405" s="1"/>
      <c r="H405" s="3"/>
      <c r="I405" s="3"/>
      <c r="M405" s="1"/>
      <c r="N405" s="3"/>
      <c r="O405" s="3"/>
      <c r="P405" s="3"/>
      <c r="R405" s="1"/>
      <c r="S405" s="3"/>
    </row>
    <row r="406" spans="2:19" x14ac:dyDescent="0.25">
      <c r="B406" s="1"/>
      <c r="C406" s="3"/>
      <c r="D406" s="3"/>
      <c r="G406" s="1"/>
      <c r="H406" s="3"/>
      <c r="I406" s="3"/>
      <c r="M406" s="1"/>
      <c r="N406" s="3"/>
      <c r="O406" s="3"/>
      <c r="P406" s="3"/>
      <c r="R406" s="1"/>
      <c r="S406" s="3"/>
    </row>
    <row r="407" spans="2:19" x14ac:dyDescent="0.25">
      <c r="B407" s="1"/>
      <c r="C407" s="3"/>
      <c r="D407" s="3"/>
      <c r="G407" s="1"/>
      <c r="H407" s="3"/>
      <c r="I407" s="3"/>
      <c r="M407" s="1"/>
      <c r="N407" s="3"/>
      <c r="O407" s="3"/>
      <c r="P407" s="3"/>
      <c r="R407" s="1"/>
      <c r="S407" s="3"/>
    </row>
    <row r="408" spans="2:19" x14ac:dyDescent="0.25">
      <c r="B408" s="1"/>
      <c r="C408" s="3"/>
      <c r="D408" s="3"/>
      <c r="G408" s="1"/>
      <c r="H408" s="3"/>
      <c r="I408" s="3"/>
      <c r="M408" s="1"/>
      <c r="N408" s="3"/>
      <c r="O408" s="3"/>
      <c r="P408" s="3"/>
      <c r="R408" s="1"/>
      <c r="S408" s="3"/>
    </row>
    <row r="409" spans="2:19" x14ac:dyDescent="0.25">
      <c r="B409" s="1"/>
      <c r="C409" s="3"/>
      <c r="D409" s="3"/>
      <c r="G409" s="1"/>
      <c r="H409" s="3"/>
      <c r="I409" s="3"/>
      <c r="M409" s="1"/>
      <c r="N409" s="3"/>
      <c r="O409" s="3"/>
      <c r="P409" s="3"/>
      <c r="R409" s="1"/>
      <c r="S409" s="3"/>
    </row>
    <row r="410" spans="2:19" x14ac:dyDescent="0.25">
      <c r="B410" s="1"/>
      <c r="C410" s="3"/>
      <c r="D410" s="3"/>
      <c r="G410" s="1"/>
      <c r="H410" s="3"/>
      <c r="I410" s="3"/>
      <c r="M410" s="1"/>
      <c r="N410" s="3"/>
      <c r="O410" s="3"/>
      <c r="P410" s="3"/>
      <c r="R410" s="1"/>
      <c r="S410" s="3"/>
    </row>
    <row r="411" spans="2:19" x14ac:dyDescent="0.25">
      <c r="B411" s="1"/>
      <c r="C411" s="3"/>
      <c r="D411" s="3"/>
      <c r="G411" s="1"/>
      <c r="H411" s="3"/>
      <c r="I411" s="3"/>
      <c r="M411" s="1"/>
      <c r="N411" s="3"/>
      <c r="O411" s="3"/>
      <c r="P411" s="3"/>
      <c r="R411" s="1"/>
      <c r="S411" s="3"/>
    </row>
    <row r="412" spans="2:19" x14ac:dyDescent="0.25">
      <c r="B412" s="1"/>
      <c r="C412" s="3"/>
      <c r="D412" s="3"/>
      <c r="G412" s="1"/>
      <c r="H412" s="3"/>
      <c r="I412" s="3"/>
      <c r="M412" s="1"/>
      <c r="N412" s="3"/>
      <c r="O412" s="3"/>
      <c r="P412" s="3"/>
      <c r="R412" s="1"/>
      <c r="S412" s="3"/>
    </row>
    <row r="413" spans="2:19" x14ac:dyDescent="0.25">
      <c r="B413" s="1"/>
      <c r="C413" s="3"/>
      <c r="D413" s="3"/>
      <c r="G413" s="1"/>
      <c r="H413" s="3"/>
      <c r="I413" s="3"/>
      <c r="M413" s="1"/>
      <c r="N413" s="3"/>
      <c r="O413" s="3"/>
      <c r="P413" s="3"/>
      <c r="R413" s="1"/>
      <c r="S413" s="3"/>
    </row>
    <row r="414" spans="2:19" x14ac:dyDescent="0.25">
      <c r="B414" s="1"/>
      <c r="C414" s="3"/>
      <c r="D414" s="3"/>
      <c r="G414" s="1"/>
      <c r="H414" s="3"/>
      <c r="I414" s="3"/>
      <c r="M414" s="1"/>
      <c r="N414" s="3"/>
      <c r="O414" s="3"/>
      <c r="P414" s="3"/>
      <c r="R414" s="1"/>
      <c r="S414" s="3"/>
    </row>
    <row r="415" spans="2:19" x14ac:dyDescent="0.25">
      <c r="B415" s="1"/>
      <c r="C415" s="3"/>
      <c r="D415" s="3"/>
      <c r="G415" s="1"/>
      <c r="H415" s="3"/>
      <c r="I415" s="3"/>
      <c r="M415" s="1"/>
      <c r="N415" s="3"/>
      <c r="O415" s="3"/>
      <c r="P415" s="3"/>
      <c r="R415" s="1"/>
      <c r="S415" s="3"/>
    </row>
    <row r="416" spans="2:19" x14ac:dyDescent="0.25">
      <c r="B416" s="1"/>
      <c r="C416" s="3"/>
      <c r="D416" s="3"/>
      <c r="G416" s="1"/>
      <c r="H416" s="3"/>
      <c r="I416" s="3"/>
      <c r="M416" s="1"/>
      <c r="N416" s="3"/>
      <c r="O416" s="3"/>
      <c r="P416" s="3"/>
      <c r="R416" s="1"/>
      <c r="S416" s="3"/>
    </row>
    <row r="417" spans="2:19" x14ac:dyDescent="0.25">
      <c r="B417" s="1"/>
      <c r="C417" s="3"/>
      <c r="D417" s="3"/>
      <c r="G417" s="1"/>
      <c r="H417" s="3"/>
      <c r="I417" s="3"/>
      <c r="M417" s="1"/>
      <c r="N417" s="3"/>
      <c r="O417" s="3"/>
      <c r="P417" s="3"/>
      <c r="R417" s="1"/>
      <c r="S417" s="3"/>
    </row>
    <row r="418" spans="2:19" x14ac:dyDescent="0.25">
      <c r="B418" s="1"/>
    </row>
    <row r="419" spans="2:19" x14ac:dyDescent="0.25">
      <c r="B419" s="1"/>
    </row>
    <row r="420" spans="2:19" x14ac:dyDescent="0.25">
      <c r="B420" s="1"/>
    </row>
    <row r="421" spans="2:19" x14ac:dyDescent="0.25">
      <c r="B421" s="1"/>
    </row>
    <row r="422" spans="2:19" x14ac:dyDescent="0.25">
      <c r="B422" s="1"/>
    </row>
    <row r="423" spans="2:19" x14ac:dyDescent="0.25">
      <c r="B423" s="1"/>
    </row>
    <row r="424" spans="2:19" x14ac:dyDescent="0.25">
      <c r="B424" s="1"/>
    </row>
    <row r="425" spans="2:19" x14ac:dyDescent="0.25">
      <c r="B425" s="1"/>
    </row>
    <row r="426" spans="2:19" x14ac:dyDescent="0.25">
      <c r="B426" s="1"/>
    </row>
    <row r="427" spans="2:19" x14ac:dyDescent="0.25">
      <c r="B427" s="1"/>
    </row>
    <row r="428" spans="2:19" x14ac:dyDescent="0.25">
      <c r="B42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S45"/>
  <sheetViews>
    <sheetView workbookViewId="0"/>
  </sheetViews>
  <sheetFormatPr defaultRowHeight="15" x14ac:dyDescent="0.25"/>
  <cols>
    <col min="2" max="2" width="13.5703125" bestFit="1" customWidth="1"/>
    <col min="3" max="19" width="9.140625" customWidth="1"/>
  </cols>
  <sheetData>
    <row r="2" spans="2:14" x14ac:dyDescent="0.25">
      <c r="B2" s="35" t="s">
        <v>29</v>
      </c>
      <c r="H2" s="28">
        <v>0.1</v>
      </c>
    </row>
    <row r="3" spans="2:14" x14ac:dyDescent="0.25">
      <c r="B3" t="s">
        <v>26</v>
      </c>
      <c r="C3" s="31">
        <f t="shared" ref="C3:F3" si="0">D3-$H$2</f>
        <v>0.50000000000000011</v>
      </c>
      <c r="D3" s="31">
        <f t="shared" si="0"/>
        <v>0.60000000000000009</v>
      </c>
      <c r="E3" s="31">
        <f t="shared" si="0"/>
        <v>0.70000000000000007</v>
      </c>
      <c r="F3" s="31">
        <f t="shared" si="0"/>
        <v>0.8</v>
      </c>
      <c r="G3" s="31">
        <f>H3-$H$2</f>
        <v>0.9</v>
      </c>
      <c r="H3" s="31">
        <v>1</v>
      </c>
      <c r="I3" s="31">
        <f>H3+$H$2</f>
        <v>1.1000000000000001</v>
      </c>
      <c r="J3" s="31">
        <f t="shared" ref="J3:M3" si="1">I3+$H$2</f>
        <v>1.2000000000000002</v>
      </c>
      <c r="K3" s="31">
        <f t="shared" si="1"/>
        <v>1.3000000000000003</v>
      </c>
      <c r="L3" s="31">
        <f t="shared" si="1"/>
        <v>1.4000000000000004</v>
      </c>
      <c r="M3" s="31">
        <f t="shared" si="1"/>
        <v>1.5000000000000004</v>
      </c>
    </row>
    <row r="4" spans="2:14" x14ac:dyDescent="0.25">
      <c r="C4" s="32"/>
      <c r="D4" s="32"/>
      <c r="E4" s="32"/>
      <c r="F4" s="32"/>
      <c r="G4" s="32"/>
      <c r="I4" s="32"/>
      <c r="J4" s="32"/>
      <c r="K4" s="32"/>
      <c r="L4" s="32"/>
      <c r="M4" s="32"/>
    </row>
    <row r="5" spans="2:14" x14ac:dyDescent="0.25">
      <c r="B5" t="s">
        <v>15</v>
      </c>
      <c r="C5" s="27" t="str">
        <f>$H$5</f>
        <v>CALL</v>
      </c>
      <c r="D5" s="27" t="str">
        <f t="shared" ref="D5:G5" si="2">$H$5</f>
        <v>CALL</v>
      </c>
      <c r="E5" s="27" t="str">
        <f t="shared" si="2"/>
        <v>CALL</v>
      </c>
      <c r="F5" s="27" t="str">
        <f t="shared" si="2"/>
        <v>CALL</v>
      </c>
      <c r="G5" s="27" t="str">
        <f t="shared" si="2"/>
        <v>CALL</v>
      </c>
      <c r="H5" s="36" t="s">
        <v>34</v>
      </c>
      <c r="I5" s="27" t="str">
        <f>$H$5</f>
        <v>CALL</v>
      </c>
      <c r="J5" s="27" t="str">
        <f t="shared" ref="J5:M5" si="3">$H$5</f>
        <v>CALL</v>
      </c>
      <c r="K5" s="27" t="str">
        <f t="shared" si="3"/>
        <v>CALL</v>
      </c>
      <c r="L5" s="27" t="str">
        <f t="shared" si="3"/>
        <v>CALL</v>
      </c>
      <c r="M5" s="27" t="str">
        <f t="shared" si="3"/>
        <v>CALL</v>
      </c>
      <c r="N5" s="22"/>
    </row>
    <row r="6" spans="2:14" x14ac:dyDescent="0.25">
      <c r="B6" t="s">
        <v>16</v>
      </c>
      <c r="C6" s="27">
        <f>$H$6*C$3</f>
        <v>45.000000000000007</v>
      </c>
      <c r="D6" s="27">
        <f t="shared" ref="D6:G6" si="4">$H$6*D$3</f>
        <v>54.000000000000007</v>
      </c>
      <c r="E6" s="27">
        <f t="shared" si="4"/>
        <v>63.000000000000007</v>
      </c>
      <c r="F6" s="27">
        <f t="shared" si="4"/>
        <v>72</v>
      </c>
      <c r="G6" s="27">
        <f t="shared" si="4"/>
        <v>81</v>
      </c>
      <c r="H6" s="29">
        <v>90</v>
      </c>
      <c r="I6" s="27">
        <f>$H$6*I$3</f>
        <v>99.000000000000014</v>
      </c>
      <c r="J6" s="27">
        <f t="shared" ref="J6:M6" si="5">$H$6*J$3</f>
        <v>108.00000000000001</v>
      </c>
      <c r="K6" s="27">
        <f t="shared" si="5"/>
        <v>117.00000000000003</v>
      </c>
      <c r="L6" s="27">
        <f t="shared" si="5"/>
        <v>126.00000000000003</v>
      </c>
      <c r="M6" s="27">
        <f t="shared" si="5"/>
        <v>135.00000000000003</v>
      </c>
      <c r="N6" s="1"/>
    </row>
    <row r="7" spans="2:14" x14ac:dyDescent="0.25">
      <c r="B7" t="s">
        <v>17</v>
      </c>
      <c r="C7" s="27">
        <f>$H7</f>
        <v>100</v>
      </c>
      <c r="D7" s="27">
        <f t="shared" ref="D7:G11" si="6">$H7</f>
        <v>100</v>
      </c>
      <c r="E7" s="27">
        <f t="shared" si="6"/>
        <v>100</v>
      </c>
      <c r="F7" s="27">
        <f t="shared" si="6"/>
        <v>100</v>
      </c>
      <c r="G7" s="27">
        <f t="shared" si="6"/>
        <v>100</v>
      </c>
      <c r="H7" s="29">
        <v>100</v>
      </c>
      <c r="I7" s="27">
        <f>$H7</f>
        <v>100</v>
      </c>
      <c r="J7" s="27">
        <f t="shared" ref="J7:M11" si="7">$H7</f>
        <v>100</v>
      </c>
      <c r="K7" s="27">
        <f t="shared" si="7"/>
        <v>100</v>
      </c>
      <c r="L7" s="27">
        <f t="shared" si="7"/>
        <v>100</v>
      </c>
      <c r="M7" s="27">
        <f t="shared" si="7"/>
        <v>100</v>
      </c>
      <c r="N7" s="1"/>
    </row>
    <row r="8" spans="2:14" x14ac:dyDescent="0.25">
      <c r="B8" t="s">
        <v>18</v>
      </c>
      <c r="C8" s="25">
        <f t="shared" ref="C8:E8" si="8">D8-$H$1</f>
        <v>0.1</v>
      </c>
      <c r="D8" s="25">
        <f t="shared" si="8"/>
        <v>0.1</v>
      </c>
      <c r="E8" s="25">
        <f t="shared" si="8"/>
        <v>0.1</v>
      </c>
      <c r="F8" s="25">
        <f>G8-$H$1</f>
        <v>0.1</v>
      </c>
      <c r="G8" s="25">
        <f>H8-$H$1</f>
        <v>0.1</v>
      </c>
      <c r="H8" s="30">
        <v>0.1</v>
      </c>
      <c r="I8" s="25">
        <f>H8+$H$1</f>
        <v>0.1</v>
      </c>
      <c r="J8" s="25">
        <f t="shared" ref="J8:M8" si="9">I8+$H$1</f>
        <v>0.1</v>
      </c>
      <c r="K8" s="25">
        <f t="shared" si="9"/>
        <v>0.1</v>
      </c>
      <c r="L8" s="25">
        <f t="shared" si="9"/>
        <v>0.1</v>
      </c>
      <c r="M8" s="25">
        <f t="shared" si="9"/>
        <v>0.1</v>
      </c>
      <c r="N8" s="21"/>
    </row>
    <row r="9" spans="2:14" x14ac:dyDescent="0.25">
      <c r="B9" t="s">
        <v>19</v>
      </c>
      <c r="C9" s="27">
        <f t="shared" ref="C9:I11" si="10">$H9</f>
        <v>1</v>
      </c>
      <c r="D9" s="27">
        <f t="shared" si="6"/>
        <v>1</v>
      </c>
      <c r="E9" s="27">
        <f t="shared" si="6"/>
        <v>1</v>
      </c>
      <c r="F9" s="27">
        <f t="shared" si="6"/>
        <v>1</v>
      </c>
      <c r="G9" s="27">
        <f t="shared" si="6"/>
        <v>1</v>
      </c>
      <c r="H9" s="29">
        <v>1</v>
      </c>
      <c r="I9" s="27">
        <f t="shared" si="10"/>
        <v>1</v>
      </c>
      <c r="J9" s="27">
        <f t="shared" si="7"/>
        <v>1</v>
      </c>
      <c r="K9" s="27">
        <f t="shared" si="7"/>
        <v>1</v>
      </c>
      <c r="L9" s="27">
        <f t="shared" si="7"/>
        <v>1</v>
      </c>
      <c r="M9" s="27">
        <f t="shared" si="7"/>
        <v>1</v>
      </c>
      <c r="N9" s="1"/>
    </row>
    <row r="10" spans="2:14" x14ac:dyDescent="0.25">
      <c r="B10" t="s">
        <v>20</v>
      </c>
      <c r="C10" s="25">
        <f t="shared" si="10"/>
        <v>0.01</v>
      </c>
      <c r="D10" s="25">
        <f t="shared" si="6"/>
        <v>0.01</v>
      </c>
      <c r="E10" s="25">
        <f t="shared" si="6"/>
        <v>0.01</v>
      </c>
      <c r="F10" s="25">
        <f t="shared" si="6"/>
        <v>0.01</v>
      </c>
      <c r="G10" s="25">
        <f t="shared" si="6"/>
        <v>0.01</v>
      </c>
      <c r="H10" s="30">
        <v>0.01</v>
      </c>
      <c r="I10" s="25">
        <f t="shared" si="10"/>
        <v>0.01</v>
      </c>
      <c r="J10" s="25">
        <f t="shared" si="7"/>
        <v>0.01</v>
      </c>
      <c r="K10" s="25">
        <f t="shared" si="7"/>
        <v>0.01</v>
      </c>
      <c r="L10" s="25">
        <f t="shared" si="7"/>
        <v>0.01</v>
      </c>
      <c r="M10" s="25">
        <f t="shared" si="7"/>
        <v>0.01</v>
      </c>
      <c r="N10" s="21"/>
    </row>
    <row r="11" spans="2:14" x14ac:dyDescent="0.25">
      <c r="B11" t="s">
        <v>21</v>
      </c>
      <c r="C11" s="25">
        <f t="shared" si="10"/>
        <v>0</v>
      </c>
      <c r="D11" s="25">
        <f t="shared" si="6"/>
        <v>0</v>
      </c>
      <c r="E11" s="25">
        <f t="shared" si="6"/>
        <v>0</v>
      </c>
      <c r="F11" s="25">
        <f t="shared" si="6"/>
        <v>0</v>
      </c>
      <c r="G11" s="25">
        <f t="shared" si="6"/>
        <v>0</v>
      </c>
      <c r="H11" s="30">
        <v>0</v>
      </c>
      <c r="I11" s="25">
        <f t="shared" si="10"/>
        <v>0</v>
      </c>
      <c r="J11" s="25">
        <f t="shared" si="7"/>
        <v>0</v>
      </c>
      <c r="K11" s="25">
        <f t="shared" si="7"/>
        <v>0</v>
      </c>
      <c r="L11" s="25">
        <f t="shared" si="7"/>
        <v>0</v>
      </c>
      <c r="M11" s="25">
        <f t="shared" si="7"/>
        <v>0</v>
      </c>
      <c r="N11" s="21"/>
    </row>
    <row r="12" spans="2:14" x14ac:dyDescent="0.25">
      <c r="N12" s="22"/>
    </row>
    <row r="13" spans="2:14" x14ac:dyDescent="0.25">
      <c r="B13" t="s">
        <v>33</v>
      </c>
      <c r="C13" s="23">
        <f ca="1">_xll.meMathBlackScholesPrice(C$5,C$6,C$7,C$8,C$9,C$10,C$11)</f>
        <v>5.6630492349461008E-16</v>
      </c>
      <c r="D13" s="23">
        <f ca="1">_xll.meMathBlackScholesPrice(D$5,D$6,D$7,D$8,D$9,D$10,D$11)</f>
        <v>4.0407521122927691E-10</v>
      </c>
      <c r="E13" s="23">
        <f ca="1">_xll.meMathBlackScholesPrice(E$5,E$6,E$7,E$8,E$9,E$10,E$11)</f>
        <v>3.0030830088676136E-6</v>
      </c>
      <c r="F13" s="23">
        <f ca="1">_xll.meMathBlackScholesPrice(F$5,F$6,F$7,F$8,F$9,F$10,F$11)</f>
        <v>1.1303235139804926E-3</v>
      </c>
      <c r="G13" s="23">
        <f ca="1">_xll.meMathBlackScholesPrice(G$5,G$6,G$7,G$8,G$9,G$10,G$11)</f>
        <v>5.6441685716132506E-2</v>
      </c>
      <c r="H13" s="24">
        <f ca="1">_xll.meMathBlackScholesPrice($H$5,$H$6,$H$7,$H$8,$H$9,$H$10,$H$11)</f>
        <v>0.70529258772381986</v>
      </c>
      <c r="I13" s="23">
        <f ca="1">_xll.meMathBlackScholesPrice(I$5,I$6,I$7,I$8,I$9,I$10,I$11)</f>
        <v>3.4531234907063251</v>
      </c>
      <c r="J13" s="23">
        <f ca="1">_xll.meMathBlackScholesPrice(J$5,J$6,J$7,J$8,J$9,J$10,J$11)</f>
        <v>9.223878702182347</v>
      </c>
      <c r="K13" s="23">
        <f ca="1">_xll.meMathBlackScholesPrice(K$5,K$6,K$7,K$8,K$9,K$10,K$11)</f>
        <v>17.097626579759819</v>
      </c>
      <c r="L13" s="23">
        <f ca="1">_xll.meMathBlackScholesPrice(L$5,L$6,L$7,L$8,L$9,L$10,L$11)</f>
        <v>25.780642066208017</v>
      </c>
      <c r="M13" s="23">
        <f ca="1">_xll.meMathBlackScholesPrice(M$5,M$6,M$7,M$8,M$9,M$10,M$11)</f>
        <v>34.656119281382942</v>
      </c>
      <c r="N13" s="7"/>
    </row>
    <row r="14" spans="2:14" x14ac:dyDescent="0.25">
      <c r="B14" t="s">
        <v>27</v>
      </c>
      <c r="C14" s="25">
        <f ca="1">_xll.meMathBlackScholesDeltaForward(C$5,C$6,C$7,C$8,C$9,C$10,C$11)</f>
        <v>1.0518241729352207E-15</v>
      </c>
      <c r="D14" s="25">
        <f ca="1">_xll.meMathBlackScholesDeltaForward(D$5,D$6,D$7,D$8,D$9,D$10,D$11)</f>
        <v>4.9237848760293119E-10</v>
      </c>
      <c r="E14" s="25">
        <f ca="1">_xll.meMathBlackScholesDeltaForward(E$5,E$6,E$7,E$8,E$9,E$10,E$11)</f>
        <v>2.434498261186352E-6</v>
      </c>
      <c r="F14" s="25">
        <f ca="1">_xll.meMathBlackScholesDeltaForward(F$5,F$6,F$7,F$8,F$9,F$10,F$11)</f>
        <v>6.0812702592765605E-4</v>
      </c>
      <c r="G14" s="25">
        <f ca="1">_xll.meMathBlackScholesDeltaForward(G$5,G$6,G$7,G$8,G$9,G$10,G$11)</f>
        <v>1.9832999968806862E-2</v>
      </c>
      <c r="H14" s="26">
        <f ca="1">_xll.meMathBlackScholesDeltaForward(H$5,H$6,H$7,H$8,H$9,H$10,H$11)</f>
        <v>0.15778448404418552</v>
      </c>
      <c r="I14" s="25">
        <f ca="1">_xll.meMathBlackScholesDeltaForward(I$5,I$6,I$7,I$8,I$9,I$10,I$11)</f>
        <v>0.47986063654903333</v>
      </c>
      <c r="J14" s="25">
        <f ca="1">_xll.meMathBlackScholesDeltaForward(J$5,J$6,J$7,J$8,J$9,J$10,J$11)</f>
        <v>0.79378088175054473</v>
      </c>
      <c r="K14" s="25">
        <f ca="1">_xll.meMathBlackScholesDeltaForward(K$5,K$6,K$7,K$8,K$9,K$10,K$11)</f>
        <v>0.94738788787280959</v>
      </c>
      <c r="L14" s="25">
        <f ca="1">_xll.meMathBlackScholesDeltaForward(L$5,L$6,L$7,L$8,L$9,L$10,L$11)</f>
        <v>0.99089001450937364</v>
      </c>
      <c r="M14" s="25">
        <f ca="1">_xll.meMathBlackScholesDeltaForward(M$5,M$6,M$7,M$8,M$9,M$10,M$11)</f>
        <v>0.99885977154276318</v>
      </c>
      <c r="N14" s="21"/>
    </row>
    <row r="15" spans="2:14" x14ac:dyDescent="0.25">
      <c r="B15" t="s">
        <v>28</v>
      </c>
      <c r="C15" s="25">
        <f ca="1">_xll.meMathBlackScholesDeltaSpot(C$5,C$6,C$7,C$8,C$9,C$10,C$11)</f>
        <v>1.0413583475478716E-15</v>
      </c>
      <c r="D15" s="25">
        <f ca="1">_xll.meMathBlackScholesDeltaSpot(D$5,D$6,D$7,D$8,D$9,D$10,D$11)</f>
        <v>4.8747923979294882E-10</v>
      </c>
      <c r="E15" s="25">
        <f ca="1">_xll.meMathBlackScholesDeltaSpot(E$5,E$6,E$7,E$8,E$9,E$10,E$11)</f>
        <v>2.4102745987501866E-6</v>
      </c>
      <c r="F15" s="25">
        <f ca="1">_xll.meMathBlackScholesDeltaSpot(F$5,F$6,F$7,F$8,F$9,F$10,F$11)</f>
        <v>6.0207606091805196E-4</v>
      </c>
      <c r="G15" s="25">
        <f ca="1">_xll.meMathBlackScholesDeltaSpot(G$5,G$6,G$7,G$8,G$9,G$10,G$11)</f>
        <v>1.963565832186449E-2</v>
      </c>
      <c r="H15" s="26">
        <f ca="1">_xll.meMathBlackScholesDeltaSpot(H$5,H$6,H$7,H$8,H$9,H$10,H$11)</f>
        <v>0.15621450219614413</v>
      </c>
      <c r="I15" s="25">
        <f ca="1">_xll.meMathBlackScholesDeltaSpot(I$5,I$6,I$7,I$8,I$9,I$10,I$11)</f>
        <v>0.47508594343814042</v>
      </c>
      <c r="J15" s="25">
        <f ca="1">_xll.meMathBlackScholesDeltaSpot(J$5,J$6,J$7,J$8,J$9,J$10,J$11)</f>
        <v>0.78588263001039493</v>
      </c>
      <c r="K15" s="25">
        <f ca="1">_xll.meMathBlackScholesDeltaSpot(K$5,K$6,K$7,K$8,K$9,K$10,K$11)</f>
        <v>0.93796122088445066</v>
      </c>
      <c r="L15" s="25">
        <f ca="1">_xll.meMathBlackScholesDeltaSpot(L$5,L$6,L$7,L$8,L$9,L$10,L$11)</f>
        <v>0.98103049412871612</v>
      </c>
      <c r="M15" s="25">
        <f ca="1">_xll.meMathBlackScholesDeltaSpot(M$5,M$6,M$7,M$8,M$9,M$10,M$11)</f>
        <v>0.9889209507546447</v>
      </c>
      <c r="N15" s="1"/>
    </row>
    <row r="16" spans="2:14" x14ac:dyDescent="0.25">
      <c r="B16" t="s">
        <v>22</v>
      </c>
      <c r="C16" s="23">
        <f ca="1">_xll.meMathBlackScholesGamma(C$5,C$6,C$7,C$8,C$9,C$10,C$11)</f>
        <v>1.864582685791739E-15</v>
      </c>
      <c r="D16" s="23">
        <f ca="1">_xll.meMathBlackScholesGamma(D$5,D$6,D$7,D$8,D$9,D$10,D$11)</f>
        <v>5.6581025187779492E-10</v>
      </c>
      <c r="E16" s="23">
        <f ca="1">_xll.meMathBlackScholesGamma(E$5,E$6,E$7,E$8,E$9,E$10,E$11)</f>
        <v>1.8256787303408262E-6</v>
      </c>
      <c r="F16" s="23">
        <f ca="1">_xll.meMathBlackScholesGamma(F$5,F$6,F$7,F$8,F$9,F$10,F$11)</f>
        <v>2.9287530299025442E-4</v>
      </c>
      <c r="G16" s="23">
        <f ca="1">_xll.meMathBlackScholesGamma(G$5,G$6,G$7,G$8,G$9,G$10,G$11)</f>
        <v>5.8761133462460575E-3</v>
      </c>
      <c r="H16" s="24">
        <f ca="1">_xll.meMathBlackScholesGamma(H$5,H$6,H$7,H$8,H$9,H$10,H$11)</f>
        <v>2.6522157435870795E-2</v>
      </c>
      <c r="I16" s="23">
        <f ca="1">_xll.meMathBlackScholesGamma(I$5,I$6,I$7,I$8,I$9,I$10,I$11)</f>
        <v>3.9845389175010376E-2</v>
      </c>
      <c r="J16" s="23">
        <f ca="1">_xll.meMathBlackScholesGamma(J$5,J$6,J$7,J$8,J$9,J$10,J$11)</f>
        <v>2.6137994883919307E-2</v>
      </c>
      <c r="K16" s="23">
        <f ca="1">_xll.meMathBlackScholesGamma(K$5,K$6,K$7,K$8,K$9,K$10,K$11)</f>
        <v>9.0881118792006579E-3</v>
      </c>
      <c r="L16" s="23">
        <f ca="1">_xll.meMathBlackScholesGamma(L$5,L$6,L$7,L$8,L$9,L$10,L$11)</f>
        <v>1.930314017414116E-3</v>
      </c>
      <c r="M16" s="23">
        <f ca="1">_xll.meMathBlackScholesGamma(M$5,M$6,M$7,M$8,M$9,M$10,M$11)</f>
        <v>2.7850659028851076E-4</v>
      </c>
      <c r="N16" s="1"/>
    </row>
    <row r="17" spans="2:19" x14ac:dyDescent="0.25">
      <c r="B17" t="s">
        <v>23</v>
      </c>
      <c r="C17" s="23">
        <f ca="1">_xll.meMathBlackScholesVega(C$5,C$6,C$7,C$8,C$9,C$10,C$11)</f>
        <v>3.7757799387282734E-15</v>
      </c>
      <c r="D17" s="23">
        <f ca="1">_xll.meMathBlackScholesVega(D$5,D$6,D$7,D$8,D$9,D$10,D$11)</f>
        <v>1.6499026944756506E-9</v>
      </c>
      <c r="E17" s="23">
        <f ca="1">_xll.meMathBlackScholesVega(E$5,E$6,E$7,E$8,E$9,E$10,E$11)</f>
        <v>7.24611888072274E-6</v>
      </c>
      <c r="F17" s="23">
        <f ca="1">_xll.meMathBlackScholesVega(F$5,F$6,F$7,F$8,F$9,F$10,F$11)</f>
        <v>1.5182655707014791E-3</v>
      </c>
      <c r="G17" s="23">
        <f ca="1">_xll.meMathBlackScholesVega(G$5,G$6,G$7,G$8,G$9,G$10,G$11)</f>
        <v>3.8553179664720383E-2</v>
      </c>
      <c r="H17" s="24">
        <f ca="1">_xll.meMathBlackScholesVega(H$5,H$6,H$7,H$8,H$9,H$10,H$11)</f>
        <v>0.21482947523055348</v>
      </c>
      <c r="I17" s="23">
        <f ca="1">_xll.meMathBlackScholesVega(I$5,I$6,I$7,I$8,I$9,I$10,I$11)</f>
        <v>0.39052465930427682</v>
      </c>
      <c r="J17" s="23">
        <f ca="1">_xll.meMathBlackScholesVega(J$5,J$6,J$7,J$8,J$9,J$10,J$11)</f>
        <v>0.3048735723260349</v>
      </c>
      <c r="K17" s="23">
        <f ca="1">_xll.meMathBlackScholesVega(K$5,K$6,K$7,K$8,K$9,K$10,K$11)</f>
        <v>0.12440716351437786</v>
      </c>
      <c r="L17" s="23">
        <f ca="1">_xll.meMathBlackScholesVega(L$5,L$6,L$7,L$8,L$9,L$10,L$11)</f>
        <v>3.0645665340466519E-2</v>
      </c>
      <c r="M17" s="23">
        <f ca="1">_xll.meMathBlackScholesVega(M$5,M$6,M$7,M$8,M$9,M$10,M$11)</f>
        <v>5.07578260800811E-3</v>
      </c>
      <c r="N17" s="1"/>
    </row>
    <row r="18" spans="2:19" x14ac:dyDescent="0.25">
      <c r="B18" t="s">
        <v>24</v>
      </c>
      <c r="C18" s="23">
        <f ca="1">_xll.meMathBlackScholesTheta(C$5,C$6,C$7,C$8,C$9,C$10,C$11)</f>
        <v>-5.1672105802618541E-17</v>
      </c>
      <c r="D18" s="23">
        <f ca="1">_xll.meMathBlackScholesTheta(D$5,D$6,D$7,D$8,D$9,D$10,D$11)</f>
        <v>-2.2574873977456429E-11</v>
      </c>
      <c r="E18" s="23">
        <f ca="1">_xll.meMathBlackScholesTheta(E$5,E$6,E$7,E$8,E$9,E$10,E$11)</f>
        <v>-9.9111741474401165E-8</v>
      </c>
      <c r="F18" s="23">
        <f ca="1">_xll.meMathBlackScholesTheta(F$5,F$6,F$7,F$8,F$9,F$10,F$11)</f>
        <v>-2.0752976367878414E-5</v>
      </c>
      <c r="G18" s="23">
        <f ca="1">_xll.meMathBlackScholesTheta(G$5,G$6,G$7,G$8,G$9,G$10,G$11)</f>
        <v>-5.262189773208504E-4</v>
      </c>
      <c r="H18" s="24">
        <f ca="1">_xll.meMathBlackScholesTheta(H$5,H$6,H$7,H$8,H$9,H$10,H$11)</f>
        <v>-2.921545380631154E-3</v>
      </c>
      <c r="I18" s="23">
        <f ca="1">_xll.meMathBlackScholesTheta(I$5,I$6,I$7,I$8,I$9,I$10,I$11)</f>
        <v>-5.2514498606826034E-3</v>
      </c>
      <c r="J18" s="23">
        <f ca="1">_xll.meMathBlackScholesTheta(J$5,J$6,J$7,J$8,J$9,J$10,J$11)</f>
        <v>-3.920955714191242E-3</v>
      </c>
      <c r="K18" s="23">
        <f ca="1">_xll.meMathBlackScholesTheta(K$5,K$6,K$7,K$8,K$9,K$10,K$11)</f>
        <v>-1.2349337488686957E-3</v>
      </c>
      <c r="L18" s="23">
        <f ca="1">_xll.meMathBlackScholesTheta(L$5,L$6,L$7,L$8,L$9,L$10,L$11)</f>
        <v>2.8631921686447011E-4</v>
      </c>
      <c r="M18" s="23">
        <f ca="1">_xll.meMathBlackScholesTheta(M$5,M$6,M$7,M$8,M$9,M$10,M$11)</f>
        <v>8.7934915749155037E-4</v>
      </c>
      <c r="N18" s="1"/>
    </row>
    <row r="19" spans="2:19" x14ac:dyDescent="0.25">
      <c r="B19" t="s">
        <v>25</v>
      </c>
      <c r="C19" s="23">
        <f ca="1">_xll.meMathBlackScholesRho(C$5,C$6,C$7,C$8,C$9,C$10,C$11)</f>
        <v>4.6294820716159621E-16</v>
      </c>
      <c r="D19" s="23">
        <f ca="1">_xll.meMathBlackScholesRho(D$5,D$6,D$7,D$8,D$9,D$10,D$11)</f>
        <v>2.5919803737589963E-10</v>
      </c>
      <c r="E19" s="23">
        <f ca="1">_xll.meMathBlackScholesRho(E$5,E$6,E$7,E$8,E$9,E$10,E$11)</f>
        <v>1.4884421671239419E-6</v>
      </c>
      <c r="F19" s="23">
        <f ca="1">_xll.meMathBlackScholesRho(F$5,F$6,F$7,F$8,F$9,F$10,F$11)</f>
        <v>4.2219152872119235E-4</v>
      </c>
      <c r="G19" s="23">
        <f ca="1">_xll.meMathBlackScholesRho(G$5,G$6,G$7,G$8,G$9,G$10,G$11)</f>
        <v>1.5340466383548912E-2</v>
      </c>
      <c r="H19" s="24">
        <f ca="1">_xll.meMathBlackScholesRho(H$5,H$6,H$7,H$8,H$9,H$10,H$11)</f>
        <v>0.13354012609929153</v>
      </c>
      <c r="I19" s="23">
        <f ca="1">_xll.meMathBlackScholesRho(I$5,I$6,I$7,I$8,I$9,I$10,I$11)</f>
        <v>0.43580384909669584</v>
      </c>
      <c r="J19" s="23">
        <f ca="1">_xll.meMathBlackScholesRho(J$5,J$6,J$7,J$8,J$9,J$10,J$11)</f>
        <v>0.75651445338940304</v>
      </c>
      <c r="K19" s="23">
        <f ca="1">_xll.meMathBlackScholesRho(K$5,K$6,K$7,K$8,K$9,K$10,K$11)</f>
        <v>0.92643836263720925</v>
      </c>
      <c r="L19" s="23">
        <f ca="1">_xll.meMathBlackScholesRho(L$5,L$6,L$7,L$8,L$9,L$10,L$11)</f>
        <v>0.97829200194010246</v>
      </c>
      <c r="M19" s="23">
        <f ca="1">_xll.meMathBlackScholesRho(M$5,M$6,M$7,M$8,M$9,M$10,M$11)</f>
        <v>0.9884820907049412</v>
      </c>
    </row>
    <row r="20" spans="2:19" x14ac:dyDescent="0.25">
      <c r="B20" t="s">
        <v>63</v>
      </c>
      <c r="C20" s="25">
        <f ca="1">_xll.meMathBlackScholesImpliedVol(C13,C5,C6,C7,C9,C10,C11)</f>
        <v>0.12326304144601978</v>
      </c>
      <c r="D20" s="25">
        <f ca="1">_xll.meMathBlackScholesImpliedVol(D13,D5,D6,D7,D9,D10,D11)</f>
        <v>0.10032674974492611</v>
      </c>
      <c r="E20" s="25">
        <f ca="1">_xll.meMathBlackScholesImpliedVol(E13,E5,E6,E7,E9,E10,E11)</f>
        <v>0.10000002264761514</v>
      </c>
      <c r="F20" s="25">
        <f ca="1">_xll.meMathBlackScholesImpliedVol(F13,F5,F6,F7,F9,F10,F11)</f>
        <v>0.10000000041037374</v>
      </c>
      <c r="G20" s="25">
        <f ca="1">_xll.meMathBlackScholesImpliedVol(G13,G5,G6,G7,G9,G10,G11)</f>
        <v>0.10000000000201549</v>
      </c>
      <c r="H20" s="26">
        <f ca="1">_xll.meMathBlackScholesImpliedVol(H13,H5,H6,H7,H9,H10,H11)</f>
        <v>0.10000000000000513</v>
      </c>
      <c r="I20" s="25">
        <f ca="1">_xll.meMathBlackScholesImpliedVol(I13,I5,I6,I7,I9,I10,I11)</f>
        <v>0.10000000000000037</v>
      </c>
      <c r="J20" s="25">
        <f ca="1">_xll.meMathBlackScholesImpliedVol(J13,J5,J6,J7,J9,J10,J11)</f>
        <v>0.10000000000004086</v>
      </c>
      <c r="K20" s="25">
        <f ca="1">_xll.meMathBlackScholesImpliedVol(K13,K5,K6,K7,K9,K10,K11)</f>
        <v>0.10000000000007465</v>
      </c>
      <c r="L20" s="25">
        <f ca="1">_xll.meMathBlackScholesImpliedVol(L13,L5,L6,L7,L9,L10,L11)</f>
        <v>0.10000000000020347</v>
      </c>
      <c r="M20" s="25">
        <f ca="1">_xll.meMathBlackScholesImpliedVol(M13,M5,M6,M7,M9,M10,M11)</f>
        <v>0.10000000000147666</v>
      </c>
    </row>
    <row r="21" spans="2:19" x14ac:dyDescent="0.25">
      <c r="H21" s="33"/>
    </row>
    <row r="22" spans="2:19" x14ac:dyDescent="0.25">
      <c r="H22" s="33"/>
    </row>
    <row r="23" spans="2:19" x14ac:dyDescent="0.25">
      <c r="H23" s="33"/>
      <c r="R23" s="35" t="s">
        <v>61</v>
      </c>
    </row>
    <row r="24" spans="2:19" x14ac:dyDescent="0.25">
      <c r="H24" s="33"/>
      <c r="R24" s="1" t="s">
        <v>33</v>
      </c>
      <c r="S24" s="1" t="s">
        <v>62</v>
      </c>
    </row>
    <row r="25" spans="2:19" x14ac:dyDescent="0.25">
      <c r="H25" s="33"/>
      <c r="R25" s="111">
        <v>0</v>
      </c>
      <c r="S25" s="25">
        <f ca="1">_xll.meMathBlackScholesImpliedVol(R25,$H$5,$H$6,$H$7,$H$9,$H$10,$H$11)</f>
        <v>1.6877873798985907E-2</v>
      </c>
    </row>
    <row r="26" spans="2:19" x14ac:dyDescent="0.25">
      <c r="H26" s="33"/>
      <c r="R26" s="111">
        <v>0.5</v>
      </c>
      <c r="S26" s="25">
        <f ca="1">_xll.meMathBlackScholesImpliedVol(R26,$H$5,$H$6,$H$7,$H$9,$H$10,$H$11)</f>
        <v>8.9833040807465195E-2</v>
      </c>
    </row>
    <row r="27" spans="2:19" x14ac:dyDescent="0.25">
      <c r="H27" s="33"/>
      <c r="R27" s="111">
        <v>1</v>
      </c>
      <c r="S27" s="25">
        <f ca="1">_xll.meMathBlackScholesImpliedVol(R27,$H$5,$H$6,$H$7,$H$9,$H$10,$H$11)</f>
        <v>0.11287141899551889</v>
      </c>
    </row>
    <row r="28" spans="2:19" x14ac:dyDescent="0.25">
      <c r="R28" s="111">
        <v>1.5</v>
      </c>
      <c r="S28" s="25">
        <f ca="1">_xll.meMathBlackScholesImpliedVol(R28,$H$5,$H$6,$H$7,$H$9,$H$10,$H$11)</f>
        <v>0.13225052450359137</v>
      </c>
    </row>
    <row r="29" spans="2:19" x14ac:dyDescent="0.25">
      <c r="R29" s="111">
        <v>2</v>
      </c>
      <c r="S29" s="25">
        <f ca="1">_xll.meMathBlackScholesImpliedVol(R29,$H$5,$H$6,$H$7,$H$9,$H$10,$H$11)</f>
        <v>0.14994482083288938</v>
      </c>
    </row>
    <row r="30" spans="2:19" x14ac:dyDescent="0.25">
      <c r="R30" s="111">
        <v>2.5</v>
      </c>
      <c r="S30" s="25">
        <f ca="1">_xll.meMathBlackScholesImpliedVol(R30,$H$5,$H$6,$H$7,$H$9,$H$10,$H$11)</f>
        <v>0.16665824811772814</v>
      </c>
    </row>
    <row r="31" spans="2:19" x14ac:dyDescent="0.25">
      <c r="R31" s="111">
        <v>3</v>
      </c>
      <c r="S31" s="25">
        <f ca="1">_xll.meMathBlackScholesImpliedVol(R31,$H$5,$H$6,$H$7,$H$9,$H$10,$H$11)</f>
        <v>0.18273039572962343</v>
      </c>
    </row>
    <row r="32" spans="2:19" x14ac:dyDescent="0.25">
      <c r="R32" s="111">
        <v>3.5</v>
      </c>
      <c r="S32" s="25">
        <f ca="1">_xll.meMathBlackScholesImpliedVol(R32,$H$5,$H$6,$H$7,$H$9,$H$10,$H$11)</f>
        <v>0.19835283776600307</v>
      </c>
    </row>
    <row r="33" spans="18:19" x14ac:dyDescent="0.25">
      <c r="R33" s="111">
        <v>4</v>
      </c>
      <c r="S33" s="25">
        <f ca="1">_xll.meMathBlackScholesImpliedVol(R33,$H$5,$H$6,$H$7,$H$9,$H$10,$H$11)</f>
        <v>0.21364478039091953</v>
      </c>
    </row>
    <row r="34" spans="18:19" x14ac:dyDescent="0.25">
      <c r="R34" s="111">
        <v>4.5</v>
      </c>
      <c r="S34" s="25">
        <f ca="1">_xll.meMathBlackScholesImpliedVol(R34,$H$5,$H$6,$H$7,$H$9,$H$10,$H$11)</f>
        <v>0.22868561285750832</v>
      </c>
    </row>
    <row r="35" spans="18:19" x14ac:dyDescent="0.25">
      <c r="R35" s="111">
        <v>5</v>
      </c>
      <c r="S35" s="25">
        <f ca="1">_xll.meMathBlackScholesImpliedVol(R35,$H$5,$H$6,$H$7,$H$9,$H$10,$H$11)</f>
        <v>0.24353092980208674</v>
      </c>
    </row>
    <row r="36" spans="18:19" x14ac:dyDescent="0.25">
      <c r="R36" s="111">
        <v>5.5</v>
      </c>
      <c r="S36" s="25">
        <f ca="1">_xll.meMathBlackScholesImpliedVol(R36,$H$5,$H$6,$H$7,$H$9,$H$10,$H$11)</f>
        <v>0.25822120641716839</v>
      </c>
    </row>
    <row r="37" spans="18:19" x14ac:dyDescent="0.25">
      <c r="R37" s="111">
        <v>6</v>
      </c>
      <c r="S37" s="25">
        <f ca="1">_xll.meMathBlackScholesImpliedVol(R37,$H$5,$H$6,$H$7,$H$9,$H$10,$H$11)</f>
        <v>0.27278684367875822</v>
      </c>
    </row>
    <row r="38" spans="18:19" x14ac:dyDescent="0.25">
      <c r="R38" s="111">
        <v>6.5</v>
      </c>
      <c r="S38" s="25">
        <f ca="1">_xll.meMathBlackScholesImpliedVol(R38,$H$5,$H$6,$H$7,$H$9,$H$10,$H$11)</f>
        <v>0.28725127084002072</v>
      </c>
    </row>
    <row r="39" spans="18:19" x14ac:dyDescent="0.25">
      <c r="R39" s="111">
        <v>7</v>
      </c>
      <c r="S39" s="25">
        <f ca="1">_xll.meMathBlackScholesImpliedVol(R39,$H$5,$H$6,$H$7,$H$9,$H$10,$H$11)</f>
        <v>0.30163294074523234</v>
      </c>
    </row>
    <row r="40" spans="18:19" x14ac:dyDescent="0.25">
      <c r="R40" s="111">
        <v>7.5</v>
      </c>
      <c r="S40" s="25">
        <f ca="1">_xll.meMathBlackScholesImpliedVol(R40,$H$5,$H$6,$H$7,$H$9,$H$10,$H$11)</f>
        <v>0.31594666125603155</v>
      </c>
    </row>
    <row r="41" spans="18:19" x14ac:dyDescent="0.25">
      <c r="R41" s="111">
        <v>8</v>
      </c>
      <c r="S41" s="25">
        <f ca="1">_xll.meMathBlackScholesImpliedVol(R41,$H$5,$H$6,$H$7,$H$9,$H$10,$H$11)</f>
        <v>0.33020451157774544</v>
      </c>
    </row>
    <row r="42" spans="18:19" x14ac:dyDescent="0.25">
      <c r="R42" s="111">
        <v>8.5</v>
      </c>
      <c r="S42" s="25">
        <f ca="1">_xll.meMathBlackScholesImpliedVol(R42,$H$5,$H$6,$H$7,$H$9,$H$10,$H$11)</f>
        <v>0.34441648964021887</v>
      </c>
    </row>
    <row r="43" spans="18:19" x14ac:dyDescent="0.25">
      <c r="R43" s="111">
        <v>9</v>
      </c>
      <c r="S43" s="25">
        <f ca="1">_xll.meMathBlackScholesImpliedVol(R43,$H$5,$H$6,$H$7,$H$9,$H$10,$H$11)</f>
        <v>0.35859097997761136</v>
      </c>
    </row>
    <row r="44" spans="18:19" x14ac:dyDescent="0.25">
      <c r="R44" s="111">
        <v>9.5</v>
      </c>
      <c r="S44" s="25">
        <f ca="1">_xll.meMathBlackScholesImpliedVol(R44,$H$5,$H$6,$H$7,$H$9,$H$10,$H$11)</f>
        <v>0.37273509859713899</v>
      </c>
    </row>
    <row r="45" spans="18:19" x14ac:dyDescent="0.25">
      <c r="R45" s="111">
        <v>10</v>
      </c>
      <c r="S45" s="25">
        <f ca="1">_xll.meMathBlackScholesImpliedVol(R45,$H$5,$H$6,$H$7,$H$9,$H$10,$H$11)</f>
        <v>0.38685495163070421</v>
      </c>
    </row>
  </sheetData>
  <dataValidations count="1">
    <dataValidation type="list" allowBlank="1" showInputMessage="1" showErrorMessage="1" sqref="H5">
      <formula1>"CALL,PUT"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K34"/>
  <sheetViews>
    <sheetView workbookViewId="0"/>
  </sheetViews>
  <sheetFormatPr defaultRowHeight="15" x14ac:dyDescent="0.25"/>
  <cols>
    <col min="2" max="2" width="13.5703125" bestFit="1" customWidth="1"/>
    <col min="3" max="11" width="15.7109375" customWidth="1"/>
  </cols>
  <sheetData>
    <row r="1" spans="2:9" x14ac:dyDescent="0.25">
      <c r="C1" s="32"/>
      <c r="D1" s="32"/>
      <c r="E1" s="32"/>
      <c r="F1" s="32"/>
      <c r="G1" s="32"/>
      <c r="H1" s="32"/>
      <c r="I1" s="32"/>
    </row>
    <row r="2" spans="2:9" x14ac:dyDescent="0.25">
      <c r="B2" t="s">
        <v>15</v>
      </c>
      <c r="C2" s="36" t="s">
        <v>34</v>
      </c>
      <c r="D2" s="32"/>
      <c r="E2" s="109" t="s">
        <v>49</v>
      </c>
      <c r="F2" s="110"/>
      <c r="G2" s="32"/>
      <c r="H2" s="108" t="s">
        <v>59</v>
      </c>
      <c r="I2" s="110"/>
    </row>
    <row r="3" spans="2:9" x14ac:dyDescent="0.25">
      <c r="B3" t="s">
        <v>16</v>
      </c>
      <c r="C3" s="29">
        <v>100</v>
      </c>
      <c r="D3" s="32"/>
      <c r="E3" t="s">
        <v>51</v>
      </c>
      <c r="F3">
        <f ca="1">_xll.meMathBlackScholesPrice($C$2,$C$3+F5,$C$4,$C$5,$C$6,$C$7,$C$8)</f>
        <v>5.9190467011808607</v>
      </c>
      <c r="G3" s="32"/>
      <c r="H3" t="s">
        <v>51</v>
      </c>
      <c r="I3">
        <f ca="1">_xll.meMathBlackScholesPrice($C$2,$C$3,$C$4,$C$5+I5,$C$6,$C$7,$C$8)</f>
        <v>5.9194353183426998</v>
      </c>
    </row>
    <row r="4" spans="2:9" x14ac:dyDescent="0.25">
      <c r="B4" t="s">
        <v>17</v>
      </c>
      <c r="C4" s="29">
        <v>100</v>
      </c>
      <c r="D4" s="32"/>
      <c r="E4" t="s">
        <v>50</v>
      </c>
      <c r="F4">
        <f ca="1">_xll.meMathBlackScholesPrice($C$2,$C$3,$C$4,$C$5,$C$6,$C$7,$C$8)</f>
        <v>5.9190414549782986</v>
      </c>
      <c r="G4" s="32"/>
      <c r="H4" t="s">
        <v>50</v>
      </c>
      <c r="I4">
        <f ca="1">_xll.meMathBlackScholesPrice($C$2,$C$3,$C$4,$C$5,$C$6,$C$7,$C$8)</f>
        <v>5.9190414549782986</v>
      </c>
    </row>
    <row r="5" spans="2:9" x14ac:dyDescent="0.25">
      <c r="B5" t="s">
        <v>18</v>
      </c>
      <c r="C5" s="30">
        <v>0.15</v>
      </c>
      <c r="D5" s="32"/>
      <c r="E5" t="s">
        <v>52</v>
      </c>
      <c r="F5" s="107">
        <v>1.0000000000000001E-5</v>
      </c>
      <c r="G5" s="32"/>
      <c r="H5" t="s">
        <v>52</v>
      </c>
      <c r="I5" s="102">
        <v>1.0000000000000001E-5</v>
      </c>
    </row>
    <row r="6" spans="2:9" x14ac:dyDescent="0.25">
      <c r="B6" t="s">
        <v>19</v>
      </c>
      <c r="C6" s="29">
        <v>1</v>
      </c>
      <c r="D6" s="32"/>
      <c r="E6" t="s">
        <v>28</v>
      </c>
      <c r="F6" s="103">
        <f ca="1">(F3-F4)/F5</f>
        <v>0.52462025621480279</v>
      </c>
      <c r="G6" s="32"/>
      <c r="H6" t="s">
        <v>23</v>
      </c>
      <c r="I6" s="104">
        <f ca="1">(I3-I4)/I5*0.01</f>
        <v>0.3938633644011702</v>
      </c>
    </row>
    <row r="7" spans="2:9" x14ac:dyDescent="0.25">
      <c r="B7" t="s">
        <v>20</v>
      </c>
      <c r="C7" s="30">
        <v>0.01</v>
      </c>
      <c r="D7" s="32"/>
      <c r="E7" s="105" t="s">
        <v>56</v>
      </c>
      <c r="F7" s="102">
        <f ca="1">F6-C12</f>
        <v>1.3206532722964681E-7</v>
      </c>
      <c r="G7" s="32"/>
      <c r="H7" s="105" t="s">
        <v>56</v>
      </c>
      <c r="I7" s="102">
        <f ca="1">I6-C14</f>
        <v>-7.3843621828384443E-8</v>
      </c>
    </row>
    <row r="8" spans="2:9" x14ac:dyDescent="0.25">
      <c r="B8" t="s">
        <v>21</v>
      </c>
      <c r="C8" s="30">
        <v>0</v>
      </c>
      <c r="D8" s="32"/>
      <c r="E8" s="32"/>
      <c r="F8" s="32"/>
      <c r="G8" s="32"/>
      <c r="H8" s="32"/>
      <c r="I8" s="32"/>
    </row>
    <row r="9" spans="2:9" x14ac:dyDescent="0.25">
      <c r="D9" s="32"/>
      <c r="E9" s="32"/>
      <c r="F9" s="32"/>
      <c r="G9" s="32"/>
      <c r="H9" s="32"/>
      <c r="I9" s="32"/>
    </row>
    <row r="10" spans="2:9" x14ac:dyDescent="0.25">
      <c r="B10" t="s">
        <v>33</v>
      </c>
      <c r="C10" s="24">
        <f ca="1">_xll.meMathBlackScholesPrice($C$2,$C$3,$C$4,$C$5,$C$6,$C$7,$C$8)</f>
        <v>5.9190414549782986</v>
      </c>
      <c r="D10" s="32"/>
    </row>
    <row r="11" spans="2:9" x14ac:dyDescent="0.25">
      <c r="B11" t="s">
        <v>27</v>
      </c>
      <c r="C11" s="26">
        <f ca="1">_xll.meMathBlackScholesDeltaForward(C$2,C$3,C$4,C$5,C$6,C$7,C$8)</f>
        <v>0.52989264405289471</v>
      </c>
      <c r="D11" s="32"/>
      <c r="E11" s="109" t="s">
        <v>27</v>
      </c>
      <c r="F11" s="110"/>
      <c r="G11" s="32"/>
      <c r="H11" s="108" t="s">
        <v>54</v>
      </c>
      <c r="I11" s="110"/>
    </row>
    <row r="12" spans="2:9" x14ac:dyDescent="0.25">
      <c r="B12" t="s">
        <v>28</v>
      </c>
      <c r="C12" s="26">
        <f ca="1">_xll.meMathBlackScholesDeltaSpot(C$2,C$3,C$4,C$5,C$6,C$7,C$8)</f>
        <v>0.52462012414947556</v>
      </c>
      <c r="D12" s="32"/>
      <c r="E12" t="s">
        <v>53</v>
      </c>
      <c r="F12">
        <f>EXP(-C7*C6)</f>
        <v>0.99004983374916811</v>
      </c>
      <c r="G12" s="32"/>
      <c r="H12" t="s">
        <v>50</v>
      </c>
      <c r="I12">
        <f ca="1">_xll.meMathBlackScholesPrice($C$2,$C$3,$C$4,$C$5,$C$6,$C$7,$C$8)</f>
        <v>5.9190414549782986</v>
      </c>
    </row>
    <row r="13" spans="2:9" x14ac:dyDescent="0.25">
      <c r="B13" t="s">
        <v>22</v>
      </c>
      <c r="C13" s="24">
        <f ca="1">_xll.meMathBlackScholesGamma(C$2,C$3,C$4,C$5,C$6,C$7,C$8)</f>
        <v>2.6257562549652804E-2</v>
      </c>
      <c r="D13" s="32"/>
      <c r="E13" t="s">
        <v>28</v>
      </c>
      <c r="F13" s="103">
        <f ca="1">F6</f>
        <v>0.52462025621480279</v>
      </c>
      <c r="G13" s="32"/>
      <c r="H13" t="s">
        <v>51</v>
      </c>
      <c r="I13">
        <f ca="1">_xll.meMathBlackScholesPrice($C$2,$C$3,$C$4,$C$5,$C$6+I14,$C$7,$C$8)</f>
        <v>5.9269611671697575</v>
      </c>
    </row>
    <row r="14" spans="2:9" x14ac:dyDescent="0.25">
      <c r="B14" t="s">
        <v>23</v>
      </c>
      <c r="C14" s="24">
        <f ca="1">_xll.meMathBlackScholesVega(C$2,C$3,C$4,C$5,C$6,C$7,C$8)</f>
        <v>0.39386343824479203</v>
      </c>
      <c r="D14" s="32"/>
      <c r="E14" t="s">
        <v>27</v>
      </c>
      <c r="F14" s="103">
        <f ca="1">F13/F12</f>
        <v>0.52989277744550056</v>
      </c>
      <c r="G14" s="32"/>
      <c r="H14" t="s">
        <v>52</v>
      </c>
      <c r="I14" s="106">
        <f>1/365.25</f>
        <v>2.7378507871321013E-3</v>
      </c>
    </row>
    <row r="15" spans="2:9" x14ac:dyDescent="0.25">
      <c r="B15" t="s">
        <v>24</v>
      </c>
      <c r="C15" s="24">
        <f ca="1">_xll.meMathBlackScholesTheta(C$2,C$3,C$4,C$5,C$6,C$7,C$8)</f>
        <v>-7.9254904100921481E-3</v>
      </c>
      <c r="D15" s="32"/>
      <c r="E15" s="105" t="s">
        <v>56</v>
      </c>
      <c r="F15" s="102">
        <f ca="1">F14-C11</f>
        <v>1.3339260584999124E-7</v>
      </c>
      <c r="G15" s="32"/>
      <c r="H15" t="s">
        <v>24</v>
      </c>
      <c r="I15" s="104">
        <f ca="1">I12-I13</f>
        <v>-7.9197121914589275E-3</v>
      </c>
    </row>
    <row r="16" spans="2:9" x14ac:dyDescent="0.25">
      <c r="B16" t="s">
        <v>25</v>
      </c>
      <c r="C16" s="24">
        <f ca="1">_xll.meMathBlackScholesRho(C$2,C$3,C$4,C$5,C$6,C$7,C$8)</f>
        <v>0.46542970959969254</v>
      </c>
      <c r="D16" s="32"/>
      <c r="E16" s="32"/>
      <c r="F16" s="32"/>
      <c r="G16" s="32"/>
      <c r="H16" s="105" t="s">
        <v>56</v>
      </c>
      <c r="I16" s="102">
        <f ca="1">I15-C15</f>
        <v>5.7782186332205887E-6</v>
      </c>
    </row>
    <row r="17" spans="4:11" x14ac:dyDescent="0.25">
      <c r="E17" s="32"/>
      <c r="F17" s="32"/>
      <c r="G17" s="32"/>
      <c r="H17" s="32"/>
      <c r="I17" s="32"/>
    </row>
    <row r="18" spans="4:11" x14ac:dyDescent="0.25">
      <c r="D18" s="110"/>
    </row>
    <row r="19" spans="4:11" x14ac:dyDescent="0.25">
      <c r="E19" s="108" t="s">
        <v>57</v>
      </c>
      <c r="F19" s="110"/>
      <c r="H19" s="108" t="s">
        <v>58</v>
      </c>
      <c r="I19" s="110"/>
    </row>
    <row r="20" spans="4:11" x14ac:dyDescent="0.25">
      <c r="E20" t="s">
        <v>51</v>
      </c>
      <c r="F20">
        <f ca="1">_xll.meMathBlackScholesPrice($C$2,$C$3+F23,$C$4,$C$5,$C$6,$C$7,$C$8)</f>
        <v>5.9190467011808607</v>
      </c>
      <c r="G20" s="110"/>
      <c r="H20" t="s">
        <v>51</v>
      </c>
      <c r="I20">
        <f ca="1">_xll.meMathBlackScholesPrice($C$2,$C$3,$C$4,$C$5,$C$6,$C$7+I22,$C$8+I22)</f>
        <v>5.9195068954894836</v>
      </c>
    </row>
    <row r="21" spans="4:11" x14ac:dyDescent="0.25">
      <c r="E21" t="s">
        <v>50</v>
      </c>
      <c r="F21">
        <f ca="1">_xll.meMathBlackScholesPrice($C$2,$C$3,$C$4,$C$5,$C$6,$C$7,$C$8)</f>
        <v>5.9190414549782986</v>
      </c>
      <c r="H21" t="s">
        <v>50</v>
      </c>
      <c r="I21">
        <f ca="1">_xll.meMathBlackScholesPrice($C$2,$C$3,$C$4,$C$5,$C$6,$C$7,$C$8)</f>
        <v>5.9190414549782986</v>
      </c>
    </row>
    <row r="22" spans="4:11" x14ac:dyDescent="0.25">
      <c r="E22" t="s">
        <v>55</v>
      </c>
      <c r="F22">
        <f ca="1">_xll.meMathBlackScholesPrice($C$2,$C$3-F23,$C$4,$C$5,$C$6,$C$7,$C$8)</f>
        <v>5.9190362087783654</v>
      </c>
      <c r="H22" t="s">
        <v>52</v>
      </c>
      <c r="I22" s="102">
        <v>1.0000000000000001E-5</v>
      </c>
    </row>
    <row r="23" spans="4:11" x14ac:dyDescent="0.25">
      <c r="E23" t="s">
        <v>52</v>
      </c>
      <c r="F23" s="102">
        <v>1.0000000000000001E-5</v>
      </c>
      <c r="H23" t="s">
        <v>25</v>
      </c>
      <c r="I23" s="104">
        <f ca="1">(I20-I21)/I22*0.01</f>
        <v>0.46544051118502233</v>
      </c>
    </row>
    <row r="24" spans="4:11" x14ac:dyDescent="0.25">
      <c r="E24" t="s">
        <v>22</v>
      </c>
      <c r="F24" s="104">
        <f ca="1">(F20-(2*F21)+F22)/(F23*F23)</f>
        <v>2.6290081223123703E-2</v>
      </c>
      <c r="H24" s="105" t="s">
        <v>56</v>
      </c>
      <c r="I24" s="102">
        <f ca="1">I23-C16</f>
        <v>1.0801585329789365E-5</v>
      </c>
    </row>
    <row r="25" spans="4:11" x14ac:dyDescent="0.25">
      <c r="E25" s="105" t="s">
        <v>56</v>
      </c>
      <c r="F25" s="102">
        <f ca="1">F24-C13</f>
        <v>3.2518673470899317E-5</v>
      </c>
    </row>
    <row r="26" spans="4:11" x14ac:dyDescent="0.25">
      <c r="H26" s="33"/>
    </row>
    <row r="27" spans="4:11" x14ac:dyDescent="0.25">
      <c r="H27" s="33"/>
      <c r="K27" s="101"/>
    </row>
    <row r="28" spans="4:11" x14ac:dyDescent="0.25">
      <c r="H28" s="33"/>
      <c r="K28" s="7"/>
    </row>
    <row r="29" spans="4:11" x14ac:dyDescent="0.25">
      <c r="H29" s="33"/>
      <c r="K29" s="22"/>
    </row>
    <row r="30" spans="4:11" x14ac:dyDescent="0.25">
      <c r="H30" s="33"/>
      <c r="K30" s="22"/>
    </row>
    <row r="31" spans="4:11" x14ac:dyDescent="0.25">
      <c r="K31" s="101"/>
    </row>
    <row r="32" spans="4:11" x14ac:dyDescent="0.25">
      <c r="K32" s="21"/>
    </row>
    <row r="34" spans="11:11" x14ac:dyDescent="0.25">
      <c r="K34" s="102"/>
    </row>
  </sheetData>
  <dataValidations count="1">
    <dataValidation type="list" allowBlank="1" showInputMessage="1" showErrorMessage="1" sqref="C2">
      <formula1>"CALL,PUT"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DT30"/>
  <sheetViews>
    <sheetView workbookViewId="0"/>
  </sheetViews>
  <sheetFormatPr defaultRowHeight="15" x14ac:dyDescent="0.25"/>
  <cols>
    <col min="2" max="2" width="12.28515625" bestFit="1" customWidth="1"/>
    <col min="3" max="3" width="15.85546875" bestFit="1" customWidth="1"/>
    <col min="29" max="29" width="9.140625" customWidth="1"/>
  </cols>
  <sheetData>
    <row r="2" spans="2:124" x14ac:dyDescent="0.25">
      <c r="B2" s="35" t="s">
        <v>36</v>
      </c>
      <c r="C2" s="99" t="s">
        <v>60</v>
      </c>
      <c r="N2" s="70" t="s">
        <v>32</v>
      </c>
      <c r="O2" s="38"/>
      <c r="P2" s="63"/>
      <c r="Q2" s="37"/>
      <c r="R2" s="37"/>
      <c r="S2" s="37"/>
      <c r="T2" s="37"/>
      <c r="U2" s="37"/>
      <c r="V2" s="37"/>
      <c r="W2" s="37"/>
      <c r="X2" s="37"/>
      <c r="Y2" s="37"/>
      <c r="Z2" s="38"/>
      <c r="AB2" s="70" t="s">
        <v>33</v>
      </c>
      <c r="AC2" s="38"/>
      <c r="AD2" s="63"/>
      <c r="AE2" s="37"/>
      <c r="AF2" s="37"/>
      <c r="AG2" s="37"/>
      <c r="AH2" s="37"/>
      <c r="AI2" s="37"/>
      <c r="AJ2" s="37"/>
      <c r="AK2" s="37"/>
      <c r="AL2" s="37"/>
      <c r="AM2" s="37"/>
      <c r="AN2" s="38"/>
      <c r="AP2" s="70" t="s">
        <v>28</v>
      </c>
      <c r="AQ2" s="38"/>
      <c r="AR2" s="63"/>
      <c r="AS2" s="37"/>
      <c r="AT2" s="37"/>
      <c r="AU2" s="37"/>
      <c r="AV2" s="37"/>
      <c r="AW2" s="37"/>
      <c r="AX2" s="37"/>
      <c r="AY2" s="37"/>
      <c r="AZ2" s="37"/>
      <c r="BA2" s="37"/>
      <c r="BB2" s="38"/>
      <c r="BD2" s="70" t="s">
        <v>27</v>
      </c>
      <c r="BE2" s="38"/>
      <c r="BF2" s="63"/>
      <c r="BG2" s="37"/>
      <c r="BH2" s="37"/>
      <c r="BI2" s="37"/>
      <c r="BJ2" s="37"/>
      <c r="BK2" s="37"/>
      <c r="BL2" s="37"/>
      <c r="BM2" s="37"/>
      <c r="BN2" s="37"/>
      <c r="BO2" s="37"/>
      <c r="BP2" s="38"/>
      <c r="BR2" s="70" t="s">
        <v>22</v>
      </c>
      <c r="BS2" s="38"/>
      <c r="BT2" s="63"/>
      <c r="BU2" s="37"/>
      <c r="BV2" s="37"/>
      <c r="BW2" s="37"/>
      <c r="BX2" s="37"/>
      <c r="BY2" s="37"/>
      <c r="BZ2" s="37"/>
      <c r="CA2" s="37"/>
      <c r="CB2" s="37"/>
      <c r="CC2" s="37"/>
      <c r="CD2" s="38"/>
      <c r="CF2" s="70" t="s">
        <v>23</v>
      </c>
      <c r="CG2" s="38"/>
      <c r="CH2" s="63"/>
      <c r="CI2" s="37"/>
      <c r="CJ2" s="37"/>
      <c r="CK2" s="37"/>
      <c r="CL2" s="37"/>
      <c r="CM2" s="37"/>
      <c r="CN2" s="37"/>
      <c r="CO2" s="37"/>
      <c r="CP2" s="37"/>
      <c r="CQ2" s="37"/>
      <c r="CR2" s="38"/>
      <c r="CT2" s="70" t="s">
        <v>24</v>
      </c>
      <c r="CU2" s="38"/>
      <c r="CV2" s="63"/>
      <c r="CW2" s="37"/>
      <c r="CX2" s="37"/>
      <c r="CY2" s="37"/>
      <c r="CZ2" s="37"/>
      <c r="DA2" s="37"/>
      <c r="DB2" s="37"/>
      <c r="DC2" s="37"/>
      <c r="DD2" s="37"/>
      <c r="DE2" s="37"/>
      <c r="DF2" s="38"/>
      <c r="DH2" s="70" t="s">
        <v>25</v>
      </c>
      <c r="DI2" s="38"/>
      <c r="DJ2" s="63"/>
      <c r="DK2" s="37"/>
      <c r="DL2" s="37"/>
      <c r="DM2" s="37"/>
      <c r="DN2" s="37"/>
      <c r="DO2" s="37"/>
      <c r="DP2" s="37"/>
      <c r="DQ2" s="37"/>
      <c r="DR2" s="37"/>
      <c r="DS2" s="37"/>
      <c r="DT2" s="38"/>
    </row>
    <row r="3" spans="2:124" x14ac:dyDescent="0.25">
      <c r="N3" s="57"/>
      <c r="O3" s="68"/>
      <c r="P3" s="58">
        <f>Q$3-$C$6</f>
        <v>0.74999999999999978</v>
      </c>
      <c r="Q3" s="58">
        <f>R$3-$C$6</f>
        <v>0.79999999999999982</v>
      </c>
      <c r="R3" s="58">
        <f>S$3-$C$6</f>
        <v>0.84999999999999987</v>
      </c>
      <c r="S3" s="58">
        <f>T$3-$C$6</f>
        <v>0.89999999999999991</v>
      </c>
      <c r="T3" s="58">
        <f>U$3-$C$6</f>
        <v>0.95</v>
      </c>
      <c r="U3" s="65">
        <v>1</v>
      </c>
      <c r="V3" s="58">
        <f>U$3+$C$6</f>
        <v>1.05</v>
      </c>
      <c r="W3" s="58">
        <f>V$3+$C$6</f>
        <v>1.1000000000000001</v>
      </c>
      <c r="X3" s="58">
        <f>W$3+$C$6</f>
        <v>1.1500000000000001</v>
      </c>
      <c r="Y3" s="58">
        <f>X$3+$C$6</f>
        <v>1.2000000000000002</v>
      </c>
      <c r="Z3" s="59">
        <f>Y$3+$C$6</f>
        <v>1.2500000000000002</v>
      </c>
      <c r="AB3" s="57"/>
      <c r="AC3" s="68"/>
      <c r="AD3" s="58">
        <f>AE$3-$C$6</f>
        <v>0.74999999999999978</v>
      </c>
      <c r="AE3" s="58">
        <f>AF$3-$C$6</f>
        <v>0.79999999999999982</v>
      </c>
      <c r="AF3" s="58">
        <f>AG$3-$C$6</f>
        <v>0.84999999999999987</v>
      </c>
      <c r="AG3" s="58">
        <f>AH$3-$C$6</f>
        <v>0.89999999999999991</v>
      </c>
      <c r="AH3" s="58">
        <f>AI$3-$C$6</f>
        <v>0.95</v>
      </c>
      <c r="AI3" s="65">
        <v>1</v>
      </c>
      <c r="AJ3" s="58">
        <f>AI$3+$C$6</f>
        <v>1.05</v>
      </c>
      <c r="AK3" s="58">
        <f>AJ$3+$C$6</f>
        <v>1.1000000000000001</v>
      </c>
      <c r="AL3" s="58">
        <f>AK$3+$C$6</f>
        <v>1.1500000000000001</v>
      </c>
      <c r="AM3" s="58">
        <f>AL$3+$C$6</f>
        <v>1.2000000000000002</v>
      </c>
      <c r="AN3" s="59">
        <f>AM$3+$C$6</f>
        <v>1.2500000000000002</v>
      </c>
      <c r="AP3" s="57"/>
      <c r="AQ3" s="68"/>
      <c r="AR3" s="58">
        <f>AS$3-$C$6</f>
        <v>0.74999999999999978</v>
      </c>
      <c r="AS3" s="58">
        <f>AT$3-$C$6</f>
        <v>0.79999999999999982</v>
      </c>
      <c r="AT3" s="58">
        <f>AU$3-$C$6</f>
        <v>0.84999999999999987</v>
      </c>
      <c r="AU3" s="58">
        <f>AV$3-$C$6</f>
        <v>0.89999999999999991</v>
      </c>
      <c r="AV3" s="58">
        <f>AW$3-$C$6</f>
        <v>0.95</v>
      </c>
      <c r="AW3" s="65">
        <v>1</v>
      </c>
      <c r="AX3" s="58">
        <f>AW$3+$C$6</f>
        <v>1.05</v>
      </c>
      <c r="AY3" s="58">
        <f>AX$3+$C$6</f>
        <v>1.1000000000000001</v>
      </c>
      <c r="AZ3" s="58">
        <f>AY$3+$C$6</f>
        <v>1.1500000000000001</v>
      </c>
      <c r="BA3" s="58">
        <f>AZ$3+$C$6</f>
        <v>1.2000000000000002</v>
      </c>
      <c r="BB3" s="59">
        <f>BA$3+$C$6</f>
        <v>1.2500000000000002</v>
      </c>
      <c r="BD3" s="57"/>
      <c r="BE3" s="68"/>
      <c r="BF3" s="58">
        <f>BG$3-$C$6</f>
        <v>0.74999999999999978</v>
      </c>
      <c r="BG3" s="58">
        <f>BH$3-$C$6</f>
        <v>0.79999999999999982</v>
      </c>
      <c r="BH3" s="58">
        <f>BI$3-$C$6</f>
        <v>0.84999999999999987</v>
      </c>
      <c r="BI3" s="58">
        <f>BJ$3-$C$6</f>
        <v>0.89999999999999991</v>
      </c>
      <c r="BJ3" s="58">
        <f>BK$3-$C$6</f>
        <v>0.95</v>
      </c>
      <c r="BK3" s="65">
        <v>1</v>
      </c>
      <c r="BL3" s="58">
        <f>BK$3+$C$6</f>
        <v>1.05</v>
      </c>
      <c r="BM3" s="58">
        <f>BL$3+$C$6</f>
        <v>1.1000000000000001</v>
      </c>
      <c r="BN3" s="58">
        <f>BM$3+$C$6</f>
        <v>1.1500000000000001</v>
      </c>
      <c r="BO3" s="58">
        <f>BN$3+$C$6</f>
        <v>1.2000000000000002</v>
      </c>
      <c r="BP3" s="59">
        <f>BO$3+$C$6</f>
        <v>1.2500000000000002</v>
      </c>
      <c r="BR3" s="57"/>
      <c r="BS3" s="68"/>
      <c r="BT3" s="58">
        <f>BU$3-$C$6</f>
        <v>0.74999999999999978</v>
      </c>
      <c r="BU3" s="58">
        <f>BV$3-$C$6</f>
        <v>0.79999999999999982</v>
      </c>
      <c r="BV3" s="58">
        <f>BW$3-$C$6</f>
        <v>0.84999999999999987</v>
      </c>
      <c r="BW3" s="58">
        <f>BX$3-$C$6</f>
        <v>0.89999999999999991</v>
      </c>
      <c r="BX3" s="58">
        <f>BY$3-$C$6</f>
        <v>0.95</v>
      </c>
      <c r="BY3" s="65">
        <v>1</v>
      </c>
      <c r="BZ3" s="58">
        <f>BY$3+$C$6</f>
        <v>1.05</v>
      </c>
      <c r="CA3" s="58">
        <f>BZ$3+$C$6</f>
        <v>1.1000000000000001</v>
      </c>
      <c r="CB3" s="58">
        <f>CA$3+$C$6</f>
        <v>1.1500000000000001</v>
      </c>
      <c r="CC3" s="58">
        <f>CB$3+$C$6</f>
        <v>1.2000000000000002</v>
      </c>
      <c r="CD3" s="59">
        <f>CC$3+$C$6</f>
        <v>1.2500000000000002</v>
      </c>
      <c r="CF3" s="57"/>
      <c r="CG3" s="68"/>
      <c r="CH3" s="58">
        <f>CI$3-$C$6</f>
        <v>0.74999999999999978</v>
      </c>
      <c r="CI3" s="58">
        <f>CJ$3-$C$6</f>
        <v>0.79999999999999982</v>
      </c>
      <c r="CJ3" s="58">
        <f>CK$3-$C$6</f>
        <v>0.84999999999999987</v>
      </c>
      <c r="CK3" s="58">
        <f>CL$3-$C$6</f>
        <v>0.89999999999999991</v>
      </c>
      <c r="CL3" s="58">
        <f>CM$3-$C$6</f>
        <v>0.95</v>
      </c>
      <c r="CM3" s="65">
        <v>1</v>
      </c>
      <c r="CN3" s="58">
        <f>CM$3+$C$6</f>
        <v>1.05</v>
      </c>
      <c r="CO3" s="58">
        <f>CN$3+$C$6</f>
        <v>1.1000000000000001</v>
      </c>
      <c r="CP3" s="58">
        <f>CO$3+$C$6</f>
        <v>1.1500000000000001</v>
      </c>
      <c r="CQ3" s="58">
        <f>CP$3+$C$6</f>
        <v>1.2000000000000002</v>
      </c>
      <c r="CR3" s="59">
        <f>CQ$3+$C$6</f>
        <v>1.2500000000000002</v>
      </c>
      <c r="CT3" s="57"/>
      <c r="CU3" s="68"/>
      <c r="CV3" s="58">
        <f>CW$3-$C$6</f>
        <v>0.74999999999999978</v>
      </c>
      <c r="CW3" s="58">
        <f>CX$3-$C$6</f>
        <v>0.79999999999999982</v>
      </c>
      <c r="CX3" s="58">
        <f>CY$3-$C$6</f>
        <v>0.84999999999999987</v>
      </c>
      <c r="CY3" s="58">
        <f>CZ$3-$C$6</f>
        <v>0.89999999999999991</v>
      </c>
      <c r="CZ3" s="58">
        <f>DA$3-$C$6</f>
        <v>0.95</v>
      </c>
      <c r="DA3" s="65">
        <v>1</v>
      </c>
      <c r="DB3" s="58">
        <f>DA$3+$C$6</f>
        <v>1.05</v>
      </c>
      <c r="DC3" s="58">
        <f>DB$3+$C$6</f>
        <v>1.1000000000000001</v>
      </c>
      <c r="DD3" s="58">
        <f>DC$3+$C$6</f>
        <v>1.1500000000000001</v>
      </c>
      <c r="DE3" s="58">
        <f>DD$3+$C$6</f>
        <v>1.2000000000000002</v>
      </c>
      <c r="DF3" s="59">
        <f>DE$3+$C$6</f>
        <v>1.2500000000000002</v>
      </c>
      <c r="DH3" s="57"/>
      <c r="DI3" s="68"/>
      <c r="DJ3" s="58">
        <f>DK$3-$C$6</f>
        <v>0.74999999999999978</v>
      </c>
      <c r="DK3" s="58">
        <f>DL$3-$C$6</f>
        <v>0.79999999999999982</v>
      </c>
      <c r="DL3" s="58">
        <f>DM$3-$C$6</f>
        <v>0.84999999999999987</v>
      </c>
      <c r="DM3" s="58">
        <f>DN$3-$C$6</f>
        <v>0.89999999999999991</v>
      </c>
      <c r="DN3" s="58">
        <f>DO$3-$C$6</f>
        <v>0.95</v>
      </c>
      <c r="DO3" s="65">
        <v>1</v>
      </c>
      <c r="DP3" s="58">
        <f>DO$3+$C$6</f>
        <v>1.05</v>
      </c>
      <c r="DQ3" s="58">
        <f>DP$3+$C$6</f>
        <v>1.1000000000000001</v>
      </c>
      <c r="DR3" s="58">
        <f>DQ$3+$C$6</f>
        <v>1.1500000000000001</v>
      </c>
      <c r="DS3" s="58">
        <f>DR$3+$C$6</f>
        <v>1.2000000000000002</v>
      </c>
      <c r="DT3" s="59">
        <f>DS$3+$C$6</f>
        <v>1.2500000000000002</v>
      </c>
    </row>
    <row r="4" spans="2:124" x14ac:dyDescent="0.25">
      <c r="B4" s="35" t="s">
        <v>29</v>
      </c>
      <c r="N4" s="39"/>
      <c r="O4" s="60" t="s">
        <v>35</v>
      </c>
      <c r="P4" s="61">
        <f t="shared" ref="P4:Z4" si="0">$C$13*P$3</f>
        <v>0.74999999999999978</v>
      </c>
      <c r="Q4" s="61">
        <f t="shared" si="0"/>
        <v>0.79999999999999982</v>
      </c>
      <c r="R4" s="61">
        <f t="shared" si="0"/>
        <v>0.84999999999999987</v>
      </c>
      <c r="S4" s="61">
        <f t="shared" si="0"/>
        <v>0.89999999999999991</v>
      </c>
      <c r="T4" s="61">
        <f t="shared" si="0"/>
        <v>0.95</v>
      </c>
      <c r="U4" s="66">
        <f>$C$13*U$3</f>
        <v>1</v>
      </c>
      <c r="V4" s="61">
        <f t="shared" si="0"/>
        <v>1.05</v>
      </c>
      <c r="W4" s="61">
        <f t="shared" si="0"/>
        <v>1.1000000000000001</v>
      </c>
      <c r="X4" s="61">
        <f t="shared" si="0"/>
        <v>1.1500000000000001</v>
      </c>
      <c r="Y4" s="61">
        <f t="shared" si="0"/>
        <v>1.2000000000000002</v>
      </c>
      <c r="Z4" s="62">
        <f t="shared" si="0"/>
        <v>1.2500000000000002</v>
      </c>
      <c r="AB4" s="39"/>
      <c r="AC4" s="60" t="s">
        <v>35</v>
      </c>
      <c r="AD4" s="61">
        <f t="shared" ref="AD4:AN4" si="1">$C$13*AD$3</f>
        <v>0.74999999999999978</v>
      </c>
      <c r="AE4" s="61">
        <f t="shared" si="1"/>
        <v>0.79999999999999982</v>
      </c>
      <c r="AF4" s="61">
        <f t="shared" si="1"/>
        <v>0.84999999999999987</v>
      </c>
      <c r="AG4" s="61">
        <f t="shared" si="1"/>
        <v>0.89999999999999991</v>
      </c>
      <c r="AH4" s="61">
        <f t="shared" si="1"/>
        <v>0.95</v>
      </c>
      <c r="AI4" s="66">
        <f t="shared" si="1"/>
        <v>1</v>
      </c>
      <c r="AJ4" s="61">
        <f t="shared" si="1"/>
        <v>1.05</v>
      </c>
      <c r="AK4" s="61">
        <f t="shared" si="1"/>
        <v>1.1000000000000001</v>
      </c>
      <c r="AL4" s="61">
        <f t="shared" si="1"/>
        <v>1.1500000000000001</v>
      </c>
      <c r="AM4" s="61">
        <f t="shared" si="1"/>
        <v>1.2000000000000002</v>
      </c>
      <c r="AN4" s="62">
        <f t="shared" si="1"/>
        <v>1.2500000000000002</v>
      </c>
      <c r="AP4" s="39"/>
      <c r="AQ4" s="60" t="s">
        <v>35</v>
      </c>
      <c r="AR4" s="61">
        <f t="shared" ref="AR4:BB4" si="2">$C$13*AR$3</f>
        <v>0.74999999999999978</v>
      </c>
      <c r="AS4" s="61">
        <f t="shared" si="2"/>
        <v>0.79999999999999982</v>
      </c>
      <c r="AT4" s="61">
        <f t="shared" si="2"/>
        <v>0.84999999999999987</v>
      </c>
      <c r="AU4" s="61">
        <f t="shared" si="2"/>
        <v>0.89999999999999991</v>
      </c>
      <c r="AV4" s="61">
        <f t="shared" si="2"/>
        <v>0.95</v>
      </c>
      <c r="AW4" s="66">
        <f t="shared" si="2"/>
        <v>1</v>
      </c>
      <c r="AX4" s="61">
        <f t="shared" si="2"/>
        <v>1.05</v>
      </c>
      <c r="AY4" s="61">
        <f t="shared" si="2"/>
        <v>1.1000000000000001</v>
      </c>
      <c r="AZ4" s="61">
        <f t="shared" si="2"/>
        <v>1.1500000000000001</v>
      </c>
      <c r="BA4" s="61">
        <f t="shared" si="2"/>
        <v>1.2000000000000002</v>
      </c>
      <c r="BB4" s="62">
        <f t="shared" si="2"/>
        <v>1.2500000000000002</v>
      </c>
      <c r="BD4" s="39"/>
      <c r="BE4" s="60" t="s">
        <v>35</v>
      </c>
      <c r="BF4" s="61">
        <f t="shared" ref="BF4:BP4" si="3">$C$13*BF$3</f>
        <v>0.74999999999999978</v>
      </c>
      <c r="BG4" s="61">
        <f t="shared" si="3"/>
        <v>0.79999999999999982</v>
      </c>
      <c r="BH4" s="61">
        <f t="shared" si="3"/>
        <v>0.84999999999999987</v>
      </c>
      <c r="BI4" s="61">
        <f t="shared" si="3"/>
        <v>0.89999999999999991</v>
      </c>
      <c r="BJ4" s="61">
        <f t="shared" si="3"/>
        <v>0.95</v>
      </c>
      <c r="BK4" s="66">
        <f t="shared" si="3"/>
        <v>1</v>
      </c>
      <c r="BL4" s="61">
        <f t="shared" si="3"/>
        <v>1.05</v>
      </c>
      <c r="BM4" s="61">
        <f t="shared" si="3"/>
        <v>1.1000000000000001</v>
      </c>
      <c r="BN4" s="61">
        <f t="shared" si="3"/>
        <v>1.1500000000000001</v>
      </c>
      <c r="BO4" s="61">
        <f t="shared" si="3"/>
        <v>1.2000000000000002</v>
      </c>
      <c r="BP4" s="62">
        <f t="shared" si="3"/>
        <v>1.2500000000000002</v>
      </c>
      <c r="BR4" s="39"/>
      <c r="BS4" s="60" t="s">
        <v>35</v>
      </c>
      <c r="BT4" s="61">
        <f t="shared" ref="BT4:CD4" si="4">$C$13*BT$3</f>
        <v>0.74999999999999978</v>
      </c>
      <c r="BU4" s="61">
        <f t="shared" si="4"/>
        <v>0.79999999999999982</v>
      </c>
      <c r="BV4" s="61">
        <f t="shared" si="4"/>
        <v>0.84999999999999987</v>
      </c>
      <c r="BW4" s="61">
        <f t="shared" si="4"/>
        <v>0.89999999999999991</v>
      </c>
      <c r="BX4" s="61">
        <f t="shared" si="4"/>
        <v>0.95</v>
      </c>
      <c r="BY4" s="66">
        <f t="shared" si="4"/>
        <v>1</v>
      </c>
      <c r="BZ4" s="61">
        <f t="shared" si="4"/>
        <v>1.05</v>
      </c>
      <c r="CA4" s="61">
        <f t="shared" si="4"/>
        <v>1.1000000000000001</v>
      </c>
      <c r="CB4" s="61">
        <f t="shared" si="4"/>
        <v>1.1500000000000001</v>
      </c>
      <c r="CC4" s="61">
        <f t="shared" si="4"/>
        <v>1.2000000000000002</v>
      </c>
      <c r="CD4" s="62">
        <f t="shared" si="4"/>
        <v>1.2500000000000002</v>
      </c>
      <c r="CF4" s="39"/>
      <c r="CG4" s="60" t="s">
        <v>35</v>
      </c>
      <c r="CH4" s="61">
        <f t="shared" ref="CH4:CR4" si="5">$C$13*CH$3</f>
        <v>0.74999999999999978</v>
      </c>
      <c r="CI4" s="61">
        <f t="shared" si="5"/>
        <v>0.79999999999999982</v>
      </c>
      <c r="CJ4" s="61">
        <f t="shared" si="5"/>
        <v>0.84999999999999987</v>
      </c>
      <c r="CK4" s="61">
        <f t="shared" si="5"/>
        <v>0.89999999999999991</v>
      </c>
      <c r="CL4" s="61">
        <f t="shared" si="5"/>
        <v>0.95</v>
      </c>
      <c r="CM4" s="66">
        <f t="shared" si="5"/>
        <v>1</v>
      </c>
      <c r="CN4" s="61">
        <f t="shared" si="5"/>
        <v>1.05</v>
      </c>
      <c r="CO4" s="61">
        <f t="shared" si="5"/>
        <v>1.1000000000000001</v>
      </c>
      <c r="CP4" s="61">
        <f t="shared" si="5"/>
        <v>1.1500000000000001</v>
      </c>
      <c r="CQ4" s="61">
        <f t="shared" si="5"/>
        <v>1.2000000000000002</v>
      </c>
      <c r="CR4" s="62">
        <f t="shared" si="5"/>
        <v>1.2500000000000002</v>
      </c>
      <c r="CT4" s="39"/>
      <c r="CU4" s="60" t="s">
        <v>35</v>
      </c>
      <c r="CV4" s="61">
        <f t="shared" ref="CV4:DF4" si="6">$C$13*CV$3</f>
        <v>0.74999999999999978</v>
      </c>
      <c r="CW4" s="61">
        <f t="shared" si="6"/>
        <v>0.79999999999999982</v>
      </c>
      <c r="CX4" s="61">
        <f t="shared" si="6"/>
        <v>0.84999999999999987</v>
      </c>
      <c r="CY4" s="61">
        <f t="shared" si="6"/>
        <v>0.89999999999999991</v>
      </c>
      <c r="CZ4" s="61">
        <f t="shared" si="6"/>
        <v>0.95</v>
      </c>
      <c r="DA4" s="66">
        <f t="shared" si="6"/>
        <v>1</v>
      </c>
      <c r="DB4" s="61">
        <f t="shared" si="6"/>
        <v>1.05</v>
      </c>
      <c r="DC4" s="61">
        <f t="shared" si="6"/>
        <v>1.1000000000000001</v>
      </c>
      <c r="DD4" s="61">
        <f t="shared" si="6"/>
        <v>1.1500000000000001</v>
      </c>
      <c r="DE4" s="61">
        <f t="shared" si="6"/>
        <v>1.2000000000000002</v>
      </c>
      <c r="DF4" s="62">
        <f t="shared" si="6"/>
        <v>1.2500000000000002</v>
      </c>
      <c r="DH4" s="39"/>
      <c r="DI4" s="60" t="s">
        <v>35</v>
      </c>
      <c r="DJ4" s="61">
        <f t="shared" ref="DJ4:DT4" si="7">$C$13*DJ$3</f>
        <v>0.74999999999999978</v>
      </c>
      <c r="DK4" s="61">
        <f t="shared" si="7"/>
        <v>0.79999999999999982</v>
      </c>
      <c r="DL4" s="61">
        <f t="shared" si="7"/>
        <v>0.84999999999999987</v>
      </c>
      <c r="DM4" s="61">
        <f t="shared" si="7"/>
        <v>0.89999999999999991</v>
      </c>
      <c r="DN4" s="61">
        <f t="shared" si="7"/>
        <v>0.95</v>
      </c>
      <c r="DO4" s="66">
        <f t="shared" si="7"/>
        <v>1</v>
      </c>
      <c r="DP4" s="61">
        <f t="shared" si="7"/>
        <v>1.05</v>
      </c>
      <c r="DQ4" s="61">
        <f t="shared" si="7"/>
        <v>1.1000000000000001</v>
      </c>
      <c r="DR4" s="61">
        <f t="shared" si="7"/>
        <v>1.1500000000000001</v>
      </c>
      <c r="DS4" s="61">
        <f t="shared" si="7"/>
        <v>1.2000000000000002</v>
      </c>
      <c r="DT4" s="62">
        <f t="shared" si="7"/>
        <v>1.2500000000000002</v>
      </c>
    </row>
    <row r="5" spans="2:124" x14ac:dyDescent="0.25">
      <c r="B5" t="s">
        <v>30</v>
      </c>
      <c r="C5" s="64">
        <v>0.05</v>
      </c>
      <c r="N5" s="40">
        <f t="shared" ref="N5:N14" si="8">N6+$C$5</f>
        <v>1.5000000000000004</v>
      </c>
      <c r="O5" s="45">
        <f t="shared" ref="O5:O25" si="9">$AB5*$C$10</f>
        <v>150.00000000000006</v>
      </c>
      <c r="P5" s="43">
        <f ca="1">IF($C$2="PRICE",AD5,IF($C$2="SPOTDELTA",AR5,IF($C$2="FORWARDDELTA",BF5,IF($C$2="GAMMA",BT5,IF($C$2="VEGA",CH5,IF($C$2="THETA",CV5,IF($C$2="RHO",DJ5,"RESULT?")))))))</f>
        <v>4.8619066458350799E-6</v>
      </c>
      <c r="Q5" s="44">
        <f t="shared" ref="Q5:Q25" ca="1" si="10">IF($C$2="PRICE",AE5,IF($C$2="SPOTDELTA",AS5,IF($C$2="FORWARDDELTA",BG5,IF($C$2="GAMMA",BU5,IF($C$2="VEGA",CI5,IF($C$2="THETA",CW5,IF($C$2="RHO",DK5,"RESULT?")))))))</f>
        <v>9.9557032381672792E-6</v>
      </c>
      <c r="R5" s="44">
        <f t="shared" ref="R5:R25" ca="1" si="11">IF($C$2="PRICE",AF5,IF($C$2="SPOTDELTA",AT5,IF($C$2="FORWARDDELTA",BH5,IF($C$2="GAMMA",BV5,IF($C$2="VEGA",CJ5,IF($C$2="THETA",CX5,IF($C$2="RHO",DL5,"RESULT?")))))))</f>
        <v>1.8771022714539397E-5</v>
      </c>
      <c r="S5" s="44">
        <f t="shared" ref="S5:S25" ca="1" si="12">IF($C$2="PRICE",AG5,IF($C$2="SPOTDELTA",AU5,IF($C$2="FORWARDDELTA",BI5,IF($C$2="GAMMA",BW5,IF($C$2="VEGA",CK5,IF($C$2="THETA",CY5,IF($C$2="RHO",DM5,"RESULT?")))))))</f>
        <v>3.3035816782008935E-5</v>
      </c>
      <c r="T5" s="44">
        <f t="shared" ref="T5:T25" ca="1" si="13">IF($C$2="PRICE",AH5,IF($C$2="SPOTDELTA",AV5,IF($C$2="FORWARDDELTA",BJ5,IF($C$2="GAMMA",BX5,IF($C$2="VEGA",CL5,IF($C$2="THETA",CZ5,IF($C$2="RHO",DN5,"RESULT?")))))))</f>
        <v>5.4859255147384426E-5</v>
      </c>
      <c r="U5" s="55">
        <f t="shared" ref="U5:U25" ca="1" si="14">IF($C$2="PRICE",AI5,IF($C$2="SPOTDELTA",AW5,IF($C$2="FORWARDDELTA",BK5,IF($C$2="GAMMA",BY5,IF($C$2="VEGA",CM5,IF($C$2="THETA",DA5,IF($C$2="RHO",DO5,"RESULT?")))))))</f>
        <v>8.6703285321249293E-5</v>
      </c>
      <c r="V5" s="44">
        <f t="shared" ref="V5:V25" ca="1" si="15">IF($C$2="PRICE",AJ5,IF($C$2="SPOTDELTA",AX5,IF($C$2="FORWARDDELTA",BL5,IF($C$2="GAMMA",BZ5,IF($C$2="VEGA",CN5,IF($C$2="THETA",DB5,IF($C$2="RHO",DP5,"RESULT?")))))))</f>
        <v>1.3133582357579814E-4</v>
      </c>
      <c r="W5" s="44">
        <f t="shared" ref="W5:W25" ca="1" si="16">IF($C$2="PRICE",AK5,IF($C$2="SPOTDELTA",AY5,IF($C$2="FORWARDDELTA",BM5,IF($C$2="GAMMA",CA5,IF($C$2="VEGA",CO5,IF($C$2="THETA",DC5,IF($C$2="RHO",DQ5,"RESULT?")))))))</f>
        <v>1.9177129201048017E-4</v>
      </c>
      <c r="X5" s="44">
        <f t="shared" ref="X5:X25" ca="1" si="17">IF($C$2="PRICE",AL5,IF($C$2="SPOTDELTA",AZ5,IF($C$2="FORWARDDELTA",BN5,IF($C$2="GAMMA",CB5,IF($C$2="VEGA",CP5,IF($C$2="THETA",DD5,IF($C$2="RHO",DR5,"RESULT?")))))))</f>
        <v>2.7120416213659277E-4</v>
      </c>
      <c r="Y5" s="44">
        <f t="shared" ref="Y5:Y25" ca="1" si="18">IF($C$2="PRICE",AM5,IF($C$2="SPOTDELTA",BA5,IF($C$2="FORWARDDELTA",BO5,IF($C$2="GAMMA",CC5,IF($C$2="VEGA",CQ5,IF($C$2="THETA",DE5,IF($C$2="RHO",DS5,"RESULT?")))))))</f>
        <v>3.7294048038108229E-4</v>
      </c>
      <c r="Z5" s="45">
        <f t="shared" ref="Z5:Z25" ca="1" si="19">IF($C$2="PRICE",AN5,IF($C$2="SPOTDELTA",BB5,IF($C$2="FORWARDDELTA",BP5,IF($C$2="GAMMA",CD5,IF($C$2="VEGA",CR5,IF($C$2="THETA",DF5,IF($C$2="RHO",DT5,"RESULT?")))))))</f>
        <v>5.0033135585511904E-4</v>
      </c>
      <c r="AB5" s="40">
        <f t="shared" ref="AB5:AB14" si="20">AB6+$C$5</f>
        <v>1.5000000000000004</v>
      </c>
      <c r="AC5" s="45">
        <f t="shared" ref="AC5:AC25" si="21">$AB5*$C$10</f>
        <v>150.00000000000006</v>
      </c>
      <c r="AD5" s="85">
        <f ca="1">_xll.meMathBlackScholesPrice($C$9,$AC5,$C$11,$C$12,AD$4,$C$14,$C$15)</f>
        <v>50.747196422398545</v>
      </c>
      <c r="AE5" s="86">
        <f ca="1">_xll.meMathBlackScholesPrice($C$9,$AC5,$C$11,$C$12,AE$4,$C$14,$C$15)</f>
        <v>50.796812638561263</v>
      </c>
      <c r="AF5" s="86">
        <f ca="1">_xll.meMathBlackScholesPrice($C$9,$AC5,$C$11,$C$12,AF$4,$C$14,$C$15)</f>
        <v>50.846405899035517</v>
      </c>
      <c r="AG5" s="86">
        <f ca="1">_xll.meMathBlackScholesPrice($C$9,$AC5,$C$11,$C$12,AG$4,$C$14,$C$15)</f>
        <v>50.895977243060614</v>
      </c>
      <c r="AH5" s="86">
        <f ca="1">_xll.meMathBlackScholesPrice($C$9,$AC5,$C$11,$C$12,AH$4,$C$14,$C$15)</f>
        <v>50.945528031787006</v>
      </c>
      <c r="AI5" s="87">
        <f ca="1">_xll.meMathBlackScholesPrice($C$9,$AC5,$C$11,$C$12,AI$4,$C$14,$C$15)</f>
        <v>50.995059968359016</v>
      </c>
      <c r="AJ5" s="86">
        <f ca="1">_xll.meMathBlackScholesPrice($C$9,$AC5,$C$11,$C$12,AJ$4,$C$14,$C$15)</f>
        <v>51.044575103325002</v>
      </c>
      <c r="AK5" s="86">
        <f ca="1">_xll.meMathBlackScholesPrice($C$9,$AC5,$C$11,$C$12,AK$4,$C$14,$C$15)</f>
        <v>51.094075826157137</v>
      </c>
      <c r="AL5" s="86">
        <f ca="1">_xll.meMathBlackScholesPrice($C$9,$AC5,$C$11,$C$12,AL$4,$C$14,$C$15)</f>
        <v>51.143564844683809</v>
      </c>
      <c r="AM5" s="86">
        <f ca="1">_xll.meMathBlackScholesPrice($C$9,$AC5,$C$11,$C$12,AM$4,$C$14,$C$15)</f>
        <v>51.193045154808473</v>
      </c>
      <c r="AN5" s="88">
        <f ca="1">_xll.meMathBlackScholesPrice($C$9,$AC5,$C$11,$C$12,AN$4,$C$14,$C$15)</f>
        <v>51.242520003087932</v>
      </c>
      <c r="AP5" s="40">
        <f t="shared" ref="AP5:AP14" si="22">AP6+$C$5</f>
        <v>1.5000000000000004</v>
      </c>
      <c r="AQ5" s="45">
        <f t="shared" ref="AQ5:AQ25" si="23">$AB5*$C$10</f>
        <v>150.00000000000006</v>
      </c>
      <c r="AR5" s="71">
        <f ca="1">_xll.meMathBlackScholesDeltaSpot($C$9,$AQ5,$C$11,$C$12,AR$4,$C$14,$C$15)</f>
        <v>0.99999925215841401</v>
      </c>
      <c r="AS5" s="72">
        <f ca="1">_xll.meMathBlackScholesDeltaSpot($C$9,$AQ5,$C$11,$C$12,AS$4,$C$14,$C$15)</f>
        <v>0.99999847483771953</v>
      </c>
      <c r="AT5" s="72">
        <f ca="1">_xll.meMathBlackScholesDeltaSpot($C$9,$AQ5,$C$11,$C$12,AT$4,$C$14,$C$15)</f>
        <v>0.99999713588172534</v>
      </c>
      <c r="AU5" s="72">
        <f ca="1">_xll.meMathBlackScholesDeltaSpot($C$9,$AQ5,$C$11,$C$12,AU$4,$C$14,$C$15)</f>
        <v>0.9999949793002243</v>
      </c>
      <c r="AV5" s="72">
        <f ca="1">_xll.meMathBlackScholesDeltaSpot($C$9,$AQ5,$C$11,$C$12,AV$4,$C$14,$C$15)</f>
        <v>0.99999169533489152</v>
      </c>
      <c r="AW5" s="73">
        <f ca="1">_xll.meMathBlackScholesDeltaSpot($C$9,$AQ5,$C$11,$C$12,AW$4,$C$14,$C$15)</f>
        <v>0.9999869257386611</v>
      </c>
      <c r="AX5" s="72">
        <f ca="1">_xll.meMathBlackScholesDeltaSpot($C$9,$AQ5,$C$11,$C$12,AX$4,$C$14,$C$15)</f>
        <v>0.99998027167780945</v>
      </c>
      <c r="AY5" s="72">
        <f ca="1">_xll.meMathBlackScholesDeltaSpot($C$9,$AQ5,$C$11,$C$12,AY$4,$C$14,$C$15)</f>
        <v>0.99997130333472983</v>
      </c>
      <c r="AZ5" s="72">
        <f ca="1">_xll.meMathBlackScholesDeltaSpot($C$9,$AQ5,$C$11,$C$12,AZ$4,$C$14,$C$15)</f>
        <v>0.99995957032664207</v>
      </c>
      <c r="BA5" s="72">
        <f ca="1">_xll.meMathBlackScholesDeltaSpot($C$9,$AQ5,$C$11,$C$12,BA$4,$C$14,$C$15)</f>
        <v>0.99994461218437636</v>
      </c>
      <c r="BB5" s="74">
        <f ca="1">_xll.meMathBlackScholesDeltaSpot($C$9,$AQ5,$C$11,$C$12,BB$4,$C$14,$C$15)</f>
        <v>0.99992596830518365</v>
      </c>
      <c r="BD5" s="40">
        <f t="shared" ref="BD5:BD14" si="24">BD6+$C$5</f>
        <v>1.5000000000000004</v>
      </c>
      <c r="BE5" s="45">
        <f t="shared" ref="BE5:BE25" si="25">$AB5*$C$10</f>
        <v>150.00000000000006</v>
      </c>
      <c r="BF5" s="71">
        <f ca="1">_xll.meMathBlackScholesDeltaForward($C$9,$BE5,$C$11,$C$12,BF$4,$C$14,$C$15)</f>
        <v>0.99999925215841401</v>
      </c>
      <c r="BG5" s="72">
        <f ca="1">_xll.meMathBlackScholesDeltaForward($C$9,$BE5,$C$11,$C$12,BG$4,$C$14,$C$15)</f>
        <v>0.99999847483771953</v>
      </c>
      <c r="BH5" s="72">
        <f ca="1">_xll.meMathBlackScholesDeltaForward($C$9,$BE5,$C$11,$C$12,BH$4,$C$14,$C$15)</f>
        <v>0.99999713588172534</v>
      </c>
      <c r="BI5" s="72">
        <f ca="1">_xll.meMathBlackScholesDeltaForward($C$9,$BE5,$C$11,$C$12,BI$4,$C$14,$C$15)</f>
        <v>0.9999949793002243</v>
      </c>
      <c r="BJ5" s="72">
        <f ca="1">_xll.meMathBlackScholesDeltaForward($C$9,$BE5,$C$11,$C$12,BJ$4,$C$14,$C$15)</f>
        <v>0.99999169533489152</v>
      </c>
      <c r="BK5" s="73">
        <f ca="1">_xll.meMathBlackScholesDeltaForward($C$9,$BE5,$C$11,$C$12,BK$4,$C$14,$C$15)</f>
        <v>0.9999869257386611</v>
      </c>
      <c r="BL5" s="72">
        <f ca="1">_xll.meMathBlackScholesDeltaForward($C$9,$BE5,$C$11,$C$12,BL$4,$C$14,$C$15)</f>
        <v>0.99998027167780945</v>
      </c>
      <c r="BM5" s="72">
        <f ca="1">_xll.meMathBlackScholesDeltaForward($C$9,$BE5,$C$11,$C$12,BM$4,$C$14,$C$15)</f>
        <v>0.99997130333472983</v>
      </c>
      <c r="BN5" s="72">
        <f ca="1">_xll.meMathBlackScholesDeltaForward($C$9,$BE5,$C$11,$C$12,BN$4,$C$14,$C$15)</f>
        <v>0.99995957032664207</v>
      </c>
      <c r="BO5" s="72">
        <f ca="1">_xll.meMathBlackScholesDeltaForward($C$9,$BE5,$C$11,$C$12,BO$4,$C$14,$C$15)</f>
        <v>0.99994461218437636</v>
      </c>
      <c r="BP5" s="74">
        <f ca="1">_xll.meMathBlackScholesDeltaForward($C$9,$BE5,$C$11,$C$12,BP$4,$C$14,$C$15)</f>
        <v>0.99992596830518365</v>
      </c>
      <c r="BR5" s="40">
        <f t="shared" ref="BR5:BR14" si="26">BR6+$C$5</f>
        <v>1.5000000000000004</v>
      </c>
      <c r="BS5" s="45">
        <f t="shared" ref="BS5:BS25" si="27">$AB5*$C$10</f>
        <v>150.00000000000006</v>
      </c>
      <c r="BT5" s="85">
        <f ca="1">_xll.meMathBlackScholesGamma($C$9,$BS5,$C$11,$C$12,BT$4,$C$14,$C$15)</f>
        <v>2.8811298641985643E-7</v>
      </c>
      <c r="BU5" s="86">
        <f ca="1">_xll.meMathBlackScholesGamma($C$9,$BS5,$C$11,$C$12,BU$4,$C$14,$C$15)</f>
        <v>5.5309462434262623E-7</v>
      </c>
      <c r="BV5" s="86">
        <f ca="1">_xll.meMathBlackScholesGamma($C$9,$BS5,$C$11,$C$12,BV$4,$C$14,$C$15)</f>
        <v>9.8149138376676538E-7</v>
      </c>
      <c r="BW5" s="86">
        <f ca="1">_xll.meMathBlackScholesGamma($C$9,$BS5,$C$11,$C$12,BW$4,$C$14,$C$15)</f>
        <v>1.6313983596053783E-6</v>
      </c>
      <c r="BX5" s="86">
        <f ca="1">_xll.meMathBlackScholesGamma($C$9,$BS5,$C$11,$C$12,BX$4,$C$14,$C$15)</f>
        <v>2.5665148606963454E-6</v>
      </c>
      <c r="BY5" s="87">
        <f ca="1">_xll.meMathBlackScholesGamma($C$9,$BS5,$C$11,$C$12,BY$4,$C$14,$C$15)</f>
        <v>3.8534793476110769E-6</v>
      </c>
      <c r="BZ5" s="86">
        <f ca="1">_xll.meMathBlackScholesGamma($C$9,$BS5,$C$11,$C$12,BZ$4,$C$14,$C$15)</f>
        <v>5.5591882995046776E-6</v>
      </c>
      <c r="CA5" s="86">
        <f ca="1">_xll.meMathBlackScholesGamma($C$9,$BS5,$C$11,$C$12,CA$4,$C$14,$C$15)</f>
        <v>7.7483350307264631E-6</v>
      </c>
      <c r="CB5" s="86">
        <f ca="1">_xll.meMathBlackScholesGamma($C$9,$BS5,$C$11,$C$12,CB$4,$C$14,$C$15)</f>
        <v>1.0481320275810337E-5</v>
      </c>
      <c r="CC5" s="86">
        <f ca="1">_xll.meMathBlackScholesGamma($C$9,$BS5,$C$11,$C$12,CC$4,$C$14,$C$15)</f>
        <v>1.3812610384484512E-5</v>
      </c>
      <c r="CD5" s="88">
        <f ca="1">_xll.meMathBlackScholesGamma($C$9,$BS5,$C$11,$C$12,CD$4,$C$14,$C$15)</f>
        <v>1.7789559319293106E-5</v>
      </c>
      <c r="CF5" s="40">
        <f t="shared" ref="CF5:CF14" si="28">CF6+$C$5</f>
        <v>1.5000000000000004</v>
      </c>
      <c r="CG5" s="45">
        <f t="shared" ref="CG5:CG25" si="29">$AB5*$C$10</f>
        <v>150.00000000000006</v>
      </c>
      <c r="CH5" s="85">
        <f ca="1">_xll.meMathBlackScholesVega($C$9,$CG5,$C$11,$C$12,CH$4,$C$14,$C$15)</f>
        <v>4.8619066458350799E-6</v>
      </c>
      <c r="CI5" s="86">
        <f ca="1">_xll.meMathBlackScholesVega($C$9,$CG5,$C$11,$C$12,CI$4,$C$14,$C$15)</f>
        <v>9.9557032381672792E-6</v>
      </c>
      <c r="CJ5" s="86">
        <f ca="1">_xll.meMathBlackScholesVega($C$9,$CG5,$C$11,$C$12,CJ$4,$C$14,$C$15)</f>
        <v>1.8771022714539397E-5</v>
      </c>
      <c r="CK5" s="86">
        <f ca="1">_xll.meMathBlackScholesVega($C$9,$CG5,$C$11,$C$12,CK$4,$C$14,$C$15)</f>
        <v>3.3035816782008935E-5</v>
      </c>
      <c r="CL5" s="86">
        <f ca="1">_xll.meMathBlackScholesVega($C$9,$CG5,$C$11,$C$12,CL$4,$C$14,$C$15)</f>
        <v>5.4859255147384426E-5</v>
      </c>
      <c r="CM5" s="87">
        <f ca="1">_xll.meMathBlackScholesVega($C$9,$CG5,$C$11,$C$12,CM$4,$C$14,$C$15)</f>
        <v>8.6703285321249293E-5</v>
      </c>
      <c r="CN5" s="86">
        <f ca="1">_xll.meMathBlackScholesVega($C$9,$CG5,$C$11,$C$12,CN$4,$C$14,$C$15)</f>
        <v>1.3133582357579814E-4</v>
      </c>
      <c r="CO5" s="86">
        <f ca="1">_xll.meMathBlackScholesVega($C$9,$CG5,$C$11,$C$12,CO$4,$C$14,$C$15)</f>
        <v>1.9177129201048017E-4</v>
      </c>
      <c r="CP5" s="86">
        <f ca="1">_xll.meMathBlackScholesVega($C$9,$CG5,$C$11,$C$12,CP$4,$C$14,$C$15)</f>
        <v>2.7120416213659277E-4</v>
      </c>
      <c r="CQ5" s="86">
        <f ca="1">_xll.meMathBlackScholesVega($C$9,$CG5,$C$11,$C$12,CQ$4,$C$14,$C$15)</f>
        <v>3.7294048038108229E-4</v>
      </c>
      <c r="CR5" s="88">
        <f ca="1">_xll.meMathBlackScholesVega($C$9,$CG5,$C$11,$C$12,CR$4,$C$14,$C$15)</f>
        <v>5.0033135585511904E-4</v>
      </c>
      <c r="CT5" s="40">
        <f t="shared" ref="CT5:CT14" si="30">CT6+$C$5</f>
        <v>1.5000000000000004</v>
      </c>
      <c r="CU5" s="45">
        <f t="shared" ref="CU5:CU25" si="31">$AB5*$C$10</f>
        <v>150.00000000000006</v>
      </c>
      <c r="CV5" s="85">
        <f ca="1">_xll.meMathBlackScholesTheta($C$9,$CU5,$C$11,$C$12,CV$4,$C$14,$C$15)</f>
        <v>-2.7174793339482771E-3</v>
      </c>
      <c r="CW5" s="86">
        <f ca="1">_xll.meMathBlackScholesTheta($C$9,$CU5,$C$11,$C$12,CW$4,$C$14,$C$15)</f>
        <v>-2.7161993402223293E-3</v>
      </c>
      <c r="CX5" s="86">
        <f ca="1">_xll.meMathBlackScholesTheta($C$9,$CU5,$C$11,$C$12,CX$4,$C$14,$C$15)</f>
        <v>-2.7149680016780487E-3</v>
      </c>
      <c r="CY5" s="86">
        <f ca="1">_xll.meMathBlackScholesTheta($C$9,$CU5,$C$11,$C$12,CY$4,$C$14,$C$15)</f>
        <v>-2.7138021323345283E-3</v>
      </c>
      <c r="CZ5" s="86">
        <f ca="1">_xll.meMathBlackScholesTheta($C$9,$CU5,$C$11,$C$12,CZ$4,$C$14,$C$15)</f>
        <v>-2.7127200427277099E-3</v>
      </c>
      <c r="DA5" s="87">
        <f ca="1">_xll.meMathBlackScholesTheta($C$9,$CU5,$C$11,$C$12,DA$4,$C$14,$C$15)</f>
        <v>-2.7117407401807212E-3</v>
      </c>
      <c r="DB5" s="86">
        <f ca="1">_xll.meMathBlackScholesTheta($C$9,$CU5,$C$11,$C$12,DB$4,$C$14,$C$15)</f>
        <v>-2.7108831352968083E-3</v>
      </c>
      <c r="DC5" s="86">
        <f ca="1">_xll.meMathBlackScholesTheta($C$9,$CU5,$C$11,$C$12,DC$4,$C$14,$C$15)</f>
        <v>-2.7101653235632596E-3</v>
      </c>
      <c r="DD5" s="86">
        <f ca="1">_xll.meMathBlackScholesTheta($C$9,$CU5,$C$11,$C$12,DD$4,$C$14,$C$15)</f>
        <v>-2.7096039851448443E-3</v>
      </c>
      <c r="DE5" s="86">
        <f ca="1">_xll.meMathBlackScholesTheta($C$9,$CU5,$C$11,$C$12,DE$4,$C$14,$C$15)</f>
        <v>-2.7092139230574541E-3</v>
      </c>
      <c r="DF5" s="88">
        <f ca="1">_xll.meMathBlackScholesTheta($C$9,$CU5,$C$11,$C$12,DF$4,$C$14,$C$15)</f>
        <v>-2.7090077422322165E-3</v>
      </c>
      <c r="DH5" s="40">
        <f t="shared" ref="DH5:DH14" si="32">DH6+$C$5</f>
        <v>1.5000000000000004</v>
      </c>
      <c r="DI5" s="45">
        <f t="shared" ref="DI5:DI25" si="33">$AB5*$C$10</f>
        <v>150.00000000000006</v>
      </c>
      <c r="DJ5" s="85">
        <f ca="1">_xll.meMathBlackScholesRho($C$9,$DI5,$C$11,$C$12,DJ$4,$C$14,$C$15)</f>
        <v>0.74439518551022676</v>
      </c>
      <c r="DK5" s="86">
        <f ca="1">_xll.meMathBlackScholesRho($C$9,$DI5,$C$11,$C$12,DK$4,$C$14,$C$15)</f>
        <v>0.7936236686967737</v>
      </c>
      <c r="DL5" s="86">
        <f ca="1">_xll.meMathBlackScholesRho($C$9,$DI5,$C$11,$C$12,DL$4,$C$14,$C$15)</f>
        <v>0.84280189810739825</v>
      </c>
      <c r="DM5" s="86">
        <f ca="1">_xll.meMathBlackScholesRho($C$9,$DI5,$C$11,$C$12,DM$4,$C$14,$C$15)</f>
        <v>0.89192942686775756</v>
      </c>
      <c r="DN5" s="86">
        <f ca="1">_xll.meMathBlackScholesRho($C$9,$DI5,$C$11,$C$12,DN$4,$C$14,$C$15)</f>
        <v>0.94100564955024424</v>
      </c>
      <c r="DO5" s="87">
        <f ca="1">_xll.meMathBlackScholesRho($C$9,$DI5,$C$11,$C$12,DO$4,$C$14,$C$15)</f>
        <v>0.99002978892440197</v>
      </c>
      <c r="DP5" s="86">
        <f ca="1">_xll.meMathBlackScholesRho($C$9,$DI5,$C$11,$C$12,DP$4,$C$14,$C$15)</f>
        <v>1.0390008893076381</v>
      </c>
      <c r="DQ5" s="86">
        <f ca="1">_xll.meMathBlackScholesRho($C$9,$DI5,$C$11,$C$12,DQ$4,$C$14,$C$15)</f>
        <v>1.0879178164145764</v>
      </c>
      <c r="DR5" s="86">
        <f ca="1">_xll.meMathBlackScholesRho($C$9,$DI5,$C$11,$C$12,DR$4,$C$14,$C$15)</f>
        <v>1.1367792630995945</v>
      </c>
      <c r="DS5" s="86">
        <f ca="1">_xll.meMathBlackScholesRho($C$9,$DI5,$C$11,$C$12,DS$4,$C$14,$C$15)</f>
        <v>1.1855837600741768</v>
      </c>
      <c r="DT5" s="88">
        <f ca="1">_xll.meMathBlackScholesRho($C$9,$DI5,$C$11,$C$12,DT$4,$C$14,$C$15)</f>
        <v>1.2343296905336212</v>
      </c>
    </row>
    <row r="6" spans="2:124" x14ac:dyDescent="0.25">
      <c r="B6" t="s">
        <v>31</v>
      </c>
      <c r="C6" s="64">
        <v>0.05</v>
      </c>
      <c r="N6" s="40">
        <f t="shared" si="8"/>
        <v>1.4500000000000004</v>
      </c>
      <c r="O6" s="45">
        <f t="shared" si="9"/>
        <v>145.00000000000003</v>
      </c>
      <c r="P6" s="43">
        <f t="shared" ref="P6:P25" ca="1" si="34">IF($C$2="PRICE",AD6,IF($C$2="SPOTDELTA",AR6,IF($C$2="FORWARDDELTA",BF6,IF($C$2="GAMMA",BT6,IF($C$2="VEGA",CH6,IF($C$2="THETA",CV6,IF($C$2="RHO",DJ6,"RESULT?")))))))</f>
        <v>2.8632619572739985E-5</v>
      </c>
      <c r="Q6" s="44">
        <f t="shared" ca="1" si="10"/>
        <v>5.253613358347724E-5</v>
      </c>
      <c r="R6" s="44">
        <f t="shared" ca="1" si="11"/>
        <v>8.991120814363453E-5</v>
      </c>
      <c r="S6" s="44">
        <f t="shared" ca="1" si="12"/>
        <v>1.4518576694388596E-4</v>
      </c>
      <c r="T6" s="44">
        <f t="shared" ca="1" si="13"/>
        <v>2.2322223933739227E-4</v>
      </c>
      <c r="U6" s="55">
        <f t="shared" ca="1" si="14"/>
        <v>3.2916739577112638E-4</v>
      </c>
      <c r="V6" s="44">
        <f t="shared" ca="1" si="15"/>
        <v>4.6830137128375777E-4</v>
      </c>
      <c r="W6" s="44">
        <f t="shared" ca="1" si="16"/>
        <v>6.4589670257738253E-4</v>
      </c>
      <c r="X6" s="44">
        <f t="shared" ca="1" si="17"/>
        <v>8.6709434125769713E-4</v>
      </c>
      <c r="Y6" s="44">
        <f t="shared" ca="1" si="18"/>
        <v>1.136800297795393E-3</v>
      </c>
      <c r="Z6" s="45">
        <f t="shared" ca="1" si="19"/>
        <v>1.4596040268784344E-3</v>
      </c>
      <c r="AB6" s="40">
        <f t="shared" si="20"/>
        <v>1.4500000000000004</v>
      </c>
      <c r="AC6" s="45">
        <f t="shared" si="21"/>
        <v>145.00000000000003</v>
      </c>
      <c r="AD6" s="85">
        <f ca="1">_xll.meMathBlackScholesPrice($C$9,$AC6,$C$11,$C$12,AD$4,$C$14,$C$15)</f>
        <v>45.747207579620863</v>
      </c>
      <c r="AE6" s="86">
        <f ca="1">_xll.meMathBlackScholesPrice($C$9,$AC6,$C$11,$C$12,AE$4,$C$14,$C$15)</f>
        <v>45.796833822975216</v>
      </c>
      <c r="AF6" s="86">
        <f ca="1">_xll.meMathBlackScholesPrice($C$9,$AC6,$C$11,$C$12,AF$4,$C$14,$C$15)</f>
        <v>45.846443275377098</v>
      </c>
      <c r="AG6" s="86">
        <f ca="1">_xll.meMathBlackScholesPrice($C$9,$AC6,$C$11,$C$12,AG$4,$C$14,$C$15)</f>
        <v>45.896039261966578</v>
      </c>
      <c r="AH6" s="86">
        <f ca="1">_xll.meMathBlackScholesPrice($C$9,$AC6,$C$11,$C$12,AH$4,$C$14,$C$15)</f>
        <v>45.94562574147902</v>
      </c>
      <c r="AI6" s="87">
        <f ca="1">_xll.meMathBlackScholesPrice($C$9,$AC6,$C$11,$C$12,AI$4,$C$14,$C$15)</f>
        <v>45.995207253334129</v>
      </c>
      <c r="AJ6" s="86">
        <f ca="1">_xll.meMathBlackScholesPrice($C$9,$AC6,$C$11,$C$12,AJ$4,$C$14,$C$15)</f>
        <v>46.044788841628829</v>
      </c>
      <c r="AK6" s="86">
        <f ca="1">_xll.meMathBlackScholesPrice($C$9,$AC6,$C$11,$C$12,AK$4,$C$14,$C$15)</f>
        <v>46.094375964069002</v>
      </c>
      <c r="AL6" s="86">
        <f ca="1">_xll.meMathBlackScholesPrice($C$9,$AC6,$C$11,$C$12,AL$4,$C$14,$C$15)</f>
        <v>46.143974393210726</v>
      </c>
      <c r="AM6" s="86">
        <f ca="1">_xll.meMathBlackScholesPrice($C$9,$AC6,$C$11,$C$12,AM$4,$C$14,$C$15)</f>
        <v>46.193590116184069</v>
      </c>
      <c r="AN6" s="88">
        <f ca="1">_xll.meMathBlackScholesPrice($C$9,$AC6,$C$11,$C$12,AN$4,$C$14,$C$15)</f>
        <v>46.243229237682968</v>
      </c>
      <c r="AP6" s="40">
        <f t="shared" si="22"/>
        <v>1.4500000000000004</v>
      </c>
      <c r="AQ6" s="45">
        <f t="shared" si="23"/>
        <v>145.00000000000003</v>
      </c>
      <c r="AR6" s="71">
        <f ca="1">_xll.meMathBlackScholesDeltaSpot($C$9,$AQ6,$C$11,$C$12,AR$4,$C$14,$C$15)</f>
        <v>0.99999507294612255</v>
      </c>
      <c r="AS6" s="72">
        <f ca="1">_xll.meMathBlackScholesDeltaSpot($C$9,$AQ6,$C$11,$C$12,AS$4,$C$14,$C$15)</f>
        <v>0.99999100058304113</v>
      </c>
      <c r="AT6" s="72">
        <f ca="1">_xll.meMathBlackScholesDeltaSpot($C$9,$AQ6,$C$11,$C$12,AT$4,$C$14,$C$15)</f>
        <v>0.99998466716105705</v>
      </c>
      <c r="AU6" s="72">
        <f ca="1">_xll.meMathBlackScholesDeltaSpot($C$9,$AQ6,$C$11,$C$12,AU$4,$C$14,$C$15)</f>
        <v>0.9999753505630018</v>
      </c>
      <c r="AV6" s="72">
        <f ca="1">_xll.meMathBlackScholesDeltaSpot($C$9,$AQ6,$C$11,$C$12,AV$4,$C$14,$C$15)</f>
        <v>0.9999622674864983</v>
      </c>
      <c r="AW6" s="73">
        <f ca="1">_xll.meMathBlackScholesDeltaSpot($C$9,$AQ6,$C$11,$C$12,AW$4,$C$14,$C$15)</f>
        <v>0.9999445998582841</v>
      </c>
      <c r="AX6" s="72">
        <f ca="1">_xll.meMathBlackScholesDeltaSpot($C$9,$AQ6,$C$11,$C$12,AX$4,$C$14,$C$15)</f>
        <v>0.99992152069136186</v>
      </c>
      <c r="AY6" s="72">
        <f ca="1">_xll.meMathBlackScholesDeltaSpot($C$9,$AQ6,$C$11,$C$12,AY$4,$C$14,$C$15)</f>
        <v>0.99989221761029901</v>
      </c>
      <c r="AZ6" s="72">
        <f ca="1">_xll.meMathBlackScholesDeltaSpot($C$9,$AQ6,$C$11,$C$12,AZ$4,$C$14,$C$15)</f>
        <v>0.9998559129699367</v>
      </c>
      <c r="BA6" s="72">
        <f ca="1">_xll.meMathBlackScholesDeltaSpot($C$9,$AQ6,$C$11,$C$12,BA$4,$C$14,$C$15)</f>
        <v>0.9998118800733039</v>
      </c>
      <c r="BB6" s="74">
        <f ca="1">_xll.meMathBlackScholesDeltaSpot($C$9,$AQ6,$C$11,$C$12,BB$4,$C$14,$C$15)</f>
        <v>0.99975945542696343</v>
      </c>
      <c r="BD6" s="40">
        <f t="shared" si="24"/>
        <v>1.4500000000000004</v>
      </c>
      <c r="BE6" s="45">
        <f t="shared" si="25"/>
        <v>145.00000000000003</v>
      </c>
      <c r="BF6" s="71">
        <f ca="1">_xll.meMathBlackScholesDeltaForward($C$9,$BE6,$C$11,$C$12,BF$4,$C$14,$C$15)</f>
        <v>0.99999507294612255</v>
      </c>
      <c r="BG6" s="72">
        <f ca="1">_xll.meMathBlackScholesDeltaForward($C$9,$BE6,$C$11,$C$12,BG$4,$C$14,$C$15)</f>
        <v>0.99999100058304113</v>
      </c>
      <c r="BH6" s="72">
        <f ca="1">_xll.meMathBlackScholesDeltaForward($C$9,$BE6,$C$11,$C$12,BH$4,$C$14,$C$15)</f>
        <v>0.99998466716105705</v>
      </c>
      <c r="BI6" s="72">
        <f ca="1">_xll.meMathBlackScholesDeltaForward($C$9,$BE6,$C$11,$C$12,BI$4,$C$14,$C$15)</f>
        <v>0.9999753505630018</v>
      </c>
      <c r="BJ6" s="72">
        <f ca="1">_xll.meMathBlackScholesDeltaForward($C$9,$BE6,$C$11,$C$12,BJ$4,$C$14,$C$15)</f>
        <v>0.9999622674864983</v>
      </c>
      <c r="BK6" s="73">
        <f ca="1">_xll.meMathBlackScholesDeltaForward($C$9,$BE6,$C$11,$C$12,BK$4,$C$14,$C$15)</f>
        <v>0.9999445998582841</v>
      </c>
      <c r="BL6" s="72">
        <f ca="1">_xll.meMathBlackScholesDeltaForward($C$9,$BE6,$C$11,$C$12,BL$4,$C$14,$C$15)</f>
        <v>0.99992152069136186</v>
      </c>
      <c r="BM6" s="72">
        <f ca="1">_xll.meMathBlackScholesDeltaForward($C$9,$BE6,$C$11,$C$12,BM$4,$C$14,$C$15)</f>
        <v>0.99989221761029901</v>
      </c>
      <c r="BN6" s="72">
        <f ca="1">_xll.meMathBlackScholesDeltaForward($C$9,$BE6,$C$11,$C$12,BN$4,$C$14,$C$15)</f>
        <v>0.9998559129699367</v>
      </c>
      <c r="BO6" s="72">
        <f ca="1">_xll.meMathBlackScholesDeltaForward($C$9,$BE6,$C$11,$C$12,BO$4,$C$14,$C$15)</f>
        <v>0.9998118800733039</v>
      </c>
      <c r="BP6" s="74">
        <f ca="1">_xll.meMathBlackScholesDeltaForward($C$9,$BE6,$C$11,$C$12,BP$4,$C$14,$C$15)</f>
        <v>0.99975945542696343</v>
      </c>
      <c r="BR6" s="40">
        <f t="shared" si="26"/>
        <v>1.4500000000000004</v>
      </c>
      <c r="BS6" s="45">
        <f t="shared" si="27"/>
        <v>145.00000000000003</v>
      </c>
      <c r="BT6" s="85">
        <f ca="1">_xll.meMathBlackScholesGamma($C$9,$BS6,$C$11,$C$12,BT$4,$C$14,$C$15)</f>
        <v>1.8157824540778427E-6</v>
      </c>
      <c r="BU6" s="86">
        <f ca="1">_xll.meMathBlackScholesGamma($C$9,$BS6,$C$11,$C$12,BU$4,$C$14,$C$15)</f>
        <v>3.1234324365919875E-6</v>
      </c>
      <c r="BV6" s="86">
        <f ca="1">_xll.meMathBlackScholesGamma($C$9,$BS6,$C$11,$C$12,BV$4,$C$14,$C$15)</f>
        <v>5.0310531240755128E-6</v>
      </c>
      <c r="BW6" s="86">
        <f ca="1">_xll.meMathBlackScholesGamma($C$9,$BS6,$C$11,$C$12,BW$4,$C$14,$C$15)</f>
        <v>7.6726525006677706E-6</v>
      </c>
      <c r="BX6" s="86">
        <f ca="1">_xll.meMathBlackScholesGamma($C$9,$BS6,$C$11,$C$12,BX$4,$C$14,$C$15)</f>
        <v>1.1175780178353699E-5</v>
      </c>
      <c r="BY6" s="87">
        <f ca="1">_xll.meMathBlackScholesGamma($C$9,$BS6,$C$11,$C$12,BY$4,$C$14,$C$15)</f>
        <v>1.5655999798864506E-5</v>
      </c>
      <c r="BZ6" s="86">
        <f ca="1">_xll.meMathBlackScholesGamma($C$9,$BS6,$C$11,$C$12,BZ$4,$C$14,$C$15)</f>
        <v>2.1212903970726798E-5</v>
      </c>
      <c r="CA6" s="86">
        <f ca="1">_xll.meMathBlackScholesGamma($C$9,$BS6,$C$11,$C$12,CA$4,$C$14,$C$15)</f>
        <v>2.7927649014263626E-5</v>
      </c>
      <c r="CB6" s="86">
        <f ca="1">_xll.meMathBlackScholesGamma($C$9,$BS6,$C$11,$C$12,CB$4,$C$14,$C$15)</f>
        <v>3.586183492768223E-5</v>
      </c>
      <c r="CC6" s="86">
        <f ca="1">_xll.meMathBlackScholesGamma($C$9,$BS6,$C$11,$C$12,CC$4,$C$14,$C$15)</f>
        <v>4.5057483067593826E-5</v>
      </c>
      <c r="CD6" s="88">
        <f ca="1">_xll.meMathBlackScholesGamma($C$9,$BS6,$C$11,$C$12,CD$4,$C$14,$C$15)</f>
        <v>5.5537846444839337E-5</v>
      </c>
      <c r="CF6" s="40">
        <f t="shared" si="28"/>
        <v>1.4500000000000004</v>
      </c>
      <c r="CG6" s="45">
        <f t="shared" si="29"/>
        <v>145.00000000000003</v>
      </c>
      <c r="CH6" s="85">
        <f ca="1">_xll.meMathBlackScholesVega($C$9,$CG6,$C$11,$C$12,CH$4,$C$14,$C$15)</f>
        <v>2.8632619572739985E-5</v>
      </c>
      <c r="CI6" s="86">
        <f ca="1">_xll.meMathBlackScholesVega($C$9,$CG6,$C$11,$C$12,CI$4,$C$14,$C$15)</f>
        <v>5.253613358347724E-5</v>
      </c>
      <c r="CJ6" s="86">
        <f ca="1">_xll.meMathBlackScholesVega($C$9,$CG6,$C$11,$C$12,CJ$4,$C$14,$C$15)</f>
        <v>8.991120814363453E-5</v>
      </c>
      <c r="CK6" s="86">
        <f ca="1">_xll.meMathBlackScholesVega($C$9,$CG6,$C$11,$C$12,CK$4,$C$14,$C$15)</f>
        <v>1.4518576694388596E-4</v>
      </c>
      <c r="CL6" s="86">
        <f ca="1">_xll.meMathBlackScholesVega($C$9,$CG6,$C$11,$C$12,CL$4,$C$14,$C$15)</f>
        <v>2.2322223933739227E-4</v>
      </c>
      <c r="CM6" s="87">
        <f ca="1">_xll.meMathBlackScholesVega($C$9,$CG6,$C$11,$C$12,CM$4,$C$14,$C$15)</f>
        <v>3.2916739577112638E-4</v>
      </c>
      <c r="CN6" s="86">
        <f ca="1">_xll.meMathBlackScholesVega($C$9,$CG6,$C$11,$C$12,CN$4,$C$14,$C$15)</f>
        <v>4.6830137128375777E-4</v>
      </c>
      <c r="CO6" s="86">
        <f ca="1">_xll.meMathBlackScholesVega($C$9,$CG6,$C$11,$C$12,CO$4,$C$14,$C$15)</f>
        <v>6.4589670257738253E-4</v>
      </c>
      <c r="CP6" s="86">
        <f ca="1">_xll.meMathBlackScholesVega($C$9,$CG6,$C$11,$C$12,CP$4,$C$14,$C$15)</f>
        <v>8.6709434125769713E-4</v>
      </c>
      <c r="CQ6" s="86">
        <f ca="1">_xll.meMathBlackScholesVega($C$9,$CG6,$C$11,$C$12,CQ$4,$C$14,$C$15)</f>
        <v>1.136800297795393E-3</v>
      </c>
      <c r="CR6" s="88">
        <f ca="1">_xll.meMathBlackScholesVega($C$9,$CG6,$C$11,$C$12,CR$4,$C$14,$C$15)</f>
        <v>1.4596040268784344E-3</v>
      </c>
      <c r="CT6" s="40">
        <f t="shared" si="30"/>
        <v>1.4500000000000004</v>
      </c>
      <c r="CU6" s="45">
        <f t="shared" si="31"/>
        <v>145.00000000000003</v>
      </c>
      <c r="CV6" s="85">
        <f ca="1">_xll.meMathBlackScholesTheta($C$9,$CU6,$C$11,$C$12,CV$4,$C$14,$C$15)</f>
        <v>-2.7178964109682529E-3</v>
      </c>
      <c r="CW6" s="86">
        <f ca="1">_xll.meMathBlackScholesTheta($C$9,$CU6,$C$11,$C$12,CW$4,$C$14,$C$15)</f>
        <v>-2.7168979149912514E-3</v>
      </c>
      <c r="CX6" s="86">
        <f ca="1">_xll.meMathBlackScholesTheta($C$9,$CU6,$C$11,$C$12,CX$4,$C$14,$C$15)</f>
        <v>-2.7160635840915276E-3</v>
      </c>
      <c r="CY6" s="86">
        <f ca="1">_xll.meMathBlackScholesTheta($C$9,$CU6,$C$11,$C$12,CY$4,$C$14,$C$15)</f>
        <v>-2.715429030228117E-3</v>
      </c>
      <c r="CZ6" s="86">
        <f ca="1">_xll.meMathBlackScholesTheta($C$9,$CU6,$C$11,$C$12,CZ$4,$C$14,$C$15)</f>
        <v>-2.7150277462885198E-3</v>
      </c>
      <c r="DA6" s="87">
        <f ca="1">_xll.meMathBlackScholesTheta($C$9,$CU6,$C$11,$C$12,DA$4,$C$14,$C$15)</f>
        <v>-2.714889621464823E-3</v>
      </c>
      <c r="DB6" s="86">
        <f ca="1">_xll.meMathBlackScholesTheta($C$9,$CU6,$C$11,$C$12,DB$4,$C$14,$C$15)</f>
        <v>-2.7150398990174107E-3</v>
      </c>
      <c r="DC6" s="86">
        <f ca="1">_xll.meMathBlackScholesTheta($C$9,$CU6,$C$11,$C$12,DC$4,$C$14,$C$15)</f>
        <v>-2.7154985626197631E-3</v>
      </c>
      <c r="DD6" s="86">
        <f ca="1">_xll.meMathBlackScholesTheta($C$9,$CU6,$C$11,$C$12,DD$4,$C$14,$C$15)</f>
        <v>-2.7162800965669369E-3</v>
      </c>
      <c r="DE6" s="86">
        <f ca="1">_xll.meMathBlackScholesTheta($C$9,$CU6,$C$11,$C$12,DE$4,$C$14,$C$15)</f>
        <v>-2.717393546480304E-3</v>
      </c>
      <c r="DF6" s="88">
        <f ca="1">_xll.meMathBlackScholesTheta($C$9,$CU6,$C$11,$C$12,DF$4,$C$14,$C$15)</f>
        <v>-2.7188428038323925E-3</v>
      </c>
      <c r="DH6" s="40">
        <f t="shared" si="32"/>
        <v>1.4500000000000004</v>
      </c>
      <c r="DI6" s="45">
        <f t="shared" si="33"/>
        <v>145.00000000000003</v>
      </c>
      <c r="DJ6" s="85">
        <f ca="1">_xll.meMathBlackScholesRho($C$9,$DI6,$C$11,$C$12,DJ$4,$C$14,$C$15)</f>
        <v>0.74439058498175181</v>
      </c>
      <c r="DK6" s="86">
        <f ca="1">_xll.meMathBlackScholesRho($C$9,$DI6,$C$11,$C$12,DK$4,$C$14,$C$15)</f>
        <v>0.79361489009252617</v>
      </c>
      <c r="DL6" s="86">
        <f ca="1">_xll.meMathBlackScholesRho($C$9,$DI6,$C$11,$C$12,DL$4,$C$14,$C$15)</f>
        <v>0.8427863344352976</v>
      </c>
      <c r="DM6" s="86">
        <f ca="1">_xll.meMathBlackScholesRho($C$9,$DI6,$C$11,$C$12,DM$4,$C$14,$C$15)</f>
        <v>0.89190347912701806</v>
      </c>
      <c r="DN6" s="86">
        <f ca="1">_xll.meMathBlackScholesRho($C$9,$DI6,$C$11,$C$12,DN$4,$C$14,$C$15)</f>
        <v>0.94096457891860086</v>
      </c>
      <c r="DO6" s="87">
        <f ca="1">_xll.meMathBlackScholesRho($C$9,$DI6,$C$11,$C$12,DO$4,$C$14,$C$15)</f>
        <v>0.98996759726117101</v>
      </c>
      <c r="DP6" s="86">
        <f ca="1">_xll.meMathBlackScholesRho($C$9,$DI6,$C$11,$C$12,DP$4,$C$14,$C$15)</f>
        <v>1.038910232415496</v>
      </c>
      <c r="DQ6" s="86">
        <f ca="1">_xll.meMathBlackScholesRho($C$9,$DI6,$C$11,$C$12,DQ$4,$C$14,$C$15)</f>
        <v>1.0877899514836684</v>
      </c>
      <c r="DR6" s="86">
        <f ca="1">_xll.meMathBlackScholesRho($C$9,$DI6,$C$11,$C$12,DR$4,$C$14,$C$15)</f>
        <v>1.1366040293554465</v>
      </c>
      <c r="DS6" s="86">
        <f ca="1">_xll.meMathBlackScholesRho($C$9,$DI6,$C$11,$C$12,DS$4,$C$14,$C$15)</f>
        <v>1.1853495899333404</v>
      </c>
      <c r="DT6" s="88">
        <f ca="1">_xll.meMathBlackScholesRho($C$9,$DI6,$C$11,$C$12,DT$4,$C$14,$C$15)</f>
        <v>1.2340236474903348</v>
      </c>
    </row>
    <row r="7" spans="2:124" x14ac:dyDescent="0.25">
      <c r="N7" s="40">
        <f t="shared" si="8"/>
        <v>1.4000000000000004</v>
      </c>
      <c r="O7" s="45">
        <f t="shared" si="9"/>
        <v>140.00000000000003</v>
      </c>
      <c r="P7" s="43">
        <f t="shared" ca="1" si="34"/>
        <v>1.5270169348390882E-4</v>
      </c>
      <c r="Q7" s="44">
        <f t="shared" ca="1" si="10"/>
        <v>2.5262754622349033E-4</v>
      </c>
      <c r="R7" s="44">
        <f t="shared" ca="1" si="11"/>
        <v>3.946078201445876E-4</v>
      </c>
      <c r="S7" s="44">
        <f t="shared" ca="1" si="12"/>
        <v>5.8750695962987351E-4</v>
      </c>
      <c r="T7" s="44">
        <f t="shared" ca="1" si="13"/>
        <v>8.3999254897033351E-4</v>
      </c>
      <c r="U7" s="55">
        <f t="shared" ca="1" si="14"/>
        <v>1.1602695242521489E-3</v>
      </c>
      <c r="V7" s="44">
        <f t="shared" ca="1" si="15"/>
        <v>1.5558795586153962E-3</v>
      </c>
      <c r="W7" s="44">
        <f t="shared" ca="1" si="16"/>
        <v>2.0335632192814003E-3</v>
      </c>
      <c r="X7" s="44">
        <f t="shared" ca="1" si="17"/>
        <v>2.5991777406139923E-3</v>
      </c>
      <c r="Y7" s="44">
        <f t="shared" ca="1" si="18"/>
        <v>3.2576611149727308E-3</v>
      </c>
      <c r="Z7" s="45">
        <f t="shared" ca="1" si="19"/>
        <v>4.0130327910147751E-3</v>
      </c>
      <c r="AB7" s="40">
        <f t="shared" si="20"/>
        <v>1.4000000000000004</v>
      </c>
      <c r="AC7" s="45">
        <f t="shared" si="21"/>
        <v>140.00000000000003</v>
      </c>
      <c r="AD7" s="85">
        <f ca="1">_xll.meMathBlackScholesPrice($C$9,$AC7,$C$11,$C$12,AD$4,$C$14,$C$15)</f>
        <v>40.747277054648578</v>
      </c>
      <c r="AE7" s="86">
        <f ca="1">_xll.meMathBlackScholesPrice($C$9,$AC7,$C$11,$C$12,AE$4,$C$14,$C$15)</f>
        <v>40.796952501452466</v>
      </c>
      <c r="AF7" s="86">
        <f ca="1">_xll.meMathBlackScholesPrice($C$9,$AC7,$C$11,$C$12,AF$4,$C$14,$C$15)</f>
        <v>40.846633990099278</v>
      </c>
      <c r="AG7" s="86">
        <f ca="1">_xll.meMathBlackScholesPrice($C$9,$AC7,$C$11,$C$12,AG$4,$C$14,$C$15)</f>
        <v>40.896330471645925</v>
      </c>
      <c r="AH7" s="86">
        <f ca="1">_xll.meMathBlackScholesPrice($C$9,$AC7,$C$11,$C$12,AH$4,$C$14,$C$15)</f>
        <v>40.946051609709471</v>
      </c>
      <c r="AI7" s="87">
        <f ca="1">_xll.meMathBlackScholesPrice($C$9,$AC7,$C$11,$C$12,AI$4,$C$14,$C$15)</f>
        <v>40.995807531314369</v>
      </c>
      <c r="AJ7" s="86">
        <f ca="1">_xll.meMathBlackScholesPrice($C$9,$AC7,$C$11,$C$12,AJ$4,$C$14,$C$15)</f>
        <v>41.04560858607384</v>
      </c>
      <c r="AK7" s="86">
        <f ca="1">_xll.meMathBlackScholesPrice($C$9,$AC7,$C$11,$C$12,AK$4,$C$14,$C$15)</f>
        <v>41.09546512631141</v>
      </c>
      <c r="AL7" s="86">
        <f ca="1">_xll.meMathBlackScholesPrice($C$9,$AC7,$C$11,$C$12,AL$4,$C$14,$C$15)</f>
        <v>41.145387315485209</v>
      </c>
      <c r="AM7" s="86">
        <f ca="1">_xll.meMathBlackScholesPrice($C$9,$AC7,$C$11,$C$12,AM$4,$C$14,$C$15)</f>
        <v>41.195384968176739</v>
      </c>
      <c r="AN7" s="88">
        <f ca="1">_xll.meMathBlackScholesPrice($C$9,$AC7,$C$11,$C$12,AN$4,$C$14,$C$15)</f>
        <v>41.245467421951801</v>
      </c>
      <c r="AP7" s="40">
        <f t="shared" si="22"/>
        <v>1.4000000000000004</v>
      </c>
      <c r="AQ7" s="45">
        <f t="shared" si="23"/>
        <v>140.00000000000003</v>
      </c>
      <c r="AR7" s="71">
        <f ca="1">_xll.meMathBlackScholesDeltaSpot($C$9,$AQ7,$C$11,$C$12,AR$4,$C$14,$C$15)</f>
        <v>0.99997029606806864</v>
      </c>
      <c r="AS7" s="72">
        <f ca="1">_xll.meMathBlackScholesDeltaSpot($C$9,$AQ7,$C$11,$C$12,AS$4,$C$14,$C$15)</f>
        <v>0.99995111048223762</v>
      </c>
      <c r="AT7" s="72">
        <f ca="1">_xll.meMathBlackScholesDeltaSpot($C$9,$AQ7,$C$11,$C$12,AT$4,$C$14,$C$15)</f>
        <v>0.99992402080809384</v>
      </c>
      <c r="AU7" s="72">
        <f ca="1">_xll.meMathBlackScholesDeltaSpot($C$9,$AQ7,$C$11,$C$12,AU$4,$C$14,$C$15)</f>
        <v>0.99988744523010076</v>
      </c>
      <c r="AV7" s="72">
        <f ca="1">_xll.meMathBlackScholesDeltaSpot($C$9,$AQ7,$C$11,$C$12,AV$4,$C$14,$C$15)</f>
        <v>0.99983986905621214</v>
      </c>
      <c r="AW7" s="73">
        <f ca="1">_xll.meMathBlackScholesDeltaSpot($C$9,$AQ7,$C$11,$C$12,AW$4,$C$14,$C$15)</f>
        <v>0.99977989302522097</v>
      </c>
      <c r="AX7" s="72">
        <f ca="1">_xll.meMathBlackScholesDeltaSpot($C$9,$AQ7,$C$11,$C$12,AX$4,$C$14,$C$15)</f>
        <v>0.9997062679761145</v>
      </c>
      <c r="AY7" s="72">
        <f ca="1">_xll.meMathBlackScholesDeltaSpot($C$9,$AQ7,$C$11,$C$12,AY$4,$C$14,$C$15)</f>
        <v>0.99961791681411738</v>
      </c>
      <c r="AZ7" s="72">
        <f ca="1">_xll.meMathBlackScholesDeltaSpot($C$9,$AQ7,$C$11,$C$12,AZ$4,$C$14,$C$15)</f>
        <v>0.99951394554750994</v>
      </c>
      <c r="BA7" s="72">
        <f ca="1">_xll.meMathBlackScholesDeltaSpot($C$9,$AQ7,$C$11,$C$12,BA$4,$C$14,$C$15)</f>
        <v>0.99939364548979626</v>
      </c>
      <c r="BB7" s="74">
        <f ca="1">_xll.meMathBlackScholesDeltaSpot($C$9,$AQ7,$C$11,$C$12,BB$4,$C$14,$C$15)</f>
        <v>0.99925648871140338</v>
      </c>
      <c r="BD7" s="40">
        <f t="shared" si="24"/>
        <v>1.4000000000000004</v>
      </c>
      <c r="BE7" s="45">
        <f t="shared" si="25"/>
        <v>140.00000000000003</v>
      </c>
      <c r="BF7" s="71">
        <f ca="1">_xll.meMathBlackScholesDeltaForward($C$9,$BE7,$C$11,$C$12,BF$4,$C$14,$C$15)</f>
        <v>0.99997029606806864</v>
      </c>
      <c r="BG7" s="72">
        <f ca="1">_xll.meMathBlackScholesDeltaForward($C$9,$BE7,$C$11,$C$12,BG$4,$C$14,$C$15)</f>
        <v>0.99995111048223762</v>
      </c>
      <c r="BH7" s="72">
        <f ca="1">_xll.meMathBlackScholesDeltaForward($C$9,$BE7,$C$11,$C$12,BH$4,$C$14,$C$15)</f>
        <v>0.99992402080809384</v>
      </c>
      <c r="BI7" s="72">
        <f ca="1">_xll.meMathBlackScholesDeltaForward($C$9,$BE7,$C$11,$C$12,BI$4,$C$14,$C$15)</f>
        <v>0.99988744523010076</v>
      </c>
      <c r="BJ7" s="72">
        <f ca="1">_xll.meMathBlackScholesDeltaForward($C$9,$BE7,$C$11,$C$12,BJ$4,$C$14,$C$15)</f>
        <v>0.99983986905621214</v>
      </c>
      <c r="BK7" s="73">
        <f ca="1">_xll.meMathBlackScholesDeltaForward($C$9,$BE7,$C$11,$C$12,BK$4,$C$14,$C$15)</f>
        <v>0.99977989302522097</v>
      </c>
      <c r="BL7" s="72">
        <f ca="1">_xll.meMathBlackScholesDeltaForward($C$9,$BE7,$C$11,$C$12,BL$4,$C$14,$C$15)</f>
        <v>0.9997062679761145</v>
      </c>
      <c r="BM7" s="72">
        <f ca="1">_xll.meMathBlackScholesDeltaForward($C$9,$BE7,$C$11,$C$12,BM$4,$C$14,$C$15)</f>
        <v>0.99961791681411738</v>
      </c>
      <c r="BN7" s="72">
        <f ca="1">_xll.meMathBlackScholesDeltaForward($C$9,$BE7,$C$11,$C$12,BN$4,$C$14,$C$15)</f>
        <v>0.99951394554750994</v>
      </c>
      <c r="BO7" s="72">
        <f ca="1">_xll.meMathBlackScholesDeltaForward($C$9,$BE7,$C$11,$C$12,BO$4,$C$14,$C$15)</f>
        <v>0.99939364548979626</v>
      </c>
      <c r="BP7" s="74">
        <f ca="1">_xll.meMathBlackScholesDeltaForward($C$9,$BE7,$C$11,$C$12,BP$4,$C$14,$C$15)</f>
        <v>0.99925648871140338</v>
      </c>
      <c r="BR7" s="40">
        <f t="shared" si="26"/>
        <v>1.4000000000000004</v>
      </c>
      <c r="BS7" s="45">
        <f t="shared" si="27"/>
        <v>140.00000000000003</v>
      </c>
      <c r="BT7" s="85">
        <f ca="1">_xll.meMathBlackScholesGamma($C$9,$BS7,$C$11,$C$12,BT$4,$C$14,$C$15)</f>
        <v>1.038787030502781E-5</v>
      </c>
      <c r="BU7" s="86">
        <f ca="1">_xll.meMathBlackScholesGamma($C$9,$BS7,$C$11,$C$12,BU$4,$C$14,$C$15)</f>
        <v>1.6111450652008307E-5</v>
      </c>
      <c r="BV7" s="86">
        <f ca="1">_xll.meMathBlackScholesGamma($C$9,$BS7,$C$11,$C$12,BV$4,$C$14,$C$15)</f>
        <v>2.368594358610969E-5</v>
      </c>
      <c r="BW7" s="86">
        <f ca="1">_xll.meMathBlackScholesGamma($C$9,$BS7,$C$11,$C$12,BW$4,$C$14,$C$15)</f>
        <v>3.3305383198972412E-5</v>
      </c>
      <c r="BX7" s="86">
        <f ca="1">_xll.meMathBlackScholesGamma($C$9,$BS7,$C$11,$C$12,BX$4,$C$14,$C$15)</f>
        <v>4.5112381792176864E-5</v>
      </c>
      <c r="BY7" s="87">
        <f ca="1">_xll.meMathBlackScholesGamma($C$9,$BS7,$C$11,$C$12,BY$4,$C$14,$C$15)</f>
        <v>5.9197424706742257E-5</v>
      </c>
      <c r="BZ7" s="86">
        <f ca="1">_xll.meMathBlackScholesGamma($C$9,$BS7,$C$11,$C$12,BZ$4,$C$14,$C$15)</f>
        <v>7.5601533460417642E-5</v>
      </c>
      <c r="CA7" s="86">
        <f ca="1">_xll.meMathBlackScholesGamma($C$9,$BS7,$C$11,$C$12,CA$4,$C$14,$C$15)</f>
        <v>9.4321114066855239E-5</v>
      </c>
      <c r="CB7" s="86">
        <f ca="1">_xll.meMathBlackScholesGamma($C$9,$BS7,$C$11,$C$12,CB$4,$C$14,$C$15)</f>
        <v>1.1531400801304307E-4</v>
      </c>
      <c r="CC7" s="86">
        <f ca="1">_xll.meMathBlackScholesGamma($C$9,$BS7,$C$11,$C$12,CC$4,$C$14,$C$15)</f>
        <v>1.3850599978625547E-4</v>
      </c>
      <c r="CD7" s="88">
        <f ca="1">_xll.meMathBlackScholesGamma($C$9,$BS7,$C$11,$C$12,CD$4,$C$14,$C$15)</f>
        <v>1.6379725677611321E-4</v>
      </c>
      <c r="CF7" s="40">
        <f t="shared" si="28"/>
        <v>1.4000000000000004</v>
      </c>
      <c r="CG7" s="45">
        <f t="shared" si="29"/>
        <v>140.00000000000003</v>
      </c>
      <c r="CH7" s="85">
        <f ca="1">_xll.meMathBlackScholesVega($C$9,$CG7,$C$11,$C$12,CH$4,$C$14,$C$15)</f>
        <v>1.5270169348390882E-4</v>
      </c>
      <c r="CI7" s="86">
        <f ca="1">_xll.meMathBlackScholesVega($C$9,$CG7,$C$11,$C$12,CI$4,$C$14,$C$15)</f>
        <v>2.5262754622349033E-4</v>
      </c>
      <c r="CJ7" s="86">
        <f ca="1">_xll.meMathBlackScholesVega($C$9,$CG7,$C$11,$C$12,CJ$4,$C$14,$C$15)</f>
        <v>3.946078201445876E-4</v>
      </c>
      <c r="CK7" s="86">
        <f ca="1">_xll.meMathBlackScholesVega($C$9,$CG7,$C$11,$C$12,CK$4,$C$14,$C$15)</f>
        <v>5.8750695962987351E-4</v>
      </c>
      <c r="CL7" s="86">
        <f ca="1">_xll.meMathBlackScholesVega($C$9,$CG7,$C$11,$C$12,CL$4,$C$14,$C$15)</f>
        <v>8.3999254897033351E-4</v>
      </c>
      <c r="CM7" s="87">
        <f ca="1">_xll.meMathBlackScholesVega($C$9,$CG7,$C$11,$C$12,CM$4,$C$14,$C$15)</f>
        <v>1.1602695242521489E-3</v>
      </c>
      <c r="CN7" s="86">
        <f ca="1">_xll.meMathBlackScholesVega($C$9,$CG7,$C$11,$C$12,CN$4,$C$14,$C$15)</f>
        <v>1.5558795586153962E-3</v>
      </c>
      <c r="CO7" s="86">
        <f ca="1">_xll.meMathBlackScholesVega($C$9,$CG7,$C$11,$C$12,CO$4,$C$14,$C$15)</f>
        <v>2.0335632192814003E-3</v>
      </c>
      <c r="CP7" s="86">
        <f ca="1">_xll.meMathBlackScholesVega($C$9,$CG7,$C$11,$C$12,CP$4,$C$14,$C$15)</f>
        <v>2.5991777406139923E-3</v>
      </c>
      <c r="CQ7" s="86">
        <f ca="1">_xll.meMathBlackScholesVega($C$9,$CG7,$C$11,$C$12,CQ$4,$C$14,$C$15)</f>
        <v>3.2576611149727308E-3</v>
      </c>
      <c r="CR7" s="88">
        <f ca="1">_xll.meMathBlackScholesVega($C$9,$CG7,$C$11,$C$12,CR$4,$C$14,$C$15)</f>
        <v>4.0130327910147751E-3</v>
      </c>
      <c r="CT7" s="40">
        <f t="shared" si="30"/>
        <v>1.4000000000000004</v>
      </c>
      <c r="CU7" s="45">
        <f t="shared" si="31"/>
        <v>140.00000000000003</v>
      </c>
      <c r="CV7" s="85">
        <f ca="1">_xll.meMathBlackScholesTheta($C$9,$CU7,$C$11,$C$12,CV$4,$C$14,$C$15)</f>
        <v>-2.7200647645139043E-3</v>
      </c>
      <c r="CW7" s="86">
        <f ca="1">_xll.meMathBlackScholesTheta($C$9,$CU7,$C$11,$C$12,CW$4,$C$14,$C$15)</f>
        <v>-2.7201668770006986E-3</v>
      </c>
      <c r="CX7" s="86">
        <f ca="1">_xll.meMathBlackScholesTheta($C$9,$CU7,$C$11,$C$12,CX$4,$C$14,$C$15)</f>
        <v>-2.7207351449740659E-3</v>
      </c>
      <c r="CY7" s="86">
        <f ca="1">_xll.meMathBlackScholesTheta($C$9,$CU7,$C$11,$C$12,CY$4,$C$14,$C$15)</f>
        <v>-2.7218153214488201E-3</v>
      </c>
      <c r="CZ7" s="86">
        <f ca="1">_xll.meMathBlackScholesTheta($C$9,$CU7,$C$11,$C$12,CZ$4,$C$14,$C$15)</f>
        <v>-2.7234396002662172E-3</v>
      </c>
      <c r="DA7" s="87">
        <f ca="1">_xll.meMathBlackScholesTheta($C$9,$CU7,$C$11,$C$12,DA$4,$C$14,$C$15)</f>
        <v>-2.7256266188731737E-3</v>
      </c>
      <c r="DB7" s="86">
        <f ca="1">_xll.meMathBlackScholesTheta($C$9,$CU7,$C$11,$C$12,DB$4,$C$14,$C$15)</f>
        <v>-2.7283823123475512E-3</v>
      </c>
      <c r="DC7" s="86">
        <f ca="1">_xll.meMathBlackScholesTheta($C$9,$CU7,$C$11,$C$12,DC$4,$C$14,$C$15)</f>
        <v>-2.7317013044632511E-3</v>
      </c>
      <c r="DD7" s="86">
        <f ca="1">_xll.meMathBlackScholesTheta($C$9,$CU7,$C$11,$C$12,DD$4,$C$14,$C$15)</f>
        <v>-2.7355685787732796E-3</v>
      </c>
      <c r="DE7" s="86">
        <f ca="1">_xll.meMathBlackScholesTheta($C$9,$CU7,$C$11,$C$12,DE$4,$C$14,$C$15)</f>
        <v>-2.7399612374620144E-3</v>
      </c>
      <c r="DF7" s="88">
        <f ca="1">_xll.meMathBlackScholesTheta($C$9,$CU7,$C$11,$C$12,DF$4,$C$14,$C$15)</f>
        <v>-2.7448502153059719E-3</v>
      </c>
      <c r="DH7" s="40">
        <f t="shared" si="32"/>
        <v>1.4000000000000004</v>
      </c>
      <c r="DI7" s="45">
        <f t="shared" si="33"/>
        <v>140.00000000000003</v>
      </c>
      <c r="DJ7" s="85">
        <f ca="1">_xll.meMathBlackScholesRho($C$9,$DI7,$C$11,$C$12,DJ$4,$C$14,$C$15)</f>
        <v>0.74436423296160781</v>
      </c>
      <c r="DK7" s="86">
        <f ca="1">_xll.meMathBlackScholesRho($C$9,$DI7,$C$11,$C$12,DK$4,$C$14,$C$15)</f>
        <v>0.79356962372848672</v>
      </c>
      <c r="DL7" s="86">
        <f ca="1">_xll.meMathBlackScholesRho($C$9,$DI7,$C$11,$C$12,DL$4,$C$14,$C$15)</f>
        <v>0.84271319584578785</v>
      </c>
      <c r="DM7" s="86">
        <f ca="1">_xll.meMathBlackScholesRho($C$9,$DI7,$C$11,$C$12,DM$4,$C$14,$C$15)</f>
        <v>0.89179120674511381</v>
      </c>
      <c r="DN7" s="86">
        <f ca="1">_xll.meMathBlackScholesRho($C$9,$DI7,$C$11,$C$12,DN$4,$C$14,$C$15)</f>
        <v>0.94079953555252227</v>
      </c>
      <c r="DO7" s="87">
        <f ca="1">_xll.meMathBlackScholesRho($C$9,$DI7,$C$11,$C$12,DO$4,$C$14,$C$15)</f>
        <v>0.98973377492216585</v>
      </c>
      <c r="DP7" s="86">
        <f ca="1">_xll.meMathBlackScholesRho($C$9,$DI7,$C$11,$C$12,DP$4,$C$14,$C$15)</f>
        <v>1.0385893237711132</v>
      </c>
      <c r="DQ7" s="86">
        <f ca="1">_xll.meMathBlackScholesRho($C$9,$DI7,$C$11,$C$12,DQ$4,$C$14,$C$15)</f>
        <v>1.0873614755043159</v>
      </c>
      <c r="DR7" s="86">
        <f ca="1">_xll.meMathBlackScholesRho($C$9,$DI7,$C$11,$C$12,DR$4,$C$14,$C$15)</f>
        <v>1.1360454982034116</v>
      </c>
      <c r="DS7" s="86">
        <f ca="1">_xll.meMathBlackScholesRho($C$9,$DI7,$C$11,$C$12,DS$4,$C$14,$C$15)</f>
        <v>1.1846367048047375</v>
      </c>
      <c r="DT7" s="88">
        <f ca="1">_xll.meMathBlackScholesRho($C$9,$DI7,$C$11,$C$12,DT$4,$C$14,$C$15)</f>
        <v>1.2331305124705592</v>
      </c>
    </row>
    <row r="8" spans="2:124" x14ac:dyDescent="0.25">
      <c r="B8" s="35" t="s">
        <v>37</v>
      </c>
      <c r="N8" s="40">
        <f t="shared" si="8"/>
        <v>1.3500000000000003</v>
      </c>
      <c r="O8" s="45">
        <f t="shared" si="9"/>
        <v>135.00000000000003</v>
      </c>
      <c r="P8" s="43">
        <f t="shared" ca="1" si="34"/>
        <v>7.2782218354493472E-4</v>
      </c>
      <c r="Q8" s="44">
        <f t="shared" ca="1" si="10"/>
        <v>1.0933755800638294E-3</v>
      </c>
      <c r="R8" s="44">
        <f t="shared" ca="1" si="11"/>
        <v>1.5685203080405446E-3</v>
      </c>
      <c r="S8" s="44">
        <f t="shared" ca="1" si="12"/>
        <v>2.1651121661498641E-3</v>
      </c>
      <c r="T8" s="44">
        <f t="shared" ca="1" si="13"/>
        <v>2.8929730253586306E-3</v>
      </c>
      <c r="U8" s="55">
        <f t="shared" ca="1" si="14"/>
        <v>3.7598389688948946E-3</v>
      </c>
      <c r="V8" s="44">
        <f t="shared" ca="1" si="15"/>
        <v>4.7714195932260671E-3</v>
      </c>
      <c r="W8" s="44">
        <f t="shared" ca="1" si="16"/>
        <v>5.9315314239828535E-3</v>
      </c>
      <c r="X8" s="44">
        <f t="shared" ca="1" si="17"/>
        <v>7.2422756125692968E-3</v>
      </c>
      <c r="Y8" s="44">
        <f t="shared" ca="1" si="18"/>
        <v>8.7042373679435334E-3</v>
      </c>
      <c r="Z8" s="45">
        <f t="shared" ca="1" si="19"/>
        <v>1.0316690997063539E-2</v>
      </c>
      <c r="AB8" s="40">
        <f t="shared" si="20"/>
        <v>1.3500000000000003</v>
      </c>
      <c r="AC8" s="45">
        <f t="shared" si="21"/>
        <v>135.00000000000003</v>
      </c>
      <c r="AD8" s="85">
        <f ca="1">_xll.meMathBlackScholesPrice($C$9,$AC8,$C$11,$C$12,AD$4,$C$14,$C$15)</f>
        <v>35.747670412762034</v>
      </c>
      <c r="AE8" s="86">
        <f ca="1">_xll.meMathBlackScholesPrice($C$9,$AC8,$C$11,$C$12,AE$4,$C$14,$C$15)</f>
        <v>35.797561032003586</v>
      </c>
      <c r="AF8" s="86">
        <f ca="1">_xll.meMathBlackScholesPrice($C$9,$AC8,$C$11,$C$12,AF$4,$C$14,$C$15)</f>
        <v>35.847529869286859</v>
      </c>
      <c r="AG8" s="86">
        <f ca="1">_xll.meMathBlackScholesPrice($C$9,$AC8,$C$11,$C$12,AG$4,$C$14,$C$15)</f>
        <v>35.897595793937938</v>
      </c>
      <c r="AH8" s="86">
        <f ca="1">_xll.meMathBlackScholesPrice($C$9,$AC8,$C$11,$C$12,AH$4,$C$14,$C$15)</f>
        <v>35.947777134375457</v>
      </c>
      <c r="AI8" s="87">
        <f ca="1">_xll.meMathBlackScholesPrice($C$9,$AC8,$C$11,$C$12,AI$4,$C$14,$C$15)</f>
        <v>35.998091261744278</v>
      </c>
      <c r="AJ8" s="86">
        <f ca="1">_xll.meMathBlackScholesPrice($C$9,$AC8,$C$11,$C$12,AJ$4,$C$14,$C$15)</f>
        <v>36.048554284095587</v>
      </c>
      <c r="AK8" s="86">
        <f ca="1">_xll.meMathBlackScholesPrice($C$9,$AC8,$C$11,$C$12,AK$4,$C$14,$C$15)</f>
        <v>36.09918084013168</v>
      </c>
      <c r="AL8" s="86">
        <f ca="1">_xll.meMathBlackScholesPrice($C$9,$AC8,$C$11,$C$12,AL$4,$C$14,$C$15)</f>
        <v>36.149983977611015</v>
      </c>
      <c r="AM8" s="86">
        <f ca="1">_xll.meMathBlackScholesPrice($C$9,$AC8,$C$11,$C$12,AM$4,$C$14,$C$15)</f>
        <v>36.200975100548249</v>
      </c>
      <c r="AN8" s="88">
        <f ca="1">_xll.meMathBlackScholesPrice($C$9,$AC8,$C$11,$C$12,AN$4,$C$14,$C$15)</f>
        <v>36.252163970124329</v>
      </c>
      <c r="AP8" s="40">
        <f t="shared" si="22"/>
        <v>1.3500000000000003</v>
      </c>
      <c r="AQ8" s="45">
        <f t="shared" si="23"/>
        <v>135.00000000000003</v>
      </c>
      <c r="AR8" s="71">
        <f ca="1">_xll.meMathBlackScholesDeltaSpot($C$9,$AQ8,$C$11,$C$12,AR$4,$C$14,$C$15)</f>
        <v>0.99983793695817214</v>
      </c>
      <c r="AS8" s="72">
        <f ca="1">_xll.meMathBlackScholesDeltaSpot($C$9,$AQ8,$C$11,$C$12,AS$4,$C$14,$C$15)</f>
        <v>0.99975797900363683</v>
      </c>
      <c r="AT8" s="72">
        <f ca="1">_xll.meMathBlackScholesDeltaSpot($C$9,$AQ8,$C$11,$C$12,AT$4,$C$14,$C$15)</f>
        <v>0.99965482667842598</v>
      </c>
      <c r="AU8" s="72">
        <f ca="1">_xll.meMathBlackScholesDeltaSpot($C$9,$AQ8,$C$11,$C$12,AU$4,$C$14,$C$15)</f>
        <v>0.99952627336039468</v>
      </c>
      <c r="AV8" s="72">
        <f ca="1">_xll.meMathBlackScholesDeltaSpot($C$9,$AQ8,$C$11,$C$12,AV$4,$C$14,$C$15)</f>
        <v>0.99937059866926747</v>
      </c>
      <c r="AW8" s="73">
        <f ca="1">_xll.meMathBlackScholesDeltaSpot($C$9,$AQ8,$C$11,$C$12,AW$4,$C$14,$C$15)</f>
        <v>0.99918656546080542</v>
      </c>
      <c r="AX8" s="72">
        <f ca="1">_xll.meMathBlackScholesDeltaSpot($C$9,$AQ8,$C$11,$C$12,AX$4,$C$14,$C$15)</f>
        <v>0.99897339337037139</v>
      </c>
      <c r="AY8" s="72">
        <f ca="1">_xll.meMathBlackScholesDeltaSpot($C$9,$AQ8,$C$11,$C$12,AY$4,$C$14,$C$15)</f>
        <v>0.99873071769158261</v>
      </c>
      <c r="AZ8" s="72">
        <f ca="1">_xll.meMathBlackScholesDeltaSpot($C$9,$AQ8,$C$11,$C$12,AZ$4,$C$14,$C$15)</f>
        <v>0.99845854044075977</v>
      </c>
      <c r="BA8" s="72">
        <f ca="1">_xll.meMathBlackScholesDeltaSpot($C$9,$AQ8,$C$11,$C$12,BA$4,$C$14,$C$15)</f>
        <v>0.99815717861348563</v>
      </c>
      <c r="BB8" s="74">
        <f ca="1">_xll.meMathBlackScholesDeltaSpot($C$9,$AQ8,$C$11,$C$12,BB$4,$C$14,$C$15)</f>
        <v>0.99782721307542943</v>
      </c>
      <c r="BD8" s="40">
        <f t="shared" si="24"/>
        <v>1.3500000000000003</v>
      </c>
      <c r="BE8" s="45">
        <f t="shared" si="25"/>
        <v>135.00000000000003</v>
      </c>
      <c r="BF8" s="71">
        <f ca="1">_xll.meMathBlackScholesDeltaForward($C$9,$BE8,$C$11,$C$12,BF$4,$C$14,$C$15)</f>
        <v>0.99983793695817214</v>
      </c>
      <c r="BG8" s="72">
        <f ca="1">_xll.meMathBlackScholesDeltaForward($C$9,$BE8,$C$11,$C$12,BG$4,$C$14,$C$15)</f>
        <v>0.99975797900363683</v>
      </c>
      <c r="BH8" s="72">
        <f ca="1">_xll.meMathBlackScholesDeltaForward($C$9,$BE8,$C$11,$C$12,BH$4,$C$14,$C$15)</f>
        <v>0.99965482667842598</v>
      </c>
      <c r="BI8" s="72">
        <f ca="1">_xll.meMathBlackScholesDeltaForward($C$9,$BE8,$C$11,$C$12,BI$4,$C$14,$C$15)</f>
        <v>0.99952627336039468</v>
      </c>
      <c r="BJ8" s="72">
        <f ca="1">_xll.meMathBlackScholesDeltaForward($C$9,$BE8,$C$11,$C$12,BJ$4,$C$14,$C$15)</f>
        <v>0.99937059866926747</v>
      </c>
      <c r="BK8" s="73">
        <f ca="1">_xll.meMathBlackScholesDeltaForward($C$9,$BE8,$C$11,$C$12,BK$4,$C$14,$C$15)</f>
        <v>0.99918656546080542</v>
      </c>
      <c r="BL8" s="72">
        <f ca="1">_xll.meMathBlackScholesDeltaForward($C$9,$BE8,$C$11,$C$12,BL$4,$C$14,$C$15)</f>
        <v>0.99897339337037139</v>
      </c>
      <c r="BM8" s="72">
        <f ca="1">_xll.meMathBlackScholesDeltaForward($C$9,$BE8,$C$11,$C$12,BM$4,$C$14,$C$15)</f>
        <v>0.99873071769158261</v>
      </c>
      <c r="BN8" s="72">
        <f ca="1">_xll.meMathBlackScholesDeltaForward($C$9,$BE8,$C$11,$C$12,BN$4,$C$14,$C$15)</f>
        <v>0.99845854044075977</v>
      </c>
      <c r="BO8" s="72">
        <f ca="1">_xll.meMathBlackScholesDeltaForward($C$9,$BE8,$C$11,$C$12,BO$4,$C$14,$C$15)</f>
        <v>0.99815717861348563</v>
      </c>
      <c r="BP8" s="74">
        <f ca="1">_xll.meMathBlackScholesDeltaForward($C$9,$BE8,$C$11,$C$12,BP$4,$C$14,$C$15)</f>
        <v>0.99782721307542943</v>
      </c>
      <c r="BR8" s="40">
        <f t="shared" si="26"/>
        <v>1.3500000000000003</v>
      </c>
      <c r="BS8" s="45">
        <f t="shared" si="27"/>
        <v>135.00000000000003</v>
      </c>
      <c r="BT8" s="85">
        <f ca="1">_xll.meMathBlackScholesGamma($C$9,$BS8,$C$11,$C$12,BT$4,$C$14,$C$15)</f>
        <v>5.3247164776949945E-5</v>
      </c>
      <c r="BU8" s="86">
        <f ca="1">_xll.meMathBlackScholesGamma($C$9,$BS8,$C$11,$C$12,BU$4,$C$14,$C$15)</f>
        <v>7.4991466396696113E-5</v>
      </c>
      <c r="BV8" s="86">
        <f ca="1">_xll.meMathBlackScholesGamma($C$9,$BS8,$C$11,$C$12,BV$4,$C$14,$C$15)</f>
        <v>1.0125201697994315E-4</v>
      </c>
      <c r="BW8" s="86">
        <f ca="1">_xll.meMathBlackScholesGamma($C$9,$BS8,$C$11,$C$12,BW$4,$C$14,$C$15)</f>
        <v>1.3199891273585508E-4</v>
      </c>
      <c r="BX8" s="86">
        <f ca="1">_xll.meMathBlackScholesGamma($C$9,$BS8,$C$11,$C$12,BX$4,$C$14,$C$15)</f>
        <v>1.6709107070153086E-4</v>
      </c>
      <c r="BY8" s="87">
        <f ca="1">_xll.meMathBlackScholesGamma($C$9,$BS8,$C$11,$C$12,BY$4,$C$14,$C$15)</f>
        <v>2.0630117799148932E-4</v>
      </c>
      <c r="BZ8" s="86">
        <f ca="1">_xll.meMathBlackScholesGamma($C$9,$BS8,$C$11,$C$12,BZ$4,$C$14,$C$15)</f>
        <v>2.4933932161348563E-4</v>
      </c>
      <c r="CA8" s="86">
        <f ca="1">_xll.meMathBlackScholesGamma($C$9,$BS8,$C$11,$C$12,CA$4,$C$14,$C$15)</f>
        <v>2.9587387075609678E-4</v>
      </c>
      <c r="CB8" s="86">
        <f ca="1">_xll.meMathBlackScholesGamma($C$9,$BS8,$C$11,$C$12,CB$4,$C$14,$C$15)</f>
        <v>3.4554902427717744E-4</v>
      </c>
      <c r="CC8" s="86">
        <f ca="1">_xll.meMathBlackScholesGamma($C$9,$BS8,$C$11,$C$12,CC$4,$C$14,$C$15)</f>
        <v>3.9799896515516807E-4</v>
      </c>
      <c r="CD8" s="88">
        <f ca="1">_xll.meMathBlackScholesGamma($C$9,$BS8,$C$11,$C$12,CD$4,$C$14,$C$15)</f>
        <v>4.528588640686325E-4</v>
      </c>
      <c r="CF8" s="40">
        <f t="shared" si="28"/>
        <v>1.3500000000000003</v>
      </c>
      <c r="CG8" s="45">
        <f t="shared" si="29"/>
        <v>135.00000000000003</v>
      </c>
      <c r="CH8" s="85">
        <f ca="1">_xll.meMathBlackScholesVega($C$9,$CG8,$C$11,$C$12,CH$4,$C$14,$C$15)</f>
        <v>7.2782218354493472E-4</v>
      </c>
      <c r="CI8" s="86">
        <f ca="1">_xll.meMathBlackScholesVega($C$9,$CG8,$C$11,$C$12,CI$4,$C$14,$C$15)</f>
        <v>1.0933755800638294E-3</v>
      </c>
      <c r="CJ8" s="86">
        <f ca="1">_xll.meMathBlackScholesVega($C$9,$CG8,$C$11,$C$12,CJ$4,$C$14,$C$15)</f>
        <v>1.5685203080405446E-3</v>
      </c>
      <c r="CK8" s="86">
        <f ca="1">_xll.meMathBlackScholesVega($C$9,$CG8,$C$11,$C$12,CK$4,$C$14,$C$15)</f>
        <v>2.1651121661498641E-3</v>
      </c>
      <c r="CL8" s="86">
        <f ca="1">_xll.meMathBlackScholesVega($C$9,$CG8,$C$11,$C$12,CL$4,$C$14,$C$15)</f>
        <v>2.8929730253586306E-3</v>
      </c>
      <c r="CM8" s="87">
        <f ca="1">_xll.meMathBlackScholesVega($C$9,$CG8,$C$11,$C$12,CM$4,$C$14,$C$15)</f>
        <v>3.7598389688948946E-3</v>
      </c>
      <c r="CN8" s="86">
        <f ca="1">_xll.meMathBlackScholesVega($C$9,$CG8,$C$11,$C$12,CN$4,$C$14,$C$15)</f>
        <v>4.7714195932260671E-3</v>
      </c>
      <c r="CO8" s="86">
        <f ca="1">_xll.meMathBlackScholesVega($C$9,$CG8,$C$11,$C$12,CO$4,$C$14,$C$15)</f>
        <v>5.9315314239828535E-3</v>
      </c>
      <c r="CP8" s="86">
        <f ca="1">_xll.meMathBlackScholesVega($C$9,$CG8,$C$11,$C$12,CP$4,$C$14,$C$15)</f>
        <v>7.2422756125692968E-3</v>
      </c>
      <c r="CQ8" s="86">
        <f ca="1">_xll.meMathBlackScholesVega($C$9,$CG8,$C$11,$C$12,CQ$4,$C$14,$C$15)</f>
        <v>8.7042373679435334E-3</v>
      </c>
      <c r="CR8" s="88">
        <f ca="1">_xll.meMathBlackScholesVega($C$9,$CG8,$C$11,$C$12,CR$4,$C$14,$C$15)</f>
        <v>1.0316690997063539E-2</v>
      </c>
      <c r="CT8" s="40">
        <f t="shared" si="30"/>
        <v>1.3500000000000003</v>
      </c>
      <c r="CU8" s="45">
        <f t="shared" si="31"/>
        <v>135.00000000000003</v>
      </c>
      <c r="CV8" s="85">
        <f ca="1">_xll.meMathBlackScholesTheta($C$9,$CU8,$C$11,$C$12,CV$4,$C$14,$C$15)</f>
        <v>-2.7300661427959259E-3</v>
      </c>
      <c r="CW8" s="86">
        <f ca="1">_xll.meMathBlackScholesTheta($C$9,$CU8,$C$11,$C$12,CW$4,$C$14,$C$15)</f>
        <v>-2.7338295926359296E-3</v>
      </c>
      <c r="CX8" s="86">
        <f ca="1">_xll.meMathBlackScholesTheta($C$9,$CU8,$C$11,$C$12,CX$4,$C$14,$C$15)</f>
        <v>-2.7386319161404626E-3</v>
      </c>
      <c r="CY8" s="86">
        <f ca="1">_xll.meMathBlackScholesTheta($C$9,$CU8,$C$11,$C$12,CY$4,$C$14,$C$15)</f>
        <v>-2.7444569802059096E-3</v>
      </c>
      <c r="CZ8" s="86">
        <f ca="1">_xll.meMathBlackScholesTheta($C$9,$CU8,$C$11,$C$12,CZ$4,$C$14,$C$15)</f>
        <v>-2.7512627260162467E-3</v>
      </c>
      <c r="DA8" s="87">
        <f ca="1">_xll.meMathBlackScholesTheta($C$9,$CU8,$C$11,$C$12,DA$4,$C$14,$C$15)</f>
        <v>-2.7589873938374241E-3</v>
      </c>
      <c r="DB8" s="86">
        <f ca="1">_xll.meMathBlackScholesTheta($C$9,$CU8,$C$11,$C$12,DB$4,$C$14,$C$15)</f>
        <v>-2.7675553289283352E-3</v>
      </c>
      <c r="DC8" s="86">
        <f ca="1">_xll.meMathBlackScholesTheta($C$9,$CU8,$C$11,$C$12,DC$4,$C$14,$C$15)</f>
        <v>-2.776882045051251E-3</v>
      </c>
      <c r="DD8" s="86">
        <f ca="1">_xll.meMathBlackScholesTheta($C$9,$CU8,$C$11,$C$12,DD$4,$C$14,$C$15)</f>
        <v>-2.7868784247944522E-3</v>
      </c>
      <c r="DE8" s="86">
        <f ca="1">_xll.meMathBlackScholesTheta($C$9,$CU8,$C$11,$C$12,DE$4,$C$14,$C$15)</f>
        <v>-2.7974540611156421E-3</v>
      </c>
      <c r="DF8" s="88">
        <f ca="1">_xll.meMathBlackScholesTheta($C$9,$CU8,$C$11,$C$12,DF$4,$C$14,$C$15)</f>
        <v>-2.8085198136587023E-3</v>
      </c>
      <c r="DH8" s="40">
        <f t="shared" si="32"/>
        <v>1.3500000000000003</v>
      </c>
      <c r="DI8" s="45">
        <f t="shared" si="33"/>
        <v>135.00000000000003</v>
      </c>
      <c r="DJ8" s="85">
        <f ca="1">_xll.meMathBlackScholesRho($C$9,$DI8,$C$11,$C$12,DJ$4,$C$14,$C$15)</f>
        <v>0.74422838307443417</v>
      </c>
      <c r="DK8" s="86">
        <f ca="1">_xll.meMathBlackScholesRho($C$9,$DI8,$C$11,$C$12,DK$4,$C$14,$C$15)</f>
        <v>0.79335812906789938</v>
      </c>
      <c r="DL8" s="86">
        <f ca="1">_xll.meMathBlackScholesRho($C$9,$DI8,$C$11,$C$12,DL$4,$C$14,$C$15)</f>
        <v>0.84239990972455547</v>
      </c>
      <c r="DM8" s="86">
        <f ca="1">_xll.meMathBlackScholesRho($C$9,$DI8,$C$11,$C$12,DM$4,$C$14,$C$15)</f>
        <v>0.8913460599874381</v>
      </c>
      <c r="DN8" s="86">
        <f ca="1">_xll.meMathBlackScholesRho($C$9,$DI8,$C$11,$C$12,DN$4,$C$14,$C$15)</f>
        <v>0.94018891001676907</v>
      </c>
      <c r="DO8" s="87">
        <f ca="1">_xll.meMathBlackScholesRho($C$9,$DI8,$C$11,$C$12,DO$4,$C$14,$C$15)</f>
        <v>0.9889209507546447</v>
      </c>
      <c r="DP8" s="86">
        <f ca="1">_xll.meMathBlackScholesRho($C$9,$DI8,$C$11,$C$12,DP$4,$C$14,$C$15)</f>
        <v>1.0375349651194978</v>
      </c>
      <c r="DQ8" s="86">
        <f ca="1">_xll.meMathBlackScholesRho($C$9,$DI8,$C$11,$C$12,DQ$4,$C$14,$C$15)</f>
        <v>1.0860241265305524</v>
      </c>
      <c r="DR8" s="86">
        <f ca="1">_xll.meMathBlackScholesRho($C$9,$DI8,$C$11,$C$12,DR$4,$C$14,$C$15)</f>
        <v>1.1343820682917534</v>
      </c>
      <c r="DS8" s="86">
        <f ca="1">_xll.meMathBlackScholesRho($C$9,$DI8,$C$11,$C$12,DS$4,$C$14,$C$15)</f>
        <v>1.1826029281472683</v>
      </c>
      <c r="DT8" s="88">
        <f ca="1">_xll.meMathBlackScholesRho($C$9,$DI8,$C$11,$C$12,DT$4,$C$14,$C$15)</f>
        <v>1.2306813724382339</v>
      </c>
    </row>
    <row r="9" spans="2:124" x14ac:dyDescent="0.25">
      <c r="B9" t="s">
        <v>15</v>
      </c>
      <c r="C9" s="34" t="s">
        <v>34</v>
      </c>
      <c r="N9" s="40">
        <f t="shared" si="8"/>
        <v>1.3000000000000003</v>
      </c>
      <c r="O9" s="45">
        <f t="shared" si="9"/>
        <v>130.00000000000003</v>
      </c>
      <c r="P9" s="43">
        <f t="shared" ca="1" si="34"/>
        <v>3.0537049547413246E-3</v>
      </c>
      <c r="Q9" s="44">
        <f t="shared" ca="1" si="10"/>
        <v>4.1991195969349341E-3</v>
      </c>
      <c r="R9" s="44">
        <f t="shared" ca="1" si="11"/>
        <v>5.5716685772495876E-3</v>
      </c>
      <c r="S9" s="44">
        <f t="shared" ca="1" si="12"/>
        <v>7.175427094093096E-3</v>
      </c>
      <c r="T9" s="44">
        <f t="shared" ca="1" si="13"/>
        <v>9.0106332025106529E-3</v>
      </c>
      <c r="U9" s="55">
        <f t="shared" ca="1" si="14"/>
        <v>1.1074379087941686E-2</v>
      </c>
      <c r="V9" s="44">
        <f t="shared" ca="1" si="15"/>
        <v>1.336126309396975E-2</v>
      </c>
      <c r="W9" s="44">
        <f t="shared" ca="1" si="16"/>
        <v>1.5863973751920935E-2</v>
      </c>
      <c r="X9" s="44">
        <f t="shared" ca="1" si="17"/>
        <v>1.8573794356363305E-2</v>
      </c>
      <c r="Y9" s="44">
        <f t="shared" ca="1" si="18"/>
        <v>2.1481027185301108E-2</v>
      </c>
      <c r="Z9" s="45">
        <f t="shared" ca="1" si="19"/>
        <v>2.4575342390743719E-2</v>
      </c>
      <c r="AB9" s="40">
        <f t="shared" si="20"/>
        <v>1.3000000000000003</v>
      </c>
      <c r="AC9" s="45">
        <f t="shared" si="21"/>
        <v>130.00000000000003</v>
      </c>
      <c r="AD9" s="85">
        <f ca="1">_xll.meMathBlackScholesPrice($C$9,$AC9,$C$11,$C$12,AD$4,$C$14,$C$15)</f>
        <v>30.749672118016761</v>
      </c>
      <c r="AE9" s="86">
        <f ca="1">_xll.meMathBlackScholesPrice($C$9,$AC9,$C$11,$C$12,AE$4,$C$14,$C$15)</f>
        <v>30.800386351936936</v>
      </c>
      <c r="AF9" s="86">
        <f ca="1">_xll.meMathBlackScholesPrice($C$9,$AC9,$C$11,$C$12,AF$4,$C$14,$C$15)</f>
        <v>30.851365380439617</v>
      </c>
      <c r="AG9" s="86">
        <f ca="1">_xll.meMathBlackScholesPrice($C$9,$AC9,$C$11,$C$12,AG$4,$C$14,$C$15)</f>
        <v>30.902635624579347</v>
      </c>
      <c r="AH9" s="86">
        <f ca="1">_xll.meMathBlackScholesPrice($C$9,$AC9,$C$11,$C$12,AH$4,$C$14,$C$15)</f>
        <v>30.95421921441033</v>
      </c>
      <c r="AI9" s="87">
        <f ca="1">_xll.meMathBlackScholesPrice($C$9,$AC9,$C$11,$C$12,AI$4,$C$14,$C$15)</f>
        <v>31.006134034601885</v>
      </c>
      <c r="AJ9" s="86">
        <f ca="1">_xll.meMathBlackScholesPrice($C$9,$AC9,$C$11,$C$12,AJ$4,$C$14,$C$15)</f>
        <v>31.058393925083536</v>
      </c>
      <c r="AK9" s="86">
        <f ca="1">_xll.meMathBlackScholesPrice($C$9,$AC9,$C$11,$C$12,AK$4,$C$14,$C$15)</f>
        <v>31.111008978320726</v>
      </c>
      <c r="AL9" s="86">
        <f ca="1">_xll.meMathBlackScholesPrice($C$9,$AC9,$C$11,$C$12,AL$4,$C$14,$C$15)</f>
        <v>31.16398588935391</v>
      </c>
      <c r="AM9" s="86">
        <f ca="1">_xll.meMathBlackScholesPrice($C$9,$AC9,$C$11,$C$12,AM$4,$C$14,$C$15)</f>
        <v>31.217328327094791</v>
      </c>
      <c r="AN9" s="88">
        <f ca="1">_xll.meMathBlackScholesPrice($C$9,$AC9,$C$11,$C$12,AN$4,$C$14,$C$15)</f>
        <v>31.271037305229797</v>
      </c>
      <c r="AP9" s="40">
        <f t="shared" si="22"/>
        <v>1.3000000000000003</v>
      </c>
      <c r="AQ9" s="45">
        <f t="shared" si="23"/>
        <v>130.00000000000003</v>
      </c>
      <c r="AR9" s="71">
        <f ca="1">_xll.meMathBlackScholesDeltaSpot($C$9,$AQ9,$C$11,$C$12,AR$4,$C$14,$C$15)</f>
        <v>0.9992095971359124</v>
      </c>
      <c r="AS9" s="72">
        <f ca="1">_xll.meMathBlackScholesDeltaSpot($C$9,$AQ9,$C$11,$C$12,AS$4,$C$14,$C$15)</f>
        <v>0.99892066116278744</v>
      </c>
      <c r="AT9" s="72">
        <f ca="1">_xll.meMathBlackScholesDeltaSpot($C$9,$AQ9,$C$11,$C$12,AT$4,$C$14,$C$15)</f>
        <v>0.99857762033337072</v>
      </c>
      <c r="AU9" s="72">
        <f ca="1">_xll.meMathBlackScholesDeltaSpot($C$9,$AQ9,$C$11,$C$12,AU$4,$C$14,$C$15)</f>
        <v>0.99818047109526631</v>
      </c>
      <c r="AV9" s="72">
        <f ca="1">_xll.meMathBlackScholesDeltaSpot($C$9,$AQ9,$C$11,$C$12,AV$4,$C$14,$C$15)</f>
        <v>0.99773015844890489</v>
      </c>
      <c r="AW9" s="73">
        <f ca="1">_xll.meMathBlackScholesDeltaSpot($C$9,$AQ9,$C$11,$C$12,AW$4,$C$14,$C$15)</f>
        <v>0.99722837337629622</v>
      </c>
      <c r="AX9" s="72">
        <f ca="1">_xll.meMathBlackScholesDeltaSpot($C$9,$AQ9,$C$11,$C$12,AX$4,$C$14,$C$15)</f>
        <v>0.99667736851758126</v>
      </c>
      <c r="AY9" s="72">
        <f ca="1">_xll.meMathBlackScholesDeltaSpot($C$9,$AQ9,$C$11,$C$12,AY$4,$C$14,$C$15)</f>
        <v>0.99607979809325853</v>
      </c>
      <c r="AZ9" s="72">
        <f ca="1">_xll.meMathBlackScholesDeltaSpot($C$9,$AQ9,$C$11,$C$12,AZ$4,$C$14,$C$15)</f>
        <v>0.99543858358521786</v>
      </c>
      <c r="BA9" s="72">
        <f ca="1">_xll.meMathBlackScholesDeltaSpot($C$9,$AQ9,$C$11,$C$12,BA$4,$C$14,$C$15)</f>
        <v>0.99475680410021372</v>
      </c>
      <c r="BB9" s="74">
        <f ca="1">_xll.meMathBlackScholesDeltaSpot($C$9,$AQ9,$C$11,$C$12,BB$4,$C$14,$C$15)</f>
        <v>0.99403760900825033</v>
      </c>
      <c r="BD9" s="40">
        <f t="shared" si="24"/>
        <v>1.3000000000000003</v>
      </c>
      <c r="BE9" s="45">
        <f t="shared" si="25"/>
        <v>130.00000000000003</v>
      </c>
      <c r="BF9" s="71">
        <f ca="1">_xll.meMathBlackScholesDeltaForward($C$9,$BE9,$C$11,$C$12,BF$4,$C$14,$C$15)</f>
        <v>0.9992095971359124</v>
      </c>
      <c r="BG9" s="72">
        <f ca="1">_xll.meMathBlackScholesDeltaForward($C$9,$BE9,$C$11,$C$12,BG$4,$C$14,$C$15)</f>
        <v>0.99892066116278744</v>
      </c>
      <c r="BH9" s="72">
        <f ca="1">_xll.meMathBlackScholesDeltaForward($C$9,$BE9,$C$11,$C$12,BH$4,$C$14,$C$15)</f>
        <v>0.99857762033337072</v>
      </c>
      <c r="BI9" s="72">
        <f ca="1">_xll.meMathBlackScholesDeltaForward($C$9,$BE9,$C$11,$C$12,BI$4,$C$14,$C$15)</f>
        <v>0.99818047109526631</v>
      </c>
      <c r="BJ9" s="72">
        <f ca="1">_xll.meMathBlackScholesDeltaForward($C$9,$BE9,$C$11,$C$12,BJ$4,$C$14,$C$15)</f>
        <v>0.99773015844890489</v>
      </c>
      <c r="BK9" s="73">
        <f ca="1">_xll.meMathBlackScholesDeltaForward($C$9,$BE9,$C$11,$C$12,BK$4,$C$14,$C$15)</f>
        <v>0.99722837337629622</v>
      </c>
      <c r="BL9" s="72">
        <f ca="1">_xll.meMathBlackScholesDeltaForward($C$9,$BE9,$C$11,$C$12,BL$4,$C$14,$C$15)</f>
        <v>0.99667736851758126</v>
      </c>
      <c r="BM9" s="72">
        <f ca="1">_xll.meMathBlackScholesDeltaForward($C$9,$BE9,$C$11,$C$12,BM$4,$C$14,$C$15)</f>
        <v>0.99607979809325853</v>
      </c>
      <c r="BN9" s="72">
        <f ca="1">_xll.meMathBlackScholesDeltaForward($C$9,$BE9,$C$11,$C$12,BN$4,$C$14,$C$15)</f>
        <v>0.99543858358521786</v>
      </c>
      <c r="BO9" s="72">
        <f ca="1">_xll.meMathBlackScholesDeltaForward($C$9,$BE9,$C$11,$C$12,BO$4,$C$14,$C$15)</f>
        <v>0.99475680410021372</v>
      </c>
      <c r="BP9" s="74">
        <f ca="1">_xll.meMathBlackScholesDeltaForward($C$9,$BE9,$C$11,$C$12,BP$4,$C$14,$C$15)</f>
        <v>0.99403760900825033</v>
      </c>
      <c r="BR9" s="40">
        <f t="shared" si="26"/>
        <v>1.3000000000000003</v>
      </c>
      <c r="BS9" s="45">
        <f t="shared" si="27"/>
        <v>130.00000000000003</v>
      </c>
      <c r="BT9" s="85">
        <f ca="1">_xll.meMathBlackScholesGamma($C$9,$BS9,$C$11,$C$12,BT$4,$C$14,$C$15)</f>
        <v>2.4092346782969028E-4</v>
      </c>
      <c r="BU9" s="86">
        <f ca="1">_xll.meMathBlackScholesGamma($C$9,$BS9,$C$11,$C$12,BU$4,$C$14,$C$15)</f>
        <v>3.1058576900406311E-4</v>
      </c>
      <c r="BV9" s="86">
        <f ca="1">_xll.meMathBlackScholesGamma($C$9,$BS9,$C$11,$C$12,BV$4,$C$14,$C$15)</f>
        <v>3.8786415435082398E-4</v>
      </c>
      <c r="BW9" s="86">
        <f ca="1">_xll.meMathBlackScholesGamma($C$9,$BS9,$C$11,$C$12,BW$4,$C$14,$C$15)</f>
        <v>4.7175720539731055E-4</v>
      </c>
      <c r="BX9" s="86">
        <f ca="1">_xll.meMathBlackScholesGamma($C$9,$BS9,$C$11,$C$12,BX$4,$C$14,$C$15)</f>
        <v>5.6123532871445961E-4</v>
      </c>
      <c r="BY9" s="87">
        <f ca="1">_xll.meMathBlackScholesGamma($C$9,$BS9,$C$11,$C$12,BY$4,$C$14,$C$15)</f>
        <v>6.5528870342850183E-4</v>
      </c>
      <c r="BZ9" s="86">
        <f ca="1">_xll.meMathBlackScholesGamma($C$9,$BS9,$C$11,$C$12,BZ$4,$C$14,$C$15)</f>
        <v>7.5295931777795107E-4</v>
      </c>
      <c r="CA9" s="86">
        <f ca="1">_xll.meMathBlackScholesGamma($C$9,$BS9,$C$11,$C$12,CA$4,$C$14,$C$15)</f>
        <v>8.533606106466339E-4</v>
      </c>
      <c r="CB9" s="86">
        <f ca="1">_xll.meMathBlackScholesGamma($C$9,$BS9,$C$11,$C$12,CB$4,$C$14,$C$15)</f>
        <v>9.5568790102203724E-4</v>
      </c>
      <c r="CC9" s="86">
        <f ca="1">_xll.meMathBlackScholesGamma($C$9,$BS9,$C$11,$C$12,CC$4,$C$14,$C$15)</f>
        <v>1.0592222477959117E-3</v>
      </c>
      <c r="CD9" s="88">
        <f ca="1">_xll.meMathBlackScholesGamma($C$9,$BS9,$C$11,$C$12,CD$4,$C$14,$C$15)</f>
        <v>1.1633298173133115E-3</v>
      </c>
      <c r="CF9" s="40">
        <f t="shared" si="28"/>
        <v>1.3000000000000003</v>
      </c>
      <c r="CG9" s="45">
        <f t="shared" si="29"/>
        <v>130.00000000000003</v>
      </c>
      <c r="CH9" s="85">
        <f ca="1">_xll.meMathBlackScholesVega($C$9,$CG9,$C$11,$C$12,CH$4,$C$14,$C$15)</f>
        <v>3.0537049547413246E-3</v>
      </c>
      <c r="CI9" s="86">
        <f ca="1">_xll.meMathBlackScholesVega($C$9,$CG9,$C$11,$C$12,CI$4,$C$14,$C$15)</f>
        <v>4.1991195969349341E-3</v>
      </c>
      <c r="CJ9" s="86">
        <f ca="1">_xll.meMathBlackScholesVega($C$9,$CG9,$C$11,$C$12,CJ$4,$C$14,$C$15)</f>
        <v>5.5716685772495876E-3</v>
      </c>
      <c r="CK9" s="86">
        <f ca="1">_xll.meMathBlackScholesVega($C$9,$CG9,$C$11,$C$12,CK$4,$C$14,$C$15)</f>
        <v>7.175427094093096E-3</v>
      </c>
      <c r="CL9" s="86">
        <f ca="1">_xll.meMathBlackScholesVega($C$9,$CG9,$C$11,$C$12,CL$4,$C$14,$C$15)</f>
        <v>9.0106332025106529E-3</v>
      </c>
      <c r="CM9" s="87">
        <f ca="1">_xll.meMathBlackScholesVega($C$9,$CG9,$C$11,$C$12,CM$4,$C$14,$C$15)</f>
        <v>1.1074379087941686E-2</v>
      </c>
      <c r="CN9" s="86">
        <f ca="1">_xll.meMathBlackScholesVega($C$9,$CG9,$C$11,$C$12,CN$4,$C$14,$C$15)</f>
        <v>1.336126309396975E-2</v>
      </c>
      <c r="CO9" s="86">
        <f ca="1">_xll.meMathBlackScholesVega($C$9,$CG9,$C$11,$C$12,CO$4,$C$14,$C$15)</f>
        <v>1.5863973751920935E-2</v>
      </c>
      <c r="CP9" s="86">
        <f ca="1">_xll.meMathBlackScholesVega($C$9,$CG9,$C$11,$C$12,CP$4,$C$14,$C$15)</f>
        <v>1.8573794356363305E-2</v>
      </c>
      <c r="CQ9" s="86">
        <f ca="1">_xll.meMathBlackScholesVega($C$9,$CG9,$C$11,$C$12,CQ$4,$C$14,$C$15)</f>
        <v>2.1481027185301108E-2</v>
      </c>
      <c r="CR9" s="88">
        <f ca="1">_xll.meMathBlackScholesVega($C$9,$CG9,$C$11,$C$12,CR$4,$C$14,$C$15)</f>
        <v>2.4575342390743719E-2</v>
      </c>
      <c r="CT9" s="40">
        <f t="shared" si="30"/>
        <v>1.3000000000000003</v>
      </c>
      <c r="CU9" s="45">
        <f t="shared" si="31"/>
        <v>130.00000000000003</v>
      </c>
      <c r="CV9" s="85">
        <f ca="1">_xll.meMathBlackScholesTheta($C$9,$CU9,$C$11,$C$12,CV$4,$C$14,$C$15)</f>
        <v>-2.7702499332734501E-3</v>
      </c>
      <c r="CW9" s="86">
        <f ca="1">_xll.meMathBlackScholesTheta($C$9,$CU9,$C$11,$C$12,CW$4,$C$14,$C$15)</f>
        <v>-2.783949331890754E-3</v>
      </c>
      <c r="CX9" s="86">
        <f ca="1">_xll.meMathBlackScholesTheta($C$9,$CU9,$C$11,$C$12,CX$4,$C$14,$C$15)</f>
        <v>-2.7992108793200021E-3</v>
      </c>
      <c r="CY9" s="86">
        <f ca="1">_xll.meMathBlackScholesTheta($C$9,$CU9,$C$11,$C$12,CY$4,$C$14,$C$15)</f>
        <v>-2.8158021629955529E-3</v>
      </c>
      <c r="CZ9" s="86">
        <f ca="1">_xll.meMathBlackScholesTheta($C$9,$CU9,$C$11,$C$12,CZ$4,$C$14,$C$15)</f>
        <v>-2.833487745697044E-3</v>
      </c>
      <c r="DA9" s="87">
        <f ca="1">_xll.meMathBlackScholesTheta($C$9,$CU9,$C$11,$C$12,DA$4,$C$14,$C$15)</f>
        <v>-2.8520395358874059E-3</v>
      </c>
      <c r="DB9" s="86">
        <f ca="1">_xll.meMathBlackScholesTheta($C$9,$CU9,$C$11,$C$12,DB$4,$C$14,$C$15)</f>
        <v>-2.8712435377803085E-3</v>
      </c>
      <c r="DC9" s="86">
        <f ca="1">_xll.meMathBlackScholesTheta($C$9,$CU9,$C$11,$C$12,DC$4,$C$14,$C$15)</f>
        <v>-2.8909038174884873E-3</v>
      </c>
      <c r="DD9" s="86">
        <f ca="1">_xll.meMathBlackScholesTheta($C$9,$CU9,$C$11,$C$12,DD$4,$C$14,$C$15)</f>
        <v>-2.9108444282097373E-3</v>
      </c>
      <c r="DE9" s="86">
        <f ca="1">_xll.meMathBlackScholesTheta($C$9,$CU9,$C$11,$C$12,DE$4,$C$14,$C$15)</f>
        <v>-2.9309099028010542E-3</v>
      </c>
      <c r="DF9" s="88">
        <f ca="1">_xll.meMathBlackScholesTheta($C$9,$CU9,$C$11,$C$12,DF$4,$C$14,$C$15)</f>
        <v>-2.9509647863693428E-3</v>
      </c>
      <c r="DH9" s="40">
        <f t="shared" si="32"/>
        <v>1.3000000000000003</v>
      </c>
      <c r="DI9" s="45">
        <f t="shared" si="33"/>
        <v>130.00000000000003</v>
      </c>
      <c r="DJ9" s="85">
        <f ca="1">_xll.meMathBlackScholesRho($C$9,$DI9,$C$11,$C$12,DJ$4,$C$14,$C$15)</f>
        <v>0.74360681632238879</v>
      </c>
      <c r="DK9" s="86">
        <f ca="1">_xll.meMathBlackScholesRho($C$9,$DI9,$C$11,$C$12,DK$4,$C$14,$C$15)</f>
        <v>0.79247439679380349</v>
      </c>
      <c r="DL9" s="86">
        <f ca="1">_xll.meMathBlackScholesRho($C$9,$DI9,$C$11,$C$12,DL$4,$C$14,$C$15)</f>
        <v>0.84119166473463791</v>
      </c>
      <c r="DM9" s="86">
        <f ca="1">_xll.meMathBlackScholesRho($C$9,$DI9,$C$11,$C$12,DM$4,$C$14,$C$15)</f>
        <v>0.8897474305602473</v>
      </c>
      <c r="DN9" s="86">
        <f ca="1">_xll.meMathBlackScholesRho($C$9,$DI9,$C$11,$C$12,DN$4,$C$14,$C$15)</f>
        <v>0.93813166314749963</v>
      </c>
      <c r="DO9" s="87">
        <f ca="1">_xll.meMathBlackScholesRho($C$9,$DI9,$C$11,$C$12,DO$4,$C$14,$C$15)</f>
        <v>0.98633554504316645</v>
      </c>
      <c r="DP9" s="86">
        <f ca="1">_xll.meMathBlackScholesRho($C$9,$DI9,$C$11,$C$12,DP$4,$C$14,$C$15)</f>
        <v>1.0343514718131217</v>
      </c>
      <c r="DQ9" s="86">
        <f ca="1">_xll.meMathBlackScholesRho($C$9,$DI9,$C$11,$C$12,DQ$4,$C$14,$C$15)</f>
        <v>1.0821730125118323</v>
      </c>
      <c r="DR9" s="86">
        <f ca="1">_xll.meMathBlackScholesRho($C$9,$DI9,$C$11,$C$12,DR$4,$C$14,$C$15)</f>
        <v>1.1297948447323312</v>
      </c>
      <c r="DS9" s="86">
        <f ca="1">_xll.meMathBlackScholesRho($C$9,$DI9,$C$11,$C$12,DS$4,$C$14,$C$15)</f>
        <v>1.1772126744711966</v>
      </c>
      <c r="DT9" s="88">
        <f ca="1">_xll.meMathBlackScholesRho($C$9,$DI9,$C$11,$C$12,DT$4,$C$14,$C$15)</f>
        <v>1.2244231483230348</v>
      </c>
    </row>
    <row r="10" spans="2:124" x14ac:dyDescent="0.25">
      <c r="B10" t="s">
        <v>16</v>
      </c>
      <c r="C10" s="29">
        <v>100</v>
      </c>
      <c r="N10" s="40">
        <f t="shared" si="8"/>
        <v>1.2500000000000002</v>
      </c>
      <c r="O10" s="45">
        <f t="shared" si="9"/>
        <v>125.00000000000003</v>
      </c>
      <c r="P10" s="43">
        <f t="shared" ca="1" si="34"/>
        <v>1.1083196520619445E-2</v>
      </c>
      <c r="Q10" s="44">
        <f t="shared" ca="1" si="10"/>
        <v>1.4077924238848169E-2</v>
      </c>
      <c r="R10" s="44">
        <f t="shared" ca="1" si="11"/>
        <v>1.7416541022458518E-2</v>
      </c>
      <c r="S10" s="44">
        <f t="shared" ca="1" si="12"/>
        <v>2.1076516585977863E-2</v>
      </c>
      <c r="T10" s="44">
        <f t="shared" ca="1" si="13"/>
        <v>2.5033733883771312E-2</v>
      </c>
      <c r="U10" s="55">
        <f t="shared" ca="1" si="14"/>
        <v>2.9263550912716676E-2</v>
      </c>
      <c r="V10" s="44">
        <f t="shared" ca="1" si="15"/>
        <v>3.3741556066383196E-2</v>
      </c>
      <c r="W10" s="44">
        <f t="shared" ca="1" si="16"/>
        <v>3.844408530075185E-2</v>
      </c>
      <c r="X10" s="44">
        <f t="shared" ca="1" si="17"/>
        <v>4.3348559075139834E-2</v>
      </c>
      <c r="Y10" s="44">
        <f t="shared" ca="1" si="18"/>
        <v>4.8433685900028688E-2</v>
      </c>
      <c r="Z10" s="45">
        <f t="shared" ca="1" si="19"/>
        <v>5.3679569133269031E-2</v>
      </c>
      <c r="AB10" s="40">
        <f t="shared" si="20"/>
        <v>1.2500000000000002</v>
      </c>
      <c r="AC10" s="45">
        <f t="shared" si="21"/>
        <v>125.00000000000003</v>
      </c>
      <c r="AD10" s="85">
        <f ca="1">_xll.meMathBlackScholesPrice($C$9,$AC10,$C$11,$C$12,AD$4,$C$14,$C$15)</f>
        <v>25.75871090727135</v>
      </c>
      <c r="AE10" s="86">
        <f ca="1">_xll.meMathBlackScholesPrice($C$9,$AC10,$C$11,$C$12,AE$4,$C$14,$C$15)</f>
        <v>25.812123598888405</v>
      </c>
      <c r="AF10" s="86">
        <f ca="1">_xll.meMathBlackScholesPrice($C$9,$AC10,$C$11,$C$12,AF$4,$C$14,$C$15)</f>
        <v>25.866166312306859</v>
      </c>
      <c r="AG10" s="86">
        <f ca="1">_xll.meMathBlackScholesPrice($C$9,$AC10,$C$11,$C$12,AG$4,$C$14,$C$15)</f>
        <v>25.920846821565362</v>
      </c>
      <c r="AH10" s="86">
        <f ca="1">_xll.meMathBlackScholesPrice($C$9,$AC10,$C$11,$C$12,AH$4,$C$14,$C$15)</f>
        <v>25.976164930395456</v>
      </c>
      <c r="AI10" s="87">
        <f ca="1">_xll.meMathBlackScholesPrice($C$9,$AC10,$C$11,$C$12,AI$4,$C$14,$C$15)</f>
        <v>26.032113959994362</v>
      </c>
      <c r="AJ10" s="86">
        <f ca="1">_xll.meMathBlackScholesPrice($C$9,$AC10,$C$11,$C$12,AJ$4,$C$14,$C$15)</f>
        <v>26.088682078433848</v>
      </c>
      <c r="AK10" s="86">
        <f ca="1">_xll.meMathBlackScholesPrice($C$9,$AC10,$C$11,$C$12,AK$4,$C$14,$C$15)</f>
        <v>26.145853453673155</v>
      </c>
      <c r="AL10" s="86">
        <f ca="1">_xll.meMathBlackScholesPrice($C$9,$AC10,$C$11,$C$12,AL$4,$C$14,$C$15)</f>
        <v>26.203609232187432</v>
      </c>
      <c r="AM10" s="86">
        <f ca="1">_xll.meMathBlackScholesPrice($C$9,$AC10,$C$11,$C$12,AM$4,$C$14,$C$15)</f>
        <v>26.261928355898178</v>
      </c>
      <c r="AN10" s="88">
        <f ca="1">_xll.meMathBlackScholesPrice($C$9,$AC10,$C$11,$C$12,AN$4,$C$14,$C$15)</f>
        <v>26.320788234956353</v>
      </c>
      <c r="AP10" s="40">
        <f t="shared" si="22"/>
        <v>1.2500000000000002</v>
      </c>
      <c r="AQ10" s="45">
        <f t="shared" si="23"/>
        <v>125.00000000000003</v>
      </c>
      <c r="AR10" s="71">
        <f ca="1">_xll.meMathBlackScholesDeltaSpot($C$9,$AQ10,$C$11,$C$12,AR$4,$C$14,$C$15)</f>
        <v>0.99660061728231419</v>
      </c>
      <c r="AS10" s="72">
        <f ca="1">_xll.meMathBlackScholesDeltaSpot($C$9,$AQ10,$C$11,$C$12,AS$4,$C$14,$C$15)</f>
        <v>0.99571799089194879</v>
      </c>
      <c r="AT10" s="72">
        <f ca="1">_xll.meMathBlackScholesDeltaSpot($C$9,$AQ10,$C$11,$C$12,AT$4,$C$14,$C$15)</f>
        <v>0.99474564542368715</v>
      </c>
      <c r="AU10" s="72">
        <f ca="1">_xll.meMathBlackScholesDeltaSpot($C$9,$AQ10,$C$11,$C$12,AU$4,$C$14,$C$15)</f>
        <v>0.99369223383243865</v>
      </c>
      <c r="AV10" s="72">
        <f ca="1">_xll.meMathBlackScholesDeltaSpot($C$9,$AQ10,$C$11,$C$12,AV$4,$C$14,$C$15)</f>
        <v>0.99256657515106228</v>
      </c>
      <c r="AW10" s="73">
        <f ca="1">_xll.meMathBlackScholesDeltaSpot($C$9,$AQ10,$C$11,$C$12,AW$4,$C$14,$C$15)</f>
        <v>0.99137734504136821</v>
      </c>
      <c r="AX10" s="72">
        <f ca="1">_xll.meMathBlackScholesDeltaSpot($C$9,$AQ10,$C$11,$C$12,AX$4,$C$14,$C$15)</f>
        <v>0.99013286924959176</v>
      </c>
      <c r="AY10" s="72">
        <f ca="1">_xll.meMathBlackScholesDeltaSpot($C$9,$AQ10,$C$11,$C$12,AY$4,$C$14,$C$15)</f>
        <v>0.98884099441358098</v>
      </c>
      <c r="AZ10" s="72">
        <f ca="1">_xll.meMathBlackScholesDeltaSpot($C$9,$AQ10,$C$11,$C$12,AZ$4,$C$14,$C$15)</f>
        <v>0.98750901537603708</v>
      </c>
      <c r="BA10" s="72">
        <f ca="1">_xll.meMathBlackScholesDeltaSpot($C$9,$AQ10,$C$11,$C$12,BA$4,$C$14,$C$15)</f>
        <v>0.98614364270486499</v>
      </c>
      <c r="BB10" s="74">
        <f ca="1">_xll.meMathBlackScholesDeltaSpot($C$9,$AQ10,$C$11,$C$12,BB$4,$C$14,$C$15)</f>
        <v>0.98475099804257127</v>
      </c>
      <c r="BD10" s="40">
        <f t="shared" si="24"/>
        <v>1.2500000000000002</v>
      </c>
      <c r="BE10" s="45">
        <f t="shared" si="25"/>
        <v>125.00000000000003</v>
      </c>
      <c r="BF10" s="71">
        <f ca="1">_xll.meMathBlackScholesDeltaForward($C$9,$BE10,$C$11,$C$12,BF$4,$C$14,$C$15)</f>
        <v>0.99660061728231419</v>
      </c>
      <c r="BG10" s="72">
        <f ca="1">_xll.meMathBlackScholesDeltaForward($C$9,$BE10,$C$11,$C$12,BG$4,$C$14,$C$15)</f>
        <v>0.99571799089194879</v>
      </c>
      <c r="BH10" s="72">
        <f ca="1">_xll.meMathBlackScholesDeltaForward($C$9,$BE10,$C$11,$C$12,BH$4,$C$14,$C$15)</f>
        <v>0.99474564542368715</v>
      </c>
      <c r="BI10" s="72">
        <f ca="1">_xll.meMathBlackScholesDeltaForward($C$9,$BE10,$C$11,$C$12,BI$4,$C$14,$C$15)</f>
        <v>0.99369223383243865</v>
      </c>
      <c r="BJ10" s="72">
        <f ca="1">_xll.meMathBlackScholesDeltaForward($C$9,$BE10,$C$11,$C$12,BJ$4,$C$14,$C$15)</f>
        <v>0.99256657515106228</v>
      </c>
      <c r="BK10" s="73">
        <f ca="1">_xll.meMathBlackScholesDeltaForward($C$9,$BE10,$C$11,$C$12,BK$4,$C$14,$C$15)</f>
        <v>0.99137734504136821</v>
      </c>
      <c r="BL10" s="72">
        <f ca="1">_xll.meMathBlackScholesDeltaForward($C$9,$BE10,$C$11,$C$12,BL$4,$C$14,$C$15)</f>
        <v>0.99013286924959176</v>
      </c>
      <c r="BM10" s="72">
        <f ca="1">_xll.meMathBlackScholesDeltaForward($C$9,$BE10,$C$11,$C$12,BM$4,$C$14,$C$15)</f>
        <v>0.98884099441358098</v>
      </c>
      <c r="BN10" s="72">
        <f ca="1">_xll.meMathBlackScholesDeltaForward($C$9,$BE10,$C$11,$C$12,BN$4,$C$14,$C$15)</f>
        <v>0.98750901537603708</v>
      </c>
      <c r="BO10" s="72">
        <f ca="1">_xll.meMathBlackScholesDeltaForward($C$9,$BE10,$C$11,$C$12,BO$4,$C$14,$C$15)</f>
        <v>0.98614364270486499</v>
      </c>
      <c r="BP10" s="74">
        <f ca="1">_xll.meMathBlackScholesDeltaForward($C$9,$BE10,$C$11,$C$12,BP$4,$C$14,$C$15)</f>
        <v>0.98475099804257127</v>
      </c>
      <c r="BR10" s="40">
        <f t="shared" si="26"/>
        <v>1.2500000000000002</v>
      </c>
      <c r="BS10" s="45">
        <f t="shared" si="27"/>
        <v>125.00000000000003</v>
      </c>
      <c r="BT10" s="85">
        <f ca="1">_xll.meMathBlackScholesGamma($C$9,$BS10,$C$11,$C$12,BT$4,$C$14,$C$15)</f>
        <v>9.4576610309285913E-4</v>
      </c>
      <c r="BU10" s="86">
        <f ca="1">_xll.meMathBlackScholesGamma($C$9,$BS10,$C$11,$C$12,BU$4,$C$14,$C$15)</f>
        <v>1.1262339391078533E-3</v>
      </c>
      <c r="BV10" s="86">
        <f ca="1">_xll.meMathBlackScholesGamma($C$9,$BS10,$C$11,$C$12,BV$4,$C$14,$C$15)</f>
        <v>1.3113630887498175E-3</v>
      </c>
      <c r="BW10" s="86">
        <f ca="1">_xll.meMathBlackScholesGamma($C$9,$BS10,$C$11,$C$12,BW$4,$C$14,$C$15)</f>
        <v>1.4987745127806472E-3</v>
      </c>
      <c r="BX10" s="86">
        <f ca="1">_xll.meMathBlackScholesGamma($C$9,$BS10,$C$11,$C$12,BX$4,$C$14,$C$15)</f>
        <v>1.6864831248014349E-3</v>
      </c>
      <c r="BY10" s="87">
        <f ca="1">_xll.meMathBlackScholesGamma($C$9,$BS10,$C$11,$C$12,BY$4,$C$14,$C$15)</f>
        <v>1.8728672584138661E-3</v>
      </c>
      <c r="BZ10" s="86">
        <f ca="1">_xll.meMathBlackScholesGamma($C$9,$BS10,$C$11,$C$12,BZ$4,$C$14,$C$15)</f>
        <v>2.0566281792843079E-3</v>
      </c>
      <c r="CA10" s="86">
        <f ca="1">_xll.meMathBlackScholesGamma($C$9,$BS10,$C$11,$C$12,CA$4,$C$14,$C$15)</f>
        <v>2.2367467811346521E-3</v>
      </c>
      <c r="CB10" s="86">
        <f ca="1">_xll.meMathBlackScholesGamma($C$9,$BS10,$C$11,$C$12,CB$4,$C$14,$C$15)</f>
        <v>2.4124415485295195E-3</v>
      </c>
      <c r="CC10" s="86">
        <f ca="1">_xll.meMathBlackScholesGamma($C$9,$BS10,$C$11,$C$12,CC$4,$C$14,$C$15)</f>
        <v>2.5831299146681949E-3</v>
      </c>
      <c r="CD10" s="88">
        <f ca="1">_xll.meMathBlackScholesGamma($C$9,$BS10,$C$11,$C$12,CD$4,$C$14,$C$15)</f>
        <v>2.7483939396233726E-3</v>
      </c>
      <c r="CF10" s="40">
        <f t="shared" si="28"/>
        <v>1.2500000000000002</v>
      </c>
      <c r="CG10" s="45">
        <f t="shared" si="29"/>
        <v>125.00000000000003</v>
      </c>
      <c r="CH10" s="85">
        <f ca="1">_xll.meMathBlackScholesVega($C$9,$CG10,$C$11,$C$12,CH$4,$C$14,$C$15)</f>
        <v>1.1083196520619445E-2</v>
      </c>
      <c r="CI10" s="86">
        <f ca="1">_xll.meMathBlackScholesVega($C$9,$CG10,$C$11,$C$12,CI$4,$C$14,$C$15)</f>
        <v>1.4077924238848169E-2</v>
      </c>
      <c r="CJ10" s="86">
        <f ca="1">_xll.meMathBlackScholesVega($C$9,$CG10,$C$11,$C$12,CJ$4,$C$14,$C$15)</f>
        <v>1.7416541022458518E-2</v>
      </c>
      <c r="CK10" s="86">
        <f ca="1">_xll.meMathBlackScholesVega($C$9,$CG10,$C$11,$C$12,CK$4,$C$14,$C$15)</f>
        <v>2.1076516585977863E-2</v>
      </c>
      <c r="CL10" s="86">
        <f ca="1">_xll.meMathBlackScholesVega($C$9,$CG10,$C$11,$C$12,CL$4,$C$14,$C$15)</f>
        <v>2.5033733883771312E-2</v>
      </c>
      <c r="CM10" s="87">
        <f ca="1">_xll.meMathBlackScholesVega($C$9,$CG10,$C$11,$C$12,CM$4,$C$14,$C$15)</f>
        <v>2.9263550912716676E-2</v>
      </c>
      <c r="CN10" s="86">
        <f ca="1">_xll.meMathBlackScholesVega($C$9,$CG10,$C$11,$C$12,CN$4,$C$14,$C$15)</f>
        <v>3.3741556066383196E-2</v>
      </c>
      <c r="CO10" s="86">
        <f ca="1">_xll.meMathBlackScholesVega($C$9,$CG10,$C$11,$C$12,CO$4,$C$14,$C$15)</f>
        <v>3.844408530075185E-2</v>
      </c>
      <c r="CP10" s="86">
        <f ca="1">_xll.meMathBlackScholesVega($C$9,$CG10,$C$11,$C$12,CP$4,$C$14,$C$15)</f>
        <v>4.3348559075139834E-2</v>
      </c>
      <c r="CQ10" s="86">
        <f ca="1">_xll.meMathBlackScholesVega($C$9,$CG10,$C$11,$C$12,CQ$4,$C$14,$C$15)</f>
        <v>4.8433685900028688E-2</v>
      </c>
      <c r="CR10" s="88">
        <f ca="1">_xll.meMathBlackScholesVega($C$9,$CG10,$C$11,$C$12,CR$4,$C$14,$C$15)</f>
        <v>5.3679569133269031E-2</v>
      </c>
      <c r="CT10" s="40">
        <f t="shared" si="30"/>
        <v>1.2500000000000002</v>
      </c>
      <c r="CU10" s="45">
        <f t="shared" si="31"/>
        <v>125.00000000000003</v>
      </c>
      <c r="CV10" s="85">
        <f ca="1">_xll.meMathBlackScholesTheta($C$9,$CU10,$C$11,$C$12,CV$4,$C$14,$C$15)</f>
        <v>-2.9077389167263775E-3</v>
      </c>
      <c r="CW10" s="86">
        <f ca="1">_xll.meMathBlackScholesTheta($C$9,$CU10,$C$11,$C$12,CW$4,$C$14,$C$15)</f>
        <v>-2.9418570270194474E-3</v>
      </c>
      <c r="CX10" s="86">
        <f ca="1">_xll.meMathBlackScholesTheta($C$9,$CU10,$C$11,$C$12,CX$4,$C$14,$C$15)</f>
        <v>-2.9766478712255177E-3</v>
      </c>
      <c r="CY10" s="86">
        <f ca="1">_xll.meMathBlackScholesTheta($C$9,$CU10,$C$11,$C$12,CY$4,$C$14,$C$15)</f>
        <v>-3.0116319859983111E-3</v>
      </c>
      <c r="CZ10" s="86">
        <f ca="1">_xll.meMathBlackScholesTheta($C$9,$CU10,$C$11,$C$12,CZ$4,$C$14,$C$15)</f>
        <v>-3.0464149589595774E-3</v>
      </c>
      <c r="DA10" s="87">
        <f ca="1">_xll.meMathBlackScholesTheta($C$9,$CU10,$C$11,$C$12,DA$4,$C$14,$C$15)</f>
        <v>-3.0806797981255312E-3</v>
      </c>
      <c r="DB10" s="86">
        <f ca="1">_xll.meMathBlackScholesTheta($C$9,$CU10,$C$11,$C$12,DB$4,$C$14,$C$15)</f>
        <v>-3.1141775284989409E-3</v>
      </c>
      <c r="DC10" s="86">
        <f ca="1">_xll.meMathBlackScholesTheta($C$9,$CU10,$C$11,$C$12,DC$4,$C$14,$C$15)</f>
        <v>-3.1467174558696505E-3</v>
      </c>
      <c r="DD10" s="86">
        <f ca="1">_xll.meMathBlackScholesTheta($C$9,$CU10,$C$11,$C$12,DD$4,$C$14,$C$15)</f>
        <v>-3.1781578997318034E-3</v>
      </c>
      <c r="DE10" s="86">
        <f ca="1">_xll.meMathBlackScholesTheta($C$9,$CU10,$C$11,$C$12,DE$4,$C$14,$C$15)</f>
        <v>-3.2083977944026079E-3</v>
      </c>
      <c r="DF10" s="88">
        <f ca="1">_xll.meMathBlackScholesTheta($C$9,$CU10,$C$11,$C$12,DF$4,$C$14,$C$15)</f>
        <v>-3.2373693134475751E-3</v>
      </c>
      <c r="DH10" s="40">
        <f t="shared" si="32"/>
        <v>1.2500000000000002</v>
      </c>
      <c r="DI10" s="45">
        <f t="shared" si="33"/>
        <v>125.00000000000003</v>
      </c>
      <c r="DJ10" s="85">
        <f ca="1">_xll.meMathBlackScholesRho($C$9,$DI10,$C$11,$C$12,DJ$4,$C$14,$C$15)</f>
        <v>0.74112274689763435</v>
      </c>
      <c r="DK10" s="86">
        <f ca="1">_xll.meMathBlackScholesRho($C$9,$DI10,$C$11,$C$12,DK$4,$C$14,$C$15)</f>
        <v>0.78922100210084167</v>
      </c>
      <c r="DL10" s="86">
        <f ca="1">_xll.meMathBlackScholesRho($C$9,$DI10,$C$11,$C$12,DL$4,$C$14,$C$15)</f>
        <v>0.83705483460805952</v>
      </c>
      <c r="DM10" s="86">
        <f ca="1">_xll.meMathBlackScholesRho($C$9,$DI10,$C$11,$C$12,DM$4,$C$14,$C$15)</f>
        <v>0.88461614166740532</v>
      </c>
      <c r="DN10" s="86">
        <f ca="1">_xll.meMathBlackScholesRho($C$9,$DI10,$C$11,$C$12,DN$4,$C$14,$C$15)</f>
        <v>0.93189924115312972</v>
      </c>
      <c r="DO10" s="87">
        <f ca="1">_xll.meMathBlackScholesRho($C$9,$DI10,$C$11,$C$12,DO$4,$C$14,$C$15)</f>
        <v>0.97890054170176688</v>
      </c>
      <c r="DP10" s="86">
        <f ca="1">_xll.meMathBlackScholesRho($C$9,$DI10,$C$11,$C$12,DP$4,$C$14,$C$15)</f>
        <v>1.0256182290665341</v>
      </c>
      <c r="DQ10" s="86">
        <f ca="1">_xll.meMathBlackScholesRho($C$9,$DI10,$C$11,$C$12,DQ$4,$C$14,$C$15)</f>
        <v>1.0720519793282697</v>
      </c>
      <c r="DR10" s="86">
        <f ca="1">_xll.meMathBlackScholesRho($C$9,$DI10,$C$11,$C$12,DR$4,$C$14,$C$15)</f>
        <v>1.1182027034328983</v>
      </c>
      <c r="DS10" s="86">
        <f ca="1">_xll.meMathBlackScholesRho($C$9,$DI10,$C$11,$C$12,DS$4,$C$14,$C$15)</f>
        <v>1.1640723237865196</v>
      </c>
      <c r="DT10" s="88">
        <f ca="1">_xll.meMathBlackScholesRho($C$9,$DI10,$C$11,$C$12,DT$4,$C$14,$C$15)</f>
        <v>1.2096635815045638</v>
      </c>
    </row>
    <row r="11" spans="2:124" x14ac:dyDescent="0.25">
      <c r="B11" t="s">
        <v>17</v>
      </c>
      <c r="C11" s="29">
        <v>100</v>
      </c>
      <c r="N11" s="40">
        <f t="shared" si="8"/>
        <v>1.2000000000000002</v>
      </c>
      <c r="O11" s="45">
        <f t="shared" si="9"/>
        <v>120.00000000000001</v>
      </c>
      <c r="P11" s="43">
        <f t="shared" ca="1" si="34"/>
        <v>3.4100115101801602E-2</v>
      </c>
      <c r="Q11" s="44">
        <f t="shared" ca="1" si="10"/>
        <v>4.0427583513910514E-2</v>
      </c>
      <c r="R11" s="44">
        <f t="shared" ca="1" si="11"/>
        <v>4.706229895619532E-2</v>
      </c>
      <c r="S11" s="44">
        <f t="shared" ca="1" si="12"/>
        <v>5.3953369730764908E-2</v>
      </c>
      <c r="T11" s="44">
        <f t="shared" ca="1" si="13"/>
        <v>6.1055763717225847E-2</v>
      </c>
      <c r="U11" s="55">
        <f t="shared" ca="1" si="14"/>
        <v>6.8329969593104542E-2</v>
      </c>
      <c r="V11" s="44">
        <f t="shared" ca="1" si="15"/>
        <v>7.5741531388299962E-2</v>
      </c>
      <c r="W11" s="44">
        <f t="shared" ca="1" si="16"/>
        <v>8.3260536913593058E-2</v>
      </c>
      <c r="X11" s="44">
        <f t="shared" ca="1" si="17"/>
        <v>9.0861107027899596E-2</v>
      </c>
      <c r="Y11" s="44">
        <f t="shared" ca="1" si="18"/>
        <v>9.8520911596771885E-2</v>
      </c>
      <c r="Z11" s="45">
        <f t="shared" ca="1" si="19"/>
        <v>0.10622072497229568</v>
      </c>
      <c r="AB11" s="40">
        <f t="shared" si="20"/>
        <v>1.2000000000000002</v>
      </c>
      <c r="AC11" s="45">
        <f t="shared" si="21"/>
        <v>120.00000000000001</v>
      </c>
      <c r="AD11" s="85">
        <f ca="1">_xll.meMathBlackScholesPrice($C$9,$AC11,$C$11,$C$12,AD$4,$C$14,$C$15)</f>
        <v>20.794426939001738</v>
      </c>
      <c r="AE11" s="86">
        <f ca="1">_xll.meMathBlackScholesPrice($C$9,$AC11,$C$11,$C$12,AE$4,$C$14,$C$15)</f>
        <v>20.855191505654062</v>
      </c>
      <c r="AF11" s="86">
        <f ca="1">_xll.meMathBlackScholesPrice($C$9,$AC11,$C$11,$C$12,AF$4,$C$14,$C$15)</f>
        <v>20.917029100092364</v>
      </c>
      <c r="AG11" s="86">
        <f ca="1">_xll.meMathBlackScholesPrice($C$9,$AC11,$C$11,$C$12,AG$4,$C$14,$C$15)</f>
        <v>20.979874504161018</v>
      </c>
      <c r="AH11" s="86">
        <f ca="1">_xll.meMathBlackScholesPrice($C$9,$AC11,$C$11,$C$12,AH$4,$C$14,$C$15)</f>
        <v>21.043660563917427</v>
      </c>
      <c r="AI11" s="87">
        <f ca="1">_xll.meMathBlackScholesPrice($C$9,$AC11,$C$11,$C$12,AI$4,$C$14,$C$15)</f>
        <v>21.10832012113795</v>
      </c>
      <c r="AJ11" s="86">
        <f ca="1">_xll.meMathBlackScholesPrice($C$9,$AC11,$C$11,$C$12,AJ$4,$C$14,$C$15)</f>
        <v>21.173787349889338</v>
      </c>
      <c r="AK11" s="86">
        <f ca="1">_xll.meMathBlackScholesPrice($C$9,$AC11,$C$11,$C$12,AK$4,$C$14,$C$15)</f>
        <v>21.239998650347559</v>
      </c>
      <c r="AL11" s="86">
        <f ca="1">_xll.meMathBlackScholesPrice($C$9,$AC11,$C$11,$C$12,AL$4,$C$14,$C$15)</f>
        <v>21.306893217466452</v>
      </c>
      <c r="AM11" s="86">
        <f ca="1">_xll.meMathBlackScholesPrice($C$9,$AC11,$C$11,$C$12,AM$4,$C$14,$C$15)</f>
        <v>21.374413373765478</v>
      </c>
      <c r="AN11" s="88">
        <f ca="1">_xll.meMathBlackScholesPrice($C$9,$AC11,$C$11,$C$12,AN$4,$C$14,$C$15)</f>
        <v>21.442504733170708</v>
      </c>
      <c r="AP11" s="40">
        <f t="shared" si="22"/>
        <v>1.2000000000000002</v>
      </c>
      <c r="AQ11" s="45">
        <f t="shared" si="23"/>
        <v>120.00000000000001</v>
      </c>
      <c r="AR11" s="71">
        <f ca="1">_xll.meMathBlackScholesDeltaSpot($C$9,$AQ11,$C$11,$C$12,AR$4,$C$14,$C$15)</f>
        <v>0.98729696423527369</v>
      </c>
      <c r="AS11" s="72">
        <f ca="1">_xll.meMathBlackScholesDeltaSpot($C$9,$AQ11,$C$11,$C$12,AS$4,$C$14,$C$15)</f>
        <v>0.98509406838389912</v>
      </c>
      <c r="AT11" s="72">
        <f ca="1">_xll.meMathBlackScholesDeltaSpot($C$9,$AQ11,$C$11,$C$12,AT$4,$C$14,$C$15)</f>
        <v>0.98282113591145226</v>
      </c>
      <c r="AU11" s="72">
        <f ca="1">_xll.meMathBlackScholesDeltaSpot($C$9,$AQ11,$C$11,$C$12,AU$4,$C$14,$C$15)</f>
        <v>0.98049779905589118</v>
      </c>
      <c r="AV11" s="72">
        <f ca="1">_xll.meMathBlackScholesDeltaSpot($C$9,$AQ11,$C$11,$C$12,AV$4,$C$14,$C$15)</f>
        <v>0.97814084602399509</v>
      </c>
      <c r="AW11" s="73">
        <f ca="1">_xll.meMathBlackScholesDeltaSpot($C$9,$AQ11,$C$11,$C$12,AW$4,$C$14,$C$15)</f>
        <v>0.97576449623418471</v>
      </c>
      <c r="AX11" s="72">
        <f ca="1">_xll.meMathBlackScholesDeltaSpot($C$9,$AQ11,$C$11,$C$12,AX$4,$C$14,$C$15)</f>
        <v>0.97338069796665028</v>
      </c>
      <c r="AY11" s="72">
        <f ca="1">_xll.meMathBlackScholesDeltaSpot($C$9,$AQ11,$C$11,$C$12,AY$4,$C$14,$C$15)</f>
        <v>0.97099942044834386</v>
      </c>
      <c r="AZ11" s="72">
        <f ca="1">_xll.meMathBlackScholesDeltaSpot($C$9,$AQ11,$C$11,$C$12,AZ$4,$C$14,$C$15)</f>
        <v>0.96862892579410653</v>
      </c>
      <c r="BA11" s="72">
        <f ca="1">_xll.meMathBlackScholesDeltaSpot($C$9,$AQ11,$C$11,$C$12,BA$4,$C$14,$C$15)</f>
        <v>0.96627601425519349</v>
      </c>
      <c r="BB11" s="74">
        <f ca="1">_xll.meMathBlackScholesDeltaSpot($C$9,$AQ11,$C$11,$C$12,BB$4,$C$14,$C$15)</f>
        <v>0.96394624088993885</v>
      </c>
      <c r="BD11" s="40">
        <f t="shared" si="24"/>
        <v>1.2000000000000002</v>
      </c>
      <c r="BE11" s="45">
        <f t="shared" si="25"/>
        <v>120.00000000000001</v>
      </c>
      <c r="BF11" s="71">
        <f ca="1">_xll.meMathBlackScholesDeltaForward($C$9,$BE11,$C$11,$C$12,BF$4,$C$14,$C$15)</f>
        <v>0.98729696423527369</v>
      </c>
      <c r="BG11" s="72">
        <f ca="1">_xll.meMathBlackScholesDeltaForward($C$9,$BE11,$C$11,$C$12,BG$4,$C$14,$C$15)</f>
        <v>0.98509406838389912</v>
      </c>
      <c r="BH11" s="72">
        <f ca="1">_xll.meMathBlackScholesDeltaForward($C$9,$BE11,$C$11,$C$12,BH$4,$C$14,$C$15)</f>
        <v>0.98282113591145226</v>
      </c>
      <c r="BI11" s="72">
        <f ca="1">_xll.meMathBlackScholesDeltaForward($C$9,$BE11,$C$11,$C$12,BI$4,$C$14,$C$15)</f>
        <v>0.98049779905589118</v>
      </c>
      <c r="BJ11" s="72">
        <f ca="1">_xll.meMathBlackScholesDeltaForward($C$9,$BE11,$C$11,$C$12,BJ$4,$C$14,$C$15)</f>
        <v>0.97814084602399509</v>
      </c>
      <c r="BK11" s="73">
        <f ca="1">_xll.meMathBlackScholesDeltaForward($C$9,$BE11,$C$11,$C$12,BK$4,$C$14,$C$15)</f>
        <v>0.97576449623418471</v>
      </c>
      <c r="BL11" s="72">
        <f ca="1">_xll.meMathBlackScholesDeltaForward($C$9,$BE11,$C$11,$C$12,BL$4,$C$14,$C$15)</f>
        <v>0.97338069796665028</v>
      </c>
      <c r="BM11" s="72">
        <f ca="1">_xll.meMathBlackScholesDeltaForward($C$9,$BE11,$C$11,$C$12,BM$4,$C$14,$C$15)</f>
        <v>0.97099942044834386</v>
      </c>
      <c r="BN11" s="72">
        <f ca="1">_xll.meMathBlackScholesDeltaForward($C$9,$BE11,$C$11,$C$12,BN$4,$C$14,$C$15)</f>
        <v>0.96862892579410653</v>
      </c>
      <c r="BO11" s="72">
        <f ca="1">_xll.meMathBlackScholesDeltaForward($C$9,$BE11,$C$11,$C$12,BO$4,$C$14,$C$15)</f>
        <v>0.96627601425519349</v>
      </c>
      <c r="BP11" s="74">
        <f ca="1">_xll.meMathBlackScholesDeltaForward($C$9,$BE11,$C$11,$C$12,BP$4,$C$14,$C$15)</f>
        <v>0.96394624088993885</v>
      </c>
      <c r="BR11" s="40">
        <f t="shared" si="26"/>
        <v>1.2000000000000002</v>
      </c>
      <c r="BS11" s="45">
        <f t="shared" si="27"/>
        <v>120.00000000000001</v>
      </c>
      <c r="BT11" s="85">
        <f ca="1">_xll.meMathBlackScholesGamma($C$9,$BS11,$C$11,$C$12,BT$4,$C$14,$C$15)</f>
        <v>3.1574180649816303E-3</v>
      </c>
      <c r="BU11" s="86">
        <f ca="1">_xll.meMathBlackScholesGamma($C$9,$BS11,$C$11,$C$12,BU$4,$C$14,$C$15)</f>
        <v>3.5093388466936218E-3</v>
      </c>
      <c r="BV11" s="86">
        <f ca="1">_xll.meMathBlackScholesGamma($C$9,$BS11,$C$11,$C$12,BV$4,$C$14,$C$15)</f>
        <v>3.8449590650486364E-3</v>
      </c>
      <c r="BW11" s="86">
        <f ca="1">_xll.meMathBlackScholesGamma($C$9,$BS11,$C$11,$C$12,BW$4,$C$14,$C$15)</f>
        <v>4.1630686520651933E-3</v>
      </c>
      <c r="BX11" s="86">
        <f ca="1">_xll.meMathBlackScholesGamma($C$9,$BS11,$C$11,$C$12,BX$4,$C$14,$C$15)</f>
        <v>4.4631406226042277E-3</v>
      </c>
      <c r="BY11" s="87">
        <f ca="1">_xll.meMathBlackScholesGamma($C$9,$BS11,$C$11,$C$12,BY$4,$C$14,$C$15)</f>
        <v>4.7451367772989254E-3</v>
      </c>
      <c r="BZ11" s="86">
        <f ca="1">_xll.meMathBlackScholesGamma($C$9,$BS11,$C$11,$C$12,BZ$4,$C$14,$C$15)</f>
        <v>5.0093605415542277E-3</v>
      </c>
      <c r="CA11" s="86">
        <f ca="1">_xll.meMathBlackScholesGamma($C$9,$BS11,$C$11,$C$12,CA$4,$C$14,$C$15)</f>
        <v>5.2563470273732961E-3</v>
      </c>
      <c r="CB11" s="86">
        <f ca="1">_xll.meMathBlackScholesGamma($C$9,$BS11,$C$11,$C$12,CB$4,$C$14,$C$15)</f>
        <v>5.4867818253562543E-3</v>
      </c>
      <c r="CC11" s="86">
        <f ca="1">_xll.meMathBlackScholesGamma($C$9,$BS11,$C$11,$C$12,CC$4,$C$14,$C$15)</f>
        <v>5.7014416433317019E-3</v>
      </c>
      <c r="CD11" s="88">
        <f ca="1">_xll.meMathBlackScholesGamma($C$9,$BS11,$C$11,$C$12,CD$4,$C$14,$C$15)</f>
        <v>5.9011513873497567E-3</v>
      </c>
      <c r="CF11" s="40">
        <f t="shared" si="28"/>
        <v>1.2000000000000002</v>
      </c>
      <c r="CG11" s="45">
        <f t="shared" si="29"/>
        <v>120.00000000000001</v>
      </c>
      <c r="CH11" s="85">
        <f ca="1">_xll.meMathBlackScholesVega($C$9,$CG11,$C$11,$C$12,CH$4,$C$14,$C$15)</f>
        <v>3.4100115101801602E-2</v>
      </c>
      <c r="CI11" s="86">
        <f ca="1">_xll.meMathBlackScholesVega($C$9,$CG11,$C$11,$C$12,CI$4,$C$14,$C$15)</f>
        <v>4.0427583513910514E-2</v>
      </c>
      <c r="CJ11" s="86">
        <f ca="1">_xll.meMathBlackScholesVega($C$9,$CG11,$C$11,$C$12,CJ$4,$C$14,$C$15)</f>
        <v>4.706229895619532E-2</v>
      </c>
      <c r="CK11" s="86">
        <f ca="1">_xll.meMathBlackScholesVega($C$9,$CG11,$C$11,$C$12,CK$4,$C$14,$C$15)</f>
        <v>5.3953369730764908E-2</v>
      </c>
      <c r="CL11" s="86">
        <f ca="1">_xll.meMathBlackScholesVega($C$9,$CG11,$C$11,$C$12,CL$4,$C$14,$C$15)</f>
        <v>6.1055763717225847E-2</v>
      </c>
      <c r="CM11" s="87">
        <f ca="1">_xll.meMathBlackScholesVega($C$9,$CG11,$C$11,$C$12,CM$4,$C$14,$C$15)</f>
        <v>6.8329969593104542E-2</v>
      </c>
      <c r="CN11" s="86">
        <f ca="1">_xll.meMathBlackScholesVega($C$9,$CG11,$C$11,$C$12,CN$4,$C$14,$C$15)</f>
        <v>7.5741531388299962E-2</v>
      </c>
      <c r="CO11" s="86">
        <f ca="1">_xll.meMathBlackScholesVega($C$9,$CG11,$C$11,$C$12,CO$4,$C$14,$C$15)</f>
        <v>8.3260536913593058E-2</v>
      </c>
      <c r="CP11" s="86">
        <f ca="1">_xll.meMathBlackScholesVega($C$9,$CG11,$C$11,$C$12,CP$4,$C$14,$C$15)</f>
        <v>9.0861107027899596E-2</v>
      </c>
      <c r="CQ11" s="86">
        <f ca="1">_xll.meMathBlackScholesVega($C$9,$CG11,$C$11,$C$12,CQ$4,$C$14,$C$15)</f>
        <v>9.8520911596771885E-2</v>
      </c>
      <c r="CR11" s="88">
        <f ca="1">_xll.meMathBlackScholesVega($C$9,$CG11,$C$11,$C$12,CR$4,$C$14,$C$15)</f>
        <v>0.10622072497229568</v>
      </c>
      <c r="CT11" s="40">
        <f t="shared" si="30"/>
        <v>1.2000000000000002</v>
      </c>
      <c r="CU11" s="45">
        <f t="shared" si="31"/>
        <v>120.00000000000001</v>
      </c>
      <c r="CV11" s="85">
        <f ca="1">_xll.meMathBlackScholesTheta($C$9,$CU11,$C$11,$C$12,CV$4,$C$14,$C$15)</f>
        <v>-3.2967725896536305E-3</v>
      </c>
      <c r="CW11" s="86">
        <f ca="1">_xll.meMathBlackScholesTheta($C$9,$CU11,$C$11,$C$12,CW$4,$C$14,$C$15)</f>
        <v>-3.3572439807421743E-3</v>
      </c>
      <c r="CX11" s="86">
        <f ca="1">_xll.meMathBlackScholesTheta($C$9,$CU11,$C$11,$C$12,CX$4,$C$14,$C$15)</f>
        <v>-3.4142426414136102E-3</v>
      </c>
      <c r="CY11" s="86">
        <f ca="1">_xll.meMathBlackScholesTheta($C$9,$CU11,$C$11,$C$12,CY$4,$C$14,$C$15)</f>
        <v>-3.4675963224480581E-3</v>
      </c>
      <c r="CZ11" s="86">
        <f ca="1">_xll.meMathBlackScholesTheta($C$9,$CU11,$C$11,$C$12,CZ$4,$C$14,$C$15)</f>
        <v>-3.5172581366656385E-3</v>
      </c>
      <c r="DA11" s="87">
        <f ca="1">_xll.meMathBlackScholesTheta($C$9,$CU11,$C$11,$C$12,DA$4,$C$14,$C$15)</f>
        <v>-3.5632691094734156E-3</v>
      </c>
      <c r="DB11" s="86">
        <f ca="1">_xll.meMathBlackScholesTheta($C$9,$CU11,$C$11,$C$12,DB$4,$C$14,$C$15)</f>
        <v>-3.6057301110280398E-3</v>
      </c>
      <c r="DC11" s="86">
        <f ca="1">_xll.meMathBlackScholesTheta($C$9,$CU11,$C$11,$C$12,DC$4,$C$14,$C$15)</f>
        <v>-3.6447811197957971E-3</v>
      </c>
      <c r="DD11" s="86">
        <f ca="1">_xll.meMathBlackScholesTheta($C$9,$CU11,$C$11,$C$12,DD$4,$C$14,$C$15)</f>
        <v>-3.6805860922762873E-3</v>
      </c>
      <c r="DE11" s="86">
        <f ca="1">_xll.meMathBlackScholesTheta($C$9,$CU11,$C$11,$C$12,DE$4,$C$14,$C$15)</f>
        <v>-3.7133220580108433E-3</v>
      </c>
      <c r="DF11" s="88">
        <f ca="1">_xll.meMathBlackScholesTheta($C$9,$CU11,$C$11,$C$12,DF$4,$C$14,$C$15)</f>
        <v>-3.7431713665308755E-3</v>
      </c>
      <c r="DH11" s="40">
        <f t="shared" si="32"/>
        <v>1.2000000000000002</v>
      </c>
      <c r="DI11" s="45">
        <f t="shared" si="33"/>
        <v>120.00000000000001</v>
      </c>
      <c r="DJ11" s="85">
        <f ca="1">_xll.meMathBlackScholesRho($C$9,$DI11,$C$11,$C$12,DJ$4,$C$14,$C$15)</f>
        <v>0.73260906576923301</v>
      </c>
      <c r="DK11" s="86">
        <f ca="1">_xll.meMathBlackScholesRho($C$9,$DI11,$C$11,$C$12,DK$4,$C$14,$C$15)</f>
        <v>0.77884877360331062</v>
      </c>
      <c r="DL11" s="86">
        <f ca="1">_xll.meMathBlackScholesRho($C$9,$DI11,$C$11,$C$12,DL$4,$C$14,$C$15)</f>
        <v>0.82468281127889609</v>
      </c>
      <c r="DM11" s="86">
        <f ca="1">_xll.meMathBlackScholesRho($C$9,$DI11,$C$11,$C$12,DM$4,$C$14,$C$15)</f>
        <v>0.87011875244291337</v>
      </c>
      <c r="DN11" s="86">
        <f ca="1">_xll.meMathBlackScholesRho($C$9,$DI11,$C$11,$C$12,DN$4,$C$14,$C$15)</f>
        <v>0.91516578911013879</v>
      </c>
      <c r="DO11" s="87">
        <f ca="1">_xll.meMathBlackScholesRho($C$9,$DI11,$C$11,$C$12,DO$4,$C$14,$C$15)</f>
        <v>0.95983419426964234</v>
      </c>
      <c r="DP11" s="86">
        <f ca="1">_xll.meMathBlackScholesRho($C$9,$DI11,$C$11,$C$12,DP$4,$C$14,$C$15)</f>
        <v>1.0041349122641414</v>
      </c>
      <c r="DQ11" s="86">
        <f ca="1">_xll.meMathBlackScholesRho($C$9,$DI11,$C$11,$C$12,DQ$4,$C$14,$C$15)</f>
        <v>1.0480792498379912</v>
      </c>
      <c r="DR11" s="86">
        <f ca="1">_xll.meMathBlackScholesRho($C$9,$DI11,$C$11,$C$12,DR$4,$C$14,$C$15)</f>
        <v>1.0916786455950032</v>
      </c>
      <c r="DS11" s="86">
        <f ca="1">_xll.meMathBlackScholesRho($C$9,$DI11,$C$11,$C$12,DS$4,$C$14,$C$15)</f>
        <v>1.1349445000422933</v>
      </c>
      <c r="DT11" s="88">
        <f ca="1">_xll.meMathBlackScholesRho($C$9,$DI11,$C$11,$C$12,DT$4,$C$14,$C$15)</f>
        <v>1.1778880521702748</v>
      </c>
    </row>
    <row r="12" spans="2:124" x14ac:dyDescent="0.25">
      <c r="B12" t="s">
        <v>18</v>
      </c>
      <c r="C12" s="30">
        <v>0.1</v>
      </c>
      <c r="N12" s="40">
        <f t="shared" si="8"/>
        <v>1.1500000000000001</v>
      </c>
      <c r="O12" s="45">
        <f t="shared" si="9"/>
        <v>115.00000000000001</v>
      </c>
      <c r="P12" s="43">
        <f t="shared" ca="1" si="34"/>
        <v>8.6871545227797567E-2</v>
      </c>
      <c r="Q12" s="44">
        <f t="shared" ca="1" si="10"/>
        <v>9.7273487048198853E-2</v>
      </c>
      <c r="R12" s="44">
        <f t="shared" ca="1" si="11"/>
        <v>0.1076720732105606</v>
      </c>
      <c r="S12" s="44">
        <f t="shared" ca="1" si="12"/>
        <v>0.11803032678147536</v>
      </c>
      <c r="T12" s="44">
        <f t="shared" ca="1" si="13"/>
        <v>0.12832009891316645</v>
      </c>
      <c r="U12" s="55">
        <f t="shared" ca="1" si="14"/>
        <v>0.13852014243074254</v>
      </c>
      <c r="V12" s="44">
        <f t="shared" ca="1" si="15"/>
        <v>0.14861460721854988</v>
      </c>
      <c r="W12" s="44">
        <f t="shared" ca="1" si="16"/>
        <v>0.1585918660466368</v>
      </c>
      <c r="X12" s="44">
        <f t="shared" ca="1" si="17"/>
        <v>0.16844359762863134</v>
      </c>
      <c r="Y12" s="44">
        <f t="shared" ca="1" si="18"/>
        <v>0.17816406940221755</v>
      </c>
      <c r="Z12" s="45">
        <f t="shared" ca="1" si="19"/>
        <v>0.18774957533695194</v>
      </c>
      <c r="AB12" s="40">
        <f t="shared" si="20"/>
        <v>1.1500000000000001</v>
      </c>
      <c r="AC12" s="45">
        <f t="shared" si="21"/>
        <v>115.00000000000001</v>
      </c>
      <c r="AD12" s="85">
        <f ca="1">_xll.meMathBlackScholesPrice($C$9,$AC12,$C$11,$C$12,AD$4,$C$14,$C$15)</f>
        <v>15.916101119784926</v>
      </c>
      <c r="AE12" s="86">
        <f ca="1">_xll.meMathBlackScholesPrice($C$9,$AC12,$C$11,$C$12,AE$4,$C$14,$C$15)</f>
        <v>15.992858658984673</v>
      </c>
      <c r="AF12" s="86">
        <f ca="1">_xll.meMathBlackScholesPrice($C$9,$AC12,$C$11,$C$12,AF$4,$C$14,$C$15)</f>
        <v>16.070688846579543</v>
      </c>
      <c r="AG12" s="86">
        <f ca="1">_xll.meMathBlackScholesPrice($C$9,$AC12,$C$11,$C$12,AG$4,$C$14,$C$15)</f>
        <v>16.149435987764107</v>
      </c>
      <c r="AH12" s="86">
        <f ca="1">_xll.meMathBlackScholesPrice($C$9,$AC12,$C$11,$C$12,AH$4,$C$14,$C$15)</f>
        <v>16.22896237270065</v>
      </c>
      <c r="AI12" s="87">
        <f ca="1">_xll.meMathBlackScholesPrice($C$9,$AC12,$C$11,$C$12,AI$4,$C$14,$C$15)</f>
        <v>16.309146495814886</v>
      </c>
      <c r="AJ12" s="86">
        <f ca="1">_xll.meMathBlackScholesPrice($C$9,$AC12,$C$11,$C$12,AJ$4,$C$14,$C$15)</f>
        <v>16.389881294773645</v>
      </c>
      <c r="AK12" s="86">
        <f ca="1">_xll.meMathBlackScholesPrice($C$9,$AC12,$C$11,$C$12,AK$4,$C$14,$C$15)</f>
        <v>16.471072493002524</v>
      </c>
      <c r="AL12" s="86">
        <f ca="1">_xll.meMathBlackScholesPrice($C$9,$AC12,$C$11,$C$12,AL$4,$C$14,$C$15)</f>
        <v>16.552637084230042</v>
      </c>
      <c r="AM12" s="86">
        <f ca="1">_xll.meMathBlackScholesPrice($C$9,$AC12,$C$11,$C$12,AM$4,$C$14,$C$15)</f>
        <v>16.634501971612593</v>
      </c>
      <c r="AN12" s="88">
        <f ca="1">_xll.meMathBlackScholesPrice($C$9,$AC12,$C$11,$C$12,AN$4,$C$14,$C$15)</f>
        <v>16.716602759671176</v>
      </c>
      <c r="AP12" s="40">
        <f t="shared" si="22"/>
        <v>1.1500000000000001</v>
      </c>
      <c r="AQ12" s="45">
        <f t="shared" si="23"/>
        <v>115.00000000000001</v>
      </c>
      <c r="AR12" s="71">
        <f ca="1">_xll.meMathBlackScholesDeltaSpot($C$9,$AQ12,$C$11,$C$12,AR$4,$C$14,$C$15)</f>
        <v>0.95939740740908286</v>
      </c>
      <c r="AS12" s="72">
        <f ca="1">_xll.meMathBlackScholesDeltaSpot($C$9,$AQ12,$C$11,$C$12,AS$4,$C$14,$C$15)</f>
        <v>0.95512804158206521</v>
      </c>
      <c r="AT12" s="72">
        <f ca="1">_xll.meMathBlackScholesDeltaSpot($C$9,$AQ12,$C$11,$C$12,AT$4,$C$14,$C$15)</f>
        <v>0.9509590237393718</v>
      </c>
      <c r="AU12" s="72">
        <f ca="1">_xll.meMathBlackScholesDeltaSpot($C$9,$AQ12,$C$11,$C$12,AU$4,$C$14,$C$15)</f>
        <v>0.94690122807155475</v>
      </c>
      <c r="AV12" s="72">
        <f ca="1">_xll.meMathBlackScholesDeltaSpot($C$9,$AQ12,$C$11,$C$12,AV$4,$C$14,$C$15)</f>
        <v>0.94296135794394687</v>
      </c>
      <c r="AW12" s="73">
        <f ca="1">_xll.meMathBlackScholesDeltaSpot($C$9,$AQ12,$C$11,$C$12,AW$4,$C$14,$C$15)</f>
        <v>0.93914302395912652</v>
      </c>
      <c r="AX12" s="72">
        <f ca="1">_xll.meMathBlackScholesDeltaSpot($C$9,$AQ12,$C$11,$C$12,AX$4,$C$14,$C$15)</f>
        <v>0.93544755753095288</v>
      </c>
      <c r="AY12" s="72">
        <f ca="1">_xll.meMathBlackScholesDeltaSpot($C$9,$AQ12,$C$11,$C$12,AY$4,$C$14,$C$15)</f>
        <v>0.93187462399429155</v>
      </c>
      <c r="AZ12" s="72">
        <f ca="1">_xll.meMathBlackScholesDeltaSpot($C$9,$AQ12,$C$11,$C$12,AZ$4,$C$14,$C$15)</f>
        <v>0.92842268435448194</v>
      </c>
      <c r="BA12" s="72">
        <f ca="1">_xll.meMathBlackScholesDeltaSpot($C$9,$AQ12,$C$11,$C$12,BA$4,$C$14,$C$15)</f>
        <v>0.92508934289885447</v>
      </c>
      <c r="BB12" s="74">
        <f ca="1">_xll.meMathBlackScholesDeltaSpot($C$9,$AQ12,$C$11,$C$12,BB$4,$C$14,$C$15)</f>
        <v>0.92187160871983342</v>
      </c>
      <c r="BD12" s="40">
        <f t="shared" si="24"/>
        <v>1.1500000000000001</v>
      </c>
      <c r="BE12" s="45">
        <f t="shared" si="25"/>
        <v>115.00000000000001</v>
      </c>
      <c r="BF12" s="71">
        <f ca="1">_xll.meMathBlackScholesDeltaForward($C$9,$BE12,$C$11,$C$12,BF$4,$C$14,$C$15)</f>
        <v>0.95939740740908286</v>
      </c>
      <c r="BG12" s="72">
        <f ca="1">_xll.meMathBlackScholesDeltaForward($C$9,$BE12,$C$11,$C$12,BG$4,$C$14,$C$15)</f>
        <v>0.95512804158206521</v>
      </c>
      <c r="BH12" s="72">
        <f ca="1">_xll.meMathBlackScholesDeltaForward($C$9,$BE12,$C$11,$C$12,BH$4,$C$14,$C$15)</f>
        <v>0.9509590237393718</v>
      </c>
      <c r="BI12" s="72">
        <f ca="1">_xll.meMathBlackScholesDeltaForward($C$9,$BE12,$C$11,$C$12,BI$4,$C$14,$C$15)</f>
        <v>0.94690122807155475</v>
      </c>
      <c r="BJ12" s="72">
        <f ca="1">_xll.meMathBlackScholesDeltaForward($C$9,$BE12,$C$11,$C$12,BJ$4,$C$14,$C$15)</f>
        <v>0.94296135794394687</v>
      </c>
      <c r="BK12" s="73">
        <f ca="1">_xll.meMathBlackScholesDeltaForward($C$9,$BE12,$C$11,$C$12,BK$4,$C$14,$C$15)</f>
        <v>0.93914302395912652</v>
      </c>
      <c r="BL12" s="72">
        <f ca="1">_xll.meMathBlackScholesDeltaForward($C$9,$BE12,$C$11,$C$12,BL$4,$C$14,$C$15)</f>
        <v>0.93544755753095288</v>
      </c>
      <c r="BM12" s="72">
        <f ca="1">_xll.meMathBlackScholesDeltaForward($C$9,$BE12,$C$11,$C$12,BM$4,$C$14,$C$15)</f>
        <v>0.93187462399429155</v>
      </c>
      <c r="BN12" s="72">
        <f ca="1">_xll.meMathBlackScholesDeltaForward($C$9,$BE12,$C$11,$C$12,BN$4,$C$14,$C$15)</f>
        <v>0.92842268435448194</v>
      </c>
      <c r="BO12" s="72">
        <f ca="1">_xll.meMathBlackScholesDeltaForward($C$9,$BE12,$C$11,$C$12,BO$4,$C$14,$C$15)</f>
        <v>0.92508934289885447</v>
      </c>
      <c r="BP12" s="74">
        <f ca="1">_xll.meMathBlackScholesDeltaForward($C$9,$BE12,$C$11,$C$12,BP$4,$C$14,$C$15)</f>
        <v>0.92187160871983342</v>
      </c>
      <c r="BR12" s="40">
        <f t="shared" si="26"/>
        <v>1.1500000000000001</v>
      </c>
      <c r="BS12" s="45">
        <f t="shared" si="27"/>
        <v>115.00000000000001</v>
      </c>
      <c r="BT12" s="85">
        <f ca="1">_xll.meMathBlackScholesGamma($C$9,$BS12,$C$11,$C$12,BT$4,$C$14,$C$15)</f>
        <v>8.7583158389714002E-3</v>
      </c>
      <c r="BU12" s="86">
        <f ca="1">_xll.meMathBlackScholesGamma($C$9,$BS12,$C$11,$C$12,BU$4,$C$14,$C$15)</f>
        <v>9.1940914034214418E-3</v>
      </c>
      <c r="BV12" s="86">
        <f ca="1">_xll.meMathBlackScholesGamma($C$9,$BS12,$C$11,$C$12,BV$4,$C$14,$C$15)</f>
        <v>9.5783007415154546E-3</v>
      </c>
      <c r="BW12" s="86">
        <f ca="1">_xll.meMathBlackScholesGamma($C$9,$BS12,$C$11,$C$12,BW$4,$C$14,$C$15)</f>
        <v>9.9164315716425405E-3</v>
      </c>
      <c r="BX12" s="86">
        <f ca="1">_xll.meMathBlackScholesGamma($C$9,$BS12,$C$11,$C$12,BX$4,$C$14,$C$15)</f>
        <v>1.0213518966325058E-2</v>
      </c>
      <c r="BY12" s="87">
        <f ca="1">_xll.meMathBlackScholesGamma($C$9,$BS12,$C$11,$C$12,BY$4,$C$14,$C$15)</f>
        <v>1.0474112849205481E-2</v>
      </c>
      <c r="BZ12" s="86">
        <f ca="1">_xll.meMathBlackScholesGamma($C$9,$BS12,$C$11,$C$12,BZ$4,$C$14,$C$15)</f>
        <v>1.0702285153914829E-2</v>
      </c>
      <c r="CA12" s="86">
        <f ca="1">_xll.meMathBlackScholesGamma($C$9,$BS12,$C$11,$C$12,CA$4,$C$14,$C$15)</f>
        <v>1.0901657745085872E-2</v>
      </c>
      <c r="CB12" s="86">
        <f ca="1">_xll.meMathBlackScholesGamma($C$9,$BS12,$C$11,$C$12,CB$4,$C$14,$C$15)</f>
        <v>1.1075439969006744E-2</v>
      </c>
      <c r="CC12" s="86">
        <f ca="1">_xll.meMathBlackScholesGamma($C$9,$BS12,$C$11,$C$12,CC$4,$C$14,$C$15)</f>
        <v>1.1226469401525987E-2</v>
      </c>
      <c r="CD12" s="88">
        <f ca="1">_xll.meMathBlackScholesGamma($C$9,$BS12,$C$11,$C$12,CD$4,$C$14,$C$15)</f>
        <v>1.1357252194295765E-2</v>
      </c>
      <c r="CF12" s="40">
        <f t="shared" si="28"/>
        <v>1.1500000000000001</v>
      </c>
      <c r="CG12" s="45">
        <f t="shared" si="29"/>
        <v>115.00000000000001</v>
      </c>
      <c r="CH12" s="85">
        <f ca="1">_xll.meMathBlackScholesVega($C$9,$CG12,$C$11,$C$12,CH$4,$C$14,$C$15)</f>
        <v>8.6871545227797567E-2</v>
      </c>
      <c r="CI12" s="86">
        <f ca="1">_xll.meMathBlackScholesVega($C$9,$CG12,$C$11,$C$12,CI$4,$C$14,$C$15)</f>
        <v>9.7273487048198853E-2</v>
      </c>
      <c r="CJ12" s="86">
        <f ca="1">_xll.meMathBlackScholesVega($C$9,$CG12,$C$11,$C$12,CJ$4,$C$14,$C$15)</f>
        <v>0.1076720732105606</v>
      </c>
      <c r="CK12" s="86">
        <f ca="1">_xll.meMathBlackScholesVega($C$9,$CG12,$C$11,$C$12,CK$4,$C$14,$C$15)</f>
        <v>0.11803032678147536</v>
      </c>
      <c r="CL12" s="86">
        <f ca="1">_xll.meMathBlackScholesVega($C$9,$CG12,$C$11,$C$12,CL$4,$C$14,$C$15)</f>
        <v>0.12832009891316645</v>
      </c>
      <c r="CM12" s="87">
        <f ca="1">_xll.meMathBlackScholesVega($C$9,$CG12,$C$11,$C$12,CM$4,$C$14,$C$15)</f>
        <v>0.13852014243074254</v>
      </c>
      <c r="CN12" s="86">
        <f ca="1">_xll.meMathBlackScholesVega($C$9,$CG12,$C$11,$C$12,CN$4,$C$14,$C$15)</f>
        <v>0.14861460721854988</v>
      </c>
      <c r="CO12" s="86">
        <f ca="1">_xll.meMathBlackScholesVega($C$9,$CG12,$C$11,$C$12,CO$4,$C$14,$C$15)</f>
        <v>0.1585918660466368</v>
      </c>
      <c r="CP12" s="86">
        <f ca="1">_xll.meMathBlackScholesVega($C$9,$CG12,$C$11,$C$12,CP$4,$C$14,$C$15)</f>
        <v>0.16844359762863134</v>
      </c>
      <c r="CQ12" s="86">
        <f ca="1">_xll.meMathBlackScholesVega($C$9,$CG12,$C$11,$C$12,CQ$4,$C$14,$C$15)</f>
        <v>0.17816406940221755</v>
      </c>
      <c r="CR12" s="88">
        <f ca="1">_xll.meMathBlackScholesVega($C$9,$CG12,$C$11,$C$12,CR$4,$C$14,$C$15)</f>
        <v>0.18774957533695194</v>
      </c>
      <c r="CT12" s="40">
        <f t="shared" si="30"/>
        <v>1.1500000000000001</v>
      </c>
      <c r="CU12" s="45">
        <f t="shared" si="31"/>
        <v>115.00000000000001</v>
      </c>
      <c r="CV12" s="85">
        <f ca="1">_xll.meMathBlackScholesTheta($C$9,$CU12,$C$11,$C$12,CV$4,$C$14,$C$15)</f>
        <v>-4.1705397458578512E-3</v>
      </c>
      <c r="CW12" s="86">
        <f ca="1">_xll.meMathBlackScholesTheta($C$9,$CU12,$C$11,$C$12,CW$4,$C$14,$C$15)</f>
        <v>-4.2338889946085456E-3</v>
      </c>
      <c r="CX12" s="86">
        <f ca="1">_xll.meMathBlackScholesTheta($C$9,$CU12,$C$11,$C$12,CX$4,$C$14,$C$15)</f>
        <v>-4.2881892549409767E-3</v>
      </c>
      <c r="CY12" s="86">
        <f ca="1">_xll.meMathBlackScholesTheta($C$9,$CU12,$C$11,$C$12,CY$4,$C$14,$C$15)</f>
        <v>-4.3344725258850384E-3</v>
      </c>
      <c r="CZ12" s="86">
        <f ca="1">_xll.meMathBlackScholesTheta($C$9,$CU12,$C$11,$C$12,CZ$4,$C$14,$C$15)</f>
        <v>-4.3736752349261528E-3</v>
      </c>
      <c r="DA12" s="87">
        <f ca="1">_xll.meMathBlackScholesTheta($C$9,$CU12,$C$11,$C$12,DA$4,$C$14,$C$15)</f>
        <v>-4.4066357967106349E-3</v>
      </c>
      <c r="DB12" s="86">
        <f ca="1">_xll.meMathBlackScholesTheta($C$9,$CU12,$C$11,$C$12,DB$4,$C$14,$C$15)</f>
        <v>-4.4340985188651002E-3</v>
      </c>
      <c r="DC12" s="86">
        <f ca="1">_xll.meMathBlackScholesTheta($C$9,$CU12,$C$11,$C$12,DC$4,$C$14,$C$15)</f>
        <v>-4.4567206326001745E-3</v>
      </c>
      <c r="DD12" s="86">
        <f ca="1">_xll.meMathBlackScholesTheta($C$9,$CU12,$C$11,$C$12,DD$4,$C$14,$C$15)</f>
        <v>-4.475080586217455E-3</v>
      </c>
      <c r="DE12" s="86">
        <f ca="1">_xll.meMathBlackScholesTheta($C$9,$CU12,$C$11,$C$12,DE$4,$C$14,$C$15)</f>
        <v>-4.4896865538493168E-3</v>
      </c>
      <c r="DF12" s="88">
        <f ca="1">_xll.meMathBlackScholesTheta($C$9,$CU12,$C$11,$C$12,DF$4,$C$14,$C$15)</f>
        <v>-4.5009845962461457E-3</v>
      </c>
      <c r="DH12" s="40">
        <f t="shared" si="32"/>
        <v>1.1500000000000001</v>
      </c>
      <c r="DI12" s="45">
        <f t="shared" si="33"/>
        <v>115.00000000000001</v>
      </c>
      <c r="DJ12" s="85">
        <f ca="1">_xll.meMathBlackScholesRho($C$9,$DI12,$C$11,$C$12,DJ$4,$C$14,$C$15)</f>
        <v>0.70810950549194696</v>
      </c>
      <c r="DK12" s="86">
        <f ca="1">_xll.meMathBlackScholesRho($C$9,$DI12,$C$11,$C$12,DK$4,$C$14,$C$15)</f>
        <v>0.75077492898362264</v>
      </c>
      <c r="DL12" s="86">
        <f ca="1">_xll.meMathBlackScholesRho($C$9,$DI12,$C$11,$C$12,DL$4,$C$14,$C$15)</f>
        <v>0.79296159050930981</v>
      </c>
      <c r="DM12" s="86">
        <f ca="1">_xll.meMathBlackScholesRho($C$9,$DI12,$C$11,$C$12,DM$4,$C$14,$C$15)</f>
        <v>0.83469784716418216</v>
      </c>
      <c r="DN12" s="86">
        <f ca="1">_xll.meMathBlackScholesRho($C$9,$DI12,$C$11,$C$12,DN$4,$C$14,$C$15)</f>
        <v>0.87601014101310581</v>
      </c>
      <c r="DO12" s="87">
        <f ca="1">_xll.meMathBlackScholesRho($C$9,$DI12,$C$11,$C$12,DO$4,$C$14,$C$15)</f>
        <v>0.91692301259484676</v>
      </c>
      <c r="DP12" s="86">
        <f ca="1">_xll.meMathBlackScholesRho($C$9,$DI12,$C$11,$C$12,DP$4,$C$14,$C$15)</f>
        <v>0.95745917212350262</v>
      </c>
      <c r="DQ12" s="86">
        <f ca="1">_xll.meMathBlackScholesRho($C$9,$DI12,$C$11,$C$12,DQ$4,$C$14,$C$15)</f>
        <v>0.99763960192975132</v>
      </c>
      <c r="DR12" s="86">
        <f ca="1">_xll.meMathBlackScholesRho($C$9,$DI12,$C$11,$C$12,DR$4,$C$14,$C$15)</f>
        <v>1.0374836735901571</v>
      </c>
      <c r="DS12" s="86">
        <f ca="1">_xll.meMathBlackScholesRho($C$9,$DI12,$C$11,$C$12,DS$4,$C$14,$C$15)</f>
        <v>1.0770092695410682</v>
      </c>
      <c r="DT12" s="88">
        <f ca="1">_xll.meMathBlackScholesRho($C$9,$DI12,$C$11,$C$12,DT$4,$C$14,$C$15)</f>
        <v>1.1162329030388711</v>
      </c>
    </row>
    <row r="13" spans="2:124" x14ac:dyDescent="0.25">
      <c r="B13" t="s">
        <v>19</v>
      </c>
      <c r="C13" s="29">
        <v>1</v>
      </c>
      <c r="N13" s="40">
        <f t="shared" si="8"/>
        <v>1.1000000000000001</v>
      </c>
      <c r="O13" s="45">
        <f t="shared" si="9"/>
        <v>110.00000000000001</v>
      </c>
      <c r="P13" s="43">
        <f t="shared" ca="1" si="34"/>
        <v>0.17826676259808541</v>
      </c>
      <c r="Q13" s="44">
        <f t="shared" ca="1" si="10"/>
        <v>0.19110786021475307</v>
      </c>
      <c r="R13" s="44">
        <f t="shared" ca="1" si="11"/>
        <v>0.20356491837514237</v>
      </c>
      <c r="S13" s="44">
        <f t="shared" ca="1" si="12"/>
        <v>0.21565675444124374</v>
      </c>
      <c r="T13" s="44">
        <f t="shared" ca="1" si="13"/>
        <v>0.22740228891943251</v>
      </c>
      <c r="U13" s="55">
        <f t="shared" ca="1" si="14"/>
        <v>0.23882000168449921</v>
      </c>
      <c r="V13" s="44">
        <f t="shared" ca="1" si="15"/>
        <v>0.24992762176162786</v>
      </c>
      <c r="W13" s="44">
        <f t="shared" ca="1" si="16"/>
        <v>0.26074196389644855</v>
      </c>
      <c r="X13" s="44">
        <f t="shared" ca="1" si="17"/>
        <v>0.27127885706808347</v>
      </c>
      <c r="Y13" s="44">
        <f t="shared" ca="1" si="18"/>
        <v>0.28155313000155563</v>
      </c>
      <c r="Z13" s="45">
        <f t="shared" ca="1" si="19"/>
        <v>0.29157863129240885</v>
      </c>
      <c r="AB13" s="40">
        <f t="shared" si="20"/>
        <v>1.1000000000000001</v>
      </c>
      <c r="AC13" s="45">
        <f t="shared" si="21"/>
        <v>110.00000000000001</v>
      </c>
      <c r="AD13" s="85">
        <f ca="1">_xll.meMathBlackScholesPrice($C$9,$AC13,$C$11,$C$12,AD$4,$C$14,$C$15)</f>
        <v>11.268061384076603</v>
      </c>
      <c r="AE13" s="86">
        <f ca="1">_xll.meMathBlackScholesPrice($C$9,$AC13,$C$11,$C$12,AE$4,$C$14,$C$15)</f>
        <v>11.370814905674337</v>
      </c>
      <c r="AF13" s="86">
        <f ca="1">_xll.meMathBlackScholesPrice($C$9,$AC13,$C$11,$C$12,AF$4,$C$14,$C$15)</f>
        <v>11.47342805487115</v>
      </c>
      <c r="AG13" s="86">
        <f ca="1">_xll.meMathBlackScholesPrice($C$9,$AC13,$C$11,$C$12,AG$4,$C$14,$C$15)</f>
        <v>11.575788565318959</v>
      </c>
      <c r="AH13" s="86">
        <f ca="1">_xll.meMathBlackScholesPrice($C$9,$AC13,$C$11,$C$12,AH$4,$C$14,$C$15)</f>
        <v>11.677809168174193</v>
      </c>
      <c r="AI13" s="87">
        <f ca="1">_xll.meMathBlackScholesPrice($C$9,$AC13,$C$11,$C$12,AI$4,$C$14,$C$15)</f>
        <v>11.779422212446278</v>
      </c>
      <c r="AJ13" s="86">
        <f ca="1">_xll.meMathBlackScholesPrice($C$9,$AC13,$C$11,$C$12,AJ$4,$C$14,$C$15)</f>
        <v>11.880575526435806</v>
      </c>
      <c r="AK13" s="86">
        <f ca="1">_xll.meMathBlackScholesPrice($C$9,$AC13,$C$11,$C$12,AK$4,$C$14,$C$15)</f>
        <v>11.981229211819723</v>
      </c>
      <c r="AL13" s="86">
        <f ca="1">_xll.meMathBlackScholesPrice($C$9,$AC13,$C$11,$C$12,AL$4,$C$14,$C$15)</f>
        <v>12.081353143553201</v>
      </c>
      <c r="AM13" s="86">
        <f ca="1">_xll.meMathBlackScholesPrice($C$9,$AC13,$C$11,$C$12,AM$4,$C$14,$C$15)</f>
        <v>12.180925007760692</v>
      </c>
      <c r="AN13" s="88">
        <f ca="1">_xll.meMathBlackScholesPrice($C$9,$AC13,$C$11,$C$12,AN$4,$C$14,$C$15)</f>
        <v>12.279928752601293</v>
      </c>
      <c r="AP13" s="40">
        <f t="shared" si="22"/>
        <v>1.1000000000000001</v>
      </c>
      <c r="AQ13" s="45">
        <f t="shared" si="23"/>
        <v>110.00000000000001</v>
      </c>
      <c r="AR13" s="71">
        <f ca="1">_xll.meMathBlackScholesDeltaSpot($C$9,$AQ13,$C$11,$C$12,AR$4,$C$14,$C$15)</f>
        <v>0.89073586169483876</v>
      </c>
      <c r="AS13" s="72">
        <f ca="1">_xll.meMathBlackScholesDeltaSpot($C$9,$AQ13,$C$11,$C$12,AS$4,$C$14,$C$15)</f>
        <v>0.88488455046683934</v>
      </c>
      <c r="AT13" s="72">
        <f ca="1">_xll.meMathBlackScholesDeltaSpot($C$9,$AQ13,$C$11,$C$12,AT$4,$C$14,$C$15)</f>
        <v>0.87941697135030084</v>
      </c>
      <c r="AU13" s="72">
        <f ca="1">_xll.meMathBlackScholesDeltaSpot($C$9,$AQ13,$C$11,$C$12,AU$4,$C$14,$C$15)</f>
        <v>0.87430092401455384</v>
      </c>
      <c r="AV13" s="72">
        <f ca="1">_xll.meMathBlackScholesDeltaSpot($C$9,$AQ13,$C$11,$C$12,AV$4,$C$14,$C$15)</f>
        <v>0.86950700406135417</v>
      </c>
      <c r="AW13" s="73">
        <f ca="1">_xll.meMathBlackScholesDeltaSpot($C$9,$AQ13,$C$11,$C$12,AW$4,$C$14,$C$15)</f>
        <v>0.86500851994546202</v>
      </c>
      <c r="AX13" s="72">
        <f ca="1">_xll.meMathBlackScholesDeltaSpot($C$9,$AQ13,$C$11,$C$12,AX$4,$C$14,$C$15)</f>
        <v>0.86078132318098344</v>
      </c>
      <c r="AY13" s="72">
        <f ca="1">_xll.meMathBlackScholesDeltaSpot($C$9,$AQ13,$C$11,$C$12,AY$4,$C$14,$C$15)</f>
        <v>0.85680360128681021</v>
      </c>
      <c r="AZ13" s="72">
        <f ca="1">_xll.meMathBlackScholesDeltaSpot($C$9,$AQ13,$C$11,$C$12,AZ$4,$C$14,$C$15)</f>
        <v>0.85305566116859288</v>
      </c>
      <c r="BA13" s="72">
        <f ca="1">_xll.meMathBlackScholesDeltaSpot($C$9,$AQ13,$C$11,$C$12,BA$4,$C$14,$C$15)</f>
        <v>0.84951971797288006</v>
      </c>
      <c r="BB13" s="74">
        <f ca="1">_xll.meMathBlackScholesDeltaSpot($C$9,$AQ13,$C$11,$C$12,BB$4,$C$14,$C$15)</f>
        <v>0.84617969708094987</v>
      </c>
      <c r="BD13" s="40">
        <f t="shared" si="24"/>
        <v>1.1000000000000001</v>
      </c>
      <c r="BE13" s="45">
        <f t="shared" si="25"/>
        <v>110.00000000000001</v>
      </c>
      <c r="BF13" s="71">
        <f ca="1">_xll.meMathBlackScholesDeltaForward($C$9,$BE13,$C$11,$C$12,BF$4,$C$14,$C$15)</f>
        <v>0.89073586169483876</v>
      </c>
      <c r="BG13" s="72">
        <f ca="1">_xll.meMathBlackScholesDeltaForward($C$9,$BE13,$C$11,$C$12,BG$4,$C$14,$C$15)</f>
        <v>0.88488455046683934</v>
      </c>
      <c r="BH13" s="72">
        <f ca="1">_xll.meMathBlackScholesDeltaForward($C$9,$BE13,$C$11,$C$12,BH$4,$C$14,$C$15)</f>
        <v>0.87941697135030084</v>
      </c>
      <c r="BI13" s="72">
        <f ca="1">_xll.meMathBlackScholesDeltaForward($C$9,$BE13,$C$11,$C$12,BI$4,$C$14,$C$15)</f>
        <v>0.87430092401455384</v>
      </c>
      <c r="BJ13" s="72">
        <f ca="1">_xll.meMathBlackScholesDeltaForward($C$9,$BE13,$C$11,$C$12,BJ$4,$C$14,$C$15)</f>
        <v>0.86950700406135417</v>
      </c>
      <c r="BK13" s="73">
        <f ca="1">_xll.meMathBlackScholesDeltaForward($C$9,$BE13,$C$11,$C$12,BK$4,$C$14,$C$15)</f>
        <v>0.86500851994546202</v>
      </c>
      <c r="BL13" s="72">
        <f ca="1">_xll.meMathBlackScholesDeltaForward($C$9,$BE13,$C$11,$C$12,BL$4,$C$14,$C$15)</f>
        <v>0.86078132318098344</v>
      </c>
      <c r="BM13" s="72">
        <f ca="1">_xll.meMathBlackScholesDeltaForward($C$9,$BE13,$C$11,$C$12,BM$4,$C$14,$C$15)</f>
        <v>0.85680360128681021</v>
      </c>
      <c r="BN13" s="72">
        <f ca="1">_xll.meMathBlackScholesDeltaForward($C$9,$BE13,$C$11,$C$12,BN$4,$C$14,$C$15)</f>
        <v>0.85305566116859288</v>
      </c>
      <c r="BO13" s="72">
        <f ca="1">_xll.meMathBlackScholesDeltaForward($C$9,$BE13,$C$11,$C$12,BO$4,$C$14,$C$15)</f>
        <v>0.84951971797288006</v>
      </c>
      <c r="BP13" s="74">
        <f ca="1">_xll.meMathBlackScholesDeltaForward($C$9,$BE13,$C$11,$C$12,BP$4,$C$14,$C$15)</f>
        <v>0.84617969708094987</v>
      </c>
      <c r="BR13" s="40">
        <f t="shared" si="26"/>
        <v>1.1000000000000001</v>
      </c>
      <c r="BS13" s="45">
        <f t="shared" si="27"/>
        <v>110.00000000000001</v>
      </c>
      <c r="BT13" s="85">
        <f ca="1">_xll.meMathBlackScholesGamma($C$9,$BS13,$C$11,$C$12,BT$4,$C$14,$C$15)</f>
        <v>1.9643720396483239E-2</v>
      </c>
      <c r="BU13" s="86">
        <f ca="1">_xll.meMathBlackScholesGamma($C$9,$BS13,$C$11,$C$12,BU$4,$C$14,$C$15)</f>
        <v>1.9742547542846392E-2</v>
      </c>
      <c r="BV13" s="86">
        <f ca="1">_xll.meMathBlackScholesGamma($C$9,$BS13,$C$11,$C$12,BV$4,$C$14,$C$15)</f>
        <v>1.9792408203708541E-2</v>
      </c>
      <c r="BW13" s="86">
        <f ca="1">_xll.meMathBlackScholesGamma($C$9,$BS13,$C$11,$C$12,BW$4,$C$14,$C$15)</f>
        <v>1.9803191408745976E-2</v>
      </c>
      <c r="BX13" s="86">
        <f ca="1">_xll.meMathBlackScholesGamma($C$9,$BS13,$C$11,$C$12,BX$4,$C$14,$C$15)</f>
        <v>1.9782713259628749E-2</v>
      </c>
      <c r="BY13" s="87">
        <f ca="1">_xll.meMathBlackScholesGamma($C$9,$BS13,$C$11,$C$12,BY$4,$C$14,$C$15)</f>
        <v>1.9737190221859432E-2</v>
      </c>
      <c r="BZ13" s="86">
        <f ca="1">_xll.meMathBlackScholesGamma($C$9,$BS13,$C$11,$C$12,BZ$4,$C$14,$C$15)</f>
        <v>1.9671595573524416E-2</v>
      </c>
      <c r="CA13" s="86">
        <f ca="1">_xll.meMathBlackScholesGamma($C$9,$BS13,$C$11,$C$12,CA$4,$C$14,$C$15)</f>
        <v>1.9589929669154654E-2</v>
      </c>
      <c r="CB13" s="86">
        <f ca="1">_xll.meMathBlackScholesGamma($C$9,$BS13,$C$11,$C$12,CB$4,$C$14,$C$15)</f>
        <v>1.9495426307444007E-2</v>
      </c>
      <c r="CC13" s="86">
        <f ca="1">_xll.meMathBlackScholesGamma($C$9,$BS13,$C$11,$C$12,CC$4,$C$14,$C$15)</f>
        <v>1.9390711432614012E-2</v>
      </c>
      <c r="CD13" s="88">
        <f ca="1">_xll.meMathBlackScholesGamma($C$9,$BS13,$C$11,$C$12,CD$4,$C$14,$C$15)</f>
        <v>1.9277926035861735E-2</v>
      </c>
      <c r="CF13" s="40">
        <f t="shared" si="28"/>
        <v>1.1000000000000001</v>
      </c>
      <c r="CG13" s="45">
        <f t="shared" si="29"/>
        <v>110.00000000000001</v>
      </c>
      <c r="CH13" s="85">
        <f ca="1">_xll.meMathBlackScholesVega($C$9,$CG13,$C$11,$C$12,CH$4,$C$14,$C$15)</f>
        <v>0.17826676259808541</v>
      </c>
      <c r="CI13" s="86">
        <f ca="1">_xll.meMathBlackScholesVega($C$9,$CG13,$C$11,$C$12,CI$4,$C$14,$C$15)</f>
        <v>0.19110786021475307</v>
      </c>
      <c r="CJ13" s="86">
        <f ca="1">_xll.meMathBlackScholesVega($C$9,$CG13,$C$11,$C$12,CJ$4,$C$14,$C$15)</f>
        <v>0.20356491837514237</v>
      </c>
      <c r="CK13" s="86">
        <f ca="1">_xll.meMathBlackScholesVega($C$9,$CG13,$C$11,$C$12,CK$4,$C$14,$C$15)</f>
        <v>0.21565675444124374</v>
      </c>
      <c r="CL13" s="86">
        <f ca="1">_xll.meMathBlackScholesVega($C$9,$CG13,$C$11,$C$12,CL$4,$C$14,$C$15)</f>
        <v>0.22740228891943251</v>
      </c>
      <c r="CM13" s="87">
        <f ca="1">_xll.meMathBlackScholesVega($C$9,$CG13,$C$11,$C$12,CM$4,$C$14,$C$15)</f>
        <v>0.23882000168449921</v>
      </c>
      <c r="CN13" s="86">
        <f ca="1">_xll.meMathBlackScholesVega($C$9,$CG13,$C$11,$C$12,CN$4,$C$14,$C$15)</f>
        <v>0.24992762176162786</v>
      </c>
      <c r="CO13" s="86">
        <f ca="1">_xll.meMathBlackScholesVega($C$9,$CG13,$C$11,$C$12,CO$4,$C$14,$C$15)</f>
        <v>0.26074196389644855</v>
      </c>
      <c r="CP13" s="86">
        <f ca="1">_xll.meMathBlackScholesVega($C$9,$CG13,$C$11,$C$12,CP$4,$C$14,$C$15)</f>
        <v>0.27127885706808347</v>
      </c>
      <c r="CQ13" s="86">
        <f ca="1">_xll.meMathBlackScholesVega($C$9,$CG13,$C$11,$C$12,CQ$4,$C$14,$C$15)</f>
        <v>0.28155313000155563</v>
      </c>
      <c r="CR13" s="88">
        <f ca="1">_xll.meMathBlackScholesVega($C$9,$CG13,$C$11,$C$12,CR$4,$C$14,$C$15)</f>
        <v>0.29157863129240885</v>
      </c>
      <c r="CT13" s="40">
        <f t="shared" si="30"/>
        <v>1.1000000000000001</v>
      </c>
      <c r="CU13" s="45">
        <f t="shared" si="31"/>
        <v>110.00000000000001</v>
      </c>
      <c r="CV13" s="85">
        <f ca="1">_xll.meMathBlackScholesTheta($C$9,$CU13,$C$11,$C$12,CV$4,$C$14,$C$15)</f>
        <v>-5.6278546694340671E-3</v>
      </c>
      <c r="CW13" s="86">
        <f ca="1">_xll.meMathBlackScholesTheta($C$9,$CU13,$C$11,$C$12,CW$4,$C$14,$C$15)</f>
        <v>-5.6237891383955829E-3</v>
      </c>
      <c r="CX13" s="86">
        <f ca="1">_xll.meMathBlackScholesTheta($C$9,$CU13,$C$11,$C$12,CX$4,$C$14,$C$15)</f>
        <v>-5.6127723046159803E-3</v>
      </c>
      <c r="CY13" s="86">
        <f ca="1">_xll.meMathBlackScholesTheta($C$9,$CU13,$C$11,$C$12,CY$4,$C$14,$C$15)</f>
        <v>-5.5963482847144475E-3</v>
      </c>
      <c r="CZ13" s="86">
        <f ca="1">_xll.meMathBlackScholesTheta($C$9,$CU13,$C$11,$C$12,CZ$4,$C$14,$C$15)</f>
        <v>-5.5757255715079739E-3</v>
      </c>
      <c r="DA13" s="87">
        <f ca="1">_xll.meMathBlackScholesTheta($C$9,$CU13,$C$11,$C$12,DA$4,$C$14,$C$15)</f>
        <v>-5.551855327140429E-3</v>
      </c>
      <c r="DB13" s="86">
        <f ca="1">_xll.meMathBlackScholesTheta($C$9,$CU13,$C$11,$C$12,DB$4,$C$14,$C$15)</f>
        <v>-5.52549002719494E-3</v>
      </c>
      <c r="DC13" s="86">
        <f ca="1">_xll.meMathBlackScholesTheta($C$9,$CU13,$C$11,$C$12,DC$4,$C$14,$C$15)</f>
        <v>-5.4972276913926102E-3</v>
      </c>
      <c r="DD13" s="86">
        <f ca="1">_xll.meMathBlackScholesTheta($C$9,$CU13,$C$11,$C$12,DD$4,$C$14,$C$15)</f>
        <v>-5.4675454824100848E-3</v>
      </c>
      <c r="DE13" s="86">
        <f ca="1">_xll.meMathBlackScholesTheta($C$9,$CU13,$C$11,$C$12,DE$4,$C$14,$C$15)</f>
        <v>-5.4368254109944131E-3</v>
      </c>
      <c r="DF13" s="88">
        <f ca="1">_xll.meMathBlackScholesTheta($C$9,$CU13,$C$11,$C$12,DF$4,$C$14,$C$15)</f>
        <v>-5.4053741394460434E-3</v>
      </c>
      <c r="DH13" s="40">
        <f t="shared" si="32"/>
        <v>1.1000000000000001</v>
      </c>
      <c r="DI13" s="45">
        <f t="shared" si="33"/>
        <v>110.00000000000001</v>
      </c>
      <c r="DJ13" s="85">
        <f ca="1">_xll.meMathBlackScholesRho($C$9,$DI13,$C$11,$C$12,DJ$4,$C$14,$C$15)</f>
        <v>0.65034662551766731</v>
      </c>
      <c r="DK13" s="86">
        <f ca="1">_xll.meMathBlackScholesRho($C$9,$DI13,$C$11,$C$12,DK$4,$C$14,$C$15)</f>
        <v>0.68773188516542405</v>
      </c>
      <c r="DL13" s="86">
        <f ca="1">_xll.meMathBlackScholesRho($C$9,$DI13,$C$11,$C$12,DL$4,$C$14,$C$15)</f>
        <v>0.72473072974612651</v>
      </c>
      <c r="DM13" s="86">
        <f ca="1">_xll.meMathBlackScholesRho($C$9,$DI13,$C$11,$C$12,DM$4,$C$14,$C$15)</f>
        <v>0.76137581768653773</v>
      </c>
      <c r="DN13" s="86">
        <f ca="1">_xll.meMathBlackScholesRho($C$9,$DI13,$C$11,$C$12,DN$4,$C$14,$C$15)</f>
        <v>0.79769563214646022</v>
      </c>
      <c r="DO13" s="87">
        <f ca="1">_xll.meMathBlackScholesRho($C$9,$DI13,$C$11,$C$12,DO$4,$C$14,$C$15)</f>
        <v>0.83371514981554551</v>
      </c>
      <c r="DP13" s="86">
        <f ca="1">_xll.meMathBlackScholesRho($C$9,$DI13,$C$11,$C$12,DP$4,$C$14,$C$15)</f>
        <v>0.86945638524646029</v>
      </c>
      <c r="DQ13" s="86">
        <f ca="1">_xll.meMathBlackScholesRho($C$9,$DI13,$C$11,$C$12,DQ$4,$C$14,$C$15)</f>
        <v>0.90493883622702365</v>
      </c>
      <c r="DR13" s="86">
        <f ca="1">_xll.meMathBlackScholesRho($C$9,$DI13,$C$11,$C$12,DR$4,$C$14,$C$15)</f>
        <v>0.94017985022740835</v>
      </c>
      <c r="DS13" s="86">
        <f ca="1">_xll.meMathBlackScholesRho($C$9,$DI13,$C$11,$C$12,DS$4,$C$14,$C$15)</f>
        <v>0.97519492763107352</v>
      </c>
      <c r="DT13" s="88">
        <f ca="1">_xll.meMathBlackScholesRho($C$9,$DI13,$C$11,$C$12,DT$4,$C$14,$C$15)</f>
        <v>1.0099979740787903</v>
      </c>
    </row>
    <row r="14" spans="2:124" x14ac:dyDescent="0.25">
      <c r="B14" t="s">
        <v>20</v>
      </c>
      <c r="C14" s="30">
        <v>0.01</v>
      </c>
      <c r="N14" s="40">
        <f t="shared" si="8"/>
        <v>1.05</v>
      </c>
      <c r="O14" s="45">
        <f t="shared" si="9"/>
        <v>105</v>
      </c>
      <c r="P14" s="43">
        <f t="shared" ca="1" si="34"/>
        <v>0.28527238275673877</v>
      </c>
      <c r="Q14" s="44">
        <f t="shared" ca="1" si="10"/>
        <v>0.29739757516778265</v>
      </c>
      <c r="R14" s="44">
        <f t="shared" ca="1" si="11"/>
        <v>0.30907113371746009</v>
      </c>
      <c r="S14" s="44">
        <f t="shared" ca="1" si="12"/>
        <v>0.32033505994229872</v>
      </c>
      <c r="T14" s="44">
        <f t="shared" ca="1" si="13"/>
        <v>0.33122539296332087</v>
      </c>
      <c r="U14" s="55">
        <f t="shared" ca="1" si="14"/>
        <v>0.34177330202865702</v>
      </c>
      <c r="V14" s="44">
        <f t="shared" ca="1" si="15"/>
        <v>0.35200593969956445</v>
      </c>
      <c r="W14" s="44">
        <f t="shared" ca="1" si="16"/>
        <v>0.36194711565080678</v>
      </c>
      <c r="X14" s="44">
        <f t="shared" ca="1" si="17"/>
        <v>0.37161783436751633</v>
      </c>
      <c r="Y14" s="44">
        <f t="shared" ca="1" si="18"/>
        <v>0.38103672838318398</v>
      </c>
      <c r="Z14" s="45">
        <f t="shared" ca="1" si="19"/>
        <v>0.3902204104807877</v>
      </c>
      <c r="AB14" s="40">
        <f t="shared" si="20"/>
        <v>1.05</v>
      </c>
      <c r="AC14" s="45">
        <f t="shared" si="21"/>
        <v>105</v>
      </c>
      <c r="AD14" s="85">
        <f ca="1">_xll.meMathBlackScholesPrice($C$9,$AC14,$C$11,$C$12,AD$4,$C$14,$C$15)</f>
        <v>7.1201553006886371</v>
      </c>
      <c r="AE14" s="86">
        <f ca="1">_xll.meMathBlackScholesPrice($C$9,$AC14,$C$11,$C$12,AE$4,$C$14,$C$15)</f>
        <v>7.2501377584647742</v>
      </c>
      <c r="AF14" s="86">
        <f ca="1">_xll.meMathBlackScholesPrice($C$9,$AC14,$C$11,$C$12,AF$4,$C$14,$C$15)</f>
        <v>7.377748794023276</v>
      </c>
      <c r="AG14" s="86">
        <f ca="1">_xll.meMathBlackScholesPrice($C$9,$AC14,$C$11,$C$12,AG$4,$C$14,$C$15)</f>
        <v>7.5031269538002192</v>
      </c>
      <c r="AH14" s="86">
        <f ca="1">_xll.meMathBlackScholesPrice($C$9,$AC14,$C$11,$C$12,AH$4,$C$14,$C$15)</f>
        <v>7.626399633945141</v>
      </c>
      <c r="AI14" s="87">
        <f ca="1">_xll.meMathBlackScholesPrice($C$9,$AC14,$C$11,$C$12,AI$4,$C$14,$C$15)</f>
        <v>7.7476838756725925</v>
      </c>
      <c r="AJ14" s="86">
        <f ca="1">_xll.meMathBlackScholesPrice($C$9,$AC14,$C$11,$C$12,AJ$4,$C$14,$C$15)</f>
        <v>7.867087221916961</v>
      </c>
      <c r="AK14" s="86">
        <f ca="1">_xll.meMathBlackScholesPrice($C$9,$AC14,$C$11,$C$12,AK$4,$C$14,$C$15)</f>
        <v>7.9847085656541879</v>
      </c>
      <c r="AL14" s="86">
        <f ca="1">_xll.meMathBlackScholesPrice($C$9,$AC14,$C$11,$C$12,AL$4,$C$14,$C$15)</f>
        <v>8.1006389543467634</v>
      </c>
      <c r="AM14" s="86">
        <f ca="1">_xll.meMathBlackScholesPrice($C$9,$AC14,$C$11,$C$12,AM$4,$C$14,$C$15)</f>
        <v>8.2149623341731228</v>
      </c>
      <c r="AN14" s="88">
        <f ca="1">_xll.meMathBlackScholesPrice($C$9,$AC14,$C$11,$C$12,AN$4,$C$14,$C$15)</f>
        <v>8.3277562284328468</v>
      </c>
      <c r="AP14" s="40">
        <f t="shared" si="22"/>
        <v>1.05</v>
      </c>
      <c r="AQ14" s="45">
        <f t="shared" si="23"/>
        <v>105</v>
      </c>
      <c r="AR14" s="71">
        <f ca="1">_xll.meMathBlackScholesDeltaSpot($C$9,$AQ14,$C$11,$C$12,AR$4,$C$14,$C$15)</f>
        <v>0.75593436003911207</v>
      </c>
      <c r="AS14" s="72">
        <f ca="1">_xll.meMathBlackScholesDeltaSpot($C$9,$AQ14,$C$11,$C$12,AS$4,$C$14,$C$15)</f>
        <v>0.75163843630541693</v>
      </c>
      <c r="AT14" s="72">
        <f ca="1">_xll.meMathBlackScholesDeltaSpot($C$9,$AQ14,$C$11,$C$12,AT$4,$C$14,$C$15)</f>
        <v>0.74777257329495517</v>
      </c>
      <c r="AU14" s="72">
        <f ca="1">_xll.meMathBlackScholesDeltaSpot($C$9,$AQ14,$C$11,$C$12,AU$4,$C$14,$C$15)</f>
        <v>0.74427963343394421</v>
      </c>
      <c r="AV14" s="72">
        <f ca="1">_xll.meMathBlackScholesDeltaSpot($C$9,$AQ14,$C$11,$C$12,AV$4,$C$14,$C$15)</f>
        <v>0.7411123252064844</v>
      </c>
      <c r="AW14" s="73">
        <f ca="1">_xll.meMathBlackScholesDeltaSpot($C$9,$AQ14,$C$11,$C$12,AW$4,$C$14,$C$15)</f>
        <v>0.73823114549048108</v>
      </c>
      <c r="AX14" s="72">
        <f ca="1">_xll.meMathBlackScholesDeltaSpot($C$9,$AQ14,$C$11,$C$12,AX$4,$C$14,$C$15)</f>
        <v>0.73560282072233707</v>
      </c>
      <c r="AY14" s="72">
        <f ca="1">_xll.meMathBlackScholesDeltaSpot($C$9,$AQ14,$C$11,$C$12,AY$4,$C$14,$C$15)</f>
        <v>0.73319911077777067</v>
      </c>
      <c r="AZ14" s="72">
        <f ca="1">_xll.meMathBlackScholesDeltaSpot($C$9,$AQ14,$C$11,$C$12,AZ$4,$C$14,$C$15)</f>
        <v>0.73099588037037599</v>
      </c>
      <c r="BA14" s="72">
        <f ca="1">_xll.meMathBlackScholesDeltaSpot($C$9,$AQ14,$C$11,$C$12,BA$4,$C$14,$C$15)</f>
        <v>0.72897237035085394</v>
      </c>
      <c r="BB14" s="74">
        <f ca="1">_xll.meMathBlackScholesDeltaSpot($C$9,$AQ14,$C$11,$C$12,BB$4,$C$14,$C$15)</f>
        <v>0.72711062019076078</v>
      </c>
      <c r="BD14" s="40">
        <f t="shared" si="24"/>
        <v>1.05</v>
      </c>
      <c r="BE14" s="45">
        <f t="shared" si="25"/>
        <v>105</v>
      </c>
      <c r="BF14" s="71">
        <f ca="1">_xll.meMathBlackScholesDeltaForward($C$9,$BE14,$C$11,$C$12,BF$4,$C$14,$C$15)</f>
        <v>0.75593436003911207</v>
      </c>
      <c r="BG14" s="72">
        <f ca="1">_xll.meMathBlackScholesDeltaForward($C$9,$BE14,$C$11,$C$12,BG$4,$C$14,$C$15)</f>
        <v>0.75163843630541693</v>
      </c>
      <c r="BH14" s="72">
        <f ca="1">_xll.meMathBlackScholesDeltaForward($C$9,$BE14,$C$11,$C$12,BH$4,$C$14,$C$15)</f>
        <v>0.74777257329495517</v>
      </c>
      <c r="BI14" s="72">
        <f ca="1">_xll.meMathBlackScholesDeltaForward($C$9,$BE14,$C$11,$C$12,BI$4,$C$14,$C$15)</f>
        <v>0.74427963343394421</v>
      </c>
      <c r="BJ14" s="72">
        <f ca="1">_xll.meMathBlackScholesDeltaForward($C$9,$BE14,$C$11,$C$12,BJ$4,$C$14,$C$15)</f>
        <v>0.7411123252064844</v>
      </c>
      <c r="BK14" s="73">
        <f ca="1">_xll.meMathBlackScholesDeltaForward($C$9,$BE14,$C$11,$C$12,BK$4,$C$14,$C$15)</f>
        <v>0.73823114549048108</v>
      </c>
      <c r="BL14" s="72">
        <f ca="1">_xll.meMathBlackScholesDeltaForward($C$9,$BE14,$C$11,$C$12,BL$4,$C$14,$C$15)</f>
        <v>0.73560282072233707</v>
      </c>
      <c r="BM14" s="72">
        <f ca="1">_xll.meMathBlackScholesDeltaForward($C$9,$BE14,$C$11,$C$12,BM$4,$C$14,$C$15)</f>
        <v>0.73319911077777067</v>
      </c>
      <c r="BN14" s="72">
        <f ca="1">_xll.meMathBlackScholesDeltaForward($C$9,$BE14,$C$11,$C$12,BN$4,$C$14,$C$15)</f>
        <v>0.73099588037037599</v>
      </c>
      <c r="BO14" s="72">
        <f ca="1">_xll.meMathBlackScholesDeltaForward($C$9,$BE14,$C$11,$C$12,BO$4,$C$14,$C$15)</f>
        <v>0.72897237035085394</v>
      </c>
      <c r="BP14" s="74">
        <f ca="1">_xll.meMathBlackScholesDeltaForward($C$9,$BE14,$C$11,$C$12,BP$4,$C$14,$C$15)</f>
        <v>0.72711062019076078</v>
      </c>
      <c r="BR14" s="40">
        <f t="shared" si="26"/>
        <v>1.05</v>
      </c>
      <c r="BS14" s="45">
        <f t="shared" si="27"/>
        <v>105</v>
      </c>
      <c r="BT14" s="85">
        <f ca="1">_xll.meMathBlackScholesGamma($C$9,$BS14,$C$11,$C$12,BT$4,$C$14,$C$15)</f>
        <v>3.4500061406710671E-2</v>
      </c>
      <c r="BU14" s="86">
        <f ca="1">_xll.meMathBlackScholesGamma($C$9,$BS14,$C$11,$C$12,BU$4,$C$14,$C$15)</f>
        <v>3.3718545937390328E-2</v>
      </c>
      <c r="BV14" s="86">
        <f ca="1">_xll.meMathBlackScholesGamma($C$9,$BS14,$C$11,$C$12,BV$4,$C$14,$C$15)</f>
        <v>3.2980779908492484E-2</v>
      </c>
      <c r="BW14" s="86">
        <f ca="1">_xll.meMathBlackScholesGamma($C$9,$BS14,$C$11,$C$12,BW$4,$C$14,$C$15)</f>
        <v>3.2283704705699044E-2</v>
      </c>
      <c r="BX14" s="86">
        <f ca="1">_xll.meMathBlackScholesGamma($C$9,$BS14,$C$11,$C$12,BX$4,$C$14,$C$15)</f>
        <v>3.1624336361219328E-2</v>
      </c>
      <c r="BY14" s="87">
        <f ca="1">_xll.meMathBlackScholesGamma($C$9,$BS14,$C$11,$C$12,BY$4,$C$14,$C$15)</f>
        <v>3.0999845988993836E-2</v>
      </c>
      <c r="BZ14" s="86">
        <f ca="1">_xll.meMathBlackScholesGamma($C$9,$BS14,$C$11,$C$12,BZ$4,$C$14,$C$15)</f>
        <v>3.0407596561888729E-2</v>
      </c>
      <c r="CA14" s="86">
        <f ca="1">_xll.meMathBlackScholesGamma($C$9,$BS14,$C$11,$C$12,CA$4,$C$14,$C$15)</f>
        <v>2.9845154867104245E-2</v>
      </c>
      <c r="CB14" s="86">
        <f ca="1">_xll.meMathBlackScholesGamma($C$9,$BS14,$C$11,$C$12,CB$4,$C$14,$C$15)</f>
        <v>2.9310289608006804E-2</v>
      </c>
      <c r="CC14" s="86">
        <f ca="1">_xll.meMathBlackScholesGamma($C$9,$BS14,$C$11,$C$12,CC$4,$C$14,$C$15)</f>
        <v>2.8800962084896735E-2</v>
      </c>
      <c r="CD14" s="88">
        <f ca="1">_xll.meMathBlackScholesGamma($C$9,$BS14,$C$11,$C$12,CD$4,$C$14,$C$15)</f>
        <v>2.8315313232166E-2</v>
      </c>
      <c r="CF14" s="40">
        <f t="shared" si="28"/>
        <v>1.05</v>
      </c>
      <c r="CG14" s="45">
        <f t="shared" si="29"/>
        <v>105</v>
      </c>
      <c r="CH14" s="85">
        <f ca="1">_xll.meMathBlackScholesVega($C$9,$CG14,$C$11,$C$12,CH$4,$C$14,$C$15)</f>
        <v>0.28527238275673877</v>
      </c>
      <c r="CI14" s="86">
        <f ca="1">_xll.meMathBlackScholesVega($C$9,$CG14,$C$11,$C$12,CI$4,$C$14,$C$15)</f>
        <v>0.29739757516778265</v>
      </c>
      <c r="CJ14" s="86">
        <f ca="1">_xll.meMathBlackScholesVega($C$9,$CG14,$C$11,$C$12,CJ$4,$C$14,$C$15)</f>
        <v>0.30907113371746009</v>
      </c>
      <c r="CK14" s="86">
        <f ca="1">_xll.meMathBlackScholesVega($C$9,$CG14,$C$11,$C$12,CK$4,$C$14,$C$15)</f>
        <v>0.32033505994229872</v>
      </c>
      <c r="CL14" s="86">
        <f ca="1">_xll.meMathBlackScholesVega($C$9,$CG14,$C$11,$C$12,CL$4,$C$14,$C$15)</f>
        <v>0.33122539296332087</v>
      </c>
      <c r="CM14" s="87">
        <f ca="1">_xll.meMathBlackScholesVega($C$9,$CG14,$C$11,$C$12,CM$4,$C$14,$C$15)</f>
        <v>0.34177330202865702</v>
      </c>
      <c r="CN14" s="86">
        <f ca="1">_xll.meMathBlackScholesVega($C$9,$CG14,$C$11,$C$12,CN$4,$C$14,$C$15)</f>
        <v>0.35200593969956445</v>
      </c>
      <c r="CO14" s="86">
        <f ca="1">_xll.meMathBlackScholesVega($C$9,$CG14,$C$11,$C$12,CO$4,$C$14,$C$15)</f>
        <v>0.36194711565080678</v>
      </c>
      <c r="CP14" s="86">
        <f ca="1">_xll.meMathBlackScholesVega($C$9,$CG14,$C$11,$C$12,CP$4,$C$14,$C$15)</f>
        <v>0.37161783436751633</v>
      </c>
      <c r="CQ14" s="86">
        <f ca="1">_xll.meMathBlackScholesVega($C$9,$CG14,$C$11,$C$12,CQ$4,$C$14,$C$15)</f>
        <v>0.38103672838318398</v>
      </c>
      <c r="CR14" s="88">
        <f ca="1">_xll.meMathBlackScholesVega($C$9,$CG14,$C$11,$C$12,CR$4,$C$14,$C$15)</f>
        <v>0.3902204104807877</v>
      </c>
      <c r="CT14" s="40">
        <f t="shared" si="30"/>
        <v>1.05</v>
      </c>
      <c r="CU14" s="45">
        <f t="shared" si="31"/>
        <v>105</v>
      </c>
      <c r="CV14" s="85">
        <f ca="1">_xll.meMathBlackScholesTheta($C$9,$CU14,$C$11,$C$12,CV$4,$C$14,$C$15)</f>
        <v>-7.1850661466916019E-3</v>
      </c>
      <c r="CW14" s="86">
        <f ca="1">_xll.meMathBlackScholesTheta($C$9,$CU14,$C$11,$C$12,CW$4,$C$14,$C$15)</f>
        <v>-7.0512082829149404E-3</v>
      </c>
      <c r="CX14" s="86">
        <f ca="1">_xll.meMathBlackScholesTheta($C$9,$CU14,$C$11,$C$12,CX$4,$C$14,$C$15)</f>
        <v>-6.925254500958572E-3</v>
      </c>
      <c r="CY14" s="86">
        <f ca="1">_xll.meMathBlackScholesTheta($C$9,$CU14,$C$11,$C$12,CY$4,$C$14,$C$15)</f>
        <v>-6.8065751333861715E-3</v>
      </c>
      <c r="CZ14" s="86">
        <f ca="1">_xll.meMathBlackScholesTheta($C$9,$CU14,$C$11,$C$12,CZ$4,$C$14,$C$15)</f>
        <v>-6.6945803888831543E-3</v>
      </c>
      <c r="DA14" s="87">
        <f ca="1">_xll.meMathBlackScholesTheta($C$9,$CU14,$C$11,$C$12,DA$4,$C$14,$C$15)</f>
        <v>-6.588726554829746E-3</v>
      </c>
      <c r="DB14" s="86">
        <f ca="1">_xll.meMathBlackScholesTheta($C$9,$CU14,$C$11,$C$12,DB$4,$C$14,$C$15)</f>
        <v>-6.4885170431578376E-3</v>
      </c>
      <c r="DC14" s="86">
        <f ca="1">_xll.meMathBlackScholesTheta($C$9,$CU14,$C$11,$C$12,DC$4,$C$14,$C$15)</f>
        <v>-6.3935007329479522E-3</v>
      </c>
      <c r="DD14" s="86">
        <f ca="1">_xll.meMathBlackScholesTheta($C$9,$CU14,$C$11,$C$12,DD$4,$C$14,$C$15)</f>
        <v>-6.3032689924347775E-3</v>
      </c>
      <c r="DE14" s="86">
        <f ca="1">_xll.meMathBlackScholesTheta($C$9,$CU14,$C$11,$C$12,DE$4,$C$14,$C$15)</f>
        <v>-6.2174521573075923E-3</v>
      </c>
      <c r="DF14" s="88">
        <f ca="1">_xll.meMathBlackScholesTheta($C$9,$CU14,$C$11,$C$12,DF$4,$C$14,$C$15)</f>
        <v>-6.1357158955212066E-3</v>
      </c>
      <c r="DH14" s="40">
        <f t="shared" si="32"/>
        <v>1.05</v>
      </c>
      <c r="DI14" s="45">
        <f t="shared" si="33"/>
        <v>105</v>
      </c>
      <c r="DJ14" s="85">
        <f ca="1">_xll.meMathBlackScholesRho($C$9,$DI14,$C$11,$C$12,DJ$4,$C$14,$C$15)</f>
        <v>0.5418971437756358</v>
      </c>
      <c r="DK14" s="86">
        <f ca="1">_xll.meMathBlackScholesRho($C$9,$DI14,$C$11,$C$12,DK$4,$C$14,$C$15)</f>
        <v>0.57337518442883206</v>
      </c>
      <c r="DL14" s="86">
        <f ca="1">_xll.meMathBlackScholesRho($C$9,$DI14,$C$11,$C$12,DL$4,$C$14,$C$15)</f>
        <v>0.60467615691654952</v>
      </c>
      <c r="DM14" s="86">
        <f ca="1">_xll.meMathBlackScholesRho($C$9,$DI14,$C$11,$C$12,DM$4,$C$14,$C$15)</f>
        <v>0.63581611101087521</v>
      </c>
      <c r="DN14" s="86">
        <f ca="1">_xll.meMathBlackScholesRho($C$9,$DI14,$C$11,$C$12,DN$4,$C$14,$C$15)</f>
        <v>0.66680874787098932</v>
      </c>
      <c r="DO14" s="87">
        <f ca="1">_xll.meMathBlackScholesRho($C$9,$DI14,$C$11,$C$12,DO$4,$C$14,$C$15)</f>
        <v>0.69766586400827924</v>
      </c>
      <c r="DP14" s="86">
        <f ca="1">_xll.meMathBlackScholesRho($C$9,$DI14,$C$11,$C$12,DP$4,$C$14,$C$15)</f>
        <v>0.72839769401624854</v>
      </c>
      <c r="DQ14" s="86">
        <f ca="1">_xll.meMathBlackScholesRho($C$9,$DI14,$C$11,$C$12,DQ$4,$C$14,$C$15)</f>
        <v>0.75901317872612939</v>
      </c>
      <c r="DR14" s="86">
        <f ca="1">_xll.meMathBlackScholesRho($C$9,$DI14,$C$11,$C$12,DR$4,$C$14,$C$15)</f>
        <v>0.78952017757224136</v>
      </c>
      <c r="DS14" s="86">
        <f ca="1">_xll.meMathBlackScholesRho($C$9,$DI14,$C$11,$C$12,DS$4,$C$14,$C$15)</f>
        <v>0.81992563863199863</v>
      </c>
      <c r="DT14" s="88">
        <f ca="1">_xll.meMathBlackScholesRho($C$9,$DI14,$C$11,$C$12,DT$4,$C$14,$C$15)</f>
        <v>0.85023573614496328</v>
      </c>
    </row>
    <row r="15" spans="2:124" x14ac:dyDescent="0.25">
      <c r="B15" t="s">
        <v>21</v>
      </c>
      <c r="C15" s="30">
        <v>0.01</v>
      </c>
      <c r="N15" s="67">
        <v>1</v>
      </c>
      <c r="O15" s="69">
        <f t="shared" si="9"/>
        <v>100</v>
      </c>
      <c r="P15" s="46">
        <f t="shared" ca="1" si="34"/>
        <v>0.34259130617675765</v>
      </c>
      <c r="Q15" s="47">
        <f t="shared" ca="1" si="10"/>
        <v>0.35362780796997567</v>
      </c>
      <c r="R15" s="47">
        <f t="shared" ca="1" si="11"/>
        <v>0.36430622120934125</v>
      </c>
      <c r="S15" s="47">
        <f t="shared" ca="1" si="12"/>
        <v>0.37465720501521849</v>
      </c>
      <c r="T15" s="47">
        <f t="shared" ca="1" si="13"/>
        <v>0.38470722812905045</v>
      </c>
      <c r="U15" s="55">
        <f t="shared" ca="1" si="14"/>
        <v>0.39447933090788895</v>
      </c>
      <c r="V15" s="47">
        <f t="shared" ca="1" si="15"/>
        <v>0.40399371780886073</v>
      </c>
      <c r="W15" s="47">
        <f t="shared" ca="1" si="16"/>
        <v>0.41326822430469606</v>
      </c>
      <c r="X15" s="47">
        <f t="shared" ca="1" si="17"/>
        <v>0.42231868931066402</v>
      </c>
      <c r="Y15" s="47">
        <f t="shared" ca="1" si="18"/>
        <v>0.43115925549986167</v>
      </c>
      <c r="Z15" s="48">
        <f t="shared" ca="1" si="19"/>
        <v>0.43980261387722452</v>
      </c>
      <c r="AB15" s="67">
        <v>1</v>
      </c>
      <c r="AC15" s="69">
        <f t="shared" si="21"/>
        <v>100</v>
      </c>
      <c r="AD15" s="89">
        <f ca="1">_xll.meMathBlackScholesPrice($C$9,$AC15,$C$11,$C$12,AD$4,$C$14,$C$15)</f>
        <v>3.8274432567098486</v>
      </c>
      <c r="AE15" s="90">
        <f ca="1">_xll.meMathBlackScholesPrice($C$9,$AC15,$C$11,$C$12,AE$4,$C$14,$C$15)</f>
        <v>3.9654444801881112</v>
      </c>
      <c r="AF15" s="90">
        <f ca="1">_xll.meMathBlackScholesPrice($C$9,$AC15,$C$11,$C$12,AF$4,$C$14,$C$15)</f>
        <v>4.0999406671524312</v>
      </c>
      <c r="AG15" s="90">
        <f ca="1">_xll.meMathBlackScholesPrice($C$9,$AC15,$C$11,$C$12,AG$4,$C$14,$C$15)</f>
        <v>4.2312356348695843</v>
      </c>
      <c r="AH15" s="90">
        <f ca="1">_xll.meMathBlackScholesPrice($C$9,$AC15,$C$11,$C$12,AH$4,$C$14,$C$15)</f>
        <v>4.3595915282585551</v>
      </c>
      <c r="AI15" s="87">
        <f ca="1">_xll.meMathBlackScholesPrice($C$9,$AC15,$C$11,$C$12,AI$4,$C$14,$C$15)</f>
        <v>4.485236409022086</v>
      </c>
      <c r="AJ15" s="90">
        <f ca="1">_xll.meMathBlackScholesPrice($C$9,$AC15,$C$11,$C$12,AJ$4,$C$14,$C$15)</f>
        <v>4.6083701551442786</v>
      </c>
      <c r="AK15" s="90">
        <f ca="1">_xll.meMathBlackScholesPrice($C$9,$AC15,$C$11,$C$12,AK$4,$C$14,$C$15)</f>
        <v>4.7291691089774375</v>
      </c>
      <c r="AL15" s="90">
        <f ca="1">_xll.meMathBlackScholesPrice($C$9,$AC15,$C$11,$C$12,AL$4,$C$14,$C$15)</f>
        <v>4.8477897838347346</v>
      </c>
      <c r="AM15" s="90">
        <f ca="1">_xll.meMathBlackScholesPrice($C$9,$AC15,$C$11,$C$12,AM$4,$C$14,$C$15)</f>
        <v>4.9643718521862752</v>
      </c>
      <c r="AN15" s="91">
        <f ca="1">_xll.meMathBlackScholesPrice($C$9,$AC15,$C$11,$C$12,AN$4,$C$14,$C$15)</f>
        <v>5.0790405786462571</v>
      </c>
      <c r="AP15" s="67">
        <v>1</v>
      </c>
      <c r="AQ15" s="69">
        <f t="shared" si="23"/>
        <v>100</v>
      </c>
      <c r="AR15" s="75">
        <f ca="1">_xll.meMathBlackScholesDeltaSpot($C$9,$AQ15,$C$11,$C$12,AR$4,$C$14,$C$15)</f>
        <v>0.55167873527964106</v>
      </c>
      <c r="AS15" s="76">
        <f ca="1">_xll.meMathBlackScholesDeltaSpot($C$9,$AQ15,$C$11,$C$12,AS$4,$C$14,$C$15)</f>
        <v>0.55336358492889404</v>
      </c>
      <c r="AT15" s="76">
        <f ca="1">_xll.meMathBlackScholesDeltaSpot($C$9,$AQ15,$C$11,$C$12,AT$4,$C$14,$C$15)</f>
        <v>0.55499563716070854</v>
      </c>
      <c r="AU15" s="76">
        <f ca="1">_xll.meMathBlackScholesDeltaSpot($C$9,$AQ15,$C$11,$C$12,AU$4,$C$14,$C$15)</f>
        <v>0.55657946195545971</v>
      </c>
      <c r="AV15" s="76">
        <f ca="1">_xll.meMathBlackScholesDeltaSpot($C$9,$AQ15,$C$11,$C$12,AV$4,$C$14,$C$15)</f>
        <v>0.5581190031406873</v>
      </c>
      <c r="AW15" s="73">
        <f ca="1">_xll.meMathBlackScholesDeltaSpot($C$9,$AQ15,$C$11,$C$12,AW$4,$C$14,$C$15)</f>
        <v>0.5596176923702425</v>
      </c>
      <c r="AX15" s="76">
        <f ca="1">_xll.meMathBlackScholesDeltaSpot($C$9,$AQ15,$C$11,$C$12,AX$4,$C$14,$C$15)</f>
        <v>0.56107853773370098</v>
      </c>
      <c r="AY15" s="76">
        <f ca="1">_xll.meMathBlackScholesDeltaSpot($C$9,$AQ15,$C$11,$C$12,AY$4,$C$14,$C$15)</f>
        <v>0.56250419357487125</v>
      </c>
      <c r="AZ15" s="76">
        <f ca="1">_xll.meMathBlackScholesDeltaSpot($C$9,$AQ15,$C$11,$C$12,AZ$4,$C$14,$C$15)</f>
        <v>0.56389701617224008</v>
      </c>
      <c r="BA15" s="76">
        <f ca="1">_xll.meMathBlackScholesDeltaSpot($C$9,$AQ15,$C$11,$C$12,BA$4,$C$14,$C$15)</f>
        <v>0.5652591086309191</v>
      </c>
      <c r="BB15" s="77">
        <f ca="1">_xll.meMathBlackScholesDeltaSpot($C$9,$AQ15,$C$11,$C$12,BB$4,$C$14,$C$15)</f>
        <v>0.56659235743628877</v>
      </c>
      <c r="BD15" s="67">
        <v>1</v>
      </c>
      <c r="BE15" s="69">
        <f t="shared" si="25"/>
        <v>100</v>
      </c>
      <c r="BF15" s="75">
        <f ca="1">_xll.meMathBlackScholesDeltaForward($C$9,$BE15,$C$11,$C$12,BF$4,$C$14,$C$15)</f>
        <v>0.55167873527964106</v>
      </c>
      <c r="BG15" s="76">
        <f ca="1">_xll.meMathBlackScholesDeltaForward($C$9,$BE15,$C$11,$C$12,BG$4,$C$14,$C$15)</f>
        <v>0.55336358492889404</v>
      </c>
      <c r="BH15" s="76">
        <f ca="1">_xll.meMathBlackScholesDeltaForward($C$9,$BE15,$C$11,$C$12,BH$4,$C$14,$C$15)</f>
        <v>0.55499563716070854</v>
      </c>
      <c r="BI15" s="76">
        <f ca="1">_xll.meMathBlackScholesDeltaForward($C$9,$BE15,$C$11,$C$12,BI$4,$C$14,$C$15)</f>
        <v>0.55657946195545971</v>
      </c>
      <c r="BJ15" s="76">
        <f ca="1">_xll.meMathBlackScholesDeltaForward($C$9,$BE15,$C$11,$C$12,BJ$4,$C$14,$C$15)</f>
        <v>0.5581190031406873</v>
      </c>
      <c r="BK15" s="73">
        <f ca="1">_xll.meMathBlackScholesDeltaForward($C$9,$BE15,$C$11,$C$12,BK$4,$C$14,$C$15)</f>
        <v>0.5596176923702425</v>
      </c>
      <c r="BL15" s="76">
        <f ca="1">_xll.meMathBlackScholesDeltaForward($C$9,$BE15,$C$11,$C$12,BL$4,$C$14,$C$15)</f>
        <v>0.56107853773370098</v>
      </c>
      <c r="BM15" s="76">
        <f ca="1">_xll.meMathBlackScholesDeltaForward($C$9,$BE15,$C$11,$C$12,BM$4,$C$14,$C$15)</f>
        <v>0.56250419357487125</v>
      </c>
      <c r="BN15" s="76">
        <f ca="1">_xll.meMathBlackScholesDeltaForward($C$9,$BE15,$C$11,$C$12,BN$4,$C$14,$C$15)</f>
        <v>0.56389701617224008</v>
      </c>
      <c r="BO15" s="76">
        <f ca="1">_xll.meMathBlackScholesDeltaForward($C$9,$BE15,$C$11,$C$12,BO$4,$C$14,$C$15)</f>
        <v>0.5652591086309191</v>
      </c>
      <c r="BP15" s="77">
        <f ca="1">_xll.meMathBlackScholesDeltaForward($C$9,$BE15,$C$11,$C$12,BP$4,$C$14,$C$15)</f>
        <v>0.56659235743628877</v>
      </c>
      <c r="BR15" s="67">
        <v>1</v>
      </c>
      <c r="BS15" s="69">
        <f t="shared" si="27"/>
        <v>100</v>
      </c>
      <c r="BT15" s="89">
        <f ca="1">_xll.meMathBlackScholesGamma($C$9,$BS15,$C$11,$C$12,BT$4,$C$14,$C$15)</f>
        <v>4.5678840823567698E-2</v>
      </c>
      <c r="BU15" s="90">
        <f ca="1">_xll.meMathBlackScholesGamma($C$9,$BS15,$C$11,$C$12,BU$4,$C$14,$C$15)</f>
        <v>4.4203475996246973E-2</v>
      </c>
      <c r="BV15" s="90">
        <f ca="1">_xll.meMathBlackScholesGamma($C$9,$BS15,$C$11,$C$12,BV$4,$C$14,$C$15)</f>
        <v>4.2859555436393096E-2</v>
      </c>
      <c r="BW15" s="90">
        <f ca="1">_xll.meMathBlackScholesGamma($C$9,$BS15,$C$11,$C$12,BW$4,$C$14,$C$15)</f>
        <v>4.1628578335024279E-2</v>
      </c>
      <c r="BX15" s="90">
        <f ca="1">_xll.meMathBlackScholesGamma($C$9,$BS15,$C$11,$C$12,BX$4,$C$14,$C$15)</f>
        <v>4.0495497697794786E-2</v>
      </c>
      <c r="BY15" s="87">
        <f ca="1">_xll.meMathBlackScholesGamma($C$9,$BS15,$C$11,$C$12,BY$4,$C$14,$C$15)</f>
        <v>3.9447933090788895E-2</v>
      </c>
      <c r="BZ15" s="90">
        <f ca="1">_xll.meMathBlackScholesGamma($C$9,$BS15,$C$11,$C$12,BZ$4,$C$14,$C$15)</f>
        <v>3.8475592172272442E-2</v>
      </c>
      <c r="CA15" s="90">
        <f ca="1">_xll.meMathBlackScholesGamma($C$9,$BS15,$C$11,$C$12,CA$4,$C$14,$C$15)</f>
        <v>3.7569838573154171E-2</v>
      </c>
      <c r="CB15" s="90">
        <f ca="1">_xll.meMathBlackScholesGamma($C$9,$BS15,$C$11,$C$12,CB$4,$C$14,$C$15)</f>
        <v>3.6723364287883829E-2</v>
      </c>
      <c r="CC15" s="90">
        <f ca="1">_xll.meMathBlackScholesGamma($C$9,$BS15,$C$11,$C$12,CC$4,$C$14,$C$15)</f>
        <v>3.5929937958321792E-2</v>
      </c>
      <c r="CD15" s="91">
        <f ca="1">_xll.meMathBlackScholesGamma($C$9,$BS15,$C$11,$C$12,CD$4,$C$14,$C$15)</f>
        <v>3.5184209110177951E-2</v>
      </c>
      <c r="CF15" s="67">
        <v>1</v>
      </c>
      <c r="CG15" s="69">
        <f t="shared" si="29"/>
        <v>100</v>
      </c>
      <c r="CH15" s="89">
        <f ca="1">_xll.meMathBlackScholesVega($C$9,$CG15,$C$11,$C$12,CH$4,$C$14,$C$15)</f>
        <v>0.34259130617675765</v>
      </c>
      <c r="CI15" s="90">
        <f ca="1">_xll.meMathBlackScholesVega($C$9,$CG15,$C$11,$C$12,CI$4,$C$14,$C$15)</f>
        <v>0.35362780796997567</v>
      </c>
      <c r="CJ15" s="90">
        <f ca="1">_xll.meMathBlackScholesVega($C$9,$CG15,$C$11,$C$12,CJ$4,$C$14,$C$15)</f>
        <v>0.36430622120934125</v>
      </c>
      <c r="CK15" s="90">
        <f ca="1">_xll.meMathBlackScholesVega($C$9,$CG15,$C$11,$C$12,CK$4,$C$14,$C$15)</f>
        <v>0.37465720501521849</v>
      </c>
      <c r="CL15" s="90">
        <f ca="1">_xll.meMathBlackScholesVega($C$9,$CG15,$C$11,$C$12,CL$4,$C$14,$C$15)</f>
        <v>0.38470722812905045</v>
      </c>
      <c r="CM15" s="87">
        <f ca="1">_xll.meMathBlackScholesVega($C$9,$CG15,$C$11,$C$12,CM$4,$C$14,$C$15)</f>
        <v>0.39447933090788895</v>
      </c>
      <c r="CN15" s="90">
        <f ca="1">_xll.meMathBlackScholesVega($C$9,$CG15,$C$11,$C$12,CN$4,$C$14,$C$15)</f>
        <v>0.40399371780886073</v>
      </c>
      <c r="CO15" s="90">
        <f ca="1">_xll.meMathBlackScholesVega($C$9,$CG15,$C$11,$C$12,CO$4,$C$14,$C$15)</f>
        <v>0.41326822430469606</v>
      </c>
      <c r="CP15" s="90">
        <f ca="1">_xll.meMathBlackScholesVega($C$9,$CG15,$C$11,$C$12,CP$4,$C$14,$C$15)</f>
        <v>0.42231868931066402</v>
      </c>
      <c r="CQ15" s="90">
        <f ca="1">_xll.meMathBlackScholesVega($C$9,$CG15,$C$11,$C$12,CQ$4,$C$14,$C$15)</f>
        <v>0.43115925549986167</v>
      </c>
      <c r="CR15" s="91">
        <f ca="1">_xll.meMathBlackScholesVega($C$9,$CG15,$C$11,$C$12,CR$4,$C$14,$C$15)</f>
        <v>0.43980261387722452</v>
      </c>
      <c r="CT15" s="67">
        <v>1</v>
      </c>
      <c r="CU15" s="69">
        <f t="shared" si="31"/>
        <v>100</v>
      </c>
      <c r="CV15" s="89">
        <f ca="1">_xll.meMathBlackScholesTheta($C$9,$CU15,$C$11,$C$12,CV$4,$C$14,$C$15)</f>
        <v>-7.6587168895028822E-3</v>
      </c>
      <c r="CW15" s="90">
        <f ca="1">_xll.meMathBlackScholesTheta($C$9,$CU15,$C$11,$C$12,CW$4,$C$14,$C$15)</f>
        <v>-7.4575850511686848E-3</v>
      </c>
      <c r="CX15" s="90">
        <f ca="1">_xll.meMathBlackScholesTheta($C$9,$CU15,$C$11,$C$12,CX$4,$C$14,$C$15)</f>
        <v>-7.2743983636107852E-3</v>
      </c>
      <c r="CY15" s="90">
        <f ca="1">_xll.meMathBlackScholesTheta($C$9,$CU15,$C$11,$C$12,CY$4,$C$14,$C$15)</f>
        <v>-7.1066283979684544E-3</v>
      </c>
      <c r="CZ15" s="90">
        <f ca="1">_xll.meMathBlackScholesTheta($C$9,$CU15,$C$11,$C$12,CZ$4,$C$14,$C$15)</f>
        <v>-6.9522189534506262E-3</v>
      </c>
      <c r="DA15" s="87">
        <f ca="1">_xll.meMathBlackScholesTheta($C$9,$CU15,$C$11,$C$12,DA$4,$C$14,$C$15)</f>
        <v>-6.8094783923873135E-3</v>
      </c>
      <c r="DB15" s="90">
        <f ca="1">_xll.meMathBlackScholesTheta($C$9,$CU15,$C$11,$C$12,DB$4,$C$14,$C$15)</f>
        <v>-6.6770005333220547E-3</v>
      </c>
      <c r="DC15" s="90">
        <f ca="1">_xll.meMathBlackScholesTheta($C$9,$CU15,$C$11,$C$12,DC$4,$C$14,$C$15)</f>
        <v>-6.5536055609659288E-3</v>
      </c>
      <c r="DD15" s="90">
        <f ca="1">_xll.meMathBlackScholesTheta($C$9,$CU15,$C$11,$C$12,DD$4,$C$14,$C$15)</f>
        <v>-6.4382952299194621E-3</v>
      </c>
      <c r="DE15" s="90">
        <f ca="1">_xll.meMathBlackScholesTheta($C$9,$CU15,$C$11,$C$12,DE$4,$C$14,$C$15)</f>
        <v>-6.3302184477074495E-3</v>
      </c>
      <c r="DF15" s="91">
        <f ca="1">_xll.meMathBlackScholesTheta($C$9,$CU15,$C$11,$C$12,DF$4,$C$14,$C$15)</f>
        <v>-6.2286445096748086E-3</v>
      </c>
      <c r="DH15" s="67">
        <v>1</v>
      </c>
      <c r="DI15" s="69">
        <f t="shared" si="33"/>
        <v>100</v>
      </c>
      <c r="DJ15" s="89">
        <f ca="1">_xll.meMathBlackScholesRho($C$9,$DI15,$C$11,$C$12,DJ$4,$C$14,$C$15)</f>
        <v>0.38505322703440681</v>
      </c>
      <c r="DK15" s="90">
        <f ca="1">_xll.meMathBlackScholesRho($C$9,$DI15,$C$11,$C$12,DK$4,$C$14,$C$15)</f>
        <v>0.4109673121016103</v>
      </c>
      <c r="DL15" s="90">
        <f ca="1">_xll.meMathBlackScholesRho($C$9,$DI15,$C$11,$C$12,DL$4,$C$14,$C$15)</f>
        <v>0.43689679591580649</v>
      </c>
      <c r="DM15" s="90">
        <f ca="1">_xll.meMathBlackScholesRho($C$9,$DI15,$C$11,$C$12,DM$4,$C$14,$C$15)</f>
        <v>0.46284039504608726</v>
      </c>
      <c r="DN15" s="90">
        <f ca="1">_xll.meMathBlackScholesRho($C$9,$DI15,$C$11,$C$12,DN$4,$C$14,$C$15)</f>
        <v>0.48879693346519665</v>
      </c>
      <c r="DO15" s="87">
        <f ca="1">_xll.meMathBlackScholesRho($C$9,$DI15,$C$11,$C$12,DO$4,$C$14,$C$15)</f>
        <v>0.51476532828002164</v>
      </c>
      <c r="DP15" s="90">
        <f ca="1">_xll.meMathBlackScholesRho($C$9,$DI15,$C$11,$C$12,DP$4,$C$14,$C$15)</f>
        <v>0.5407445779913711</v>
      </c>
      <c r="DQ15" s="90">
        <f ca="1">_xll.meMathBlackScholesRho($C$9,$DI15,$C$11,$C$12,DQ$4,$C$14,$C$15)</f>
        <v>0.56673375273360671</v>
      </c>
      <c r="DR15" s="90">
        <f ca="1">_xll.meMathBlackScholesRho($C$9,$DI15,$C$11,$C$12,DR$4,$C$14,$C$15)</f>
        <v>0.59273198608397659</v>
      </c>
      <c r="DS15" s="90">
        <f ca="1">_xll.meMathBlackScholesRho($C$9,$DI15,$C$11,$C$12,DS$4,$C$14,$C$15)</f>
        <v>0.61873846813086764</v>
      </c>
      <c r="DT15" s="91">
        <f ca="1">_xll.meMathBlackScholesRho($C$9,$DI15,$C$11,$C$12,DT$4,$C$14,$C$15)</f>
        <v>0.64475243956228301</v>
      </c>
    </row>
    <row r="16" spans="2:124" x14ac:dyDescent="0.25">
      <c r="N16" s="40">
        <f t="shared" ref="N16:N25" si="35">N15-$C$5</f>
        <v>0.95</v>
      </c>
      <c r="O16" s="45">
        <f t="shared" si="9"/>
        <v>95</v>
      </c>
      <c r="P16" s="43">
        <f t="shared" ca="1" si="34"/>
        <v>0.29494376768024344</v>
      </c>
      <c r="Q16" s="44">
        <f t="shared" ca="1" si="10"/>
        <v>0.30780115974298605</v>
      </c>
      <c r="R16" s="44">
        <f t="shared" ca="1" si="11"/>
        <v>0.32017784332380755</v>
      </c>
      <c r="S16" s="44">
        <f t="shared" ca="1" si="12"/>
        <v>0.33211834114491312</v>
      </c>
      <c r="T16" s="44">
        <f t="shared" ca="1" si="13"/>
        <v>0.34366091317439368</v>
      </c>
      <c r="U16" s="55">
        <f t="shared" ca="1" si="14"/>
        <v>0.35483868952949416</v>
      </c>
      <c r="V16" s="44">
        <f t="shared" ca="1" si="15"/>
        <v>0.36568055918703235</v>
      </c>
      <c r="W16" s="44">
        <f t="shared" ca="1" si="16"/>
        <v>0.37621187447894805</v>
      </c>
      <c r="X16" s="44">
        <f t="shared" ca="1" si="17"/>
        <v>0.38645501505818453</v>
      </c>
      <c r="Y16" s="44">
        <f t="shared" ca="1" si="18"/>
        <v>0.39642984351545479</v>
      </c>
      <c r="Z16" s="45">
        <f t="shared" ca="1" si="19"/>
        <v>0.40615407661553715</v>
      </c>
      <c r="AB16" s="40">
        <f t="shared" ref="AB16:AB25" si="36">AB15-$C$5</f>
        <v>0.95</v>
      </c>
      <c r="AC16" s="45">
        <f t="shared" si="21"/>
        <v>95</v>
      </c>
      <c r="AD16" s="85">
        <f ca="1">_xll.meMathBlackScholesPrice($C$9,$AC16,$C$11,$C$12,AD$4,$C$14,$C$15)</f>
        <v>1.6478619823599132</v>
      </c>
      <c r="AE16" s="86">
        <f ca="1">_xll.meMathBlackScholesPrice($C$9,$AC16,$C$11,$C$12,AE$4,$C$14,$C$15)</f>
        <v>1.7597422942333374</v>
      </c>
      <c r="AF16" s="86">
        <f ca="1">_xll.meMathBlackScholesPrice($C$9,$AC16,$C$11,$C$12,AF$4,$C$14,$C$15)</f>
        <v>1.8698760452973282</v>
      </c>
      <c r="AG16" s="86">
        <f ca="1">_xll.meMathBlackScholesPrice($C$9,$AC16,$C$11,$C$12,AG$4,$C$14,$C$15)</f>
        <v>1.9783442885821287</v>
      </c>
      <c r="AH16" s="86">
        <f ca="1">_xll.meMathBlackScholesPrice($C$9,$AC16,$C$11,$C$12,AH$4,$C$14,$C$15)</f>
        <v>2.0852250828180843</v>
      </c>
      <c r="AI16" s="87">
        <f ca="1">_xll.meMathBlackScholesPrice($C$9,$AC16,$C$11,$C$12,AI$4,$C$14,$C$15)</f>
        <v>2.1905927790264172</v>
      </c>
      <c r="AJ16" s="86">
        <f ca="1">_xll.meMathBlackScholesPrice($C$9,$AC16,$C$11,$C$12,AJ$4,$C$14,$C$15)</f>
        <v>2.2945177049398922</v>
      </c>
      <c r="AK16" s="86">
        <f ca="1">_xll.meMathBlackScholesPrice($C$9,$AC16,$C$11,$C$12,AK$4,$C$14,$C$15)</f>
        <v>2.3970660911237047</v>
      </c>
      <c r="AL16" s="86">
        <f ca="1">_xll.meMathBlackScholesPrice($C$9,$AC16,$C$11,$C$12,AL$4,$C$14,$C$15)</f>
        <v>2.4983001416338837</v>
      </c>
      <c r="AM16" s="86">
        <f ca="1">_xll.meMathBlackScholesPrice($C$9,$AC16,$C$11,$C$12,AM$4,$C$14,$C$15)</f>
        <v>2.5982781882858959</v>
      </c>
      <c r="AN16" s="88">
        <f ca="1">_xll.meMathBlackScholesPrice($C$9,$AC16,$C$11,$C$12,AN$4,$C$14,$C$15)</f>
        <v>2.6970548901988067</v>
      </c>
      <c r="AP16" s="40">
        <f t="shared" ref="AP16:AP25" si="37">AP15-$C$5</f>
        <v>0.95</v>
      </c>
      <c r="AQ16" s="45">
        <f t="shared" si="23"/>
        <v>95</v>
      </c>
      <c r="AR16" s="71">
        <f ca="1">_xll.meMathBlackScholesDeltaSpot($C$9,$AQ16,$C$11,$C$12,AR$4,$C$14,$C$15)</f>
        <v>0.32190437084766488</v>
      </c>
      <c r="AS16" s="72">
        <f ca="1">_xll.meMathBlackScholesDeltaSpot($C$9,$AQ16,$C$11,$C$12,AS$4,$C$14,$C$15)</f>
        <v>0.33021760012856727</v>
      </c>
      <c r="AT16" s="72">
        <f ca="1">_xll.meMathBlackScholesDeltaSpot($C$9,$AQ16,$C$11,$C$12,AT$4,$C$14,$C$15)</f>
        <v>0.33795135977237944</v>
      </c>
      <c r="AU16" s="72">
        <f ca="1">_xll.meMathBlackScholesDeltaSpot($C$9,$AQ16,$C$11,$C$12,AU$4,$C$14,$C$15)</f>
        <v>0.34517641190667875</v>
      </c>
      <c r="AV16" s="72">
        <f ca="1">_xll.meMathBlackScholesDeltaSpot($C$9,$AQ16,$C$11,$C$12,AV$4,$C$14,$C$15)</f>
        <v>0.35195185588525491</v>
      </c>
      <c r="AW16" s="73">
        <f ca="1">_xll.meMathBlackScholesDeltaSpot($C$9,$AQ16,$C$11,$C$12,AW$4,$C$14,$C$15)</f>
        <v>0.35832748828828465</v>
      </c>
      <c r="AX16" s="72">
        <f ca="1">_xll.meMathBlackScholesDeltaSpot($C$9,$AQ16,$C$11,$C$12,AX$4,$C$14,$C$15)</f>
        <v>0.36434560624006551</v>
      </c>
      <c r="AY16" s="72">
        <f ca="1">_xll.meMathBlackScholesDeltaSpot($C$9,$AQ16,$C$11,$C$12,AY$4,$C$14,$C$15)</f>
        <v>0.37004240212686806</v>
      </c>
      <c r="AZ16" s="72">
        <f ca="1">_xll.meMathBlackScholesDeltaSpot($C$9,$AQ16,$C$11,$C$12,AZ$4,$C$14,$C$15)</f>
        <v>0.37544905438721865</v>
      </c>
      <c r="BA16" s="72">
        <f ca="1">_xll.meMathBlackScholesDeltaSpot($C$9,$AQ16,$C$11,$C$12,BA$4,$C$14,$C$15)</f>
        <v>0.38059258942421642</v>
      </c>
      <c r="BB16" s="74">
        <f ca="1">_xll.meMathBlackScholesDeltaSpot($C$9,$AQ16,$C$11,$C$12,BB$4,$C$14,$C$15)</f>
        <v>0.38549656917176789</v>
      </c>
      <c r="BD16" s="40">
        <f t="shared" ref="BD16:BD25" si="38">BD15-$C$5</f>
        <v>0.95</v>
      </c>
      <c r="BE16" s="45">
        <f t="shared" si="25"/>
        <v>95</v>
      </c>
      <c r="BF16" s="71">
        <f ca="1">_xll.meMathBlackScholesDeltaForward($C$9,$BE16,$C$11,$C$12,BF$4,$C$14,$C$15)</f>
        <v>0.32190437084766488</v>
      </c>
      <c r="BG16" s="72">
        <f ca="1">_xll.meMathBlackScholesDeltaForward($C$9,$BE16,$C$11,$C$12,BG$4,$C$14,$C$15)</f>
        <v>0.33021760012856727</v>
      </c>
      <c r="BH16" s="72">
        <f ca="1">_xll.meMathBlackScholesDeltaForward($C$9,$BE16,$C$11,$C$12,BH$4,$C$14,$C$15)</f>
        <v>0.33795135977237944</v>
      </c>
      <c r="BI16" s="72">
        <f ca="1">_xll.meMathBlackScholesDeltaForward($C$9,$BE16,$C$11,$C$12,BI$4,$C$14,$C$15)</f>
        <v>0.34517641190667875</v>
      </c>
      <c r="BJ16" s="72">
        <f ca="1">_xll.meMathBlackScholesDeltaForward($C$9,$BE16,$C$11,$C$12,BJ$4,$C$14,$C$15)</f>
        <v>0.35195185588525491</v>
      </c>
      <c r="BK16" s="73">
        <f ca="1">_xll.meMathBlackScholesDeltaForward($C$9,$BE16,$C$11,$C$12,BK$4,$C$14,$C$15)</f>
        <v>0.35832748828828465</v>
      </c>
      <c r="BL16" s="72">
        <f ca="1">_xll.meMathBlackScholesDeltaForward($C$9,$BE16,$C$11,$C$12,BL$4,$C$14,$C$15)</f>
        <v>0.36434560624006551</v>
      </c>
      <c r="BM16" s="72">
        <f ca="1">_xll.meMathBlackScholesDeltaForward($C$9,$BE16,$C$11,$C$12,BM$4,$C$14,$C$15)</f>
        <v>0.37004240212686806</v>
      </c>
      <c r="BN16" s="72">
        <f ca="1">_xll.meMathBlackScholesDeltaForward($C$9,$BE16,$C$11,$C$12,BN$4,$C$14,$C$15)</f>
        <v>0.37544905438721865</v>
      </c>
      <c r="BO16" s="72">
        <f ca="1">_xll.meMathBlackScholesDeltaForward($C$9,$BE16,$C$11,$C$12,BO$4,$C$14,$C$15)</f>
        <v>0.38059258942421642</v>
      </c>
      <c r="BP16" s="74">
        <f ca="1">_xll.meMathBlackScholesDeltaForward($C$9,$BE16,$C$11,$C$12,BP$4,$C$14,$C$15)</f>
        <v>0.38549656917176789</v>
      </c>
      <c r="BR16" s="40">
        <f t="shared" ref="BR16:BR25" si="39">BR15-$C$5</f>
        <v>0.95</v>
      </c>
      <c r="BS16" s="45">
        <f t="shared" si="27"/>
        <v>95</v>
      </c>
      <c r="BT16" s="85">
        <f ca="1">_xll.meMathBlackScholesGamma($C$9,$BS16,$C$11,$C$12,BT$4,$C$14,$C$15)</f>
        <v>4.3574333175289907E-2</v>
      </c>
      <c r="BU16" s="86">
        <f ca="1">_xll.meMathBlackScholesGamma($C$9,$BS16,$C$11,$C$12,BU$4,$C$14,$C$15)</f>
        <v>4.2631739576590881E-2</v>
      </c>
      <c r="BV16" s="86">
        <f ca="1">_xll.meMathBlackScholesGamma($C$9,$BS16,$C$11,$C$12,BV$4,$C$14,$C$15)</f>
        <v>4.173737569806845E-2</v>
      </c>
      <c r="BW16" s="86">
        <f ca="1">_xll.meMathBlackScholesGamma($C$9,$BS16,$C$11,$C$12,BW$4,$C$14,$C$15)</f>
        <v>4.0888684659269085E-2</v>
      </c>
      <c r="BX16" s="86">
        <f ca="1">_xll.meMathBlackScholesGamma($C$9,$BS16,$C$11,$C$12,BX$4,$C$14,$C$15)</f>
        <v>4.0082917413546436E-2</v>
      </c>
      <c r="BY16" s="87">
        <f ca="1">_xll.meMathBlackScholesGamma($C$9,$BS16,$C$11,$C$12,BY$4,$C$14,$C$15)</f>
        <v>3.931730631905752E-2</v>
      </c>
      <c r="BZ16" s="86">
        <f ca="1">_xll.meMathBlackScholesGamma($C$9,$BS16,$C$11,$C$12,BZ$4,$C$14,$C$15)</f>
        <v>3.8589163349113033E-2</v>
      </c>
      <c r="CA16" s="86">
        <f ca="1">_xll.meMathBlackScholesGamma($C$9,$BS16,$C$11,$C$12,CA$4,$C$14,$C$15)</f>
        <v>3.7895932961868342E-2</v>
      </c>
      <c r="CB16" s="86">
        <f ca="1">_xll.meMathBlackScholesGamma($C$9,$BS16,$C$11,$C$12,CB$4,$C$14,$C$15)</f>
        <v>3.7235217637787255E-2</v>
      </c>
      <c r="CC16" s="86">
        <f ca="1">_xll.meMathBlackScholesGamma($C$9,$BS16,$C$11,$C$12,CC$4,$C$14,$C$15)</f>
        <v>3.6604787028204487E-2</v>
      </c>
      <c r="CD16" s="88">
        <f ca="1">_xll.meMathBlackScholesGamma($C$9,$BS16,$C$11,$C$12,CD$4,$C$14,$C$15)</f>
        <v>3.6002577428524064E-2</v>
      </c>
      <c r="CF16" s="40">
        <f t="shared" ref="CF16:CF25" si="40">CF15-$C$5</f>
        <v>0.95</v>
      </c>
      <c r="CG16" s="45">
        <f t="shared" si="29"/>
        <v>95</v>
      </c>
      <c r="CH16" s="85">
        <f ca="1">_xll.meMathBlackScholesVega($C$9,$CG16,$C$11,$C$12,CH$4,$C$14,$C$15)</f>
        <v>0.29494376768024344</v>
      </c>
      <c r="CI16" s="86">
        <f ca="1">_xll.meMathBlackScholesVega($C$9,$CG16,$C$11,$C$12,CI$4,$C$14,$C$15)</f>
        <v>0.30780115974298605</v>
      </c>
      <c r="CJ16" s="86">
        <f ca="1">_xll.meMathBlackScholesVega($C$9,$CG16,$C$11,$C$12,CJ$4,$C$14,$C$15)</f>
        <v>0.32017784332380755</v>
      </c>
      <c r="CK16" s="86">
        <f ca="1">_xll.meMathBlackScholesVega($C$9,$CG16,$C$11,$C$12,CK$4,$C$14,$C$15)</f>
        <v>0.33211834114491312</v>
      </c>
      <c r="CL16" s="86">
        <f ca="1">_xll.meMathBlackScholesVega($C$9,$CG16,$C$11,$C$12,CL$4,$C$14,$C$15)</f>
        <v>0.34366091317439368</v>
      </c>
      <c r="CM16" s="87">
        <f ca="1">_xll.meMathBlackScholesVega($C$9,$CG16,$C$11,$C$12,CM$4,$C$14,$C$15)</f>
        <v>0.35483868952949416</v>
      </c>
      <c r="CN16" s="86">
        <f ca="1">_xll.meMathBlackScholesVega($C$9,$CG16,$C$11,$C$12,CN$4,$C$14,$C$15)</f>
        <v>0.36568055918703235</v>
      </c>
      <c r="CO16" s="86">
        <f ca="1">_xll.meMathBlackScholesVega($C$9,$CG16,$C$11,$C$12,CO$4,$C$14,$C$15)</f>
        <v>0.37621187447894805</v>
      </c>
      <c r="CP16" s="86">
        <f ca="1">_xll.meMathBlackScholesVega($C$9,$CG16,$C$11,$C$12,CP$4,$C$14,$C$15)</f>
        <v>0.38645501505818453</v>
      </c>
      <c r="CQ16" s="86">
        <f ca="1">_xll.meMathBlackScholesVega($C$9,$CG16,$C$11,$C$12,CQ$4,$C$14,$C$15)</f>
        <v>0.39642984351545479</v>
      </c>
      <c r="CR16" s="88">
        <f ca="1">_xll.meMathBlackScholesVega($C$9,$CG16,$C$11,$C$12,CR$4,$C$14,$C$15)</f>
        <v>0.40615407661553715</v>
      </c>
      <c r="CT16" s="40">
        <f t="shared" ref="CT16:CT25" si="41">CT15-$C$5</f>
        <v>0.95</v>
      </c>
      <c r="CU16" s="45">
        <f t="shared" si="31"/>
        <v>95</v>
      </c>
      <c r="CV16" s="85">
        <f ca="1">_xll.meMathBlackScholesTheta($C$9,$CU16,$C$11,$C$12,CV$4,$C$14,$C$15)</f>
        <v>-6.1755573361167411E-3</v>
      </c>
      <c r="CW16" s="86">
        <f ca="1">_xll.meMathBlackScholesTheta($C$9,$CU16,$C$11,$C$12,CW$4,$C$14,$C$15)</f>
        <v>-6.0776633691265397E-3</v>
      </c>
      <c r="CX16" s="86">
        <f ca="1">_xll.meMathBlackScholesTheta($C$9,$CU16,$C$11,$C$12,CX$4,$C$14,$C$15)</f>
        <v>-5.9842686097361427E-3</v>
      </c>
      <c r="CY16" s="86">
        <f ca="1">_xll.meMathBlackScholesTheta($C$9,$CU16,$C$11,$C$12,CY$4,$C$14,$C$15)</f>
        <v>-5.8952389970569228E-3</v>
      </c>
      <c r="CZ16" s="86">
        <f ca="1">_xll.meMathBlackScholesTheta($C$9,$CU16,$C$11,$C$12,CZ$4,$C$14,$C$15)</f>
        <v>-5.8103864765204497E-3</v>
      </c>
      <c r="DA16" s="87">
        <f ca="1">_xll.meMathBlackScholesTheta($C$9,$CU16,$C$11,$C$12,DA$4,$C$14,$C$15)</f>
        <v>-5.7294966015909018E-3</v>
      </c>
      <c r="DB16" s="86">
        <f ca="1">_xll.meMathBlackScholesTheta($C$9,$CU16,$C$11,$C$12,DB$4,$C$14,$C$15)</f>
        <v>-5.6523453662077729E-3</v>
      </c>
      <c r="DC16" s="86">
        <f ca="1">_xll.meMathBlackScholesTheta($C$9,$CU16,$C$11,$C$12,DC$4,$C$14,$C$15)</f>
        <v>-5.5787093662247687E-3</v>
      </c>
      <c r="DD16" s="86">
        <f ca="1">_xll.meMathBlackScholesTheta($C$9,$CU16,$C$11,$C$12,DD$4,$C$14,$C$15)</f>
        <v>-5.5083717896144257E-3</v>
      </c>
      <c r="DE16" s="86">
        <f ca="1">_xll.meMathBlackScholesTheta($C$9,$CU16,$C$11,$C$12,DE$4,$C$14,$C$15)</f>
        <v>-5.441125784306295E-3</v>
      </c>
      <c r="DF16" s="88">
        <f ca="1">_xll.meMathBlackScholesTheta($C$9,$CU16,$C$11,$C$12,DF$4,$C$14,$C$15)</f>
        <v>-5.3767761759708141E-3</v>
      </c>
      <c r="DH16" s="40">
        <f t="shared" ref="DH16:DH25" si="42">DH15-$C$5</f>
        <v>0.95</v>
      </c>
      <c r="DI16" s="45">
        <f t="shared" si="33"/>
        <v>95</v>
      </c>
      <c r="DJ16" s="85">
        <f ca="1">_xll.meMathBlackScholesRho($C$9,$DI16,$C$11,$C$12,DJ$4,$C$14,$C$15)</f>
        <v>0.21699789936126179</v>
      </c>
      <c r="DK16" s="86">
        <f ca="1">_xll.meMathBlackScholesRho($C$9,$DI16,$C$11,$C$12,DK$4,$C$14,$C$15)</f>
        <v>0.23688743774384441</v>
      </c>
      <c r="DL16" s="86">
        <f ca="1">_xll.meMathBlackScholesRho($C$9,$DI16,$C$11,$C$12,DL$4,$C$14,$C$15)</f>
        <v>0.25700177663116902</v>
      </c>
      <c r="DM16" s="86">
        <f ca="1">_xll.meMathBlackScholesRho($C$9,$DI16,$C$11,$C$12,DM$4,$C$14,$C$15)</f>
        <v>0.27732073358297116</v>
      </c>
      <c r="DN16" s="86">
        <f ca="1">_xll.meMathBlackScholesRho($C$9,$DI16,$C$11,$C$12,DN$4,$C$14,$C$15)</f>
        <v>0.29782691164967068</v>
      </c>
      <c r="DO16" s="87">
        <f ca="1">_xll.meMathBlackScholesRho($C$9,$DI16,$C$11,$C$12,DO$4,$C$14,$C$15)</f>
        <v>0.31850518608360623</v>
      </c>
      <c r="DP16" s="86">
        <f ca="1">_xll.meMathBlackScholesRho($C$9,$DI16,$C$11,$C$12,DP$4,$C$14,$C$15)</f>
        <v>0.33934230632259649</v>
      </c>
      <c r="DQ16" s="86">
        <f ca="1">_xll.meMathBlackScholesRho($C$9,$DI16,$C$11,$C$12,DQ$4,$C$14,$C$15)</f>
        <v>0.36032658322021638</v>
      </c>
      <c r="DR16" s="86">
        <f ca="1">_xll.meMathBlackScholesRho($C$9,$DI16,$C$11,$C$12,DR$4,$C$14,$C$15)</f>
        <v>0.38144764028924677</v>
      </c>
      <c r="DS16" s="86">
        <f ca="1">_xll.meMathBlackScholesRho($C$9,$DI16,$C$11,$C$12,DS$4,$C$14,$C$15)</f>
        <v>0.40269621368417596</v>
      </c>
      <c r="DT16" s="88">
        <f ca="1">_xll.meMathBlackScholesRho($C$9,$DI16,$C$11,$C$12,DT$4,$C$14,$C$15)</f>
        <v>0.4240639897639894</v>
      </c>
    </row>
    <row r="17" spans="2:124" x14ac:dyDescent="0.25">
      <c r="B17" t="s">
        <v>43</v>
      </c>
      <c r="C17" s="7">
        <f ca="1">_xll.meMathBlackScholesPrice("CALL",$C$10,$C$11,$C$12,$C$13,$C$14,$C$15)</f>
        <v>4.485236409022086</v>
      </c>
      <c r="N17" s="40">
        <f t="shared" si="35"/>
        <v>0.89999999999999991</v>
      </c>
      <c r="O17" s="45">
        <f t="shared" si="9"/>
        <v>89.999999999999986</v>
      </c>
      <c r="P17" s="43">
        <f t="shared" ca="1" si="34"/>
        <v>0.17228715376812431</v>
      </c>
      <c r="Q17" s="44">
        <f t="shared" ca="1" si="10"/>
        <v>0.1862561425256033</v>
      </c>
      <c r="R17" s="44">
        <f t="shared" ca="1" si="11"/>
        <v>0.19987347732600216</v>
      </c>
      <c r="S17" s="44">
        <f t="shared" ca="1" si="12"/>
        <v>0.21314624132838841</v>
      </c>
      <c r="T17" s="44">
        <f t="shared" ca="1" si="13"/>
        <v>0.22608436162940998</v>
      </c>
      <c r="U17" s="55">
        <f t="shared" ca="1" si="14"/>
        <v>0.2386994169228368</v>
      </c>
      <c r="V17" s="44">
        <f t="shared" ca="1" si="15"/>
        <v>0.2510038405452707</v>
      </c>
      <c r="W17" s="44">
        <f t="shared" ca="1" si="16"/>
        <v>0.26301038977627317</v>
      </c>
      <c r="X17" s="44">
        <f t="shared" ca="1" si="17"/>
        <v>0.27473179560901445</v>
      </c>
      <c r="Y17" s="44">
        <f t="shared" ca="1" si="18"/>
        <v>0.28618053545414746</v>
      </c>
      <c r="Z17" s="45">
        <f t="shared" ca="1" si="19"/>
        <v>0.29736868984469722</v>
      </c>
      <c r="AB17" s="40">
        <f t="shared" si="36"/>
        <v>0.89999999999999991</v>
      </c>
      <c r="AC17" s="45">
        <f t="shared" si="21"/>
        <v>89.999999999999986</v>
      </c>
      <c r="AD17" s="85">
        <f ca="1">_xll.meMathBlackScholesPrice($C$9,$AC17,$C$11,$C$12,AD$4,$C$14,$C$15)</f>
        <v>0.52881376974268157</v>
      </c>
      <c r="AE17" s="86">
        <f ca="1">_xll.meMathBlackScholesPrice($C$9,$AC17,$C$11,$C$12,AE$4,$C$14,$C$15)</f>
        <v>0.59282461853084278</v>
      </c>
      <c r="AF17" s="86">
        <f ca="1">_xll.meMathBlackScholesPrice($C$9,$AC17,$C$11,$C$12,AF$4,$C$14,$C$15)</f>
        <v>0.65790565819671798</v>
      </c>
      <c r="AG17" s="86">
        <f ca="1">_xll.meMathBlackScholesPrice($C$9,$AC17,$C$11,$C$12,AG$4,$C$14,$C$15)</f>
        <v>0.72386099450195296</v>
      </c>
      <c r="AH17" s="86">
        <f ca="1">_xll.meMathBlackScholesPrice($C$9,$AC17,$C$11,$C$12,AH$4,$C$14,$C$15)</f>
        <v>0.79052691336120162</v>
      </c>
      <c r="AI17" s="87">
        <f ca="1">_xll.meMathBlackScholesPrice($C$9,$AC17,$C$11,$C$12,AI$4,$C$14,$C$15)</f>
        <v>0.85776605099454528</v>
      </c>
      <c r="AJ17" s="86">
        <f ca="1">_xll.meMathBlackScholesPrice($C$9,$AC17,$C$11,$C$12,AJ$4,$C$14,$C$15)</f>
        <v>0.92546271933477442</v>
      </c>
      <c r="AK17" s="86">
        <f ca="1">_xll.meMathBlackScholesPrice($C$9,$AC17,$C$11,$C$12,AK$4,$C$14,$C$15)</f>
        <v>0.99351914426429033</v>
      </c>
      <c r="AL17" s="86">
        <f ca="1">_xll.meMathBlackScholesPrice($C$9,$AC17,$C$11,$C$12,AL$4,$C$14,$C$15)</f>
        <v>1.0618524255266735</v>
      </c>
      <c r="AM17" s="86">
        <f ca="1">_xll.meMathBlackScholesPrice($C$9,$AC17,$C$11,$C$12,AM$4,$C$14,$C$15)</f>
        <v>1.1303920685474971</v>
      </c>
      <c r="AN17" s="88">
        <f ca="1">_xll.meMathBlackScholesPrice($C$9,$AC17,$C$11,$C$12,AN$4,$C$14,$C$15)</f>
        <v>1.1990779710579389</v>
      </c>
      <c r="AP17" s="40">
        <f t="shared" si="37"/>
        <v>0.89999999999999991</v>
      </c>
      <c r="AQ17" s="45">
        <f t="shared" si="23"/>
        <v>89.999999999999986</v>
      </c>
      <c r="AR17" s="71">
        <f ca="1">_xll.meMathBlackScholesDeltaSpot($C$9,$AQ17,$C$11,$C$12,AR$4,$C$14,$C$15)</f>
        <v>0.13858589379806219</v>
      </c>
      <c r="AS17" s="72">
        <f ca="1">_xll.meMathBlackScholesDeltaSpot($C$9,$AQ17,$C$11,$C$12,AS$4,$C$14,$C$15)</f>
        <v>0.1482884343008469</v>
      </c>
      <c r="AT17" s="72">
        <f ca="1">_xll.meMathBlackScholesDeltaSpot($C$9,$AQ17,$C$11,$C$12,AT$4,$C$14,$C$15)</f>
        <v>0.15756833505874518</v>
      </c>
      <c r="AU17" s="72">
        <f ca="1">_xll.meMathBlackScholesDeltaSpot($C$9,$AQ17,$C$11,$C$12,AU$4,$C$14,$C$15)</f>
        <v>0.166448566770732</v>
      </c>
      <c r="AV17" s="72">
        <f ca="1">_xll.meMathBlackScholesDeltaSpot($C$9,$AQ17,$C$11,$C$12,AV$4,$C$14,$C$15)</f>
        <v>0.17495234764297563</v>
      </c>
      <c r="AW17" s="73">
        <f ca="1">_xll.meMathBlackScholesDeltaSpot($C$9,$AQ17,$C$11,$C$12,AW$4,$C$14,$C$15)</f>
        <v>0.18310240300676589</v>
      </c>
      <c r="AX17" s="72">
        <f ca="1">_xll.meMathBlackScholesDeltaSpot($C$9,$AQ17,$C$11,$C$12,AX$4,$C$14,$C$15)</f>
        <v>0.19092053668742184</v>
      </c>
      <c r="AY17" s="72">
        <f ca="1">_xll.meMathBlackScholesDeltaSpot($C$9,$AQ17,$C$11,$C$12,AY$4,$C$14,$C$15)</f>
        <v>0.1984274006195885</v>
      </c>
      <c r="AZ17" s="72">
        <f ca="1">_xll.meMathBlackScholesDeltaSpot($C$9,$AQ17,$C$11,$C$12,AZ$4,$C$14,$C$15)</f>
        <v>0.20564238994660114</v>
      </c>
      <c r="BA17" s="72">
        <f ca="1">_xll.meMathBlackScholesDeltaSpot($C$9,$AQ17,$C$11,$C$12,BA$4,$C$14,$C$15)</f>
        <v>0.21258361668522838</v>
      </c>
      <c r="BB17" s="74">
        <f ca="1">_xll.meMathBlackScholesDeltaSpot($C$9,$AQ17,$C$11,$C$12,BB$4,$C$14,$C$15)</f>
        <v>0.21926793158354949</v>
      </c>
      <c r="BD17" s="40">
        <f t="shared" si="38"/>
        <v>0.89999999999999991</v>
      </c>
      <c r="BE17" s="45">
        <f t="shared" si="25"/>
        <v>89.999999999999986</v>
      </c>
      <c r="BF17" s="71">
        <f ca="1">_xll.meMathBlackScholesDeltaForward($C$9,$BE17,$C$11,$C$12,BF$4,$C$14,$C$15)</f>
        <v>0.13858589379806219</v>
      </c>
      <c r="BG17" s="72">
        <f ca="1">_xll.meMathBlackScholesDeltaForward($C$9,$BE17,$C$11,$C$12,BG$4,$C$14,$C$15)</f>
        <v>0.1482884343008469</v>
      </c>
      <c r="BH17" s="72">
        <f ca="1">_xll.meMathBlackScholesDeltaForward($C$9,$BE17,$C$11,$C$12,BH$4,$C$14,$C$15)</f>
        <v>0.15756833505874518</v>
      </c>
      <c r="BI17" s="72">
        <f ca="1">_xll.meMathBlackScholesDeltaForward($C$9,$BE17,$C$11,$C$12,BI$4,$C$14,$C$15)</f>
        <v>0.166448566770732</v>
      </c>
      <c r="BJ17" s="72">
        <f ca="1">_xll.meMathBlackScholesDeltaForward($C$9,$BE17,$C$11,$C$12,BJ$4,$C$14,$C$15)</f>
        <v>0.17495234764297563</v>
      </c>
      <c r="BK17" s="73">
        <f ca="1">_xll.meMathBlackScholesDeltaForward($C$9,$BE17,$C$11,$C$12,BK$4,$C$14,$C$15)</f>
        <v>0.18310240300676589</v>
      </c>
      <c r="BL17" s="72">
        <f ca="1">_xll.meMathBlackScholesDeltaForward($C$9,$BE17,$C$11,$C$12,BL$4,$C$14,$C$15)</f>
        <v>0.19092053668742184</v>
      </c>
      <c r="BM17" s="72">
        <f ca="1">_xll.meMathBlackScholesDeltaForward($C$9,$BE17,$C$11,$C$12,BM$4,$C$14,$C$15)</f>
        <v>0.1984274006195885</v>
      </c>
      <c r="BN17" s="72">
        <f ca="1">_xll.meMathBlackScholesDeltaForward($C$9,$BE17,$C$11,$C$12,BN$4,$C$14,$C$15)</f>
        <v>0.20564238994660114</v>
      </c>
      <c r="BO17" s="72">
        <f ca="1">_xll.meMathBlackScholesDeltaForward($C$9,$BE17,$C$11,$C$12,BO$4,$C$14,$C$15)</f>
        <v>0.21258361668522838</v>
      </c>
      <c r="BP17" s="74">
        <f ca="1">_xll.meMathBlackScholesDeltaForward($C$9,$BE17,$C$11,$C$12,BP$4,$C$14,$C$15)</f>
        <v>0.21926793158354949</v>
      </c>
      <c r="BR17" s="40">
        <f t="shared" si="39"/>
        <v>0.89999999999999991</v>
      </c>
      <c r="BS17" s="45">
        <f t="shared" si="27"/>
        <v>89.999999999999986</v>
      </c>
      <c r="BT17" s="85">
        <f ca="1">_xll.meMathBlackScholesGamma($C$9,$BS17,$C$11,$C$12,BT$4,$C$14,$C$15)</f>
        <v>2.836002531162542E-2</v>
      </c>
      <c r="BU17" s="86">
        <f ca="1">_xll.meMathBlackScholesGamma($C$9,$BS17,$C$11,$C$12,BU$4,$C$14,$C$15)</f>
        <v>2.8743231871235089E-2</v>
      </c>
      <c r="BV17" s="86">
        <f ca="1">_xll.meMathBlackScholesGamma($C$9,$BS17,$C$11,$C$12,BV$4,$C$14,$C$15)</f>
        <v>2.903027993115502E-2</v>
      </c>
      <c r="BW17" s="86">
        <f ca="1">_xll.meMathBlackScholesGamma($C$9,$BS17,$C$11,$C$12,BW$4,$C$14,$C$15)</f>
        <v>2.9238167534758372E-2</v>
      </c>
      <c r="BX17" s="86">
        <f ca="1">_xll.meMathBlackScholesGamma($C$9,$BS17,$C$11,$C$12,BX$4,$C$14,$C$15)</f>
        <v>2.9380683772502931E-2</v>
      </c>
      <c r="BY17" s="87">
        <f ca="1">_xll.meMathBlackScholesGamma($C$9,$BS17,$C$11,$C$12,BY$4,$C$14,$C$15)</f>
        <v>2.9469063817634186E-2</v>
      </c>
      <c r="BZ17" s="86">
        <f ca="1">_xll.meMathBlackScholesGamma($C$9,$BS17,$C$11,$C$12,BZ$4,$C$14,$C$15)</f>
        <v>2.9512503297503913E-2</v>
      </c>
      <c r="CA17" s="86">
        <f ca="1">_xll.meMathBlackScholesGamma($C$9,$BS17,$C$11,$C$12,CA$4,$C$14,$C$15)</f>
        <v>2.9518562264452663E-2</v>
      </c>
      <c r="CB17" s="86">
        <f ca="1">_xll.meMathBlackScholesGamma($C$9,$BS17,$C$11,$C$12,CB$4,$C$14,$C$15)</f>
        <v>2.9493483157167422E-2</v>
      </c>
      <c r="CC17" s="86">
        <f ca="1">_xll.meMathBlackScholesGamma($C$9,$BS17,$C$11,$C$12,CC$4,$C$14,$C$15)</f>
        <v>2.9442441919150977E-2</v>
      </c>
      <c r="CD17" s="88">
        <f ca="1">_xll.meMathBlackScholesGamma($C$9,$BS17,$C$11,$C$12,CD$4,$C$14,$C$15)</f>
        <v>2.9369747145155285E-2</v>
      </c>
      <c r="CF17" s="40">
        <f t="shared" si="40"/>
        <v>0.89999999999999991</v>
      </c>
      <c r="CG17" s="45">
        <f t="shared" si="29"/>
        <v>89.999999999999986</v>
      </c>
      <c r="CH17" s="85">
        <f ca="1">_xll.meMathBlackScholesVega($C$9,$CG17,$C$11,$C$12,CH$4,$C$14,$C$15)</f>
        <v>0.17228715376812431</v>
      </c>
      <c r="CI17" s="86">
        <f ca="1">_xll.meMathBlackScholesVega($C$9,$CG17,$C$11,$C$12,CI$4,$C$14,$C$15)</f>
        <v>0.1862561425256033</v>
      </c>
      <c r="CJ17" s="86">
        <f ca="1">_xll.meMathBlackScholesVega($C$9,$CG17,$C$11,$C$12,CJ$4,$C$14,$C$15)</f>
        <v>0.19987347732600216</v>
      </c>
      <c r="CK17" s="86">
        <f ca="1">_xll.meMathBlackScholesVega($C$9,$CG17,$C$11,$C$12,CK$4,$C$14,$C$15)</f>
        <v>0.21314624132838841</v>
      </c>
      <c r="CL17" s="86">
        <f ca="1">_xll.meMathBlackScholesVega($C$9,$CG17,$C$11,$C$12,CL$4,$C$14,$C$15)</f>
        <v>0.22608436162940998</v>
      </c>
      <c r="CM17" s="87">
        <f ca="1">_xll.meMathBlackScholesVega($C$9,$CG17,$C$11,$C$12,CM$4,$C$14,$C$15)</f>
        <v>0.2386994169228368</v>
      </c>
      <c r="CN17" s="86">
        <f ca="1">_xll.meMathBlackScholesVega($C$9,$CG17,$C$11,$C$12,CN$4,$C$14,$C$15)</f>
        <v>0.2510038405452707</v>
      </c>
      <c r="CO17" s="86">
        <f ca="1">_xll.meMathBlackScholesVega($C$9,$CG17,$C$11,$C$12,CO$4,$C$14,$C$15)</f>
        <v>0.26301038977627317</v>
      </c>
      <c r="CP17" s="86">
        <f ca="1">_xll.meMathBlackScholesVega($C$9,$CG17,$C$11,$C$12,CP$4,$C$14,$C$15)</f>
        <v>0.27473179560901445</v>
      </c>
      <c r="CQ17" s="86">
        <f ca="1">_xll.meMathBlackScholesVega($C$9,$CG17,$C$11,$C$12,CQ$4,$C$14,$C$15)</f>
        <v>0.28618053545414746</v>
      </c>
      <c r="CR17" s="88">
        <f ca="1">_xll.meMathBlackScholesVega($C$9,$CG17,$C$11,$C$12,CR$4,$C$14,$C$15)</f>
        <v>0.29736868984469722</v>
      </c>
      <c r="CT17" s="40">
        <f t="shared" si="41"/>
        <v>0.89999999999999991</v>
      </c>
      <c r="CU17" s="45">
        <f t="shared" si="31"/>
        <v>89.999999999999986</v>
      </c>
      <c r="CV17" s="85">
        <f ca="1">_xll.meMathBlackScholesTheta($C$9,$CU17,$C$11,$C$12,CV$4,$C$14,$C$15)</f>
        <v>-3.4716500803330828E-3</v>
      </c>
      <c r="CW17" s="86">
        <f ca="1">_xll.meMathBlackScholesTheta($C$9,$CU17,$C$11,$C$12,CW$4,$C$14,$C$15)</f>
        <v>-3.5362963325680351E-3</v>
      </c>
      <c r="CX17" s="86">
        <f ca="1">_xll.meMathBlackScholesTheta($C$9,$CU17,$C$11,$C$12,CX$4,$C$14,$C$15)</f>
        <v>-3.5892095336965946E-3</v>
      </c>
      <c r="CY17" s="86">
        <f ca="1">_xll.meMathBlackScholesTheta($C$9,$CU17,$C$11,$C$12,CY$4,$C$14,$C$15)</f>
        <v>-3.6323364416327246E-3</v>
      </c>
      <c r="CZ17" s="86">
        <f ca="1">_xll.meMathBlackScholesTheta($C$9,$CU17,$C$11,$C$12,CZ$4,$C$14,$C$15)</f>
        <v>-3.6672677249320585E-3</v>
      </c>
      <c r="DA17" s="87">
        <f ca="1">_xll.meMathBlackScholesTheta($C$9,$CU17,$C$11,$C$12,DA$4,$C$14,$C$15)</f>
        <v>-3.6953089303499742E-3</v>
      </c>
      <c r="DB17" s="86">
        <f ca="1">_xll.meMathBlackScholesTheta($C$9,$CU17,$C$11,$C$12,DB$4,$C$14,$C$15)</f>
        <v>-3.7175365896625319E-3</v>
      </c>
      <c r="DC17" s="86">
        <f ca="1">_xll.meMathBlackScholesTheta($C$9,$CU17,$C$11,$C$12,DC$4,$C$14,$C$15)</f>
        <v>-3.7348425484608327E-3</v>
      </c>
      <c r="DD17" s="86">
        <f ca="1">_xll.meMathBlackScholesTheta($C$9,$CU17,$C$11,$C$12,DD$4,$C$14,$C$15)</f>
        <v>-3.747969047397548E-3</v>
      </c>
      <c r="DE17" s="86">
        <f ca="1">_xll.meMathBlackScholesTheta($C$9,$CU17,$C$11,$C$12,DE$4,$C$14,$C$15)</f>
        <v>-3.7575365696285962E-3</v>
      </c>
      <c r="DF17" s="88">
        <f ca="1">_xll.meMathBlackScholesTheta($C$9,$CU17,$C$11,$C$12,DF$4,$C$14,$C$15)</f>
        <v>-3.7640660317410099E-3</v>
      </c>
      <c r="DH17" s="40">
        <f t="shared" si="42"/>
        <v>0.89999999999999991</v>
      </c>
      <c r="DI17" s="45">
        <f t="shared" si="33"/>
        <v>89.999999999999986</v>
      </c>
      <c r="DJ17" s="85">
        <f ca="1">_xll.meMathBlackScholesRho($C$9,$DI17,$C$11,$C$12,DJ$4,$C$14,$C$15)</f>
        <v>8.9579375040621814E-2</v>
      </c>
      <c r="DK17" s="86">
        <f ca="1">_xll.meMathBlackScholesRho($C$9,$DI17,$C$11,$C$12,DK$4,$C$14,$C$15)</f>
        <v>0.102025075748363</v>
      </c>
      <c r="DL17" s="86">
        <f ca="1">_xll.meMathBlackScholesRho($C$9,$DI17,$C$11,$C$12,DL$4,$C$14,$C$15)</f>
        <v>0.11494757822526794</v>
      </c>
      <c r="DM17" s="86">
        <f ca="1">_xll.meMathBlackScholesRho($C$9,$DI17,$C$11,$C$12,DM$4,$C$14,$C$15)</f>
        <v>0.1283085901337753</v>
      </c>
      <c r="DN17" s="86">
        <f ca="1">_xll.meMathBlackScholesRho($C$9,$DI17,$C$11,$C$12,DN$4,$C$14,$C$15)</f>
        <v>0.14207425155781273</v>
      </c>
      <c r="DO17" s="87">
        <f ca="1">_xll.meMathBlackScholesRho($C$9,$DI17,$C$11,$C$12,DO$4,$C$14,$C$15)</f>
        <v>0.1562145021961438</v>
      </c>
      <c r="DP17" s="86">
        <f ca="1">_xll.meMathBlackScholesRho($C$9,$DI17,$C$11,$C$12,DP$4,$C$14,$C$15)</f>
        <v>0.1707025486165985</v>
      </c>
      <c r="DQ17" s="86">
        <f ca="1">_xll.meMathBlackScholesRho($C$9,$DI17,$C$11,$C$12,DQ$4,$C$14,$C$15)</f>
        <v>0.18551441602648541</v>
      </c>
      <c r="DR17" s="86">
        <f ca="1">_xll.meMathBlackScholesRho($C$9,$DI17,$C$11,$C$12,DR$4,$C$14,$C$15)</f>
        <v>0.20062857070117546</v>
      </c>
      <c r="DS17" s="86">
        <f ca="1">_xll.meMathBlackScholesRho($C$9,$DI17,$C$11,$C$12,DS$4,$C$14,$C$15)</f>
        <v>0.21602560119747666</v>
      </c>
      <c r="DT17" s="88">
        <f ca="1">_xll.meMathBlackScholesRho($C$9,$DI17,$C$11,$C$12,DT$4,$C$14,$C$15)</f>
        <v>0.23168794839326901</v>
      </c>
    </row>
    <row r="18" spans="2:124" x14ac:dyDescent="0.25">
      <c r="B18" t="s">
        <v>44</v>
      </c>
      <c r="C18" s="7">
        <f ca="1">_xll.meMathBlackScholesPrice("PUT",$C$10,$C$11,$C$12,$C$13,$C$14,$C$15)</f>
        <v>3.4902197839388975</v>
      </c>
      <c r="N18" s="40">
        <f t="shared" si="35"/>
        <v>0.84999999999999987</v>
      </c>
      <c r="O18" s="45">
        <f t="shared" si="9"/>
        <v>84.999999999999986</v>
      </c>
      <c r="P18" s="43">
        <f t="shared" ca="1" si="34"/>
        <v>6.3877733659578398E-2</v>
      </c>
      <c r="Q18" s="44">
        <f t="shared" ca="1" si="10"/>
        <v>7.3606201526075402E-2</v>
      </c>
      <c r="R18" s="44">
        <f t="shared" ca="1" si="11"/>
        <v>8.3561552310563225E-2</v>
      </c>
      <c r="S18" s="44">
        <f t="shared" ca="1" si="12"/>
        <v>9.3682861219506725E-2</v>
      </c>
      <c r="T18" s="44">
        <f t="shared" ca="1" si="13"/>
        <v>0.10391940209707913</v>
      </c>
      <c r="U18" s="55">
        <f t="shared" ca="1" si="14"/>
        <v>0.11422910084499041</v>
      </c>
      <c r="V18" s="44">
        <f t="shared" ca="1" si="15"/>
        <v>0.1245771674590179</v>
      </c>
      <c r="W18" s="44">
        <f t="shared" ca="1" si="16"/>
        <v>0.13493491524955567</v>
      </c>
      <c r="X18" s="44">
        <f t="shared" ca="1" si="17"/>
        <v>0.14527875686772362</v>
      </c>
      <c r="Y18" s="44">
        <f t="shared" ca="1" si="18"/>
        <v>0.15558935866720047</v>
      </c>
      <c r="Z18" s="45">
        <f t="shared" ca="1" si="19"/>
        <v>0.16585093257489714</v>
      </c>
      <c r="AB18" s="40">
        <f t="shared" si="36"/>
        <v>0.84999999999999987</v>
      </c>
      <c r="AC18" s="45">
        <f t="shared" si="21"/>
        <v>84.999999999999986</v>
      </c>
      <c r="AD18" s="85">
        <f ca="1">_xll.meMathBlackScholesPrice($C$9,$AC18,$C$11,$C$12,AD$4,$C$14,$C$15)</f>
        <v>0.11635995408402922</v>
      </c>
      <c r="AE18" s="86">
        <f ca="1">_xll.meMathBlackScholesPrice($C$9,$AC18,$C$11,$C$12,AE$4,$C$14,$C$15)</f>
        <v>0.14029325104560009</v>
      </c>
      <c r="AF18" s="86">
        <f ca="1">_xll.meMathBlackScholesPrice($C$9,$AC18,$C$11,$C$12,AF$4,$C$14,$C$15)</f>
        <v>0.16610666310679445</v>
      </c>
      <c r="AG18" s="86">
        <f ca="1">_xll.meMathBlackScholesPrice($C$9,$AC18,$C$11,$C$12,AG$4,$C$14,$C$15)</f>
        <v>0.19367000074213614</v>
      </c>
      <c r="AH18" s="86">
        <f ca="1">_xll.meMathBlackScholesPrice($C$9,$AC18,$C$11,$C$12,AH$4,$C$14,$C$15)</f>
        <v>0.22285804286382227</v>
      </c>
      <c r="AI18" s="87">
        <f ca="1">_xll.meMathBlackScholesPrice($C$9,$AC18,$C$11,$C$12,AI$4,$C$14,$C$15)</f>
        <v>0.25355192754697331</v>
      </c>
      <c r="AJ18" s="86">
        <f ca="1">_xll.meMathBlackScholesPrice($C$9,$AC18,$C$11,$C$12,AJ$4,$C$14,$C$15)</f>
        <v>0.28563986527393759</v>
      </c>
      <c r="AK18" s="86">
        <f ca="1">_xll.meMathBlackScholesPrice($C$9,$AC18,$C$11,$C$12,AK$4,$C$14,$C$15)</f>
        <v>0.31901740113849808</v>
      </c>
      <c r="AL18" s="86">
        <f ca="1">_xll.meMathBlackScholesPrice($C$9,$AC18,$C$11,$C$12,AL$4,$C$14,$C$15)</f>
        <v>0.35358738308496829</v>
      </c>
      <c r="AM18" s="86">
        <f ca="1">_xll.meMathBlackScholesPrice($C$9,$AC18,$C$11,$C$12,AM$4,$C$14,$C$15)</f>
        <v>0.38925974433909172</v>
      </c>
      <c r="AN18" s="88">
        <f ca="1">_xll.meMathBlackScholesPrice($C$9,$AC18,$C$11,$C$12,AN$4,$C$14,$C$15)</f>
        <v>0.42595117395394411</v>
      </c>
      <c r="AP18" s="40">
        <f t="shared" si="37"/>
        <v>0.84999999999999987</v>
      </c>
      <c r="AQ18" s="45">
        <f t="shared" si="23"/>
        <v>84.999999999999986</v>
      </c>
      <c r="AR18" s="71">
        <f ca="1">_xll.meMathBlackScholesDeltaSpot($C$9,$AQ18,$C$11,$C$12,AR$4,$C$14,$C$15)</f>
        <v>4.0344422431873445E-2</v>
      </c>
      <c r="AS18" s="72">
        <f ca="1">_xll.meMathBlackScholesDeltaSpot($C$9,$AQ18,$C$11,$C$12,AS$4,$C$14,$C$15)</f>
        <v>4.6201796215212435E-2</v>
      </c>
      <c r="AT18" s="72">
        <f ca="1">_xll.meMathBlackScholesDeltaSpot($C$9,$AQ18,$C$11,$C$12,AT$4,$C$14,$C$15)</f>
        <v>5.2137542732660268E-2</v>
      </c>
      <c r="AU18" s="72">
        <f ca="1">_xll.meMathBlackScholesDeltaSpot($C$9,$AQ18,$C$11,$C$12,AU$4,$C$14,$C$15)</f>
        <v>5.8114853573404165E-2</v>
      </c>
      <c r="AV18" s="72">
        <f ca="1">_xll.meMathBlackScholesDeltaSpot($C$9,$AQ18,$C$11,$C$12,AV$4,$C$14,$C$15)</f>
        <v>6.4103934699264425E-2</v>
      </c>
      <c r="AW18" s="73">
        <f ca="1">_xll.meMathBlackScholesDeltaSpot($C$9,$AQ18,$C$11,$C$12,AW$4,$C$14,$C$15)</f>
        <v>7.0080829341433226E-2</v>
      </c>
      <c r="AX18" s="72">
        <f ca="1">_xll.meMathBlackScholesDeltaSpot($C$9,$AQ18,$C$11,$C$12,AX$4,$C$14,$C$15)</f>
        <v>7.6026404112946866E-2</v>
      </c>
      <c r="AY18" s="72">
        <f ca="1">_xll.meMathBlackScholesDeltaSpot($C$9,$AQ18,$C$11,$C$12,AY$4,$C$14,$C$15)</f>
        <v>8.192549260938016E-2</v>
      </c>
      <c r="AZ18" s="72">
        <f ca="1">_xll.meMathBlackScholesDeltaSpot($C$9,$AQ18,$C$11,$C$12,AZ$4,$C$14,$C$15)</f>
        <v>8.7766180819983677E-2</v>
      </c>
      <c r="BA18" s="72">
        <f ca="1">_xll.meMathBlackScholesDeltaSpot($C$9,$AQ18,$C$11,$C$12,BA$4,$C$14,$C$15)</f>
        <v>9.3539215441209717E-2</v>
      </c>
      <c r="BB18" s="74">
        <f ca="1">_xll.meMathBlackScholesDeltaSpot($C$9,$AQ18,$C$11,$C$12,BB$4,$C$14,$C$15)</f>
        <v>9.9237516297457209E-2</v>
      </c>
      <c r="BD18" s="40">
        <f t="shared" si="38"/>
        <v>0.84999999999999987</v>
      </c>
      <c r="BE18" s="45">
        <f t="shared" si="25"/>
        <v>84.999999999999986</v>
      </c>
      <c r="BF18" s="71">
        <f ca="1">_xll.meMathBlackScholesDeltaForward($C$9,$BE18,$C$11,$C$12,BF$4,$C$14,$C$15)</f>
        <v>4.0344422431873445E-2</v>
      </c>
      <c r="BG18" s="72">
        <f ca="1">_xll.meMathBlackScholesDeltaForward($C$9,$BE18,$C$11,$C$12,BG$4,$C$14,$C$15)</f>
        <v>4.6201796215212435E-2</v>
      </c>
      <c r="BH18" s="72">
        <f ca="1">_xll.meMathBlackScholesDeltaForward($C$9,$BE18,$C$11,$C$12,BH$4,$C$14,$C$15)</f>
        <v>5.2137542732660268E-2</v>
      </c>
      <c r="BI18" s="72">
        <f ca="1">_xll.meMathBlackScholesDeltaForward($C$9,$BE18,$C$11,$C$12,BI$4,$C$14,$C$15)</f>
        <v>5.8114853573404165E-2</v>
      </c>
      <c r="BJ18" s="72">
        <f ca="1">_xll.meMathBlackScholesDeltaForward($C$9,$BE18,$C$11,$C$12,BJ$4,$C$14,$C$15)</f>
        <v>6.4103934699264425E-2</v>
      </c>
      <c r="BK18" s="73">
        <f ca="1">_xll.meMathBlackScholesDeltaForward($C$9,$BE18,$C$11,$C$12,BK$4,$C$14,$C$15)</f>
        <v>7.0080829341433226E-2</v>
      </c>
      <c r="BL18" s="72">
        <f ca="1">_xll.meMathBlackScholesDeltaForward($C$9,$BE18,$C$11,$C$12,BL$4,$C$14,$C$15)</f>
        <v>7.6026404112946866E-2</v>
      </c>
      <c r="BM18" s="72">
        <f ca="1">_xll.meMathBlackScholesDeltaForward($C$9,$BE18,$C$11,$C$12,BM$4,$C$14,$C$15)</f>
        <v>8.192549260938016E-2</v>
      </c>
      <c r="BN18" s="72">
        <f ca="1">_xll.meMathBlackScholesDeltaForward($C$9,$BE18,$C$11,$C$12,BN$4,$C$14,$C$15)</f>
        <v>8.7766180819983677E-2</v>
      </c>
      <c r="BO18" s="72">
        <f ca="1">_xll.meMathBlackScholesDeltaForward($C$9,$BE18,$C$11,$C$12,BO$4,$C$14,$C$15)</f>
        <v>9.3539215441209717E-2</v>
      </c>
      <c r="BP18" s="74">
        <f ca="1">_xll.meMathBlackScholesDeltaForward($C$9,$BE18,$C$11,$C$12,BP$4,$C$14,$C$15)</f>
        <v>9.9237516297457209E-2</v>
      </c>
      <c r="BR18" s="40">
        <f t="shared" si="39"/>
        <v>0.84999999999999987</v>
      </c>
      <c r="BS18" s="45">
        <f t="shared" si="27"/>
        <v>84.999999999999986</v>
      </c>
      <c r="BT18" s="85">
        <f ca="1">_xll.meMathBlackScholesGamma($C$9,$BS18,$C$11,$C$12,BT$4,$C$14,$C$15)</f>
        <v>1.1788278414685757E-2</v>
      </c>
      <c r="BU18" s="86">
        <f ca="1">_xll.meMathBlackScholesGamma($C$9,$BS18,$C$11,$C$12,BU$4,$C$14,$C$15)</f>
        <v>1.2734636942227586E-2</v>
      </c>
      <c r="BV18" s="86">
        <f ca="1">_xll.meMathBlackScholesGamma($C$9,$BS18,$C$11,$C$12,BV$4,$C$14,$C$15)</f>
        <v>1.3606603266527705E-2</v>
      </c>
      <c r="BW18" s="86">
        <f ca="1">_xll.meMathBlackScholesGamma($C$9,$BS18,$C$11,$C$12,BW$4,$C$14,$C$15)</f>
        <v>1.4407206646598504E-2</v>
      </c>
      <c r="BX18" s="86">
        <f ca="1">_xll.meMathBlackScholesGamma($C$9,$BS18,$C$11,$C$12,BX$4,$C$14,$C$15)</f>
        <v>1.5140324472348086E-2</v>
      </c>
      <c r="BY18" s="87">
        <f ca="1">_xll.meMathBlackScholesGamma($C$9,$BS18,$C$11,$C$12,BY$4,$C$14,$C$15)</f>
        <v>1.5810256172317017E-2</v>
      </c>
      <c r="BZ18" s="86">
        <f ca="1">_xll.meMathBlackScholesGamma($C$9,$BS18,$C$11,$C$12,BZ$4,$C$14,$C$15)</f>
        <v>1.6421442406856866E-2</v>
      </c>
      <c r="CA18" s="86">
        <f ca="1">_xll.meMathBlackScholesGamma($C$9,$BS18,$C$11,$C$12,CA$4,$C$14,$C$15)</f>
        <v>1.6978284397553407E-2</v>
      </c>
      <c r="CB18" s="86">
        <f ca="1">_xll.meMathBlackScholesGamma($C$9,$BS18,$C$11,$C$12,CB$4,$C$14,$C$15)</f>
        <v>1.7485031667546103E-2</v>
      </c>
      <c r="CC18" s="86">
        <f ca="1">_xll.meMathBlackScholesGamma($C$9,$BS18,$C$11,$C$12,CC$4,$C$14,$C$15)</f>
        <v>1.7945716109250342E-2</v>
      </c>
      <c r="CD18" s="88">
        <f ca="1">_xll.meMathBlackScholesGamma($C$9,$BS18,$C$11,$C$12,CD$4,$C$14,$C$15)</f>
        <v>1.8364117101718723E-2</v>
      </c>
      <c r="CF18" s="40">
        <f t="shared" si="40"/>
        <v>0.84999999999999987</v>
      </c>
      <c r="CG18" s="45">
        <f t="shared" si="29"/>
        <v>84.999999999999986</v>
      </c>
      <c r="CH18" s="85">
        <f ca="1">_xll.meMathBlackScholesVega($C$9,$CG18,$C$11,$C$12,CH$4,$C$14,$C$15)</f>
        <v>6.3877733659578398E-2</v>
      </c>
      <c r="CI18" s="86">
        <f ca="1">_xll.meMathBlackScholesVega($C$9,$CG18,$C$11,$C$12,CI$4,$C$14,$C$15)</f>
        <v>7.3606201526075402E-2</v>
      </c>
      <c r="CJ18" s="86">
        <f ca="1">_xll.meMathBlackScholesVega($C$9,$CG18,$C$11,$C$12,CJ$4,$C$14,$C$15)</f>
        <v>8.3561552310563225E-2</v>
      </c>
      <c r="CK18" s="86">
        <f ca="1">_xll.meMathBlackScholesVega($C$9,$CG18,$C$11,$C$12,CK$4,$C$14,$C$15)</f>
        <v>9.3682861219506725E-2</v>
      </c>
      <c r="CL18" s="86">
        <f ca="1">_xll.meMathBlackScholesVega($C$9,$CG18,$C$11,$C$12,CL$4,$C$14,$C$15)</f>
        <v>0.10391940209707913</v>
      </c>
      <c r="CM18" s="87">
        <f ca="1">_xll.meMathBlackScholesVega($C$9,$CG18,$C$11,$C$12,CM$4,$C$14,$C$15)</f>
        <v>0.11422910084499041</v>
      </c>
      <c r="CN18" s="86">
        <f ca="1">_xll.meMathBlackScholesVega($C$9,$CG18,$C$11,$C$12,CN$4,$C$14,$C$15)</f>
        <v>0.1245771674590179</v>
      </c>
      <c r="CO18" s="86">
        <f ca="1">_xll.meMathBlackScholesVega($C$9,$CG18,$C$11,$C$12,CO$4,$C$14,$C$15)</f>
        <v>0.13493491524955567</v>
      </c>
      <c r="CP18" s="86">
        <f ca="1">_xll.meMathBlackScholesVega($C$9,$CG18,$C$11,$C$12,CP$4,$C$14,$C$15)</f>
        <v>0.14527875686772362</v>
      </c>
      <c r="CQ18" s="86">
        <f ca="1">_xll.meMathBlackScholesVega($C$9,$CG18,$C$11,$C$12,CQ$4,$C$14,$C$15)</f>
        <v>0.15558935866720047</v>
      </c>
      <c r="CR18" s="88">
        <f ca="1">_xll.meMathBlackScholesVega($C$9,$CG18,$C$11,$C$12,CR$4,$C$14,$C$15)</f>
        <v>0.16585093257489714</v>
      </c>
      <c r="CT18" s="40">
        <f t="shared" si="41"/>
        <v>0.84999999999999987</v>
      </c>
      <c r="CU18" s="45">
        <f t="shared" si="31"/>
        <v>84.999999999999986</v>
      </c>
      <c r="CV18" s="85">
        <f ca="1">_xll.meMathBlackScholesTheta($C$9,$CU18,$C$11,$C$12,CV$4,$C$14,$C$15)</f>
        <v>-1.2566207180199178E-3</v>
      </c>
      <c r="CW18" s="86">
        <f ca="1">_xll.meMathBlackScholesTheta($C$9,$CU18,$C$11,$C$12,CW$4,$C$14,$C$15)</f>
        <v>-1.3631960405487912E-3</v>
      </c>
      <c r="CX18" s="86">
        <f ca="1">_xll.meMathBlackScholesTheta($C$9,$CU18,$C$11,$C$12,CX$4,$C$14,$C$15)</f>
        <v>-1.4625445248323242E-3</v>
      </c>
      <c r="CY18" s="86">
        <f ca="1">_xll.meMathBlackScholesTheta($C$9,$CU18,$C$11,$C$12,CY$4,$C$14,$C$15)</f>
        <v>-1.5548836841569966E-3</v>
      </c>
      <c r="CZ18" s="86">
        <f ca="1">_xll.meMathBlackScholesTheta($C$9,$CU18,$C$11,$C$12,CZ$4,$C$14,$C$15)</f>
        <v>-1.6405311037079014E-3</v>
      </c>
      <c r="DA18" s="87">
        <f ca="1">_xll.meMathBlackScholesTheta($C$9,$CU18,$C$11,$C$12,DA$4,$C$14,$C$15)</f>
        <v>-1.7198595205741287E-3</v>
      </c>
      <c r="DB18" s="86">
        <f ca="1">_xll.meMathBlackScholesTheta($C$9,$CU18,$C$11,$C$12,DB$4,$C$14,$C$15)</f>
        <v>-1.7932666715700742E-3</v>
      </c>
      <c r="DC18" s="86">
        <f ca="1">_xll.meMathBlackScholesTheta($C$9,$CU18,$C$11,$C$12,DC$4,$C$14,$C$15)</f>
        <v>-1.8611554238691435E-3</v>
      </c>
      <c r="DD18" s="86">
        <f ca="1">_xll.meMathBlackScholesTheta($C$9,$CU18,$C$11,$C$12,DD$4,$C$14,$C$15)</f>
        <v>-1.9239210098733446E-3</v>
      </c>
      <c r="DE18" s="86">
        <f ca="1">_xll.meMathBlackScholesTheta($C$9,$CU18,$C$11,$C$12,DE$4,$C$14,$C$15)</f>
        <v>-1.9819431351904334E-3</v>
      </c>
      <c r="DF18" s="88">
        <f ca="1">_xll.meMathBlackScholesTheta($C$9,$CU18,$C$11,$C$12,DF$4,$C$14,$C$15)</f>
        <v>-2.0355814029100281E-3</v>
      </c>
      <c r="DH18" s="40">
        <f t="shared" si="42"/>
        <v>0.84999999999999987</v>
      </c>
      <c r="DI18" s="45">
        <f t="shared" si="33"/>
        <v>84.999999999999986</v>
      </c>
      <c r="DJ18" s="85">
        <f ca="1">_xll.meMathBlackScholesRho($C$9,$DI18,$C$11,$C$12,DJ$4,$C$14,$C$15)</f>
        <v>2.4846869644689091E-2</v>
      </c>
      <c r="DK18" s="86">
        <f ca="1">_xll.meMathBlackScholesRho($C$9,$DI18,$C$11,$C$12,DK$4,$C$14,$C$15)</f>
        <v>3.0294875417979646E-2</v>
      </c>
      <c r="DL18" s="86">
        <f ca="1">_xll.meMathBlackScholesRho($C$9,$DI18,$C$11,$C$12,DL$4,$C$14,$C$15)</f>
        <v>3.6257467987939281E-2</v>
      </c>
      <c r="DM18" s="86">
        <f ca="1">_xll.meMathBlackScholesRho($C$9,$DI18,$C$11,$C$12,DM$4,$C$14,$C$15)</f>
        <v>4.2714832976974954E-2</v>
      </c>
      <c r="DN18" s="86">
        <f ca="1">_xll.meMathBlackScholesRho($C$9,$DI18,$C$11,$C$12,DN$4,$C$14,$C$15)</f>
        <v>4.9646775862449706E-2</v>
      </c>
      <c r="DO18" s="87">
        <f ca="1">_xll.meMathBlackScholesRho($C$9,$DI18,$C$11,$C$12,DO$4,$C$14,$C$15)</f>
        <v>5.7033185664748492E-2</v>
      </c>
      <c r="DP18" s="86">
        <f ca="1">_xll.meMathBlackScholesRho($C$9,$DI18,$C$11,$C$12,DP$4,$C$14,$C$15)</f>
        <v>6.4854347085428726E-2</v>
      </c>
      <c r="DQ18" s="86">
        <f ca="1">_xll.meMathBlackScholesRho($C$9,$DI18,$C$11,$C$12,DQ$4,$C$14,$C$15)</f>
        <v>7.3091144177246964E-2</v>
      </c>
      <c r="DR18" s="86">
        <f ca="1">_xll.meMathBlackScholesRho($C$9,$DI18,$C$11,$C$12,DR$4,$C$14,$C$15)</f>
        <v>8.1725186846056896E-2</v>
      </c>
      <c r="DS18" s="86">
        <f ca="1">_xll.meMathBlackScholesRho($C$9,$DI18,$C$11,$C$12,DS$4,$C$14,$C$15)</f>
        <v>9.07388828179648E-2</v>
      </c>
      <c r="DT18" s="88">
        <f ca="1">_xll.meMathBlackScholesRho($C$9,$DI18,$C$11,$C$12,DT$4,$C$14,$C$15)</f>
        <v>0.10011547139162399</v>
      </c>
    </row>
    <row r="19" spans="2:124" x14ac:dyDescent="0.25">
      <c r="N19" s="40">
        <f t="shared" si="35"/>
        <v>0.79999999999999982</v>
      </c>
      <c r="O19" s="45">
        <f t="shared" si="9"/>
        <v>79.999999999999986</v>
      </c>
      <c r="P19" s="43">
        <f t="shared" ca="1" si="34"/>
        <v>1.385399565077429E-2</v>
      </c>
      <c r="Q19" s="44">
        <f t="shared" ca="1" si="10"/>
        <v>1.7597405298560194E-2</v>
      </c>
      <c r="R19" s="44">
        <f t="shared" ca="1" si="11"/>
        <v>2.1770676278073137E-2</v>
      </c>
      <c r="S19" s="44">
        <f t="shared" ca="1" si="12"/>
        <v>2.6345645732472299E-2</v>
      </c>
      <c r="T19" s="44">
        <f t="shared" ca="1" si="13"/>
        <v>3.1292167354714129E-2</v>
      </c>
      <c r="U19" s="55">
        <f t="shared" ca="1" si="14"/>
        <v>3.6579438640895821E-2</v>
      </c>
      <c r="V19" s="44">
        <f t="shared" ca="1" si="15"/>
        <v>4.2176945082978951E-2</v>
      </c>
      <c r="W19" s="44">
        <f t="shared" ca="1" si="16"/>
        <v>4.8055106625939793E-2</v>
      </c>
      <c r="X19" s="44">
        <f t="shared" ca="1" si="17"/>
        <v>5.4185698843924761E-2</v>
      </c>
      <c r="Y19" s="44">
        <f t="shared" ca="1" si="18"/>
        <v>6.0542107375035827E-2</v>
      </c>
      <c r="Z19" s="45">
        <f t="shared" ca="1" si="19"/>
        <v>6.7099461416586223E-2</v>
      </c>
      <c r="AB19" s="40">
        <f t="shared" si="36"/>
        <v>0.79999999999999982</v>
      </c>
      <c r="AC19" s="45">
        <f t="shared" si="21"/>
        <v>79.999999999999986</v>
      </c>
      <c r="AD19" s="85">
        <f ca="1">_xll.meMathBlackScholesPrice($C$9,$AC19,$C$11,$C$12,AD$4,$C$14,$C$15)</f>
        <v>1.5937631534320373E-2</v>
      </c>
      <c r="AE19" s="86">
        <f ca="1">_xll.meMathBlackScholesPrice($C$9,$AC19,$C$11,$C$12,AE$4,$C$14,$C$15)</f>
        <v>2.1310381194430184E-2</v>
      </c>
      <c r="AF19" s="86">
        <f ca="1">_xll.meMathBlackScholesPrice($C$9,$AC19,$C$11,$C$12,AF$4,$C$14,$C$15)</f>
        <v>2.765459055529329E-2</v>
      </c>
      <c r="AG19" s="86">
        <f ca="1">_xll.meMathBlackScholesPrice($C$9,$AC19,$C$11,$C$12,AG$4,$C$14,$C$15)</f>
        <v>3.4994583245971933E-2</v>
      </c>
      <c r="AH19" s="86">
        <f ca="1">_xll.meMathBlackScholesPrice($C$9,$AC19,$C$11,$C$12,AH$4,$C$14,$C$15)</f>
        <v>4.3343360187742874E-2</v>
      </c>
      <c r="AI19" s="87">
        <f ca="1">_xll.meMathBlackScholesPrice($C$9,$AC19,$C$11,$C$12,AI$4,$C$14,$C$15)</f>
        <v>5.2704445187427007E-2</v>
      </c>
      <c r="AJ19" s="86">
        <f ca="1">_xll.meMathBlackScholesPrice($C$9,$AC19,$C$11,$C$12,AJ$4,$C$14,$C$15)</f>
        <v>6.3073575178395069E-2</v>
      </c>
      <c r="AK19" s="86">
        <f ca="1">_xll.meMathBlackScholesPrice($C$9,$AC19,$C$11,$C$12,AK$4,$C$14,$C$15)</f>
        <v>7.4440198234616561E-2</v>
      </c>
      <c r="AL19" s="86">
        <f ca="1">_xll.meMathBlackScholesPrice($C$9,$AC19,$C$11,$C$12,AL$4,$C$14,$C$15)</f>
        <v>8.6788771151824928E-2</v>
      </c>
      <c r="AM19" s="86">
        <f ca="1">_xll.meMathBlackScholesPrice($C$9,$AC19,$C$11,$C$12,AM$4,$C$14,$C$15)</f>
        <v>0.1000998646390161</v>
      </c>
      <c r="AN19" s="88">
        <f ca="1">_xll.meMathBlackScholesPrice($C$9,$AC19,$C$11,$C$12,AN$4,$C$14,$C$15)</f>
        <v>0.11435109250501574</v>
      </c>
      <c r="AP19" s="40">
        <f t="shared" si="37"/>
        <v>0.79999999999999982</v>
      </c>
      <c r="AQ19" s="45">
        <f t="shared" si="23"/>
        <v>79.999999999999986</v>
      </c>
      <c r="AR19" s="71">
        <f ca="1">_xll.meMathBlackScholesDeltaSpot($C$9,$AQ19,$C$11,$C$12,AR$4,$C$14,$C$15)</f>
        <v>7.2078197723330316E-3</v>
      </c>
      <c r="AS19" s="72">
        <f ca="1">_xll.meMathBlackScholesDeltaSpot($C$9,$AQ19,$C$11,$C$12,AS$4,$C$14,$C$15)</f>
        <v>9.1213054737094221E-3</v>
      </c>
      <c r="AT19" s="72">
        <f ca="1">_xll.meMathBlackScholesDeltaSpot($C$9,$AQ19,$C$11,$C$12,AT$4,$C$14,$C$15)</f>
        <v>1.1243534545542227E-2</v>
      </c>
      <c r="AU19" s="72">
        <f ca="1">_xll.meMathBlackScholesDeltaSpot($C$9,$AQ19,$C$11,$C$12,AU$4,$C$14,$C$15)</f>
        <v>1.3558236229164137E-2</v>
      </c>
      <c r="AV19" s="72">
        <f ca="1">_xll.meMathBlackScholesDeltaSpot($C$9,$AQ19,$C$11,$C$12,AV$4,$C$14,$C$15)</f>
        <v>1.6048416188480814E-2</v>
      </c>
      <c r="AW19" s="73">
        <f ca="1">_xll.meMathBlackScholesDeltaSpot($C$9,$AQ19,$C$11,$C$12,AW$4,$C$14,$C$15)</f>
        <v>1.8697030468110283E-2</v>
      </c>
      <c r="AX19" s="72">
        <f ca="1">_xll.meMathBlackScholesDeltaSpot($C$9,$AQ19,$C$11,$C$12,AX$4,$C$14,$C$15)</f>
        <v>2.1487451825080141E-2</v>
      </c>
      <c r="AY19" s="72">
        <f ca="1">_xll.meMathBlackScholesDeltaSpot($C$9,$AQ19,$C$11,$C$12,AY$4,$C$14,$C$15)</f>
        <v>2.4403777229606793E-2</v>
      </c>
      <c r="AZ19" s="72">
        <f ca="1">_xll.meMathBlackScholesDeltaSpot($C$9,$AQ19,$C$11,$C$12,AZ$4,$C$14,$C$15)</f>
        <v>2.743101714441832E-2</v>
      </c>
      <c r="BA19" s="72">
        <f ca="1">_xll.meMathBlackScholesDeltaSpot($C$9,$AQ19,$C$11,$C$12,BA$4,$C$14,$C$15)</f>
        <v>3.0555198866539329E-2</v>
      </c>
      <c r="BB19" s="74">
        <f ca="1">_xll.meMathBlackScholesDeltaSpot($C$9,$AQ19,$C$11,$C$12,BB$4,$C$14,$C$15)</f>
        <v>3.3763408827792614E-2</v>
      </c>
      <c r="BD19" s="40">
        <f t="shared" si="38"/>
        <v>0.79999999999999982</v>
      </c>
      <c r="BE19" s="45">
        <f t="shared" si="25"/>
        <v>79.999999999999986</v>
      </c>
      <c r="BF19" s="71">
        <f ca="1">_xll.meMathBlackScholesDeltaForward($C$9,$BE19,$C$11,$C$12,BF$4,$C$14,$C$15)</f>
        <v>7.2078197723330316E-3</v>
      </c>
      <c r="BG19" s="72">
        <f ca="1">_xll.meMathBlackScholesDeltaForward($C$9,$BE19,$C$11,$C$12,BG$4,$C$14,$C$15)</f>
        <v>9.1213054737094221E-3</v>
      </c>
      <c r="BH19" s="72">
        <f ca="1">_xll.meMathBlackScholesDeltaForward($C$9,$BE19,$C$11,$C$12,BH$4,$C$14,$C$15)</f>
        <v>1.1243534545542227E-2</v>
      </c>
      <c r="BI19" s="72">
        <f ca="1">_xll.meMathBlackScholesDeltaForward($C$9,$BE19,$C$11,$C$12,BI$4,$C$14,$C$15)</f>
        <v>1.3558236229164137E-2</v>
      </c>
      <c r="BJ19" s="72">
        <f ca="1">_xll.meMathBlackScholesDeltaForward($C$9,$BE19,$C$11,$C$12,BJ$4,$C$14,$C$15)</f>
        <v>1.6048416188480814E-2</v>
      </c>
      <c r="BK19" s="73">
        <f ca="1">_xll.meMathBlackScholesDeltaForward($C$9,$BE19,$C$11,$C$12,BK$4,$C$14,$C$15)</f>
        <v>1.8697030468110283E-2</v>
      </c>
      <c r="BL19" s="72">
        <f ca="1">_xll.meMathBlackScholesDeltaForward($C$9,$BE19,$C$11,$C$12,BL$4,$C$14,$C$15)</f>
        <v>2.1487451825080141E-2</v>
      </c>
      <c r="BM19" s="72">
        <f ca="1">_xll.meMathBlackScholesDeltaForward($C$9,$BE19,$C$11,$C$12,BM$4,$C$14,$C$15)</f>
        <v>2.4403777229606793E-2</v>
      </c>
      <c r="BN19" s="72">
        <f ca="1">_xll.meMathBlackScholesDeltaForward($C$9,$BE19,$C$11,$C$12,BN$4,$C$14,$C$15)</f>
        <v>2.743101714441832E-2</v>
      </c>
      <c r="BO19" s="72">
        <f ca="1">_xll.meMathBlackScholesDeltaForward($C$9,$BE19,$C$11,$C$12,BO$4,$C$14,$C$15)</f>
        <v>3.0555198866539329E-2</v>
      </c>
      <c r="BP19" s="74">
        <f ca="1">_xll.meMathBlackScholesDeltaForward($C$9,$BE19,$C$11,$C$12,BP$4,$C$14,$C$15)</f>
        <v>3.3763408827792614E-2</v>
      </c>
      <c r="BR19" s="40">
        <f t="shared" si="39"/>
        <v>0.79999999999999982</v>
      </c>
      <c r="BS19" s="45">
        <f t="shared" si="27"/>
        <v>79.999999999999986</v>
      </c>
      <c r="BT19" s="85">
        <f ca="1">_xll.meMathBlackScholesGamma($C$9,$BS19,$C$11,$C$12,BT$4,$C$14,$C$15)</f>
        <v>2.8862490939113123E-3</v>
      </c>
      <c r="BU19" s="86">
        <f ca="1">_xll.meMathBlackScholesGamma($C$9,$BS19,$C$11,$C$12,BU$4,$C$14,$C$15)</f>
        <v>3.43699322237504E-3</v>
      </c>
      <c r="BV19" s="86">
        <f ca="1">_xll.meMathBlackScholesGamma($C$9,$BS19,$C$11,$C$12,BV$4,$C$14,$C$15)</f>
        <v>4.0019625511163873E-3</v>
      </c>
      <c r="BW19" s="86">
        <f ca="1">_xll.meMathBlackScholesGamma($C$9,$BS19,$C$11,$C$12,BW$4,$C$14,$C$15)</f>
        <v>4.5738968285542209E-3</v>
      </c>
      <c r="BX19" s="86">
        <f ca="1">_xll.meMathBlackScholesGamma($C$9,$BS19,$C$11,$C$12,BX$4,$C$14,$C$15)</f>
        <v>5.1467380517621949E-3</v>
      </c>
      <c r="BY19" s="87">
        <f ca="1">_xll.meMathBlackScholesGamma($C$9,$BS19,$C$11,$C$12,BY$4,$C$14,$C$15)</f>
        <v>5.715537287639974E-3</v>
      </c>
      <c r="BZ19" s="86">
        <f ca="1">_xll.meMathBlackScholesGamma($C$9,$BS19,$C$11,$C$12,BZ$4,$C$14,$C$15)</f>
        <v>6.2763311135385367E-3</v>
      </c>
      <c r="CA19" s="86">
        <f ca="1">_xll.meMathBlackScholesGamma($C$9,$BS19,$C$11,$C$12,CA$4,$C$14,$C$15)</f>
        <v>6.8260094639119038E-3</v>
      </c>
      <c r="CB19" s="86">
        <f ca="1">_xll.meMathBlackScholesGamma($C$9,$BS19,$C$11,$C$12,CB$4,$C$14,$C$15)</f>
        <v>7.3621873429245629E-3</v>
      </c>
      <c r="CC19" s="86">
        <f ca="1">_xll.meMathBlackScholesGamma($C$9,$BS19,$C$11,$C$12,CC$4,$C$14,$C$15)</f>
        <v>7.8830868977911236E-3</v>
      </c>
      <c r="CD19" s="88">
        <f ca="1">_xll.meMathBlackScholesGamma($C$9,$BS19,$C$11,$C$12,CD$4,$C$14,$C$15)</f>
        <v>8.3874326770732796E-3</v>
      </c>
      <c r="CF19" s="40">
        <f t="shared" si="40"/>
        <v>0.79999999999999982</v>
      </c>
      <c r="CG19" s="45">
        <f t="shared" si="29"/>
        <v>79.999999999999986</v>
      </c>
      <c r="CH19" s="85">
        <f ca="1">_xll.meMathBlackScholesVega($C$9,$CG19,$C$11,$C$12,CH$4,$C$14,$C$15)</f>
        <v>1.385399565077429E-2</v>
      </c>
      <c r="CI19" s="86">
        <f ca="1">_xll.meMathBlackScholesVega($C$9,$CG19,$C$11,$C$12,CI$4,$C$14,$C$15)</f>
        <v>1.7597405298560194E-2</v>
      </c>
      <c r="CJ19" s="86">
        <f ca="1">_xll.meMathBlackScholesVega($C$9,$CG19,$C$11,$C$12,CJ$4,$C$14,$C$15)</f>
        <v>2.1770676278073137E-2</v>
      </c>
      <c r="CK19" s="86">
        <f ca="1">_xll.meMathBlackScholesVega($C$9,$CG19,$C$11,$C$12,CK$4,$C$14,$C$15)</f>
        <v>2.6345645732472299E-2</v>
      </c>
      <c r="CL19" s="86">
        <f ca="1">_xll.meMathBlackScholesVega($C$9,$CG19,$C$11,$C$12,CL$4,$C$14,$C$15)</f>
        <v>3.1292167354714129E-2</v>
      </c>
      <c r="CM19" s="87">
        <f ca="1">_xll.meMathBlackScholesVega($C$9,$CG19,$C$11,$C$12,CM$4,$C$14,$C$15)</f>
        <v>3.6579438640895821E-2</v>
      </c>
      <c r="CN19" s="86">
        <f ca="1">_xll.meMathBlackScholesVega($C$9,$CG19,$C$11,$C$12,CN$4,$C$14,$C$15)</f>
        <v>4.2176945082978951E-2</v>
      </c>
      <c r="CO19" s="86">
        <f ca="1">_xll.meMathBlackScholesVega($C$9,$CG19,$C$11,$C$12,CO$4,$C$14,$C$15)</f>
        <v>4.8055106625939793E-2</v>
      </c>
      <c r="CP19" s="86">
        <f ca="1">_xll.meMathBlackScholesVega($C$9,$CG19,$C$11,$C$12,CP$4,$C$14,$C$15)</f>
        <v>5.4185698843924761E-2</v>
      </c>
      <c r="CQ19" s="86">
        <f ca="1">_xll.meMathBlackScholesVega($C$9,$CG19,$C$11,$C$12,CQ$4,$C$14,$C$15)</f>
        <v>6.0542107375035827E-2</v>
      </c>
      <c r="CR19" s="88">
        <f ca="1">_xll.meMathBlackScholesVega($C$9,$CG19,$C$11,$C$12,CR$4,$C$14,$C$15)</f>
        <v>6.7099461416586223E-2</v>
      </c>
      <c r="CT19" s="40">
        <f t="shared" si="41"/>
        <v>0.79999999999999982</v>
      </c>
      <c r="CU19" s="45">
        <f t="shared" si="31"/>
        <v>79.999999999999986</v>
      </c>
      <c r="CV19" s="85">
        <f ca="1">_xll.meMathBlackScholesTheta($C$9,$CU19,$C$11,$C$12,CV$4,$C$14,$C$15)</f>
        <v>-2.6821861877531882E-4</v>
      </c>
      <c r="CW19" s="86">
        <f ca="1">_xll.meMathBlackScholesTheta($C$9,$CU19,$C$11,$C$12,CW$4,$C$14,$C$15)</f>
        <v>-3.2051395943333185E-4</v>
      </c>
      <c r="CX19" s="86">
        <f ca="1">_xll.meMathBlackScholesTheta($C$9,$CU19,$C$11,$C$12,CX$4,$C$14,$C$15)</f>
        <v>-3.7448619676004168E-4</v>
      </c>
      <c r="CY19" s="86">
        <f ca="1">_xll.meMathBlackScholesTheta($C$9,$CU19,$C$11,$C$12,CY$4,$C$14,$C$15)</f>
        <v>-4.2946294774704065E-4</v>
      </c>
      <c r="CZ19" s="86">
        <f ca="1">_xll.meMathBlackScholesTheta($C$9,$CU19,$C$11,$C$12,CZ$4,$C$14,$C$15)</f>
        <v>-4.8487588502477044E-4</v>
      </c>
      <c r="DA19" s="87">
        <f ca="1">_xll.meMathBlackScholesTheta($C$9,$CU19,$C$11,$C$12,DA$4,$C$14,$C$15)</f>
        <v>-5.4025399897903652E-4</v>
      </c>
      <c r="DB19" s="86">
        <f ca="1">_xll.meMathBlackScholesTheta($C$9,$CU19,$C$11,$C$12,DB$4,$C$14,$C$15)</f>
        <v>-5.9521374768381442E-4</v>
      </c>
      <c r="DC19" s="86">
        <f ca="1">_xll.meMathBlackScholesTheta($C$9,$CU19,$C$11,$C$12,DC$4,$C$14,$C$15)</f>
        <v>-6.494481112841071E-4</v>
      </c>
      <c r="DD19" s="86">
        <f ca="1">_xll.meMathBlackScholesTheta($C$9,$CU19,$C$11,$C$12,DD$4,$C$14,$C$15)</f>
        <v>-7.0271573162930133E-4</v>
      </c>
      <c r="DE19" s="86">
        <f ca="1">_xll.meMathBlackScholesTheta($C$9,$CU19,$C$11,$C$12,DE$4,$C$14,$C$15)</f>
        <v>-7.5483077666299028E-4</v>
      </c>
      <c r="DF19" s="88">
        <f ca="1">_xll.meMathBlackScholesTheta($C$9,$CU19,$C$11,$C$12,DF$4,$C$14,$C$15)</f>
        <v>-8.0565383108426784E-4</v>
      </c>
      <c r="DH19" s="40">
        <f t="shared" si="42"/>
        <v>0.79999999999999982</v>
      </c>
      <c r="DI19" s="45">
        <f t="shared" si="33"/>
        <v>79.999999999999986</v>
      </c>
      <c r="DJ19" s="85">
        <f ca="1">_xll.meMathBlackScholesRho($C$9,$DI19,$C$11,$C$12,DJ$4,$C$14,$C$15)</f>
        <v>4.2051596268924147E-3</v>
      </c>
      <c r="DK19" s="86">
        <f ca="1">_xll.meMathBlackScholesRho($C$9,$DI19,$C$11,$C$12,DK$4,$C$14,$C$15)</f>
        <v>5.6671524536185871E-3</v>
      </c>
      <c r="DL19" s="86">
        <f ca="1">_xll.meMathBlackScholesRho($C$9,$DI19,$C$11,$C$12,DL$4,$C$14,$C$15)</f>
        <v>7.4105394712487178E-3</v>
      </c>
      <c r="DM19" s="86">
        <f ca="1">_xll.meMathBlackScholesRho($C$9,$DI19,$C$11,$C$12,DM$4,$C$14,$C$15)</f>
        <v>9.446978835784426E-3</v>
      </c>
      <c r="DN19" s="86">
        <f ca="1">_xll.meMathBlackScholesRho($C$9,$DI19,$C$11,$C$12,DN$4,$C$14,$C$15)</f>
        <v>1.1785034381461858E-2</v>
      </c>
      <c r="DO19" s="87">
        <f ca="1">_xll.meMathBlackScholesRho($C$9,$DI19,$C$11,$C$12,DO$4,$C$14,$C$15)</f>
        <v>1.4430579922613951E-2</v>
      </c>
      <c r="DP19" s="86">
        <f ca="1">_xll.meMathBlackScholesRho($C$9,$DI19,$C$11,$C$12,DP$4,$C$14,$C$15)</f>
        <v>1.7387186993694168E-2</v>
      </c>
      <c r="DQ19" s="86">
        <f ca="1">_xll.meMathBlackScholesRho($C$9,$DI19,$C$11,$C$12,DQ$4,$C$14,$C$15)</f>
        <v>2.0656481781473196E-2</v>
      </c>
      <c r="DR19" s="86">
        <f ca="1">_xll.meMathBlackScholesRho($C$9,$DI19,$C$11,$C$12,DR$4,$C$14,$C$15)</f>
        <v>2.4238464904618864E-2</v>
      </c>
      <c r="DS19" s="86">
        <f ca="1">_xll.meMathBlackScholesRho($C$9,$DI19,$C$11,$C$12,DS$4,$C$14,$C$15)</f>
        <v>2.8131792536209562E-2</v>
      </c>
      <c r="DT19" s="88">
        <f ca="1">_xll.meMathBlackScholesRho($C$9,$DI19,$C$11,$C$12,DT$4,$C$14,$C$15)</f>
        <v>3.2334020171479919E-2</v>
      </c>
    </row>
    <row r="20" spans="2:124" x14ac:dyDescent="0.25">
      <c r="B20" s="35" t="s">
        <v>48</v>
      </c>
      <c r="N20" s="40">
        <f t="shared" si="35"/>
        <v>0.74999999999999978</v>
      </c>
      <c r="O20" s="45">
        <f t="shared" si="9"/>
        <v>74.999999999999972</v>
      </c>
      <c r="P20" s="43">
        <f t="shared" ca="1" si="34"/>
        <v>1.5888030358690596E-3</v>
      </c>
      <c r="Q20" s="44">
        <f t="shared" ca="1" si="10"/>
        <v>2.3152671506101578E-3</v>
      </c>
      <c r="R20" s="44">
        <f t="shared" ca="1" si="11"/>
        <v>3.2334289913692887E-3</v>
      </c>
      <c r="S20" s="44">
        <f t="shared" ca="1" si="12"/>
        <v>4.3580320477807424E-3</v>
      </c>
      <c r="T20" s="44">
        <f t="shared" ca="1" si="13"/>
        <v>5.7000950795711167E-3</v>
      </c>
      <c r="U20" s="55">
        <f t="shared" ca="1" si="14"/>
        <v>7.2671125656935728E-3</v>
      </c>
      <c r="V20" s="44">
        <f t="shared" ca="1" si="15"/>
        <v>9.0633749670141327E-3</v>
      </c>
      <c r="W20" s="44">
        <f t="shared" ca="1" si="16"/>
        <v>1.1090350218555011E-2</v>
      </c>
      <c r="X20" s="44">
        <f t="shared" ca="1" si="17"/>
        <v>1.3347084888305986E-2</v>
      </c>
      <c r="Y20" s="44">
        <f t="shared" ca="1" si="18"/>
        <v>1.5830597373487472E-2</v>
      </c>
      <c r="Z20" s="45">
        <f t="shared" ca="1" si="19"/>
        <v>1.8536246124946185E-2</v>
      </c>
      <c r="AB20" s="40">
        <f t="shared" si="36"/>
        <v>0.74999999999999978</v>
      </c>
      <c r="AC20" s="45">
        <f t="shared" si="21"/>
        <v>74.999999999999972</v>
      </c>
      <c r="AD20" s="85">
        <f ca="1">_xll.meMathBlackScholesPrice($C$9,$AC20,$C$11,$C$12,AD$4,$C$14,$C$15)</f>
        <v>1.2127679407313921E-3</v>
      </c>
      <c r="AE20" s="86">
        <f ca="1">_xll.meMathBlackScholesPrice($C$9,$AC20,$C$11,$C$12,AE$4,$C$14,$C$15)</f>
        <v>1.8679896275578395E-3</v>
      </c>
      <c r="AF20" s="86">
        <f ca="1">_xll.meMathBlackScholesPrice($C$9,$AC20,$C$11,$C$12,AF$4,$C$14,$C$15)</f>
        <v>2.7471971454110095E-3</v>
      </c>
      <c r="AG20" s="86">
        <f ca="1">_xll.meMathBlackScholesPrice($C$9,$AC20,$C$11,$C$12,AG$4,$C$14,$C$15)</f>
        <v>3.886402234058256E-3</v>
      </c>
      <c r="AH20" s="86">
        <f ca="1">_xll.meMathBlackScholesPrice($C$9,$AC20,$C$11,$C$12,AH$4,$C$14,$C$15)</f>
        <v>5.3199424384947902E-3</v>
      </c>
      <c r="AI20" s="87">
        <f ca="1">_xll.meMathBlackScholesPrice($C$9,$AC20,$C$11,$C$12,AI$4,$C$14,$C$15)</f>
        <v>7.0798671445621852E-3</v>
      </c>
      <c r="AJ20" s="86">
        <f ca="1">_xll.meMathBlackScholesPrice($C$9,$AC20,$C$11,$C$12,AJ$4,$C$14,$C$15)</f>
        <v>9.1955290346804053E-3</v>
      </c>
      <c r="AK20" s="86">
        <f ca="1">_xll.meMathBlackScholesPrice($C$9,$AC20,$C$11,$C$12,AK$4,$C$14,$C$15)</f>
        <v>1.1693347096307871E-2</v>
      </c>
      <c r="AL20" s="86">
        <f ca="1">_xll.meMathBlackScholesPrice($C$9,$AC20,$C$11,$C$12,AL$4,$C$14,$C$15)</f>
        <v>1.4596706340018029E-2</v>
      </c>
      <c r="AM20" s="86">
        <f ca="1">_xll.meMathBlackScholesPrice($C$9,$AC20,$C$11,$C$12,AM$4,$C$14,$C$15)</f>
        <v>1.7925962045280741E-2</v>
      </c>
      <c r="AN20" s="88">
        <f ca="1">_xll.meMathBlackScholesPrice($C$9,$AC20,$C$11,$C$12,AN$4,$C$14,$C$15)</f>
        <v>2.1698520680698441E-2</v>
      </c>
      <c r="AP20" s="40">
        <f t="shared" si="37"/>
        <v>0.74999999999999978</v>
      </c>
      <c r="AQ20" s="45">
        <f t="shared" si="23"/>
        <v>74.999999999999972</v>
      </c>
      <c r="AR20" s="71">
        <f ca="1">_xll.meMathBlackScholesDeltaSpot($C$9,$AQ20,$C$11,$C$12,AR$4,$C$14,$C$15)</f>
        <v>7.06548072364411E-4</v>
      </c>
      <c r="AS20" s="72">
        <f ca="1">_xll.meMathBlackScholesDeltaSpot($C$9,$AQ20,$C$11,$C$12,AS$4,$C$14,$C$15)</f>
        <v>1.0273171406440119E-3</v>
      </c>
      <c r="AT20" s="72">
        <f ca="1">_xll.meMathBlackScholesDeltaSpot($C$9,$AQ20,$C$11,$C$12,AT$4,$C$14,$C$15)</f>
        <v>1.4315933477786001E-3</v>
      </c>
      <c r="AU20" s="72">
        <f ca="1">_xll.meMathBlackScholesDeltaSpot($C$9,$AQ20,$C$11,$C$12,AU$4,$C$14,$C$15)</f>
        <v>1.9253955209529629E-3</v>
      </c>
      <c r="AV20" s="72">
        <f ca="1">_xll.meMathBlackScholesDeltaSpot($C$9,$AQ20,$C$11,$C$12,AV$4,$C$14,$C$15)</f>
        <v>2.5130682857022087E-3</v>
      </c>
      <c r="AW20" s="73">
        <f ca="1">_xll.meMathBlackScholesDeltaSpot($C$9,$AQ20,$C$11,$C$12,AW$4,$C$14,$C$15)</f>
        <v>3.1973886164726704E-3</v>
      </c>
      <c r="AX20" s="72">
        <f ca="1">_xll.meMathBlackScholesDeltaSpot($C$9,$AQ20,$C$11,$C$12,AX$4,$C$14,$C$15)</f>
        <v>3.9797227141235188E-3</v>
      </c>
      <c r="AY20" s="72">
        <f ca="1">_xll.meMathBlackScholesDeltaSpot($C$9,$AQ20,$C$11,$C$12,AY$4,$C$14,$C$15)</f>
        <v>4.8602070072896681E-3</v>
      </c>
      <c r="AZ20" s="72">
        <f ca="1">_xll.meMathBlackScholesDeltaSpot($C$9,$AQ20,$C$11,$C$12,AZ$4,$C$14,$C$15)</f>
        <v>5.8379349546136116E-3</v>
      </c>
      <c r="BA20" s="72">
        <f ca="1">_xll.meMathBlackScholesDeltaSpot($C$9,$AQ20,$C$11,$C$12,BA$4,$C$14,$C$15)</f>
        <v>6.9111376894052433E-3</v>
      </c>
      <c r="BB20" s="74">
        <f ca="1">_xll.meMathBlackScholesDeltaSpot($C$9,$AQ20,$C$11,$C$12,BB$4,$C$14,$C$15)</f>
        <v>8.0773513415689988E-3</v>
      </c>
      <c r="BD20" s="40">
        <f t="shared" si="38"/>
        <v>0.74999999999999978</v>
      </c>
      <c r="BE20" s="45">
        <f t="shared" si="25"/>
        <v>74.999999999999972</v>
      </c>
      <c r="BF20" s="71">
        <f ca="1">_xll.meMathBlackScholesDeltaForward($C$9,$BE20,$C$11,$C$12,BF$4,$C$14,$C$15)</f>
        <v>7.06548072364411E-4</v>
      </c>
      <c r="BG20" s="72">
        <f ca="1">_xll.meMathBlackScholesDeltaForward($C$9,$BE20,$C$11,$C$12,BG$4,$C$14,$C$15)</f>
        <v>1.0273171406440119E-3</v>
      </c>
      <c r="BH20" s="72">
        <f ca="1">_xll.meMathBlackScholesDeltaForward($C$9,$BE20,$C$11,$C$12,BH$4,$C$14,$C$15)</f>
        <v>1.4315933477786001E-3</v>
      </c>
      <c r="BI20" s="72">
        <f ca="1">_xll.meMathBlackScholesDeltaForward($C$9,$BE20,$C$11,$C$12,BI$4,$C$14,$C$15)</f>
        <v>1.9253955209529629E-3</v>
      </c>
      <c r="BJ20" s="72">
        <f ca="1">_xll.meMathBlackScholesDeltaForward($C$9,$BE20,$C$11,$C$12,BJ$4,$C$14,$C$15)</f>
        <v>2.5130682857022087E-3</v>
      </c>
      <c r="BK20" s="73">
        <f ca="1">_xll.meMathBlackScholesDeltaForward($C$9,$BE20,$C$11,$C$12,BK$4,$C$14,$C$15)</f>
        <v>3.1973886164726704E-3</v>
      </c>
      <c r="BL20" s="72">
        <f ca="1">_xll.meMathBlackScholesDeltaForward($C$9,$BE20,$C$11,$C$12,BL$4,$C$14,$C$15)</f>
        <v>3.9797227141235188E-3</v>
      </c>
      <c r="BM20" s="72">
        <f ca="1">_xll.meMathBlackScholesDeltaForward($C$9,$BE20,$C$11,$C$12,BM$4,$C$14,$C$15)</f>
        <v>4.8602070072896681E-3</v>
      </c>
      <c r="BN20" s="72">
        <f ca="1">_xll.meMathBlackScholesDeltaForward($C$9,$BE20,$C$11,$C$12,BN$4,$C$14,$C$15)</f>
        <v>5.8379349546136116E-3</v>
      </c>
      <c r="BO20" s="72">
        <f ca="1">_xll.meMathBlackScholesDeltaForward($C$9,$BE20,$C$11,$C$12,BO$4,$C$14,$C$15)</f>
        <v>6.9111376894052433E-3</v>
      </c>
      <c r="BP20" s="74">
        <f ca="1">_xll.meMathBlackScholesDeltaForward($C$9,$BE20,$C$11,$C$12,BP$4,$C$14,$C$15)</f>
        <v>8.0773513415689988E-3</v>
      </c>
      <c r="BR20" s="40">
        <f t="shared" si="39"/>
        <v>0.74999999999999978</v>
      </c>
      <c r="BS20" s="45">
        <f t="shared" si="27"/>
        <v>74.999999999999972</v>
      </c>
      <c r="BT20" s="85">
        <f ca="1">_xll.meMathBlackScholesGamma($C$9,$BS20,$C$11,$C$12,BT$4,$C$14,$C$15)</f>
        <v>3.7660516405785158E-4</v>
      </c>
      <c r="BU20" s="86">
        <f ca="1">_xll.meMathBlackScholesGamma($C$9,$BS20,$C$11,$C$12,BU$4,$C$14,$C$15)</f>
        <v>5.1450381124670222E-4</v>
      </c>
      <c r="BV20" s="86">
        <f ca="1">_xll.meMathBlackScholesGamma($C$9,$BS20,$C$11,$C$12,BV$4,$C$14,$C$15)</f>
        <v>6.7627273022102829E-4</v>
      </c>
      <c r="BW20" s="86">
        <f ca="1">_xll.meMathBlackScholesGamma($C$9,$BS20,$C$11,$C$12,BW$4,$C$14,$C$15)</f>
        <v>8.6084583659866583E-4</v>
      </c>
      <c r="BX20" s="86">
        <f ca="1">_xll.meMathBlackScholesGamma($C$9,$BS20,$C$11,$C$12,BX$4,$C$14,$C$15)</f>
        <v>1.0666844593349466E-3</v>
      </c>
      <c r="BY20" s="87">
        <f ca="1">_xll.meMathBlackScholesGamma($C$9,$BS20,$C$11,$C$12,BY$4,$C$14,$C$15)</f>
        <v>1.2919311227899695E-3</v>
      </c>
      <c r="BZ20" s="86">
        <f ca="1">_xll.meMathBlackScholesGamma($C$9,$BS20,$C$11,$C$12,BZ$4,$C$14,$C$15)</f>
        <v>1.5345396769547747E-3</v>
      </c>
      <c r="CA20" s="86">
        <f ca="1">_xll.meMathBlackScholesGamma($C$9,$BS20,$C$11,$C$12,CA$4,$C$14,$C$15)</f>
        <v>1.7923798333018212E-3</v>
      </c>
      <c r="CB20" s="86">
        <f ca="1">_xll.meMathBlackScholesGamma($C$9,$BS20,$C$11,$C$12,CB$4,$C$14,$C$15)</f>
        <v>2.0633174706559993E-3</v>
      </c>
      <c r="CC20" s="86">
        <f ca="1">_xll.meMathBlackScholesGamma($C$9,$BS20,$C$11,$C$12,CC$4,$C$14,$C$15)</f>
        <v>2.3452736849611079E-3</v>
      </c>
      <c r="CD20" s="88">
        <f ca="1">_xll.meMathBlackScholesGamma($C$9,$BS20,$C$11,$C$12,CD$4,$C$14,$C$15)</f>
        <v>2.6362661155479037E-3</v>
      </c>
      <c r="CF20" s="40">
        <f t="shared" si="40"/>
        <v>0.74999999999999978</v>
      </c>
      <c r="CG20" s="45">
        <f t="shared" si="29"/>
        <v>74.999999999999972</v>
      </c>
      <c r="CH20" s="85">
        <f ca="1">_xll.meMathBlackScholesVega($C$9,$CG20,$C$11,$C$12,CH$4,$C$14,$C$15)</f>
        <v>1.5888030358690596E-3</v>
      </c>
      <c r="CI20" s="86">
        <f ca="1">_xll.meMathBlackScholesVega($C$9,$CG20,$C$11,$C$12,CI$4,$C$14,$C$15)</f>
        <v>2.3152671506101578E-3</v>
      </c>
      <c r="CJ20" s="86">
        <f ca="1">_xll.meMathBlackScholesVega($C$9,$CG20,$C$11,$C$12,CJ$4,$C$14,$C$15)</f>
        <v>3.2334289913692887E-3</v>
      </c>
      <c r="CK20" s="86">
        <f ca="1">_xll.meMathBlackScholesVega($C$9,$CG20,$C$11,$C$12,CK$4,$C$14,$C$15)</f>
        <v>4.3580320477807424E-3</v>
      </c>
      <c r="CL20" s="86">
        <f ca="1">_xll.meMathBlackScholesVega($C$9,$CG20,$C$11,$C$12,CL$4,$C$14,$C$15)</f>
        <v>5.7000950795711167E-3</v>
      </c>
      <c r="CM20" s="87">
        <f ca="1">_xll.meMathBlackScholesVega($C$9,$CG20,$C$11,$C$12,CM$4,$C$14,$C$15)</f>
        <v>7.2671125656935728E-3</v>
      </c>
      <c r="CN20" s="86">
        <f ca="1">_xll.meMathBlackScholesVega($C$9,$CG20,$C$11,$C$12,CN$4,$C$14,$C$15)</f>
        <v>9.0633749670141327E-3</v>
      </c>
      <c r="CO20" s="86">
        <f ca="1">_xll.meMathBlackScholesVega($C$9,$CG20,$C$11,$C$12,CO$4,$C$14,$C$15)</f>
        <v>1.1090350218555011E-2</v>
      </c>
      <c r="CP20" s="86">
        <f ca="1">_xll.meMathBlackScholesVega($C$9,$CG20,$C$11,$C$12,CP$4,$C$14,$C$15)</f>
        <v>1.3347084888305986E-2</v>
      </c>
      <c r="CQ20" s="86">
        <f ca="1">_xll.meMathBlackScholesVega($C$9,$CG20,$C$11,$C$12,CQ$4,$C$14,$C$15)</f>
        <v>1.5830597373487472E-2</v>
      </c>
      <c r="CR20" s="88">
        <f ca="1">_xll.meMathBlackScholesVega($C$9,$CG20,$C$11,$C$12,CR$4,$C$14,$C$15)</f>
        <v>1.8536246124946185E-2</v>
      </c>
      <c r="CT20" s="40">
        <f t="shared" si="41"/>
        <v>0.74999999999999978</v>
      </c>
      <c r="CU20" s="45">
        <f t="shared" si="31"/>
        <v>74.999999999999972</v>
      </c>
      <c r="CV20" s="85">
        <f ca="1">_xll.meMathBlackScholesTheta($C$9,$CU20,$C$11,$C$12,CV$4,$C$14,$C$15)</f>
        <v>-3.0416984569453969E-5</v>
      </c>
      <c r="CW20" s="86">
        <f ca="1">_xll.meMathBlackScholesTheta($C$9,$CU20,$C$11,$C$12,CW$4,$C$14,$C$15)</f>
        <v>-4.1676187954882736E-5</v>
      </c>
      <c r="CX20" s="86">
        <f ca="1">_xll.meMathBlackScholesTheta($C$9,$CU20,$C$11,$C$12,CX$4,$C$14,$C$15)</f>
        <v>-5.4938791449271038E-5</v>
      </c>
      <c r="CY20" s="86">
        <f ca="1">_xll.meMathBlackScholesTheta($C$9,$CU20,$C$11,$C$12,CY$4,$C$14,$C$15)</f>
        <v>-7.0134077406465708E-5</v>
      </c>
      <c r="CZ20" s="86">
        <f ca="1">_xll.meMathBlackScholesTheta($C$9,$CU20,$C$11,$C$12,CZ$4,$C$14,$C$15)</f>
        <v>-8.7151546088123376E-5</v>
      </c>
      <c r="DA20" s="87">
        <f ca="1">_xll.meMathBlackScholesTheta($C$9,$CU20,$C$11,$C$12,DA$4,$C$14,$C$15)</f>
        <v>-1.0585299279774605E-4</v>
      </c>
      <c r="DB20" s="86">
        <f ca="1">_xll.meMathBlackScholesTheta($C$9,$CU20,$C$11,$C$12,DB$4,$C$14,$C$15)</f>
        <v>-1.2608286149103036E-4</v>
      </c>
      <c r="DC20" s="86">
        <f ca="1">_xll.meMathBlackScholesTheta($C$9,$CU20,$C$11,$C$12,DC$4,$C$14,$C$15)</f>
        <v>-1.4767667240552458E-4</v>
      </c>
      <c r="DD20" s="86">
        <f ca="1">_xll.meMathBlackScholesTheta($C$9,$CU20,$C$11,$C$12,DD$4,$C$14,$C$15)</f>
        <v>-1.704675921006433E-4</v>
      </c>
      <c r="DE20" s="86">
        <f ca="1">_xll.meMathBlackScholesTheta($C$9,$CU20,$C$11,$C$12,DE$4,$C$14,$C$15)</f>
        <v>-1.942913512282881E-4</v>
      </c>
      <c r="DF20" s="88">
        <f ca="1">_xll.meMathBlackScholesTheta($C$9,$CU20,$C$11,$C$12,DF$4,$C$14,$C$15)</f>
        <v>-2.1898976810172347E-4</v>
      </c>
      <c r="DH20" s="40">
        <f t="shared" si="42"/>
        <v>0.74999999999999978</v>
      </c>
      <c r="DI20" s="45">
        <f t="shared" si="33"/>
        <v>74.999999999999972</v>
      </c>
      <c r="DJ20" s="85">
        <f ca="1">_xll.meMathBlackScholesRho($C$9,$DI20,$C$11,$C$12,DJ$4,$C$14,$C$15)</f>
        <v>3.8833753114949547E-4</v>
      </c>
      <c r="DK20" s="86">
        <f ca="1">_xll.meMathBlackScholesRho($C$9,$DI20,$C$11,$C$12,DK$4,$C$14,$C$15)</f>
        <v>6.0144636736594404E-4</v>
      </c>
      <c r="DL20" s="86">
        <f ca="1">_xll.meMathBlackScholesRho($C$9,$DI20,$C$11,$C$12,DL$4,$C$14,$C$15)</f>
        <v>8.8928958347286337E-4</v>
      </c>
      <c r="DM20" s="86">
        <f ca="1">_xll.meMathBlackScholesRho($C$9,$DI20,$C$11,$C$12,DM$4,$C$14,$C$15)</f>
        <v>1.264664356536725E-3</v>
      </c>
      <c r="DN20" s="86">
        <f ca="1">_xll.meMathBlackScholesRho($C$9,$DI20,$C$11,$C$12,DN$4,$C$14,$C$15)</f>
        <v>1.7400217003971223E-3</v>
      </c>
      <c r="DO20" s="87">
        <f ca="1">_xll.meMathBlackScholesRho($C$9,$DI20,$C$11,$C$12,DO$4,$C$14,$C$15)</f>
        <v>2.3272427909088798E-3</v>
      </c>
      <c r="DP20" s="86">
        <f ca="1">_xll.meMathBlackScholesRho($C$9,$DI20,$C$11,$C$12,DP$4,$C$14,$C$15)</f>
        <v>3.0374785825081256E-3</v>
      </c>
      <c r="DQ20" s="86">
        <f ca="1">_xll.meMathBlackScholesRho($C$9,$DI20,$C$11,$C$12,DQ$4,$C$14,$C$15)</f>
        <v>3.8810439629545883E-3</v>
      </c>
      <c r="DR20" s="86">
        <f ca="1">_xll.meMathBlackScholesRho($C$9,$DI20,$C$11,$C$12,DR$4,$C$14,$C$15)</f>
        <v>4.8673567754440308E-3</v>
      </c>
      <c r="DS20" s="86">
        <f ca="1">_xll.meMathBlackScholesRho($C$9,$DI20,$C$11,$C$12,DS$4,$C$14,$C$15)</f>
        <v>6.0049123759213481E-3</v>
      </c>
      <c r="DT20" s="88">
        <f ca="1">_xll.meMathBlackScholesRho($C$9,$DI20,$C$11,$C$12,DT$4,$C$14,$C$15)</f>
        <v>7.3012853742122066E-3</v>
      </c>
    </row>
    <row r="21" spans="2:124" x14ac:dyDescent="0.25">
      <c r="B21" t="s">
        <v>40</v>
      </c>
      <c r="C21" s="100">
        <f>(LN(C10/C11)+(C15+0.5*C12*C12)*C13)/(C12*SQRT(C13))</f>
        <v>0.15</v>
      </c>
      <c r="N21" s="40">
        <f t="shared" si="35"/>
        <v>0.69999999999999973</v>
      </c>
      <c r="O21" s="45">
        <f t="shared" si="9"/>
        <v>69.999999999999972</v>
      </c>
      <c r="P21" s="43">
        <f t="shared" ca="1" si="34"/>
        <v>8.4901909558814868E-5</v>
      </c>
      <c r="Q21" s="44">
        <f t="shared" ca="1" si="10"/>
        <v>1.4889989640669683E-4</v>
      </c>
      <c r="R21" s="44">
        <f t="shared" ca="1" si="11"/>
        <v>2.4487152155319415E-4</v>
      </c>
      <c r="S21" s="44">
        <f t="shared" ca="1" si="12"/>
        <v>3.8164553510493487E-4</v>
      </c>
      <c r="T21" s="44">
        <f t="shared" ca="1" si="13"/>
        <v>5.6846682022190667E-4</v>
      </c>
      <c r="U21" s="55">
        <f t="shared" ca="1" si="14"/>
        <v>8.1469084911895708E-4</v>
      </c>
      <c r="V21" s="44">
        <f t="shared" ca="1" si="15"/>
        <v>1.129509733498509E-3</v>
      </c>
      <c r="W21" s="44">
        <f t="shared" ca="1" si="16"/>
        <v>1.5217221515352092E-3</v>
      </c>
      <c r="X21" s="44">
        <f t="shared" ca="1" si="17"/>
        <v>1.999551881420026E-3</v>
      </c>
      <c r="Y21" s="44">
        <f t="shared" ca="1" si="18"/>
        <v>2.5705143405843683E-3</v>
      </c>
      <c r="Z21" s="45">
        <f t="shared" ca="1" si="19"/>
        <v>3.2413271756817946E-3</v>
      </c>
      <c r="AB21" s="40">
        <f t="shared" si="36"/>
        <v>0.69999999999999973</v>
      </c>
      <c r="AC21" s="45">
        <f t="shared" si="21"/>
        <v>69.999999999999972</v>
      </c>
      <c r="AD21" s="85">
        <f ca="1">_xll.meMathBlackScholesPrice($C$9,$AC21,$C$11,$C$12,AD$4,$C$14,$C$15)</f>
        <v>4.4713575909530612E-5</v>
      </c>
      <c r="AE21" s="86">
        <f ca="1">_xll.meMathBlackScholesPrice($C$9,$AC21,$C$11,$C$12,AE$4,$C$14,$C$15)</f>
        <v>8.3116720663588967E-5</v>
      </c>
      <c r="AF21" s="86">
        <f ca="1">_xll.meMathBlackScholesPrice($C$9,$AC21,$C$11,$C$12,AF$4,$C$14,$C$15)</f>
        <v>1.4432875816691986E-4</v>
      </c>
      <c r="AG21" s="86">
        <f ca="1">_xll.meMathBlackScholesPrice($C$9,$AC21,$C$11,$C$12,AG$4,$C$14,$C$15)</f>
        <v>2.3672082144271522E-4</v>
      </c>
      <c r="AH21" s="86">
        <f ca="1">_xll.meMathBlackScholesPrice($C$9,$AC21,$C$11,$C$12,AH$4,$C$14,$C$15)</f>
        <v>3.699519088172197E-4</v>
      </c>
      <c r="AI21" s="87">
        <f ca="1">_xll.meMathBlackScholesPrice($C$9,$AC21,$C$11,$C$12,AI$4,$C$14,$C$15)</f>
        <v>5.5479840936926983E-4</v>
      </c>
      <c r="AJ21" s="86">
        <f ca="1">_xll.meMathBlackScholesPrice($C$9,$AC21,$C$11,$C$12,AJ$4,$C$14,$C$15)</f>
        <v>8.0295085062245808E-4</v>
      </c>
      <c r="AK21" s="86">
        <f ca="1">_xll.meMathBlackScholesPrice($C$9,$AC21,$C$11,$C$12,AK$4,$C$14,$C$15)</f>
        <v>1.1267954551013246E-3</v>
      </c>
      <c r="AL21" s="86">
        <f ca="1">_xll.meMathBlackScholesPrice($C$9,$AC21,$C$11,$C$12,AL$4,$C$14,$C$15)</f>
        <v>1.5391947458422151E-3</v>
      </c>
      <c r="AM21" s="86">
        <f ca="1">_xll.meMathBlackScholesPrice($C$9,$AC21,$C$11,$C$12,AM$4,$C$14,$C$15)</f>
        <v>2.0532778097178545E-3</v>
      </c>
      <c r="AN21" s="88">
        <f ca="1">_xll.meMathBlackScholesPrice($C$9,$AC21,$C$11,$C$12,AN$4,$C$14,$C$15)</f>
        <v>2.682247448714134E-3</v>
      </c>
      <c r="AP21" s="40">
        <f t="shared" si="37"/>
        <v>0.69999999999999973</v>
      </c>
      <c r="AQ21" s="45">
        <f t="shared" si="23"/>
        <v>69.999999999999972</v>
      </c>
      <c r="AR21" s="71">
        <f ca="1">_xll.meMathBlackScholesDeltaSpot($C$9,$AQ21,$C$11,$C$12,AR$4,$C$14,$C$15)</f>
        <v>3.3228874565750502E-5</v>
      </c>
      <c r="AS21" s="72">
        <f ca="1">_xll.meMathBlackScholesDeltaSpot($C$9,$AQ21,$C$11,$C$12,AS$4,$C$14,$C$15)</f>
        <v>5.8200883657870264E-5</v>
      </c>
      <c r="AT21" s="72">
        <f ca="1">_xll.meMathBlackScholesDeltaSpot($C$9,$AQ21,$C$11,$C$12,AT$4,$C$14,$C$15)</f>
        <v>9.5591884842765831E-5</v>
      </c>
      <c r="AU21" s="72">
        <f ca="1">_xll.meMathBlackScholesDeltaSpot($C$9,$AQ21,$C$11,$C$12,AU$4,$C$14,$C$15)</f>
        <v>1.487992358818672E-4</v>
      </c>
      <c r="AV21" s="72">
        <f ca="1">_xll.meMathBlackScholesDeltaSpot($C$9,$AQ21,$C$11,$C$12,AV$4,$C$14,$C$15)</f>
        <v>2.2136720796072282E-4</v>
      </c>
      <c r="AW21" s="73">
        <f ca="1">_xll.meMathBlackScholesDeltaSpot($C$9,$AQ21,$C$11,$C$12,AW$4,$C$14,$C$15)</f>
        <v>3.1686788675612076E-4</v>
      </c>
      <c r="AX21" s="72">
        <f ca="1">_xll.meMathBlackScholesDeltaSpot($C$9,$AQ21,$C$11,$C$12,AX$4,$C$14,$C$15)</f>
        <v>4.3879520076576812E-4</v>
      </c>
      <c r="AY21" s="72">
        <f ca="1">_xll.meMathBlackScholesDeltaSpot($C$9,$AQ21,$C$11,$C$12,AY$4,$C$14,$C$15)</f>
        <v>5.9047668779207204E-4</v>
      </c>
      <c r="AZ21" s="72">
        <f ca="1">_xll.meMathBlackScholesDeltaSpot($C$9,$AQ21,$C$11,$C$12,AZ$4,$C$14,$C$15)</f>
        <v>7.7500465170691308E-4</v>
      </c>
      <c r="BA21" s="72">
        <f ca="1">_xll.meMathBlackScholesDeltaSpot($C$9,$AQ21,$C$11,$C$12,BA$4,$C$14,$C$15)</f>
        <v>9.9518629476549403E-4</v>
      </c>
      <c r="BB21" s="74">
        <f ca="1">_xll.meMathBlackScholesDeltaSpot($C$9,$AQ21,$C$11,$C$12,BB$4,$C$14,$C$15)</f>
        <v>1.2535111289295035E-3</v>
      </c>
      <c r="BD21" s="40">
        <f t="shared" si="38"/>
        <v>0.69999999999999973</v>
      </c>
      <c r="BE21" s="45">
        <f t="shared" si="25"/>
        <v>69.999999999999972</v>
      </c>
      <c r="BF21" s="71">
        <f ca="1">_xll.meMathBlackScholesDeltaForward($C$9,$BE21,$C$11,$C$12,BF$4,$C$14,$C$15)</f>
        <v>3.3228874565750502E-5</v>
      </c>
      <c r="BG21" s="72">
        <f ca="1">_xll.meMathBlackScholesDeltaForward($C$9,$BE21,$C$11,$C$12,BG$4,$C$14,$C$15)</f>
        <v>5.8200883657870264E-5</v>
      </c>
      <c r="BH21" s="72">
        <f ca="1">_xll.meMathBlackScholesDeltaForward($C$9,$BE21,$C$11,$C$12,BH$4,$C$14,$C$15)</f>
        <v>9.5591884842765831E-5</v>
      </c>
      <c r="BI21" s="72">
        <f ca="1">_xll.meMathBlackScholesDeltaForward($C$9,$BE21,$C$11,$C$12,BI$4,$C$14,$C$15)</f>
        <v>1.487992358818672E-4</v>
      </c>
      <c r="BJ21" s="72">
        <f ca="1">_xll.meMathBlackScholesDeltaForward($C$9,$BE21,$C$11,$C$12,BJ$4,$C$14,$C$15)</f>
        <v>2.2136720796072282E-4</v>
      </c>
      <c r="BK21" s="73">
        <f ca="1">_xll.meMathBlackScholesDeltaForward($C$9,$BE21,$C$11,$C$12,BK$4,$C$14,$C$15)</f>
        <v>3.1686788675612076E-4</v>
      </c>
      <c r="BL21" s="72">
        <f ca="1">_xll.meMathBlackScholesDeltaForward($C$9,$BE21,$C$11,$C$12,BL$4,$C$14,$C$15)</f>
        <v>4.3879520076576812E-4</v>
      </c>
      <c r="BM21" s="72">
        <f ca="1">_xll.meMathBlackScholesDeltaForward($C$9,$BE21,$C$11,$C$12,BM$4,$C$14,$C$15)</f>
        <v>5.9047668779207204E-4</v>
      </c>
      <c r="BN21" s="72">
        <f ca="1">_xll.meMathBlackScholesDeltaForward($C$9,$BE21,$C$11,$C$12,BN$4,$C$14,$C$15)</f>
        <v>7.7500465170691308E-4</v>
      </c>
      <c r="BO21" s="72">
        <f ca="1">_xll.meMathBlackScholesDeltaForward($C$9,$BE21,$C$11,$C$12,BO$4,$C$14,$C$15)</f>
        <v>9.9518629476549403E-4</v>
      </c>
      <c r="BP21" s="74">
        <f ca="1">_xll.meMathBlackScholesDeltaForward($C$9,$BE21,$C$11,$C$12,BP$4,$C$14,$C$15)</f>
        <v>1.2535111289295035E-3</v>
      </c>
      <c r="BR21" s="40">
        <f t="shared" si="39"/>
        <v>0.69999999999999973</v>
      </c>
      <c r="BS21" s="45">
        <f t="shared" si="27"/>
        <v>69.999999999999972</v>
      </c>
      <c r="BT21" s="85">
        <f ca="1">_xll.meMathBlackScholesGamma($C$9,$BS21,$C$11,$C$12,BT$4,$C$14,$C$15)</f>
        <v>2.3102560424167339E-5</v>
      </c>
      <c r="BU21" s="86">
        <f ca="1">_xll.meMathBlackScholesGamma($C$9,$BS21,$C$11,$C$12,BU$4,$C$14,$C$15)</f>
        <v>3.7984667450688009E-5</v>
      </c>
      <c r="BV21" s="86">
        <f ca="1">_xll.meMathBlackScholesGamma($C$9,$BS21,$C$11,$C$12,BV$4,$C$14,$C$15)</f>
        <v>5.8792682245664919E-5</v>
      </c>
      <c r="BW21" s="86">
        <f ca="1">_xll.meMathBlackScholesGamma($C$9,$BS21,$C$11,$C$12,BW$4,$C$14,$C$15)</f>
        <v>8.6540937665518182E-5</v>
      </c>
      <c r="BX21" s="86">
        <f ca="1">_xll.meMathBlackScholesGamma($C$9,$BS21,$C$11,$C$12,BX$4,$C$14,$C$15)</f>
        <v>1.2211961766313799E-4</v>
      </c>
      <c r="BY21" s="87">
        <f ca="1">_xll.meMathBlackScholesGamma($C$9,$BS21,$C$11,$C$12,BY$4,$C$14,$C$15)</f>
        <v>1.6626343859570564E-4</v>
      </c>
      <c r="BZ21" s="86">
        <f ca="1">_xll.meMathBlackScholesGamma($C$9,$BS21,$C$11,$C$12,BZ$4,$C$14,$C$15)</f>
        <v>2.1953541953323802E-4</v>
      </c>
      <c r="CA21" s="86">
        <f ca="1">_xll.meMathBlackScholesGamma($C$9,$BS21,$C$11,$C$12,CA$4,$C$14,$C$15)</f>
        <v>2.823232192087588E-4</v>
      </c>
      <c r="CB21" s="86">
        <f ca="1">_xll.meMathBlackScholesGamma($C$9,$BS21,$C$11,$C$12,CB$4,$C$14,$C$15)</f>
        <v>3.5484505437799951E-4</v>
      </c>
      <c r="CC21" s="86">
        <f ca="1">_xll.meMathBlackScholesGamma($C$9,$BS21,$C$11,$C$12,CC$4,$C$14,$C$15)</f>
        <v>4.3716230282047101E-4</v>
      </c>
      <c r="CD21" s="88">
        <f ca="1">_xll.meMathBlackScholesGamma($C$9,$BS21,$C$11,$C$12,CD$4,$C$14,$C$15)</f>
        <v>5.291962735807015E-4</v>
      </c>
      <c r="CF21" s="40">
        <f t="shared" si="40"/>
        <v>0.69999999999999973</v>
      </c>
      <c r="CG21" s="45">
        <f t="shared" si="29"/>
        <v>69.999999999999972</v>
      </c>
      <c r="CH21" s="85">
        <f ca="1">_xll.meMathBlackScholesVega($C$9,$CG21,$C$11,$C$12,CH$4,$C$14,$C$15)</f>
        <v>8.4901909558814868E-5</v>
      </c>
      <c r="CI21" s="86">
        <f ca="1">_xll.meMathBlackScholesVega($C$9,$CG21,$C$11,$C$12,CI$4,$C$14,$C$15)</f>
        <v>1.4889989640669683E-4</v>
      </c>
      <c r="CJ21" s="86">
        <f ca="1">_xll.meMathBlackScholesVega($C$9,$CG21,$C$11,$C$12,CJ$4,$C$14,$C$15)</f>
        <v>2.4487152155319415E-4</v>
      </c>
      <c r="CK21" s="86">
        <f ca="1">_xll.meMathBlackScholesVega($C$9,$CG21,$C$11,$C$12,CK$4,$C$14,$C$15)</f>
        <v>3.8164553510493487E-4</v>
      </c>
      <c r="CL21" s="86">
        <f ca="1">_xll.meMathBlackScholesVega($C$9,$CG21,$C$11,$C$12,CL$4,$C$14,$C$15)</f>
        <v>5.6846682022190667E-4</v>
      </c>
      <c r="CM21" s="87">
        <f ca="1">_xll.meMathBlackScholesVega($C$9,$CG21,$C$11,$C$12,CM$4,$C$14,$C$15)</f>
        <v>8.1469084911895708E-4</v>
      </c>
      <c r="CN21" s="86">
        <f ca="1">_xll.meMathBlackScholesVega($C$9,$CG21,$C$11,$C$12,CN$4,$C$14,$C$15)</f>
        <v>1.129509733498509E-3</v>
      </c>
      <c r="CO21" s="86">
        <f ca="1">_xll.meMathBlackScholesVega($C$9,$CG21,$C$11,$C$12,CO$4,$C$14,$C$15)</f>
        <v>1.5217221515352092E-3</v>
      </c>
      <c r="CP21" s="86">
        <f ca="1">_xll.meMathBlackScholesVega($C$9,$CG21,$C$11,$C$12,CP$4,$C$14,$C$15)</f>
        <v>1.999551881420026E-3</v>
      </c>
      <c r="CQ21" s="86">
        <f ca="1">_xll.meMathBlackScholesVega($C$9,$CG21,$C$11,$C$12,CQ$4,$C$14,$C$15)</f>
        <v>2.5705143405843683E-3</v>
      </c>
      <c r="CR21" s="88">
        <f ca="1">_xll.meMathBlackScholesVega($C$9,$CG21,$C$11,$C$12,CR$4,$C$14,$C$15)</f>
        <v>3.2413271756817946E-3</v>
      </c>
      <c r="CT21" s="40">
        <f t="shared" si="41"/>
        <v>0.69999999999999973</v>
      </c>
      <c r="CU21" s="45">
        <f t="shared" si="31"/>
        <v>69.999999999999972</v>
      </c>
      <c r="CV21" s="85">
        <f ca="1">_xll.meMathBlackScholesTheta($C$9,$CU21,$C$11,$C$12,CV$4,$C$14,$C$15)</f>
        <v>-1.6121171987105526E-6</v>
      </c>
      <c r="CW21" s="86">
        <f ca="1">_xll.meMathBlackScholesTheta($C$9,$CU21,$C$11,$C$12,CW$4,$C$14,$C$15)</f>
        <v>-2.6571767389342336E-6</v>
      </c>
      <c r="CX21" s="86">
        <f ca="1">_xll.meMathBlackScholesTheta($C$9,$CU21,$C$11,$C$12,CX$4,$C$14,$C$15)</f>
        <v>-4.1229069043861907E-6</v>
      </c>
      <c r="CY21" s="86">
        <f ca="1">_xll.meMathBlackScholesTheta($C$9,$CU21,$C$11,$C$12,CY$4,$C$14,$C$15)</f>
        <v>-6.0836282811993815E-6</v>
      </c>
      <c r="CZ21" s="86">
        <f ca="1">_xll.meMathBlackScholesTheta($C$9,$CU21,$C$11,$C$12,CZ$4,$C$14,$C$15)</f>
        <v>-8.6055801758554745E-6</v>
      </c>
      <c r="DA21" s="87">
        <f ca="1">_xll.meMathBlackScholesTheta($C$9,$CU21,$C$11,$C$12,DA$4,$C$14,$C$15)</f>
        <v>-1.1744596255250861E-5</v>
      </c>
      <c r="DB21" s="86">
        <f ca="1">_xll.meMathBlackScholesTheta($C$9,$CU21,$C$11,$C$12,DB$4,$C$14,$C$15)</f>
        <v>-1.554481837260545E-5</v>
      </c>
      <c r="DC21" s="86">
        <f ca="1">_xll.meMathBlackScholesTheta($C$9,$CU21,$C$11,$C$12,DC$4,$C$14,$C$15)</f>
        <v>-2.0038287741322445E-5</v>
      </c>
      <c r="DD21" s="86">
        <f ca="1">_xll.meMathBlackScholesTheta($C$9,$CU21,$C$11,$C$12,DD$4,$C$14,$C$15)</f>
        <v>-2.5245215991779322E-5</v>
      </c>
      <c r="DE21" s="86">
        <f ca="1">_xll.meMathBlackScholesTheta($C$9,$CU21,$C$11,$C$12,DE$4,$C$14,$C$15)</f>
        <v>-3.1174740718248317E-5</v>
      </c>
      <c r="DF21" s="88">
        <f ca="1">_xll.meMathBlackScholesTheta($C$9,$CU21,$C$11,$C$12,DF$4,$C$14,$C$15)</f>
        <v>-3.7825993205997783E-5</v>
      </c>
      <c r="DH21" s="40">
        <f t="shared" si="42"/>
        <v>0.69999999999999973</v>
      </c>
      <c r="DI21" s="45">
        <f t="shared" si="33"/>
        <v>69.999999999999972</v>
      </c>
      <c r="DJ21" s="85">
        <f ca="1">_xll.meMathBlackScholesRho($C$9,$DI21,$C$11,$C$12,DJ$4,$C$14,$C$15)</f>
        <v>1.7109807327697521E-5</v>
      </c>
      <c r="DK21" s="86">
        <f ca="1">_xll.meMathBlackScholesRho($C$9,$DI21,$C$11,$C$12,DK$4,$C$14,$C$15)</f>
        <v>3.1927561083098624E-5</v>
      </c>
      <c r="DL21" s="86">
        <f ca="1">_xll.meMathBlackScholesRho($C$9,$DI21,$C$11,$C$12,DL$4,$C$14,$C$15)</f>
        <v>5.5650377037026814E-5</v>
      </c>
      <c r="DM21" s="86">
        <f ca="1">_xll.meMathBlackScholesRho($C$9,$DI21,$C$11,$C$12,DM$4,$C$14,$C$15)</f>
        <v>9.1613031212591843E-5</v>
      </c>
      <c r="DN21" s="86">
        <f ca="1">_xll.meMathBlackScholesRho($C$9,$DI21,$C$11,$C$12,DN$4,$C$14,$C$15)</f>
        <v>1.43694650160117E-4</v>
      </c>
      <c r="DO21" s="87">
        <f ca="1">_xll.meMathBlackScholesRho($C$9,$DI21,$C$11,$C$12,DO$4,$C$14,$C$15)</f>
        <v>2.1625953663559173E-4</v>
      </c>
      <c r="DP21" s="86">
        <f ca="1">_xll.meMathBlackScholesRho($C$9,$DI21,$C$11,$C$12,DP$4,$C$14,$C$15)</f>
        <v>3.1408348863130371E-4</v>
      </c>
      <c r="DQ21" s="86">
        <f ca="1">_xll.meMathBlackScholesRho($C$9,$DI21,$C$11,$C$12,DQ$4,$C$14,$C$15)</f>
        <v>4.4227229959378078E-4</v>
      </c>
      <c r="DR21" s="86">
        <f ca="1">_xll.meMathBlackScholesRho($C$9,$DI21,$C$11,$C$12,DR$4,$C$14,$C$15)</f>
        <v>6.0617800504687944E-4</v>
      </c>
      <c r="DS21" s="86">
        <f ca="1">_xll.meMathBlackScholesRho($C$9,$DI21,$C$11,$C$12,DS$4,$C$14,$C$15)</f>
        <v>8.1131715388640057E-4</v>
      </c>
      <c r="DT21" s="88">
        <f ca="1">_xll.meMathBlackScholesRho($C$9,$DI21,$C$11,$C$12,DT$4,$C$14,$C$15)</f>
        <v>1.0632941447043889E-3</v>
      </c>
    </row>
    <row r="22" spans="2:124" x14ac:dyDescent="0.25">
      <c r="B22" t="s">
        <v>41</v>
      </c>
      <c r="C22" s="100">
        <f>C21-(C12*SQRT(C13))</f>
        <v>4.9999999999999989E-2</v>
      </c>
      <c r="N22" s="40">
        <f t="shared" si="35"/>
        <v>0.64999999999999969</v>
      </c>
      <c r="O22" s="45">
        <f t="shared" si="9"/>
        <v>64.999999999999972</v>
      </c>
      <c r="P22" s="43">
        <f t="shared" ca="1" si="34"/>
        <v>1.8005464943090224E-6</v>
      </c>
      <c r="Q22" s="44">
        <f t="shared" ca="1" si="10"/>
        <v>4.0269999011752995E-6</v>
      </c>
      <c r="R22" s="44">
        <f t="shared" ca="1" si="11"/>
        <v>8.2073371615119812E-6</v>
      </c>
      <c r="S22" s="44">
        <f t="shared" ca="1" si="12"/>
        <v>1.5479180979646449E-5</v>
      </c>
      <c r="T22" s="44">
        <f t="shared" ca="1" si="13"/>
        <v>2.7346290052873428E-5</v>
      </c>
      <c r="U22" s="55">
        <f t="shared" ca="1" si="14"/>
        <v>4.5696305078150843E-5</v>
      </c>
      <c r="V22" s="44">
        <f t="shared" ca="1" si="15"/>
        <v>7.2798306574963607E-5</v>
      </c>
      <c r="W22" s="44">
        <f t="shared" ca="1" si="16"/>
        <v>1.112817590215305E-4</v>
      </c>
      <c r="X22" s="44">
        <f t="shared" ca="1" si="17"/>
        <v>1.6409993713202114E-4</v>
      </c>
      <c r="Y22" s="44">
        <f t="shared" ca="1" si="18"/>
        <v>2.3448170348468064E-4</v>
      </c>
      <c r="Z22" s="45">
        <f t="shared" ca="1" si="19"/>
        <v>3.2587566945368839E-4</v>
      </c>
      <c r="AB22" s="40">
        <f t="shared" si="36"/>
        <v>0.64999999999999969</v>
      </c>
      <c r="AC22" s="45">
        <f t="shared" si="21"/>
        <v>64.999999999999972</v>
      </c>
      <c r="AD22" s="85">
        <f ca="1">_xll.meMathBlackScholesPrice($C$9,$AC22,$C$11,$C$12,AD$4,$C$14,$C$15)</f>
        <v>6.7462905231392841E-7</v>
      </c>
      <c r="AE22" s="86">
        <f ca="1">_xll.meMathBlackScholesPrice($C$9,$AC22,$C$11,$C$12,AE$4,$C$14,$C$15)</f>
        <v>1.6023064746541833E-6</v>
      </c>
      <c r="AF22" s="86">
        <f ca="1">_xll.meMathBlackScholesPrice($C$9,$AC22,$C$11,$C$12,AF$4,$C$14,$C$15)</f>
        <v>3.4545917395810389E-6</v>
      </c>
      <c r="AG22" s="86">
        <f ca="1">_xll.meMathBlackScholesPrice($C$9,$AC22,$C$11,$C$12,AG$4,$C$14,$C$15)</f>
        <v>6.8690033375285548E-6</v>
      </c>
      <c r="AH22" s="86">
        <f ca="1">_xll.meMathBlackScholesPrice($C$9,$AC22,$C$11,$C$12,AH$4,$C$14,$C$15)</f>
        <v>1.2754937569666347E-5</v>
      </c>
      <c r="AI22" s="87">
        <f ca="1">_xll.meMathBlackScholesPrice($C$9,$AC22,$C$11,$C$12,AI$4,$C$14,$C$15)</f>
        <v>2.2341641923775144E-5</v>
      </c>
      <c r="AJ22" s="86">
        <f ca="1">_xll.meMathBlackScholesPrice($C$9,$AC22,$C$11,$C$12,AJ$4,$C$14,$C$15)</f>
        <v>3.7217410648841083E-5</v>
      </c>
      <c r="AK22" s="86">
        <f ca="1">_xll.meMathBlackScholesPrice($C$9,$AC22,$C$11,$C$12,AK$4,$C$14,$C$15)</f>
        <v>5.9357695175188147E-5</v>
      </c>
      <c r="AL22" s="86">
        <f ca="1">_xll.meMathBlackScholesPrice($C$9,$AC22,$C$11,$C$12,AL$4,$C$14,$C$15)</f>
        <v>9.1141035097804749E-5</v>
      </c>
      <c r="AM22" s="86">
        <f ca="1">_xll.meMathBlackScholesPrice($C$9,$AC22,$C$11,$C$12,AM$4,$C$14,$C$15)</f>
        <v>1.3535278061618371E-4</v>
      </c>
      <c r="AN22" s="88">
        <f ca="1">_xll.meMathBlackScholesPrice($C$9,$AC22,$C$11,$C$12,AN$4,$C$14,$C$15)</f>
        <v>1.9517740542157429E-4</v>
      </c>
      <c r="AP22" s="40">
        <f t="shared" si="37"/>
        <v>0.64999999999999969</v>
      </c>
      <c r="AQ22" s="45">
        <f t="shared" si="23"/>
        <v>64.999999999999972</v>
      </c>
      <c r="AR22" s="71">
        <f ca="1">_xll.meMathBlackScholesDeltaSpot($C$9,$AQ22,$C$11,$C$12,AR$4,$C$14,$C$15)</f>
        <v>6.3513791204405286E-7</v>
      </c>
      <c r="AS22" s="72">
        <f ca="1">_xll.meMathBlackScholesDeltaSpot($C$9,$AQ22,$C$11,$C$12,AS$4,$C$14,$C$15)</f>
        <v>1.4195096494920693E-6</v>
      </c>
      <c r="AT22" s="72">
        <f ca="1">_xll.meMathBlackScholesDeltaSpot($C$9,$AQ22,$C$11,$C$12,AT$4,$C$14,$C$15)</f>
        <v>2.8910618240672872E-6</v>
      </c>
      <c r="AU22" s="72">
        <f ca="1">_xll.meMathBlackScholesDeltaSpot($C$9,$AQ22,$C$11,$C$12,AU$4,$C$14,$C$15)</f>
        <v>5.4488726576164433E-6</v>
      </c>
      <c r="AV22" s="72">
        <f ca="1">_xll.meMathBlackScholesDeltaSpot($C$9,$AQ22,$C$11,$C$12,AV$4,$C$14,$C$15)</f>
        <v>9.6197933517522744E-6</v>
      </c>
      <c r="AW22" s="73">
        <f ca="1">_xll.meMathBlackScholesDeltaSpot($C$9,$AQ22,$C$11,$C$12,AW$4,$C$14,$C$15)</f>
        <v>1.6064307266339285E-5</v>
      </c>
      <c r="AX22" s="72">
        <f ca="1">_xll.meMathBlackScholesDeltaSpot($C$9,$AQ22,$C$11,$C$12,AX$4,$C$14,$C$15)</f>
        <v>2.5575292371565399E-5</v>
      </c>
      <c r="AY22" s="72">
        <f ca="1">_xll.meMathBlackScholesDeltaSpot($C$9,$AQ22,$C$11,$C$12,AY$4,$C$14,$C$15)</f>
        <v>3.9070271749048628E-5</v>
      </c>
      <c r="AZ22" s="72">
        <f ca="1">_xll.meMathBlackScholesDeltaSpot($C$9,$AQ22,$C$11,$C$12,AZ$4,$C$14,$C$15)</f>
        <v>5.7578265755113191E-5</v>
      </c>
      <c r="BA22" s="72">
        <f ca="1">_xll.meMathBlackScholesDeltaSpot($C$9,$AQ22,$C$11,$C$12,BA$4,$C$14,$C$15)</f>
        <v>8.2222623433286847E-5</v>
      </c>
      <c r="BB22" s="74">
        <f ca="1">_xll.meMathBlackScholesDeltaSpot($C$9,$AQ22,$C$11,$C$12,BB$4,$C$14,$C$15)</f>
        <v>1.1420125980156E-4</v>
      </c>
      <c r="BD22" s="40">
        <f t="shared" si="38"/>
        <v>0.64999999999999969</v>
      </c>
      <c r="BE22" s="45">
        <f t="shared" si="25"/>
        <v>64.999999999999972</v>
      </c>
      <c r="BF22" s="71">
        <f ca="1">_xll.meMathBlackScholesDeltaForward($C$9,$BE22,$C$11,$C$12,BF$4,$C$14,$C$15)</f>
        <v>6.3513791204405286E-7</v>
      </c>
      <c r="BG22" s="72">
        <f ca="1">_xll.meMathBlackScholesDeltaForward($C$9,$BE22,$C$11,$C$12,BG$4,$C$14,$C$15)</f>
        <v>1.4195096494920693E-6</v>
      </c>
      <c r="BH22" s="72">
        <f ca="1">_xll.meMathBlackScholesDeltaForward($C$9,$BE22,$C$11,$C$12,BH$4,$C$14,$C$15)</f>
        <v>2.8910618240672872E-6</v>
      </c>
      <c r="BI22" s="72">
        <f ca="1">_xll.meMathBlackScholesDeltaForward($C$9,$BE22,$C$11,$C$12,BI$4,$C$14,$C$15)</f>
        <v>5.4488726576164433E-6</v>
      </c>
      <c r="BJ22" s="72">
        <f ca="1">_xll.meMathBlackScholesDeltaForward($C$9,$BE22,$C$11,$C$12,BJ$4,$C$14,$C$15)</f>
        <v>9.6197933517522744E-6</v>
      </c>
      <c r="BK22" s="73">
        <f ca="1">_xll.meMathBlackScholesDeltaForward($C$9,$BE22,$C$11,$C$12,BK$4,$C$14,$C$15)</f>
        <v>1.6064307266339285E-5</v>
      </c>
      <c r="BL22" s="72">
        <f ca="1">_xll.meMathBlackScholesDeltaForward($C$9,$BE22,$C$11,$C$12,BL$4,$C$14,$C$15)</f>
        <v>2.5575292371565399E-5</v>
      </c>
      <c r="BM22" s="72">
        <f ca="1">_xll.meMathBlackScholesDeltaForward($C$9,$BE22,$C$11,$C$12,BM$4,$C$14,$C$15)</f>
        <v>3.9070271749048628E-5</v>
      </c>
      <c r="BN22" s="72">
        <f ca="1">_xll.meMathBlackScholesDeltaForward($C$9,$BE22,$C$11,$C$12,BN$4,$C$14,$C$15)</f>
        <v>5.7578265755113191E-5</v>
      </c>
      <c r="BO22" s="72">
        <f ca="1">_xll.meMathBlackScholesDeltaForward($C$9,$BE22,$C$11,$C$12,BO$4,$C$14,$C$15)</f>
        <v>8.2222623433286847E-5</v>
      </c>
      <c r="BP22" s="74">
        <f ca="1">_xll.meMathBlackScholesDeltaForward($C$9,$BE22,$C$11,$C$12,BP$4,$C$14,$C$15)</f>
        <v>1.1420125980156E-4</v>
      </c>
      <c r="BR22" s="40">
        <f t="shared" si="39"/>
        <v>0.64999999999999969</v>
      </c>
      <c r="BS22" s="45">
        <f t="shared" si="27"/>
        <v>64.999999999999972</v>
      </c>
      <c r="BT22" s="85">
        <f ca="1">_xll.meMathBlackScholesGamma($C$9,$BS22,$C$11,$C$12,BT$4,$C$14,$C$15)</f>
        <v>5.6821980096537261E-7</v>
      </c>
      <c r="BU22" s="86">
        <f ca="1">_xll.meMathBlackScholesGamma($C$9,$BS22,$C$11,$C$12,BU$4,$C$14,$C$15)</f>
        <v>1.1914200891051194E-6</v>
      </c>
      <c r="BV22" s="86">
        <f ca="1">_xll.meMathBlackScholesGamma($C$9,$BS22,$C$11,$C$12,BV$4,$C$14,$C$15)</f>
        <v>2.2853705984022246E-6</v>
      </c>
      <c r="BW22" s="86">
        <f ca="1">_xll.meMathBlackScholesGamma($C$9,$BS22,$C$11,$C$12,BW$4,$C$14,$C$15)</f>
        <v>4.0707905271917065E-6</v>
      </c>
      <c r="BX22" s="86">
        <f ca="1">_xll.meMathBlackScholesGamma($C$9,$BS22,$C$11,$C$12,BX$4,$C$14,$C$15)</f>
        <v>6.8131523021796212E-6</v>
      </c>
      <c r="BY22" s="87">
        <f ca="1">_xll.meMathBlackScholesGamma($C$9,$BS22,$C$11,$C$12,BY$4,$C$14,$C$15)</f>
        <v>1.0815693509621511E-5</v>
      </c>
      <c r="BZ22" s="86">
        <f ca="1">_xll.meMathBlackScholesGamma($C$9,$BS22,$C$11,$C$12,BZ$4,$C$14,$C$15)</f>
        <v>1.6409874685818802E-5</v>
      </c>
      <c r="CA22" s="86">
        <f ca="1">_xll.meMathBlackScholesGamma($C$9,$BS22,$C$11,$C$12,CA$4,$C$14,$C$15)</f>
        <v>2.3944434431744074E-5</v>
      </c>
      <c r="CB22" s="86">
        <f ca="1">_xll.meMathBlackScholesGamma($C$9,$BS22,$C$11,$C$12,CB$4,$C$14,$C$15)</f>
        <v>3.3774105918604839E-5</v>
      </c>
      <c r="CC22" s="86">
        <f ca="1">_xll.meMathBlackScholesGamma($C$9,$BS22,$C$11,$C$12,CC$4,$C$14,$C$15)</f>
        <v>4.6248856703092854E-5</v>
      </c>
      <c r="CD22" s="88">
        <f ca="1">_xll.meMathBlackScholesGamma($C$9,$BS22,$C$11,$C$12,CD$4,$C$14,$C$15)</f>
        <v>6.1704268772296077E-5</v>
      </c>
      <c r="CF22" s="40">
        <f t="shared" si="40"/>
        <v>0.64999999999999969</v>
      </c>
      <c r="CG22" s="45">
        <f t="shared" si="29"/>
        <v>64.999999999999972</v>
      </c>
      <c r="CH22" s="85">
        <f ca="1">_xll.meMathBlackScholesVega($C$9,$CG22,$C$11,$C$12,CH$4,$C$14,$C$15)</f>
        <v>1.8005464943090224E-6</v>
      </c>
      <c r="CI22" s="86">
        <f ca="1">_xll.meMathBlackScholesVega($C$9,$CG22,$C$11,$C$12,CI$4,$C$14,$C$15)</f>
        <v>4.0269999011752995E-6</v>
      </c>
      <c r="CJ22" s="86">
        <f ca="1">_xll.meMathBlackScholesVega($C$9,$CG22,$C$11,$C$12,CJ$4,$C$14,$C$15)</f>
        <v>8.2073371615119812E-6</v>
      </c>
      <c r="CK22" s="86">
        <f ca="1">_xll.meMathBlackScholesVega($C$9,$CG22,$C$11,$C$12,CK$4,$C$14,$C$15)</f>
        <v>1.5479180979646449E-5</v>
      </c>
      <c r="CL22" s="86">
        <f ca="1">_xll.meMathBlackScholesVega($C$9,$CG22,$C$11,$C$12,CL$4,$C$14,$C$15)</f>
        <v>2.7346290052873428E-5</v>
      </c>
      <c r="CM22" s="87">
        <f ca="1">_xll.meMathBlackScholesVega($C$9,$CG22,$C$11,$C$12,CM$4,$C$14,$C$15)</f>
        <v>4.5696305078150843E-5</v>
      </c>
      <c r="CN22" s="86">
        <f ca="1">_xll.meMathBlackScholesVega($C$9,$CG22,$C$11,$C$12,CN$4,$C$14,$C$15)</f>
        <v>7.2798306574963607E-5</v>
      </c>
      <c r="CO22" s="86">
        <f ca="1">_xll.meMathBlackScholesVega($C$9,$CG22,$C$11,$C$12,CO$4,$C$14,$C$15)</f>
        <v>1.112817590215305E-4</v>
      </c>
      <c r="CP22" s="86">
        <f ca="1">_xll.meMathBlackScholesVega($C$9,$CG22,$C$11,$C$12,CP$4,$C$14,$C$15)</f>
        <v>1.6409993713202114E-4</v>
      </c>
      <c r="CQ22" s="86">
        <f ca="1">_xll.meMathBlackScholesVega($C$9,$CG22,$C$11,$C$12,CQ$4,$C$14,$C$15)</f>
        <v>2.3448170348468064E-4</v>
      </c>
      <c r="CR22" s="88">
        <f ca="1">_xll.meMathBlackScholesVega($C$9,$CG22,$C$11,$C$12,CR$4,$C$14,$C$15)</f>
        <v>3.2587566945368839E-4</v>
      </c>
      <c r="CT22" s="40">
        <f t="shared" si="41"/>
        <v>0.64999999999999969</v>
      </c>
      <c r="CU22" s="45">
        <f t="shared" si="31"/>
        <v>64.999999999999972</v>
      </c>
      <c r="CV22" s="85">
        <f ca="1">_xll.meMathBlackScholesTheta($C$9,$CU22,$C$11,$C$12,CV$4,$C$14,$C$15)</f>
        <v>-3.3976007249004749E-8</v>
      </c>
      <c r="CW22" s="86">
        <f ca="1">_xll.meMathBlackScholesTheta($C$9,$CU22,$C$11,$C$12,CW$4,$C$14,$C$15)</f>
        <v>-7.1390575194439246E-8</v>
      </c>
      <c r="CX22" s="86">
        <f ca="1">_xll.meMathBlackScholesTheta($C$9,$CU22,$C$11,$C$12,CX$4,$C$14,$C$15)</f>
        <v>-1.3722956374947264E-7</v>
      </c>
      <c r="CY22" s="86">
        <f ca="1">_xll.meMathBlackScholesTheta($C$9,$CU22,$C$11,$C$12,CY$4,$C$14,$C$15)</f>
        <v>-2.4495147729226596E-7</v>
      </c>
      <c r="CZ22" s="86">
        <f ca="1">_xll.meMathBlackScholesTheta($C$9,$CU22,$C$11,$C$12,CZ$4,$C$14,$C$15)</f>
        <v>-4.1082315862145573E-7</v>
      </c>
      <c r="DA22" s="87">
        <f ca="1">_xll.meMathBlackScholesTheta($C$9,$CU22,$C$11,$C$12,DA$4,$C$14,$C$15)</f>
        <v>-6.5352473290797263E-7</v>
      </c>
      <c r="DB22" s="86">
        <f ca="1">_xll.meMathBlackScholesTheta($C$9,$CU22,$C$11,$C$12,DB$4,$C$14,$C$15)</f>
        <v>-9.9359443852964001E-7</v>
      </c>
      <c r="DC22" s="86">
        <f ca="1">_xll.meMathBlackScholesTheta($C$9,$CU22,$C$11,$C$12,DC$4,$C$14,$C$15)</f>
        <v>-1.4527810460115615E-6</v>
      </c>
      <c r="DD22" s="86">
        <f ca="1">_xll.meMathBlackScholesTheta($C$9,$CU22,$C$11,$C$12,DD$4,$C$14,$C$15)</f>
        <v>-2.0533674193576239E-6</v>
      </c>
      <c r="DE22" s="86">
        <f ca="1">_xll.meMathBlackScholesTheta($C$9,$CU22,$C$11,$C$12,DE$4,$C$14,$C$15)</f>
        <v>-2.8175175230070103E-6</v>
      </c>
      <c r="DF22" s="88">
        <f ca="1">_xll.meMathBlackScholesTheta($C$9,$CU22,$C$11,$C$12,DF$4,$C$14,$C$15)</f>
        <v>-3.7666850722287522E-6</v>
      </c>
      <c r="DH22" s="40">
        <f t="shared" si="42"/>
        <v>0.64999999999999969</v>
      </c>
      <c r="DI22" s="45">
        <f t="shared" si="33"/>
        <v>64.999999999999972</v>
      </c>
      <c r="DJ22" s="85">
        <f ca="1">_xll.meMathBlackScholesRho($C$9,$DI22,$C$11,$C$12,DJ$4,$C$14,$C$15)</f>
        <v>3.0457001422912107E-7</v>
      </c>
      <c r="DK22" s="86">
        <f ca="1">_xll.meMathBlackScholesRho($C$9,$DI22,$C$11,$C$12,DK$4,$C$14,$C$15)</f>
        <v>7.2532656593864219E-7</v>
      </c>
      <c r="DL22" s="86">
        <f ca="1">_xll.meMathBlackScholesRho($C$9,$DI22,$C$11,$C$12,DL$4,$C$14,$C$15)</f>
        <v>1.5679476280107362E-6</v>
      </c>
      <c r="DM22" s="86">
        <f ca="1">_xll.meMathBlackScholesRho($C$9,$DI22,$C$11,$C$12,DM$4,$C$14,$C$15)</f>
        <v>3.1257694746678599E-6</v>
      </c>
      <c r="DN22" s="86">
        <f ca="1">_xll.meMathBlackScholesRho($C$9,$DI22,$C$11,$C$12,DN$4,$C$14,$C$15)</f>
        <v>5.8190504877951966E-6</v>
      </c>
      <c r="DO22" s="87">
        <f ca="1">_xll.meMathBlackScholesRho($C$9,$DI22,$C$11,$C$12,DO$4,$C$14,$C$15)</f>
        <v>1.0218383303882777E-5</v>
      </c>
      <c r="DP22" s="86">
        <f ca="1">_xll.meMathBlackScholesRho($C$9,$DI22,$C$11,$C$12,DP$4,$C$14,$C$15)</f>
        <v>1.7064354231780544E-5</v>
      </c>
      <c r="DQ22" s="86">
        <f ca="1">_xll.meMathBlackScholesRho($C$9,$DI22,$C$11,$C$12,DQ$4,$C$14,$C$15)</f>
        <v>2.7282309653642697E-5</v>
      </c>
      <c r="DR22" s="86">
        <f ca="1">_xll.meMathBlackScholesRho($C$9,$DI22,$C$11,$C$12,DR$4,$C$14,$C$15)</f>
        <v>4.1991631748322341E-5</v>
      </c>
      <c r="DS22" s="86">
        <f ca="1">_xll.meMathBlackScholesRho($C$9,$DI22,$C$11,$C$12,DS$4,$C$14,$C$15)</f>
        <v>6.2509412910569527E-5</v>
      </c>
      <c r="DT22" s="88">
        <f ca="1">_xll.meMathBlackScholesRho($C$9,$DI22,$C$11,$C$12,DT$4,$C$14,$C$15)</f>
        <v>9.0348806020997799E-5</v>
      </c>
    </row>
    <row r="23" spans="2:124" x14ac:dyDescent="0.25">
      <c r="B23" t="s">
        <v>38</v>
      </c>
      <c r="C23" s="7">
        <f>NORMSDIST(C21)</f>
        <v>0.5596176923702425</v>
      </c>
      <c r="N23" s="40">
        <f t="shared" si="35"/>
        <v>0.59999999999999964</v>
      </c>
      <c r="O23" s="45">
        <f t="shared" si="9"/>
        <v>59.999999999999964</v>
      </c>
      <c r="P23" s="43">
        <f t="shared" ca="1" si="34"/>
        <v>1.2320613077745065E-8</v>
      </c>
      <c r="Q23" s="44">
        <f t="shared" ca="1" si="10"/>
        <v>3.7721952577591823E-8</v>
      </c>
      <c r="R23" s="44">
        <f t="shared" ca="1" si="11"/>
        <v>1.0142713182318553E-7</v>
      </c>
      <c r="S23" s="44">
        <f t="shared" ca="1" si="12"/>
        <v>2.4471925152832957E-7</v>
      </c>
      <c r="T23" s="44">
        <f t="shared" ca="1" si="13"/>
        <v>5.3892340097626117E-7</v>
      </c>
      <c r="U23" s="55">
        <f t="shared" ca="1" si="14"/>
        <v>1.098113757330448E-6</v>
      </c>
      <c r="V23" s="44">
        <f t="shared" ca="1" si="15"/>
        <v>2.0932522301307129E-6</v>
      </c>
      <c r="W23" s="44">
        <f t="shared" ca="1" si="16"/>
        <v>3.7668072126905779E-6</v>
      </c>
      <c r="X23" s="44">
        <f t="shared" ca="1" si="17"/>
        <v>6.446829111530745E-6</v>
      </c>
      <c r="Y23" s="44">
        <f t="shared" ca="1" si="18"/>
        <v>1.0559524012726631E-5</v>
      </c>
      <c r="Z23" s="45">
        <f t="shared" ca="1" si="19"/>
        <v>1.6639533438747047E-5</v>
      </c>
      <c r="AB23" s="40">
        <f t="shared" si="36"/>
        <v>0.59999999999999964</v>
      </c>
      <c r="AC23" s="45">
        <f t="shared" si="21"/>
        <v>59.999999999999964</v>
      </c>
      <c r="AD23" s="85">
        <f ca="1">_xll.meMathBlackScholesPrice($C$9,$AC23,$C$11,$C$12,AD$4,$C$14,$C$15)</f>
        <v>3.3637400045319565E-9</v>
      </c>
      <c r="AE23" s="86">
        <f ca="1">_xll.meMathBlackScholesPrice($C$9,$AC23,$C$11,$C$12,AE$4,$C$14,$C$15)</f>
        <v>1.0951353569530356E-8</v>
      </c>
      <c r="AF23" s="86">
        <f ca="1">_xll.meMathBlackScholesPrice($C$9,$AC23,$C$11,$C$12,AF$4,$C$14,$C$15)</f>
        <v>3.1190816777644801E-8</v>
      </c>
      <c r="AG23" s="86">
        <f ca="1">_xll.meMathBlackScholesPrice($C$9,$AC23,$C$11,$C$12,AG$4,$C$14,$C$15)</f>
        <v>7.9441820838734684E-8</v>
      </c>
      <c r="AH23" s="86">
        <f ca="1">_xll.meMathBlackScholesPrice($C$9,$AC23,$C$11,$C$12,AH$4,$C$14,$C$15)</f>
        <v>1.8411473017174221E-7</v>
      </c>
      <c r="AI23" s="87">
        <f ca="1">_xll.meMathBlackScholesPrice($C$9,$AC23,$C$11,$C$12,AI$4,$C$14,$C$15)</f>
        <v>3.9373016997321862E-7</v>
      </c>
      <c r="AJ23" s="86">
        <f ca="1">_xll.meMathBlackScholesPrice($C$9,$AC23,$C$11,$C$12,AJ$4,$C$14,$C$15)</f>
        <v>7.8575923213957375E-7</v>
      </c>
      <c r="AK23" s="86">
        <f ca="1">_xll.meMathBlackScholesPrice($C$9,$AC23,$C$11,$C$12,AK$4,$C$14,$C$15)</f>
        <v>1.4770168635284226E-6</v>
      </c>
      <c r="AL23" s="86">
        <f ca="1">_xll.meMathBlackScholesPrice($C$9,$AC23,$C$11,$C$12,AL$4,$C$14,$C$15)</f>
        <v>2.63522248021908E-6</v>
      </c>
      <c r="AM23" s="86">
        <f ca="1">_xll.meMathBlackScholesPrice($C$9,$AC23,$C$11,$C$12,AM$4,$C$14,$C$15)</f>
        <v>4.4912337725666748E-6</v>
      </c>
      <c r="AN23" s="88">
        <f ca="1">_xll.meMathBlackScholesPrice($C$9,$AC23,$C$11,$C$12,AN$4,$C$14,$C$15)</f>
        <v>7.3514092980707011E-6</v>
      </c>
      <c r="AP23" s="40">
        <f t="shared" si="37"/>
        <v>0.59999999999999964</v>
      </c>
      <c r="AQ23" s="45">
        <f t="shared" si="23"/>
        <v>59.999999999999964</v>
      </c>
      <c r="AR23" s="71">
        <f ca="1">_xll.meMathBlackScholesDeltaSpot($C$9,$AQ23,$C$11,$C$12,AR$4,$C$14,$C$15)</f>
        <v>3.9965815207969112E-9</v>
      </c>
      <c r="AS23" s="72">
        <f ca="1">_xll.meMathBlackScholesDeltaSpot($C$9,$AQ23,$C$11,$C$12,AS$4,$C$14,$C$15)</f>
        <v>1.2232280237898916E-8</v>
      </c>
      <c r="AT23" s="72">
        <f ca="1">_xll.meMathBlackScholesDeltaSpot($C$9,$AQ23,$C$11,$C$12,AT$4,$C$14,$C$15)</f>
        <v>3.2879638373874901E-8</v>
      </c>
      <c r="AU23" s="72">
        <f ca="1">_xll.meMathBlackScholesDeltaSpot($C$9,$AQ23,$C$11,$C$12,AU$4,$C$14,$C$15)</f>
        <v>7.9305503738122304E-8</v>
      </c>
      <c r="AV23" s="72">
        <f ca="1">_xll.meMathBlackScholesDeltaSpot($C$9,$AQ23,$C$11,$C$12,AV$4,$C$14,$C$15)</f>
        <v>1.7459313336874546E-7</v>
      </c>
      <c r="AW23" s="73">
        <f ca="1">_xll.meMathBlackScholesDeltaSpot($C$9,$AQ23,$C$11,$C$12,AW$4,$C$14,$C$15)</f>
        <v>3.5564355541458563E-7</v>
      </c>
      <c r="AX23" s="72">
        <f ca="1">_xll.meMathBlackScholesDeltaSpot($C$9,$AQ23,$C$11,$C$12,AX$4,$C$14,$C$15)</f>
        <v>6.7773386191683947E-7</v>
      </c>
      <c r="AY23" s="72">
        <f ca="1">_xll.meMathBlackScholesDeltaSpot($C$9,$AQ23,$C$11,$C$12,AY$4,$C$14,$C$15)</f>
        <v>1.2192239835265627E-6</v>
      </c>
      <c r="AZ23" s="72">
        <f ca="1">_xll.meMathBlackScholesDeltaSpot($C$9,$AQ23,$C$11,$C$12,AZ$4,$C$14,$C$15)</f>
        <v>2.086080994175737E-6</v>
      </c>
      <c r="BA23" s="72">
        <f ca="1">_xll.meMathBlackScholesDeltaSpot($C$9,$AQ23,$C$11,$C$12,BA$4,$C$14,$C$15)</f>
        <v>3.4159116676088395E-6</v>
      </c>
      <c r="BB23" s="74">
        <f ca="1">_xll.meMathBlackScholesDeltaSpot($C$9,$AQ23,$C$11,$C$12,BB$4,$C$14,$C$15)</f>
        <v>5.3812485216419421E-6</v>
      </c>
      <c r="BD23" s="40">
        <f t="shared" si="38"/>
        <v>0.59999999999999964</v>
      </c>
      <c r="BE23" s="45">
        <f t="shared" si="25"/>
        <v>59.999999999999964</v>
      </c>
      <c r="BF23" s="71">
        <f ca="1">_xll.meMathBlackScholesDeltaForward($C$9,$BE23,$C$11,$C$12,BF$4,$C$14,$C$15)</f>
        <v>3.9965815207969112E-9</v>
      </c>
      <c r="BG23" s="72">
        <f ca="1">_xll.meMathBlackScholesDeltaForward($C$9,$BE23,$C$11,$C$12,BG$4,$C$14,$C$15)</f>
        <v>1.2232280237898916E-8</v>
      </c>
      <c r="BH23" s="72">
        <f ca="1">_xll.meMathBlackScholesDeltaForward($C$9,$BE23,$C$11,$C$12,BH$4,$C$14,$C$15)</f>
        <v>3.2879638373874901E-8</v>
      </c>
      <c r="BI23" s="72">
        <f ca="1">_xll.meMathBlackScholesDeltaForward($C$9,$BE23,$C$11,$C$12,BI$4,$C$14,$C$15)</f>
        <v>7.9305503738122304E-8</v>
      </c>
      <c r="BJ23" s="72">
        <f ca="1">_xll.meMathBlackScholesDeltaForward($C$9,$BE23,$C$11,$C$12,BJ$4,$C$14,$C$15)</f>
        <v>1.7459313336874546E-7</v>
      </c>
      <c r="BK23" s="73">
        <f ca="1">_xll.meMathBlackScholesDeltaForward($C$9,$BE23,$C$11,$C$12,BK$4,$C$14,$C$15)</f>
        <v>3.5564355541458563E-7</v>
      </c>
      <c r="BL23" s="72">
        <f ca="1">_xll.meMathBlackScholesDeltaForward($C$9,$BE23,$C$11,$C$12,BL$4,$C$14,$C$15)</f>
        <v>6.7773386191683947E-7</v>
      </c>
      <c r="BM23" s="72">
        <f ca="1">_xll.meMathBlackScholesDeltaForward($C$9,$BE23,$C$11,$C$12,BM$4,$C$14,$C$15)</f>
        <v>1.2192239835265627E-6</v>
      </c>
      <c r="BN23" s="72">
        <f ca="1">_xll.meMathBlackScholesDeltaForward($C$9,$BE23,$C$11,$C$12,BN$4,$C$14,$C$15)</f>
        <v>2.086080994175737E-6</v>
      </c>
      <c r="BO23" s="72">
        <f ca="1">_xll.meMathBlackScholesDeltaForward($C$9,$BE23,$C$11,$C$12,BO$4,$C$14,$C$15)</f>
        <v>3.4159116676088395E-6</v>
      </c>
      <c r="BP23" s="74">
        <f ca="1">_xll.meMathBlackScholesDeltaForward($C$9,$BE23,$C$11,$C$12,BP$4,$C$14,$C$15)</f>
        <v>5.3812485216419421E-6</v>
      </c>
      <c r="BR23" s="40">
        <f t="shared" si="39"/>
        <v>0.59999999999999964</v>
      </c>
      <c r="BS23" s="45">
        <f t="shared" si="27"/>
        <v>59.999999999999964</v>
      </c>
      <c r="BT23" s="85">
        <f ca="1">_xll.meMathBlackScholesGamma($C$9,$BS23,$C$11,$C$12,BT$4,$C$14,$C$15)</f>
        <v>4.5631900287944767E-9</v>
      </c>
      <c r="BU23" s="86">
        <f ca="1">_xll.meMathBlackScholesGamma($C$9,$BS23,$C$11,$C$12,BU$4,$C$14,$C$15)</f>
        <v>1.3097900200552736E-8</v>
      </c>
      <c r="BV23" s="86">
        <f ca="1">_xll.meMathBlackScholesGamma($C$9,$BS23,$C$11,$C$12,BV$4,$C$14,$C$15)</f>
        <v>3.3146121510844988E-8</v>
      </c>
      <c r="BW23" s="86">
        <f ca="1">_xll.meMathBlackScholesGamma($C$9,$BS23,$C$11,$C$12,BW$4,$C$14,$C$15)</f>
        <v>7.5530633187756124E-8</v>
      </c>
      <c r="BX23" s="86">
        <f ca="1">_xll.meMathBlackScholesGamma($C$9,$BS23,$C$11,$C$12,BX$4,$C$14,$C$15)</f>
        <v>1.5757994180592452E-7</v>
      </c>
      <c r="BY23" s="87">
        <f ca="1">_xll.meMathBlackScholesGamma($C$9,$BS23,$C$11,$C$12,BY$4,$C$14,$C$15)</f>
        <v>3.0503159925845818E-7</v>
      </c>
      <c r="BZ23" s="86">
        <f ca="1">_xll.meMathBlackScholesGamma($C$9,$BS23,$C$11,$C$12,BZ$4,$C$14,$C$15)</f>
        <v>5.5377043125151202E-7</v>
      </c>
      <c r="CA23" s="86">
        <f ca="1">_xll.meMathBlackScholesGamma($C$9,$BS23,$C$11,$C$12,CA$4,$C$14,$C$15)</f>
        <v>9.512139425986316E-7</v>
      </c>
      <c r="CB23" s="86">
        <f ca="1">_xll.meMathBlackScholesGamma($C$9,$BS23,$C$11,$C$12,CB$4,$C$14,$C$15)</f>
        <v>1.5572050994035632E-6</v>
      </c>
      <c r="CC23" s="86">
        <f ca="1">_xll.meMathBlackScholesGamma($C$9,$BS23,$C$11,$C$12,CC$4,$C$14,$C$15)</f>
        <v>2.4443342622052408E-6</v>
      </c>
      <c r="CD23" s="88">
        <f ca="1">_xll.meMathBlackScholesGamma($C$9,$BS23,$C$11,$C$12,CD$4,$C$14,$C$15)</f>
        <v>3.6976740974993477E-6</v>
      </c>
      <c r="CF23" s="40">
        <f t="shared" si="40"/>
        <v>0.59999999999999964</v>
      </c>
      <c r="CG23" s="45">
        <f t="shared" si="29"/>
        <v>59.999999999999964</v>
      </c>
      <c r="CH23" s="85">
        <f ca="1">_xll.meMathBlackScholesVega($C$9,$CG23,$C$11,$C$12,CH$4,$C$14,$C$15)</f>
        <v>1.2320613077745065E-8</v>
      </c>
      <c r="CI23" s="86">
        <f ca="1">_xll.meMathBlackScholesVega($C$9,$CG23,$C$11,$C$12,CI$4,$C$14,$C$15)</f>
        <v>3.7721952577591823E-8</v>
      </c>
      <c r="CJ23" s="86">
        <f ca="1">_xll.meMathBlackScholesVega($C$9,$CG23,$C$11,$C$12,CJ$4,$C$14,$C$15)</f>
        <v>1.0142713182318553E-7</v>
      </c>
      <c r="CK23" s="86">
        <f ca="1">_xll.meMathBlackScholesVega($C$9,$CG23,$C$11,$C$12,CK$4,$C$14,$C$15)</f>
        <v>2.4471925152832957E-7</v>
      </c>
      <c r="CL23" s="86">
        <f ca="1">_xll.meMathBlackScholesVega($C$9,$CG23,$C$11,$C$12,CL$4,$C$14,$C$15)</f>
        <v>5.3892340097626117E-7</v>
      </c>
      <c r="CM23" s="87">
        <f ca="1">_xll.meMathBlackScholesVega($C$9,$CG23,$C$11,$C$12,CM$4,$C$14,$C$15)</f>
        <v>1.098113757330448E-6</v>
      </c>
      <c r="CN23" s="86">
        <f ca="1">_xll.meMathBlackScholesVega($C$9,$CG23,$C$11,$C$12,CN$4,$C$14,$C$15)</f>
        <v>2.0932522301307129E-6</v>
      </c>
      <c r="CO23" s="86">
        <f ca="1">_xll.meMathBlackScholesVega($C$9,$CG23,$C$11,$C$12,CO$4,$C$14,$C$15)</f>
        <v>3.7668072126905779E-6</v>
      </c>
      <c r="CP23" s="86">
        <f ca="1">_xll.meMathBlackScholesVega($C$9,$CG23,$C$11,$C$12,CP$4,$C$14,$C$15)</f>
        <v>6.446829111530745E-6</v>
      </c>
      <c r="CQ23" s="86">
        <f ca="1">_xll.meMathBlackScholesVega($C$9,$CG23,$C$11,$C$12,CQ$4,$C$14,$C$15)</f>
        <v>1.0559524012726631E-5</v>
      </c>
      <c r="CR23" s="88">
        <f ca="1">_xll.meMathBlackScholesVega($C$9,$CG23,$C$11,$C$12,CR$4,$C$14,$C$15)</f>
        <v>1.6639533438747047E-5</v>
      </c>
      <c r="CT23" s="40">
        <f t="shared" si="41"/>
        <v>0.59999999999999964</v>
      </c>
      <c r="CU23" s="45">
        <f t="shared" si="31"/>
        <v>59.999999999999964</v>
      </c>
      <c r="CV23" s="85">
        <f ca="1">_xll.meMathBlackScholesTheta($C$9,$CU23,$C$11,$C$12,CV$4,$C$14,$C$15)</f>
        <v>-2.3135313355436911E-10</v>
      </c>
      <c r="CW23" s="86">
        <f ca="1">_xll.meMathBlackScholesTheta($C$9,$CU23,$C$11,$C$12,CW$4,$C$14,$C$15)</f>
        <v>-6.6527599785624364E-10</v>
      </c>
      <c r="CX23" s="86">
        <f ca="1">_xll.meMathBlackScholesTheta($C$9,$CU23,$C$11,$C$12,CX$4,$C$14,$C$15)</f>
        <v>-1.6866421958980361E-9</v>
      </c>
      <c r="CY23" s="86">
        <f ca="1">_xll.meMathBlackScholesTheta($C$9,$CU23,$C$11,$C$12,CY$4,$C$14,$C$15)</f>
        <v>-3.8503498464451603E-9</v>
      </c>
      <c r="CZ23" s="86">
        <f ca="1">_xll.meMathBlackScholesTheta($C$9,$CU23,$C$11,$C$12,CZ$4,$C$14,$C$15)</f>
        <v>-8.0475118007561062E-9</v>
      </c>
      <c r="DA23" s="87">
        <f ca="1">_xll.meMathBlackScholesTheta($C$9,$CU23,$C$11,$C$12,DA$4,$C$14,$C$15)</f>
        <v>-1.5605797722659165E-8</v>
      </c>
      <c r="DB23" s="86">
        <f ca="1">_xll.meMathBlackScholesTheta($C$9,$CU23,$C$11,$C$12,DB$4,$C$14,$C$15)</f>
        <v>-2.8382342196730766E-8</v>
      </c>
      <c r="DC23" s="86">
        <f ca="1">_xll.meMathBlackScholesTheta($C$9,$CU23,$C$11,$C$12,DC$4,$C$14,$C$15)</f>
        <v>-4.8839466634513355E-8</v>
      </c>
      <c r="DD23" s="86">
        <f ca="1">_xll.meMathBlackScholesTheta($C$9,$CU23,$C$11,$C$12,DD$4,$C$14,$C$15)</f>
        <v>-8.0095792364044786E-8</v>
      </c>
      <c r="DE23" s="86">
        <f ca="1">_xll.meMathBlackScholesTheta($C$9,$CU23,$C$11,$C$12,DE$4,$C$14,$C$15)</f>
        <v>-1.2594839529783414E-7</v>
      </c>
      <c r="DF23" s="88">
        <f ca="1">_xll.meMathBlackScholesTheta($C$9,$CU23,$C$11,$C$12,DF$4,$C$14,$C$15)</f>
        <v>-1.9086480157424406E-7</v>
      </c>
      <c r="DH23" s="40">
        <f t="shared" si="42"/>
        <v>0.59999999999999964</v>
      </c>
      <c r="DI23" s="45">
        <f t="shared" si="33"/>
        <v>59.999999999999964</v>
      </c>
      <c r="DJ23" s="85">
        <f ca="1">_xll.meMathBlackScholesRho($C$9,$DI23,$C$11,$C$12,DJ$4,$C$14,$C$15)</f>
        <v>1.7732336343246189E-9</v>
      </c>
      <c r="DK23" s="86">
        <f ca="1">_xll.meMathBlackScholesRho($C$9,$DI23,$C$11,$C$12,DK$4,$C$14,$C$15)</f>
        <v>5.7838836856352328E-9</v>
      </c>
      <c r="DL23" s="86">
        <f ca="1">_xll.meMathBlackScholesRho($C$9,$DI23,$C$11,$C$12,DL$4,$C$14,$C$15)</f>
        <v>1.6503493628066203E-8</v>
      </c>
      <c r="DM23" s="86">
        <f ca="1">_xll.meMathBlackScholesRho($C$9,$DI23,$C$11,$C$12,DM$4,$C$14,$C$15)</f>
        <v>4.2109995631037408E-8</v>
      </c>
      <c r="DN23" s="86">
        <f ca="1">_xll.meMathBlackScholesRho($C$9,$DI23,$C$11,$C$12,DN$4,$C$14,$C$15)</f>
        <v>9.7768996083553307E-8</v>
      </c>
      <c r="DO23" s="87">
        <f ca="1">_xll.meMathBlackScholesRho($C$9,$DI23,$C$11,$C$12,DO$4,$C$14,$C$15)</f>
        <v>2.0944883154901905E-7</v>
      </c>
      <c r="DP23" s="86">
        <f ca="1">_xll.meMathBlackScholesRho($C$9,$DI23,$C$11,$C$12,DP$4,$C$14,$C$15)</f>
        <v>4.1872186107014307E-7</v>
      </c>
      <c r="DQ23" s="86">
        <f ca="1">_xll.meMathBlackScholesRho($C$9,$DI23,$C$11,$C$12,DQ$4,$C$14,$C$15)</f>
        <v>7.8844064362871845E-7</v>
      </c>
      <c r="DR23" s="86">
        <f ca="1">_xll.meMathBlackScholesRho($C$9,$DI23,$C$11,$C$12,DR$4,$C$14,$C$15)</f>
        <v>1.4090908274587387E-6</v>
      </c>
      <c r="DS23" s="86">
        <f ca="1">_xll.meMathBlackScholesRho($C$9,$DI23,$C$11,$C$12,DS$4,$C$14,$C$15)</f>
        <v>2.405561595407563E-6</v>
      </c>
      <c r="DT23" s="88">
        <f ca="1">_xll.meMathBlackScholesRho($C$9,$DI23,$C$11,$C$12,DT$4,$C$14,$C$15)</f>
        <v>3.9440437750055709E-6</v>
      </c>
    </row>
    <row r="24" spans="2:124" x14ac:dyDescent="0.25">
      <c r="B24" t="s">
        <v>39</v>
      </c>
      <c r="C24" s="7">
        <f>NORMSDIST(C22)</f>
        <v>0.51993880583837249</v>
      </c>
      <c r="N24" s="41">
        <f t="shared" si="35"/>
        <v>0.5499999999999996</v>
      </c>
      <c r="O24" s="45">
        <f t="shared" si="9"/>
        <v>54.999999999999957</v>
      </c>
      <c r="P24" s="49">
        <f t="shared" ca="1" si="34"/>
        <v>2.0727277409314281E-11</v>
      </c>
      <c r="Q24" s="50">
        <f t="shared" ca="1" si="10"/>
        <v>9.4856179112866578E-11</v>
      </c>
      <c r="R24" s="50">
        <f t="shared" ca="1" si="11"/>
        <v>3.6362227397048546E-10</v>
      </c>
      <c r="S24" s="50">
        <f t="shared" ca="1" si="12"/>
        <v>1.2024733680460683E-9</v>
      </c>
      <c r="T24" s="50">
        <f t="shared" ca="1" si="13"/>
        <v>3.5110230918441169E-9</v>
      </c>
      <c r="U24" s="55">
        <f t="shared" ca="1" si="14"/>
        <v>9.2215379590457516E-9</v>
      </c>
      <c r="V24" s="50">
        <f t="shared" ca="1" si="15"/>
        <v>2.211704130879659E-8</v>
      </c>
      <c r="W24" s="50">
        <f t="shared" ca="1" si="16"/>
        <v>4.9041096234994481E-8</v>
      </c>
      <c r="X24" s="50">
        <f t="shared" ca="1" si="17"/>
        <v>1.0156145475739758E-7</v>
      </c>
      <c r="Y24" s="50">
        <f t="shared" ca="1" si="18"/>
        <v>1.9811776061804355E-7</v>
      </c>
      <c r="Z24" s="51">
        <f t="shared" ca="1" si="19"/>
        <v>3.6664420196659403E-7</v>
      </c>
      <c r="AB24" s="41">
        <f t="shared" si="36"/>
        <v>0.5499999999999996</v>
      </c>
      <c r="AC24" s="45">
        <f t="shared" si="21"/>
        <v>54.999999999999957</v>
      </c>
      <c r="AD24" s="92">
        <f ca="1">_xll.meMathBlackScholesPrice($C$9,$AC24,$C$11,$C$12,AD$4,$C$14,$C$15)</f>
        <v>4.1999146599839245E-12</v>
      </c>
      <c r="AE24" s="93">
        <f ca="1">_xll.meMathBlackScholesPrice($C$9,$AC24,$C$11,$C$12,AE$4,$C$14,$C$15)</f>
        <v>2.0457740578406677E-11</v>
      </c>
      <c r="AF24" s="93">
        <f ca="1">_xll.meMathBlackScholesPrice($C$9,$AC24,$C$11,$C$12,AF$4,$C$14,$C$15)</f>
        <v>8.314673458165475E-11</v>
      </c>
      <c r="AG24" s="93">
        <f ca="1">_xll.meMathBlackScholesPrice($C$9,$AC24,$C$11,$C$12,AG$4,$C$14,$C$15)</f>
        <v>2.9051995562478922E-10</v>
      </c>
      <c r="AH24" s="93">
        <f ca="1">_xll.meMathBlackScholesPrice($C$9,$AC24,$C$11,$C$12,AH$4,$C$14,$C$15)</f>
        <v>8.9352308496294812E-10</v>
      </c>
      <c r="AI24" s="87">
        <f ca="1">_xll.meMathBlackScholesPrice($C$9,$AC24,$C$11,$C$12,AI$4,$C$14,$C$15)</f>
        <v>2.465190422012054E-9</v>
      </c>
      <c r="AJ24" s="93">
        <f ca="1">_xll.meMathBlackScholesPrice($C$9,$AC24,$C$11,$C$12,AJ$4,$C$14,$C$15)</f>
        <v>6.1954099414898378E-9</v>
      </c>
      <c r="AK24" s="93">
        <f ca="1">_xll.meMathBlackScholesPrice($C$9,$AC24,$C$11,$C$12,AK$4,$C$14,$C$15)</f>
        <v>1.4362201379700327E-8</v>
      </c>
      <c r="AL24" s="93">
        <f ca="1">_xll.meMathBlackScholesPrice($C$9,$AC24,$C$11,$C$12,AL$4,$C$14,$C$15)</f>
        <v>3.1032519232933756E-8</v>
      </c>
      <c r="AM24" s="93">
        <f ca="1">_xll.meMathBlackScholesPrice($C$9,$AC24,$C$11,$C$12,AM$4,$C$14,$C$15)</f>
        <v>6.3041219321088368E-8</v>
      </c>
      <c r="AN24" s="94">
        <f ca="1">_xll.meMathBlackScholesPrice($C$9,$AC24,$C$11,$C$12,AN$4,$C$14,$C$15)</f>
        <v>1.2128633164798325E-7</v>
      </c>
      <c r="AP24" s="41">
        <f t="shared" si="37"/>
        <v>0.5499999999999996</v>
      </c>
      <c r="AQ24" s="45">
        <f t="shared" si="23"/>
        <v>54.999999999999957</v>
      </c>
      <c r="AR24" s="78">
        <f ca="1">_xll.meMathBlackScholesDeltaSpot($C$9,$AQ24,$C$11,$C$12,AR$4,$C$14,$C$15)</f>
        <v>6.2928653845591978E-12</v>
      </c>
      <c r="AS24" s="79">
        <f ca="1">_xll.meMathBlackScholesDeltaSpot($C$9,$AQ24,$C$11,$C$12,AS$4,$C$14,$C$15)</f>
        <v>2.8796143468696057E-11</v>
      </c>
      <c r="AT24" s="79">
        <f ca="1">_xll.meMathBlackScholesDeltaSpot($C$9,$AQ24,$C$11,$C$12,AT$4,$C$14,$C$15)</f>
        <v>1.1037814809236892E-10</v>
      </c>
      <c r="AU24" s="79">
        <f ca="1">_xll.meMathBlackScholesDeltaSpot($C$9,$AQ24,$C$11,$C$12,AU$4,$C$14,$C$15)</f>
        <v>3.6498363723830873E-10</v>
      </c>
      <c r="AV24" s="79">
        <f ca="1">_xll.meMathBlackScholesDeltaSpot($C$9,$AQ24,$C$11,$C$12,AV$4,$C$14,$C$15)</f>
        <v>1.065609971524964E-9</v>
      </c>
      <c r="AW24" s="73">
        <f ca="1">_xll.meMathBlackScholesDeltaSpot($C$9,$AQ24,$C$11,$C$12,AW$4,$C$14,$C$15)</f>
        <v>2.7985685345077543E-9</v>
      </c>
      <c r="AX24" s="79">
        <f ca="1">_xll.meMathBlackScholesDeltaSpot($C$9,$AQ24,$C$11,$C$12,AX$4,$C$14,$C$15)</f>
        <v>6.7116443057968974E-9</v>
      </c>
      <c r="AY24" s="79">
        <f ca="1">_xll.meMathBlackScholesDeltaSpot($C$9,$AQ24,$C$11,$C$12,AY$4,$C$14,$C$15)</f>
        <v>1.4881019413853861E-8</v>
      </c>
      <c r="AZ24" s="79">
        <f ca="1">_xll.meMathBlackScholesDeltaSpot($C$9,$AQ24,$C$11,$C$12,AZ$4,$C$14,$C$15)</f>
        <v>3.0815790529120732E-8</v>
      </c>
      <c r="BA24" s="79">
        <f ca="1">_xll.meMathBlackScholesDeltaSpot($C$9,$AQ24,$C$11,$C$12,BA$4,$C$14,$C$15)</f>
        <v>6.0109200867514439E-8</v>
      </c>
      <c r="BB24" s="80">
        <f ca="1">_xll.meMathBlackScholesDeltaSpot($C$9,$AQ24,$C$11,$C$12,BB$4,$C$14,$C$15)</f>
        <v>1.1123379313337013E-7</v>
      </c>
      <c r="BD24" s="41">
        <f t="shared" si="38"/>
        <v>0.5499999999999996</v>
      </c>
      <c r="BE24" s="45">
        <f t="shared" si="25"/>
        <v>54.999999999999957</v>
      </c>
      <c r="BF24" s="78">
        <f ca="1">_xll.meMathBlackScholesDeltaForward($C$9,$BE24,$C$11,$C$12,BF$4,$C$14,$C$15)</f>
        <v>6.2928653845591978E-12</v>
      </c>
      <c r="BG24" s="79">
        <f ca="1">_xll.meMathBlackScholesDeltaForward($C$9,$BE24,$C$11,$C$12,BG$4,$C$14,$C$15)</f>
        <v>2.8796143468696057E-11</v>
      </c>
      <c r="BH24" s="79">
        <f ca="1">_xll.meMathBlackScholesDeltaForward($C$9,$BE24,$C$11,$C$12,BH$4,$C$14,$C$15)</f>
        <v>1.1037814809236892E-10</v>
      </c>
      <c r="BI24" s="79">
        <f ca="1">_xll.meMathBlackScholesDeltaForward($C$9,$BE24,$C$11,$C$12,BI$4,$C$14,$C$15)</f>
        <v>3.6498363723830873E-10</v>
      </c>
      <c r="BJ24" s="79">
        <f ca="1">_xll.meMathBlackScholesDeltaForward($C$9,$BE24,$C$11,$C$12,BJ$4,$C$14,$C$15)</f>
        <v>1.065609971524964E-9</v>
      </c>
      <c r="BK24" s="73">
        <f ca="1">_xll.meMathBlackScholesDeltaForward($C$9,$BE24,$C$11,$C$12,BK$4,$C$14,$C$15)</f>
        <v>2.7985685345077543E-9</v>
      </c>
      <c r="BL24" s="79">
        <f ca="1">_xll.meMathBlackScholesDeltaForward($C$9,$BE24,$C$11,$C$12,BL$4,$C$14,$C$15)</f>
        <v>6.7116443057968974E-9</v>
      </c>
      <c r="BM24" s="79">
        <f ca="1">_xll.meMathBlackScholesDeltaForward($C$9,$BE24,$C$11,$C$12,BM$4,$C$14,$C$15)</f>
        <v>1.4881019413853861E-8</v>
      </c>
      <c r="BN24" s="79">
        <f ca="1">_xll.meMathBlackScholesDeltaForward($C$9,$BE24,$C$11,$C$12,BN$4,$C$14,$C$15)</f>
        <v>3.0815790529120732E-8</v>
      </c>
      <c r="BO24" s="79">
        <f ca="1">_xll.meMathBlackScholesDeltaForward($C$9,$BE24,$C$11,$C$12,BO$4,$C$14,$C$15)</f>
        <v>6.0109200867514439E-8</v>
      </c>
      <c r="BP24" s="80">
        <f ca="1">_xll.meMathBlackScholesDeltaForward($C$9,$BE24,$C$11,$C$12,BP$4,$C$14,$C$15)</f>
        <v>1.1123379313337013E-7</v>
      </c>
      <c r="BR24" s="41">
        <f t="shared" si="39"/>
        <v>0.5499999999999996</v>
      </c>
      <c r="BS24" s="45">
        <f t="shared" si="27"/>
        <v>54.999999999999957</v>
      </c>
      <c r="BT24" s="92">
        <f ca="1">_xll.meMathBlackScholesGamma($C$9,$BS24,$C$11,$C$12,BT$4,$C$14,$C$15)</f>
        <v>9.1359900426729769E-12</v>
      </c>
      <c r="BU24" s="93">
        <f ca="1">_xll.meMathBlackScholesGamma($C$9,$BS24,$C$11,$C$12,BU$4,$C$14,$C$15)</f>
        <v>3.9196768228457326E-11</v>
      </c>
      <c r="BV24" s="93">
        <f ca="1">_xll.meMathBlackScholesGamma($C$9,$BS24,$C$11,$C$12,BV$4,$C$14,$C$15)</f>
        <v>1.4141848282760762E-10</v>
      </c>
      <c r="BW24" s="93">
        <f ca="1">_xll.meMathBlackScholesGamma($C$9,$BS24,$C$11,$C$12,BW$4,$C$14,$C$15)</f>
        <v>4.4167984133923605E-10</v>
      </c>
      <c r="BX24" s="93">
        <f ca="1">_xll.meMathBlackScholesGamma($C$9,$BS24,$C$11,$C$12,BX$4,$C$14,$C$15)</f>
        <v>1.2217566217813388E-9</v>
      </c>
      <c r="BY24" s="87">
        <f ca="1">_xll.meMathBlackScholesGamma($C$9,$BS24,$C$11,$C$12,BY$4,$C$14,$C$15)</f>
        <v>3.0484423005109968E-9</v>
      </c>
      <c r="BZ24" s="93">
        <f ca="1">_xll.meMathBlackScholesGamma($C$9,$BS24,$C$11,$C$12,BZ$4,$C$14,$C$15)</f>
        <v>6.9632558233125914E-9</v>
      </c>
      <c r="CA24" s="93">
        <f ca="1">_xll.meMathBlackScholesGamma($C$9,$BS24,$C$11,$C$12,CA$4,$C$14,$C$15)</f>
        <v>1.4738120581516014E-8</v>
      </c>
      <c r="CB24" s="93">
        <f ca="1">_xll.meMathBlackScholesGamma($C$9,$BS24,$C$11,$C$12,CB$4,$C$14,$C$15)</f>
        <v>2.9194812722212783E-8</v>
      </c>
      <c r="CC24" s="93">
        <f ca="1">_xll.meMathBlackScholesGamma($C$9,$BS24,$C$11,$C$12,CC$4,$C$14,$C$15)</f>
        <v>5.4577895487064409E-8</v>
      </c>
      <c r="CD24" s="94">
        <f ca="1">_xll.meMathBlackScholesGamma($C$9,$BS24,$C$11,$C$12,CD$4,$C$14,$C$15)</f>
        <v>9.6963755891991926E-8</v>
      </c>
      <c r="CF24" s="41">
        <f t="shared" si="40"/>
        <v>0.5499999999999996</v>
      </c>
      <c r="CG24" s="45">
        <f t="shared" si="29"/>
        <v>54.999999999999957</v>
      </c>
      <c r="CH24" s="92">
        <f ca="1">_xll.meMathBlackScholesVega($C$9,$CG24,$C$11,$C$12,CH$4,$C$14,$C$15)</f>
        <v>2.0727277409314281E-11</v>
      </c>
      <c r="CI24" s="93">
        <f ca="1">_xll.meMathBlackScholesVega($C$9,$CG24,$C$11,$C$12,CI$4,$C$14,$C$15)</f>
        <v>9.4856179112866578E-11</v>
      </c>
      <c r="CJ24" s="93">
        <f ca="1">_xll.meMathBlackScholesVega($C$9,$CG24,$C$11,$C$12,CJ$4,$C$14,$C$15)</f>
        <v>3.6362227397048546E-10</v>
      </c>
      <c r="CK24" s="93">
        <f ca="1">_xll.meMathBlackScholesVega($C$9,$CG24,$C$11,$C$12,CK$4,$C$14,$C$15)</f>
        <v>1.2024733680460683E-9</v>
      </c>
      <c r="CL24" s="93">
        <f ca="1">_xll.meMathBlackScholesVega($C$9,$CG24,$C$11,$C$12,CL$4,$C$14,$C$15)</f>
        <v>3.5110230918441169E-9</v>
      </c>
      <c r="CM24" s="87">
        <f ca="1">_xll.meMathBlackScholesVega($C$9,$CG24,$C$11,$C$12,CM$4,$C$14,$C$15)</f>
        <v>9.2215379590457516E-9</v>
      </c>
      <c r="CN24" s="93">
        <f ca="1">_xll.meMathBlackScholesVega($C$9,$CG24,$C$11,$C$12,CN$4,$C$14,$C$15)</f>
        <v>2.211704130879659E-8</v>
      </c>
      <c r="CO24" s="93">
        <f ca="1">_xll.meMathBlackScholesVega($C$9,$CG24,$C$11,$C$12,CO$4,$C$14,$C$15)</f>
        <v>4.9041096234994481E-8</v>
      </c>
      <c r="CP24" s="93">
        <f ca="1">_xll.meMathBlackScholesVega($C$9,$CG24,$C$11,$C$12,CP$4,$C$14,$C$15)</f>
        <v>1.0156145475739758E-7</v>
      </c>
      <c r="CQ24" s="93">
        <f ca="1">_xll.meMathBlackScholesVega($C$9,$CG24,$C$11,$C$12,CQ$4,$C$14,$C$15)</f>
        <v>1.9811776061804355E-7</v>
      </c>
      <c r="CR24" s="94">
        <f ca="1">_xll.meMathBlackScholesVega($C$9,$CG24,$C$11,$C$12,CR$4,$C$14,$C$15)</f>
        <v>3.6664420196659403E-7</v>
      </c>
      <c r="CT24" s="41">
        <f t="shared" si="41"/>
        <v>0.5499999999999996</v>
      </c>
      <c r="CU24" s="45">
        <f t="shared" si="31"/>
        <v>54.999999999999957</v>
      </c>
      <c r="CV24" s="92">
        <f ca="1">_xll.meMathBlackScholesTheta($C$9,$CU24,$C$11,$C$12,CV$4,$C$14,$C$15)</f>
        <v>-3.8768220728360391E-13</v>
      </c>
      <c r="CW24" s="93">
        <f ca="1">_xll.meMathBlackScholesTheta($C$9,$CU24,$C$11,$C$12,CW$4,$C$14,$C$15)</f>
        <v>-1.6659395508758799E-12</v>
      </c>
      <c r="CX24" s="93">
        <f ca="1">_xll.meMathBlackScholesTheta($C$9,$CU24,$C$11,$C$12,CX$4,$C$14,$C$15)</f>
        <v>-6.0200713672075255E-12</v>
      </c>
      <c r="CY24" s="93">
        <f ca="1">_xll.meMathBlackScholesTheta($C$9,$CU24,$C$11,$C$12,CY$4,$C$14,$C$15)</f>
        <v>-1.8831604110008918E-11</v>
      </c>
      <c r="CZ24" s="93">
        <f ca="1">_xll.meMathBlackScholesTheta($C$9,$CU24,$C$11,$C$12,CZ$4,$C$14,$C$15)</f>
        <v>-5.2173084621305474E-11</v>
      </c>
      <c r="DA24" s="87">
        <f ca="1">_xll.meMathBlackScholesTheta($C$9,$CU24,$C$11,$C$12,DA$4,$C$14,$C$15)</f>
        <v>-1.3038261624911131E-10</v>
      </c>
      <c r="DB24" s="93">
        <f ca="1">_xll.meMathBlackScholesTheta($C$9,$CU24,$C$11,$C$12,DB$4,$C$14,$C$15)</f>
        <v>-2.982852692577034E-10</v>
      </c>
      <c r="DC24" s="93">
        <f ca="1">_xll.meMathBlackScholesTheta($C$9,$CU24,$C$11,$C$12,DC$4,$C$14,$C$15)</f>
        <v>-6.3232036265366736E-10</v>
      </c>
      <c r="DD24" s="93">
        <f ca="1">_xll.meMathBlackScholesTheta($C$9,$CU24,$C$11,$C$12,DD$4,$C$14,$C$15)</f>
        <v>-1.2545103409230795E-9</v>
      </c>
      <c r="DE24" s="93">
        <f ca="1">_xll.meMathBlackScholesTheta($C$9,$CU24,$C$11,$C$12,DE$4,$C$14,$C$15)</f>
        <v>-2.3488578166345519E-9</v>
      </c>
      <c r="DF24" s="94">
        <f ca="1">_xll.meMathBlackScholesTheta($C$9,$CU24,$C$11,$C$12,DF$4,$C$14,$C$15)</f>
        <v>-4.1794456694681717E-9</v>
      </c>
      <c r="DH24" s="41">
        <f t="shared" si="42"/>
        <v>0.5499999999999996</v>
      </c>
      <c r="DI24" s="45">
        <f t="shared" si="33"/>
        <v>54.999999999999957</v>
      </c>
      <c r="DJ24" s="92">
        <f ca="1">_xll.meMathBlackScholesRho($C$9,$DI24,$C$11,$C$12,DJ$4,$C$14,$C$15)</f>
        <v>2.5643076111807873E-12</v>
      </c>
      <c r="DK24" s="93">
        <f ca="1">_xll.meMathBlackScholesRho($C$9,$DI24,$C$11,$C$12,DK$4,$C$14,$C$15)</f>
        <v>1.2506641201599E-11</v>
      </c>
      <c r="DL24" s="93">
        <f ca="1">_xll.meMathBlackScholesRho($C$9,$DI24,$C$11,$C$12,DL$4,$C$14,$C$15)</f>
        <v>5.0895036989238352E-11</v>
      </c>
      <c r="DM24" s="93">
        <f ca="1">_xll.meMathBlackScholesRho($C$9,$DI24,$C$11,$C$12,DM$4,$C$14,$C$15)</f>
        <v>1.7805222083233954E-10</v>
      </c>
      <c r="DN24" s="93">
        <f ca="1">_xll.meMathBlackScholesRho($C$9,$DI24,$C$11,$C$12,DN$4,$C$14,$C$15)</f>
        <v>5.4829274081464519E-10</v>
      </c>
      <c r="DO24" s="87">
        <f ca="1">_xll.meMathBlackScholesRho($C$9,$DI24,$C$11,$C$12,DO$4,$C$14,$C$15)</f>
        <v>1.514560789759143E-9</v>
      </c>
      <c r="DP24" s="93">
        <f ca="1">_xll.meMathBlackScholesRho($C$9,$DI24,$C$11,$C$12,DP$4,$C$14,$C$15)</f>
        <v>3.8109227822120612E-9</v>
      </c>
      <c r="DQ24" s="93">
        <f ca="1">_xll.meMathBlackScholesRho($C$9,$DI24,$C$11,$C$12,DQ$4,$C$14,$C$15)</f>
        <v>8.8450325302048768E-9</v>
      </c>
      <c r="DR24" s="93">
        <f ca="1">_xll.meMathBlackScholesRho($C$9,$DI24,$C$11,$C$12,DR$4,$C$14,$C$15)</f>
        <v>1.9134113538490109E-8</v>
      </c>
      <c r="DS24" s="93">
        <f ca="1">_xll.meMathBlackScholesRho($C$9,$DI24,$C$11,$C$12,DS$4,$C$14,$C$15)</f>
        <v>3.8915577940706443E-8</v>
      </c>
      <c r="DT24" s="94">
        <f ca="1">_xll.meMathBlackScholesRho($C$9,$DI24,$C$11,$C$12,DT$4,$C$14,$C$15)</f>
        <v>7.4957153633592132E-8</v>
      </c>
    </row>
    <row r="25" spans="2:124" x14ac:dyDescent="0.25">
      <c r="B25" t="s">
        <v>46</v>
      </c>
      <c r="C25" s="7">
        <f>NORMSDIST(-C21)</f>
        <v>0.4403823076297575</v>
      </c>
      <c r="N25" s="42">
        <f t="shared" si="35"/>
        <v>0.49999999999999961</v>
      </c>
      <c r="O25" s="62">
        <f t="shared" si="9"/>
        <v>49.999999999999964</v>
      </c>
      <c r="P25" s="52">
        <f t="shared" ca="1" si="34"/>
        <v>5.9532184416554534E-15</v>
      </c>
      <c r="Q25" s="53">
        <f t="shared" ca="1" si="10"/>
        <v>4.5491536899211999E-14</v>
      </c>
      <c r="R25" s="53">
        <f t="shared" ca="1" si="11"/>
        <v>2.7414234863474044E-13</v>
      </c>
      <c r="S25" s="53">
        <f t="shared" ca="1" si="12"/>
        <v>1.355291836467613E-12</v>
      </c>
      <c r="T25" s="53">
        <f t="shared" ca="1" si="13"/>
        <v>5.6707494848053145E-12</v>
      </c>
      <c r="U25" s="56">
        <f t="shared" ca="1" si="14"/>
        <v>2.0588969620935007E-11</v>
      </c>
      <c r="V25" s="53">
        <f t="shared" ca="1" si="15"/>
        <v>6.6189630162549546E-11</v>
      </c>
      <c r="W25" s="53">
        <f t="shared" ca="1" si="16"/>
        <v>1.9155268781801396E-10</v>
      </c>
      <c r="X25" s="53">
        <f t="shared" ca="1" si="17"/>
        <v>5.0589956906904527E-10</v>
      </c>
      <c r="Y25" s="53">
        <f t="shared" ca="1" si="18"/>
        <v>1.2332908599289186E-9</v>
      </c>
      <c r="Z25" s="54">
        <f t="shared" ca="1" si="19"/>
        <v>2.8018771771226164E-9</v>
      </c>
      <c r="AB25" s="42">
        <f t="shared" si="36"/>
        <v>0.49999999999999961</v>
      </c>
      <c r="AC25" s="62">
        <f t="shared" si="21"/>
        <v>49.999999999999964</v>
      </c>
      <c r="AD25" s="95">
        <f ca="1">_xll.meMathBlackScholesPrice($C$9,$AC25,$C$11,$C$12,AD$4,$C$14,$C$15)</f>
        <v>9.0759425815383222E-16</v>
      </c>
      <c r="AE25" s="96">
        <f ca="1">_xll.meMathBlackScholesPrice($C$9,$AC25,$C$11,$C$12,AE$4,$C$14,$C$15)</f>
        <v>7.3868256717447893E-15</v>
      </c>
      <c r="AF25" s="96">
        <f ca="1">_xll.meMathBlackScholesPrice($C$9,$AC25,$C$11,$C$12,AF$4,$C$14,$C$15)</f>
        <v>4.722759307424677E-14</v>
      </c>
      <c r="AG25" s="96">
        <f ca="1">_xll.meMathBlackScholesPrice($C$9,$AC25,$C$11,$C$12,AG$4,$C$14,$C$15)</f>
        <v>2.4685641931764035E-13</v>
      </c>
      <c r="AH25" s="96">
        <f ca="1">_xll.meMathBlackScholesPrice($C$9,$AC25,$C$11,$C$12,AH$4,$C$14,$C$15)</f>
        <v>1.088695060521764E-12</v>
      </c>
      <c r="AI25" s="97">
        <f ca="1">_xll.meMathBlackScholesPrice($C$9,$AC25,$C$11,$C$12,AI$4,$C$14,$C$15)</f>
        <v>4.1548425715586132E-12</v>
      </c>
      <c r="AJ25" s="96">
        <f ca="1">_xll.meMathBlackScholesPrice($C$9,$AC25,$C$11,$C$12,AJ$4,$C$14,$C$15)</f>
        <v>1.4004951210730903E-11</v>
      </c>
      <c r="AK25" s="96">
        <f ca="1">_xll.meMathBlackScholesPrice($C$9,$AC25,$C$11,$C$12,AK$4,$C$14,$C$15)</f>
        <v>4.2400425138883531E-11</v>
      </c>
      <c r="AL25" s="96">
        <f ca="1">_xll.meMathBlackScholesPrice($C$9,$AC25,$C$11,$C$12,AL$4,$C$14,$C$15)</f>
        <v>1.169076227760259E-10</v>
      </c>
      <c r="AM25" s="96">
        <f ca="1">_xll.meMathBlackScholesPrice($C$9,$AC25,$C$11,$C$12,AM$4,$C$14,$C$15)</f>
        <v>2.9697729815310454E-10</v>
      </c>
      <c r="AN25" s="98">
        <f ca="1">_xll.meMathBlackScholesPrice($C$9,$AC25,$C$11,$C$12,AN$4,$C$14,$C$15)</f>
        <v>7.0183618817837739E-10</v>
      </c>
      <c r="AP25" s="42">
        <f t="shared" si="37"/>
        <v>0.49999999999999961</v>
      </c>
      <c r="AQ25" s="62">
        <f t="shared" si="23"/>
        <v>49.999999999999964</v>
      </c>
      <c r="AR25" s="81">
        <f ca="1">_xll.meMathBlackScholesDeltaSpot($C$9,$AQ25,$C$11,$C$12,AR$4,$C$14,$C$15)</f>
        <v>1.7191753792288657E-15</v>
      </c>
      <c r="AS25" s="82">
        <f ca="1">_xll.meMathBlackScholesDeltaSpot($C$9,$AQ25,$C$11,$C$12,AS$4,$C$14,$C$15)</f>
        <v>1.3138006234292245E-14</v>
      </c>
      <c r="AT25" s="82">
        <f ca="1">_xll.meMathBlackScholesDeltaSpot($C$9,$AQ25,$C$11,$C$12,AT$4,$C$14,$C$15)</f>
        <v>7.9178303870655185E-14</v>
      </c>
      <c r="AU25" s="82">
        <f ca="1">_xll.meMathBlackScholesDeltaSpot($C$9,$AQ25,$C$11,$C$12,AU$4,$C$14,$C$15)</f>
        <v>3.9146668684580682E-13</v>
      </c>
      <c r="AV25" s="82">
        <f ca="1">_xll.meMathBlackScholesDeltaSpot($C$9,$AQ25,$C$11,$C$12,AV$4,$C$14,$C$15)</f>
        <v>1.6380798782570745E-12</v>
      </c>
      <c r="AW25" s="83">
        <f ca="1">_xll.meMathBlackScholesDeltaSpot($C$9,$AQ25,$C$11,$C$12,AW$4,$C$14,$C$15)</f>
        <v>5.9478847713991833E-12</v>
      </c>
      <c r="AX25" s="82">
        <f ca="1">_xll.meMathBlackScholesDeltaSpot($C$9,$AQ25,$C$11,$C$12,AX$4,$C$14,$C$15)</f>
        <v>1.9122818080039042E-11</v>
      </c>
      <c r="AY25" s="82">
        <f ca="1">_xll.meMathBlackScholesDeltaSpot($C$9,$AQ25,$C$11,$C$12,AY$4,$C$14,$C$15)</f>
        <v>5.5345825832238307E-11</v>
      </c>
      <c r="AZ25" s="82">
        <f ca="1">_xll.meMathBlackScholesDeltaSpot($C$9,$AQ25,$C$11,$C$12,AZ$4,$C$14,$C$15)</f>
        <v>1.4618280232097067E-10</v>
      </c>
      <c r="BA25" s="82">
        <f ca="1">_xll.meMathBlackScholesDeltaSpot($C$9,$AQ25,$C$11,$C$12,BA$4,$C$14,$C$15)</f>
        <v>3.5639655649416285E-10</v>
      </c>
      <c r="BB25" s="84">
        <f ca="1">_xll.meMathBlackScholesDeltaSpot($C$9,$AQ25,$C$11,$C$12,BB$4,$C$14,$C$15)</f>
        <v>8.0975520052656314E-10</v>
      </c>
      <c r="BD25" s="42">
        <f t="shared" si="38"/>
        <v>0.49999999999999961</v>
      </c>
      <c r="BE25" s="62">
        <f t="shared" si="25"/>
        <v>49.999999999999964</v>
      </c>
      <c r="BF25" s="81">
        <f ca="1">_xll.meMathBlackScholesDeltaForward($C$9,$BE25,$C$11,$C$12,BF$4,$C$14,$C$15)</f>
        <v>1.7191753792288657E-15</v>
      </c>
      <c r="BG25" s="82">
        <f ca="1">_xll.meMathBlackScholesDeltaForward($C$9,$BE25,$C$11,$C$12,BG$4,$C$14,$C$15)</f>
        <v>1.3138006234292245E-14</v>
      </c>
      <c r="BH25" s="82">
        <f ca="1">_xll.meMathBlackScholesDeltaForward($C$9,$BE25,$C$11,$C$12,BH$4,$C$14,$C$15)</f>
        <v>7.9178303870655185E-14</v>
      </c>
      <c r="BI25" s="82">
        <f ca="1">_xll.meMathBlackScholesDeltaForward($C$9,$BE25,$C$11,$C$12,BI$4,$C$14,$C$15)</f>
        <v>3.9146668684580682E-13</v>
      </c>
      <c r="BJ25" s="82">
        <f ca="1">_xll.meMathBlackScholesDeltaForward($C$9,$BE25,$C$11,$C$12,BJ$4,$C$14,$C$15)</f>
        <v>1.6380798782570745E-12</v>
      </c>
      <c r="BK25" s="83">
        <f ca="1">_xll.meMathBlackScholesDeltaForward($C$9,$BE25,$C$11,$C$12,BK$4,$C$14,$C$15)</f>
        <v>5.9478847713991833E-12</v>
      </c>
      <c r="BL25" s="82">
        <f ca="1">_xll.meMathBlackScholesDeltaForward($C$9,$BE25,$C$11,$C$12,BL$4,$C$14,$C$15)</f>
        <v>1.9122818080039042E-11</v>
      </c>
      <c r="BM25" s="82">
        <f ca="1">_xll.meMathBlackScholesDeltaForward($C$9,$BE25,$C$11,$C$12,BM$4,$C$14,$C$15)</f>
        <v>5.5345825832238307E-11</v>
      </c>
      <c r="BN25" s="82">
        <f ca="1">_xll.meMathBlackScholesDeltaForward($C$9,$BE25,$C$11,$C$12,BN$4,$C$14,$C$15)</f>
        <v>1.4618280232097067E-10</v>
      </c>
      <c r="BO25" s="82">
        <f ca="1">_xll.meMathBlackScholesDeltaForward($C$9,$BE25,$C$11,$C$12,BO$4,$C$14,$C$15)</f>
        <v>3.5639655649416285E-10</v>
      </c>
      <c r="BP25" s="84">
        <f ca="1">_xll.meMathBlackScholesDeltaForward($C$9,$BE25,$C$11,$C$12,BP$4,$C$14,$C$15)</f>
        <v>8.0975520052656314E-10</v>
      </c>
      <c r="BR25" s="42">
        <f t="shared" si="39"/>
        <v>0.49999999999999961</v>
      </c>
      <c r="BS25" s="62">
        <f t="shared" si="27"/>
        <v>49.999999999999964</v>
      </c>
      <c r="BT25" s="95">
        <f ca="1">_xll.meMathBlackScholesGamma($C$9,$BS25,$C$11,$C$12,BT$4,$C$14,$C$15)</f>
        <v>3.1750498355495807E-15</v>
      </c>
      <c r="BU25" s="96">
        <f ca="1">_xll.meMathBlackScholesGamma($C$9,$BS25,$C$11,$C$12,BU$4,$C$14,$C$15)</f>
        <v>2.274576844960604E-14</v>
      </c>
      <c r="BV25" s="96">
        <f ca="1">_xll.meMathBlackScholesGamma($C$9,$BS25,$C$11,$C$12,BV$4,$C$14,$C$15)</f>
        <v>1.2900816406340748E-13</v>
      </c>
      <c r="BW25" s="96">
        <f ca="1">_xll.meMathBlackScholesGamma($C$9,$BS25,$C$11,$C$12,BW$4,$C$14,$C$15)</f>
        <v>6.0235192731894001E-13</v>
      </c>
      <c r="BX25" s="96">
        <f ca="1">_xll.meMathBlackScholesGamma($C$9,$BS25,$C$11,$C$12,BX$4,$C$14,$C$15)</f>
        <v>2.3876839936022415E-12</v>
      </c>
      <c r="BY25" s="97">
        <f ca="1">_xll.meMathBlackScholesGamma($C$9,$BS25,$C$11,$C$12,BY$4,$C$14,$C$15)</f>
        <v>8.2355878483740146E-12</v>
      </c>
      <c r="BZ25" s="96">
        <f ca="1">_xll.meMathBlackScholesGamma($C$9,$BS25,$C$11,$C$12,BZ$4,$C$14,$C$15)</f>
        <v>2.5215097204780808E-11</v>
      </c>
      <c r="CA25" s="96">
        <f ca="1">_xll.meMathBlackScholesGamma($C$9,$BS25,$C$11,$C$12,CA$4,$C$14,$C$15)</f>
        <v>6.9655522842914255E-11</v>
      </c>
      <c r="CB25" s="96">
        <f ca="1">_xll.meMathBlackScholesGamma($C$9,$BS25,$C$11,$C$12,CB$4,$C$14,$C$15)</f>
        <v>1.7596506750227685E-10</v>
      </c>
      <c r="CC25" s="96">
        <f ca="1">_xll.meMathBlackScholesGamma($C$9,$BS25,$C$11,$C$12,CC$4,$C$14,$C$15)</f>
        <v>4.1109695330963997E-10</v>
      </c>
      <c r="CD25" s="98">
        <f ca="1">_xll.meMathBlackScholesGamma($C$9,$BS25,$C$11,$C$12,CD$4,$C$14,$C$15)</f>
        <v>8.9660069667923835E-10</v>
      </c>
      <c r="CF25" s="42">
        <f t="shared" si="40"/>
        <v>0.49999999999999961</v>
      </c>
      <c r="CG25" s="62">
        <f t="shared" si="29"/>
        <v>49.999999999999964</v>
      </c>
      <c r="CH25" s="95">
        <f ca="1">_xll.meMathBlackScholesVega($C$9,$CG25,$C$11,$C$12,CH$4,$C$14,$C$15)</f>
        <v>5.9532184416554534E-15</v>
      </c>
      <c r="CI25" s="96">
        <f ca="1">_xll.meMathBlackScholesVega($C$9,$CG25,$C$11,$C$12,CI$4,$C$14,$C$15)</f>
        <v>4.5491536899211999E-14</v>
      </c>
      <c r="CJ25" s="96">
        <f ca="1">_xll.meMathBlackScholesVega($C$9,$CG25,$C$11,$C$12,CJ$4,$C$14,$C$15)</f>
        <v>2.7414234863474044E-13</v>
      </c>
      <c r="CK25" s="96">
        <f ca="1">_xll.meMathBlackScholesVega($C$9,$CG25,$C$11,$C$12,CK$4,$C$14,$C$15)</f>
        <v>1.355291836467613E-12</v>
      </c>
      <c r="CL25" s="96">
        <f ca="1">_xll.meMathBlackScholesVega($C$9,$CG25,$C$11,$C$12,CL$4,$C$14,$C$15)</f>
        <v>5.6707494848053145E-12</v>
      </c>
      <c r="CM25" s="97">
        <f ca="1">_xll.meMathBlackScholesVega($C$9,$CG25,$C$11,$C$12,CM$4,$C$14,$C$15)</f>
        <v>2.0588969620935007E-11</v>
      </c>
      <c r="CN25" s="96">
        <f ca="1">_xll.meMathBlackScholesVega($C$9,$CG25,$C$11,$C$12,CN$4,$C$14,$C$15)</f>
        <v>6.6189630162549546E-11</v>
      </c>
      <c r="CO25" s="96">
        <f ca="1">_xll.meMathBlackScholesVega($C$9,$CG25,$C$11,$C$12,CO$4,$C$14,$C$15)</f>
        <v>1.9155268781801396E-10</v>
      </c>
      <c r="CP25" s="96">
        <f ca="1">_xll.meMathBlackScholesVega($C$9,$CG25,$C$11,$C$12,CP$4,$C$14,$C$15)</f>
        <v>5.0589956906904527E-10</v>
      </c>
      <c r="CQ25" s="96">
        <f ca="1">_xll.meMathBlackScholesVega($C$9,$CG25,$C$11,$C$12,CQ$4,$C$14,$C$15)</f>
        <v>1.2332908599289186E-9</v>
      </c>
      <c r="CR25" s="98">
        <f ca="1">_xll.meMathBlackScholesVega($C$9,$CG25,$C$11,$C$12,CR$4,$C$14,$C$15)</f>
        <v>2.8018771771226164E-9</v>
      </c>
      <c r="CT25" s="42">
        <f t="shared" si="41"/>
        <v>0.49999999999999961</v>
      </c>
      <c r="CU25" s="62">
        <f t="shared" si="31"/>
        <v>49.999999999999964</v>
      </c>
      <c r="CV25" s="95">
        <f ca="1">_xll.meMathBlackScholesTheta($C$9,$CU25,$C$11,$C$12,CV$4,$C$14,$C$15)</f>
        <v>-1.1098873289911731E-16</v>
      </c>
      <c r="CW25" s="96">
        <f ca="1">_xll.meMathBlackScholesTheta($C$9,$CU25,$C$11,$C$12,CW$4,$C$14,$C$15)</f>
        <v>-7.9621421076113304E-16</v>
      </c>
      <c r="CX25" s="96">
        <f ca="1">_xll.meMathBlackScholesTheta($C$9,$CU25,$C$11,$C$12,CX$4,$C$14,$C$15)</f>
        <v>-4.522159963852639E-15</v>
      </c>
      <c r="CY25" s="96">
        <f ca="1">_xll.meMathBlackScholesTheta($C$9,$CU25,$C$11,$C$12,CY$4,$C$14,$C$15)</f>
        <v>-2.1143501357197716E-14</v>
      </c>
      <c r="CZ25" s="96">
        <f ca="1">_xll.meMathBlackScholesTheta($C$9,$CU25,$C$11,$C$12,CZ$4,$C$14,$C$15)</f>
        <v>-8.3926633562084305E-14</v>
      </c>
      <c r="DA25" s="97">
        <f ca="1">_xll.meMathBlackScholesTheta($C$9,$CU25,$C$11,$C$12,DA$4,$C$14,$C$15)</f>
        <v>-2.8987609052610283E-13</v>
      </c>
      <c r="DB25" s="96">
        <f ca="1">_xll.meMathBlackScholesTheta($C$9,$CU25,$C$11,$C$12,DB$4,$C$14,$C$15)</f>
        <v>-8.8873394822086764E-13</v>
      </c>
      <c r="DC25" s="96">
        <f ca="1">_xll.meMathBlackScholesTheta($C$9,$CU25,$C$11,$C$12,DC$4,$C$14,$C$15)</f>
        <v>-2.4584337965808548E-12</v>
      </c>
      <c r="DD25" s="96">
        <f ca="1">_xll.meMathBlackScholesTheta($C$9,$CU25,$C$11,$C$12,DD$4,$C$14,$C$15)</f>
        <v>-6.2189888260401991E-12</v>
      </c>
      <c r="DE25" s="96">
        <f ca="1">_xll.meMathBlackScholesTheta($C$9,$CU25,$C$11,$C$12,DE$4,$C$14,$C$15)</f>
        <v>-1.4548775966149332E-11</v>
      </c>
      <c r="DF25" s="98">
        <f ca="1">_xll.meMathBlackScholesTheta($C$9,$CU25,$C$11,$C$12,DF$4,$C$14,$C$15)</f>
        <v>-3.1773765768301056E-11</v>
      </c>
      <c r="DH25" s="42">
        <f t="shared" si="42"/>
        <v>0.49999999999999961</v>
      </c>
      <c r="DI25" s="62">
        <f t="shared" si="33"/>
        <v>49.999999999999964</v>
      </c>
      <c r="DJ25" s="95">
        <f ca="1">_xll.meMathBlackScholesRho($C$9,$DI25,$C$11,$C$12,DJ$4,$C$14,$C$15)</f>
        <v>6.3788381027467015E-16</v>
      </c>
      <c r="DK25" s="96">
        <f ca="1">_xll.meMathBlackScholesRho($C$9,$DI25,$C$11,$C$12,DK$4,$C$14,$C$15)</f>
        <v>5.1961078883429349E-15</v>
      </c>
      <c r="DL25" s="96">
        <f ca="1">_xll.meMathBlackScholesRho($C$9,$DI25,$C$11,$C$12,DL$4,$C$14,$C$15)</f>
        <v>3.3249344603897322E-14</v>
      </c>
      <c r="DM25" s="96">
        <f ca="1">_xll.meMathBlackScholesRho($C$9,$DI25,$C$11,$C$12,DM$4,$C$14,$C$15)</f>
        <v>1.7393830130675414E-13</v>
      </c>
      <c r="DN25" s="96">
        <f ca="1">_xll.meMathBlackScholesRho($C$9,$DI25,$C$11,$C$12,DN$4,$C$14,$C$15)</f>
        <v>7.6774533909715305E-13</v>
      </c>
      <c r="DO25" s="97">
        <f ca="1">_xll.meMathBlackScholesRho($C$9,$DI25,$C$11,$C$12,DO$4,$C$14,$C$15)</f>
        <v>2.932393959984003E-12</v>
      </c>
      <c r="DP25" s="96">
        <f ca="1">_xll.meMathBlackScholesRho($C$9,$DI25,$C$11,$C$12,DP$4,$C$14,$C$15)</f>
        <v>9.8924275043078143E-12</v>
      </c>
      <c r="DQ25" s="96">
        <f ca="1">_xll.meMathBlackScholesRho($C$9,$DI25,$C$11,$C$12,DQ$4,$C$14,$C$15)</f>
        <v>2.9973799531203334E-11</v>
      </c>
      <c r="DR25" s="96">
        <f ca="1">_xll.meMathBlackScholesRho($C$9,$DI25,$C$11,$C$12,DR$4,$C$14,$C$15)</f>
        <v>8.2710673672633792E-11</v>
      </c>
      <c r="DS25" s="96">
        <f ca="1">_xll.meMathBlackScholesRho($C$9,$DI25,$C$11,$C$12,DS$4,$C$14,$C$15)</f>
        <v>2.1027420631866037E-10</v>
      </c>
      <c r="DT25" s="98">
        <f ca="1">_xll.meMathBlackScholesRho($C$9,$DI25,$C$11,$C$12,DT$4,$C$14,$C$15)</f>
        <v>4.9732404797687198E-10</v>
      </c>
    </row>
    <row r="26" spans="2:124" x14ac:dyDescent="0.25">
      <c r="B26" t="s">
        <v>47</v>
      </c>
      <c r="C26" s="7">
        <f>NORMSDIST(-C22)</f>
        <v>0.48006119416162751</v>
      </c>
    </row>
    <row r="27" spans="2:124" x14ac:dyDescent="0.25">
      <c r="B27" t="s">
        <v>45</v>
      </c>
      <c r="C27" s="7">
        <f>EXP((C15-C14)*C13)</f>
        <v>1</v>
      </c>
    </row>
    <row r="28" spans="2:124" x14ac:dyDescent="0.25">
      <c r="B28" t="s">
        <v>42</v>
      </c>
      <c r="C28" s="7">
        <f>EXP(-C14*C13)</f>
        <v>0.99004983374916811</v>
      </c>
    </row>
    <row r="29" spans="2:124" x14ac:dyDescent="0.25">
      <c r="B29" t="s">
        <v>43</v>
      </c>
      <c r="C29" s="7">
        <f>C10*C27*C23-C11*C28*C24</f>
        <v>4.485236409022086</v>
      </c>
    </row>
    <row r="30" spans="2:124" x14ac:dyDescent="0.25">
      <c r="B30" t="s">
        <v>44</v>
      </c>
      <c r="C30" s="7">
        <f>C11*C28*C26-C10*C27*C25</f>
        <v>3.4902197839388904</v>
      </c>
    </row>
  </sheetData>
  <dataValidations count="2">
    <dataValidation type="list" allowBlank="1" showInputMessage="1" showErrorMessage="1" sqref="C9">
      <formula1>"CALL,PUT"</formula1>
    </dataValidation>
    <dataValidation type="list" allowBlank="1" showInputMessage="1" showErrorMessage="1" sqref="C2">
      <formula1>"PRICE,SPOTDELTA,FORWARDDELTA,GAMMA,VEGA,THETA,RHO"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4"/>
  <sheetViews>
    <sheetView workbookViewId="0"/>
  </sheetViews>
  <sheetFormatPr defaultRowHeight="15" x14ac:dyDescent="0.25"/>
  <cols>
    <col min="2" max="8" width="10.7109375" customWidth="1"/>
    <col min="10" max="11" width="10.7109375" customWidth="1"/>
    <col min="23" max="23" width="12.140625" bestFit="1" customWidth="1"/>
    <col min="24" max="24" width="12" bestFit="1" customWidth="1"/>
  </cols>
  <sheetData>
    <row r="1" spans="1:29" x14ac:dyDescent="0.25">
      <c r="A1" s="112"/>
      <c r="B1" s="112"/>
      <c r="C1" s="112"/>
      <c r="D1" s="112"/>
      <c r="E1" s="112"/>
      <c r="F1" s="112"/>
      <c r="G1" s="112"/>
      <c r="H1" s="112"/>
      <c r="I1" s="112"/>
    </row>
    <row r="2" spans="1:29" x14ac:dyDescent="0.25">
      <c r="A2" s="112"/>
      <c r="B2" s="112"/>
      <c r="C2" s="112"/>
      <c r="D2" s="132" t="s">
        <v>18</v>
      </c>
      <c r="E2" s="133">
        <v>0.1</v>
      </c>
      <c r="F2" s="112"/>
      <c r="G2" s="112"/>
      <c r="H2" s="112"/>
      <c r="I2" s="112"/>
      <c r="J2" s="101" t="s">
        <v>66</v>
      </c>
      <c r="K2" s="127" t="b">
        <v>0</v>
      </c>
    </row>
    <row r="3" spans="1:29" x14ac:dyDescent="0.25">
      <c r="A3" s="112"/>
      <c r="B3" s="112"/>
      <c r="C3" s="112"/>
      <c r="D3" s="112"/>
      <c r="E3" s="112"/>
      <c r="F3" s="112"/>
      <c r="G3" s="112"/>
      <c r="H3" s="112"/>
      <c r="I3" s="112"/>
    </row>
    <row r="4" spans="1:29" x14ac:dyDescent="0.25">
      <c r="A4" s="112"/>
      <c r="B4" s="116" t="s">
        <v>15</v>
      </c>
      <c r="C4" s="117" t="s">
        <v>16</v>
      </c>
      <c r="D4" s="117" t="s">
        <v>17</v>
      </c>
      <c r="E4" s="118" t="s">
        <v>18</v>
      </c>
      <c r="F4" s="117" t="s">
        <v>19</v>
      </c>
      <c r="G4" s="118" t="s">
        <v>20</v>
      </c>
      <c r="H4" s="118" t="s">
        <v>21</v>
      </c>
      <c r="I4" s="112"/>
      <c r="J4" s="101" t="s">
        <v>33</v>
      </c>
      <c r="K4" s="101" t="s">
        <v>63</v>
      </c>
    </row>
    <row r="5" spans="1:29" x14ac:dyDescent="0.25">
      <c r="A5" s="112">
        <v>1</v>
      </c>
      <c r="B5" s="119" t="s">
        <v>34</v>
      </c>
      <c r="C5" s="121">
        <v>90.1</v>
      </c>
      <c r="D5" s="123">
        <v>100</v>
      </c>
      <c r="E5" s="124">
        <f t="shared" ref="E5:E68" si="0">$E$2</f>
        <v>0.1</v>
      </c>
      <c r="F5" s="123">
        <v>1</v>
      </c>
      <c r="G5" s="124">
        <v>0.01</v>
      </c>
      <c r="H5" s="124">
        <v>0</v>
      </c>
      <c r="I5" s="112"/>
      <c r="J5" s="128">
        <f t="array" aca="1" ref="J5:J404" ca="1">_xll.meMathBlackScholesPrices(B5:B404,C5:C404,D5:D404,E5:E404,F5:F404,G5:G404,H5:H404,H5:H404,$K$2)</f>
        <v>0.72104709215786045</v>
      </c>
      <c r="K5" s="129">
        <f t="array" aca="1" ref="K5:K404" ca="1">_xll.meMathBlackScholesImpliedVols(J5:J404,B5:B404,C5:C404,D5:D404,F5:F404,G5:G404,H5:H404,,$K$2)</f>
        <v>0.10000000000000424</v>
      </c>
      <c r="L5" s="1"/>
      <c r="W5" s="7"/>
      <c r="X5" s="7"/>
      <c r="Y5" s="7"/>
      <c r="Z5" s="7"/>
      <c r="AA5" s="7"/>
      <c r="AB5" s="7"/>
      <c r="AC5" s="7"/>
    </row>
    <row r="6" spans="1:29" x14ac:dyDescent="0.25">
      <c r="A6" s="112">
        <v>2</v>
      </c>
      <c r="B6" s="119" t="s">
        <v>34</v>
      </c>
      <c r="C6" s="121">
        <f>C5+0.1</f>
        <v>90.199999999999989</v>
      </c>
      <c r="D6" s="123">
        <v>100</v>
      </c>
      <c r="E6" s="124">
        <f t="shared" si="0"/>
        <v>0.1</v>
      </c>
      <c r="F6" s="123">
        <v>1</v>
      </c>
      <c r="G6" s="124">
        <v>0.01</v>
      </c>
      <c r="H6" s="124">
        <v>0</v>
      </c>
      <c r="I6" s="112"/>
      <c r="J6" s="130">
        <f ca="1"/>
        <v>0.7370694756024605</v>
      </c>
      <c r="K6" s="131">
        <f ca="1"/>
        <v>0.10000000000000316</v>
      </c>
      <c r="L6" s="1"/>
      <c r="W6" s="7"/>
      <c r="X6" s="7"/>
      <c r="Y6" s="7"/>
      <c r="Z6" s="7"/>
      <c r="AA6" s="7"/>
      <c r="AB6" s="7"/>
      <c r="AC6" s="7"/>
    </row>
    <row r="7" spans="1:29" x14ac:dyDescent="0.25">
      <c r="A7" s="112">
        <v>3</v>
      </c>
      <c r="B7" s="119" t="s">
        <v>34</v>
      </c>
      <c r="C7" s="121">
        <f t="shared" ref="C7:C70" si="1">C6+0.1</f>
        <v>90.299999999999983</v>
      </c>
      <c r="D7" s="123">
        <v>100</v>
      </c>
      <c r="E7" s="124">
        <f t="shared" si="0"/>
        <v>0.1</v>
      </c>
      <c r="F7" s="123">
        <v>1</v>
      </c>
      <c r="G7" s="124">
        <v>0.01</v>
      </c>
      <c r="H7" s="124">
        <v>0</v>
      </c>
      <c r="J7" s="130">
        <f ca="1"/>
        <v>0.75336238658272592</v>
      </c>
      <c r="K7" s="131">
        <f ca="1"/>
        <v>0.10000000000000303</v>
      </c>
      <c r="L7" s="1"/>
      <c r="W7" s="7"/>
      <c r="X7" s="7"/>
      <c r="Y7" s="7"/>
      <c r="Z7" s="7"/>
      <c r="AA7" s="7"/>
      <c r="AB7" s="7"/>
      <c r="AC7" s="7"/>
    </row>
    <row r="8" spans="1:29" x14ac:dyDescent="0.25">
      <c r="A8" s="112">
        <v>4</v>
      </c>
      <c r="B8" s="119" t="s">
        <v>34</v>
      </c>
      <c r="C8" s="121">
        <f t="shared" si="1"/>
        <v>90.399999999999977</v>
      </c>
      <c r="D8" s="123">
        <v>100</v>
      </c>
      <c r="E8" s="124">
        <f t="shared" si="0"/>
        <v>0.1</v>
      </c>
      <c r="F8" s="123">
        <v>1</v>
      </c>
      <c r="G8" s="124">
        <v>0.01</v>
      </c>
      <c r="H8" s="124">
        <v>0</v>
      </c>
      <c r="J8" s="130">
        <f ca="1"/>
        <v>0.7699284632741854</v>
      </c>
      <c r="K8" s="131">
        <f ca="1"/>
        <v>0.10000000000439895</v>
      </c>
      <c r="L8" s="1"/>
      <c r="W8" s="7"/>
      <c r="X8" s="7"/>
      <c r="Y8" s="7"/>
      <c r="Z8" s="7"/>
      <c r="AA8" s="7"/>
      <c r="AB8" s="7"/>
      <c r="AC8" s="7"/>
    </row>
    <row r="9" spans="1:29" x14ac:dyDescent="0.25">
      <c r="A9" s="112">
        <v>5</v>
      </c>
      <c r="B9" s="119" t="s">
        <v>34</v>
      </c>
      <c r="C9" s="121">
        <f t="shared" si="1"/>
        <v>90.499999999999972</v>
      </c>
      <c r="D9" s="123">
        <v>100</v>
      </c>
      <c r="E9" s="124">
        <f t="shared" si="0"/>
        <v>0.1</v>
      </c>
      <c r="F9" s="123">
        <v>1</v>
      </c>
      <c r="G9" s="124">
        <v>0.01</v>
      </c>
      <c r="H9" s="124">
        <v>0</v>
      </c>
      <c r="J9" s="130">
        <f ca="1"/>
        <v>0.78677033281191733</v>
      </c>
      <c r="K9" s="131">
        <f ca="1"/>
        <v>0.10000000000361482</v>
      </c>
      <c r="L9" s="1"/>
      <c r="W9" s="7"/>
      <c r="X9" s="7"/>
      <c r="Y9" s="7"/>
      <c r="Z9" s="7"/>
      <c r="AA9" s="7"/>
      <c r="AB9" s="7"/>
      <c r="AC9" s="7"/>
    </row>
    <row r="10" spans="1:29" x14ac:dyDescent="0.25">
      <c r="A10" s="112">
        <v>6</v>
      </c>
      <c r="B10" s="119" t="s">
        <v>34</v>
      </c>
      <c r="C10" s="121">
        <f t="shared" si="1"/>
        <v>90.599999999999966</v>
      </c>
      <c r="D10" s="123">
        <v>100</v>
      </c>
      <c r="E10" s="124">
        <f t="shared" si="0"/>
        <v>0.1</v>
      </c>
      <c r="F10" s="123">
        <v>1</v>
      </c>
      <c r="G10" s="124">
        <v>0.01</v>
      </c>
      <c r="H10" s="124">
        <v>0</v>
      </c>
      <c r="J10" s="130">
        <f ca="1"/>
        <v>0.80389061060041023</v>
      </c>
      <c r="K10" s="131">
        <f ca="1"/>
        <v>0.10000000000296859</v>
      </c>
      <c r="L10" s="1"/>
      <c r="W10" s="7"/>
      <c r="X10" s="7"/>
      <c r="Y10" s="7"/>
      <c r="Z10" s="7"/>
      <c r="AA10" s="7"/>
      <c r="AB10" s="7"/>
      <c r="AC10" s="7"/>
    </row>
    <row r="11" spans="1:29" x14ac:dyDescent="0.25">
      <c r="A11" s="112">
        <v>7</v>
      </c>
      <c r="B11" s="119" t="s">
        <v>34</v>
      </c>
      <c r="C11" s="121">
        <f t="shared" si="1"/>
        <v>90.69999999999996</v>
      </c>
      <c r="D11" s="123">
        <v>100</v>
      </c>
      <c r="E11" s="124">
        <f t="shared" si="0"/>
        <v>0.1</v>
      </c>
      <c r="F11" s="123">
        <v>1</v>
      </c>
      <c r="G11" s="124">
        <v>0.01</v>
      </c>
      <c r="H11" s="124">
        <v>0</v>
      </c>
      <c r="J11" s="130">
        <f ca="1"/>
        <v>0.82129189962438964</v>
      </c>
      <c r="K11" s="131">
        <f ca="1"/>
        <v>0.10000000000243547</v>
      </c>
      <c r="L11" s="1"/>
      <c r="W11" s="7"/>
      <c r="X11" s="7"/>
      <c r="Y11" s="7"/>
      <c r="Z11" s="7"/>
      <c r="AA11" s="7"/>
      <c r="AB11" s="7"/>
      <c r="AC11" s="7"/>
    </row>
    <row r="12" spans="1:29" x14ac:dyDescent="0.25">
      <c r="A12" s="112">
        <v>8</v>
      </c>
      <c r="B12" s="119" t="s">
        <v>34</v>
      </c>
      <c r="C12" s="121">
        <f t="shared" si="1"/>
        <v>90.799999999999955</v>
      </c>
      <c r="D12" s="123">
        <v>100</v>
      </c>
      <c r="E12" s="124">
        <f t="shared" si="0"/>
        <v>0.1</v>
      </c>
      <c r="F12" s="123">
        <v>1</v>
      </c>
      <c r="G12" s="124">
        <v>0.01</v>
      </c>
      <c r="H12" s="124">
        <v>0</v>
      </c>
      <c r="J12" s="130">
        <f ca="1"/>
        <v>0.83897678976101098</v>
      </c>
      <c r="K12" s="131">
        <f ca="1"/>
        <v>0.10000000000199652</v>
      </c>
      <c r="L12" s="1"/>
      <c r="W12" s="7"/>
      <c r="X12" s="7"/>
      <c r="Y12" s="7"/>
      <c r="Z12" s="7"/>
      <c r="AA12" s="7"/>
      <c r="AB12" s="7"/>
      <c r="AC12" s="7"/>
    </row>
    <row r="13" spans="1:29" x14ac:dyDescent="0.25">
      <c r="A13" s="112">
        <v>9</v>
      </c>
      <c r="B13" s="119" t="s">
        <v>34</v>
      </c>
      <c r="C13" s="121">
        <f t="shared" si="1"/>
        <v>90.899999999999949</v>
      </c>
      <c r="D13" s="123">
        <v>100</v>
      </c>
      <c r="E13" s="124">
        <f t="shared" si="0"/>
        <v>0.1</v>
      </c>
      <c r="F13" s="123">
        <v>1</v>
      </c>
      <c r="G13" s="124">
        <v>0.01</v>
      </c>
      <c r="H13" s="124">
        <v>0</v>
      </c>
      <c r="J13" s="130">
        <f ca="1"/>
        <v>0.8569478570937008</v>
      </c>
      <c r="K13" s="131">
        <f ca="1"/>
        <v>0.10000000000163375</v>
      </c>
      <c r="L13" s="1"/>
      <c r="W13" s="7"/>
      <c r="X13" s="7"/>
      <c r="Y13" s="7"/>
      <c r="Z13" s="7"/>
      <c r="AA13" s="7"/>
      <c r="AB13" s="7"/>
      <c r="AC13" s="7"/>
    </row>
    <row r="14" spans="1:29" x14ac:dyDescent="0.25">
      <c r="A14" s="112">
        <v>10</v>
      </c>
      <c r="B14" s="119" t="s">
        <v>34</v>
      </c>
      <c r="C14" s="121">
        <f t="shared" si="1"/>
        <v>90.999999999999943</v>
      </c>
      <c r="D14" s="123">
        <v>100</v>
      </c>
      <c r="E14" s="124">
        <f t="shared" si="0"/>
        <v>0.1</v>
      </c>
      <c r="F14" s="123">
        <v>1</v>
      </c>
      <c r="G14" s="124">
        <v>0.01</v>
      </c>
      <c r="H14" s="124">
        <v>0</v>
      </c>
      <c r="J14" s="130">
        <f ca="1"/>
        <v>0.87520766322822219</v>
      </c>
      <c r="K14" s="131">
        <f ca="1"/>
        <v>0.10000000000133562</v>
      </c>
      <c r="L14" s="1"/>
      <c r="W14" s="7"/>
      <c r="X14" s="7"/>
      <c r="Y14" s="7"/>
      <c r="Z14" s="7"/>
      <c r="AA14" s="7"/>
      <c r="AB14" s="7"/>
      <c r="AC14" s="7"/>
    </row>
    <row r="15" spans="1:29" x14ac:dyDescent="0.25">
      <c r="A15" s="112">
        <v>11</v>
      </c>
      <c r="B15" s="119" t="s">
        <v>34</v>
      </c>
      <c r="C15" s="121">
        <f t="shared" si="1"/>
        <v>91.099999999999937</v>
      </c>
      <c r="D15" s="123">
        <v>100</v>
      </c>
      <c r="E15" s="124">
        <f t="shared" si="0"/>
        <v>0.1</v>
      </c>
      <c r="F15" s="123">
        <v>1</v>
      </c>
      <c r="G15" s="124">
        <v>0.01</v>
      </c>
      <c r="H15" s="124">
        <v>0</v>
      </c>
      <c r="J15" s="130">
        <f ca="1"/>
        <v>0.89375875461068688</v>
      </c>
      <c r="K15" s="131">
        <f ca="1"/>
        <v>0.10000000000109031</v>
      </c>
      <c r="L15" s="1"/>
      <c r="W15" s="7"/>
      <c r="X15" s="7"/>
      <c r="Y15" s="7"/>
      <c r="Z15" s="7"/>
      <c r="AA15" s="7"/>
      <c r="AB15" s="7"/>
      <c r="AC15" s="7"/>
    </row>
    <row r="16" spans="1:29" x14ac:dyDescent="0.25">
      <c r="A16" s="112">
        <v>12</v>
      </c>
      <c r="B16" s="119" t="s">
        <v>34</v>
      </c>
      <c r="C16" s="121">
        <f t="shared" si="1"/>
        <v>91.199999999999932</v>
      </c>
      <c r="D16" s="123">
        <v>100</v>
      </c>
      <c r="E16" s="124">
        <f t="shared" si="0"/>
        <v>0.1</v>
      </c>
      <c r="F16" s="123">
        <v>1</v>
      </c>
      <c r="G16" s="124">
        <v>0.01</v>
      </c>
      <c r="H16" s="124">
        <v>0</v>
      </c>
      <c r="J16" s="130">
        <f ca="1"/>
        <v>0.91260366184854291</v>
      </c>
      <c r="K16" s="131">
        <f ca="1"/>
        <v>0.10000000000088818</v>
      </c>
      <c r="L16" s="1"/>
      <c r="W16" s="7"/>
      <c r="X16" s="7"/>
      <c r="Y16" s="7"/>
      <c r="Z16" s="7"/>
      <c r="AA16" s="7"/>
      <c r="AB16" s="7"/>
      <c r="AC16" s="7"/>
    </row>
    <row r="17" spans="1:29" x14ac:dyDescent="0.25">
      <c r="A17" s="112">
        <v>13</v>
      </c>
      <c r="B17" s="119" t="s">
        <v>34</v>
      </c>
      <c r="C17" s="121">
        <f t="shared" si="1"/>
        <v>91.299999999999926</v>
      </c>
      <c r="D17" s="123">
        <v>100</v>
      </c>
      <c r="E17" s="124">
        <f t="shared" si="0"/>
        <v>0.1</v>
      </c>
      <c r="F17" s="123">
        <v>1</v>
      </c>
      <c r="G17" s="124">
        <v>0.01</v>
      </c>
      <c r="H17" s="124">
        <v>0</v>
      </c>
      <c r="J17" s="130">
        <f ca="1"/>
        <v>0.93174489903449143</v>
      </c>
      <c r="K17" s="131">
        <f ca="1"/>
        <v>0.10000000000072207</v>
      </c>
      <c r="L17" s="1"/>
      <c r="W17" s="7"/>
      <c r="X17" s="7"/>
      <c r="Y17" s="7"/>
      <c r="Z17" s="7"/>
      <c r="AA17" s="7"/>
      <c r="AB17" s="7"/>
      <c r="AC17" s="7"/>
    </row>
    <row r="18" spans="1:29" x14ac:dyDescent="0.25">
      <c r="A18" s="112">
        <v>14</v>
      </c>
      <c r="B18" s="119" t="s">
        <v>34</v>
      </c>
      <c r="C18" s="121">
        <f t="shared" si="1"/>
        <v>91.39999999999992</v>
      </c>
      <c r="D18" s="123">
        <v>100</v>
      </c>
      <c r="E18" s="124">
        <f t="shared" si="0"/>
        <v>0.1</v>
      </c>
      <c r="F18" s="123">
        <v>1</v>
      </c>
      <c r="G18" s="124">
        <v>0.01</v>
      </c>
      <c r="H18" s="124">
        <v>0</v>
      </c>
      <c r="J18" s="130">
        <f ca="1"/>
        <v>0.95118496307366485</v>
      </c>
      <c r="K18" s="131">
        <f ca="1"/>
        <v>0.10000000000058638</v>
      </c>
      <c r="L18" s="1"/>
      <c r="W18" s="7"/>
      <c r="X18" s="7"/>
      <c r="Y18" s="7"/>
      <c r="Z18" s="7"/>
      <c r="AA18" s="7"/>
      <c r="AB18" s="7"/>
      <c r="AC18" s="7"/>
    </row>
    <row r="19" spans="1:29" x14ac:dyDescent="0.25">
      <c r="A19" s="112">
        <v>15</v>
      </c>
      <c r="B19" s="119" t="s">
        <v>34</v>
      </c>
      <c r="C19" s="121">
        <f t="shared" si="1"/>
        <v>91.499999999999915</v>
      </c>
      <c r="D19" s="123">
        <v>100</v>
      </c>
      <c r="E19" s="124">
        <f t="shared" si="0"/>
        <v>0.1</v>
      </c>
      <c r="F19" s="123">
        <v>1</v>
      </c>
      <c r="G19" s="124">
        <v>0.01</v>
      </c>
      <c r="H19" s="124">
        <v>0</v>
      </c>
      <c r="J19" s="130">
        <f ca="1"/>
        <v>0.97092633301442888</v>
      </c>
      <c r="K19" s="131">
        <f ca="1"/>
        <v>0.10000000000047549</v>
      </c>
      <c r="L19" s="1"/>
      <c r="W19" s="7"/>
      <c r="X19" s="7"/>
      <c r="Y19" s="7"/>
      <c r="Z19" s="7"/>
      <c r="AA19" s="7"/>
      <c r="AB19" s="7"/>
      <c r="AC19" s="7"/>
    </row>
    <row r="20" spans="1:29" x14ac:dyDescent="0.25">
      <c r="A20" s="112">
        <v>16</v>
      </c>
      <c r="B20" s="119" t="s">
        <v>34</v>
      </c>
      <c r="C20" s="121">
        <f t="shared" si="1"/>
        <v>91.599999999999909</v>
      </c>
      <c r="D20" s="123">
        <v>100</v>
      </c>
      <c r="E20" s="124">
        <f t="shared" si="0"/>
        <v>0.1</v>
      </c>
      <c r="F20" s="123">
        <v>1</v>
      </c>
      <c r="G20" s="124">
        <v>0.01</v>
      </c>
      <c r="H20" s="124">
        <v>0</v>
      </c>
      <c r="J20" s="130">
        <f ca="1"/>
        <v>0.99097146938321501</v>
      </c>
      <c r="K20" s="131">
        <f ca="1"/>
        <v>0.10000000000038418</v>
      </c>
      <c r="L20" s="1"/>
      <c r="W20" s="7"/>
      <c r="X20" s="7"/>
      <c r="Y20" s="7"/>
      <c r="Z20" s="7"/>
      <c r="AA20" s="7"/>
      <c r="AB20" s="7"/>
      <c r="AC20" s="7"/>
    </row>
    <row r="21" spans="1:29" x14ac:dyDescent="0.25">
      <c r="A21" s="112">
        <v>17</v>
      </c>
      <c r="B21" s="119" t="s">
        <v>34</v>
      </c>
      <c r="C21" s="121">
        <f t="shared" si="1"/>
        <v>91.699999999999903</v>
      </c>
      <c r="D21" s="123">
        <v>100</v>
      </c>
      <c r="E21" s="124">
        <f t="shared" si="0"/>
        <v>0.1</v>
      </c>
      <c r="F21" s="123">
        <v>1</v>
      </c>
      <c r="G21" s="124">
        <v>0.01</v>
      </c>
      <c r="H21" s="124">
        <v>0</v>
      </c>
      <c r="J21" s="130">
        <f ca="1"/>
        <v>1.0113228135236163</v>
      </c>
      <c r="K21" s="131">
        <f ca="1"/>
        <v>0.10000000000031037</v>
      </c>
      <c r="L21" s="1"/>
      <c r="W21" s="7"/>
      <c r="X21" s="7"/>
      <c r="Y21" s="7"/>
      <c r="Z21" s="7"/>
      <c r="AA21" s="7"/>
      <c r="AB21" s="7"/>
      <c r="AC21" s="7"/>
    </row>
    <row r="22" spans="1:29" x14ac:dyDescent="0.25">
      <c r="A22" s="112">
        <v>18</v>
      </c>
      <c r="B22" s="119" t="s">
        <v>34</v>
      </c>
      <c r="C22" s="121">
        <f t="shared" si="1"/>
        <v>91.799999999999898</v>
      </c>
      <c r="D22" s="123">
        <v>100</v>
      </c>
      <c r="E22" s="124">
        <f t="shared" si="0"/>
        <v>0.1</v>
      </c>
      <c r="F22" s="123">
        <v>1</v>
      </c>
      <c r="G22" s="124">
        <v>0.01</v>
      </c>
      <c r="H22" s="124">
        <v>0</v>
      </c>
      <c r="J22" s="130">
        <f ca="1"/>
        <v>1.0319827869399774</v>
      </c>
      <c r="K22" s="131">
        <f ca="1"/>
        <v>0.10000000000024968</v>
      </c>
      <c r="L22" s="1"/>
      <c r="W22" s="7"/>
      <c r="X22" s="7"/>
      <c r="Y22" s="7"/>
      <c r="Z22" s="7"/>
      <c r="AA22" s="7"/>
      <c r="AB22" s="7"/>
      <c r="AC22" s="7"/>
    </row>
    <row r="23" spans="1:29" x14ac:dyDescent="0.25">
      <c r="A23" s="112">
        <v>19</v>
      </c>
      <c r="B23" s="119" t="s">
        <v>34</v>
      </c>
      <c r="C23" s="121">
        <f t="shared" si="1"/>
        <v>91.899999999999892</v>
      </c>
      <c r="D23" s="123">
        <v>100</v>
      </c>
      <c r="E23" s="124">
        <f t="shared" si="0"/>
        <v>0.1</v>
      </c>
      <c r="F23" s="123">
        <v>1</v>
      </c>
      <c r="G23" s="124">
        <v>0.01</v>
      </c>
      <c r="H23" s="124">
        <v>0</v>
      </c>
      <c r="J23" s="130">
        <f ca="1"/>
        <v>1.0529537906460327</v>
      </c>
      <c r="K23" s="131">
        <f ca="1"/>
        <v>0.10000000000019997</v>
      </c>
      <c r="L23" s="1"/>
      <c r="W23" s="7"/>
      <c r="X23" s="7"/>
      <c r="Y23" s="7"/>
      <c r="Z23" s="7"/>
      <c r="AA23" s="7"/>
      <c r="AB23" s="7"/>
      <c r="AC23" s="7"/>
    </row>
    <row r="24" spans="1:29" x14ac:dyDescent="0.25">
      <c r="A24" s="112">
        <v>20</v>
      </c>
      <c r="B24" s="119" t="s">
        <v>34</v>
      </c>
      <c r="C24" s="121">
        <f t="shared" si="1"/>
        <v>91.999999999999886</v>
      </c>
      <c r="D24" s="123">
        <v>100</v>
      </c>
      <c r="E24" s="124">
        <f t="shared" si="0"/>
        <v>0.1</v>
      </c>
      <c r="F24" s="123">
        <v>1</v>
      </c>
      <c r="G24" s="124">
        <v>0.01</v>
      </c>
      <c r="H24" s="124">
        <v>0</v>
      </c>
      <c r="J24" s="130">
        <f ca="1"/>
        <v>1.0742382045186645</v>
      </c>
      <c r="K24" s="131">
        <f ca="1"/>
        <v>0.10000000000016036</v>
      </c>
      <c r="L24" s="1"/>
      <c r="W24" s="7"/>
      <c r="X24" s="7"/>
      <c r="Y24" s="7"/>
      <c r="Z24" s="7"/>
      <c r="AA24" s="7"/>
      <c r="AB24" s="7"/>
      <c r="AC24" s="7"/>
    </row>
    <row r="25" spans="1:29" x14ac:dyDescent="0.25">
      <c r="A25" s="112">
        <v>21</v>
      </c>
      <c r="B25" s="119" t="s">
        <v>34</v>
      </c>
      <c r="C25" s="121">
        <f t="shared" si="1"/>
        <v>92.099999999999881</v>
      </c>
      <c r="D25" s="123">
        <v>100</v>
      </c>
      <c r="E25" s="124">
        <f t="shared" si="0"/>
        <v>0.1</v>
      </c>
      <c r="F25" s="123">
        <v>1</v>
      </c>
      <c r="G25" s="124">
        <v>0.01</v>
      </c>
      <c r="H25" s="124">
        <v>0</v>
      </c>
      <c r="J25" s="130">
        <f ca="1"/>
        <v>1.0958383866571779</v>
      </c>
      <c r="K25" s="131">
        <f ca="1"/>
        <v>0.10000000000012847</v>
      </c>
      <c r="L25" s="1"/>
      <c r="W25" s="7"/>
      <c r="X25" s="7"/>
      <c r="Y25" s="7"/>
      <c r="Z25" s="7"/>
      <c r="AA25" s="7"/>
      <c r="AB25" s="7"/>
      <c r="AC25" s="7"/>
    </row>
    <row r="26" spans="1:29" x14ac:dyDescent="0.25">
      <c r="A26" s="112">
        <v>22</v>
      </c>
      <c r="B26" s="119" t="s">
        <v>34</v>
      </c>
      <c r="C26" s="121">
        <f t="shared" si="1"/>
        <v>92.199999999999875</v>
      </c>
      <c r="D26" s="123">
        <v>100</v>
      </c>
      <c r="E26" s="124">
        <f t="shared" si="0"/>
        <v>0.1</v>
      </c>
      <c r="F26" s="123">
        <v>1</v>
      </c>
      <c r="G26" s="124">
        <v>0.01</v>
      </c>
      <c r="H26" s="124">
        <v>0</v>
      </c>
      <c r="J26" s="130">
        <f ca="1"/>
        <v>1.1177566727484383</v>
      </c>
      <c r="K26" s="131">
        <f ca="1"/>
        <v>0.1000000000001024</v>
      </c>
      <c r="L26" s="1"/>
      <c r="W26" s="7"/>
      <c r="X26" s="7"/>
      <c r="Y26" s="7"/>
      <c r="Z26" s="7"/>
      <c r="AA26" s="7"/>
      <c r="AB26" s="7"/>
      <c r="AC26" s="7"/>
    </row>
    <row r="27" spans="1:29" x14ac:dyDescent="0.25">
      <c r="A27" s="112">
        <v>23</v>
      </c>
      <c r="B27" s="119" t="s">
        <v>34</v>
      </c>
      <c r="C27" s="121">
        <f t="shared" si="1"/>
        <v>92.299999999999869</v>
      </c>
      <c r="D27" s="123">
        <v>100</v>
      </c>
      <c r="E27" s="124">
        <f t="shared" si="0"/>
        <v>0.1</v>
      </c>
      <c r="F27" s="123">
        <v>1</v>
      </c>
      <c r="G27" s="124">
        <v>0.01</v>
      </c>
      <c r="H27" s="124">
        <v>0</v>
      </c>
      <c r="J27" s="130">
        <f ca="1"/>
        <v>1.1399953754381293</v>
      </c>
      <c r="K27" s="131">
        <f ca="1"/>
        <v>0.100000000000081</v>
      </c>
      <c r="L27" s="1"/>
      <c r="W27" s="7"/>
      <c r="X27" s="7"/>
      <c r="Y27" s="7"/>
      <c r="Z27" s="7"/>
      <c r="AA27" s="7"/>
      <c r="AB27" s="7"/>
      <c r="AC27" s="7"/>
    </row>
    <row r="28" spans="1:29" x14ac:dyDescent="0.25">
      <c r="A28" s="112">
        <v>24</v>
      </c>
      <c r="B28" s="119" t="s">
        <v>34</v>
      </c>
      <c r="C28" s="121">
        <f t="shared" si="1"/>
        <v>92.399999999999864</v>
      </c>
      <c r="D28" s="123">
        <v>100</v>
      </c>
      <c r="E28" s="124">
        <f t="shared" si="0"/>
        <v>0.1</v>
      </c>
      <c r="F28" s="123">
        <v>1</v>
      </c>
      <c r="G28" s="124">
        <v>0.01</v>
      </c>
      <c r="H28" s="124">
        <v>0</v>
      </c>
      <c r="J28" s="130">
        <f ca="1"/>
        <v>1.1625567837084603</v>
      </c>
      <c r="K28" s="131">
        <f ca="1"/>
        <v>0.1000000000000648</v>
      </c>
      <c r="L28" s="1"/>
      <c r="W28" s="7"/>
      <c r="X28" s="7"/>
      <c r="Y28" s="7"/>
      <c r="Z28" s="7"/>
      <c r="AA28" s="7"/>
      <c r="AB28" s="7"/>
      <c r="AC28" s="7"/>
    </row>
    <row r="29" spans="1:29" x14ac:dyDescent="0.25">
      <c r="A29" s="112">
        <v>25</v>
      </c>
      <c r="B29" s="119" t="s">
        <v>34</v>
      </c>
      <c r="C29" s="121">
        <f t="shared" si="1"/>
        <v>92.499999999999858</v>
      </c>
      <c r="D29" s="123">
        <v>100</v>
      </c>
      <c r="E29" s="124">
        <f t="shared" si="0"/>
        <v>0.1</v>
      </c>
      <c r="F29" s="123">
        <v>1</v>
      </c>
      <c r="G29" s="124">
        <v>0.01</v>
      </c>
      <c r="H29" s="124">
        <v>0</v>
      </c>
      <c r="J29" s="130">
        <f ca="1"/>
        <v>1.1854431622623949</v>
      </c>
      <c r="K29" s="131">
        <f ca="1"/>
        <v>0.10000000000005066</v>
      </c>
      <c r="L29" s="1"/>
      <c r="W29" s="7"/>
      <c r="X29" s="7"/>
      <c r="Y29" s="7"/>
      <c r="Z29" s="7"/>
      <c r="AA29" s="7"/>
      <c r="AB29" s="7"/>
      <c r="AC29" s="7"/>
    </row>
    <row r="30" spans="1:29" x14ac:dyDescent="0.25">
      <c r="A30" s="112">
        <v>26</v>
      </c>
      <c r="B30" s="119" t="s">
        <v>34</v>
      </c>
      <c r="C30" s="121">
        <f t="shared" si="1"/>
        <v>92.599999999999852</v>
      </c>
      <c r="D30" s="123">
        <v>100</v>
      </c>
      <c r="E30" s="124">
        <f t="shared" si="0"/>
        <v>0.1</v>
      </c>
      <c r="F30" s="123">
        <v>1</v>
      </c>
      <c r="G30" s="124">
        <v>0.01</v>
      </c>
      <c r="H30" s="124">
        <v>0</v>
      </c>
      <c r="J30" s="130">
        <f ca="1"/>
        <v>1.208656750915214</v>
      </c>
      <c r="K30" s="131">
        <f ca="1"/>
        <v>0.10000000000003974</v>
      </c>
      <c r="L30" s="1"/>
      <c r="W30" s="7"/>
      <c r="X30" s="7"/>
      <c r="Y30" s="7"/>
      <c r="Z30" s="7"/>
      <c r="AA30" s="7"/>
      <c r="AB30" s="7"/>
      <c r="AC30" s="7"/>
    </row>
    <row r="31" spans="1:29" x14ac:dyDescent="0.25">
      <c r="A31" s="112">
        <v>27</v>
      </c>
      <c r="B31" s="119" t="s">
        <v>34</v>
      </c>
      <c r="C31" s="121">
        <f t="shared" si="1"/>
        <v>92.699999999999847</v>
      </c>
      <c r="D31" s="123">
        <v>100</v>
      </c>
      <c r="E31" s="124">
        <f t="shared" si="0"/>
        <v>0.1</v>
      </c>
      <c r="F31" s="123">
        <v>1</v>
      </c>
      <c r="G31" s="124">
        <v>0.01</v>
      </c>
      <c r="H31" s="124">
        <v>0</v>
      </c>
      <c r="J31" s="130">
        <f ca="1"/>
        <v>1.2321997639930373</v>
      </c>
      <c r="K31" s="131">
        <f ca="1"/>
        <v>0.10000000000003158</v>
      </c>
      <c r="L31" s="1"/>
      <c r="W31" s="7"/>
      <c r="X31" s="7"/>
      <c r="Y31" s="7"/>
      <c r="Z31" s="7"/>
      <c r="AA31" s="7"/>
      <c r="AB31" s="7"/>
      <c r="AC31" s="7"/>
    </row>
    <row r="32" spans="1:29" x14ac:dyDescent="0.25">
      <c r="A32" s="112">
        <v>28</v>
      </c>
      <c r="B32" s="119" t="s">
        <v>34</v>
      </c>
      <c r="C32" s="121">
        <f t="shared" si="1"/>
        <v>92.799999999999841</v>
      </c>
      <c r="D32" s="123">
        <v>100</v>
      </c>
      <c r="E32" s="124">
        <f t="shared" si="0"/>
        <v>0.1</v>
      </c>
      <c r="F32" s="123">
        <v>1</v>
      </c>
      <c r="G32" s="124">
        <v>0.01</v>
      </c>
      <c r="H32" s="124">
        <v>0</v>
      </c>
      <c r="J32" s="130">
        <f ca="1"/>
        <v>1.2560743897391617</v>
      </c>
      <c r="K32" s="131">
        <f ca="1"/>
        <v>0.10000000000002493</v>
      </c>
      <c r="L32" s="1"/>
      <c r="W32" s="7"/>
      <c r="X32" s="7"/>
      <c r="Y32" s="7"/>
      <c r="Z32" s="7"/>
      <c r="AA32" s="7"/>
      <c r="AB32" s="7"/>
      <c r="AC32" s="7"/>
    </row>
    <row r="33" spans="1:29" x14ac:dyDescent="0.25">
      <c r="A33" s="112">
        <v>29</v>
      </c>
      <c r="B33" s="119" t="s">
        <v>34</v>
      </c>
      <c r="C33" s="121">
        <f t="shared" si="1"/>
        <v>92.899999999999835</v>
      </c>
      <c r="D33" s="123">
        <v>100</v>
      </c>
      <c r="E33" s="124">
        <f t="shared" si="0"/>
        <v>0.1</v>
      </c>
      <c r="F33" s="123">
        <v>1</v>
      </c>
      <c r="G33" s="124">
        <v>0.01</v>
      </c>
      <c r="H33" s="124">
        <v>0</v>
      </c>
      <c r="J33" s="130">
        <f ca="1"/>
        <v>1.2802827897279769</v>
      </c>
      <c r="K33" s="131">
        <f ca="1"/>
        <v>0.10000000000001991</v>
      </c>
      <c r="L33" s="1"/>
      <c r="W33" s="7"/>
      <c r="X33" s="7"/>
      <c r="Y33" s="7"/>
      <c r="Z33" s="7"/>
      <c r="AA33" s="7"/>
      <c r="AB33" s="7"/>
      <c r="AC33" s="7"/>
    </row>
    <row r="34" spans="1:29" x14ac:dyDescent="0.25">
      <c r="A34" s="112">
        <v>30</v>
      </c>
      <c r="B34" s="119" t="s">
        <v>34</v>
      </c>
      <c r="C34" s="121">
        <f t="shared" si="1"/>
        <v>92.999999999999829</v>
      </c>
      <c r="D34" s="123">
        <v>100</v>
      </c>
      <c r="E34" s="124">
        <f t="shared" si="0"/>
        <v>0.1</v>
      </c>
      <c r="F34" s="123">
        <v>1</v>
      </c>
      <c r="G34" s="124">
        <v>0.01</v>
      </c>
      <c r="H34" s="124">
        <v>0</v>
      </c>
      <c r="J34" s="130">
        <f ca="1"/>
        <v>1.3048270982871948</v>
      </c>
      <c r="K34" s="131">
        <f ca="1"/>
        <v>0.10000000000001472</v>
      </c>
      <c r="L34" s="1"/>
      <c r="W34" s="7"/>
      <c r="X34" s="7"/>
      <c r="Y34" s="7"/>
      <c r="Z34" s="7"/>
      <c r="AA34" s="7"/>
      <c r="AB34" s="7"/>
      <c r="AC34" s="7"/>
    </row>
    <row r="35" spans="1:29" x14ac:dyDescent="0.25">
      <c r="A35" s="112">
        <v>31</v>
      </c>
      <c r="B35" s="119" t="s">
        <v>34</v>
      </c>
      <c r="C35" s="121">
        <f t="shared" si="1"/>
        <v>93.099999999999824</v>
      </c>
      <c r="D35" s="123">
        <v>100</v>
      </c>
      <c r="E35" s="124">
        <f t="shared" si="0"/>
        <v>0.1</v>
      </c>
      <c r="F35" s="123">
        <v>1</v>
      </c>
      <c r="G35" s="124">
        <v>0.01</v>
      </c>
      <c r="H35" s="124">
        <v>0</v>
      </c>
      <c r="J35" s="130">
        <f ca="1"/>
        <v>1.3297094219284524</v>
      </c>
      <c r="K35" s="131">
        <f ca="1"/>
        <v>0.10000000000001159</v>
      </c>
      <c r="L35" s="1"/>
      <c r="W35" s="7"/>
      <c r="X35" s="7"/>
      <c r="Y35" s="7"/>
      <c r="Z35" s="7"/>
      <c r="AA35" s="7"/>
      <c r="AB35" s="7"/>
      <c r="AC35" s="7"/>
    </row>
    <row r="36" spans="1:29" x14ac:dyDescent="0.25">
      <c r="A36" s="112">
        <v>32</v>
      </c>
      <c r="B36" s="119" t="s">
        <v>34</v>
      </c>
      <c r="C36" s="121">
        <f t="shared" si="1"/>
        <v>93.199999999999818</v>
      </c>
      <c r="D36" s="123">
        <v>100</v>
      </c>
      <c r="E36" s="124">
        <f t="shared" si="0"/>
        <v>0.1</v>
      </c>
      <c r="F36" s="123">
        <v>1</v>
      </c>
      <c r="G36" s="124">
        <v>0.01</v>
      </c>
      <c r="H36" s="124">
        <v>0</v>
      </c>
      <c r="J36" s="130">
        <f ca="1"/>
        <v>1.3549318387863387</v>
      </c>
      <c r="K36" s="131">
        <f ca="1"/>
        <v>0.1000000000000095</v>
      </c>
      <c r="L36" s="1"/>
      <c r="W36" s="7"/>
      <c r="X36" s="7"/>
      <c r="Y36" s="7"/>
      <c r="Z36" s="7"/>
      <c r="AA36" s="7"/>
      <c r="AB36" s="7"/>
      <c r="AC36" s="7"/>
    </row>
    <row r="37" spans="1:29" x14ac:dyDescent="0.25">
      <c r="A37" s="112">
        <v>33</v>
      </c>
      <c r="B37" s="119" t="s">
        <v>34</v>
      </c>
      <c r="C37" s="121">
        <f t="shared" si="1"/>
        <v>93.299999999999812</v>
      </c>
      <c r="D37" s="123">
        <v>100</v>
      </c>
      <c r="E37" s="124">
        <f t="shared" si="0"/>
        <v>0.1</v>
      </c>
      <c r="F37" s="123">
        <v>1</v>
      </c>
      <c r="G37" s="124">
        <v>0.01</v>
      </c>
      <c r="H37" s="124">
        <v>0</v>
      </c>
      <c r="J37" s="130">
        <f ca="1"/>
        <v>1.380496398066505</v>
      </c>
      <c r="K37" s="131">
        <f ca="1"/>
        <v>0.10000000000000724</v>
      </c>
      <c r="L37" s="1"/>
      <c r="W37" s="7"/>
      <c r="X37" s="7"/>
      <c r="Y37" s="7"/>
      <c r="Z37" s="7"/>
      <c r="AA37" s="7"/>
      <c r="AB37" s="7"/>
      <c r="AC37" s="7"/>
    </row>
    <row r="38" spans="1:29" x14ac:dyDescent="0.25">
      <c r="A38" s="112">
        <v>34</v>
      </c>
      <c r="B38" s="119" t="s">
        <v>34</v>
      </c>
      <c r="C38" s="121">
        <f t="shared" si="1"/>
        <v>93.399999999999807</v>
      </c>
      <c r="D38" s="123">
        <v>100</v>
      </c>
      <c r="E38" s="124">
        <f t="shared" si="0"/>
        <v>0.1</v>
      </c>
      <c r="F38" s="123">
        <v>1</v>
      </c>
      <c r="G38" s="124">
        <v>0.01</v>
      </c>
      <c r="H38" s="124">
        <v>0</v>
      </c>
      <c r="J38" s="130">
        <f ca="1"/>
        <v>1.4064051195028497</v>
      </c>
      <c r="K38" s="131">
        <f ca="1"/>
        <v>0.10000000000000535</v>
      </c>
      <c r="L38" s="1"/>
      <c r="W38" s="7"/>
      <c r="X38" s="7"/>
      <c r="Y38" s="7"/>
      <c r="Z38" s="7"/>
      <c r="AA38" s="7"/>
      <c r="AB38" s="7"/>
      <c r="AC38" s="7"/>
    </row>
    <row r="39" spans="1:29" x14ac:dyDescent="0.25">
      <c r="A39" s="112">
        <v>35</v>
      </c>
      <c r="B39" s="119" t="s">
        <v>34</v>
      </c>
      <c r="C39" s="121">
        <f t="shared" si="1"/>
        <v>93.499999999999801</v>
      </c>
      <c r="D39" s="123">
        <v>100</v>
      </c>
      <c r="E39" s="124">
        <f t="shared" si="0"/>
        <v>0.1</v>
      </c>
      <c r="F39" s="123">
        <v>1</v>
      </c>
      <c r="G39" s="124">
        <v>0.01</v>
      </c>
      <c r="H39" s="124">
        <v>0</v>
      </c>
      <c r="J39" s="130">
        <f ca="1"/>
        <v>1.4326599928240427</v>
      </c>
      <c r="K39" s="131">
        <f ca="1"/>
        <v>0.10000000000000416</v>
      </c>
      <c r="L39" s="1"/>
      <c r="W39" s="7"/>
      <c r="X39" s="7"/>
      <c r="Y39" s="7"/>
      <c r="Z39" s="7"/>
      <c r="AA39" s="7"/>
      <c r="AB39" s="7"/>
      <c r="AC39" s="7"/>
    </row>
    <row r="40" spans="1:29" x14ac:dyDescent="0.25">
      <c r="A40" s="112">
        <v>36</v>
      </c>
      <c r="B40" s="119" t="s">
        <v>34</v>
      </c>
      <c r="C40" s="121">
        <f t="shared" si="1"/>
        <v>93.599999999999795</v>
      </c>
      <c r="D40" s="123">
        <v>100</v>
      </c>
      <c r="E40" s="124">
        <f t="shared" si="0"/>
        <v>0.1</v>
      </c>
      <c r="F40" s="123">
        <v>1</v>
      </c>
      <c r="G40" s="124">
        <v>0.01</v>
      </c>
      <c r="H40" s="124">
        <v>0</v>
      </c>
      <c r="J40" s="130">
        <f ca="1"/>
        <v>1.4592629772296455</v>
      </c>
      <c r="K40" s="131">
        <f ca="1"/>
        <v>0.10000000000000327</v>
      </c>
      <c r="L40" s="1"/>
      <c r="W40" s="7"/>
      <c r="X40" s="7"/>
      <c r="Y40" s="7"/>
      <c r="Z40" s="7"/>
      <c r="AA40" s="7"/>
      <c r="AB40" s="7"/>
      <c r="AC40" s="7"/>
    </row>
    <row r="41" spans="1:29" x14ac:dyDescent="0.25">
      <c r="A41" s="112">
        <v>37</v>
      </c>
      <c r="B41" s="119" t="s">
        <v>34</v>
      </c>
      <c r="C41" s="121">
        <f t="shared" si="1"/>
        <v>93.69999999999979</v>
      </c>
      <c r="D41" s="123">
        <v>100</v>
      </c>
      <c r="E41" s="124">
        <f t="shared" si="0"/>
        <v>0.1</v>
      </c>
      <c r="F41" s="123">
        <v>1</v>
      </c>
      <c r="G41" s="124">
        <v>0.01</v>
      </c>
      <c r="H41" s="124">
        <v>0</v>
      </c>
      <c r="J41" s="130">
        <f ca="1"/>
        <v>1.4862160008761798</v>
      </c>
      <c r="K41" s="131">
        <f ca="1"/>
        <v>0.10000000000000278</v>
      </c>
      <c r="L41" s="1"/>
      <c r="W41" s="7"/>
      <c r="X41" s="7"/>
      <c r="Y41" s="7"/>
      <c r="Z41" s="7"/>
      <c r="AA41" s="7"/>
      <c r="AB41" s="7"/>
      <c r="AC41" s="7"/>
    </row>
    <row r="42" spans="1:29" x14ac:dyDescent="0.25">
      <c r="A42" s="112">
        <v>38</v>
      </c>
      <c r="B42" s="119" t="s">
        <v>34</v>
      </c>
      <c r="C42" s="121">
        <f t="shared" si="1"/>
        <v>93.799999999999784</v>
      </c>
      <c r="D42" s="123">
        <v>100</v>
      </c>
      <c r="E42" s="124">
        <f t="shared" si="0"/>
        <v>0.1</v>
      </c>
      <c r="F42" s="123">
        <v>1</v>
      </c>
      <c r="G42" s="124">
        <v>0.01</v>
      </c>
      <c r="H42" s="124">
        <v>0</v>
      </c>
      <c r="J42" s="130">
        <f ca="1"/>
        <v>1.5135209603730999</v>
      </c>
      <c r="K42" s="131">
        <f ca="1"/>
        <v>0.10000000000000187</v>
      </c>
      <c r="L42" s="1"/>
      <c r="W42" s="7"/>
      <c r="X42" s="7"/>
      <c r="Y42" s="7"/>
      <c r="Z42" s="7"/>
      <c r="AA42" s="7"/>
      <c r="AB42" s="7"/>
      <c r="AC42" s="7"/>
    </row>
    <row r="43" spans="1:29" x14ac:dyDescent="0.25">
      <c r="A43" s="112">
        <v>39</v>
      </c>
      <c r="B43" s="119" t="s">
        <v>34</v>
      </c>
      <c r="C43" s="121">
        <f t="shared" si="1"/>
        <v>93.899999999999778</v>
      </c>
      <c r="D43" s="123">
        <v>100</v>
      </c>
      <c r="E43" s="124">
        <f t="shared" si="0"/>
        <v>0.1</v>
      </c>
      <c r="F43" s="123">
        <v>1</v>
      </c>
      <c r="G43" s="124">
        <v>0.01</v>
      </c>
      <c r="H43" s="124">
        <v>0</v>
      </c>
      <c r="J43" s="130">
        <f ca="1"/>
        <v>1.5411797202892288</v>
      </c>
      <c r="K43" s="131">
        <f ca="1"/>
        <v>0.10000000000000164</v>
      </c>
      <c r="L43" s="1"/>
      <c r="W43" s="7"/>
      <c r="X43" s="7"/>
      <c r="Y43" s="7"/>
      <c r="Z43" s="7"/>
      <c r="AA43" s="7"/>
      <c r="AB43" s="7"/>
      <c r="AC43" s="7"/>
    </row>
    <row r="44" spans="1:29" x14ac:dyDescent="0.25">
      <c r="A44" s="112">
        <v>40</v>
      </c>
      <c r="B44" s="119" t="s">
        <v>34</v>
      </c>
      <c r="C44" s="121">
        <f t="shared" si="1"/>
        <v>93.999999999999773</v>
      </c>
      <c r="D44" s="123">
        <v>100</v>
      </c>
      <c r="E44" s="124">
        <f t="shared" si="0"/>
        <v>0.1</v>
      </c>
      <c r="F44" s="123">
        <v>1</v>
      </c>
      <c r="G44" s="124">
        <v>0.01</v>
      </c>
      <c r="H44" s="124">
        <v>0</v>
      </c>
      <c r="J44" s="130">
        <f ca="1"/>
        <v>1.5691941126695177</v>
      </c>
      <c r="K44" s="131">
        <f ca="1"/>
        <v>0.10000000000000132</v>
      </c>
      <c r="L44" s="1"/>
      <c r="W44" s="7"/>
      <c r="X44" s="7"/>
      <c r="Y44" s="7"/>
      <c r="Z44" s="7"/>
      <c r="AA44" s="7"/>
      <c r="AB44" s="7"/>
      <c r="AC44" s="7"/>
    </row>
    <row r="45" spans="1:29" x14ac:dyDescent="0.25">
      <c r="A45" s="112">
        <v>41</v>
      </c>
      <c r="B45" s="119" t="s">
        <v>34</v>
      </c>
      <c r="C45" s="121">
        <f t="shared" si="1"/>
        <v>94.099999999999767</v>
      </c>
      <c r="D45" s="123">
        <v>100</v>
      </c>
      <c r="E45" s="124">
        <f t="shared" si="0"/>
        <v>0.1</v>
      </c>
      <c r="F45" s="123">
        <v>1</v>
      </c>
      <c r="G45" s="124">
        <v>0.01</v>
      </c>
      <c r="H45" s="124">
        <v>0</v>
      </c>
      <c r="J45" s="130">
        <f ca="1"/>
        <v>1.59756593656261</v>
      </c>
      <c r="K45" s="131">
        <f ca="1"/>
        <v>0.1000000000000007</v>
      </c>
      <c r="L45" s="1"/>
      <c r="W45" s="7"/>
      <c r="X45" s="7"/>
      <c r="Y45" s="7"/>
      <c r="Z45" s="7"/>
      <c r="AA45" s="7"/>
      <c r="AB45" s="7"/>
      <c r="AC45" s="7"/>
    </row>
    <row r="46" spans="1:29" x14ac:dyDescent="0.25">
      <c r="A46" s="112">
        <v>42</v>
      </c>
      <c r="B46" s="119" t="s">
        <v>34</v>
      </c>
      <c r="C46" s="121">
        <f t="shared" si="1"/>
        <v>94.199999999999761</v>
      </c>
      <c r="D46" s="123">
        <v>100</v>
      </c>
      <c r="E46" s="124">
        <f t="shared" si="0"/>
        <v>0.1</v>
      </c>
      <c r="F46" s="123">
        <v>1</v>
      </c>
      <c r="G46" s="124">
        <v>0.01</v>
      </c>
      <c r="H46" s="124">
        <v>0</v>
      </c>
      <c r="J46" s="130">
        <f ca="1"/>
        <v>1.6262969575593331</v>
      </c>
      <c r="K46" s="131">
        <f ca="1"/>
        <v>0.10000000000000048</v>
      </c>
      <c r="L46" s="1"/>
      <c r="W46" s="7"/>
      <c r="X46" s="7"/>
      <c r="Y46" s="7"/>
      <c r="Z46" s="7"/>
      <c r="AA46" s="7"/>
      <c r="AB46" s="7"/>
      <c r="AC46" s="7"/>
    </row>
    <row r="47" spans="1:29" x14ac:dyDescent="0.25">
      <c r="A47" s="112">
        <v>43</v>
      </c>
      <c r="B47" s="119" t="s">
        <v>34</v>
      </c>
      <c r="C47" s="121">
        <f t="shared" si="1"/>
        <v>94.299999999999756</v>
      </c>
      <c r="D47" s="123">
        <v>100</v>
      </c>
      <c r="E47" s="124">
        <f t="shared" si="0"/>
        <v>0.1</v>
      </c>
      <c r="F47" s="123">
        <v>1</v>
      </c>
      <c r="G47" s="124">
        <v>0.01</v>
      </c>
      <c r="H47" s="124">
        <v>0</v>
      </c>
      <c r="J47" s="130">
        <f ca="1"/>
        <v>1.655388907342136</v>
      </c>
      <c r="K47" s="131">
        <f ca="1"/>
        <v>0.10000000000290515</v>
      </c>
      <c r="L47" s="1"/>
      <c r="W47" s="7"/>
      <c r="X47" s="7"/>
      <c r="Y47" s="7"/>
      <c r="Z47" s="7"/>
      <c r="AA47" s="7"/>
      <c r="AB47" s="7"/>
      <c r="AC47" s="7"/>
    </row>
    <row r="48" spans="1:29" x14ac:dyDescent="0.25">
      <c r="A48" s="112">
        <v>44</v>
      </c>
      <c r="B48" s="119" t="s">
        <v>34</v>
      </c>
      <c r="C48" s="121">
        <f t="shared" si="1"/>
        <v>94.39999999999975</v>
      </c>
      <c r="D48" s="123">
        <v>100</v>
      </c>
      <c r="E48" s="124">
        <f t="shared" si="0"/>
        <v>0.1</v>
      </c>
      <c r="F48" s="123">
        <v>1</v>
      </c>
      <c r="G48" s="124">
        <v>0.01</v>
      </c>
      <c r="H48" s="124">
        <v>0</v>
      </c>
      <c r="J48" s="130">
        <f ca="1"/>
        <v>1.6848434832459063</v>
      </c>
      <c r="K48" s="131">
        <f ca="1"/>
        <v>0.10000000000228115</v>
      </c>
      <c r="L48" s="1"/>
      <c r="W48" s="7"/>
      <c r="X48" s="7"/>
      <c r="Y48" s="7"/>
      <c r="Z48" s="7"/>
      <c r="AA48" s="7"/>
      <c r="AB48" s="7"/>
      <c r="AC48" s="7"/>
    </row>
    <row r="49" spans="1:29" x14ac:dyDescent="0.25">
      <c r="A49" s="112">
        <v>45</v>
      </c>
      <c r="B49" s="119" t="s">
        <v>34</v>
      </c>
      <c r="C49" s="121">
        <f t="shared" si="1"/>
        <v>94.499999999999744</v>
      </c>
      <c r="D49" s="123">
        <v>100</v>
      </c>
      <c r="E49" s="124">
        <f t="shared" si="0"/>
        <v>0.1</v>
      </c>
      <c r="F49" s="123">
        <v>1</v>
      </c>
      <c r="G49" s="124">
        <v>0.01</v>
      </c>
      <c r="H49" s="124">
        <v>0</v>
      </c>
      <c r="J49" s="130">
        <f ca="1"/>
        <v>1.7146623478304122</v>
      </c>
      <c r="K49" s="131">
        <f ca="1"/>
        <v>0.1000000000017881</v>
      </c>
      <c r="L49" s="1"/>
      <c r="W49" s="7"/>
      <c r="X49" s="7"/>
      <c r="Y49" s="7"/>
      <c r="Z49" s="7"/>
      <c r="AA49" s="7"/>
      <c r="AB49" s="7"/>
      <c r="AC49" s="7"/>
    </row>
    <row r="50" spans="1:29" x14ac:dyDescent="0.25">
      <c r="A50" s="112">
        <v>46</v>
      </c>
      <c r="B50" s="119" t="s">
        <v>34</v>
      </c>
      <c r="C50" s="121">
        <f t="shared" si="1"/>
        <v>94.599999999999739</v>
      </c>
      <c r="D50" s="123">
        <v>100</v>
      </c>
      <c r="E50" s="124">
        <f t="shared" si="0"/>
        <v>0.1</v>
      </c>
      <c r="F50" s="123">
        <v>1</v>
      </c>
      <c r="G50" s="124">
        <v>0.01</v>
      </c>
      <c r="H50" s="124">
        <v>0</v>
      </c>
      <c r="J50" s="130">
        <f ca="1"/>
        <v>1.7448471284639133</v>
      </c>
      <c r="K50" s="131">
        <f ca="1"/>
        <v>0.10000000000139911</v>
      </c>
      <c r="L50" s="1"/>
      <c r="W50" s="7"/>
      <c r="X50" s="7"/>
      <c r="Y50" s="7"/>
      <c r="Z50" s="7"/>
      <c r="AA50" s="7"/>
      <c r="AB50" s="7"/>
      <c r="AC50" s="7"/>
    </row>
    <row r="51" spans="1:29" x14ac:dyDescent="0.25">
      <c r="A51" s="112">
        <v>47</v>
      </c>
      <c r="B51" s="119" t="s">
        <v>34</v>
      </c>
      <c r="C51" s="121">
        <f t="shared" si="1"/>
        <v>94.699999999999733</v>
      </c>
      <c r="D51" s="123">
        <v>100</v>
      </c>
      <c r="E51" s="124">
        <f t="shared" si="0"/>
        <v>0.1</v>
      </c>
      <c r="F51" s="123">
        <v>1</v>
      </c>
      <c r="G51" s="124">
        <v>0.01</v>
      </c>
      <c r="H51" s="124">
        <v>0</v>
      </c>
      <c r="J51" s="130">
        <f ca="1"/>
        <v>1.7753994169190399</v>
      </c>
      <c r="K51" s="131">
        <f ca="1"/>
        <v>0.1000000000010927</v>
      </c>
      <c r="L51" s="1"/>
      <c r="W51" s="7"/>
      <c r="X51" s="7"/>
      <c r="Y51" s="7"/>
      <c r="Z51" s="7"/>
      <c r="AA51" s="7"/>
      <c r="AB51" s="7"/>
      <c r="AC51" s="7"/>
    </row>
    <row r="52" spans="1:29" x14ac:dyDescent="0.25">
      <c r="A52" s="112">
        <v>48</v>
      </c>
      <c r="B52" s="119" t="s">
        <v>34</v>
      </c>
      <c r="C52" s="121">
        <f t="shared" si="1"/>
        <v>94.799999999999727</v>
      </c>
      <c r="D52" s="123">
        <v>100</v>
      </c>
      <c r="E52" s="124">
        <f t="shared" si="0"/>
        <v>0.1</v>
      </c>
      <c r="F52" s="123">
        <v>1</v>
      </c>
      <c r="G52" s="124">
        <v>0.01</v>
      </c>
      <c r="H52" s="124">
        <v>0</v>
      </c>
      <c r="J52" s="130">
        <f ca="1"/>
        <v>1.8063207689803811</v>
      </c>
      <c r="K52" s="131">
        <f ca="1"/>
        <v>0.10000000000085177</v>
      </c>
      <c r="L52" s="1"/>
      <c r="W52" s="7"/>
      <c r="X52" s="7"/>
      <c r="Y52" s="7"/>
      <c r="Z52" s="7"/>
      <c r="AA52" s="7"/>
      <c r="AB52" s="7"/>
      <c r="AC52" s="7"/>
    </row>
    <row r="53" spans="1:29" x14ac:dyDescent="0.25">
      <c r="A53" s="112">
        <v>49</v>
      </c>
      <c r="B53" s="119" t="s">
        <v>34</v>
      </c>
      <c r="C53" s="121">
        <f t="shared" si="1"/>
        <v>94.899999999999721</v>
      </c>
      <c r="D53" s="123">
        <v>100</v>
      </c>
      <c r="E53" s="124">
        <f t="shared" si="0"/>
        <v>0.1</v>
      </c>
      <c r="F53" s="123">
        <v>1</v>
      </c>
      <c r="G53" s="124">
        <v>0.01</v>
      </c>
      <c r="H53" s="124">
        <v>0</v>
      </c>
      <c r="J53" s="130">
        <f ca="1"/>
        <v>1.8376127040641705</v>
      </c>
      <c r="K53" s="131">
        <f ca="1"/>
        <v>0.10000000000066239</v>
      </c>
      <c r="L53" s="1"/>
      <c r="W53" s="7"/>
      <c r="X53" s="7"/>
      <c r="Y53" s="7"/>
      <c r="Z53" s="7"/>
      <c r="AA53" s="7"/>
      <c r="AB53" s="7"/>
      <c r="AC53" s="7"/>
    </row>
    <row r="54" spans="1:29" x14ac:dyDescent="0.25">
      <c r="A54" s="112">
        <v>50</v>
      </c>
      <c r="B54" s="119" t="s">
        <v>34</v>
      </c>
      <c r="C54" s="121">
        <f t="shared" si="1"/>
        <v>94.999999999999716</v>
      </c>
      <c r="D54" s="123">
        <v>100</v>
      </c>
      <c r="E54" s="124">
        <f t="shared" si="0"/>
        <v>0.1</v>
      </c>
      <c r="F54" s="123">
        <v>1</v>
      </c>
      <c r="G54" s="124">
        <v>0.01</v>
      </c>
      <c r="H54" s="124">
        <v>0</v>
      </c>
      <c r="J54" s="130">
        <f ca="1"/>
        <v>1.8692767048503356</v>
      </c>
      <c r="K54" s="131">
        <f ca="1"/>
        <v>0.10000000000051376</v>
      </c>
      <c r="L54" s="1"/>
      <c r="W54" s="7"/>
      <c r="X54" s="7"/>
      <c r="Y54" s="7"/>
      <c r="Z54" s="7"/>
      <c r="AA54" s="7"/>
      <c r="AB54" s="7"/>
      <c r="AC54" s="7"/>
    </row>
    <row r="55" spans="1:29" x14ac:dyDescent="0.25">
      <c r="A55" s="112">
        <v>51</v>
      </c>
      <c r="B55" s="119" t="s">
        <v>34</v>
      </c>
      <c r="C55" s="121">
        <f t="shared" si="1"/>
        <v>95.09999999999971</v>
      </c>
      <c r="D55" s="123">
        <v>100</v>
      </c>
      <c r="E55" s="124">
        <f t="shared" si="0"/>
        <v>0.1</v>
      </c>
      <c r="F55" s="123">
        <v>1</v>
      </c>
      <c r="G55" s="124">
        <v>0.01</v>
      </c>
      <c r="H55" s="124">
        <v>0</v>
      </c>
      <c r="J55" s="130">
        <f ca="1"/>
        <v>1.9013142169267958</v>
      </c>
      <c r="K55" s="131">
        <f ca="1"/>
        <v>0.1000000000003973</v>
      </c>
      <c r="L55" s="1"/>
      <c r="W55" s="7"/>
      <c r="X55" s="7"/>
      <c r="Y55" s="7"/>
      <c r="Z55" s="7"/>
      <c r="AA55" s="7"/>
      <c r="AB55" s="7"/>
      <c r="AC55" s="7"/>
    </row>
    <row r="56" spans="1:29" x14ac:dyDescent="0.25">
      <c r="A56" s="112">
        <v>52</v>
      </c>
      <c r="B56" s="119" t="s">
        <v>34</v>
      </c>
      <c r="C56" s="121">
        <f t="shared" si="1"/>
        <v>95.199999999999704</v>
      </c>
      <c r="D56" s="123">
        <v>100</v>
      </c>
      <c r="E56" s="124">
        <f t="shared" si="0"/>
        <v>0.1</v>
      </c>
      <c r="F56" s="123">
        <v>1</v>
      </c>
      <c r="G56" s="124">
        <v>0.01</v>
      </c>
      <c r="H56" s="124">
        <v>0</v>
      </c>
      <c r="J56" s="130">
        <f ca="1"/>
        <v>1.9337266484463633</v>
      </c>
      <c r="K56" s="131">
        <f ca="1"/>
        <v>0.10000000000030665</v>
      </c>
      <c r="L56" s="1"/>
      <c r="W56" s="7"/>
      <c r="X56" s="7"/>
      <c r="Y56" s="7"/>
      <c r="Z56" s="7"/>
      <c r="AA56" s="7"/>
      <c r="AB56" s="7"/>
      <c r="AC56" s="7"/>
    </row>
    <row r="57" spans="1:29" x14ac:dyDescent="0.25">
      <c r="A57" s="112">
        <v>53</v>
      </c>
      <c r="B57" s="119" t="s">
        <v>34</v>
      </c>
      <c r="C57" s="121">
        <f t="shared" si="1"/>
        <v>95.299999999999699</v>
      </c>
      <c r="D57" s="123">
        <v>100</v>
      </c>
      <c r="E57" s="124">
        <f t="shared" si="0"/>
        <v>0.1</v>
      </c>
      <c r="F57" s="123">
        <v>1</v>
      </c>
      <c r="G57" s="124">
        <v>0.01</v>
      </c>
      <c r="H57" s="124">
        <v>0</v>
      </c>
      <c r="J57" s="130">
        <f ca="1"/>
        <v>1.9665153697961557</v>
      </c>
      <c r="K57" s="131">
        <f ca="1"/>
        <v>0.10000000000023594</v>
      </c>
      <c r="L57" s="1"/>
      <c r="W57" s="7"/>
      <c r="X57" s="7"/>
      <c r="Y57" s="7"/>
      <c r="Z57" s="7"/>
      <c r="AA57" s="7"/>
      <c r="AB57" s="7"/>
      <c r="AC57" s="7"/>
    </row>
    <row r="58" spans="1:29" x14ac:dyDescent="0.25">
      <c r="A58" s="112">
        <v>54</v>
      </c>
      <c r="B58" s="119" t="s">
        <v>34</v>
      </c>
      <c r="C58" s="121">
        <f t="shared" si="1"/>
        <v>95.399999999999693</v>
      </c>
      <c r="D58" s="123">
        <v>100</v>
      </c>
      <c r="E58" s="124">
        <f t="shared" si="0"/>
        <v>0.1</v>
      </c>
      <c r="F58" s="123">
        <v>1</v>
      </c>
      <c r="G58" s="124">
        <v>0.01</v>
      </c>
      <c r="H58" s="124">
        <v>0</v>
      </c>
      <c r="J58" s="130">
        <f ca="1"/>
        <v>1.9996817132799229</v>
      </c>
      <c r="K58" s="131">
        <f ca="1"/>
        <v>0.10000000000018018</v>
      </c>
      <c r="L58" s="1"/>
      <c r="W58" s="7"/>
      <c r="X58" s="7"/>
      <c r="Y58" s="7"/>
      <c r="Z58" s="7"/>
      <c r="AA58" s="7"/>
      <c r="AB58" s="7"/>
      <c r="AC58" s="7"/>
    </row>
    <row r="59" spans="1:29" x14ac:dyDescent="0.25">
      <c r="A59" s="112">
        <v>55</v>
      </c>
      <c r="B59" s="119" t="s">
        <v>34</v>
      </c>
      <c r="C59" s="121">
        <f t="shared" si="1"/>
        <v>95.499999999999687</v>
      </c>
      <c r="D59" s="123">
        <v>100</v>
      </c>
      <c r="E59" s="124">
        <f t="shared" si="0"/>
        <v>0.1</v>
      </c>
      <c r="F59" s="123">
        <v>1</v>
      </c>
      <c r="G59" s="124">
        <v>0.01</v>
      </c>
      <c r="H59" s="124">
        <v>0</v>
      </c>
      <c r="J59" s="130">
        <f ca="1"/>
        <v>2.0332269728130683</v>
      </c>
      <c r="K59" s="131">
        <f ca="1"/>
        <v>0.10000000000013756</v>
      </c>
      <c r="L59" s="1"/>
      <c r="W59" s="7"/>
      <c r="X59" s="7"/>
      <c r="Y59" s="7"/>
      <c r="Z59" s="7"/>
      <c r="AA59" s="7"/>
      <c r="AB59" s="7"/>
      <c r="AC59" s="7"/>
    </row>
    <row r="60" spans="1:29" x14ac:dyDescent="0.25">
      <c r="A60" s="112">
        <v>56</v>
      </c>
      <c r="B60" s="119" t="s">
        <v>34</v>
      </c>
      <c r="C60" s="121">
        <f t="shared" si="1"/>
        <v>95.599999999999682</v>
      </c>
      <c r="D60" s="123">
        <v>100</v>
      </c>
      <c r="E60" s="124">
        <f t="shared" si="0"/>
        <v>0.1</v>
      </c>
      <c r="F60" s="123">
        <v>1</v>
      </c>
      <c r="G60" s="124">
        <v>0.01</v>
      </c>
      <c r="H60" s="124">
        <v>0</v>
      </c>
      <c r="J60" s="130">
        <f ca="1"/>
        <v>2.0671524036306614</v>
      </c>
      <c r="K60" s="131">
        <f ca="1"/>
        <v>0.10000000000010406</v>
      </c>
      <c r="L60" s="1"/>
      <c r="W60" s="7"/>
      <c r="X60" s="7"/>
      <c r="Y60" s="7"/>
      <c r="Z60" s="7"/>
      <c r="AA60" s="7"/>
      <c r="AB60" s="7"/>
      <c r="AC60" s="7"/>
    </row>
    <row r="61" spans="1:29" x14ac:dyDescent="0.25">
      <c r="A61" s="112">
        <v>57</v>
      </c>
      <c r="B61" s="119" t="s">
        <v>34</v>
      </c>
      <c r="C61" s="121">
        <f t="shared" si="1"/>
        <v>95.699999999999676</v>
      </c>
      <c r="D61" s="123">
        <v>100</v>
      </c>
      <c r="E61" s="124">
        <f t="shared" si="0"/>
        <v>0.1</v>
      </c>
      <c r="F61" s="123">
        <v>1</v>
      </c>
      <c r="G61" s="124">
        <v>0.01</v>
      </c>
      <c r="H61" s="124">
        <v>0</v>
      </c>
      <c r="J61" s="130">
        <f ca="1"/>
        <v>2.1014592220084936</v>
      </c>
      <c r="K61" s="131">
        <f ca="1"/>
        <v>0.10000000000007842</v>
      </c>
      <c r="L61" s="1"/>
      <c r="W61" s="7"/>
      <c r="X61" s="7"/>
      <c r="Y61" s="7"/>
      <c r="Z61" s="7"/>
      <c r="AA61" s="7"/>
      <c r="AB61" s="7"/>
      <c r="AC61" s="7"/>
    </row>
    <row r="62" spans="1:29" x14ac:dyDescent="0.25">
      <c r="A62" s="112">
        <v>58</v>
      </c>
      <c r="B62" s="119" t="s">
        <v>34</v>
      </c>
      <c r="C62" s="121">
        <f t="shared" si="1"/>
        <v>95.79999999999967</v>
      </c>
      <c r="D62" s="123">
        <v>100</v>
      </c>
      <c r="E62" s="124">
        <f t="shared" si="0"/>
        <v>0.1</v>
      </c>
      <c r="F62" s="123">
        <v>1</v>
      </c>
      <c r="G62" s="124">
        <v>0.01</v>
      </c>
      <c r="H62" s="124">
        <v>0</v>
      </c>
      <c r="J62" s="130">
        <f ca="1"/>
        <v>2.1361486049972633</v>
      </c>
      <c r="K62" s="131">
        <f ca="1"/>
        <v>0.10000000000005867</v>
      </c>
      <c r="L62" s="1"/>
      <c r="W62" s="7"/>
      <c r="X62" s="7"/>
      <c r="Y62" s="7"/>
      <c r="Z62" s="7"/>
      <c r="AA62" s="7"/>
      <c r="AB62" s="7"/>
      <c r="AC62" s="7"/>
    </row>
    <row r="63" spans="1:29" x14ac:dyDescent="0.25">
      <c r="A63" s="112">
        <v>59</v>
      </c>
      <c r="B63" s="119" t="s">
        <v>34</v>
      </c>
      <c r="C63" s="121">
        <f t="shared" si="1"/>
        <v>95.899999999999665</v>
      </c>
      <c r="D63" s="123">
        <v>100</v>
      </c>
      <c r="E63" s="124">
        <f t="shared" si="0"/>
        <v>0.1</v>
      </c>
      <c r="F63" s="123">
        <v>1</v>
      </c>
      <c r="G63" s="124">
        <v>0.01</v>
      </c>
      <c r="H63" s="124">
        <v>0</v>
      </c>
      <c r="J63" s="130">
        <f ca="1"/>
        <v>2.1712216901699399</v>
      </c>
      <c r="K63" s="131">
        <f ca="1"/>
        <v>0.10000000000004396</v>
      </c>
      <c r="L63" s="1"/>
      <c r="W63" s="7"/>
      <c r="X63" s="7"/>
      <c r="Y63" s="7"/>
      <c r="Z63" s="7"/>
      <c r="AA63" s="7"/>
      <c r="AB63" s="7"/>
      <c r="AC63" s="7"/>
    </row>
    <row r="64" spans="1:29" x14ac:dyDescent="0.25">
      <c r="A64" s="112">
        <v>60</v>
      </c>
      <c r="B64" s="119" t="s">
        <v>34</v>
      </c>
      <c r="C64" s="121">
        <f t="shared" si="1"/>
        <v>95.999999999999659</v>
      </c>
      <c r="D64" s="123">
        <v>100</v>
      </c>
      <c r="E64" s="124">
        <f t="shared" si="0"/>
        <v>0.1</v>
      </c>
      <c r="F64" s="123">
        <v>1</v>
      </c>
      <c r="G64" s="124">
        <v>0.01</v>
      </c>
      <c r="H64" s="124">
        <v>0</v>
      </c>
      <c r="J64" s="130">
        <f ca="1"/>
        <v>2.2066795753823953</v>
      </c>
      <c r="K64" s="131">
        <f ca="1"/>
        <v>0.10000000000003263</v>
      </c>
      <c r="L64" s="1"/>
      <c r="W64" s="7"/>
      <c r="X64" s="7"/>
      <c r="Y64" s="7"/>
      <c r="Z64" s="7"/>
      <c r="AA64" s="7"/>
      <c r="AB64" s="7"/>
      <c r="AC64" s="7"/>
    </row>
    <row r="65" spans="1:29" x14ac:dyDescent="0.25">
      <c r="A65" s="112">
        <v>61</v>
      </c>
      <c r="B65" s="119" t="s">
        <v>34</v>
      </c>
      <c r="C65" s="121">
        <f t="shared" si="1"/>
        <v>96.099999999999653</v>
      </c>
      <c r="D65" s="123">
        <v>100</v>
      </c>
      <c r="E65" s="124">
        <f t="shared" si="0"/>
        <v>0.1</v>
      </c>
      <c r="F65" s="123">
        <v>1</v>
      </c>
      <c r="G65" s="124">
        <v>0.01</v>
      </c>
      <c r="H65" s="124">
        <v>0</v>
      </c>
      <c r="J65" s="130">
        <f ca="1"/>
        <v>2.2425233185473132</v>
      </c>
      <c r="K65" s="131">
        <f ca="1"/>
        <v>0.10000000000002399</v>
      </c>
      <c r="L65" s="1"/>
      <c r="W65" s="7"/>
      <c r="X65" s="7"/>
      <c r="Y65" s="7"/>
      <c r="Z65" s="7"/>
      <c r="AA65" s="7"/>
      <c r="AB65" s="7"/>
      <c r="AC65" s="7"/>
    </row>
    <row r="66" spans="1:29" x14ac:dyDescent="0.25">
      <c r="A66" s="112">
        <v>62</v>
      </c>
      <c r="B66" s="119" t="s">
        <v>34</v>
      </c>
      <c r="C66" s="121">
        <f t="shared" si="1"/>
        <v>96.199999999999648</v>
      </c>
      <c r="D66" s="123">
        <v>100</v>
      </c>
      <c r="E66" s="124">
        <f t="shared" si="0"/>
        <v>0.1</v>
      </c>
      <c r="F66" s="123">
        <v>1</v>
      </c>
      <c r="G66" s="124">
        <v>0.01</v>
      </c>
      <c r="H66" s="124">
        <v>0</v>
      </c>
      <c r="J66" s="130">
        <f ca="1"/>
        <v>2.2787539374215484</v>
      </c>
      <c r="K66" s="131">
        <f ca="1"/>
        <v>0.10000000000001712</v>
      </c>
      <c r="L66" s="1"/>
      <c r="W66" s="7"/>
      <c r="X66" s="7"/>
      <c r="Y66" s="7"/>
      <c r="Z66" s="7"/>
      <c r="AA66" s="7"/>
      <c r="AB66" s="7"/>
      <c r="AC66" s="7"/>
    </row>
    <row r="67" spans="1:29" x14ac:dyDescent="0.25">
      <c r="A67" s="112">
        <v>63</v>
      </c>
      <c r="B67" s="119" t="s">
        <v>34</v>
      </c>
      <c r="C67" s="121">
        <f t="shared" si="1"/>
        <v>96.299999999999642</v>
      </c>
      <c r="D67" s="123">
        <v>100</v>
      </c>
      <c r="E67" s="124">
        <f t="shared" si="0"/>
        <v>0.1</v>
      </c>
      <c r="F67" s="123">
        <v>1</v>
      </c>
      <c r="G67" s="124">
        <v>0.01</v>
      </c>
      <c r="H67" s="124">
        <v>0</v>
      </c>
      <c r="J67" s="130">
        <f ca="1"/>
        <v>2.315372409406983</v>
      </c>
      <c r="K67" s="131">
        <f ca="1"/>
        <v>0.10000000000001241</v>
      </c>
      <c r="L67" s="1"/>
      <c r="W67" s="7"/>
      <c r="X67" s="7"/>
      <c r="Y67" s="7"/>
      <c r="Z67" s="7"/>
      <c r="AA67" s="7"/>
      <c r="AB67" s="7"/>
      <c r="AC67" s="7"/>
    </row>
    <row r="68" spans="1:29" x14ac:dyDescent="0.25">
      <c r="A68" s="112">
        <v>64</v>
      </c>
      <c r="B68" s="119" t="s">
        <v>34</v>
      </c>
      <c r="C68" s="121">
        <f t="shared" si="1"/>
        <v>96.399999999999636</v>
      </c>
      <c r="D68" s="123">
        <v>100</v>
      </c>
      <c r="E68" s="124">
        <f t="shared" si="0"/>
        <v>0.1</v>
      </c>
      <c r="F68" s="123">
        <v>1</v>
      </c>
      <c r="G68" s="124">
        <v>0.01</v>
      </c>
      <c r="H68" s="124">
        <v>0</v>
      </c>
      <c r="J68" s="130">
        <f ca="1"/>
        <v>2.3523796713644884</v>
      </c>
      <c r="K68" s="131">
        <f ca="1"/>
        <v>0.10000000000000923</v>
      </c>
      <c r="L68" s="1"/>
      <c r="W68" s="7"/>
      <c r="X68" s="7"/>
      <c r="Y68" s="7"/>
      <c r="Z68" s="7"/>
      <c r="AA68" s="7"/>
      <c r="AB68" s="7"/>
      <c r="AC68" s="7"/>
    </row>
    <row r="69" spans="1:29" x14ac:dyDescent="0.25">
      <c r="A69" s="112">
        <v>65</v>
      </c>
      <c r="B69" s="119" t="s">
        <v>34</v>
      </c>
      <c r="C69" s="121">
        <f t="shared" si="1"/>
        <v>96.499999999999631</v>
      </c>
      <c r="D69" s="123">
        <v>100</v>
      </c>
      <c r="E69" s="124">
        <f t="shared" ref="E69:E132" si="2">$E$2</f>
        <v>0.1</v>
      </c>
      <c r="F69" s="123">
        <v>1</v>
      </c>
      <c r="G69" s="124">
        <v>0.01</v>
      </c>
      <c r="H69" s="124">
        <v>0</v>
      </c>
      <c r="J69" s="130">
        <f ca="1"/>
        <v>2.3897766194418182</v>
      </c>
      <c r="K69" s="131">
        <f ca="1"/>
        <v>0.10000000000000629</v>
      </c>
      <c r="L69" s="1"/>
      <c r="W69" s="7"/>
      <c r="X69" s="7"/>
      <c r="Y69" s="7"/>
      <c r="Z69" s="7"/>
      <c r="AA69" s="7"/>
      <c r="AB69" s="7"/>
      <c r="AC69" s="7"/>
    </row>
    <row r="70" spans="1:29" x14ac:dyDescent="0.25">
      <c r="A70" s="112">
        <v>66</v>
      </c>
      <c r="B70" s="119" t="s">
        <v>34</v>
      </c>
      <c r="C70" s="121">
        <f t="shared" si="1"/>
        <v>96.599999999999625</v>
      </c>
      <c r="D70" s="123">
        <v>100</v>
      </c>
      <c r="E70" s="124">
        <f t="shared" si="2"/>
        <v>0.1</v>
      </c>
      <c r="F70" s="123">
        <v>1</v>
      </c>
      <c r="G70" s="124">
        <v>0.01</v>
      </c>
      <c r="H70" s="124">
        <v>0</v>
      </c>
      <c r="J70" s="130">
        <f ca="1"/>
        <v>2.4275641089147584</v>
      </c>
      <c r="K70" s="131">
        <f ca="1"/>
        <v>0.10000000000000417</v>
      </c>
      <c r="L70" s="1"/>
      <c r="W70" s="7"/>
      <c r="X70" s="7"/>
      <c r="Y70" s="7"/>
      <c r="Z70" s="7"/>
      <c r="AA70" s="7"/>
      <c r="AB70" s="7"/>
      <c r="AC70" s="7"/>
    </row>
    <row r="71" spans="1:29" x14ac:dyDescent="0.25">
      <c r="A71" s="112">
        <v>67</v>
      </c>
      <c r="B71" s="119" t="s">
        <v>34</v>
      </c>
      <c r="C71" s="121">
        <f t="shared" ref="C71:C134" si="3">C70+0.1</f>
        <v>96.699999999999619</v>
      </c>
      <c r="D71" s="123">
        <v>100</v>
      </c>
      <c r="E71" s="124">
        <f t="shared" si="2"/>
        <v>0.1</v>
      </c>
      <c r="F71" s="123">
        <v>1</v>
      </c>
      <c r="G71" s="124">
        <v>0.01</v>
      </c>
      <c r="H71" s="124">
        <v>0</v>
      </c>
      <c r="J71" s="130">
        <f ca="1"/>
        <v>2.4657429540418647</v>
      </c>
      <c r="K71" s="131">
        <f ca="1"/>
        <v>0.100000000000003</v>
      </c>
      <c r="L71" s="1"/>
      <c r="W71" s="7"/>
      <c r="X71" s="7"/>
      <c r="Y71" s="7"/>
      <c r="Z71" s="7"/>
      <c r="AA71" s="7"/>
      <c r="AB71" s="7"/>
      <c r="AC71" s="7"/>
    </row>
    <row r="72" spans="1:29" x14ac:dyDescent="0.25">
      <c r="A72" s="112">
        <v>68</v>
      </c>
      <c r="B72" s="119" t="s">
        <v>34</v>
      </c>
      <c r="C72" s="121">
        <f t="shared" si="3"/>
        <v>96.799999999999613</v>
      </c>
      <c r="D72" s="123">
        <v>100</v>
      </c>
      <c r="E72" s="124">
        <f t="shared" si="2"/>
        <v>0.1</v>
      </c>
      <c r="F72" s="123">
        <v>1</v>
      </c>
      <c r="G72" s="124">
        <v>0.01</v>
      </c>
      <c r="H72" s="124">
        <v>0</v>
      </c>
      <c r="J72" s="130">
        <f ca="1"/>
        <v>2.5043139279326923</v>
      </c>
      <c r="K72" s="131">
        <f ca="1"/>
        <v>0.10000000000000188</v>
      </c>
      <c r="L72" s="1"/>
      <c r="W72" s="7"/>
      <c r="X72" s="7"/>
      <c r="Y72" s="7"/>
      <c r="Z72" s="7"/>
      <c r="AA72" s="7"/>
      <c r="AB72" s="7"/>
      <c r="AC72" s="7"/>
    </row>
    <row r="73" spans="1:29" x14ac:dyDescent="0.25">
      <c r="A73" s="112">
        <v>69</v>
      </c>
      <c r="B73" s="119" t="s">
        <v>34</v>
      </c>
      <c r="C73" s="121">
        <f t="shared" si="3"/>
        <v>96.899999999999608</v>
      </c>
      <c r="D73" s="123">
        <v>100</v>
      </c>
      <c r="E73" s="124">
        <f t="shared" si="2"/>
        <v>0.1</v>
      </c>
      <c r="F73" s="123">
        <v>1</v>
      </c>
      <c r="G73" s="124">
        <v>0.01</v>
      </c>
      <c r="H73" s="124">
        <v>0</v>
      </c>
      <c r="J73" s="130">
        <f ca="1"/>
        <v>2.5432777624297174</v>
      </c>
      <c r="K73" s="131">
        <f ca="1"/>
        <v>0.10000000000000163</v>
      </c>
      <c r="L73" s="1"/>
      <c r="W73" s="7"/>
      <c r="X73" s="7"/>
      <c r="Y73" s="7"/>
      <c r="Z73" s="7"/>
      <c r="AA73" s="7"/>
      <c r="AB73" s="7"/>
      <c r="AC73" s="7"/>
    </row>
    <row r="74" spans="1:29" x14ac:dyDescent="0.25">
      <c r="A74" s="112">
        <v>70</v>
      </c>
      <c r="B74" s="119" t="s">
        <v>34</v>
      </c>
      <c r="C74" s="121">
        <f t="shared" si="3"/>
        <v>96.999999999999602</v>
      </c>
      <c r="D74" s="123">
        <v>100</v>
      </c>
      <c r="E74" s="124">
        <f t="shared" si="2"/>
        <v>0.1</v>
      </c>
      <c r="F74" s="123">
        <v>1</v>
      </c>
      <c r="G74" s="124">
        <v>0.01</v>
      </c>
      <c r="H74" s="124">
        <v>0</v>
      </c>
      <c r="J74" s="130">
        <f ca="1"/>
        <v>2.5826351480035328</v>
      </c>
      <c r="K74" s="131">
        <f ca="1"/>
        <v>0.10000000000000073</v>
      </c>
      <c r="L74" s="1"/>
      <c r="W74" s="7"/>
      <c r="X74" s="7"/>
      <c r="Y74" s="7"/>
      <c r="Z74" s="7"/>
      <c r="AA74" s="7"/>
      <c r="AB74" s="7"/>
      <c r="AC74" s="7"/>
    </row>
    <row r="75" spans="1:29" x14ac:dyDescent="0.25">
      <c r="A75" s="112">
        <v>71</v>
      </c>
      <c r="B75" s="119" t="s">
        <v>34</v>
      </c>
      <c r="C75" s="121">
        <f t="shared" si="3"/>
        <v>97.099999999999596</v>
      </c>
      <c r="D75" s="123">
        <v>100</v>
      </c>
      <c r="E75" s="124">
        <f t="shared" si="2"/>
        <v>0.1</v>
      </c>
      <c r="F75" s="123">
        <v>1</v>
      </c>
      <c r="G75" s="124">
        <v>0.01</v>
      </c>
      <c r="H75" s="124">
        <v>0</v>
      </c>
      <c r="J75" s="130">
        <f ca="1"/>
        <v>2.622386733661827</v>
      </c>
      <c r="K75" s="131">
        <f ca="1"/>
        <v>0.10000000000000041</v>
      </c>
      <c r="L75" s="1"/>
      <c r="W75" s="7"/>
      <c r="X75" s="7"/>
      <c r="Y75" s="7"/>
      <c r="Z75" s="7"/>
      <c r="AA75" s="7"/>
      <c r="AB75" s="7"/>
      <c r="AC75" s="7"/>
    </row>
    <row r="76" spans="1:29" x14ac:dyDescent="0.25">
      <c r="A76" s="112">
        <v>72</v>
      </c>
      <c r="B76" s="119" t="s">
        <v>34</v>
      </c>
      <c r="C76" s="121">
        <f t="shared" si="3"/>
        <v>97.199999999999591</v>
      </c>
      <c r="D76" s="123">
        <v>100</v>
      </c>
      <c r="E76" s="124">
        <f t="shared" si="2"/>
        <v>0.1</v>
      </c>
      <c r="F76" s="123">
        <v>1</v>
      </c>
      <c r="G76" s="124">
        <v>0.01</v>
      </c>
      <c r="H76" s="124">
        <v>0</v>
      </c>
      <c r="J76" s="130">
        <f ca="1"/>
        <v>2.6625331268716721</v>
      </c>
      <c r="K76" s="131">
        <f ca="1"/>
        <v>0.10000000000000053</v>
      </c>
      <c r="L76" s="1"/>
      <c r="W76" s="7"/>
      <c r="X76" s="7"/>
      <c r="Y76" s="7"/>
      <c r="Z76" s="7"/>
      <c r="AA76" s="7"/>
      <c r="AB76" s="7"/>
      <c r="AC76" s="7"/>
    </row>
    <row r="77" spans="1:29" x14ac:dyDescent="0.25">
      <c r="A77" s="112">
        <v>73</v>
      </c>
      <c r="B77" s="119" t="s">
        <v>34</v>
      </c>
      <c r="C77" s="121">
        <f t="shared" si="3"/>
        <v>97.299999999999585</v>
      </c>
      <c r="D77" s="123">
        <v>100</v>
      </c>
      <c r="E77" s="124">
        <f t="shared" si="2"/>
        <v>0.1</v>
      </c>
      <c r="F77" s="123">
        <v>1</v>
      </c>
      <c r="G77" s="124">
        <v>0.01</v>
      </c>
      <c r="H77" s="124">
        <v>0</v>
      </c>
      <c r="J77" s="130">
        <f ca="1"/>
        <v>2.7030748934953124</v>
      </c>
      <c r="K77" s="131">
        <f ca="1"/>
        <v>9.9999999999999742E-2</v>
      </c>
      <c r="L77" s="1"/>
      <c r="W77" s="7"/>
      <c r="X77" s="7"/>
      <c r="Y77" s="7"/>
      <c r="Z77" s="7"/>
      <c r="AA77" s="7"/>
      <c r="AB77" s="7"/>
      <c r="AC77" s="7"/>
    </row>
    <row r="78" spans="1:29" x14ac:dyDescent="0.25">
      <c r="A78" s="112">
        <v>74</v>
      </c>
      <c r="B78" s="119" t="s">
        <v>34</v>
      </c>
      <c r="C78" s="121">
        <f t="shared" si="3"/>
        <v>97.399999999999579</v>
      </c>
      <c r="D78" s="123">
        <v>100</v>
      </c>
      <c r="E78" s="124">
        <f t="shared" si="2"/>
        <v>0.1</v>
      </c>
      <c r="F78" s="123">
        <v>1</v>
      </c>
      <c r="G78" s="124">
        <v>0.01</v>
      </c>
      <c r="H78" s="124">
        <v>0</v>
      </c>
      <c r="J78" s="130">
        <f ca="1"/>
        <v>2.7440125577395449</v>
      </c>
      <c r="K78" s="131">
        <f ca="1"/>
        <v>0.10000000000000012</v>
      </c>
      <c r="L78" s="1"/>
      <c r="W78" s="7"/>
      <c r="X78" s="7"/>
      <c r="Y78" s="7"/>
      <c r="Z78" s="7"/>
      <c r="AA78" s="7"/>
      <c r="AB78" s="7"/>
      <c r="AC78" s="7"/>
    </row>
    <row r="79" spans="1:29" x14ac:dyDescent="0.25">
      <c r="A79" s="112">
        <v>75</v>
      </c>
      <c r="B79" s="119" t="s">
        <v>34</v>
      </c>
      <c r="C79" s="121">
        <f t="shared" si="3"/>
        <v>97.499999999999574</v>
      </c>
      <c r="D79" s="123">
        <v>100</v>
      </c>
      <c r="E79" s="124">
        <f t="shared" si="2"/>
        <v>0.1</v>
      </c>
      <c r="F79" s="123">
        <v>1</v>
      </c>
      <c r="G79" s="124">
        <v>0.01</v>
      </c>
      <c r="H79" s="124">
        <v>0</v>
      </c>
      <c r="J79" s="130">
        <f ca="1"/>
        <v>2.7853466021181958</v>
      </c>
      <c r="K79" s="131">
        <f ca="1"/>
        <v>0.10000000000262158</v>
      </c>
      <c r="L79" s="1"/>
      <c r="W79" s="7"/>
      <c r="X79" s="7"/>
      <c r="Y79" s="7"/>
      <c r="Z79" s="7"/>
      <c r="AA79" s="7"/>
      <c r="AB79" s="7"/>
      <c r="AC79" s="7"/>
    </row>
    <row r="80" spans="1:29" x14ac:dyDescent="0.25">
      <c r="A80" s="112">
        <v>76</v>
      </c>
      <c r="B80" s="119" t="s">
        <v>34</v>
      </c>
      <c r="C80" s="121">
        <f t="shared" si="3"/>
        <v>97.599999999999568</v>
      </c>
      <c r="D80" s="123">
        <v>100</v>
      </c>
      <c r="E80" s="124">
        <f t="shared" si="2"/>
        <v>0.1</v>
      </c>
      <c r="F80" s="123">
        <v>1</v>
      </c>
      <c r="G80" s="124">
        <v>0.01</v>
      </c>
      <c r="H80" s="124">
        <v>0</v>
      </c>
      <c r="J80" s="130">
        <f ca="1"/>
        <v>2.8270774674282038</v>
      </c>
      <c r="K80" s="131">
        <f ca="1"/>
        <v>0.10000000000160712</v>
      </c>
      <c r="L80" s="1"/>
      <c r="W80" s="7"/>
      <c r="X80" s="7"/>
      <c r="Y80" s="7"/>
      <c r="Z80" s="7"/>
      <c r="AA80" s="7"/>
      <c r="AB80" s="7"/>
      <c r="AC80" s="7"/>
    </row>
    <row r="81" spans="1:29" x14ac:dyDescent="0.25">
      <c r="A81" s="112">
        <v>77</v>
      </c>
      <c r="B81" s="119" t="s">
        <v>34</v>
      </c>
      <c r="C81" s="121">
        <f t="shared" si="3"/>
        <v>97.699999999999562</v>
      </c>
      <c r="D81" s="123">
        <v>100</v>
      </c>
      <c r="E81" s="124">
        <f t="shared" si="2"/>
        <v>0.1</v>
      </c>
      <c r="F81" s="123">
        <v>1</v>
      </c>
      <c r="G81" s="124">
        <v>0.01</v>
      </c>
      <c r="H81" s="124">
        <v>0</v>
      </c>
      <c r="J81" s="130">
        <f ca="1"/>
        <v>2.8692055527389257</v>
      </c>
      <c r="K81" s="131">
        <f ca="1"/>
        <v>0.10000000000094936</v>
      </c>
      <c r="L81" s="1"/>
      <c r="W81" s="7"/>
      <c r="X81" s="7"/>
      <c r="Y81" s="7"/>
      <c r="Z81" s="7"/>
      <c r="AA81" s="7"/>
      <c r="AB81" s="7"/>
      <c r="AC81" s="7"/>
    </row>
    <row r="82" spans="1:29" x14ac:dyDescent="0.25">
      <c r="A82" s="112">
        <v>78</v>
      </c>
      <c r="B82" s="119" t="s">
        <v>34</v>
      </c>
      <c r="C82" s="121">
        <f t="shared" si="3"/>
        <v>97.799999999999557</v>
      </c>
      <c r="D82" s="123">
        <v>100</v>
      </c>
      <c r="E82" s="124">
        <f t="shared" si="2"/>
        <v>0.1</v>
      </c>
      <c r="F82" s="123">
        <v>1</v>
      </c>
      <c r="G82" s="124">
        <v>0.01</v>
      </c>
      <c r="H82" s="124">
        <v>0</v>
      </c>
      <c r="J82" s="130">
        <f ca="1"/>
        <v>2.9117312153945036</v>
      </c>
      <c r="K82" s="131">
        <f ca="1"/>
        <v>0.10000000000053588</v>
      </c>
      <c r="L82" s="1"/>
      <c r="W82" s="7"/>
      <c r="X82" s="7"/>
      <c r="Y82" s="7"/>
      <c r="Z82" s="7"/>
      <c r="AA82" s="7"/>
      <c r="AB82" s="7"/>
      <c r="AC82" s="7"/>
    </row>
    <row r="83" spans="1:29" x14ac:dyDescent="0.25">
      <c r="A83" s="112">
        <v>79</v>
      </c>
      <c r="B83" s="119" t="s">
        <v>34</v>
      </c>
      <c r="C83" s="121">
        <f t="shared" si="3"/>
        <v>97.899999999999551</v>
      </c>
      <c r="D83" s="123">
        <v>100</v>
      </c>
      <c r="E83" s="124">
        <f t="shared" si="2"/>
        <v>0.1</v>
      </c>
      <c r="F83" s="123">
        <v>1</v>
      </c>
      <c r="G83" s="124">
        <v>0.01</v>
      </c>
      <c r="H83" s="124">
        <v>0</v>
      </c>
      <c r="J83" s="130">
        <f ca="1"/>
        <v>2.954654771029638</v>
      </c>
      <c r="K83" s="131">
        <f ca="1"/>
        <v>0.10000000000028633</v>
      </c>
      <c r="L83" s="1"/>
      <c r="W83" s="7"/>
      <c r="X83" s="7"/>
      <c r="Y83" s="7"/>
      <c r="Z83" s="7"/>
      <c r="AA83" s="7"/>
      <c r="AB83" s="7"/>
      <c r="AC83" s="7"/>
    </row>
    <row r="84" spans="1:29" x14ac:dyDescent="0.25">
      <c r="A84" s="112">
        <v>80</v>
      </c>
      <c r="B84" s="119" t="s">
        <v>34</v>
      </c>
      <c r="C84" s="121">
        <f t="shared" si="3"/>
        <v>97.999999999999545</v>
      </c>
      <c r="D84" s="123">
        <v>100</v>
      </c>
      <c r="E84" s="124">
        <f t="shared" si="2"/>
        <v>0.1</v>
      </c>
      <c r="F84" s="123">
        <v>1</v>
      </c>
      <c r="G84" s="124">
        <v>0.01</v>
      </c>
      <c r="H84" s="124">
        <v>0</v>
      </c>
      <c r="J84" s="130">
        <f ca="1"/>
        <v>2.9979764935982089</v>
      </c>
      <c r="K84" s="131">
        <f ca="1"/>
        <v>0.1000000000001427</v>
      </c>
      <c r="L84" s="1"/>
      <c r="W84" s="7"/>
      <c r="X84" s="7"/>
      <c r="Y84" s="7"/>
      <c r="Z84" s="7"/>
      <c r="AA84" s="7"/>
      <c r="AB84" s="7"/>
      <c r="AC84" s="7"/>
    </row>
    <row r="85" spans="1:29" x14ac:dyDescent="0.25">
      <c r="A85" s="112">
        <v>81</v>
      </c>
      <c r="B85" s="119" t="s">
        <v>34</v>
      </c>
      <c r="C85" s="121">
        <f t="shared" si="3"/>
        <v>98.09999999999954</v>
      </c>
      <c r="D85" s="123">
        <v>100</v>
      </c>
      <c r="E85" s="124">
        <f t="shared" si="2"/>
        <v>0.1</v>
      </c>
      <c r="F85" s="123">
        <v>1</v>
      </c>
      <c r="G85" s="124">
        <v>0.01</v>
      </c>
      <c r="H85" s="124">
        <v>0</v>
      </c>
      <c r="J85" s="130">
        <f ca="1"/>
        <v>3.0416966154151552</v>
      </c>
      <c r="K85" s="131">
        <f ca="1"/>
        <v>0.10000000000006465</v>
      </c>
      <c r="L85" s="1"/>
      <c r="W85" s="7"/>
      <c r="X85" s="7"/>
      <c r="Y85" s="7"/>
      <c r="Z85" s="7"/>
      <c r="AA85" s="7"/>
      <c r="AB85" s="7"/>
      <c r="AC85" s="7"/>
    </row>
    <row r="86" spans="1:29" x14ac:dyDescent="0.25">
      <c r="A86" s="112">
        <v>82</v>
      </c>
      <c r="B86" s="119" t="s">
        <v>34</v>
      </c>
      <c r="C86" s="121">
        <f t="shared" si="3"/>
        <v>98.199999999999534</v>
      </c>
      <c r="D86" s="123">
        <v>100</v>
      </c>
      <c r="E86" s="124">
        <f t="shared" si="2"/>
        <v>0.1</v>
      </c>
      <c r="F86" s="123">
        <v>1</v>
      </c>
      <c r="G86" s="124">
        <v>0.01</v>
      </c>
      <c r="H86" s="124">
        <v>0</v>
      </c>
      <c r="J86" s="130">
        <f ca="1"/>
        <v>3.0858153272109803</v>
      </c>
      <c r="K86" s="131">
        <f ca="1"/>
        <v>0.10000000000002587</v>
      </c>
      <c r="L86" s="1"/>
      <c r="W86" s="7"/>
      <c r="X86" s="7"/>
      <c r="Y86" s="7"/>
      <c r="Z86" s="7"/>
      <c r="AA86" s="7"/>
      <c r="AB86" s="7"/>
      <c r="AC86" s="7"/>
    </row>
    <row r="87" spans="1:29" x14ac:dyDescent="0.25">
      <c r="A87" s="112">
        <v>83</v>
      </c>
      <c r="B87" s="119" t="s">
        <v>34</v>
      </c>
      <c r="C87" s="121">
        <f t="shared" si="3"/>
        <v>98.299999999999528</v>
      </c>
      <c r="D87" s="123">
        <v>100</v>
      </c>
      <c r="E87" s="124">
        <f t="shared" si="2"/>
        <v>0.1</v>
      </c>
      <c r="F87" s="123">
        <v>1</v>
      </c>
      <c r="G87" s="124">
        <v>0.01</v>
      </c>
      <c r="H87" s="124">
        <v>0</v>
      </c>
      <c r="J87" s="130">
        <f ca="1"/>
        <v>3.1303327781991825</v>
      </c>
      <c r="K87" s="131">
        <f ca="1"/>
        <v>0.10000000000000825</v>
      </c>
      <c r="L87" s="1"/>
      <c r="W87" s="7"/>
      <c r="X87" s="7"/>
      <c r="Y87" s="7"/>
      <c r="Z87" s="7"/>
      <c r="AA87" s="7"/>
      <c r="AB87" s="7"/>
      <c r="AC87" s="7"/>
    </row>
    <row r="88" spans="1:29" x14ac:dyDescent="0.25">
      <c r="A88" s="112">
        <v>84</v>
      </c>
      <c r="B88" s="119" t="s">
        <v>34</v>
      </c>
      <c r="C88" s="121">
        <f t="shared" si="3"/>
        <v>98.399999999999523</v>
      </c>
      <c r="D88" s="123">
        <v>100</v>
      </c>
      <c r="E88" s="124">
        <f t="shared" si="2"/>
        <v>0.1</v>
      </c>
      <c r="F88" s="123">
        <v>1</v>
      </c>
      <c r="G88" s="124">
        <v>0.01</v>
      </c>
      <c r="H88" s="124">
        <v>0</v>
      </c>
      <c r="J88" s="130">
        <f ca="1"/>
        <v>3.1752490761565184</v>
      </c>
      <c r="K88" s="131">
        <f ca="1"/>
        <v>0.10000000000000178</v>
      </c>
      <c r="L88" s="1"/>
      <c r="W88" s="7"/>
      <c r="X88" s="7"/>
      <c r="Y88" s="7"/>
      <c r="Z88" s="7"/>
      <c r="AA88" s="7"/>
      <c r="AB88" s="7"/>
      <c r="AC88" s="7"/>
    </row>
    <row r="89" spans="1:29" x14ac:dyDescent="0.25">
      <c r="A89" s="112">
        <v>85</v>
      </c>
      <c r="B89" s="119" t="s">
        <v>34</v>
      </c>
      <c r="C89" s="121">
        <f t="shared" si="3"/>
        <v>98.499999999999517</v>
      </c>
      <c r="D89" s="123">
        <v>100</v>
      </c>
      <c r="E89" s="124">
        <f t="shared" si="2"/>
        <v>0.1</v>
      </c>
      <c r="F89" s="123">
        <v>1</v>
      </c>
      <c r="G89" s="124">
        <v>0.01</v>
      </c>
      <c r="H89" s="124">
        <v>0</v>
      </c>
      <c r="J89" s="130">
        <f ca="1"/>
        <v>3.2205642875157636</v>
      </c>
      <c r="K89" s="131">
        <f ca="1"/>
        <v>0.10000000000139911</v>
      </c>
      <c r="L89" s="1"/>
      <c r="W89" s="7"/>
      <c r="X89" s="7"/>
      <c r="Y89" s="7"/>
      <c r="Z89" s="7"/>
      <c r="AA89" s="7"/>
      <c r="AB89" s="7"/>
      <c r="AC89" s="7"/>
    </row>
    <row r="90" spans="1:29" x14ac:dyDescent="0.25">
      <c r="A90" s="112">
        <v>86</v>
      </c>
      <c r="B90" s="119" t="s">
        <v>34</v>
      </c>
      <c r="C90" s="121">
        <f t="shared" si="3"/>
        <v>98.599999999999511</v>
      </c>
      <c r="D90" s="123">
        <v>100</v>
      </c>
      <c r="E90" s="124">
        <f t="shared" si="2"/>
        <v>0.1</v>
      </c>
      <c r="F90" s="123">
        <v>1</v>
      </c>
      <c r="G90" s="124">
        <v>0.01</v>
      </c>
      <c r="H90" s="124">
        <v>0</v>
      </c>
      <c r="J90" s="130">
        <f ca="1"/>
        <v>3.2662784374709304</v>
      </c>
      <c r="K90" s="131">
        <f ca="1"/>
        <v>0.10000000000000088</v>
      </c>
      <c r="L90" s="1"/>
      <c r="W90" s="7"/>
      <c r="X90" s="7"/>
      <c r="Y90" s="7"/>
      <c r="Z90" s="7"/>
      <c r="AA90" s="7"/>
      <c r="AB90" s="7"/>
      <c r="AC90" s="7"/>
    </row>
    <row r="91" spans="1:29" x14ac:dyDescent="0.25">
      <c r="A91" s="112">
        <v>87</v>
      </c>
      <c r="B91" s="119" t="s">
        <v>34</v>
      </c>
      <c r="C91" s="121">
        <f t="shared" si="3"/>
        <v>98.699999999999505</v>
      </c>
      <c r="D91" s="123">
        <v>100</v>
      </c>
      <c r="E91" s="124">
        <f t="shared" si="2"/>
        <v>0.1</v>
      </c>
      <c r="F91" s="123">
        <v>1</v>
      </c>
      <c r="G91" s="124">
        <v>0.01</v>
      </c>
      <c r="H91" s="124">
        <v>0</v>
      </c>
      <c r="J91" s="130">
        <f ca="1"/>
        <v>3.3123915100949546</v>
      </c>
      <c r="K91" s="131">
        <f ca="1"/>
        <v>0.10000000000000479</v>
      </c>
      <c r="L91" s="1"/>
      <c r="W91" s="7"/>
      <c r="X91" s="7"/>
      <c r="Y91" s="7"/>
      <c r="Z91" s="7"/>
      <c r="AA91" s="7"/>
      <c r="AB91" s="7"/>
      <c r="AC91" s="7"/>
    </row>
    <row r="92" spans="1:29" x14ac:dyDescent="0.25">
      <c r="A92" s="112">
        <v>88</v>
      </c>
      <c r="B92" s="119" t="s">
        <v>34</v>
      </c>
      <c r="C92" s="121">
        <f t="shared" si="3"/>
        <v>98.7999999999995</v>
      </c>
      <c r="D92" s="123">
        <v>100</v>
      </c>
      <c r="E92" s="124">
        <f t="shared" si="2"/>
        <v>0.1</v>
      </c>
      <c r="F92" s="123">
        <v>1</v>
      </c>
      <c r="G92" s="124">
        <v>0.01</v>
      </c>
      <c r="H92" s="124">
        <v>0</v>
      </c>
      <c r="J92" s="130">
        <f ca="1"/>
        <v>3.3589034484695901</v>
      </c>
      <c r="K92" s="131">
        <f ca="1"/>
        <v>0.10000000000002368</v>
      </c>
      <c r="L92" s="1"/>
      <c r="W92" s="7"/>
      <c r="X92" s="7"/>
      <c r="Y92" s="7"/>
      <c r="Z92" s="7"/>
      <c r="AA92" s="7"/>
      <c r="AB92" s="7"/>
      <c r="AC92" s="7"/>
    </row>
    <row r="93" spans="1:29" x14ac:dyDescent="0.25">
      <c r="A93" s="112">
        <v>89</v>
      </c>
      <c r="B93" s="119" t="s">
        <v>34</v>
      </c>
      <c r="C93" s="121">
        <f t="shared" si="3"/>
        <v>98.899999999999494</v>
      </c>
      <c r="D93" s="123">
        <v>100</v>
      </c>
      <c r="E93" s="124">
        <f t="shared" si="2"/>
        <v>0.1</v>
      </c>
      <c r="F93" s="123">
        <v>1</v>
      </c>
      <c r="G93" s="124">
        <v>0.01</v>
      </c>
      <c r="H93" s="124">
        <v>0</v>
      </c>
      <c r="J93" s="130">
        <f ca="1"/>
        <v>3.4058141548274605</v>
      </c>
      <c r="K93" s="131">
        <f ca="1"/>
        <v>0.10000000000017396</v>
      </c>
      <c r="L93" s="1"/>
      <c r="W93" s="7"/>
      <c r="X93" s="7"/>
      <c r="Y93" s="7"/>
      <c r="Z93" s="7"/>
      <c r="AA93" s="7"/>
      <c r="AB93" s="7"/>
      <c r="AC93" s="7"/>
    </row>
    <row r="94" spans="1:29" x14ac:dyDescent="0.25">
      <c r="A94" s="112">
        <v>90</v>
      </c>
      <c r="B94" s="119" t="s">
        <v>34</v>
      </c>
      <c r="C94" s="121">
        <f t="shared" si="3"/>
        <v>98.999999999999488</v>
      </c>
      <c r="D94" s="123">
        <v>100</v>
      </c>
      <c r="E94" s="124">
        <f t="shared" si="2"/>
        <v>0.1</v>
      </c>
      <c r="F94" s="123">
        <v>1</v>
      </c>
      <c r="G94" s="124">
        <v>0.01</v>
      </c>
      <c r="H94" s="124">
        <v>0</v>
      </c>
      <c r="J94" s="130">
        <f ca="1"/>
        <v>3.4531234907060764</v>
      </c>
      <c r="K94" s="131">
        <f ca="1"/>
        <v>0.1000000000000002</v>
      </c>
      <c r="L94" s="1"/>
      <c r="W94" s="7"/>
      <c r="X94" s="7"/>
      <c r="Y94" s="7"/>
      <c r="Z94" s="7"/>
      <c r="AA94" s="7"/>
      <c r="AB94" s="7"/>
      <c r="AC94" s="7"/>
    </row>
    <row r="95" spans="1:29" x14ac:dyDescent="0.25">
      <c r="A95" s="112">
        <v>91</v>
      </c>
      <c r="B95" s="119" t="s">
        <v>34</v>
      </c>
      <c r="C95" s="121">
        <f t="shared" si="3"/>
        <v>99.099999999999483</v>
      </c>
      <c r="D95" s="123">
        <v>100</v>
      </c>
      <c r="E95" s="124">
        <f t="shared" si="2"/>
        <v>0.1</v>
      </c>
      <c r="F95" s="123">
        <v>1</v>
      </c>
      <c r="G95" s="124">
        <v>0.01</v>
      </c>
      <c r="H95" s="124">
        <v>0</v>
      </c>
      <c r="J95" s="130">
        <f ca="1"/>
        <v>3.5008312771136758</v>
      </c>
      <c r="K95" s="131">
        <f ca="1"/>
        <v>0.10000000000003849</v>
      </c>
      <c r="L95" s="1"/>
      <c r="W95" s="7"/>
      <c r="X95" s="7"/>
      <c r="Y95" s="7"/>
      <c r="Z95" s="7"/>
      <c r="AA95" s="7"/>
      <c r="AB95" s="7"/>
      <c r="AC95" s="7"/>
    </row>
    <row r="96" spans="1:29" x14ac:dyDescent="0.25">
      <c r="A96" s="112">
        <v>92</v>
      </c>
      <c r="B96" s="119" t="s">
        <v>34</v>
      </c>
      <c r="C96" s="121">
        <f t="shared" si="3"/>
        <v>99.199999999999477</v>
      </c>
      <c r="D96" s="123">
        <v>100</v>
      </c>
      <c r="E96" s="124">
        <f t="shared" si="2"/>
        <v>0.1</v>
      </c>
      <c r="F96" s="123">
        <v>1</v>
      </c>
      <c r="G96" s="124">
        <v>0.01</v>
      </c>
      <c r="H96" s="124">
        <v>0</v>
      </c>
      <c r="J96" s="130">
        <f ca="1"/>
        <v>3.548937294706846</v>
      </c>
      <c r="K96" s="131">
        <f ca="1"/>
        <v>0.10000000000000107</v>
      </c>
      <c r="L96" s="1"/>
      <c r="W96" s="7"/>
      <c r="X96" s="7"/>
      <c r="Y96" s="7"/>
      <c r="Z96" s="7"/>
      <c r="AA96" s="7"/>
      <c r="AB96" s="7"/>
      <c r="AC96" s="7"/>
    </row>
    <row r="97" spans="1:29" x14ac:dyDescent="0.25">
      <c r="A97" s="112">
        <v>93</v>
      </c>
      <c r="B97" s="119" t="s">
        <v>34</v>
      </c>
      <c r="C97" s="121">
        <f t="shared" si="3"/>
        <v>99.299999999999471</v>
      </c>
      <c r="D97" s="123">
        <v>100</v>
      </c>
      <c r="E97" s="124">
        <f t="shared" si="2"/>
        <v>0.1</v>
      </c>
      <c r="F97" s="123">
        <v>1</v>
      </c>
      <c r="G97" s="124">
        <v>0.01</v>
      </c>
      <c r="H97" s="124">
        <v>0</v>
      </c>
      <c r="J97" s="130">
        <f ca="1"/>
        <v>3.5974412839796557</v>
      </c>
      <c r="K97" s="131">
        <f ca="1"/>
        <v>0.10000000000000037</v>
      </c>
      <c r="L97" s="1"/>
      <c r="W97" s="7"/>
      <c r="X97" s="7"/>
      <c r="Y97" s="7"/>
      <c r="Z97" s="7"/>
      <c r="AA97" s="7"/>
      <c r="AB97" s="7"/>
      <c r="AC97" s="7"/>
    </row>
    <row r="98" spans="1:29" x14ac:dyDescent="0.25">
      <c r="A98" s="112">
        <v>94</v>
      </c>
      <c r="B98" s="119" t="s">
        <v>34</v>
      </c>
      <c r="C98" s="121">
        <f t="shared" si="3"/>
        <v>99.399999999999466</v>
      </c>
      <c r="D98" s="123">
        <v>100</v>
      </c>
      <c r="E98" s="124">
        <f t="shared" si="2"/>
        <v>0.1</v>
      </c>
      <c r="F98" s="123">
        <v>1</v>
      </c>
      <c r="G98" s="124">
        <v>0.01</v>
      </c>
      <c r="H98" s="124">
        <v>0</v>
      </c>
      <c r="J98" s="130">
        <f ca="1"/>
        <v>3.6463429454642338</v>
      </c>
      <c r="K98" s="131">
        <f ca="1"/>
        <v>0.1000000000007205</v>
      </c>
      <c r="L98" s="1"/>
      <c r="W98" s="7"/>
      <c r="X98" s="7"/>
      <c r="Y98" s="7"/>
      <c r="Z98" s="7"/>
      <c r="AA98" s="7"/>
      <c r="AB98" s="7"/>
      <c r="AC98" s="7"/>
    </row>
    <row r="99" spans="1:29" x14ac:dyDescent="0.25">
      <c r="A99" s="112">
        <v>95</v>
      </c>
      <c r="B99" s="119" t="s">
        <v>34</v>
      </c>
      <c r="C99" s="121">
        <f t="shared" si="3"/>
        <v>99.49999999999946</v>
      </c>
      <c r="D99" s="123">
        <v>100</v>
      </c>
      <c r="E99" s="124">
        <f t="shared" si="2"/>
        <v>0.1</v>
      </c>
      <c r="F99" s="123">
        <v>1</v>
      </c>
      <c r="G99" s="124">
        <v>0.01</v>
      </c>
      <c r="H99" s="124">
        <v>0</v>
      </c>
      <c r="J99" s="130">
        <f ca="1"/>
        <v>3.6956419399424902</v>
      </c>
      <c r="K99" s="131">
        <f ca="1"/>
        <v>0.10000000000028195</v>
      </c>
      <c r="L99" s="1"/>
      <c r="W99" s="7"/>
      <c r="X99" s="7"/>
      <c r="Y99" s="7"/>
      <c r="Z99" s="7"/>
      <c r="AA99" s="7"/>
      <c r="AB99" s="7"/>
      <c r="AC99" s="7"/>
    </row>
    <row r="100" spans="1:29" x14ac:dyDescent="0.25">
      <c r="A100" s="112">
        <v>96</v>
      </c>
      <c r="B100" s="119" t="s">
        <v>34</v>
      </c>
      <c r="C100" s="121">
        <f t="shared" si="3"/>
        <v>99.599999999999454</v>
      </c>
      <c r="D100" s="123">
        <v>100</v>
      </c>
      <c r="E100" s="124">
        <f t="shared" si="2"/>
        <v>0.1</v>
      </c>
      <c r="F100" s="123">
        <v>1</v>
      </c>
      <c r="G100" s="124">
        <v>0.01</v>
      </c>
      <c r="H100" s="124">
        <v>0</v>
      </c>
      <c r="J100" s="130">
        <f ca="1"/>
        <v>3.74533788866907</v>
      </c>
      <c r="K100" s="131">
        <f ca="1"/>
        <v>0.10000000000026629</v>
      </c>
      <c r="L100" s="1"/>
      <c r="W100" s="7"/>
      <c r="X100" s="7"/>
      <c r="Y100" s="7"/>
      <c r="Z100" s="7"/>
      <c r="AA100" s="7"/>
      <c r="AB100" s="7"/>
      <c r="AC100" s="7"/>
    </row>
    <row r="101" spans="1:29" x14ac:dyDescent="0.25">
      <c r="A101" s="112">
        <v>97</v>
      </c>
      <c r="B101" s="119" t="s">
        <v>34</v>
      </c>
      <c r="C101" s="121">
        <f t="shared" si="3"/>
        <v>99.699999999999449</v>
      </c>
      <c r="D101" s="123">
        <v>100</v>
      </c>
      <c r="E101" s="124">
        <f t="shared" si="2"/>
        <v>0.1</v>
      </c>
      <c r="F101" s="123">
        <v>1</v>
      </c>
      <c r="G101" s="124">
        <v>0.01</v>
      </c>
      <c r="H101" s="124">
        <v>0</v>
      </c>
      <c r="J101" s="130">
        <f ca="1"/>
        <v>3.7954303736050363</v>
      </c>
      <c r="K101" s="131">
        <f ca="1"/>
        <v>9.9999999999999964E-2</v>
      </c>
      <c r="L101" s="1"/>
      <c r="W101" s="7"/>
      <c r="X101" s="7"/>
      <c r="Y101" s="7"/>
      <c r="Z101" s="7"/>
      <c r="AA101" s="7"/>
      <c r="AB101" s="7"/>
      <c r="AC101" s="7"/>
    </row>
    <row r="102" spans="1:29" x14ac:dyDescent="0.25">
      <c r="A102" s="112">
        <v>98</v>
      </c>
      <c r="B102" s="119" t="s">
        <v>34</v>
      </c>
      <c r="C102" s="121">
        <f t="shared" si="3"/>
        <v>99.799999999999443</v>
      </c>
      <c r="D102" s="123">
        <v>100</v>
      </c>
      <c r="E102" s="124">
        <f t="shared" si="2"/>
        <v>0.1</v>
      </c>
      <c r="F102" s="123">
        <v>1</v>
      </c>
      <c r="G102" s="124">
        <v>0.01</v>
      </c>
      <c r="H102" s="124">
        <v>0</v>
      </c>
      <c r="J102" s="130">
        <f ca="1"/>
        <v>3.8459189376626384</v>
      </c>
      <c r="K102" s="131">
        <f ca="1"/>
        <v>0.10000000000000046</v>
      </c>
      <c r="L102" s="1"/>
      <c r="W102" s="7"/>
      <c r="X102" s="7"/>
      <c r="Y102" s="7"/>
      <c r="Z102" s="7"/>
      <c r="AA102" s="7"/>
      <c r="AB102" s="7"/>
      <c r="AC102" s="7"/>
    </row>
    <row r="103" spans="1:29" x14ac:dyDescent="0.25">
      <c r="A103" s="112">
        <v>99</v>
      </c>
      <c r="B103" s="119" t="s">
        <v>34</v>
      </c>
      <c r="C103" s="121">
        <f t="shared" si="3"/>
        <v>99.899999999999437</v>
      </c>
      <c r="D103" s="123">
        <v>100</v>
      </c>
      <c r="E103" s="124">
        <f t="shared" si="2"/>
        <v>0.1</v>
      </c>
      <c r="F103" s="123">
        <v>1</v>
      </c>
      <c r="G103" s="124">
        <v>0.01</v>
      </c>
      <c r="H103" s="124">
        <v>0</v>
      </c>
      <c r="J103" s="130">
        <f ca="1"/>
        <v>3.8968030849600623</v>
      </c>
      <c r="K103" s="131">
        <f ca="1"/>
        <v>9.9999999999999645E-2</v>
      </c>
      <c r="L103" s="1"/>
      <c r="W103" s="7"/>
      <c r="X103" s="7"/>
      <c r="Y103" s="7"/>
      <c r="Z103" s="7"/>
      <c r="AA103" s="7"/>
      <c r="AB103" s="7"/>
      <c r="AC103" s="7"/>
    </row>
    <row r="104" spans="1:29" x14ac:dyDescent="0.25">
      <c r="A104" s="112">
        <v>100</v>
      </c>
      <c r="B104" s="119" t="s">
        <v>34</v>
      </c>
      <c r="C104" s="121">
        <f t="shared" si="3"/>
        <v>99.999999999999432</v>
      </c>
      <c r="D104" s="123">
        <v>100</v>
      </c>
      <c r="E104" s="124">
        <f t="shared" si="2"/>
        <v>0.1</v>
      </c>
      <c r="F104" s="123">
        <v>1</v>
      </c>
      <c r="G104" s="124">
        <v>0.01</v>
      </c>
      <c r="H104" s="124">
        <v>0</v>
      </c>
      <c r="J104" s="130">
        <f ca="1"/>
        <v>3.9480822810872169</v>
      </c>
      <c r="K104" s="131">
        <f ca="1"/>
        <v>0.1000000000000002</v>
      </c>
      <c r="L104" s="1"/>
      <c r="W104" s="7"/>
      <c r="X104" s="7"/>
      <c r="Y104" s="7"/>
      <c r="Z104" s="7"/>
      <c r="AA104" s="7"/>
      <c r="AB104" s="7"/>
      <c r="AC104" s="7"/>
    </row>
    <row r="105" spans="1:29" x14ac:dyDescent="0.25">
      <c r="A105" s="112">
        <v>101</v>
      </c>
      <c r="B105" s="119" t="s">
        <v>34</v>
      </c>
      <c r="C105" s="121">
        <f t="shared" si="3"/>
        <v>100.09999999999943</v>
      </c>
      <c r="D105" s="123">
        <v>100</v>
      </c>
      <c r="E105" s="124">
        <f t="shared" si="2"/>
        <v>0.1</v>
      </c>
      <c r="F105" s="123">
        <v>1</v>
      </c>
      <c r="G105" s="124">
        <v>0.01</v>
      </c>
      <c r="H105" s="124">
        <v>0</v>
      </c>
      <c r="J105" s="130">
        <f ca="1"/>
        <v>3.9997559533810332</v>
      </c>
      <c r="K105" s="131">
        <f ca="1"/>
        <v>9.999999999999995E-2</v>
      </c>
      <c r="L105" s="1"/>
      <c r="W105" s="7"/>
      <c r="X105" s="7"/>
      <c r="Y105" s="7"/>
      <c r="Z105" s="7"/>
      <c r="AA105" s="7"/>
      <c r="AB105" s="7"/>
      <c r="AC105" s="7"/>
    </row>
    <row r="106" spans="1:29" x14ac:dyDescent="0.25">
      <c r="A106" s="112">
        <v>102</v>
      </c>
      <c r="B106" s="119" t="s">
        <v>34</v>
      </c>
      <c r="C106" s="121">
        <f t="shared" si="3"/>
        <v>100.19999999999942</v>
      </c>
      <c r="D106" s="123">
        <v>100</v>
      </c>
      <c r="E106" s="124">
        <f t="shared" si="2"/>
        <v>0.1</v>
      </c>
      <c r="F106" s="123">
        <v>1</v>
      </c>
      <c r="G106" s="124">
        <v>0.01</v>
      </c>
      <c r="H106" s="124">
        <v>0</v>
      </c>
      <c r="J106" s="130">
        <f ca="1"/>
        <v>4.0518234912121045</v>
      </c>
      <c r="K106" s="131">
        <f ca="1"/>
        <v>9.9999999999999672E-2</v>
      </c>
      <c r="L106" s="1"/>
      <c r="W106" s="7"/>
      <c r="X106" s="7"/>
      <c r="Y106" s="7"/>
      <c r="Z106" s="7"/>
      <c r="AA106" s="7"/>
      <c r="AB106" s="7"/>
      <c r="AC106" s="7"/>
    </row>
    <row r="107" spans="1:29" x14ac:dyDescent="0.25">
      <c r="A107" s="112">
        <v>103</v>
      </c>
      <c r="B107" s="119" t="s">
        <v>34</v>
      </c>
      <c r="C107" s="121">
        <f t="shared" si="3"/>
        <v>100.29999999999941</v>
      </c>
      <c r="D107" s="123">
        <v>100</v>
      </c>
      <c r="E107" s="124">
        <f t="shared" si="2"/>
        <v>0.1</v>
      </c>
      <c r="F107" s="123">
        <v>1</v>
      </c>
      <c r="G107" s="124">
        <v>0.01</v>
      </c>
      <c r="H107" s="124">
        <v>0</v>
      </c>
      <c r="J107" s="130">
        <f ca="1"/>
        <v>4.1042842462789579</v>
      </c>
      <c r="K107" s="131">
        <f ca="1"/>
        <v>0.10000000000000017</v>
      </c>
      <c r="L107" s="1"/>
      <c r="W107" s="7"/>
      <c r="X107" s="7"/>
      <c r="Y107" s="7"/>
      <c r="Z107" s="7"/>
      <c r="AA107" s="7"/>
      <c r="AB107" s="7"/>
      <c r="AC107" s="7"/>
    </row>
    <row r="108" spans="1:29" x14ac:dyDescent="0.25">
      <c r="A108" s="112">
        <v>104</v>
      </c>
      <c r="B108" s="119" t="s">
        <v>34</v>
      </c>
      <c r="C108" s="121">
        <f t="shared" si="3"/>
        <v>100.39999999999941</v>
      </c>
      <c r="D108" s="123">
        <v>100</v>
      </c>
      <c r="E108" s="124">
        <f t="shared" si="2"/>
        <v>0.1</v>
      </c>
      <c r="F108" s="123">
        <v>1</v>
      </c>
      <c r="G108" s="124">
        <v>0.01</v>
      </c>
      <c r="H108" s="124">
        <v>0</v>
      </c>
      <c r="J108" s="130">
        <f ca="1"/>
        <v>4.1571375329139428</v>
      </c>
      <c r="K108" s="131">
        <f ca="1"/>
        <v>0.10000000000000016</v>
      </c>
      <c r="L108" s="1"/>
      <c r="W108" s="7"/>
      <c r="X108" s="7"/>
      <c r="Y108" s="7"/>
      <c r="Z108" s="7"/>
      <c r="AA108" s="7"/>
      <c r="AB108" s="7"/>
      <c r="AC108" s="7"/>
    </row>
    <row r="109" spans="1:29" x14ac:dyDescent="0.25">
      <c r="A109" s="112">
        <v>105</v>
      </c>
      <c r="B109" s="119" t="s">
        <v>34</v>
      </c>
      <c r="C109" s="121">
        <f t="shared" si="3"/>
        <v>100.4999999999994</v>
      </c>
      <c r="D109" s="123">
        <v>100</v>
      </c>
      <c r="E109" s="124">
        <f t="shared" si="2"/>
        <v>0.1</v>
      </c>
      <c r="F109" s="123">
        <v>1</v>
      </c>
      <c r="G109" s="124">
        <v>0.01</v>
      </c>
      <c r="H109" s="124">
        <v>0</v>
      </c>
      <c r="J109" s="130">
        <f ca="1"/>
        <v>4.2103826283977739</v>
      </c>
      <c r="K109" s="131">
        <f ca="1"/>
        <v>0.10000000000009276</v>
      </c>
      <c r="L109" s="1"/>
      <c r="W109" s="7"/>
      <c r="X109" s="7"/>
      <c r="Y109" s="7"/>
      <c r="Z109" s="7"/>
      <c r="AA109" s="7"/>
      <c r="AB109" s="7"/>
      <c r="AC109" s="7"/>
    </row>
    <row r="110" spans="1:29" x14ac:dyDescent="0.25">
      <c r="A110" s="112">
        <v>106</v>
      </c>
      <c r="B110" s="119" t="s">
        <v>34</v>
      </c>
      <c r="C110" s="121">
        <f t="shared" si="3"/>
        <v>100.5999999999994</v>
      </c>
      <c r="D110" s="123">
        <v>100</v>
      </c>
      <c r="E110" s="124">
        <f t="shared" si="2"/>
        <v>0.1</v>
      </c>
      <c r="F110" s="123">
        <v>1</v>
      </c>
      <c r="G110" s="124">
        <v>0.01</v>
      </c>
      <c r="H110" s="124">
        <v>0</v>
      </c>
      <c r="J110" s="130">
        <f ca="1"/>
        <v>4.2640187732832331</v>
      </c>
      <c r="K110" s="131">
        <f ca="1"/>
        <v>9.9999999999999478E-2</v>
      </c>
      <c r="L110" s="1"/>
      <c r="W110" s="7"/>
      <c r="X110" s="7"/>
      <c r="Y110" s="7"/>
      <c r="Z110" s="7"/>
      <c r="AA110" s="7"/>
      <c r="AB110" s="7"/>
      <c r="AC110" s="7"/>
    </row>
    <row r="111" spans="1:29" x14ac:dyDescent="0.25">
      <c r="A111" s="112">
        <v>107</v>
      </c>
      <c r="B111" s="119" t="s">
        <v>34</v>
      </c>
      <c r="C111" s="121">
        <f t="shared" si="3"/>
        <v>100.69999999999939</v>
      </c>
      <c r="D111" s="123">
        <v>100</v>
      </c>
      <c r="E111" s="124">
        <f t="shared" si="2"/>
        <v>0.1</v>
      </c>
      <c r="F111" s="123">
        <v>1</v>
      </c>
      <c r="G111" s="124">
        <v>0.01</v>
      </c>
      <c r="H111" s="124">
        <v>0</v>
      </c>
      <c r="J111" s="130">
        <f ca="1"/>
        <v>4.3180451717281585</v>
      </c>
      <c r="K111" s="131">
        <f ca="1"/>
        <v>9.9999999999999881E-2</v>
      </c>
      <c r="L111" s="1"/>
      <c r="W111" s="7"/>
      <c r="X111" s="7"/>
      <c r="Y111" s="7"/>
      <c r="Z111" s="7"/>
      <c r="AA111" s="7"/>
      <c r="AB111" s="7"/>
      <c r="AC111" s="7"/>
    </row>
    <row r="112" spans="1:29" x14ac:dyDescent="0.25">
      <c r="A112" s="112">
        <v>108</v>
      </c>
      <c r="B112" s="119" t="s">
        <v>34</v>
      </c>
      <c r="C112" s="121">
        <f t="shared" si="3"/>
        <v>100.79999999999939</v>
      </c>
      <c r="D112" s="123">
        <v>100</v>
      </c>
      <c r="E112" s="124">
        <f t="shared" si="2"/>
        <v>0.1</v>
      </c>
      <c r="F112" s="123">
        <v>1</v>
      </c>
      <c r="G112" s="124">
        <v>0.01</v>
      </c>
      <c r="H112" s="124">
        <v>0</v>
      </c>
      <c r="J112" s="130">
        <f ca="1"/>
        <v>4.3724609918369666</v>
      </c>
      <c r="K112" s="131">
        <f ca="1"/>
        <v>9.9999999999999992E-2</v>
      </c>
      <c r="L112" s="1"/>
      <c r="W112" s="7"/>
      <c r="X112" s="7"/>
      <c r="Y112" s="7"/>
      <c r="Z112" s="7"/>
      <c r="AA112" s="7"/>
      <c r="AB112" s="7"/>
      <c r="AC112" s="7"/>
    </row>
    <row r="113" spans="1:29" x14ac:dyDescent="0.25">
      <c r="A113" s="112">
        <v>109</v>
      </c>
      <c r="B113" s="119" t="s">
        <v>34</v>
      </c>
      <c r="C113" s="121">
        <f t="shared" si="3"/>
        <v>100.89999999999938</v>
      </c>
      <c r="D113" s="123">
        <v>100</v>
      </c>
      <c r="E113" s="124">
        <f t="shared" si="2"/>
        <v>0.1</v>
      </c>
      <c r="F113" s="123">
        <v>1</v>
      </c>
      <c r="G113" s="124">
        <v>0.01</v>
      </c>
      <c r="H113" s="124">
        <v>0</v>
      </c>
      <c r="J113" s="130">
        <f ca="1"/>
        <v>4.4272653660111132</v>
      </c>
      <c r="K113" s="131">
        <f ca="1"/>
        <v>0.10000000000000023</v>
      </c>
      <c r="L113" s="1"/>
      <c r="W113" s="7"/>
      <c r="X113" s="7"/>
      <c r="Y113" s="7"/>
      <c r="Z113" s="7"/>
      <c r="AA113" s="7"/>
      <c r="AB113" s="7"/>
      <c r="AC113" s="7"/>
    </row>
    <row r="114" spans="1:29" x14ac:dyDescent="0.25">
      <c r="A114" s="112">
        <v>110</v>
      </c>
      <c r="B114" s="119" t="s">
        <v>34</v>
      </c>
      <c r="C114" s="121">
        <f t="shared" si="3"/>
        <v>100.99999999999937</v>
      </c>
      <c r="D114" s="123">
        <v>100</v>
      </c>
      <c r="E114" s="124">
        <f t="shared" si="2"/>
        <v>0.1</v>
      </c>
      <c r="F114" s="123">
        <v>1</v>
      </c>
      <c r="G114" s="124">
        <v>0.01</v>
      </c>
      <c r="H114" s="124">
        <v>0</v>
      </c>
      <c r="J114" s="130">
        <f ca="1"/>
        <v>4.4824573913076833</v>
      </c>
      <c r="K114" s="131">
        <f ca="1"/>
        <v>9.9999999999999575E-2</v>
      </c>
      <c r="L114" s="1"/>
      <c r="W114" s="7"/>
      <c r="X114" s="7"/>
      <c r="Y114" s="7"/>
      <c r="Z114" s="7"/>
      <c r="AA114" s="7"/>
      <c r="AB114" s="7"/>
      <c r="AC114" s="7"/>
    </row>
    <row r="115" spans="1:29" x14ac:dyDescent="0.25">
      <c r="A115" s="112">
        <v>111</v>
      </c>
      <c r="B115" s="119" t="s">
        <v>34</v>
      </c>
      <c r="C115" s="121">
        <f t="shared" si="3"/>
        <v>101.09999999999937</v>
      </c>
      <c r="D115" s="123">
        <v>100</v>
      </c>
      <c r="E115" s="124">
        <f t="shared" si="2"/>
        <v>0.1</v>
      </c>
      <c r="F115" s="123">
        <v>1</v>
      </c>
      <c r="G115" s="124">
        <v>0.01</v>
      </c>
      <c r="H115" s="124">
        <v>0</v>
      </c>
      <c r="J115" s="130">
        <f ca="1"/>
        <v>4.5380361298064003</v>
      </c>
      <c r="K115" s="131">
        <f ca="1"/>
        <v>9.9999999999999784E-2</v>
      </c>
      <c r="L115" s="1"/>
      <c r="W115" s="7"/>
      <c r="X115" s="7"/>
      <c r="Y115" s="7"/>
      <c r="Z115" s="7"/>
      <c r="AA115" s="7"/>
      <c r="AB115" s="7"/>
      <c r="AC115" s="7"/>
    </row>
    <row r="116" spans="1:29" x14ac:dyDescent="0.25">
      <c r="A116" s="112">
        <v>112</v>
      </c>
      <c r="B116" s="119" t="s">
        <v>34</v>
      </c>
      <c r="C116" s="121">
        <f t="shared" si="3"/>
        <v>101.19999999999936</v>
      </c>
      <c r="D116" s="123">
        <v>100</v>
      </c>
      <c r="E116" s="124">
        <f t="shared" si="2"/>
        <v>0.1</v>
      </c>
      <c r="F116" s="123">
        <v>1</v>
      </c>
      <c r="G116" s="124">
        <v>0.01</v>
      </c>
      <c r="H116" s="124">
        <v>0</v>
      </c>
      <c r="J116" s="130">
        <f ca="1"/>
        <v>4.594000608984409</v>
      </c>
      <c r="K116" s="131">
        <f ca="1"/>
        <v>9.9999999999998895E-2</v>
      </c>
      <c r="L116" s="1"/>
      <c r="W116" s="7"/>
      <c r="X116" s="7"/>
      <c r="Y116" s="7"/>
      <c r="Z116" s="7"/>
      <c r="AA116" s="7"/>
      <c r="AB116" s="7"/>
      <c r="AC116" s="7"/>
    </row>
    <row r="117" spans="1:29" x14ac:dyDescent="0.25">
      <c r="A117" s="112">
        <v>113</v>
      </c>
      <c r="B117" s="119" t="s">
        <v>34</v>
      </c>
      <c r="C117" s="121">
        <f t="shared" si="3"/>
        <v>101.29999999999936</v>
      </c>
      <c r="D117" s="123">
        <v>100</v>
      </c>
      <c r="E117" s="124">
        <f t="shared" si="2"/>
        <v>0.1</v>
      </c>
      <c r="F117" s="123">
        <v>1</v>
      </c>
      <c r="G117" s="124">
        <v>0.01</v>
      </c>
      <c r="H117" s="124">
        <v>0</v>
      </c>
      <c r="J117" s="130">
        <f ca="1"/>
        <v>4.6503498220990593</v>
      </c>
      <c r="K117" s="131">
        <f ca="1"/>
        <v>9.999999999999877E-2</v>
      </c>
      <c r="L117" s="1"/>
      <c r="W117" s="7"/>
      <c r="X117" s="7"/>
      <c r="Y117" s="7"/>
      <c r="Z117" s="7"/>
      <c r="AA117" s="7"/>
      <c r="AB117" s="7"/>
      <c r="AC117" s="7"/>
    </row>
    <row r="118" spans="1:29" x14ac:dyDescent="0.25">
      <c r="A118" s="112">
        <v>114</v>
      </c>
      <c r="B118" s="119" t="s">
        <v>34</v>
      </c>
      <c r="C118" s="121">
        <f t="shared" si="3"/>
        <v>101.39999999999935</v>
      </c>
      <c r="D118" s="123">
        <v>100</v>
      </c>
      <c r="E118" s="124">
        <f t="shared" si="2"/>
        <v>0.1</v>
      </c>
      <c r="F118" s="123">
        <v>1</v>
      </c>
      <c r="G118" s="124">
        <v>0.01</v>
      </c>
      <c r="H118" s="124">
        <v>0</v>
      </c>
      <c r="J118" s="130">
        <f ca="1"/>
        <v>4.707082728577916</v>
      </c>
      <c r="K118" s="131">
        <f ca="1"/>
        <v>9.9999999999998535E-2</v>
      </c>
      <c r="L118" s="1"/>
      <c r="W118" s="7"/>
      <c r="X118" s="7"/>
      <c r="Y118" s="7"/>
      <c r="Z118" s="7"/>
      <c r="AA118" s="7"/>
      <c r="AB118" s="7"/>
      <c r="AC118" s="7"/>
    </row>
    <row r="119" spans="1:29" x14ac:dyDescent="0.25">
      <c r="A119" s="112">
        <v>115</v>
      </c>
      <c r="B119" s="119" t="s">
        <v>34</v>
      </c>
      <c r="C119" s="121">
        <f t="shared" si="3"/>
        <v>101.49999999999935</v>
      </c>
      <c r="D119" s="123">
        <v>100</v>
      </c>
      <c r="E119" s="124">
        <f t="shared" si="2"/>
        <v>0.1</v>
      </c>
      <c r="F119" s="123">
        <v>1</v>
      </c>
      <c r="G119" s="124">
        <v>0.01</v>
      </c>
      <c r="H119" s="124">
        <v>0</v>
      </c>
      <c r="J119" s="130">
        <f ca="1"/>
        <v>4.7641982544164065</v>
      </c>
      <c r="K119" s="131">
        <f ca="1"/>
        <v>9.9999999999998937E-2</v>
      </c>
      <c r="L119" s="1"/>
      <c r="W119" s="7"/>
      <c r="X119" s="7"/>
      <c r="Y119" s="7"/>
      <c r="Z119" s="7"/>
      <c r="AA119" s="7"/>
      <c r="AB119" s="7"/>
      <c r="AC119" s="7"/>
    </row>
    <row r="120" spans="1:29" x14ac:dyDescent="0.25">
      <c r="A120" s="112">
        <v>116</v>
      </c>
      <c r="B120" s="119" t="s">
        <v>34</v>
      </c>
      <c r="C120" s="121">
        <f t="shared" si="3"/>
        <v>101.59999999999934</v>
      </c>
      <c r="D120" s="123">
        <v>100</v>
      </c>
      <c r="E120" s="124">
        <f t="shared" si="2"/>
        <v>0.1</v>
      </c>
      <c r="F120" s="123">
        <v>1</v>
      </c>
      <c r="G120" s="124">
        <v>0.01</v>
      </c>
      <c r="H120" s="124">
        <v>0</v>
      </c>
      <c r="J120" s="130">
        <f ca="1"/>
        <v>4.8216952925824188</v>
      </c>
      <c r="K120" s="131">
        <f ca="1"/>
        <v>0.10000000000000293</v>
      </c>
      <c r="L120" s="1"/>
      <c r="W120" s="7"/>
      <c r="X120" s="7"/>
      <c r="Y120" s="7"/>
      <c r="Z120" s="7"/>
      <c r="AA120" s="7"/>
      <c r="AB120" s="7"/>
      <c r="AC120" s="7"/>
    </row>
    <row r="121" spans="1:29" x14ac:dyDescent="0.25">
      <c r="A121" s="112">
        <v>117</v>
      </c>
      <c r="B121" s="119" t="s">
        <v>34</v>
      </c>
      <c r="C121" s="121">
        <f t="shared" si="3"/>
        <v>101.69999999999933</v>
      </c>
      <c r="D121" s="123">
        <v>100</v>
      </c>
      <c r="E121" s="124">
        <f t="shared" si="2"/>
        <v>0.1</v>
      </c>
      <c r="F121" s="123">
        <v>1</v>
      </c>
      <c r="G121" s="124">
        <v>0.01</v>
      </c>
      <c r="H121" s="124">
        <v>0</v>
      </c>
      <c r="J121" s="130">
        <f ca="1"/>
        <v>4.8795727034277334</v>
      </c>
      <c r="K121" s="131">
        <f ca="1"/>
        <v>0.10000000000001207</v>
      </c>
      <c r="L121" s="1"/>
      <c r="W121" s="7"/>
      <c r="X121" s="7"/>
      <c r="Y121" s="7"/>
      <c r="Z121" s="7"/>
      <c r="AA121" s="7"/>
      <c r="AB121" s="7"/>
      <c r="AC121" s="7"/>
    </row>
    <row r="122" spans="1:29" x14ac:dyDescent="0.25">
      <c r="A122" s="112">
        <v>118</v>
      </c>
      <c r="B122" s="119" t="s">
        <v>34</v>
      </c>
      <c r="C122" s="121">
        <f t="shared" si="3"/>
        <v>101.79999999999933</v>
      </c>
      <c r="D122" s="123">
        <v>100</v>
      </c>
      <c r="E122" s="124">
        <f t="shared" si="2"/>
        <v>0.1</v>
      </c>
      <c r="F122" s="123">
        <v>1</v>
      </c>
      <c r="G122" s="124">
        <v>0.01</v>
      </c>
      <c r="H122" s="124">
        <v>0</v>
      </c>
      <c r="J122" s="130">
        <f ca="1"/>
        <v>4.9378293151063133</v>
      </c>
      <c r="K122" s="131">
        <f ca="1"/>
        <v>0.10000000000003523</v>
      </c>
      <c r="L122" s="1"/>
      <c r="W122" s="7"/>
      <c r="X122" s="7"/>
      <c r="Y122" s="7"/>
      <c r="Z122" s="7"/>
      <c r="AA122" s="7"/>
      <c r="AB122" s="7"/>
      <c r="AC122" s="7"/>
    </row>
    <row r="123" spans="1:29" x14ac:dyDescent="0.25">
      <c r="A123" s="112">
        <v>119</v>
      </c>
      <c r="B123" s="119" t="s">
        <v>34</v>
      </c>
      <c r="C123" s="121">
        <f t="shared" si="3"/>
        <v>101.89999999999932</v>
      </c>
      <c r="D123" s="123">
        <v>100</v>
      </c>
      <c r="E123" s="124">
        <f t="shared" si="2"/>
        <v>0.1</v>
      </c>
      <c r="F123" s="123">
        <v>1</v>
      </c>
      <c r="G123" s="124">
        <v>0.01</v>
      </c>
      <c r="H123" s="124">
        <v>0</v>
      </c>
      <c r="J123" s="130">
        <f ca="1"/>
        <v>4.9964639239986823</v>
      </c>
      <c r="K123" s="131">
        <f ca="1"/>
        <v>0.10000000000007844</v>
      </c>
      <c r="L123" s="1"/>
      <c r="W123" s="7"/>
      <c r="X123" s="7"/>
      <c r="Y123" s="7"/>
      <c r="Z123" s="7"/>
      <c r="AA123" s="7"/>
      <c r="AB123" s="7"/>
      <c r="AC123" s="7"/>
    </row>
    <row r="124" spans="1:29" x14ac:dyDescent="0.25">
      <c r="A124" s="112">
        <v>120</v>
      </c>
      <c r="B124" s="119" t="s">
        <v>34</v>
      </c>
      <c r="C124" s="121">
        <f t="shared" si="3"/>
        <v>101.99999999999932</v>
      </c>
      <c r="D124" s="123">
        <v>100</v>
      </c>
      <c r="E124" s="124">
        <f t="shared" si="2"/>
        <v>0.1</v>
      </c>
      <c r="F124" s="123">
        <v>1</v>
      </c>
      <c r="G124" s="124">
        <v>0.01</v>
      </c>
      <c r="H124" s="124">
        <v>0</v>
      </c>
      <c r="J124" s="130">
        <f ca="1"/>
        <v>5.0554752951429052</v>
      </c>
      <c r="K124" s="131">
        <f ca="1"/>
        <v>0.10000000000015867</v>
      </c>
      <c r="L124" s="1"/>
      <c r="W124" s="7"/>
      <c r="X124" s="7"/>
      <c r="Y124" s="7"/>
      <c r="Z124" s="7"/>
      <c r="AA124" s="7"/>
      <c r="AB124" s="7"/>
      <c r="AC124" s="7"/>
    </row>
    <row r="125" spans="1:29" x14ac:dyDescent="0.25">
      <c r="A125" s="112">
        <v>121</v>
      </c>
      <c r="B125" s="119" t="s">
        <v>34</v>
      </c>
      <c r="C125" s="121">
        <f t="shared" si="3"/>
        <v>102.09999999999931</v>
      </c>
      <c r="D125" s="123">
        <v>100</v>
      </c>
      <c r="E125" s="124">
        <f t="shared" si="2"/>
        <v>0.1</v>
      </c>
      <c r="F125" s="123">
        <v>1</v>
      </c>
      <c r="G125" s="124">
        <v>0.01</v>
      </c>
      <c r="H125" s="124">
        <v>0</v>
      </c>
      <c r="J125" s="130">
        <f ca="1"/>
        <v>5.1148621626712298</v>
      </c>
      <c r="K125" s="131">
        <f ca="1"/>
        <v>0.10000000000029699</v>
      </c>
      <c r="L125" s="1"/>
      <c r="W125" s="7"/>
      <c r="X125" s="7"/>
      <c r="Y125" s="7"/>
      <c r="Z125" s="7"/>
      <c r="AA125" s="7"/>
      <c r="AB125" s="7"/>
      <c r="AC125" s="7"/>
    </row>
    <row r="126" spans="1:29" x14ac:dyDescent="0.25">
      <c r="A126" s="112">
        <v>122</v>
      </c>
      <c r="B126" s="119" t="s">
        <v>34</v>
      </c>
      <c r="C126" s="121">
        <f t="shared" si="3"/>
        <v>102.19999999999931</v>
      </c>
      <c r="D126" s="123">
        <v>100</v>
      </c>
      <c r="E126" s="124">
        <f t="shared" si="2"/>
        <v>0.1</v>
      </c>
      <c r="F126" s="123">
        <v>1</v>
      </c>
      <c r="G126" s="124">
        <v>0.01</v>
      </c>
      <c r="H126" s="124">
        <v>0</v>
      </c>
      <c r="J126" s="130">
        <f ca="1"/>
        <v>5.1746232302526849</v>
      </c>
      <c r="K126" s="131">
        <f ca="1"/>
        <v>0.1000000000005254</v>
      </c>
      <c r="L126" s="1"/>
      <c r="W126" s="7"/>
      <c r="X126" s="7"/>
      <c r="Y126" s="7"/>
      <c r="Z126" s="7"/>
      <c r="AA126" s="7"/>
      <c r="AB126" s="7"/>
      <c r="AC126" s="7"/>
    </row>
    <row r="127" spans="1:29" x14ac:dyDescent="0.25">
      <c r="A127" s="112">
        <v>123</v>
      </c>
      <c r="B127" s="119" t="s">
        <v>34</v>
      </c>
      <c r="C127" s="121">
        <f t="shared" si="3"/>
        <v>102.2999999999993</v>
      </c>
      <c r="D127" s="123">
        <v>100</v>
      </c>
      <c r="E127" s="124">
        <f t="shared" si="2"/>
        <v>0.1</v>
      </c>
      <c r="F127" s="123">
        <v>1</v>
      </c>
      <c r="G127" s="124">
        <v>0.01</v>
      </c>
      <c r="H127" s="124">
        <v>0</v>
      </c>
      <c r="J127" s="130">
        <f ca="1"/>
        <v>5.2347571715410837</v>
      </c>
      <c r="K127" s="131">
        <f ca="1"/>
        <v>0.10000000000088918</v>
      </c>
      <c r="L127" s="1"/>
      <c r="W127" s="7"/>
      <c r="X127" s="7"/>
      <c r="Y127" s="7"/>
      <c r="Z127" s="7"/>
      <c r="AA127" s="7"/>
      <c r="AB127" s="7"/>
      <c r="AC127" s="7"/>
    </row>
    <row r="128" spans="1:29" x14ac:dyDescent="0.25">
      <c r="A128" s="112">
        <v>124</v>
      </c>
      <c r="B128" s="119" t="s">
        <v>34</v>
      </c>
      <c r="C128" s="121">
        <f t="shared" si="3"/>
        <v>102.3999999999993</v>
      </c>
      <c r="D128" s="123">
        <v>100</v>
      </c>
      <c r="E128" s="124">
        <f t="shared" si="2"/>
        <v>0.1</v>
      </c>
      <c r="F128" s="123">
        <v>1</v>
      </c>
      <c r="G128" s="124">
        <v>0.01</v>
      </c>
      <c r="H128" s="124">
        <v>0</v>
      </c>
      <c r="J128" s="130">
        <f ca="1"/>
        <v>5.2952626306283008</v>
      </c>
      <c r="K128" s="131">
        <f ca="1"/>
        <v>0.10000000000144926</v>
      </c>
      <c r="L128" s="1"/>
      <c r="W128" s="7"/>
      <c r="X128" s="7"/>
      <c r="Y128" s="7"/>
      <c r="Z128" s="7"/>
      <c r="AA128" s="7"/>
      <c r="AB128" s="7"/>
      <c r="AC128" s="7"/>
    </row>
    <row r="129" spans="1:29" x14ac:dyDescent="0.25">
      <c r="A129" s="112">
        <v>125</v>
      </c>
      <c r="B129" s="119" t="s">
        <v>34</v>
      </c>
      <c r="C129" s="121">
        <f t="shared" si="3"/>
        <v>102.49999999999929</v>
      </c>
      <c r="D129" s="123">
        <v>100</v>
      </c>
      <c r="E129" s="124">
        <f t="shared" si="2"/>
        <v>0.1</v>
      </c>
      <c r="F129" s="123">
        <v>1</v>
      </c>
      <c r="G129" s="124">
        <v>0.01</v>
      </c>
      <c r="H129" s="124">
        <v>0</v>
      </c>
      <c r="J129" s="130">
        <f ca="1"/>
        <v>5.3561382225028353</v>
      </c>
      <c r="K129" s="131">
        <f ca="1"/>
        <v>0.10000000000229027</v>
      </c>
      <c r="L129" s="1"/>
      <c r="W129" s="7"/>
      <c r="X129" s="7"/>
      <c r="Y129" s="7"/>
      <c r="Z129" s="7"/>
      <c r="AA129" s="7"/>
      <c r="AB129" s="7"/>
      <c r="AC129" s="7"/>
    </row>
    <row r="130" spans="1:29" x14ac:dyDescent="0.25">
      <c r="A130" s="112">
        <v>126</v>
      </c>
      <c r="B130" s="119" t="s">
        <v>34</v>
      </c>
      <c r="C130" s="121">
        <f t="shared" si="3"/>
        <v>102.59999999999928</v>
      </c>
      <c r="D130" s="123">
        <v>100</v>
      </c>
      <c r="E130" s="124">
        <f t="shared" si="2"/>
        <v>0.1</v>
      </c>
      <c r="F130" s="123">
        <v>1</v>
      </c>
      <c r="G130" s="124">
        <v>0.01</v>
      </c>
      <c r="H130" s="124">
        <v>0</v>
      </c>
      <c r="J130" s="130">
        <f ca="1"/>
        <v>5.4173825335128143</v>
      </c>
      <c r="K130" s="131">
        <f ca="1"/>
        <v>0.1</v>
      </c>
      <c r="L130" s="1"/>
      <c r="W130" s="7"/>
      <c r="X130" s="7"/>
      <c r="Y130" s="7"/>
      <c r="Z130" s="7"/>
      <c r="AA130" s="7"/>
      <c r="AB130" s="7"/>
      <c r="AC130" s="7"/>
    </row>
    <row r="131" spans="1:29" x14ac:dyDescent="0.25">
      <c r="A131" s="112">
        <v>127</v>
      </c>
      <c r="B131" s="119" t="s">
        <v>34</v>
      </c>
      <c r="C131" s="121">
        <f t="shared" si="3"/>
        <v>102.69999999999928</v>
      </c>
      <c r="D131" s="123">
        <v>100</v>
      </c>
      <c r="E131" s="124">
        <f t="shared" si="2"/>
        <v>0.1</v>
      </c>
      <c r="F131" s="123">
        <v>1</v>
      </c>
      <c r="G131" s="124">
        <v>0.01</v>
      </c>
      <c r="H131" s="124">
        <v>0</v>
      </c>
      <c r="J131" s="130">
        <f ca="1"/>
        <v>5.4789941218341269</v>
      </c>
      <c r="K131" s="131">
        <f ca="1"/>
        <v>0.10000000000000032</v>
      </c>
      <c r="L131" s="1"/>
      <c r="W131" s="7"/>
      <c r="X131" s="7"/>
      <c r="Y131" s="7"/>
      <c r="Z131" s="7"/>
      <c r="AA131" s="7"/>
      <c r="AB131" s="7"/>
      <c r="AC131" s="7"/>
    </row>
    <row r="132" spans="1:29" x14ac:dyDescent="0.25">
      <c r="A132" s="112">
        <v>128</v>
      </c>
      <c r="B132" s="119" t="s">
        <v>34</v>
      </c>
      <c r="C132" s="121">
        <f t="shared" si="3"/>
        <v>102.79999999999927</v>
      </c>
      <c r="D132" s="123">
        <v>100</v>
      </c>
      <c r="E132" s="124">
        <f t="shared" si="2"/>
        <v>0.1</v>
      </c>
      <c r="F132" s="123">
        <v>1</v>
      </c>
      <c r="G132" s="124">
        <v>0.01</v>
      </c>
      <c r="H132" s="124">
        <v>0</v>
      </c>
      <c r="J132" s="130">
        <f ca="1"/>
        <v>5.540971517942431</v>
      </c>
      <c r="K132" s="131">
        <f ca="1"/>
        <v>0.10000000000000009</v>
      </c>
      <c r="L132" s="1"/>
      <c r="W132" s="7"/>
      <c r="X132" s="7"/>
      <c r="Y132" s="7"/>
      <c r="Z132" s="7"/>
      <c r="AA132" s="7"/>
      <c r="AB132" s="7"/>
      <c r="AC132" s="7"/>
    </row>
    <row r="133" spans="1:29" x14ac:dyDescent="0.25">
      <c r="A133" s="112">
        <v>129</v>
      </c>
      <c r="B133" s="119" t="s">
        <v>34</v>
      </c>
      <c r="C133" s="121">
        <f t="shared" si="3"/>
        <v>102.89999999999927</v>
      </c>
      <c r="D133" s="123">
        <v>100</v>
      </c>
      <c r="E133" s="124">
        <f t="shared" ref="E133:E196" si="4">$E$2</f>
        <v>0.1</v>
      </c>
      <c r="F133" s="123">
        <v>1</v>
      </c>
      <c r="G133" s="124">
        <v>0.01</v>
      </c>
      <c r="H133" s="124">
        <v>0</v>
      </c>
      <c r="J133" s="130">
        <f ca="1"/>
        <v>5.6033132250896429</v>
      </c>
      <c r="K133" s="131">
        <f ca="1"/>
        <v>0.10000000000000017</v>
      </c>
      <c r="L133" s="1"/>
      <c r="W133" s="7"/>
      <c r="X133" s="7"/>
      <c r="Y133" s="7"/>
      <c r="Z133" s="7"/>
      <c r="AA133" s="7"/>
      <c r="AB133" s="7"/>
      <c r="AC133" s="7"/>
    </row>
    <row r="134" spans="1:29" x14ac:dyDescent="0.25">
      <c r="A134" s="112">
        <v>130</v>
      </c>
      <c r="B134" s="119" t="s">
        <v>34</v>
      </c>
      <c r="C134" s="121">
        <f t="shared" si="3"/>
        <v>102.99999999999926</v>
      </c>
      <c r="D134" s="123">
        <v>100</v>
      </c>
      <c r="E134" s="124">
        <f t="shared" si="4"/>
        <v>0.1</v>
      </c>
      <c r="F134" s="123">
        <v>1</v>
      </c>
      <c r="G134" s="124">
        <v>0.01</v>
      </c>
      <c r="H134" s="124">
        <v>0</v>
      </c>
      <c r="J134" s="130">
        <f ca="1"/>
        <v>5.6660177197842856</v>
      </c>
      <c r="K134" s="131">
        <f ca="1"/>
        <v>0.10000000000000105</v>
      </c>
      <c r="L134" s="1"/>
      <c r="W134" s="7"/>
      <c r="X134" s="7"/>
      <c r="Y134" s="7"/>
      <c r="Z134" s="7"/>
      <c r="AA134" s="7"/>
      <c r="AB134" s="7"/>
      <c r="AC134" s="7"/>
    </row>
    <row r="135" spans="1:29" x14ac:dyDescent="0.25">
      <c r="A135" s="112">
        <v>131</v>
      </c>
      <c r="B135" s="119" t="s">
        <v>34</v>
      </c>
      <c r="C135" s="121">
        <f t="shared" ref="C135:C198" si="5">C134+0.1</f>
        <v>103.09999999999926</v>
      </c>
      <c r="D135" s="123">
        <v>100</v>
      </c>
      <c r="E135" s="124">
        <f t="shared" si="4"/>
        <v>0.1</v>
      </c>
      <c r="F135" s="123">
        <v>1</v>
      </c>
      <c r="G135" s="124">
        <v>0.01</v>
      </c>
      <c r="H135" s="124">
        <v>0</v>
      </c>
      <c r="J135" s="130">
        <f ca="1"/>
        <v>5.7290834522754039</v>
      </c>
      <c r="K135" s="131">
        <f ca="1"/>
        <v>0.10000000000000067</v>
      </c>
      <c r="L135" s="1"/>
      <c r="W135" s="7"/>
      <c r="X135" s="7"/>
      <c r="Y135" s="7"/>
      <c r="Z135" s="7"/>
      <c r="AA135" s="7"/>
      <c r="AB135" s="7"/>
      <c r="AC135" s="7"/>
    </row>
    <row r="136" spans="1:29" x14ac:dyDescent="0.25">
      <c r="A136" s="112">
        <v>132</v>
      </c>
      <c r="B136" s="119" t="s">
        <v>34</v>
      </c>
      <c r="C136" s="121">
        <f t="shared" si="5"/>
        <v>103.19999999999925</v>
      </c>
      <c r="D136" s="123">
        <v>100</v>
      </c>
      <c r="E136" s="124">
        <f t="shared" si="4"/>
        <v>0.1</v>
      </c>
      <c r="F136" s="123">
        <v>1</v>
      </c>
      <c r="G136" s="124">
        <v>0.01</v>
      </c>
      <c r="H136" s="124">
        <v>0</v>
      </c>
      <c r="J136" s="130">
        <f ca="1"/>
        <v>5.7925088470402457</v>
      </c>
      <c r="K136" s="131">
        <f ca="1"/>
        <v>0.10000000000000207</v>
      </c>
      <c r="L136" s="1"/>
      <c r="W136" s="7"/>
      <c r="X136" s="7"/>
      <c r="Y136" s="7"/>
      <c r="Z136" s="7"/>
      <c r="AA136" s="7"/>
      <c r="AB136" s="7"/>
      <c r="AC136" s="7"/>
    </row>
    <row r="137" spans="1:29" x14ac:dyDescent="0.25">
      <c r="A137" s="112">
        <v>133</v>
      </c>
      <c r="B137" s="119" t="s">
        <v>34</v>
      </c>
      <c r="C137" s="121">
        <f t="shared" si="5"/>
        <v>103.29999999999924</v>
      </c>
      <c r="D137" s="123">
        <v>100</v>
      </c>
      <c r="E137" s="124">
        <f t="shared" si="4"/>
        <v>0.1</v>
      </c>
      <c r="F137" s="123">
        <v>1</v>
      </c>
      <c r="G137" s="124">
        <v>0.01</v>
      </c>
      <c r="H137" s="124">
        <v>0</v>
      </c>
      <c r="J137" s="130">
        <f ca="1"/>
        <v>5.8562923032748344</v>
      </c>
      <c r="K137" s="131">
        <f ca="1"/>
        <v>0.10000000000000175</v>
      </c>
      <c r="L137" s="1"/>
      <c r="W137" s="7"/>
      <c r="X137" s="7"/>
      <c r="Y137" s="7"/>
      <c r="Z137" s="7"/>
      <c r="AA137" s="7"/>
      <c r="AB137" s="7"/>
      <c r="AC137" s="7"/>
    </row>
    <row r="138" spans="1:29" x14ac:dyDescent="0.25">
      <c r="A138" s="112">
        <v>134</v>
      </c>
      <c r="B138" s="119" t="s">
        <v>34</v>
      </c>
      <c r="C138" s="121">
        <f t="shared" si="5"/>
        <v>103.39999999999924</v>
      </c>
      <c r="D138" s="123">
        <v>100</v>
      </c>
      <c r="E138" s="124">
        <f t="shared" si="4"/>
        <v>0.1</v>
      </c>
      <c r="F138" s="123">
        <v>1</v>
      </c>
      <c r="G138" s="124">
        <v>0.01</v>
      </c>
      <c r="H138" s="124">
        <v>0</v>
      </c>
      <c r="J138" s="130">
        <f ca="1"/>
        <v>5.9204321953879244</v>
      </c>
      <c r="K138" s="131">
        <f ca="1"/>
        <v>0.10000000000000323</v>
      </c>
      <c r="L138" s="1"/>
      <c r="W138" s="7"/>
      <c r="X138" s="7"/>
      <c r="Y138" s="7"/>
      <c r="Z138" s="7"/>
      <c r="AA138" s="7"/>
      <c r="AB138" s="7"/>
      <c r="AC138" s="7"/>
    </row>
    <row r="139" spans="1:29" x14ac:dyDescent="0.25">
      <c r="A139" s="112">
        <v>135</v>
      </c>
      <c r="B139" s="119" t="s">
        <v>34</v>
      </c>
      <c r="C139" s="121">
        <f t="shared" si="5"/>
        <v>103.49999999999923</v>
      </c>
      <c r="D139" s="123">
        <v>100</v>
      </c>
      <c r="E139" s="124">
        <f t="shared" si="4"/>
        <v>0.1</v>
      </c>
      <c r="F139" s="123">
        <v>1</v>
      </c>
      <c r="G139" s="124">
        <v>0.01</v>
      </c>
      <c r="H139" s="124">
        <v>0</v>
      </c>
      <c r="J139" s="130">
        <f ca="1"/>
        <v>5.9849268734974288</v>
      </c>
      <c r="K139" s="131">
        <f ca="1"/>
        <v>0.10000000000000425</v>
      </c>
      <c r="L139" s="1"/>
      <c r="W139" s="7"/>
      <c r="X139" s="7"/>
      <c r="Y139" s="7"/>
      <c r="Z139" s="7"/>
      <c r="AA139" s="7"/>
      <c r="AB139" s="7"/>
      <c r="AC139" s="7"/>
    </row>
    <row r="140" spans="1:29" x14ac:dyDescent="0.25">
      <c r="A140" s="112">
        <v>136</v>
      </c>
      <c r="B140" s="119" t="s">
        <v>34</v>
      </c>
      <c r="C140" s="121">
        <f t="shared" si="5"/>
        <v>103.59999999999923</v>
      </c>
      <c r="D140" s="123">
        <v>100</v>
      </c>
      <c r="E140" s="124">
        <f t="shared" si="4"/>
        <v>0.1</v>
      </c>
      <c r="F140" s="123">
        <v>1</v>
      </c>
      <c r="G140" s="124">
        <v>0.01</v>
      </c>
      <c r="H140" s="124">
        <v>0</v>
      </c>
      <c r="J140" s="130">
        <f ca="1"/>
        <v>6.0497746639297532</v>
      </c>
      <c r="K140" s="131">
        <f ca="1"/>
        <v>0.10000000000000589</v>
      </c>
      <c r="L140" s="1"/>
      <c r="W140" s="7"/>
      <c r="X140" s="7"/>
      <c r="Y140" s="7"/>
      <c r="Z140" s="7"/>
      <c r="AA140" s="7"/>
      <c r="AB140" s="7"/>
      <c r="AC140" s="7"/>
    </row>
    <row r="141" spans="1:29" x14ac:dyDescent="0.25">
      <c r="A141" s="112">
        <v>137</v>
      </c>
      <c r="B141" s="119" t="s">
        <v>34</v>
      </c>
      <c r="C141" s="121">
        <f t="shared" si="5"/>
        <v>103.69999999999922</v>
      </c>
      <c r="D141" s="123">
        <v>100</v>
      </c>
      <c r="E141" s="124">
        <f t="shared" si="4"/>
        <v>0.1</v>
      </c>
      <c r="F141" s="123">
        <v>1</v>
      </c>
      <c r="G141" s="124">
        <v>0.01</v>
      </c>
      <c r="H141" s="124">
        <v>0</v>
      </c>
      <c r="J141" s="130">
        <f ca="1"/>
        <v>6.1149738697212683</v>
      </c>
      <c r="K141" s="131">
        <f ca="1"/>
        <v>0.10000000000000822</v>
      </c>
      <c r="L141" s="1"/>
      <c r="W141" s="7"/>
      <c r="X141" s="7"/>
      <c r="Y141" s="7"/>
      <c r="Z141" s="7"/>
      <c r="AA141" s="7"/>
      <c r="AB141" s="7"/>
      <c r="AC141" s="7"/>
    </row>
    <row r="142" spans="1:29" x14ac:dyDescent="0.25">
      <c r="A142" s="112">
        <v>138</v>
      </c>
      <c r="B142" s="119" t="s">
        <v>34</v>
      </c>
      <c r="C142" s="121">
        <f t="shared" si="5"/>
        <v>103.79999999999922</v>
      </c>
      <c r="D142" s="123">
        <v>100</v>
      </c>
      <c r="E142" s="124">
        <f t="shared" si="4"/>
        <v>0.1</v>
      </c>
      <c r="F142" s="123">
        <v>1</v>
      </c>
      <c r="G142" s="124">
        <v>0.01</v>
      </c>
      <c r="H142" s="124">
        <v>0</v>
      </c>
      <c r="J142" s="130">
        <f ca="1"/>
        <v>6.1805227711220141</v>
      </c>
      <c r="K142" s="131">
        <f ca="1"/>
        <v>0.10000000000001075</v>
      </c>
      <c r="L142" s="1"/>
      <c r="W142" s="7"/>
      <c r="X142" s="7"/>
      <c r="Y142" s="7"/>
      <c r="Z142" s="7"/>
      <c r="AA142" s="7"/>
      <c r="AB142" s="7"/>
      <c r="AC142" s="7"/>
    </row>
    <row r="143" spans="1:29" x14ac:dyDescent="0.25">
      <c r="A143" s="112">
        <v>139</v>
      </c>
      <c r="B143" s="119" t="s">
        <v>34</v>
      </c>
      <c r="C143" s="121">
        <f t="shared" si="5"/>
        <v>103.89999999999921</v>
      </c>
      <c r="D143" s="123">
        <v>100</v>
      </c>
      <c r="E143" s="124">
        <f t="shared" si="4"/>
        <v>0.1</v>
      </c>
      <c r="F143" s="123">
        <v>1</v>
      </c>
      <c r="G143" s="124">
        <v>0.01</v>
      </c>
      <c r="H143" s="124">
        <v>0</v>
      </c>
      <c r="J143" s="130">
        <f ca="1"/>
        <v>6.2464196261013427</v>
      </c>
      <c r="K143" s="131">
        <f ca="1"/>
        <v>0.10000000000001556</v>
      </c>
      <c r="L143" s="1"/>
      <c r="W143" s="7"/>
      <c r="X143" s="7"/>
      <c r="Y143" s="7"/>
      <c r="Z143" s="7"/>
      <c r="AA143" s="7"/>
      <c r="AB143" s="7"/>
      <c r="AC143" s="7"/>
    </row>
    <row r="144" spans="1:29" x14ac:dyDescent="0.25">
      <c r="A144" s="112">
        <v>140</v>
      </c>
      <c r="B144" s="119" t="s">
        <v>34</v>
      </c>
      <c r="C144" s="121">
        <f t="shared" si="5"/>
        <v>103.9999999999992</v>
      </c>
      <c r="D144" s="123">
        <v>100</v>
      </c>
      <c r="E144" s="124">
        <f t="shared" si="4"/>
        <v>0.1</v>
      </c>
      <c r="F144" s="123">
        <v>1</v>
      </c>
      <c r="G144" s="124">
        <v>0.01</v>
      </c>
      <c r="H144" s="124">
        <v>0</v>
      </c>
      <c r="J144" s="130">
        <f ca="1"/>
        <v>6.3126626708552891</v>
      </c>
      <c r="K144" s="131">
        <f ca="1"/>
        <v>0.10000000000002043</v>
      </c>
      <c r="L144" s="1"/>
      <c r="W144" s="7"/>
      <c r="X144" s="7"/>
      <c r="Y144" s="7"/>
      <c r="Z144" s="7"/>
      <c r="AA144" s="7"/>
      <c r="AB144" s="7"/>
      <c r="AC144" s="7"/>
    </row>
    <row r="145" spans="1:29" x14ac:dyDescent="0.25">
      <c r="A145" s="112">
        <v>141</v>
      </c>
      <c r="B145" s="119" t="s">
        <v>34</v>
      </c>
      <c r="C145" s="121">
        <f t="shared" si="5"/>
        <v>104.0999999999992</v>
      </c>
      <c r="D145" s="123">
        <v>100</v>
      </c>
      <c r="E145" s="124">
        <f t="shared" si="4"/>
        <v>0.1</v>
      </c>
      <c r="F145" s="123">
        <v>1</v>
      </c>
      <c r="G145" s="124">
        <v>0.01</v>
      </c>
      <c r="H145" s="124">
        <v>0</v>
      </c>
      <c r="J145" s="130">
        <f ca="1"/>
        <v>6.3792501203153833</v>
      </c>
      <c r="K145" s="131">
        <f ca="1"/>
        <v>0.10000000000002701</v>
      </c>
      <c r="L145" s="1"/>
      <c r="W145" s="7"/>
      <c r="X145" s="7"/>
      <c r="Y145" s="7"/>
      <c r="Z145" s="7"/>
      <c r="AA145" s="7"/>
      <c r="AB145" s="7"/>
      <c r="AC145" s="7"/>
    </row>
    <row r="146" spans="1:29" x14ac:dyDescent="0.25">
      <c r="A146" s="112">
        <v>142</v>
      </c>
      <c r="B146" s="119" t="s">
        <v>34</v>
      </c>
      <c r="C146" s="121">
        <f t="shared" si="5"/>
        <v>104.19999999999919</v>
      </c>
      <c r="D146" s="123">
        <v>100</v>
      </c>
      <c r="E146" s="124">
        <f t="shared" si="4"/>
        <v>0.1</v>
      </c>
      <c r="F146" s="123">
        <v>1</v>
      </c>
      <c r="G146" s="124">
        <v>0.01</v>
      </c>
      <c r="H146" s="124">
        <v>0</v>
      </c>
      <c r="J146" s="130">
        <f ca="1"/>
        <v>6.4461801686588132</v>
      </c>
      <c r="K146" s="131">
        <f ca="1"/>
        <v>0.10000000000003585</v>
      </c>
      <c r="L146" s="1"/>
      <c r="W146" s="7"/>
      <c r="X146" s="7"/>
      <c r="Y146" s="7"/>
      <c r="Z146" s="7"/>
      <c r="AA146" s="7"/>
      <c r="AB146" s="7"/>
      <c r="AC146" s="7"/>
    </row>
    <row r="147" spans="1:29" x14ac:dyDescent="0.25">
      <c r="A147" s="112">
        <v>143</v>
      </c>
      <c r="B147" s="119" t="s">
        <v>34</v>
      </c>
      <c r="C147" s="121">
        <f t="shared" si="5"/>
        <v>104.29999999999919</v>
      </c>
      <c r="D147" s="123">
        <v>100</v>
      </c>
      <c r="E147" s="124">
        <f t="shared" si="4"/>
        <v>0.1</v>
      </c>
      <c r="F147" s="123">
        <v>1</v>
      </c>
      <c r="G147" s="124">
        <v>0.01</v>
      </c>
      <c r="H147" s="124">
        <v>0</v>
      </c>
      <c r="J147" s="130">
        <f ca="1"/>
        <v>6.5134509898196598</v>
      </c>
      <c r="K147" s="131">
        <f ca="1"/>
        <v>0.10000000000004766</v>
      </c>
      <c r="L147" s="1"/>
      <c r="W147" s="7"/>
      <c r="X147" s="7"/>
      <c r="Y147" s="7"/>
      <c r="Z147" s="7"/>
      <c r="AA147" s="7"/>
      <c r="AB147" s="7"/>
      <c r="AC147" s="7"/>
    </row>
    <row r="148" spans="1:29" x14ac:dyDescent="0.25">
      <c r="A148" s="112">
        <v>144</v>
      </c>
      <c r="B148" s="119" t="s">
        <v>34</v>
      </c>
      <c r="C148" s="121">
        <f t="shared" si="5"/>
        <v>104.39999999999918</v>
      </c>
      <c r="D148" s="123">
        <v>100</v>
      </c>
      <c r="E148" s="124">
        <f t="shared" si="4"/>
        <v>0.1</v>
      </c>
      <c r="F148" s="123">
        <v>1</v>
      </c>
      <c r="G148" s="124">
        <v>0.01</v>
      </c>
      <c r="H148" s="124">
        <v>0</v>
      </c>
      <c r="J148" s="130">
        <f ca="1"/>
        <v>6.5810607380009856</v>
      </c>
      <c r="K148" s="131">
        <f ca="1"/>
        <v>0.10000000000006318</v>
      </c>
      <c r="L148" s="1"/>
      <c r="W148" s="7"/>
      <c r="X148" s="7"/>
      <c r="Y148" s="7"/>
      <c r="Z148" s="7"/>
      <c r="AA148" s="7"/>
      <c r="AB148" s="7"/>
      <c r="AC148" s="7"/>
    </row>
    <row r="149" spans="1:29" x14ac:dyDescent="0.25">
      <c r="A149" s="112">
        <v>145</v>
      </c>
      <c r="B149" s="119" t="s">
        <v>34</v>
      </c>
      <c r="C149" s="121">
        <f t="shared" si="5"/>
        <v>104.49999999999918</v>
      </c>
      <c r="D149" s="123">
        <v>100</v>
      </c>
      <c r="E149" s="124">
        <f t="shared" si="4"/>
        <v>0.1</v>
      </c>
      <c r="F149" s="123">
        <v>1</v>
      </c>
      <c r="G149" s="124">
        <v>0.01</v>
      </c>
      <c r="H149" s="124">
        <v>0</v>
      </c>
      <c r="J149" s="130">
        <f ca="1"/>
        <v>6.6490075481876119</v>
      </c>
      <c r="K149" s="131">
        <f ca="1"/>
        <v>0.10000000000008162</v>
      </c>
      <c r="L149" s="1"/>
      <c r="W149" s="7"/>
      <c r="X149" s="7"/>
      <c r="Y149" s="7"/>
      <c r="Z149" s="7"/>
      <c r="AA149" s="7"/>
      <c r="AB149" s="7"/>
      <c r="AC149" s="7"/>
    </row>
    <row r="150" spans="1:29" x14ac:dyDescent="0.25">
      <c r="A150" s="112">
        <v>146</v>
      </c>
      <c r="B150" s="119" t="s">
        <v>34</v>
      </c>
      <c r="C150" s="121">
        <f t="shared" si="5"/>
        <v>104.59999999999917</v>
      </c>
      <c r="D150" s="123">
        <v>100</v>
      </c>
      <c r="E150" s="124">
        <f t="shared" si="4"/>
        <v>0.1</v>
      </c>
      <c r="F150" s="123">
        <v>1</v>
      </c>
      <c r="G150" s="124">
        <v>0.01</v>
      </c>
      <c r="H150" s="124">
        <v>0</v>
      </c>
      <c r="J150" s="130">
        <f ca="1"/>
        <v>6.7172895366593792</v>
      </c>
      <c r="K150" s="131">
        <f ca="1"/>
        <v>0.10000000000010523</v>
      </c>
      <c r="L150" s="1"/>
      <c r="W150" s="7"/>
      <c r="X150" s="7"/>
      <c r="Y150" s="7"/>
      <c r="Z150" s="7"/>
      <c r="AA150" s="7"/>
      <c r="AB150" s="7"/>
      <c r="AC150" s="7"/>
    </row>
    <row r="151" spans="1:29" x14ac:dyDescent="0.25">
      <c r="A151" s="112">
        <v>147</v>
      </c>
      <c r="B151" s="119" t="s">
        <v>34</v>
      </c>
      <c r="C151" s="121">
        <f t="shared" si="5"/>
        <v>104.69999999999916</v>
      </c>
      <c r="D151" s="123">
        <v>100</v>
      </c>
      <c r="E151" s="124">
        <f t="shared" si="4"/>
        <v>0.1</v>
      </c>
      <c r="F151" s="123">
        <v>1</v>
      </c>
      <c r="G151" s="124">
        <v>0.01</v>
      </c>
      <c r="H151" s="124">
        <v>0</v>
      </c>
      <c r="J151" s="130">
        <f ca="1"/>
        <v>6.7859048015046568</v>
      </c>
      <c r="K151" s="131">
        <f ca="1"/>
        <v>0.10000000000013597</v>
      </c>
      <c r="L151" s="1"/>
      <c r="W151" s="7"/>
      <c r="X151" s="7"/>
      <c r="Y151" s="7"/>
      <c r="Z151" s="7"/>
      <c r="AA151" s="7"/>
      <c r="AB151" s="7"/>
      <c r="AC151" s="7"/>
    </row>
    <row r="152" spans="1:29" x14ac:dyDescent="0.25">
      <c r="A152" s="112">
        <v>148</v>
      </c>
      <c r="B152" s="119" t="s">
        <v>34</v>
      </c>
      <c r="C152" s="121">
        <f t="shared" si="5"/>
        <v>104.79999999999916</v>
      </c>
      <c r="D152" s="123">
        <v>100</v>
      </c>
      <c r="E152" s="124">
        <f t="shared" si="4"/>
        <v>0.1</v>
      </c>
      <c r="F152" s="123">
        <v>1</v>
      </c>
      <c r="G152" s="124">
        <v>0.01</v>
      </c>
      <c r="H152" s="124">
        <v>0</v>
      </c>
      <c r="J152" s="130">
        <f ca="1"/>
        <v>6.8548514231338942</v>
      </c>
      <c r="K152" s="131">
        <f ca="1"/>
        <v>0.10000000000017324</v>
      </c>
      <c r="L152" s="1"/>
      <c r="W152" s="7"/>
      <c r="X152" s="7"/>
      <c r="Y152" s="7"/>
      <c r="Z152" s="7"/>
      <c r="AA152" s="7"/>
      <c r="AB152" s="7"/>
      <c r="AC152" s="7"/>
    </row>
    <row r="153" spans="1:29" x14ac:dyDescent="0.25">
      <c r="A153" s="112">
        <v>149</v>
      </c>
      <c r="B153" s="119" t="s">
        <v>34</v>
      </c>
      <c r="C153" s="121">
        <f t="shared" si="5"/>
        <v>104.89999999999915</v>
      </c>
      <c r="D153" s="123">
        <v>100</v>
      </c>
      <c r="E153" s="124">
        <f t="shared" si="4"/>
        <v>0.1</v>
      </c>
      <c r="F153" s="123">
        <v>1</v>
      </c>
      <c r="G153" s="124">
        <v>0.01</v>
      </c>
      <c r="H153" s="124">
        <v>0</v>
      </c>
      <c r="J153" s="130">
        <f ca="1"/>
        <v>6.9241274647930879</v>
      </c>
      <c r="K153" s="131">
        <f ca="1"/>
        <v>0.10000000000022027</v>
      </c>
      <c r="L153" s="1"/>
      <c r="W153" s="7"/>
      <c r="X153" s="7"/>
      <c r="Y153" s="7"/>
      <c r="Z153" s="7"/>
      <c r="AA153" s="7"/>
      <c r="AB153" s="7"/>
      <c r="AC153" s="7"/>
    </row>
    <row r="154" spans="1:29" x14ac:dyDescent="0.25">
      <c r="A154" s="112">
        <v>150</v>
      </c>
      <c r="B154" s="119" t="s">
        <v>34</v>
      </c>
      <c r="C154" s="121">
        <f t="shared" si="5"/>
        <v>104.99999999999915</v>
      </c>
      <c r="D154" s="123">
        <v>100</v>
      </c>
      <c r="E154" s="124">
        <f t="shared" si="4"/>
        <v>0.1</v>
      </c>
      <c r="F154" s="123">
        <v>1</v>
      </c>
      <c r="G154" s="124">
        <v>0.01</v>
      </c>
      <c r="H154" s="124">
        <v>0</v>
      </c>
      <c r="J154" s="130">
        <f ca="1"/>
        <v>6.9937309730769783</v>
      </c>
      <c r="K154" s="131">
        <f ca="1"/>
        <v>0.10000000000028049</v>
      </c>
      <c r="L154" s="1"/>
      <c r="W154" s="7"/>
      <c r="X154" s="7"/>
      <c r="Y154" s="7"/>
      <c r="Z154" s="7"/>
      <c r="AA154" s="7"/>
      <c r="AB154" s="7"/>
      <c r="AC154" s="7"/>
    </row>
    <row r="155" spans="1:29" x14ac:dyDescent="0.25">
      <c r="A155" s="112">
        <v>151</v>
      </c>
      <c r="B155" s="119" t="s">
        <v>34</v>
      </c>
      <c r="C155" s="121">
        <f t="shared" si="5"/>
        <v>105.09999999999914</v>
      </c>
      <c r="D155" s="123">
        <v>100</v>
      </c>
      <c r="E155" s="124">
        <f t="shared" si="4"/>
        <v>0.1</v>
      </c>
      <c r="F155" s="123">
        <v>1</v>
      </c>
      <c r="G155" s="124">
        <v>0.01</v>
      </c>
      <c r="H155" s="124">
        <v>0</v>
      </c>
      <c r="J155" s="130">
        <f ca="1"/>
        <v>7.0636599784415068</v>
      </c>
      <c r="K155" s="131">
        <f ca="1"/>
        <v>0.1000000000003555</v>
      </c>
      <c r="L155" s="1"/>
      <c r="W155" s="7"/>
      <c r="X155" s="7"/>
      <c r="Y155" s="7"/>
      <c r="Z155" s="7"/>
      <c r="AA155" s="7"/>
      <c r="AB155" s="7"/>
      <c r="AC155" s="7"/>
    </row>
    <row r="156" spans="1:29" x14ac:dyDescent="0.25">
      <c r="A156" s="112">
        <v>152</v>
      </c>
      <c r="B156" s="119" t="s">
        <v>34</v>
      </c>
      <c r="C156" s="121">
        <f t="shared" si="5"/>
        <v>105.19999999999914</v>
      </c>
      <c r="D156" s="123">
        <v>100</v>
      </c>
      <c r="E156" s="124">
        <f t="shared" si="4"/>
        <v>0.1</v>
      </c>
      <c r="F156" s="123">
        <v>1</v>
      </c>
      <c r="G156" s="124">
        <v>0.01</v>
      </c>
      <c r="H156" s="124">
        <v>0</v>
      </c>
      <c r="J156" s="130">
        <f ca="1"/>
        <v>7.133912495715947</v>
      </c>
      <c r="K156" s="131">
        <f ca="1"/>
        <v>0.10000000000044836</v>
      </c>
      <c r="L156" s="1"/>
      <c r="W156" s="7"/>
      <c r="X156" s="7"/>
      <c r="Y156" s="7"/>
      <c r="Z156" s="7"/>
      <c r="AA156" s="7"/>
      <c r="AB156" s="7"/>
      <c r="AC156" s="7"/>
    </row>
    <row r="157" spans="1:29" x14ac:dyDescent="0.25">
      <c r="A157" s="112">
        <v>153</v>
      </c>
      <c r="B157" s="119" t="s">
        <v>34</v>
      </c>
      <c r="C157" s="121">
        <f t="shared" si="5"/>
        <v>105.29999999999913</v>
      </c>
      <c r="D157" s="123">
        <v>100</v>
      </c>
      <c r="E157" s="124">
        <f t="shared" si="4"/>
        <v>0.1</v>
      </c>
      <c r="F157" s="123">
        <v>1</v>
      </c>
      <c r="G157" s="124">
        <v>0.01</v>
      </c>
      <c r="H157" s="124">
        <v>0</v>
      </c>
      <c r="J157" s="130">
        <f ca="1"/>
        <v>7.2044865246138272</v>
      </c>
      <c r="K157" s="131">
        <f ca="1"/>
        <v>0.10000000000056605</v>
      </c>
      <c r="L157" s="1"/>
      <c r="W157" s="7"/>
      <c r="X157" s="7"/>
      <c r="Y157" s="7"/>
      <c r="Z157" s="7"/>
      <c r="AA157" s="7"/>
      <c r="AB157" s="7"/>
      <c r="AC157" s="7"/>
    </row>
    <row r="158" spans="1:29" x14ac:dyDescent="0.25">
      <c r="A158" s="112">
        <v>154</v>
      </c>
      <c r="B158" s="119" t="s">
        <v>34</v>
      </c>
      <c r="C158" s="121">
        <f t="shared" si="5"/>
        <v>105.39999999999912</v>
      </c>
      <c r="D158" s="123">
        <v>100</v>
      </c>
      <c r="E158" s="124">
        <f t="shared" si="4"/>
        <v>0.1</v>
      </c>
      <c r="F158" s="123">
        <v>1</v>
      </c>
      <c r="G158" s="124">
        <v>0.01</v>
      </c>
      <c r="H158" s="124">
        <v>0</v>
      </c>
      <c r="J158" s="130">
        <f ca="1"/>
        <v>7.2753800502428305</v>
      </c>
      <c r="K158" s="131">
        <f ca="1"/>
        <v>0.10000000000070972</v>
      </c>
      <c r="L158" s="1"/>
      <c r="W158" s="7"/>
      <c r="X158" s="7"/>
      <c r="Y158" s="7"/>
      <c r="Z158" s="7"/>
      <c r="AA158" s="7"/>
      <c r="AB158" s="7"/>
      <c r="AC158" s="7"/>
    </row>
    <row r="159" spans="1:29" x14ac:dyDescent="0.25">
      <c r="A159" s="112">
        <v>155</v>
      </c>
      <c r="B159" s="119" t="s">
        <v>34</v>
      </c>
      <c r="C159" s="121">
        <f t="shared" si="5"/>
        <v>105.49999999999912</v>
      </c>
      <c r="D159" s="123">
        <v>100</v>
      </c>
      <c r="E159" s="124">
        <f t="shared" si="4"/>
        <v>0.1</v>
      </c>
      <c r="F159" s="123">
        <v>1</v>
      </c>
      <c r="G159" s="124">
        <v>0.01</v>
      </c>
      <c r="H159" s="124">
        <v>0</v>
      </c>
      <c r="J159" s="130">
        <f ca="1"/>
        <v>7.3465910436138273</v>
      </c>
      <c r="K159" s="131">
        <f ca="1"/>
        <v>0.10000000000088959</v>
      </c>
      <c r="L159" s="1"/>
      <c r="W159" s="7"/>
      <c r="X159" s="7"/>
      <c r="Y159" s="7"/>
      <c r="Z159" s="7"/>
      <c r="AA159" s="7"/>
      <c r="AB159" s="7"/>
      <c r="AC159" s="7"/>
    </row>
    <row r="160" spans="1:29" x14ac:dyDescent="0.25">
      <c r="A160" s="112">
        <v>156</v>
      </c>
      <c r="B160" s="119" t="s">
        <v>34</v>
      </c>
      <c r="C160" s="121">
        <f t="shared" si="5"/>
        <v>105.59999999999911</v>
      </c>
      <c r="D160" s="123">
        <v>100</v>
      </c>
      <c r="E160" s="124">
        <f t="shared" si="4"/>
        <v>0.1</v>
      </c>
      <c r="F160" s="123">
        <v>1</v>
      </c>
      <c r="G160" s="124">
        <v>0.01</v>
      </c>
      <c r="H160" s="124">
        <v>0</v>
      </c>
      <c r="J160" s="130">
        <f ca="1"/>
        <v>7.4181174621477624</v>
      </c>
      <c r="K160" s="131">
        <f ca="1"/>
        <v>0.10000000000111006</v>
      </c>
      <c r="L160" s="1"/>
      <c r="W160" s="7"/>
      <c r="X160" s="7"/>
      <c r="Y160" s="7"/>
      <c r="Z160" s="7"/>
      <c r="AA160" s="7"/>
      <c r="AB160" s="7"/>
      <c r="AC160" s="7"/>
    </row>
    <row r="161" spans="1:29" x14ac:dyDescent="0.25">
      <c r="A161" s="112">
        <v>157</v>
      </c>
      <c r="B161" s="119" t="s">
        <v>34</v>
      </c>
      <c r="C161" s="121">
        <f t="shared" si="5"/>
        <v>105.69999999999911</v>
      </c>
      <c r="D161" s="123">
        <v>100</v>
      </c>
      <c r="E161" s="124">
        <f t="shared" si="4"/>
        <v>0.1</v>
      </c>
      <c r="F161" s="123">
        <v>1</v>
      </c>
      <c r="G161" s="124">
        <v>0.01</v>
      </c>
      <c r="H161" s="124">
        <v>0</v>
      </c>
      <c r="J161" s="130">
        <f ca="1"/>
        <v>7.4899572501818312</v>
      </c>
      <c r="K161" s="131">
        <f ca="1"/>
        <v>0.10000000000138504</v>
      </c>
      <c r="L161" s="1"/>
      <c r="W161" s="7"/>
      <c r="X161" s="7"/>
      <c r="Y161" s="7"/>
      <c r="Z161" s="7"/>
      <c r="AA161" s="7"/>
      <c r="AB161" s="7"/>
      <c r="AC161" s="7"/>
    </row>
    <row r="162" spans="1:29" x14ac:dyDescent="0.25">
      <c r="A162" s="112">
        <v>158</v>
      </c>
      <c r="B162" s="119" t="s">
        <v>34</v>
      </c>
      <c r="C162" s="121">
        <f t="shared" si="5"/>
        <v>105.7999999999991</v>
      </c>
      <c r="D162" s="123">
        <v>100</v>
      </c>
      <c r="E162" s="124">
        <f t="shared" si="4"/>
        <v>0.1</v>
      </c>
      <c r="F162" s="123">
        <v>1</v>
      </c>
      <c r="G162" s="124">
        <v>0.01</v>
      </c>
      <c r="H162" s="124">
        <v>0</v>
      </c>
      <c r="J162" s="130">
        <f ca="1"/>
        <v>7.5621083394730988</v>
      </c>
      <c r="K162" s="131">
        <f ca="1"/>
        <v>0.1000000000017244</v>
      </c>
      <c r="L162" s="1"/>
      <c r="W162" s="7"/>
      <c r="X162" s="7"/>
      <c r="Y162" s="7"/>
      <c r="Z162" s="7"/>
      <c r="AA162" s="7"/>
      <c r="AB162" s="7"/>
      <c r="AC162" s="7"/>
    </row>
    <row r="163" spans="1:29" x14ac:dyDescent="0.25">
      <c r="A163" s="112">
        <v>159</v>
      </c>
      <c r="B163" s="119" t="s">
        <v>34</v>
      </c>
      <c r="C163" s="121">
        <f t="shared" si="5"/>
        <v>105.8999999999991</v>
      </c>
      <c r="D163" s="123">
        <v>100</v>
      </c>
      <c r="E163" s="124">
        <f t="shared" si="4"/>
        <v>0.1</v>
      </c>
      <c r="F163" s="123">
        <v>1</v>
      </c>
      <c r="G163" s="124">
        <v>0.01</v>
      </c>
      <c r="H163" s="124">
        <v>0</v>
      </c>
      <c r="J163" s="130">
        <f ca="1"/>
        <v>7.6345686497006398</v>
      </c>
      <c r="K163" s="131">
        <f ca="1"/>
        <v>0.10000000000214343</v>
      </c>
      <c r="L163" s="1"/>
      <c r="W163" s="7"/>
      <c r="X163" s="7"/>
      <c r="Y163" s="7"/>
      <c r="Z163" s="7"/>
      <c r="AA163" s="7"/>
      <c r="AB163" s="7"/>
      <c r="AC163" s="7"/>
    </row>
    <row r="164" spans="1:29" x14ac:dyDescent="0.25">
      <c r="A164" s="112">
        <v>160</v>
      </c>
      <c r="B164" s="119" t="s">
        <v>34</v>
      </c>
      <c r="C164" s="121">
        <f t="shared" si="5"/>
        <v>105.99999999999909</v>
      </c>
      <c r="D164" s="123">
        <v>100</v>
      </c>
      <c r="E164" s="124">
        <f t="shared" si="4"/>
        <v>0.1</v>
      </c>
      <c r="F164" s="123">
        <v>1</v>
      </c>
      <c r="G164" s="124">
        <v>0.01</v>
      </c>
      <c r="H164" s="124">
        <v>0</v>
      </c>
      <c r="J164" s="130">
        <f ca="1"/>
        <v>7.7073360889655191</v>
      </c>
      <c r="K164" s="131">
        <f ca="1"/>
        <v>0.10000000000265911</v>
      </c>
      <c r="L164" s="1"/>
      <c r="W164" s="7"/>
      <c r="X164" s="7"/>
      <c r="Y164" s="7"/>
      <c r="Z164" s="7"/>
      <c r="AA164" s="7"/>
      <c r="AB164" s="7"/>
      <c r="AC164" s="7"/>
    </row>
    <row r="165" spans="1:29" x14ac:dyDescent="0.25">
      <c r="A165" s="112">
        <v>161</v>
      </c>
      <c r="B165" s="119" t="s">
        <v>34</v>
      </c>
      <c r="C165" s="121">
        <f t="shared" si="5"/>
        <v>106.09999999999908</v>
      </c>
      <c r="D165" s="123">
        <v>100</v>
      </c>
      <c r="E165" s="124">
        <f t="shared" si="4"/>
        <v>0.1</v>
      </c>
      <c r="F165" s="123">
        <v>1</v>
      </c>
      <c r="G165" s="124">
        <v>0.01</v>
      </c>
      <c r="H165" s="124">
        <v>0</v>
      </c>
      <c r="J165" s="130">
        <f ca="1"/>
        <v>7.7804085542884422</v>
      </c>
      <c r="K165" s="131">
        <f ca="1"/>
        <v>0.1000000000000011</v>
      </c>
      <c r="L165" s="1"/>
      <c r="W165" s="7"/>
      <c r="X165" s="7"/>
      <c r="Y165" s="7"/>
      <c r="Z165" s="7"/>
      <c r="AA165" s="7"/>
      <c r="AB165" s="7"/>
      <c r="AC165" s="7"/>
    </row>
    <row r="166" spans="1:29" x14ac:dyDescent="0.25">
      <c r="A166" s="112">
        <v>162</v>
      </c>
      <c r="B166" s="119" t="s">
        <v>34</v>
      </c>
      <c r="C166" s="121">
        <f t="shared" si="5"/>
        <v>106.19999999999908</v>
      </c>
      <c r="D166" s="123">
        <v>100</v>
      </c>
      <c r="E166" s="124">
        <f t="shared" si="4"/>
        <v>0.1</v>
      </c>
      <c r="F166" s="123">
        <v>1</v>
      </c>
      <c r="G166" s="124">
        <v>0.01</v>
      </c>
      <c r="H166" s="124">
        <v>0</v>
      </c>
      <c r="J166" s="130">
        <f ca="1"/>
        <v>7.8537839321049745</v>
      </c>
      <c r="K166" s="131">
        <f ca="1"/>
        <v>0.10000000000000088</v>
      </c>
      <c r="L166" s="1"/>
      <c r="W166" s="7"/>
      <c r="X166" s="7"/>
      <c r="Y166" s="7"/>
      <c r="Z166" s="7"/>
      <c r="AA166" s="7"/>
      <c r="AB166" s="7"/>
      <c r="AC166" s="7"/>
    </row>
    <row r="167" spans="1:29" x14ac:dyDescent="0.25">
      <c r="A167" s="112">
        <v>163</v>
      </c>
      <c r="B167" s="119" t="s">
        <v>34</v>
      </c>
      <c r="C167" s="121">
        <f t="shared" si="5"/>
        <v>106.29999999999907</v>
      </c>
      <c r="D167" s="123">
        <v>100</v>
      </c>
      <c r="E167" s="124">
        <f t="shared" si="4"/>
        <v>0.1</v>
      </c>
      <c r="F167" s="123">
        <v>1</v>
      </c>
      <c r="G167" s="124">
        <v>0.01</v>
      </c>
      <c r="H167" s="124">
        <v>0</v>
      </c>
      <c r="J167" s="130">
        <f ca="1"/>
        <v>7.9274600987583455</v>
      </c>
      <c r="K167" s="131">
        <f ca="1"/>
        <v>0.10000000000000089</v>
      </c>
      <c r="L167" s="1"/>
      <c r="W167" s="7"/>
      <c r="X167" s="7"/>
      <c r="Y167" s="7"/>
      <c r="Z167" s="7"/>
      <c r="AA167" s="7"/>
      <c r="AB167" s="7"/>
      <c r="AC167" s="7"/>
    </row>
    <row r="168" spans="1:29" x14ac:dyDescent="0.25">
      <c r="A168" s="112">
        <v>164</v>
      </c>
      <c r="B168" s="119" t="s">
        <v>34</v>
      </c>
      <c r="C168" s="121">
        <f t="shared" si="5"/>
        <v>106.39999999999907</v>
      </c>
      <c r="D168" s="123">
        <v>100</v>
      </c>
      <c r="E168" s="124">
        <f t="shared" si="4"/>
        <v>0.1</v>
      </c>
      <c r="F168" s="123">
        <v>1</v>
      </c>
      <c r="G168" s="124">
        <v>0.01</v>
      </c>
      <c r="H168" s="124">
        <v>0</v>
      </c>
      <c r="J168" s="130">
        <f ca="1"/>
        <v>8.001434920989368</v>
      </c>
      <c r="K168" s="131">
        <f ca="1"/>
        <v>0.10000000000000109</v>
      </c>
      <c r="L168" s="1"/>
      <c r="W168" s="7"/>
      <c r="X168" s="7"/>
      <c r="Y168" s="7"/>
      <c r="Z168" s="7"/>
      <c r="AA168" s="7"/>
      <c r="AB168" s="7"/>
      <c r="AC168" s="7"/>
    </row>
    <row r="169" spans="1:29" x14ac:dyDescent="0.25">
      <c r="A169" s="112">
        <v>165</v>
      </c>
      <c r="B169" s="119" t="s">
        <v>34</v>
      </c>
      <c r="C169" s="121">
        <f t="shared" si="5"/>
        <v>106.49999999999906</v>
      </c>
      <c r="D169" s="123">
        <v>100</v>
      </c>
      <c r="E169" s="124">
        <f t="shared" si="4"/>
        <v>0.1</v>
      </c>
      <c r="F169" s="123">
        <v>1</v>
      </c>
      <c r="G169" s="124">
        <v>0.01</v>
      </c>
      <c r="H169" s="124">
        <v>0</v>
      </c>
      <c r="J169" s="130">
        <f ca="1"/>
        <v>8.0757062564235156</v>
      </c>
      <c r="K169" s="131">
        <f ca="1"/>
        <v>0.10000000000000099</v>
      </c>
      <c r="L169" s="1"/>
      <c r="W169" s="7"/>
      <c r="X169" s="7"/>
      <c r="Y169" s="7"/>
      <c r="Z169" s="7"/>
      <c r="AA169" s="7"/>
      <c r="AB169" s="7"/>
      <c r="AC169" s="7"/>
    </row>
    <row r="170" spans="1:29" x14ac:dyDescent="0.25">
      <c r="A170" s="112">
        <v>166</v>
      </c>
      <c r="B170" s="119" t="s">
        <v>34</v>
      </c>
      <c r="C170" s="121">
        <f t="shared" si="5"/>
        <v>106.59999999999906</v>
      </c>
      <c r="D170" s="123">
        <v>100</v>
      </c>
      <c r="E170" s="124">
        <f t="shared" si="4"/>
        <v>0.1</v>
      </c>
      <c r="F170" s="123">
        <v>1</v>
      </c>
      <c r="G170" s="124">
        <v>0.01</v>
      </c>
      <c r="H170" s="124">
        <v>0</v>
      </c>
      <c r="J170" s="130">
        <f ca="1"/>
        <v>8.1502719540551851</v>
      </c>
      <c r="K170" s="131">
        <f ca="1"/>
        <v>0.10000000000000225</v>
      </c>
      <c r="L170" s="1"/>
      <c r="W170" s="7"/>
      <c r="X170" s="7"/>
      <c r="Y170" s="7"/>
      <c r="Z170" s="7"/>
      <c r="AA170" s="7"/>
      <c r="AB170" s="7"/>
      <c r="AC170" s="7"/>
    </row>
    <row r="171" spans="1:29" x14ac:dyDescent="0.25">
      <c r="A171" s="112">
        <v>167</v>
      </c>
      <c r="B171" s="119" t="s">
        <v>34</v>
      </c>
      <c r="C171" s="121">
        <f t="shared" si="5"/>
        <v>106.69999999999905</v>
      </c>
      <c r="D171" s="123">
        <v>100</v>
      </c>
      <c r="E171" s="124">
        <f t="shared" si="4"/>
        <v>0.1</v>
      </c>
      <c r="F171" s="123">
        <v>1</v>
      </c>
      <c r="G171" s="124">
        <v>0.01</v>
      </c>
      <c r="H171" s="124">
        <v>0</v>
      </c>
      <c r="J171" s="130">
        <f ca="1"/>
        <v>8.2251298547284932</v>
      </c>
      <c r="K171" s="131">
        <f ca="1"/>
        <v>0.10000000000000177</v>
      </c>
      <c r="L171" s="1"/>
      <c r="W171" s="7"/>
      <c r="X171" s="7"/>
      <c r="Y171" s="7"/>
      <c r="Z171" s="7"/>
      <c r="AA171" s="7"/>
      <c r="AB171" s="7"/>
      <c r="AC171" s="7"/>
    </row>
    <row r="172" spans="1:29" x14ac:dyDescent="0.25">
      <c r="A172" s="112">
        <v>168</v>
      </c>
      <c r="B172" s="119" t="s">
        <v>34</v>
      </c>
      <c r="C172" s="121">
        <f t="shared" si="5"/>
        <v>106.79999999999905</v>
      </c>
      <c r="D172" s="123">
        <v>100</v>
      </c>
      <c r="E172" s="124">
        <f t="shared" si="4"/>
        <v>0.1</v>
      </c>
      <c r="F172" s="123">
        <v>1</v>
      </c>
      <c r="G172" s="124">
        <v>0.01</v>
      </c>
      <c r="H172" s="124">
        <v>0</v>
      </c>
      <c r="J172" s="130">
        <f ca="1"/>
        <v>8.3002777916151587</v>
      </c>
      <c r="K172" s="131">
        <f ca="1"/>
        <v>0.10000000000000343</v>
      </c>
      <c r="L172" s="1"/>
      <c r="W172" s="7"/>
      <c r="X172" s="7"/>
      <c r="Y172" s="7"/>
      <c r="Z172" s="7"/>
      <c r="AA172" s="7"/>
      <c r="AB172" s="7"/>
      <c r="AC172" s="7"/>
    </row>
    <row r="173" spans="1:29" x14ac:dyDescent="0.25">
      <c r="A173" s="112">
        <v>169</v>
      </c>
      <c r="B173" s="119" t="s">
        <v>34</v>
      </c>
      <c r="C173" s="121">
        <f t="shared" si="5"/>
        <v>106.89999999999904</v>
      </c>
      <c r="D173" s="123">
        <v>100</v>
      </c>
      <c r="E173" s="124">
        <f t="shared" si="4"/>
        <v>0.1</v>
      </c>
      <c r="F173" s="123">
        <v>1</v>
      </c>
      <c r="G173" s="124">
        <v>0.01</v>
      </c>
      <c r="H173" s="124">
        <v>0</v>
      </c>
      <c r="J173" s="130">
        <f ca="1"/>
        <v>8.3757135906885054</v>
      </c>
      <c r="K173" s="131">
        <f ca="1"/>
        <v>0.10000000000000375</v>
      </c>
      <c r="L173" s="1"/>
      <c r="W173" s="7"/>
      <c r="X173" s="7"/>
      <c r="Y173" s="7"/>
      <c r="Z173" s="7"/>
      <c r="AA173" s="7"/>
      <c r="AB173" s="7"/>
      <c r="AC173" s="7"/>
    </row>
    <row r="174" spans="1:29" x14ac:dyDescent="0.25">
      <c r="A174" s="112">
        <v>170</v>
      </c>
      <c r="B174" s="119" t="s">
        <v>34</v>
      </c>
      <c r="C174" s="121">
        <f t="shared" si="5"/>
        <v>106.99999999999903</v>
      </c>
      <c r="D174" s="123">
        <v>100</v>
      </c>
      <c r="E174" s="124">
        <f t="shared" si="4"/>
        <v>0.1</v>
      </c>
      <c r="F174" s="123">
        <v>1</v>
      </c>
      <c r="G174" s="124">
        <v>0.01</v>
      </c>
      <c r="H174" s="124">
        <v>0</v>
      </c>
      <c r="J174" s="130">
        <f ca="1"/>
        <v>8.4514350711944957</v>
      </c>
      <c r="K174" s="131">
        <f ca="1"/>
        <v>0.10000000000000539</v>
      </c>
      <c r="L174" s="1"/>
      <c r="W174" s="7"/>
      <c r="X174" s="7"/>
      <c r="Y174" s="7"/>
      <c r="Z174" s="7"/>
      <c r="AA174" s="7"/>
      <c r="AB174" s="7"/>
      <c r="AC174" s="7"/>
    </row>
    <row r="175" spans="1:29" x14ac:dyDescent="0.25">
      <c r="A175" s="112">
        <v>171</v>
      </c>
      <c r="B175" s="119" t="s">
        <v>34</v>
      </c>
      <c r="C175" s="121">
        <f t="shared" si="5"/>
        <v>107.09999999999903</v>
      </c>
      <c r="D175" s="123">
        <v>100</v>
      </c>
      <c r="E175" s="124">
        <f t="shared" si="4"/>
        <v>0.1</v>
      </c>
      <c r="F175" s="123">
        <v>1</v>
      </c>
      <c r="G175" s="124">
        <v>0.01</v>
      </c>
      <c r="H175" s="124">
        <v>0</v>
      </c>
      <c r="J175" s="130">
        <f ca="1"/>
        <v>8.5274400461184996</v>
      </c>
      <c r="K175" s="131">
        <f ca="1"/>
        <v>0.10000000000000565</v>
      </c>
      <c r="L175" s="1"/>
      <c r="W175" s="7"/>
      <c r="X175" s="7"/>
      <c r="Y175" s="7"/>
      <c r="Z175" s="7"/>
      <c r="AA175" s="7"/>
      <c r="AB175" s="7"/>
      <c r="AC175" s="7"/>
    </row>
    <row r="176" spans="1:29" x14ac:dyDescent="0.25">
      <c r="A176" s="112">
        <v>172</v>
      </c>
      <c r="B176" s="119" t="s">
        <v>34</v>
      </c>
      <c r="C176" s="121">
        <f t="shared" si="5"/>
        <v>107.19999999999902</v>
      </c>
      <c r="D176" s="123">
        <v>100</v>
      </c>
      <c r="E176" s="124">
        <f t="shared" si="4"/>
        <v>0.1</v>
      </c>
      <c r="F176" s="123">
        <v>1</v>
      </c>
      <c r="G176" s="124">
        <v>0.01</v>
      </c>
      <c r="H176" s="124">
        <v>0</v>
      </c>
      <c r="J176" s="130">
        <f ca="1"/>
        <v>8.6037263226486971</v>
      </c>
      <c r="K176" s="131">
        <f ca="1"/>
        <v>0.10000000000000776</v>
      </c>
      <c r="L176" s="1"/>
      <c r="W176" s="7"/>
      <c r="X176" s="7"/>
      <c r="Y176" s="7"/>
      <c r="Z176" s="7"/>
      <c r="AA176" s="7"/>
      <c r="AB176" s="7"/>
      <c r="AC176" s="7"/>
    </row>
    <row r="177" spans="1:29" x14ac:dyDescent="0.25">
      <c r="A177" s="112">
        <v>173</v>
      </c>
      <c r="B177" s="119" t="s">
        <v>34</v>
      </c>
      <c r="C177" s="121">
        <f t="shared" si="5"/>
        <v>107.29999999999902</v>
      </c>
      <c r="D177" s="123">
        <v>100</v>
      </c>
      <c r="E177" s="124">
        <f t="shared" si="4"/>
        <v>0.1</v>
      </c>
      <c r="F177" s="123">
        <v>1</v>
      </c>
      <c r="G177" s="124">
        <v>0.01</v>
      </c>
      <c r="H177" s="124">
        <v>0</v>
      </c>
      <c r="J177" s="130">
        <f ca="1"/>
        <v>8.6802917026353441</v>
      </c>
      <c r="K177" s="131">
        <f ca="1"/>
        <v>0.10000000000000868</v>
      </c>
      <c r="L177" s="1"/>
      <c r="W177" s="7"/>
      <c r="X177" s="7"/>
      <c r="Y177" s="7"/>
      <c r="Z177" s="7"/>
      <c r="AA177" s="7"/>
      <c r="AB177" s="7"/>
      <c r="AC177" s="7"/>
    </row>
    <row r="178" spans="1:29" x14ac:dyDescent="0.25">
      <c r="A178" s="112">
        <v>174</v>
      </c>
      <c r="B178" s="119" t="s">
        <v>34</v>
      </c>
      <c r="C178" s="121">
        <f t="shared" si="5"/>
        <v>107.39999999999901</v>
      </c>
      <c r="D178" s="123">
        <v>100</v>
      </c>
      <c r="E178" s="124">
        <f t="shared" si="4"/>
        <v>0.1</v>
      </c>
      <c r="F178" s="123">
        <v>1</v>
      </c>
      <c r="G178" s="124">
        <v>0.01</v>
      </c>
      <c r="H178" s="124">
        <v>0</v>
      </c>
      <c r="J178" s="130">
        <f ca="1"/>
        <v>8.7571339830461312</v>
      </c>
      <c r="K178" s="131">
        <f ca="1"/>
        <v>0.10000000000001173</v>
      </c>
      <c r="L178" s="1"/>
      <c r="W178" s="7"/>
      <c r="X178" s="7"/>
      <c r="Y178" s="7"/>
      <c r="Z178" s="7"/>
      <c r="AA178" s="7"/>
      <c r="AB178" s="7"/>
      <c r="AC178" s="7"/>
    </row>
    <row r="179" spans="1:29" x14ac:dyDescent="0.25">
      <c r="A179" s="112">
        <v>175</v>
      </c>
      <c r="B179" s="119" t="s">
        <v>34</v>
      </c>
      <c r="C179" s="121">
        <f t="shared" si="5"/>
        <v>107.49999999999901</v>
      </c>
      <c r="D179" s="123">
        <v>100</v>
      </c>
      <c r="E179" s="124">
        <f t="shared" si="4"/>
        <v>0.1</v>
      </c>
      <c r="F179" s="123">
        <v>1</v>
      </c>
      <c r="G179" s="124">
        <v>0.01</v>
      </c>
      <c r="H179" s="124">
        <v>0</v>
      </c>
      <c r="J179" s="130">
        <f ca="1"/>
        <v>8.8342509564172218</v>
      </c>
      <c r="K179" s="131">
        <f ca="1"/>
        <v>0.10000000000001376</v>
      </c>
      <c r="L179" s="1"/>
      <c r="W179" s="7"/>
      <c r="X179" s="7"/>
      <c r="Y179" s="7"/>
      <c r="Z179" s="7"/>
      <c r="AA179" s="7"/>
      <c r="AB179" s="7"/>
      <c r="AC179" s="7"/>
    </row>
    <row r="180" spans="1:29" x14ac:dyDescent="0.25">
      <c r="A180" s="112">
        <v>176</v>
      </c>
      <c r="B180" s="119" t="s">
        <v>34</v>
      </c>
      <c r="C180" s="121">
        <f t="shared" si="5"/>
        <v>107.599999999999</v>
      </c>
      <c r="D180" s="123">
        <v>100</v>
      </c>
      <c r="E180" s="124">
        <f t="shared" si="4"/>
        <v>0.1</v>
      </c>
      <c r="F180" s="123">
        <v>1</v>
      </c>
      <c r="G180" s="124">
        <v>0.01</v>
      </c>
      <c r="H180" s="124">
        <v>0</v>
      </c>
      <c r="J180" s="130">
        <f ca="1"/>
        <v>8.9116404113002687</v>
      </c>
      <c r="K180" s="131">
        <f ca="1"/>
        <v>0.10000000000001809</v>
      </c>
      <c r="L180" s="1"/>
      <c r="W180" s="7"/>
      <c r="X180" s="7"/>
      <c r="Y180" s="7"/>
      <c r="Z180" s="7"/>
      <c r="AA180" s="7"/>
      <c r="AB180" s="7"/>
      <c r="AC180" s="7"/>
    </row>
    <row r="181" spans="1:29" x14ac:dyDescent="0.25">
      <c r="A181" s="112">
        <v>177</v>
      </c>
      <c r="B181" s="119" t="s">
        <v>34</v>
      </c>
      <c r="C181" s="121">
        <f t="shared" si="5"/>
        <v>107.69999999999899</v>
      </c>
      <c r="D181" s="123">
        <v>100</v>
      </c>
      <c r="E181" s="124">
        <f t="shared" si="4"/>
        <v>0.1</v>
      </c>
      <c r="F181" s="123">
        <v>1</v>
      </c>
      <c r="G181" s="124">
        <v>0.01</v>
      </c>
      <c r="H181" s="124">
        <v>0</v>
      </c>
      <c r="J181" s="130">
        <f ca="1"/>
        <v>8.9893001327048836</v>
      </c>
      <c r="K181" s="131">
        <f ca="1"/>
        <v>0.10000000000002207</v>
      </c>
      <c r="L181" s="1"/>
      <c r="W181" s="7"/>
      <c r="X181" s="7"/>
      <c r="Y181" s="7"/>
      <c r="Z181" s="7"/>
      <c r="AA181" s="7"/>
      <c r="AB181" s="7"/>
      <c r="AC181" s="7"/>
    </row>
    <row r="182" spans="1:29" x14ac:dyDescent="0.25">
      <c r="A182" s="112">
        <v>178</v>
      </c>
      <c r="B182" s="119" t="s">
        <v>34</v>
      </c>
      <c r="C182" s="121">
        <f t="shared" si="5"/>
        <v>107.79999999999899</v>
      </c>
      <c r="D182" s="123">
        <v>100</v>
      </c>
      <c r="E182" s="124">
        <f t="shared" si="4"/>
        <v>0.1</v>
      </c>
      <c r="F182" s="123">
        <v>1</v>
      </c>
      <c r="G182" s="124">
        <v>0.01</v>
      </c>
      <c r="H182" s="124">
        <v>0</v>
      </c>
      <c r="J182" s="130">
        <f ca="1"/>
        <v>9.067227902536743</v>
      </c>
      <c r="K182" s="131">
        <f ca="1"/>
        <v>0.10000000000002736</v>
      </c>
      <c r="L182" s="1"/>
      <c r="W182" s="7"/>
      <c r="X182" s="7"/>
      <c r="Y182" s="7"/>
      <c r="Z182" s="7"/>
      <c r="AA182" s="7"/>
      <c r="AB182" s="7"/>
      <c r="AC182" s="7"/>
    </row>
    <row r="183" spans="1:29" x14ac:dyDescent="0.25">
      <c r="A183" s="112">
        <v>179</v>
      </c>
      <c r="B183" s="119" t="s">
        <v>34</v>
      </c>
      <c r="C183" s="121">
        <f t="shared" si="5"/>
        <v>107.89999999999898</v>
      </c>
      <c r="D183" s="123">
        <v>100</v>
      </c>
      <c r="E183" s="124">
        <f t="shared" si="4"/>
        <v>0.1</v>
      </c>
      <c r="F183" s="123">
        <v>1</v>
      </c>
      <c r="G183" s="124">
        <v>0.01</v>
      </c>
      <c r="H183" s="124">
        <v>0</v>
      </c>
      <c r="J183" s="130">
        <f ca="1"/>
        <v>9.1454215000310626</v>
      </c>
      <c r="K183" s="131">
        <f ca="1"/>
        <v>0.10000000000003362</v>
      </c>
      <c r="L183" s="1"/>
      <c r="W183" s="7"/>
      <c r="X183" s="7"/>
      <c r="Y183" s="7"/>
      <c r="Z183" s="7"/>
      <c r="AA183" s="7"/>
      <c r="AB183" s="7"/>
      <c r="AC183" s="7"/>
    </row>
    <row r="184" spans="1:29" x14ac:dyDescent="0.25">
      <c r="A184" s="112">
        <v>180</v>
      </c>
      <c r="B184" s="119" t="s">
        <v>34</v>
      </c>
      <c r="C184" s="121">
        <f t="shared" si="5"/>
        <v>107.99999999999898</v>
      </c>
      <c r="D184" s="123">
        <v>100</v>
      </c>
      <c r="E184" s="124">
        <f t="shared" si="4"/>
        <v>0.1</v>
      </c>
      <c r="F184" s="123">
        <v>1</v>
      </c>
      <c r="G184" s="124">
        <v>0.01</v>
      </c>
      <c r="H184" s="124">
        <v>0</v>
      </c>
      <c r="J184" s="130">
        <f ca="1"/>
        <v>9.2238787021815654</v>
      </c>
      <c r="K184" s="131">
        <f ca="1"/>
        <v>0.10000000000004153</v>
      </c>
      <c r="L184" s="1"/>
      <c r="W184" s="7"/>
      <c r="X184" s="7"/>
      <c r="Y184" s="7"/>
      <c r="Z184" s="7"/>
      <c r="AA184" s="7"/>
      <c r="AB184" s="7"/>
      <c r="AC184" s="7"/>
    </row>
    <row r="185" spans="1:29" x14ac:dyDescent="0.25">
      <c r="A185" s="112">
        <v>181</v>
      </c>
      <c r="B185" s="119" t="s">
        <v>34</v>
      </c>
      <c r="C185" s="121">
        <f t="shared" si="5"/>
        <v>108.09999999999897</v>
      </c>
      <c r="D185" s="123">
        <v>100</v>
      </c>
      <c r="E185" s="124">
        <f t="shared" si="4"/>
        <v>0.1</v>
      </c>
      <c r="F185" s="123">
        <v>1</v>
      </c>
      <c r="G185" s="124">
        <v>0.01</v>
      </c>
      <c r="H185" s="124">
        <v>0</v>
      </c>
      <c r="J185" s="130">
        <f ca="1"/>
        <v>9.3025972841644062</v>
      </c>
      <c r="K185" s="131">
        <f ca="1"/>
        <v>0.10000000000005091</v>
      </c>
      <c r="L185" s="1"/>
      <c r="W185" s="7"/>
      <c r="X185" s="7"/>
      <c r="Y185" s="7"/>
      <c r="Z185" s="7"/>
      <c r="AA185" s="7"/>
      <c r="AB185" s="7"/>
      <c r="AC185" s="7"/>
    </row>
    <row r="186" spans="1:29" x14ac:dyDescent="0.25">
      <c r="A186" s="112">
        <v>182</v>
      </c>
      <c r="B186" s="119" t="s">
        <v>34</v>
      </c>
      <c r="C186" s="121">
        <f t="shared" si="5"/>
        <v>108.19999999999897</v>
      </c>
      <c r="D186" s="123">
        <v>100</v>
      </c>
      <c r="E186" s="124">
        <f t="shared" si="4"/>
        <v>0.1</v>
      </c>
      <c r="F186" s="123">
        <v>1</v>
      </c>
      <c r="G186" s="124">
        <v>0.01</v>
      </c>
      <c r="H186" s="124">
        <v>0</v>
      </c>
      <c r="J186" s="130">
        <f ca="1"/>
        <v>9.3815750197577188</v>
      </c>
      <c r="K186" s="131">
        <f ca="1"/>
        <v>0.10000000000006155</v>
      </c>
      <c r="L186" s="1"/>
      <c r="W186" s="7"/>
      <c r="X186" s="7"/>
      <c r="Y186" s="7"/>
      <c r="Z186" s="7"/>
      <c r="AA186" s="7"/>
      <c r="AB186" s="7"/>
      <c r="AC186" s="7"/>
    </row>
    <row r="187" spans="1:29" x14ac:dyDescent="0.25">
      <c r="A187" s="112">
        <v>183</v>
      </c>
      <c r="B187" s="119" t="s">
        <v>34</v>
      </c>
      <c r="C187" s="121">
        <f t="shared" si="5"/>
        <v>108.29999999999896</v>
      </c>
      <c r="D187" s="123">
        <v>100</v>
      </c>
      <c r="E187" s="124">
        <f t="shared" si="4"/>
        <v>0.1</v>
      </c>
      <c r="F187" s="123">
        <v>1</v>
      </c>
      <c r="G187" s="124">
        <v>0.01</v>
      </c>
      <c r="H187" s="124">
        <v>0</v>
      </c>
      <c r="J187" s="130">
        <f ca="1"/>
        <v>9.4608096817558049</v>
      </c>
      <c r="K187" s="131">
        <f ca="1"/>
        <v>0.10000000000007518</v>
      </c>
      <c r="L187" s="1"/>
      <c r="W187" s="7"/>
      <c r="X187" s="7"/>
      <c r="Y187" s="7"/>
      <c r="Z187" s="7"/>
      <c r="AA187" s="7"/>
      <c r="AB187" s="7"/>
      <c r="AC187" s="7"/>
    </row>
    <row r="188" spans="1:29" x14ac:dyDescent="0.25">
      <c r="A188" s="112">
        <v>184</v>
      </c>
      <c r="B188" s="119" t="s">
        <v>34</v>
      </c>
      <c r="C188" s="121">
        <f t="shared" si="5"/>
        <v>108.39999999999895</v>
      </c>
      <c r="D188" s="123">
        <v>100</v>
      </c>
      <c r="E188" s="124">
        <f t="shared" si="4"/>
        <v>0.1</v>
      </c>
      <c r="F188" s="123">
        <v>1</v>
      </c>
      <c r="G188" s="124">
        <v>0.01</v>
      </c>
      <c r="H188" s="124">
        <v>0</v>
      </c>
      <c r="J188" s="130">
        <f ca="1"/>
        <v>9.540299042378507</v>
      </c>
      <c r="K188" s="131">
        <f ca="1"/>
        <v>0.10000000000009202</v>
      </c>
      <c r="L188" s="1"/>
      <c r="W188" s="7"/>
      <c r="X188" s="7"/>
      <c r="Y188" s="7"/>
      <c r="Z188" s="7"/>
      <c r="AA188" s="7"/>
      <c r="AB188" s="7"/>
      <c r="AC188" s="7"/>
    </row>
    <row r="189" spans="1:29" x14ac:dyDescent="0.25">
      <c r="A189" s="112">
        <v>185</v>
      </c>
      <c r="B189" s="119" t="s">
        <v>34</v>
      </c>
      <c r="C189" s="121">
        <f t="shared" si="5"/>
        <v>108.49999999999895</v>
      </c>
      <c r="D189" s="123">
        <v>100</v>
      </c>
      <c r="E189" s="124">
        <f t="shared" si="4"/>
        <v>0.1</v>
      </c>
      <c r="F189" s="123">
        <v>1</v>
      </c>
      <c r="G189" s="124">
        <v>0.01</v>
      </c>
      <c r="H189" s="124">
        <v>0</v>
      </c>
      <c r="J189" s="130">
        <f ca="1"/>
        <v>9.6200408736756771</v>
      </c>
      <c r="K189" s="131">
        <f ca="1"/>
        <v>0.10000000000011108</v>
      </c>
      <c r="L189" s="1"/>
      <c r="W189" s="7"/>
      <c r="X189" s="7"/>
      <c r="Y189" s="7"/>
      <c r="Z189" s="7"/>
      <c r="AA189" s="7"/>
      <c r="AB189" s="7"/>
      <c r="AC189" s="7"/>
    </row>
    <row r="190" spans="1:29" x14ac:dyDescent="0.25">
      <c r="A190" s="112">
        <v>186</v>
      </c>
      <c r="B190" s="119" t="s">
        <v>34</v>
      </c>
      <c r="C190" s="121">
        <f t="shared" si="5"/>
        <v>108.59999999999894</v>
      </c>
      <c r="D190" s="123">
        <v>100</v>
      </c>
      <c r="E190" s="124">
        <f t="shared" si="4"/>
        <v>0.1</v>
      </c>
      <c r="F190" s="123">
        <v>1</v>
      </c>
      <c r="G190" s="124">
        <v>0.01</v>
      </c>
      <c r="H190" s="124">
        <v>0</v>
      </c>
      <c r="J190" s="130">
        <f ca="1"/>
        <v>9.700032947926104</v>
      </c>
      <c r="K190" s="131">
        <f ca="1"/>
        <v>0.10000000000013362</v>
      </c>
      <c r="L190" s="1"/>
      <c r="W190" s="7"/>
      <c r="X190" s="7"/>
      <c r="Y190" s="7"/>
      <c r="Z190" s="7"/>
      <c r="AA190" s="7"/>
      <c r="AB190" s="7"/>
      <c r="AC190" s="7"/>
    </row>
    <row r="191" spans="1:29" x14ac:dyDescent="0.25">
      <c r="A191" s="112">
        <v>187</v>
      </c>
      <c r="B191" s="119" t="s">
        <v>34</v>
      </c>
      <c r="C191" s="121">
        <f t="shared" si="5"/>
        <v>108.69999999999894</v>
      </c>
      <c r="D191" s="123">
        <v>100</v>
      </c>
      <c r="E191" s="124">
        <f t="shared" si="4"/>
        <v>0.1</v>
      </c>
      <c r="F191" s="123">
        <v>1</v>
      </c>
      <c r="G191" s="124">
        <v>0.01</v>
      </c>
      <c r="H191" s="124">
        <v>0</v>
      </c>
      <c r="J191" s="130">
        <f ca="1"/>
        <v>9.7802730380316945</v>
      </c>
      <c r="K191" s="131">
        <f ca="1"/>
        <v>0.10000000000016311</v>
      </c>
      <c r="L191" s="1"/>
      <c r="W191" s="7"/>
      <c r="X191" s="7"/>
      <c r="Y191" s="7"/>
      <c r="Z191" s="7"/>
      <c r="AA191" s="7"/>
      <c r="AB191" s="7"/>
      <c r="AC191" s="7"/>
    </row>
    <row r="192" spans="1:29" x14ac:dyDescent="0.25">
      <c r="A192" s="112">
        <v>188</v>
      </c>
      <c r="B192" s="119" t="s">
        <v>34</v>
      </c>
      <c r="C192" s="121">
        <f t="shared" si="5"/>
        <v>108.79999999999893</v>
      </c>
      <c r="D192" s="123">
        <v>100</v>
      </c>
      <c r="E192" s="124">
        <f t="shared" si="4"/>
        <v>0.1</v>
      </c>
      <c r="F192" s="123">
        <v>1</v>
      </c>
      <c r="G192" s="124">
        <v>0.01</v>
      </c>
      <c r="H192" s="124">
        <v>0</v>
      </c>
      <c r="J192" s="130">
        <f ca="1"/>
        <v>9.8607589179058976</v>
      </c>
      <c r="K192" s="131">
        <f ca="1"/>
        <v>0.10000000000019542</v>
      </c>
      <c r="L192" s="1"/>
      <c r="W192" s="7"/>
      <c r="X192" s="7"/>
      <c r="Y192" s="7"/>
      <c r="Z192" s="7"/>
      <c r="AA192" s="7"/>
      <c r="AB192" s="7"/>
      <c r="AC192" s="7"/>
    </row>
    <row r="193" spans="1:29" x14ac:dyDescent="0.25">
      <c r="A193" s="112">
        <v>189</v>
      </c>
      <c r="B193" s="119" t="s">
        <v>34</v>
      </c>
      <c r="C193" s="121">
        <f t="shared" si="5"/>
        <v>108.89999999999893</v>
      </c>
      <c r="D193" s="123">
        <v>100</v>
      </c>
      <c r="E193" s="124">
        <f t="shared" si="4"/>
        <v>0.1</v>
      </c>
      <c r="F193" s="123">
        <v>1</v>
      </c>
      <c r="G193" s="124">
        <v>0.01</v>
      </c>
      <c r="H193" s="124">
        <v>0</v>
      </c>
      <c r="J193" s="130">
        <f ca="1"/>
        <v>9.9414883628572426</v>
      </c>
      <c r="K193" s="131">
        <f ca="1"/>
        <v>0.10000000000023526</v>
      </c>
      <c r="L193" s="1"/>
      <c r="W193" s="7"/>
      <c r="X193" s="7"/>
      <c r="Y193" s="7"/>
      <c r="Z193" s="7"/>
      <c r="AA193" s="7"/>
      <c r="AB193" s="7"/>
      <c r="AC193" s="7"/>
    </row>
    <row r="194" spans="1:29" x14ac:dyDescent="0.25">
      <c r="A194" s="112">
        <v>190</v>
      </c>
      <c r="B194" s="119" t="s">
        <v>34</v>
      </c>
      <c r="C194" s="121">
        <f t="shared" si="5"/>
        <v>108.99999999999892</v>
      </c>
      <c r="D194" s="123">
        <v>100</v>
      </c>
      <c r="E194" s="124">
        <f t="shared" si="4"/>
        <v>0.1</v>
      </c>
      <c r="F194" s="123">
        <v>1</v>
      </c>
      <c r="G194" s="124">
        <v>0.01</v>
      </c>
      <c r="H194" s="124">
        <v>0</v>
      </c>
      <c r="J194" s="130">
        <f ca="1"/>
        <v>10.022459149967077</v>
      </c>
      <c r="K194" s="131">
        <f ca="1"/>
        <v>0.10000000000028376</v>
      </c>
      <c r="L194" s="1"/>
      <c r="W194" s="7"/>
      <c r="X194" s="7"/>
      <c r="Y194" s="7"/>
      <c r="Z194" s="7"/>
      <c r="AA194" s="7"/>
      <c r="AB194" s="7"/>
      <c r="AC194" s="7"/>
    </row>
    <row r="195" spans="1:29" x14ac:dyDescent="0.25">
      <c r="A195" s="112">
        <v>191</v>
      </c>
      <c r="B195" s="119" t="s">
        <v>34</v>
      </c>
      <c r="C195" s="121">
        <f t="shared" si="5"/>
        <v>109.09999999999891</v>
      </c>
      <c r="D195" s="123">
        <v>100</v>
      </c>
      <c r="E195" s="124">
        <f t="shared" si="4"/>
        <v>0.1</v>
      </c>
      <c r="F195" s="123">
        <v>1</v>
      </c>
      <c r="G195" s="124">
        <v>0.01</v>
      </c>
      <c r="H195" s="124">
        <v>0</v>
      </c>
      <c r="J195" s="130">
        <f ca="1"/>
        <v>10.103669058462046</v>
      </c>
      <c r="K195" s="131">
        <f ca="1"/>
        <v>0.10000000000033696</v>
      </c>
      <c r="L195" s="1"/>
      <c r="W195" s="7"/>
      <c r="X195" s="7"/>
      <c r="Y195" s="7"/>
      <c r="Z195" s="7"/>
      <c r="AA195" s="7"/>
      <c r="AB195" s="7"/>
      <c r="AC195" s="7"/>
    </row>
    <row r="196" spans="1:29" x14ac:dyDescent="0.25">
      <c r="A196" s="112">
        <v>192</v>
      </c>
      <c r="B196" s="119" t="s">
        <v>34</v>
      </c>
      <c r="C196" s="121">
        <f t="shared" si="5"/>
        <v>109.19999999999891</v>
      </c>
      <c r="D196" s="123">
        <v>100</v>
      </c>
      <c r="E196" s="124">
        <f t="shared" si="4"/>
        <v>0.1</v>
      </c>
      <c r="F196" s="123">
        <v>1</v>
      </c>
      <c r="G196" s="124">
        <v>0.01</v>
      </c>
      <c r="H196" s="124">
        <v>0</v>
      </c>
      <c r="J196" s="130">
        <f ca="1"/>
        <v>10.185115870081134</v>
      </c>
      <c r="K196" s="131">
        <f ca="1"/>
        <v>0.10000000000040422</v>
      </c>
      <c r="L196" s="1"/>
      <c r="W196" s="7"/>
      <c r="X196" s="7"/>
      <c r="Y196" s="7"/>
      <c r="Z196" s="7"/>
      <c r="AA196" s="7"/>
      <c r="AB196" s="7"/>
      <c r="AC196" s="7"/>
    </row>
    <row r="197" spans="1:29" x14ac:dyDescent="0.25">
      <c r="A197" s="112">
        <v>193</v>
      </c>
      <c r="B197" s="119" t="s">
        <v>34</v>
      </c>
      <c r="C197" s="121">
        <f t="shared" si="5"/>
        <v>109.2999999999989</v>
      </c>
      <c r="D197" s="123">
        <v>100</v>
      </c>
      <c r="E197" s="124">
        <f t="shared" ref="E197:E260" si="6">$E$2</f>
        <v>0.1</v>
      </c>
      <c r="F197" s="123">
        <v>1</v>
      </c>
      <c r="G197" s="124">
        <v>0.01</v>
      </c>
      <c r="H197" s="124">
        <v>0</v>
      </c>
      <c r="J197" s="130">
        <f ca="1"/>
        <v>10.266797369436901</v>
      </c>
      <c r="K197" s="131">
        <f ca="1"/>
        <v>0.10000000000048426</v>
      </c>
      <c r="L197" s="1"/>
      <c r="W197" s="7"/>
      <c r="X197" s="7"/>
      <c r="Y197" s="7"/>
      <c r="Z197" s="7"/>
      <c r="AA197" s="7"/>
      <c r="AB197" s="7"/>
      <c r="AC197" s="7"/>
    </row>
    <row r="198" spans="1:29" x14ac:dyDescent="0.25">
      <c r="A198" s="112">
        <v>194</v>
      </c>
      <c r="B198" s="119" t="s">
        <v>34</v>
      </c>
      <c r="C198" s="121">
        <f t="shared" si="5"/>
        <v>109.3999999999989</v>
      </c>
      <c r="D198" s="123">
        <v>100</v>
      </c>
      <c r="E198" s="124">
        <f t="shared" si="6"/>
        <v>0.1</v>
      </c>
      <c r="F198" s="123">
        <v>1</v>
      </c>
      <c r="G198" s="124">
        <v>0.01</v>
      </c>
      <c r="H198" s="124">
        <v>0</v>
      </c>
      <c r="J198" s="130">
        <f ca="1"/>
        <v>10.348711344371267</v>
      </c>
      <c r="K198" s="131">
        <f ca="1"/>
        <v>0.10000000000057901</v>
      </c>
      <c r="L198" s="1"/>
      <c r="W198" s="7"/>
      <c r="X198" s="7"/>
      <c r="Y198" s="7"/>
      <c r="Z198" s="7"/>
      <c r="AA198" s="7"/>
      <c r="AB198" s="7"/>
      <c r="AC198" s="7"/>
    </row>
    <row r="199" spans="1:29" x14ac:dyDescent="0.25">
      <c r="A199" s="112">
        <v>195</v>
      </c>
      <c r="B199" s="119" t="s">
        <v>34</v>
      </c>
      <c r="C199" s="121">
        <f t="shared" ref="C199:C204" si="7">C198+0.1</f>
        <v>109.49999999999889</v>
      </c>
      <c r="D199" s="123">
        <v>100</v>
      </c>
      <c r="E199" s="124">
        <f t="shared" si="6"/>
        <v>0.1</v>
      </c>
      <c r="F199" s="123">
        <v>1</v>
      </c>
      <c r="G199" s="124">
        <v>0.01</v>
      </c>
      <c r="H199" s="124">
        <v>0</v>
      </c>
      <c r="J199" s="130">
        <f ca="1"/>
        <v>10.430855586305697</v>
      </c>
      <c r="K199" s="131">
        <f ca="1"/>
        <v>0.1000000000006885</v>
      </c>
      <c r="L199" s="1"/>
      <c r="W199" s="7"/>
      <c r="X199" s="7"/>
      <c r="Y199" s="7"/>
      <c r="Z199" s="7"/>
      <c r="AA199" s="7"/>
      <c r="AB199" s="7"/>
      <c r="AC199" s="7"/>
    </row>
    <row r="200" spans="1:29" x14ac:dyDescent="0.25">
      <c r="A200" s="112">
        <v>196</v>
      </c>
      <c r="B200" s="119" t="s">
        <v>34</v>
      </c>
      <c r="C200" s="121">
        <f t="shared" si="7"/>
        <v>109.59999999999889</v>
      </c>
      <c r="D200" s="123">
        <v>100</v>
      </c>
      <c r="E200" s="124">
        <f t="shared" si="6"/>
        <v>0.1</v>
      </c>
      <c r="F200" s="123">
        <v>1</v>
      </c>
      <c r="G200" s="124">
        <v>0.01</v>
      </c>
      <c r="H200" s="124">
        <v>0</v>
      </c>
      <c r="J200" s="130">
        <f ca="1"/>
        <v>10.513227890585441</v>
      </c>
      <c r="K200" s="131">
        <f ca="1"/>
        <v>0.10000000000081649</v>
      </c>
      <c r="L200" s="1"/>
      <c r="W200" s="7"/>
      <c r="X200" s="7"/>
      <c r="Y200" s="7"/>
      <c r="Z200" s="7"/>
      <c r="AA200" s="7"/>
      <c r="AB200" s="7"/>
      <c r="AC200" s="7"/>
    </row>
    <row r="201" spans="1:29" x14ac:dyDescent="0.25">
      <c r="A201" s="112">
        <v>197</v>
      </c>
      <c r="B201" s="119" t="s">
        <v>34</v>
      </c>
      <c r="C201" s="121">
        <f t="shared" si="7"/>
        <v>109.69999999999888</v>
      </c>
      <c r="D201" s="123">
        <v>100</v>
      </c>
      <c r="E201" s="124">
        <f t="shared" si="6"/>
        <v>0.1</v>
      </c>
      <c r="F201" s="123">
        <v>1</v>
      </c>
      <c r="G201" s="124">
        <v>0.01</v>
      </c>
      <c r="H201" s="124">
        <v>0</v>
      </c>
      <c r="J201" s="130">
        <f ca="1"/>
        <v>10.595826056818396</v>
      </c>
      <c r="K201" s="131">
        <f ca="1"/>
        <v>0.10000000000096938</v>
      </c>
      <c r="L201" s="1"/>
      <c r="W201" s="7"/>
      <c r="X201" s="7"/>
      <c r="Y201" s="7"/>
      <c r="Z201" s="7"/>
      <c r="AA201" s="7"/>
      <c r="AB201" s="7"/>
      <c r="AC201" s="7"/>
    </row>
    <row r="202" spans="1:29" x14ac:dyDescent="0.25">
      <c r="A202" s="112">
        <v>198</v>
      </c>
      <c r="B202" s="119" t="s">
        <v>34</v>
      </c>
      <c r="C202" s="121">
        <f t="shared" si="7"/>
        <v>109.79999999999887</v>
      </c>
      <c r="D202" s="123">
        <v>100</v>
      </c>
      <c r="E202" s="124">
        <f t="shared" si="6"/>
        <v>0.1</v>
      </c>
      <c r="F202" s="123">
        <v>1</v>
      </c>
      <c r="G202" s="124">
        <v>0.01</v>
      </c>
      <c r="H202" s="124">
        <v>0</v>
      </c>
      <c r="J202" s="130">
        <f ca="1"/>
        <v>10.678647889207966</v>
      </c>
      <c r="K202" s="131">
        <f ca="1"/>
        <v>0.10000000000114985</v>
      </c>
      <c r="L202" s="1"/>
      <c r="W202" s="7"/>
      <c r="X202" s="7"/>
      <c r="Y202" s="7"/>
      <c r="Z202" s="7"/>
      <c r="AA202" s="7"/>
      <c r="AB202" s="7"/>
      <c r="AC202" s="7"/>
    </row>
    <row r="203" spans="1:29" x14ac:dyDescent="0.25">
      <c r="A203" s="112">
        <v>199</v>
      </c>
      <c r="B203" s="119" t="s">
        <v>34</v>
      </c>
      <c r="C203" s="121">
        <f t="shared" si="7"/>
        <v>109.89999999999887</v>
      </c>
      <c r="D203" s="123">
        <v>100</v>
      </c>
      <c r="E203" s="124">
        <f t="shared" si="6"/>
        <v>0.1</v>
      </c>
      <c r="F203" s="123">
        <v>1</v>
      </c>
      <c r="G203" s="124">
        <v>0.01</v>
      </c>
      <c r="H203" s="124">
        <v>0</v>
      </c>
      <c r="J203" s="130">
        <f ca="1"/>
        <v>10.761691196880065</v>
      </c>
      <c r="K203" s="131">
        <f ca="1"/>
        <v>0.10000000000136175</v>
      </c>
      <c r="L203" s="1"/>
      <c r="W203" s="7"/>
      <c r="X203" s="7"/>
      <c r="Y203" s="7"/>
      <c r="Z203" s="7"/>
      <c r="AA203" s="7"/>
      <c r="AB203" s="7"/>
      <c r="AC203" s="7"/>
    </row>
    <row r="204" spans="1:29" x14ac:dyDescent="0.25">
      <c r="A204" s="112">
        <v>200</v>
      </c>
      <c r="B204" s="119" t="s">
        <v>34</v>
      </c>
      <c r="C204" s="121">
        <f t="shared" si="7"/>
        <v>109.99999999999886</v>
      </c>
      <c r="D204" s="123">
        <v>100</v>
      </c>
      <c r="E204" s="124">
        <f t="shared" si="6"/>
        <v>0.1</v>
      </c>
      <c r="F204" s="123">
        <v>1</v>
      </c>
      <c r="G204" s="124">
        <v>0.01</v>
      </c>
      <c r="H204" s="124">
        <v>0</v>
      </c>
      <c r="J204" s="130">
        <f ca="1"/>
        <v>10.844953794204557</v>
      </c>
      <c r="K204" s="131">
        <f ca="1"/>
        <v>0.10000000000160884</v>
      </c>
      <c r="L204" s="1"/>
      <c r="W204" s="7"/>
      <c r="X204" s="7"/>
      <c r="Y204" s="7"/>
      <c r="Z204" s="7"/>
      <c r="AA204" s="7"/>
      <c r="AB204" s="7"/>
      <c r="AC204" s="7"/>
    </row>
    <row r="205" spans="1:29" x14ac:dyDescent="0.25">
      <c r="A205" s="112">
        <v>201</v>
      </c>
      <c r="B205" s="120" t="s">
        <v>65</v>
      </c>
      <c r="C205" s="122">
        <v>90.1</v>
      </c>
      <c r="D205" s="125">
        <v>100</v>
      </c>
      <c r="E205" s="126">
        <f t="shared" si="6"/>
        <v>0.1</v>
      </c>
      <c r="F205" s="125">
        <v>1</v>
      </c>
      <c r="G205" s="126">
        <v>0.01</v>
      </c>
      <c r="H205" s="126">
        <v>0</v>
      </c>
      <c r="J205" s="130">
        <f ca="1"/>
        <v>10.522540446274633</v>
      </c>
      <c r="K205" s="131">
        <f ca="1"/>
        <v>0.1000000000000032</v>
      </c>
      <c r="L205" s="1"/>
      <c r="W205" s="7"/>
      <c r="X205" s="7"/>
      <c r="Y205" s="7"/>
      <c r="Z205" s="7"/>
      <c r="AA205" s="7"/>
      <c r="AB205" s="7"/>
      <c r="AC205" s="7"/>
    </row>
    <row r="206" spans="1:29" x14ac:dyDescent="0.25">
      <c r="A206" s="112">
        <v>202</v>
      </c>
      <c r="B206" s="120" t="s">
        <v>65</v>
      </c>
      <c r="C206" s="122">
        <v>90.199999999999989</v>
      </c>
      <c r="D206" s="125">
        <v>100</v>
      </c>
      <c r="E206" s="126">
        <f t="shared" si="6"/>
        <v>0.1</v>
      </c>
      <c r="F206" s="125">
        <v>1</v>
      </c>
      <c r="G206" s="126">
        <v>0.01</v>
      </c>
      <c r="H206" s="126">
        <v>0</v>
      </c>
      <c r="J206" s="130">
        <f ca="1"/>
        <v>10.4395578463443</v>
      </c>
      <c r="K206" s="131">
        <f ca="1"/>
        <v>0.10000000000000334</v>
      </c>
      <c r="L206" s="1"/>
      <c r="W206" s="7"/>
      <c r="X206" s="7"/>
      <c r="Y206" s="7"/>
      <c r="Z206" s="7"/>
      <c r="AA206" s="7"/>
      <c r="AB206" s="7"/>
      <c r="AC206" s="7"/>
    </row>
    <row r="207" spans="1:29" x14ac:dyDescent="0.25">
      <c r="A207" s="112">
        <v>203</v>
      </c>
      <c r="B207" s="120" t="s">
        <v>65</v>
      </c>
      <c r="C207" s="122">
        <v>90.299999999999983</v>
      </c>
      <c r="D207" s="125">
        <v>100</v>
      </c>
      <c r="E207" s="126">
        <f t="shared" si="6"/>
        <v>0.1</v>
      </c>
      <c r="F207" s="125">
        <v>1</v>
      </c>
      <c r="G207" s="126">
        <v>0.01</v>
      </c>
      <c r="H207" s="126">
        <v>0</v>
      </c>
      <c r="J207" s="130">
        <f ca="1"/>
        <v>10.356845773949672</v>
      </c>
      <c r="K207" s="131">
        <f ca="1"/>
        <v>0.1000000000000047</v>
      </c>
      <c r="L207" s="1"/>
      <c r="W207" s="7"/>
      <c r="X207" s="7"/>
      <c r="Y207" s="7"/>
      <c r="Z207" s="7"/>
      <c r="AA207" s="7"/>
      <c r="AB207" s="7"/>
      <c r="AC207" s="7"/>
    </row>
    <row r="208" spans="1:29" x14ac:dyDescent="0.25">
      <c r="A208" s="112">
        <v>204</v>
      </c>
      <c r="B208" s="120" t="s">
        <v>65</v>
      </c>
      <c r="C208" s="122">
        <v>90.399999999999977</v>
      </c>
      <c r="D208" s="125">
        <v>100</v>
      </c>
      <c r="E208" s="126">
        <f t="shared" si="6"/>
        <v>0.1</v>
      </c>
      <c r="F208" s="125">
        <v>1</v>
      </c>
      <c r="G208" s="126">
        <v>0.01</v>
      </c>
      <c r="H208" s="126">
        <v>0</v>
      </c>
      <c r="J208" s="130">
        <f ca="1"/>
        <v>10.274406867266208</v>
      </c>
      <c r="K208" s="131">
        <f ca="1"/>
        <v>0.10000000000439901</v>
      </c>
      <c r="L208" s="1"/>
      <c r="W208" s="7"/>
      <c r="X208" s="7"/>
      <c r="Y208" s="7"/>
      <c r="Z208" s="7"/>
      <c r="AA208" s="7"/>
      <c r="AB208" s="7"/>
      <c r="AC208" s="7"/>
    </row>
    <row r="209" spans="1:29" x14ac:dyDescent="0.25">
      <c r="A209" s="112">
        <v>205</v>
      </c>
      <c r="B209" s="120" t="s">
        <v>65</v>
      </c>
      <c r="C209" s="122">
        <v>90.499999999999972</v>
      </c>
      <c r="D209" s="125">
        <v>100</v>
      </c>
      <c r="E209" s="126">
        <f t="shared" si="6"/>
        <v>0.1</v>
      </c>
      <c r="F209" s="125">
        <v>1</v>
      </c>
      <c r="G209" s="126">
        <v>0.01</v>
      </c>
      <c r="H209" s="126">
        <v>0</v>
      </c>
      <c r="J209" s="130">
        <f ca="1"/>
        <v>10.192243753429011</v>
      </c>
      <c r="K209" s="131">
        <f ca="1"/>
        <v>0.10000000000361456</v>
      </c>
      <c r="L209" s="1"/>
      <c r="W209" s="7"/>
      <c r="X209" s="7"/>
      <c r="Y209" s="7"/>
      <c r="Z209" s="7"/>
      <c r="AA209" s="7"/>
      <c r="AB209" s="7"/>
      <c r="AC209" s="7"/>
    </row>
    <row r="210" spans="1:29" x14ac:dyDescent="0.25">
      <c r="A210" s="112">
        <v>206</v>
      </c>
      <c r="B210" s="120" t="s">
        <v>65</v>
      </c>
      <c r="C210" s="122">
        <v>90.599999999999966</v>
      </c>
      <c r="D210" s="125">
        <v>100</v>
      </c>
      <c r="E210" s="126">
        <f t="shared" si="6"/>
        <v>0.1</v>
      </c>
      <c r="F210" s="125">
        <v>1</v>
      </c>
      <c r="G210" s="126">
        <v>0.01</v>
      </c>
      <c r="H210" s="126">
        <v>0</v>
      </c>
      <c r="J210" s="130">
        <f ca="1"/>
        <v>10.110359047842593</v>
      </c>
      <c r="K210" s="131">
        <f ca="1"/>
        <v>0.10000000000296802</v>
      </c>
      <c r="L210" s="1"/>
      <c r="W210" s="7"/>
      <c r="X210" s="7"/>
      <c r="Y210" s="7"/>
      <c r="Z210" s="7"/>
      <c r="AA210" s="7"/>
      <c r="AB210" s="7"/>
      <c r="AC210" s="7"/>
    </row>
    <row r="211" spans="1:29" x14ac:dyDescent="0.25">
      <c r="A211" s="112">
        <v>207</v>
      </c>
      <c r="B211" s="120" t="s">
        <v>65</v>
      </c>
      <c r="C211" s="122">
        <v>90.69999999999996</v>
      </c>
      <c r="D211" s="125">
        <v>100</v>
      </c>
      <c r="E211" s="126">
        <f t="shared" si="6"/>
        <v>0.1</v>
      </c>
      <c r="F211" s="125">
        <v>1</v>
      </c>
      <c r="G211" s="126">
        <v>0.01</v>
      </c>
      <c r="H211" s="126">
        <v>0</v>
      </c>
      <c r="J211" s="130">
        <f ca="1"/>
        <v>10.028755353491661</v>
      </c>
      <c r="K211" s="131">
        <f ca="1"/>
        <v>0.10000000000243796</v>
      </c>
      <c r="L211" s="1"/>
      <c r="W211" s="7"/>
      <c r="X211" s="7"/>
      <c r="Y211" s="7"/>
      <c r="Z211" s="7"/>
      <c r="AA211" s="7"/>
      <c r="AB211" s="7"/>
      <c r="AC211" s="7"/>
    </row>
    <row r="212" spans="1:29" x14ac:dyDescent="0.25">
      <c r="A212" s="112">
        <v>208</v>
      </c>
      <c r="B212" s="120" t="s">
        <v>65</v>
      </c>
      <c r="C212" s="122">
        <v>90.799999999999955</v>
      </c>
      <c r="D212" s="125">
        <v>100</v>
      </c>
      <c r="E212" s="126">
        <f t="shared" si="6"/>
        <v>0.1</v>
      </c>
      <c r="F212" s="125">
        <v>1</v>
      </c>
      <c r="G212" s="126">
        <v>0.01</v>
      </c>
      <c r="H212" s="126">
        <v>0</v>
      </c>
      <c r="J212" s="130">
        <f ca="1"/>
        <v>9.9474352602533571</v>
      </c>
      <c r="K212" s="131">
        <f ca="1"/>
        <v>0.10000000000199639</v>
      </c>
      <c r="L212" s="1"/>
      <c r="W212" s="7"/>
      <c r="X212" s="7"/>
      <c r="Y212" s="7"/>
      <c r="Z212" s="7"/>
      <c r="AA212" s="7"/>
      <c r="AB212" s="7"/>
      <c r="AC212" s="7"/>
    </row>
    <row r="213" spans="1:29" x14ac:dyDescent="0.25">
      <c r="A213" s="112">
        <v>209</v>
      </c>
      <c r="B213" s="120" t="s">
        <v>65</v>
      </c>
      <c r="C213" s="122">
        <v>90.899999999999949</v>
      </c>
      <c r="D213" s="125">
        <v>100</v>
      </c>
      <c r="E213" s="126">
        <f t="shared" si="6"/>
        <v>0.1</v>
      </c>
      <c r="F213" s="125">
        <v>1</v>
      </c>
      <c r="G213" s="126">
        <v>0.01</v>
      </c>
      <c r="H213" s="126">
        <v>0</v>
      </c>
      <c r="J213" s="130">
        <f ca="1"/>
        <v>9.8664013442112122</v>
      </c>
      <c r="K213" s="131">
        <f ca="1"/>
        <v>0.10000000000163341</v>
      </c>
      <c r="L213" s="1"/>
      <c r="W213" s="7"/>
      <c r="X213" s="7"/>
      <c r="Y213" s="7"/>
      <c r="Z213" s="7"/>
      <c r="AA213" s="7"/>
      <c r="AB213" s="7"/>
      <c r="AC213" s="7"/>
    </row>
    <row r="214" spans="1:29" x14ac:dyDescent="0.25">
      <c r="A214" s="112">
        <v>210</v>
      </c>
      <c r="B214" s="120" t="s">
        <v>65</v>
      </c>
      <c r="C214" s="122">
        <v>90.999999999999943</v>
      </c>
      <c r="D214" s="125">
        <v>100</v>
      </c>
      <c r="E214" s="126">
        <f t="shared" si="6"/>
        <v>0.1</v>
      </c>
      <c r="F214" s="125">
        <v>1</v>
      </c>
      <c r="G214" s="126">
        <v>0.01</v>
      </c>
      <c r="H214" s="126">
        <v>0</v>
      </c>
      <c r="J214" s="130">
        <f ca="1"/>
        <v>9.7856561669708384</v>
      </c>
      <c r="K214" s="131">
        <f ca="1"/>
        <v>0.10000000000133541</v>
      </c>
      <c r="L214" s="1"/>
      <c r="W214" s="7"/>
      <c r="X214" s="7"/>
      <c r="Y214" s="7"/>
      <c r="Z214" s="7"/>
      <c r="AA214" s="7"/>
      <c r="AB214" s="7"/>
      <c r="AC214" s="7"/>
    </row>
    <row r="215" spans="1:29" x14ac:dyDescent="0.25">
      <c r="A215" s="112">
        <v>211</v>
      </c>
      <c r="B215" s="120" t="s">
        <v>65</v>
      </c>
      <c r="C215" s="122">
        <v>91.099999999999937</v>
      </c>
      <c r="D215" s="125">
        <v>100</v>
      </c>
      <c r="E215" s="126">
        <f t="shared" si="6"/>
        <v>0.1</v>
      </c>
      <c r="F215" s="125">
        <v>1</v>
      </c>
      <c r="G215" s="126">
        <v>0.01</v>
      </c>
      <c r="H215" s="126">
        <v>0</v>
      </c>
      <c r="J215" s="130">
        <f ca="1"/>
        <v>9.7052022749783902</v>
      </c>
      <c r="K215" s="131">
        <f ca="1"/>
        <v>0.10000000000109047</v>
      </c>
      <c r="L215" s="1"/>
      <c r="W215" s="7"/>
      <c r="X215" s="7"/>
      <c r="Y215" s="7"/>
      <c r="Z215" s="7"/>
      <c r="AA215" s="7"/>
      <c r="AB215" s="7"/>
      <c r="AC215" s="7"/>
    </row>
    <row r="216" spans="1:29" x14ac:dyDescent="0.25">
      <c r="A216" s="112">
        <v>212</v>
      </c>
      <c r="B216" s="120" t="s">
        <v>65</v>
      </c>
      <c r="C216" s="122">
        <v>91.199999999999932</v>
      </c>
      <c r="D216" s="125">
        <v>100</v>
      </c>
      <c r="E216" s="126">
        <f t="shared" si="6"/>
        <v>0.1</v>
      </c>
      <c r="F216" s="125">
        <v>1</v>
      </c>
      <c r="G216" s="126">
        <v>0.01</v>
      </c>
      <c r="H216" s="126">
        <v>0</v>
      </c>
      <c r="J216" s="130">
        <f ca="1"/>
        <v>9.6250421988413137</v>
      </c>
      <c r="K216" s="131">
        <f ca="1"/>
        <v>0.10000000000088821</v>
      </c>
      <c r="L216" s="1"/>
      <c r="W216" s="7"/>
      <c r="X216" s="7"/>
      <c r="Y216" s="7"/>
      <c r="Z216" s="7"/>
      <c r="AA216" s="7"/>
      <c r="AB216" s="7"/>
      <c r="AC216" s="7"/>
    </row>
    <row r="217" spans="1:29" x14ac:dyDescent="0.25">
      <c r="A217" s="112">
        <v>213</v>
      </c>
      <c r="B217" s="120" t="s">
        <v>65</v>
      </c>
      <c r="C217" s="122">
        <v>91.299999999999926</v>
      </c>
      <c r="D217" s="125">
        <v>100</v>
      </c>
      <c r="E217" s="126">
        <f t="shared" si="6"/>
        <v>0.1</v>
      </c>
      <c r="F217" s="125">
        <v>1</v>
      </c>
      <c r="G217" s="126">
        <v>0.01</v>
      </c>
      <c r="H217" s="126">
        <v>0</v>
      </c>
      <c r="J217" s="130">
        <f ca="1"/>
        <v>9.5451784526523795</v>
      </c>
      <c r="K217" s="131">
        <f ca="1"/>
        <v>0.10000000000072336</v>
      </c>
      <c r="L217" s="1"/>
      <c r="W217" s="7"/>
      <c r="X217" s="7"/>
      <c r="Y217" s="7"/>
      <c r="Z217" s="7"/>
      <c r="AA217" s="7"/>
      <c r="AB217" s="7"/>
      <c r="AC217" s="7"/>
    </row>
    <row r="218" spans="1:29" x14ac:dyDescent="0.25">
      <c r="A218" s="112">
        <v>214</v>
      </c>
      <c r="B218" s="120" t="s">
        <v>65</v>
      </c>
      <c r="C218" s="122">
        <v>91.39999999999992</v>
      </c>
      <c r="D218" s="125">
        <v>100</v>
      </c>
      <c r="E218" s="126">
        <f t="shared" si="6"/>
        <v>0.1</v>
      </c>
      <c r="F218" s="125">
        <v>1</v>
      </c>
      <c r="G218" s="126">
        <v>0.01</v>
      </c>
      <c r="H218" s="126">
        <v>0</v>
      </c>
      <c r="J218" s="130">
        <f ca="1"/>
        <v>9.4656135333166276</v>
      </c>
      <c r="K218" s="131">
        <f ca="1"/>
        <v>0.10000000000058662</v>
      </c>
      <c r="L218" s="1"/>
      <c r="W218" s="7"/>
      <c r="X218" s="7"/>
      <c r="Y218" s="7"/>
      <c r="Z218" s="7"/>
      <c r="AA218" s="7"/>
      <c r="AB218" s="7"/>
      <c r="AC218" s="7"/>
    </row>
    <row r="219" spans="1:29" x14ac:dyDescent="0.25">
      <c r="A219" s="112">
        <v>215</v>
      </c>
      <c r="B219" s="120" t="s">
        <v>65</v>
      </c>
      <c r="C219" s="122">
        <v>91.499999999999915</v>
      </c>
      <c r="D219" s="125">
        <v>100</v>
      </c>
      <c r="E219" s="126">
        <f t="shared" si="6"/>
        <v>0.1</v>
      </c>
      <c r="F219" s="125">
        <v>1</v>
      </c>
      <c r="G219" s="126">
        <v>0.01</v>
      </c>
      <c r="H219" s="126">
        <v>0</v>
      </c>
      <c r="J219" s="130">
        <f ca="1"/>
        <v>9.3863499198824485</v>
      </c>
      <c r="K219" s="131">
        <f ca="1"/>
        <v>0.10000000000047561</v>
      </c>
      <c r="L219" s="1"/>
      <c r="W219" s="7"/>
      <c r="X219" s="7"/>
      <c r="Y219" s="7"/>
      <c r="Z219" s="7"/>
      <c r="AA219" s="7"/>
      <c r="AB219" s="7"/>
      <c r="AC219" s="7"/>
    </row>
    <row r="220" spans="1:29" x14ac:dyDescent="0.25">
      <c r="A220" s="112">
        <v>216</v>
      </c>
      <c r="B220" s="120" t="s">
        <v>65</v>
      </c>
      <c r="C220" s="122">
        <v>91.599999999999909</v>
      </c>
      <c r="D220" s="125">
        <v>100</v>
      </c>
      <c r="E220" s="126">
        <f t="shared" si="6"/>
        <v>0.1</v>
      </c>
      <c r="F220" s="125">
        <v>1</v>
      </c>
      <c r="G220" s="126">
        <v>0.01</v>
      </c>
      <c r="H220" s="126">
        <v>0</v>
      </c>
      <c r="J220" s="130">
        <f ca="1"/>
        <v>9.3073900728763306</v>
      </c>
      <c r="K220" s="131">
        <f ca="1"/>
        <v>0.10000000000038392</v>
      </c>
      <c r="L220" s="1"/>
      <c r="W220" s="7"/>
      <c r="X220" s="7"/>
      <c r="Y220" s="7"/>
      <c r="Z220" s="7"/>
      <c r="AA220" s="7"/>
      <c r="AB220" s="7"/>
      <c r="AC220" s="7"/>
    </row>
    <row r="221" spans="1:29" x14ac:dyDescent="0.25">
      <c r="A221" s="112">
        <v>217</v>
      </c>
      <c r="B221" s="120" t="s">
        <v>65</v>
      </c>
      <c r="C221" s="122">
        <v>91.699999999999903</v>
      </c>
      <c r="D221" s="125">
        <v>100</v>
      </c>
      <c r="E221" s="126">
        <f t="shared" si="6"/>
        <v>0.1</v>
      </c>
      <c r="F221" s="125">
        <v>1</v>
      </c>
      <c r="G221" s="126">
        <v>0.01</v>
      </c>
      <c r="H221" s="126">
        <v>0</v>
      </c>
      <c r="J221" s="130">
        <f ca="1"/>
        <v>9.2287364336417994</v>
      </c>
      <c r="K221" s="131">
        <f ca="1"/>
        <v>0.10000000000030987</v>
      </c>
      <c r="L221" s="1"/>
      <c r="W221" s="7"/>
      <c r="X221" s="7"/>
      <c r="Y221" s="7"/>
      <c r="Z221" s="7"/>
      <c r="AA221" s="7"/>
      <c r="AB221" s="7"/>
      <c r="AC221" s="7"/>
    </row>
    <row r="222" spans="1:29" x14ac:dyDescent="0.25">
      <c r="A222" s="112">
        <v>218</v>
      </c>
      <c r="B222" s="120" t="s">
        <v>65</v>
      </c>
      <c r="C222" s="122">
        <v>91.799999999999898</v>
      </c>
      <c r="D222" s="125">
        <v>100</v>
      </c>
      <c r="E222" s="126">
        <f t="shared" si="6"/>
        <v>0.1</v>
      </c>
      <c r="F222" s="125">
        <v>1</v>
      </c>
      <c r="G222" s="126">
        <v>0.01</v>
      </c>
      <c r="H222" s="126">
        <v>0</v>
      </c>
      <c r="J222" s="130">
        <f ca="1"/>
        <v>9.1503914236832458</v>
      </c>
      <c r="K222" s="131">
        <f ca="1"/>
        <v>0.10000000000024897</v>
      </c>
      <c r="L222" s="1"/>
      <c r="W222" s="7"/>
      <c r="X222" s="7"/>
      <c r="Y222" s="7"/>
      <c r="Z222" s="7"/>
      <c r="AA222" s="7"/>
      <c r="AB222" s="7"/>
      <c r="AC222" s="7"/>
    </row>
    <row r="223" spans="1:29" x14ac:dyDescent="0.25">
      <c r="A223" s="112">
        <v>219</v>
      </c>
      <c r="B223" s="120" t="s">
        <v>65</v>
      </c>
      <c r="C223" s="122">
        <v>91.899999999999892</v>
      </c>
      <c r="D223" s="125">
        <v>100</v>
      </c>
      <c r="E223" s="126">
        <f t="shared" si="6"/>
        <v>0.1</v>
      </c>
      <c r="F223" s="125">
        <v>1</v>
      </c>
      <c r="G223" s="126">
        <v>0.01</v>
      </c>
      <c r="H223" s="126">
        <v>0</v>
      </c>
      <c r="J223" s="130">
        <f ca="1"/>
        <v>9.0723574440143864</v>
      </c>
      <c r="K223" s="131">
        <f ca="1"/>
        <v>0.10000000000020011</v>
      </c>
      <c r="L223" s="1"/>
      <c r="W223" s="7"/>
      <c r="X223" s="7"/>
      <c r="Y223" s="7"/>
      <c r="Z223" s="7"/>
      <c r="AA223" s="7"/>
      <c r="AB223" s="7"/>
      <c r="AC223" s="7"/>
    </row>
    <row r="224" spans="1:29" x14ac:dyDescent="0.25">
      <c r="A224" s="112">
        <v>220</v>
      </c>
      <c r="B224" s="120" t="s">
        <v>65</v>
      </c>
      <c r="C224" s="122">
        <v>91.999999999999886</v>
      </c>
      <c r="D224" s="125">
        <v>100</v>
      </c>
      <c r="E224" s="126">
        <f t="shared" si="6"/>
        <v>0.1</v>
      </c>
      <c r="F224" s="125">
        <v>1</v>
      </c>
      <c r="G224" s="126">
        <v>0.01</v>
      </c>
      <c r="H224" s="126">
        <v>0</v>
      </c>
      <c r="J224" s="130">
        <f ca="1"/>
        <v>8.9946368745121106</v>
      </c>
      <c r="K224" s="131">
        <f ca="1"/>
        <v>0.10000000000016049</v>
      </c>
      <c r="L224" s="1"/>
      <c r="W224" s="7"/>
      <c r="X224" s="7"/>
      <c r="Y224" s="7"/>
      <c r="Z224" s="7"/>
      <c r="AA224" s="7"/>
      <c r="AB224" s="7"/>
      <c r="AC224" s="7"/>
    </row>
    <row r="225" spans="1:29" x14ac:dyDescent="0.25">
      <c r="A225" s="112">
        <v>221</v>
      </c>
      <c r="B225" s="120" t="s">
        <v>65</v>
      </c>
      <c r="C225" s="122">
        <v>92.099999999999881</v>
      </c>
      <c r="D225" s="125">
        <v>100</v>
      </c>
      <c r="E225" s="126">
        <f t="shared" si="6"/>
        <v>0.1</v>
      </c>
      <c r="F225" s="125">
        <v>1</v>
      </c>
      <c r="G225" s="126">
        <v>0.01</v>
      </c>
      <c r="H225" s="126">
        <v>0</v>
      </c>
      <c r="J225" s="130">
        <f ca="1"/>
        <v>8.9172320732757129</v>
      </c>
      <c r="K225" s="131">
        <f ca="1"/>
        <v>0.10000000000012765</v>
      </c>
      <c r="L225" s="1"/>
      <c r="W225" s="7"/>
      <c r="X225" s="7"/>
      <c r="Y225" s="7"/>
      <c r="Z225" s="7"/>
      <c r="AA225" s="7"/>
      <c r="AB225" s="7"/>
      <c r="AC225" s="7"/>
    </row>
    <row r="226" spans="1:29" x14ac:dyDescent="0.25">
      <c r="A226" s="112">
        <v>222</v>
      </c>
      <c r="B226" s="120" t="s">
        <v>65</v>
      </c>
      <c r="C226" s="122">
        <v>92.199999999999875</v>
      </c>
      <c r="D226" s="125">
        <v>100</v>
      </c>
      <c r="E226" s="126">
        <f t="shared" si="6"/>
        <v>0.1</v>
      </c>
      <c r="F226" s="125">
        <v>1</v>
      </c>
      <c r="G226" s="126">
        <v>0.01</v>
      </c>
      <c r="H226" s="126">
        <v>0</v>
      </c>
      <c r="J226" s="130">
        <f ca="1"/>
        <v>8.8401453759920514</v>
      </c>
      <c r="K226" s="131">
        <f ca="1"/>
        <v>0.10000000000010201</v>
      </c>
      <c r="L226" s="1"/>
      <c r="W226" s="7"/>
      <c r="X226" s="7"/>
      <c r="Y226" s="7"/>
      <c r="Z226" s="7"/>
      <c r="AA226" s="7"/>
      <c r="AB226" s="7"/>
      <c r="AC226" s="7"/>
    </row>
    <row r="227" spans="1:29" x14ac:dyDescent="0.25">
      <c r="A227" s="112">
        <v>223</v>
      </c>
      <c r="B227" s="120" t="s">
        <v>65</v>
      </c>
      <c r="C227" s="122">
        <v>92.299999999999869</v>
      </c>
      <c r="D227" s="125">
        <v>100</v>
      </c>
      <c r="E227" s="126">
        <f t="shared" si="6"/>
        <v>0.1</v>
      </c>
      <c r="F227" s="125">
        <v>1</v>
      </c>
      <c r="G227" s="126">
        <v>0.01</v>
      </c>
      <c r="H227" s="126">
        <v>0</v>
      </c>
      <c r="J227" s="130">
        <f ca="1"/>
        <v>8.7633790953068313</v>
      </c>
      <c r="K227" s="131">
        <f ca="1"/>
        <v>0.10000000000008148</v>
      </c>
      <c r="L227" s="1"/>
      <c r="W227" s="7"/>
      <c r="X227" s="7"/>
      <c r="Y227" s="7"/>
      <c r="Z227" s="7"/>
      <c r="AA227" s="7"/>
      <c r="AB227" s="7"/>
      <c r="AC227" s="7"/>
    </row>
    <row r="228" spans="1:29" x14ac:dyDescent="0.25">
      <c r="A228" s="112">
        <v>224</v>
      </c>
      <c r="B228" s="120" t="s">
        <v>65</v>
      </c>
      <c r="C228" s="122">
        <v>92.399999999999864</v>
      </c>
      <c r="D228" s="125">
        <v>100</v>
      </c>
      <c r="E228" s="126">
        <f t="shared" si="6"/>
        <v>0.1</v>
      </c>
      <c r="F228" s="125">
        <v>1</v>
      </c>
      <c r="G228" s="126">
        <v>0.01</v>
      </c>
      <c r="H228" s="126">
        <v>0</v>
      </c>
      <c r="J228" s="130">
        <f ca="1"/>
        <v>8.6869355202022263</v>
      </c>
      <c r="K228" s="131">
        <f ca="1"/>
        <v>0.10000000000006413</v>
      </c>
      <c r="L228" s="1"/>
      <c r="W228" s="7"/>
      <c r="X228" s="7"/>
      <c r="Y228" s="7"/>
      <c r="Z228" s="7"/>
      <c r="AA228" s="7"/>
      <c r="AB228" s="7"/>
      <c r="AC228" s="7"/>
    </row>
    <row r="229" spans="1:29" x14ac:dyDescent="0.25">
      <c r="A229" s="112">
        <v>225</v>
      </c>
      <c r="B229" s="120" t="s">
        <v>65</v>
      </c>
      <c r="C229" s="122">
        <v>92.499999999999858</v>
      </c>
      <c r="D229" s="125">
        <v>100</v>
      </c>
      <c r="E229" s="126">
        <f t="shared" si="6"/>
        <v>0.1</v>
      </c>
      <c r="F229" s="125">
        <v>1</v>
      </c>
      <c r="G229" s="126">
        <v>0.01</v>
      </c>
      <c r="H229" s="126">
        <v>0</v>
      </c>
      <c r="J229" s="130">
        <f ca="1"/>
        <v>8.6108169153812497</v>
      </c>
      <c r="K229" s="131">
        <f ca="1"/>
        <v>0.1000000000000501</v>
      </c>
      <c r="L229" s="1"/>
      <c r="W229" s="7"/>
      <c r="X229" s="7"/>
      <c r="Y229" s="7"/>
      <c r="Z229" s="7"/>
      <c r="AA229" s="7"/>
      <c r="AB229" s="7"/>
      <c r="AC229" s="7"/>
    </row>
    <row r="230" spans="1:29" x14ac:dyDescent="0.25">
      <c r="A230" s="112">
        <v>226</v>
      </c>
      <c r="B230" s="120" t="s">
        <v>65</v>
      </c>
      <c r="C230" s="122">
        <v>92.599999999999852</v>
      </c>
      <c r="D230" s="125">
        <v>100</v>
      </c>
      <c r="E230" s="126">
        <f t="shared" si="6"/>
        <v>0.1</v>
      </c>
      <c r="F230" s="125">
        <v>1</v>
      </c>
      <c r="G230" s="126">
        <v>0.01</v>
      </c>
      <c r="H230" s="126">
        <v>0</v>
      </c>
      <c r="J230" s="130">
        <f ca="1"/>
        <v>8.535025520659147</v>
      </c>
      <c r="K230" s="131">
        <f ca="1"/>
        <v>0.10000000000004022</v>
      </c>
      <c r="L230" s="1"/>
      <c r="W230" s="7"/>
      <c r="X230" s="7"/>
      <c r="Y230" s="7"/>
      <c r="Z230" s="7"/>
      <c r="AA230" s="7"/>
      <c r="AB230" s="7"/>
      <c r="AC230" s="7"/>
    </row>
    <row r="231" spans="1:29" x14ac:dyDescent="0.25">
      <c r="A231" s="112">
        <v>227</v>
      </c>
      <c r="B231" s="120" t="s">
        <v>65</v>
      </c>
      <c r="C231" s="122">
        <v>92.699999999999847</v>
      </c>
      <c r="D231" s="125">
        <v>100</v>
      </c>
      <c r="E231" s="126">
        <f t="shared" si="6"/>
        <v>0.1</v>
      </c>
      <c r="F231" s="125">
        <v>1</v>
      </c>
      <c r="G231" s="126">
        <v>0.01</v>
      </c>
      <c r="H231" s="126">
        <v>0</v>
      </c>
      <c r="J231" s="130">
        <f ca="1"/>
        <v>8.4595635503621622</v>
      </c>
      <c r="K231" s="131">
        <f ca="1"/>
        <v>0.10000000000003144</v>
      </c>
      <c r="L231" s="1"/>
      <c r="W231" s="7"/>
      <c r="X231" s="7"/>
      <c r="Y231" s="7"/>
      <c r="Z231" s="7"/>
      <c r="AA231" s="7"/>
      <c r="AB231" s="7"/>
      <c r="AC231" s="7"/>
    </row>
    <row r="232" spans="1:29" x14ac:dyDescent="0.25">
      <c r="A232" s="112">
        <v>228</v>
      </c>
      <c r="B232" s="120" t="s">
        <v>65</v>
      </c>
      <c r="C232" s="122">
        <v>92.799999999999841</v>
      </c>
      <c r="D232" s="125">
        <v>100</v>
      </c>
      <c r="E232" s="126">
        <f t="shared" si="6"/>
        <v>0.1</v>
      </c>
      <c r="F232" s="125">
        <v>1</v>
      </c>
      <c r="G232" s="126">
        <v>0.01</v>
      </c>
      <c r="H232" s="126">
        <v>0</v>
      </c>
      <c r="J232" s="130">
        <f ca="1"/>
        <v>8.3844331927333684</v>
      </c>
      <c r="K232" s="131">
        <f ca="1"/>
        <v>0.10000000000002462</v>
      </c>
      <c r="L232" s="1"/>
      <c r="W232" s="7"/>
      <c r="X232" s="7"/>
      <c r="Y232" s="7"/>
      <c r="Z232" s="7"/>
      <c r="AA232" s="7"/>
      <c r="AB232" s="7"/>
      <c r="AC232" s="7"/>
    </row>
    <row r="233" spans="1:29" x14ac:dyDescent="0.25">
      <c r="A233" s="112">
        <v>229</v>
      </c>
      <c r="B233" s="120" t="s">
        <v>65</v>
      </c>
      <c r="C233" s="122">
        <v>92.899999999999835</v>
      </c>
      <c r="D233" s="125">
        <v>100</v>
      </c>
      <c r="E233" s="126">
        <f t="shared" si="6"/>
        <v>0.1</v>
      </c>
      <c r="F233" s="125">
        <v>1</v>
      </c>
      <c r="G233" s="126">
        <v>0.01</v>
      </c>
      <c r="H233" s="126">
        <v>0</v>
      </c>
      <c r="J233" s="130">
        <f ca="1"/>
        <v>8.3096366093472795</v>
      </c>
      <c r="K233" s="131">
        <f ca="1"/>
        <v>0.100000000000021</v>
      </c>
      <c r="L233" s="1"/>
      <c r="W233" s="7"/>
      <c r="X233" s="7"/>
      <c r="Y233" s="7"/>
      <c r="Z233" s="7"/>
      <c r="AA233" s="7"/>
      <c r="AB233" s="7"/>
      <c r="AC233" s="7"/>
    </row>
    <row r="234" spans="1:29" x14ac:dyDescent="0.25">
      <c r="A234" s="112">
        <v>230</v>
      </c>
      <c r="B234" s="120" t="s">
        <v>65</v>
      </c>
      <c r="C234" s="122">
        <v>92.999999999999829</v>
      </c>
      <c r="D234" s="125">
        <v>100</v>
      </c>
      <c r="E234" s="126">
        <f t="shared" si="6"/>
        <v>0.1</v>
      </c>
      <c r="F234" s="125">
        <v>1</v>
      </c>
      <c r="G234" s="126">
        <v>0.01</v>
      </c>
      <c r="H234" s="126">
        <v>0</v>
      </c>
      <c r="J234" s="130">
        <f ca="1"/>
        <v>8.2351759345315685</v>
      </c>
      <c r="K234" s="131">
        <f ca="1"/>
        <v>0.1000000000000152</v>
      </c>
      <c r="L234" s="1"/>
      <c r="W234" s="7"/>
      <c r="X234" s="7"/>
      <c r="Y234" s="7"/>
      <c r="Z234" s="7"/>
      <c r="AA234" s="7"/>
      <c r="AB234" s="7"/>
      <c r="AC234" s="7"/>
    </row>
    <row r="235" spans="1:29" x14ac:dyDescent="0.25">
      <c r="A235" s="112">
        <v>231</v>
      </c>
      <c r="B235" s="120" t="s">
        <v>65</v>
      </c>
      <c r="C235" s="122">
        <v>93.099999999999824</v>
      </c>
      <c r="D235" s="125">
        <v>100</v>
      </c>
      <c r="E235" s="126">
        <f t="shared" si="6"/>
        <v>0.1</v>
      </c>
      <c r="F235" s="125">
        <v>1</v>
      </c>
      <c r="G235" s="126">
        <v>0.01</v>
      </c>
      <c r="H235" s="126">
        <v>0</v>
      </c>
      <c r="J235" s="130">
        <f ca="1"/>
        <v>8.1610532747979221</v>
      </c>
      <c r="K235" s="131">
        <f ca="1"/>
        <v>0.100000000000012</v>
      </c>
      <c r="L235" s="1"/>
      <c r="W235" s="7"/>
      <c r="X235" s="7"/>
      <c r="Y235" s="7"/>
      <c r="Z235" s="7"/>
      <c r="AA235" s="7"/>
      <c r="AB235" s="7"/>
      <c r="AC235" s="7"/>
    </row>
    <row r="236" spans="1:29" x14ac:dyDescent="0.25">
      <c r="A236" s="112">
        <v>232</v>
      </c>
      <c r="B236" s="120" t="s">
        <v>65</v>
      </c>
      <c r="C236" s="122">
        <v>93.199999999999818</v>
      </c>
      <c r="D236" s="125">
        <v>100</v>
      </c>
      <c r="E236" s="126">
        <f t="shared" si="6"/>
        <v>0.1</v>
      </c>
      <c r="F236" s="125">
        <v>1</v>
      </c>
      <c r="G236" s="126">
        <v>0.01</v>
      </c>
      <c r="H236" s="126">
        <v>0</v>
      </c>
      <c r="J236" s="130">
        <f ca="1"/>
        <v>8.0872707082808688</v>
      </c>
      <c r="K236" s="131">
        <f ca="1"/>
        <v>0.10000000000000873</v>
      </c>
      <c r="L236" s="1"/>
      <c r="W236" s="7"/>
      <c r="X236" s="7"/>
      <c r="Y236" s="7"/>
      <c r="Z236" s="7"/>
      <c r="AA236" s="7"/>
      <c r="AB236" s="7"/>
      <c r="AC236" s="7"/>
    </row>
    <row r="237" spans="1:29" x14ac:dyDescent="0.25">
      <c r="A237" s="112">
        <v>233</v>
      </c>
      <c r="B237" s="120" t="s">
        <v>65</v>
      </c>
      <c r="C237" s="122">
        <v>93.299999999999812</v>
      </c>
      <c r="D237" s="125">
        <v>100</v>
      </c>
      <c r="E237" s="126">
        <f t="shared" si="6"/>
        <v>0.1</v>
      </c>
      <c r="F237" s="125">
        <v>1</v>
      </c>
      <c r="G237" s="126">
        <v>0.01</v>
      </c>
      <c r="H237" s="126">
        <v>0</v>
      </c>
      <c r="J237" s="130">
        <f ca="1"/>
        <v>8.0138302841861275</v>
      </c>
      <c r="K237" s="131">
        <f ca="1"/>
        <v>0.10000000000000744</v>
      </c>
      <c r="L237" s="1"/>
      <c r="W237" s="7"/>
      <c r="X237" s="7"/>
      <c r="Y237" s="7"/>
      <c r="Z237" s="7"/>
      <c r="AA237" s="7"/>
      <c r="AB237" s="7"/>
      <c r="AC237" s="7"/>
    </row>
    <row r="238" spans="1:29" x14ac:dyDescent="0.25">
      <c r="A238" s="112">
        <v>234</v>
      </c>
      <c r="B238" s="120" t="s">
        <v>65</v>
      </c>
      <c r="C238" s="122">
        <v>93.399999999999807</v>
      </c>
      <c r="D238" s="125">
        <v>100</v>
      </c>
      <c r="E238" s="126">
        <f t="shared" si="6"/>
        <v>0.1</v>
      </c>
      <c r="F238" s="125">
        <v>1</v>
      </c>
      <c r="G238" s="126">
        <v>0.01</v>
      </c>
      <c r="H238" s="126">
        <v>0</v>
      </c>
      <c r="J238" s="130">
        <f ca="1"/>
        <v>7.9407340222475398</v>
      </c>
      <c r="K238" s="131">
        <f ca="1"/>
        <v>0.10000000000000475</v>
      </c>
      <c r="L238" s="1"/>
      <c r="W238" s="7"/>
      <c r="X238" s="7"/>
      <c r="Y238" s="7"/>
      <c r="Z238" s="7"/>
      <c r="AA238" s="7"/>
      <c r="AB238" s="7"/>
      <c r="AC238" s="7"/>
    </row>
    <row r="239" spans="1:29" x14ac:dyDescent="0.25">
      <c r="A239" s="112">
        <v>235</v>
      </c>
      <c r="B239" s="120" t="s">
        <v>65</v>
      </c>
      <c r="C239" s="122">
        <v>93.499999999999801</v>
      </c>
      <c r="D239" s="125">
        <v>100</v>
      </c>
      <c r="E239" s="126">
        <f t="shared" si="6"/>
        <v>0.1</v>
      </c>
      <c r="F239" s="125">
        <v>1</v>
      </c>
      <c r="G239" s="126">
        <v>0.01</v>
      </c>
      <c r="H239" s="126">
        <v>0</v>
      </c>
      <c r="J239" s="130">
        <f ca="1"/>
        <v>7.8679839121938357</v>
      </c>
      <c r="K239" s="131">
        <f ca="1"/>
        <v>0.1000000000000042</v>
      </c>
      <c r="L239" s="1"/>
      <c r="W239" s="7"/>
      <c r="X239" s="7"/>
      <c r="Y239" s="7"/>
      <c r="Z239" s="7"/>
      <c r="AA239" s="7"/>
      <c r="AB239" s="7"/>
      <c r="AC239" s="7"/>
    </row>
    <row r="240" spans="1:29" x14ac:dyDescent="0.25">
      <c r="A240" s="112">
        <v>236</v>
      </c>
      <c r="B240" s="120" t="s">
        <v>65</v>
      </c>
      <c r="C240" s="122">
        <v>93.599999999999795</v>
      </c>
      <c r="D240" s="125">
        <v>100</v>
      </c>
      <c r="E240" s="126">
        <f t="shared" si="6"/>
        <v>0.1</v>
      </c>
      <c r="F240" s="125">
        <v>1</v>
      </c>
      <c r="G240" s="126">
        <v>0.01</v>
      </c>
      <c r="H240" s="126">
        <v>0</v>
      </c>
      <c r="J240" s="130">
        <f ca="1"/>
        <v>7.7955819132245381</v>
      </c>
      <c r="K240" s="131">
        <f ca="1"/>
        <v>0.10000000000000416</v>
      </c>
      <c r="L240" s="1"/>
      <c r="W240" s="7"/>
      <c r="X240" s="7"/>
      <c r="Y240" s="7"/>
      <c r="Z240" s="7"/>
      <c r="AA240" s="7"/>
      <c r="AB240" s="7"/>
      <c r="AC240" s="7"/>
    </row>
    <row r="241" spans="1:29" x14ac:dyDescent="0.25">
      <c r="A241" s="112">
        <v>237</v>
      </c>
      <c r="B241" s="120" t="s">
        <v>65</v>
      </c>
      <c r="C241" s="122">
        <v>93.69999999999979</v>
      </c>
      <c r="D241" s="125">
        <v>100</v>
      </c>
      <c r="E241" s="126">
        <f t="shared" si="6"/>
        <v>0.1</v>
      </c>
      <c r="F241" s="125">
        <v>1</v>
      </c>
      <c r="G241" s="126">
        <v>0.01</v>
      </c>
      <c r="H241" s="126">
        <v>0</v>
      </c>
      <c r="J241" s="130">
        <f ca="1"/>
        <v>7.7235299534961257</v>
      </c>
      <c r="K241" s="131">
        <f ca="1"/>
        <v>0.10000000000000245</v>
      </c>
      <c r="L241" s="1"/>
      <c r="W241" s="7"/>
      <c r="X241" s="7"/>
      <c r="Y241" s="7"/>
      <c r="Z241" s="7"/>
      <c r="AA241" s="7"/>
      <c r="AB241" s="7"/>
      <c r="AC241" s="7"/>
    </row>
    <row r="242" spans="1:29" x14ac:dyDescent="0.25">
      <c r="A242" s="112">
        <v>238</v>
      </c>
      <c r="B242" s="120" t="s">
        <v>65</v>
      </c>
      <c r="C242" s="122">
        <v>93.799999999999784</v>
      </c>
      <c r="D242" s="125">
        <v>100</v>
      </c>
      <c r="E242" s="126">
        <f t="shared" si="6"/>
        <v>0.1</v>
      </c>
      <c r="F242" s="125">
        <v>1</v>
      </c>
      <c r="G242" s="126">
        <v>0.01</v>
      </c>
      <c r="H242" s="126">
        <v>0</v>
      </c>
      <c r="J242" s="130">
        <f ca="1"/>
        <v>7.6518299296181453</v>
      </c>
      <c r="K242" s="131">
        <f ca="1"/>
        <v>0.10000000000000243</v>
      </c>
      <c r="L242" s="1"/>
      <c r="W242" s="7"/>
      <c r="X242" s="7"/>
      <c r="Y242" s="7"/>
      <c r="Z242" s="7"/>
      <c r="AA242" s="7"/>
      <c r="AB242" s="7"/>
      <c r="AC242" s="7"/>
    </row>
    <row r="243" spans="1:29" x14ac:dyDescent="0.25">
      <c r="A243" s="112">
        <v>239</v>
      </c>
      <c r="B243" s="120" t="s">
        <v>65</v>
      </c>
      <c r="C243" s="122">
        <v>93.899999999999778</v>
      </c>
      <c r="D243" s="125">
        <v>100</v>
      </c>
      <c r="E243" s="126">
        <f t="shared" si="6"/>
        <v>0.1</v>
      </c>
      <c r="F243" s="125">
        <v>1</v>
      </c>
      <c r="G243" s="126">
        <v>0.01</v>
      </c>
      <c r="H243" s="126">
        <v>0</v>
      </c>
      <c r="J243" s="130">
        <f ca="1"/>
        <v>7.580483706159356</v>
      </c>
      <c r="K243" s="131">
        <f ca="1"/>
        <v>0.10000000000000156</v>
      </c>
      <c r="L243" s="1"/>
      <c r="W243" s="7"/>
      <c r="X243" s="7"/>
      <c r="Y243" s="7"/>
      <c r="Z243" s="7"/>
      <c r="AA243" s="7"/>
      <c r="AB243" s="7"/>
      <c r="AC243" s="7"/>
    </row>
    <row r="244" spans="1:29" x14ac:dyDescent="0.25">
      <c r="A244" s="112">
        <v>240</v>
      </c>
      <c r="B244" s="120" t="s">
        <v>65</v>
      </c>
      <c r="C244" s="122">
        <v>93.999999999999773</v>
      </c>
      <c r="D244" s="125">
        <v>100</v>
      </c>
      <c r="E244" s="126">
        <f t="shared" si="6"/>
        <v>0.1</v>
      </c>
      <c r="F244" s="125">
        <v>1</v>
      </c>
      <c r="G244" s="126">
        <v>0.01</v>
      </c>
      <c r="H244" s="126">
        <v>0</v>
      </c>
      <c r="J244" s="130">
        <f ca="1"/>
        <v>7.5094931151647302</v>
      </c>
      <c r="K244" s="131">
        <f ca="1"/>
        <v>0.10000000000000143</v>
      </c>
      <c r="L244" s="1"/>
      <c r="W244" s="7"/>
      <c r="X244" s="7"/>
      <c r="Y244" s="7"/>
      <c r="Z244" s="7"/>
      <c r="AA244" s="7"/>
      <c r="AB244" s="7"/>
      <c r="AC244" s="7"/>
    </row>
    <row r="245" spans="1:29" x14ac:dyDescent="0.25">
      <c r="A245" s="112">
        <v>241</v>
      </c>
      <c r="B245" s="120" t="s">
        <v>65</v>
      </c>
      <c r="C245" s="122">
        <v>94.099999999999767</v>
      </c>
      <c r="D245" s="125">
        <v>100</v>
      </c>
      <c r="E245" s="126">
        <f t="shared" si="6"/>
        <v>0.1</v>
      </c>
      <c r="F245" s="125">
        <v>1</v>
      </c>
      <c r="G245" s="126">
        <v>0.01</v>
      </c>
      <c r="H245" s="126">
        <v>0</v>
      </c>
      <c r="J245" s="130">
        <f ca="1"/>
        <v>7.4388599556829149</v>
      </c>
      <c r="K245" s="131">
        <f ca="1"/>
        <v>0.100000000000001</v>
      </c>
      <c r="L245" s="1"/>
      <c r="W245" s="7"/>
      <c r="X245" s="7"/>
      <c r="Y245" s="7"/>
      <c r="Z245" s="7"/>
      <c r="AA245" s="7"/>
      <c r="AB245" s="7"/>
      <c r="AC245" s="7"/>
    </row>
    <row r="246" spans="1:29" x14ac:dyDescent="0.25">
      <c r="A246" s="112">
        <v>242</v>
      </c>
      <c r="B246" s="120" t="s">
        <v>65</v>
      </c>
      <c r="C246" s="122">
        <v>94.199999999999761</v>
      </c>
      <c r="D246" s="125">
        <v>100</v>
      </c>
      <c r="E246" s="126">
        <f t="shared" si="6"/>
        <v>0.1</v>
      </c>
      <c r="F246" s="125">
        <v>1</v>
      </c>
      <c r="G246" s="126">
        <v>0.01</v>
      </c>
      <c r="H246" s="126">
        <v>0</v>
      </c>
      <c r="J246" s="130">
        <f ca="1"/>
        <v>7.3685859933047055</v>
      </c>
      <c r="K246" s="131">
        <f ca="1"/>
        <v>0.10000000000000059</v>
      </c>
      <c r="L246" s="1"/>
      <c r="W246" s="7"/>
      <c r="X246" s="7"/>
      <c r="Y246" s="7"/>
      <c r="Z246" s="7"/>
      <c r="AA246" s="7"/>
      <c r="AB246" s="7"/>
      <c r="AC246" s="7"/>
    </row>
    <row r="247" spans="1:29" x14ac:dyDescent="0.25">
      <c r="A247" s="112">
        <v>243</v>
      </c>
      <c r="B247" s="120" t="s">
        <v>65</v>
      </c>
      <c r="C247" s="122">
        <v>94.299999999999756</v>
      </c>
      <c r="D247" s="125">
        <v>100</v>
      </c>
      <c r="E247" s="126">
        <f t="shared" si="6"/>
        <v>0.1</v>
      </c>
      <c r="F247" s="125">
        <v>1</v>
      </c>
      <c r="G247" s="126">
        <v>0.01</v>
      </c>
      <c r="H247" s="126">
        <v>0</v>
      </c>
      <c r="J247" s="130">
        <f ca="1"/>
        <v>7.2986729597125901</v>
      </c>
      <c r="K247" s="131">
        <f ca="1"/>
        <v>0.10000000000290496</v>
      </c>
      <c r="L247" s="1"/>
      <c r="W247" s="7"/>
      <c r="X247" s="7"/>
      <c r="Y247" s="7"/>
      <c r="Z247" s="7"/>
      <c r="AA247" s="7"/>
      <c r="AB247" s="7"/>
      <c r="AC247" s="7"/>
    </row>
    <row r="248" spans="1:29" x14ac:dyDescent="0.25">
      <c r="A248" s="112">
        <v>244</v>
      </c>
      <c r="B248" s="120" t="s">
        <v>65</v>
      </c>
      <c r="C248" s="122">
        <v>94.39999999999975</v>
      </c>
      <c r="D248" s="125">
        <v>100</v>
      </c>
      <c r="E248" s="126">
        <f t="shared" si="6"/>
        <v>0.1</v>
      </c>
      <c r="F248" s="125">
        <v>1</v>
      </c>
      <c r="G248" s="126">
        <v>0.01</v>
      </c>
      <c r="H248" s="126">
        <v>0</v>
      </c>
      <c r="J248" s="130">
        <f ca="1"/>
        <v>7.2291225522415488</v>
      </c>
      <c r="K248" s="131">
        <f ca="1"/>
        <v>0.10000000000228089</v>
      </c>
      <c r="L248" s="1"/>
      <c r="W248" s="7"/>
      <c r="X248" s="7"/>
      <c r="Y248" s="7"/>
      <c r="Z248" s="7"/>
      <c r="AA248" s="7"/>
      <c r="AB248" s="7"/>
      <c r="AC248" s="7"/>
    </row>
    <row r="249" spans="1:29" x14ac:dyDescent="0.25">
      <c r="A249" s="112">
        <v>245</v>
      </c>
      <c r="B249" s="120" t="s">
        <v>65</v>
      </c>
      <c r="C249" s="122">
        <v>94.499999999999744</v>
      </c>
      <c r="D249" s="125">
        <v>100</v>
      </c>
      <c r="E249" s="126">
        <f t="shared" si="6"/>
        <v>0.1</v>
      </c>
      <c r="F249" s="125">
        <v>1</v>
      </c>
      <c r="G249" s="126">
        <v>0.01</v>
      </c>
      <c r="H249" s="126">
        <v>0</v>
      </c>
      <c r="J249" s="130">
        <f ca="1"/>
        <v>7.1599364334511364</v>
      </c>
      <c r="K249" s="131">
        <f ca="1"/>
        <v>0.10000000000178817</v>
      </c>
      <c r="L249" s="1"/>
      <c r="W249" s="7"/>
      <c r="X249" s="7"/>
      <c r="Y249" s="7"/>
      <c r="Z249" s="7"/>
      <c r="AA249" s="7"/>
      <c r="AB249" s="7"/>
      <c r="AC249" s="7"/>
    </row>
    <row r="250" spans="1:29" x14ac:dyDescent="0.25">
      <c r="A250" s="112">
        <v>246</v>
      </c>
      <c r="B250" s="120" t="s">
        <v>65</v>
      </c>
      <c r="C250" s="122">
        <v>94.599999999999739</v>
      </c>
      <c r="D250" s="125">
        <v>100</v>
      </c>
      <c r="E250" s="126">
        <f t="shared" si="6"/>
        <v>0.1</v>
      </c>
      <c r="F250" s="125">
        <v>1</v>
      </c>
      <c r="G250" s="126">
        <v>0.01</v>
      </c>
      <c r="H250" s="126">
        <v>0</v>
      </c>
      <c r="J250" s="130">
        <f ca="1"/>
        <v>7.0911162307097158</v>
      </c>
      <c r="K250" s="131">
        <f ca="1"/>
        <v>0.10000000000139905</v>
      </c>
      <c r="L250" s="1"/>
      <c r="W250" s="7"/>
      <c r="X250" s="7"/>
      <c r="Y250" s="7"/>
      <c r="Z250" s="7"/>
      <c r="AA250" s="7"/>
      <c r="AB250" s="7"/>
      <c r="AC250" s="7"/>
    </row>
    <row r="251" spans="1:29" x14ac:dyDescent="0.25">
      <c r="A251" s="112">
        <v>247</v>
      </c>
      <c r="B251" s="120" t="s">
        <v>65</v>
      </c>
      <c r="C251" s="122">
        <v>94.699999999999733</v>
      </c>
      <c r="D251" s="125">
        <v>100</v>
      </c>
      <c r="E251" s="126">
        <f t="shared" si="6"/>
        <v>0.1</v>
      </c>
      <c r="F251" s="125">
        <v>1</v>
      </c>
      <c r="G251" s="126">
        <v>0.01</v>
      </c>
      <c r="H251" s="126">
        <v>0</v>
      </c>
      <c r="J251" s="130">
        <f ca="1"/>
        <v>7.0226635357899312</v>
      </c>
      <c r="K251" s="131">
        <f ca="1"/>
        <v>0.10000000000109288</v>
      </c>
      <c r="L251" s="1"/>
      <c r="W251" s="7"/>
      <c r="X251" s="7"/>
      <c r="Y251" s="7"/>
      <c r="Z251" s="7"/>
      <c r="AA251" s="7"/>
      <c r="AB251" s="7"/>
      <c r="AC251" s="7"/>
    </row>
    <row r="252" spans="1:29" x14ac:dyDescent="0.25">
      <c r="A252" s="112">
        <v>248</v>
      </c>
      <c r="B252" s="120" t="s">
        <v>65</v>
      </c>
      <c r="C252" s="122">
        <v>94.799999999999727</v>
      </c>
      <c r="D252" s="125">
        <v>100</v>
      </c>
      <c r="E252" s="126">
        <f t="shared" si="6"/>
        <v>0.1</v>
      </c>
      <c r="F252" s="125">
        <v>1</v>
      </c>
      <c r="G252" s="126">
        <v>0.01</v>
      </c>
      <c r="H252" s="126">
        <v>0</v>
      </c>
      <c r="J252" s="130">
        <f ca="1"/>
        <v>6.9545799044763754</v>
      </c>
      <c r="K252" s="131">
        <f ca="1"/>
        <v>0.10000000000085234</v>
      </c>
      <c r="L252" s="1"/>
      <c r="W252" s="7"/>
      <c r="X252" s="7"/>
      <c r="Y252" s="7"/>
      <c r="Z252" s="7"/>
      <c r="AA252" s="7"/>
      <c r="AB252" s="7"/>
      <c r="AC252" s="7"/>
    </row>
    <row r="253" spans="1:29" x14ac:dyDescent="0.25">
      <c r="A253" s="112">
        <v>249</v>
      </c>
      <c r="B253" s="120" t="s">
        <v>65</v>
      </c>
      <c r="C253" s="122">
        <v>94.899999999999721</v>
      </c>
      <c r="D253" s="125">
        <v>100</v>
      </c>
      <c r="E253" s="126">
        <f t="shared" si="6"/>
        <v>0.1</v>
      </c>
      <c r="F253" s="125">
        <v>1</v>
      </c>
      <c r="G253" s="126">
        <v>0.01</v>
      </c>
      <c r="H253" s="126">
        <v>0</v>
      </c>
      <c r="J253" s="130">
        <f ca="1"/>
        <v>6.886866856185236</v>
      </c>
      <c r="K253" s="131">
        <f ca="1"/>
        <v>0.10000000000066279</v>
      </c>
      <c r="L253" s="1"/>
      <c r="W253" s="7"/>
      <c r="X253" s="7"/>
      <c r="Y253" s="7"/>
      <c r="Z253" s="7"/>
      <c r="AA253" s="7"/>
      <c r="AB253" s="7"/>
      <c r="AC253" s="7"/>
    </row>
    <row r="254" spans="1:29" x14ac:dyDescent="0.25">
      <c r="A254" s="112">
        <v>250</v>
      </c>
      <c r="B254" s="120" t="s">
        <v>65</v>
      </c>
      <c r="C254" s="122">
        <v>94.999999999999716</v>
      </c>
      <c r="D254" s="125">
        <v>100</v>
      </c>
      <c r="E254" s="126">
        <f t="shared" si="6"/>
        <v>0.1</v>
      </c>
      <c r="F254" s="125">
        <v>1</v>
      </c>
      <c r="G254" s="126">
        <v>0.01</v>
      </c>
      <c r="H254" s="126">
        <v>0</v>
      </c>
      <c r="J254" s="130">
        <f ca="1"/>
        <v>6.8195258735964757</v>
      </c>
      <c r="K254" s="131">
        <f ca="1"/>
        <v>0.10000000000051398</v>
      </c>
      <c r="L254" s="1"/>
      <c r="W254" s="7"/>
      <c r="X254" s="7"/>
      <c r="Y254" s="7"/>
      <c r="Z254" s="7"/>
      <c r="AA254" s="7"/>
      <c r="AB254" s="7"/>
      <c r="AC254" s="7"/>
    </row>
    <row r="255" spans="1:29" x14ac:dyDescent="0.25">
      <c r="A255" s="112">
        <v>251</v>
      </c>
      <c r="B255" s="120" t="s">
        <v>65</v>
      </c>
      <c r="C255" s="122">
        <v>95.09999999999971</v>
      </c>
      <c r="D255" s="125">
        <v>100</v>
      </c>
      <c r="E255" s="126">
        <f t="shared" si="6"/>
        <v>0.1</v>
      </c>
      <c r="F255" s="125">
        <v>1</v>
      </c>
      <c r="G255" s="126">
        <v>0.01</v>
      </c>
      <c r="H255" s="126">
        <v>0</v>
      </c>
      <c r="J255" s="130">
        <f ca="1"/>
        <v>6.7525584022980283</v>
      </c>
      <c r="K255" s="131">
        <f ca="1"/>
        <v>0.1000000000003979</v>
      </c>
      <c r="L255" s="1"/>
      <c r="W255" s="7"/>
      <c r="X255" s="7"/>
      <c r="Y255" s="7"/>
      <c r="Z255" s="7"/>
      <c r="AA255" s="7"/>
      <c r="AB255" s="7"/>
      <c r="AC255" s="7"/>
    </row>
    <row r="256" spans="1:29" x14ac:dyDescent="0.25">
      <c r="A256" s="112">
        <v>252</v>
      </c>
      <c r="B256" s="120" t="s">
        <v>65</v>
      </c>
      <c r="C256" s="122">
        <v>95.199999999999704</v>
      </c>
      <c r="D256" s="125">
        <v>100</v>
      </c>
      <c r="E256" s="126">
        <f t="shared" si="6"/>
        <v>0.1</v>
      </c>
      <c r="F256" s="125">
        <v>1</v>
      </c>
      <c r="G256" s="126">
        <v>0.01</v>
      </c>
      <c r="H256" s="126">
        <v>0</v>
      </c>
      <c r="J256" s="130">
        <f ca="1"/>
        <v>6.6859658504426704</v>
      </c>
      <c r="K256" s="131">
        <f ca="1"/>
        <v>0.10000000000030711</v>
      </c>
      <c r="L256" s="1"/>
      <c r="W256" s="7"/>
      <c r="X256" s="7"/>
      <c r="Y256" s="7"/>
      <c r="Z256" s="7"/>
      <c r="AA256" s="7"/>
      <c r="AB256" s="7"/>
      <c r="AC256" s="7"/>
    </row>
    <row r="257" spans="1:29" x14ac:dyDescent="0.25">
      <c r="A257" s="112">
        <v>253</v>
      </c>
      <c r="B257" s="120" t="s">
        <v>65</v>
      </c>
      <c r="C257" s="122">
        <v>95.299999999999699</v>
      </c>
      <c r="D257" s="125">
        <v>100</v>
      </c>
      <c r="E257" s="126">
        <f t="shared" si="6"/>
        <v>0.1</v>
      </c>
      <c r="F257" s="125">
        <v>1</v>
      </c>
      <c r="G257" s="126">
        <v>0.01</v>
      </c>
      <c r="H257" s="126">
        <v>0</v>
      </c>
      <c r="J257" s="130">
        <f ca="1"/>
        <v>6.619749588417541</v>
      </c>
      <c r="K257" s="131">
        <f ca="1"/>
        <v>0.10000000000023559</v>
      </c>
      <c r="L257" s="1"/>
      <c r="W257" s="7"/>
      <c r="X257" s="7"/>
      <c r="Y257" s="7"/>
      <c r="Z257" s="7"/>
      <c r="AA257" s="7"/>
      <c r="AB257" s="7"/>
      <c r="AC257" s="7"/>
    </row>
    <row r="258" spans="1:29" x14ac:dyDescent="0.25">
      <c r="A258" s="112">
        <v>254</v>
      </c>
      <c r="B258" s="120" t="s">
        <v>65</v>
      </c>
      <c r="C258" s="122">
        <v>95.399999999999693</v>
      </c>
      <c r="D258" s="125">
        <v>100</v>
      </c>
      <c r="E258" s="126">
        <f t="shared" si="6"/>
        <v>0.1</v>
      </c>
      <c r="F258" s="125">
        <v>1</v>
      </c>
      <c r="G258" s="126">
        <v>0.01</v>
      </c>
      <c r="H258" s="126">
        <v>0</v>
      </c>
      <c r="J258" s="130">
        <f ca="1"/>
        <v>6.5539109485264078</v>
      </c>
      <c r="K258" s="131">
        <f ca="1"/>
        <v>0.10000000000018057</v>
      </c>
      <c r="L258" s="1"/>
      <c r="W258" s="7"/>
      <c r="X258" s="7"/>
      <c r="Y258" s="7"/>
      <c r="Z258" s="7"/>
      <c r="AA258" s="7"/>
      <c r="AB258" s="7"/>
      <c r="AC258" s="7"/>
    </row>
    <row r="259" spans="1:29" x14ac:dyDescent="0.25">
      <c r="A259" s="112">
        <v>255</v>
      </c>
      <c r="B259" s="120" t="s">
        <v>65</v>
      </c>
      <c r="C259" s="122">
        <v>95.499999999999687</v>
      </c>
      <c r="D259" s="125">
        <v>100</v>
      </c>
      <c r="E259" s="126">
        <f t="shared" si="6"/>
        <v>0.1</v>
      </c>
      <c r="F259" s="125">
        <v>1</v>
      </c>
      <c r="G259" s="126">
        <v>0.01</v>
      </c>
      <c r="H259" s="126">
        <v>0</v>
      </c>
      <c r="J259" s="130">
        <f ca="1"/>
        <v>6.4884512246846242</v>
      </c>
      <c r="K259" s="131">
        <f ca="1"/>
        <v>0.10000000000013731</v>
      </c>
      <c r="L259" s="1"/>
      <c r="W259" s="7"/>
      <c r="X259" s="7"/>
      <c r="Y259" s="7"/>
      <c r="Z259" s="7"/>
      <c r="AA259" s="7"/>
      <c r="AB259" s="7"/>
      <c r="AC259" s="7"/>
    </row>
    <row r="260" spans="1:29" x14ac:dyDescent="0.25">
      <c r="A260" s="112">
        <v>256</v>
      </c>
      <c r="B260" s="120" t="s">
        <v>65</v>
      </c>
      <c r="C260" s="122">
        <v>95.599999999999682</v>
      </c>
      <c r="D260" s="125">
        <v>100</v>
      </c>
      <c r="E260" s="126">
        <f t="shared" si="6"/>
        <v>0.1</v>
      </c>
      <c r="F260" s="125">
        <v>1</v>
      </c>
      <c r="G260" s="126">
        <v>0.01</v>
      </c>
      <c r="H260" s="126">
        <v>0</v>
      </c>
      <c r="J260" s="130">
        <f ca="1"/>
        <v>6.4233716721273169</v>
      </c>
      <c r="K260" s="131">
        <f ca="1"/>
        <v>0.10000000000010463</v>
      </c>
      <c r="L260" s="1"/>
      <c r="W260" s="7"/>
      <c r="X260" s="7"/>
      <c r="Y260" s="7"/>
      <c r="Z260" s="7"/>
      <c r="AA260" s="7"/>
      <c r="AB260" s="7"/>
      <c r="AC260" s="7"/>
    </row>
    <row r="261" spans="1:29" x14ac:dyDescent="0.25">
      <c r="A261" s="112">
        <v>257</v>
      </c>
      <c r="B261" s="120" t="s">
        <v>65</v>
      </c>
      <c r="C261" s="122">
        <v>95.699999999999676</v>
      </c>
      <c r="D261" s="125">
        <v>100</v>
      </c>
      <c r="E261" s="126">
        <f t="shared" ref="E261:E324" si="8">$E$2</f>
        <v>0.1</v>
      </c>
      <c r="F261" s="125">
        <v>1</v>
      </c>
      <c r="G261" s="126">
        <v>0.01</v>
      </c>
      <c r="H261" s="126">
        <v>0</v>
      </c>
      <c r="J261" s="130">
        <f ca="1"/>
        <v>6.3586735071302058</v>
      </c>
      <c r="K261" s="131">
        <f ca="1"/>
        <v>0.10000000000007798</v>
      </c>
      <c r="L261" s="1"/>
      <c r="W261" s="7"/>
      <c r="X261" s="7"/>
      <c r="Y261" s="7"/>
      <c r="Z261" s="7"/>
      <c r="AA261" s="7"/>
      <c r="AB261" s="7"/>
      <c r="AC261" s="7"/>
    </row>
    <row r="262" spans="1:29" x14ac:dyDescent="0.25">
      <c r="A262" s="112">
        <v>258</v>
      </c>
      <c r="B262" s="120" t="s">
        <v>65</v>
      </c>
      <c r="C262" s="122">
        <v>95.79999999999967</v>
      </c>
      <c r="D262" s="125">
        <v>100</v>
      </c>
      <c r="E262" s="126">
        <f t="shared" si="8"/>
        <v>0.1</v>
      </c>
      <c r="F262" s="125">
        <v>1</v>
      </c>
      <c r="G262" s="126">
        <v>0.01</v>
      </c>
      <c r="H262" s="126">
        <v>0</v>
      </c>
      <c r="J262" s="130">
        <f ca="1"/>
        <v>6.2943579067440822</v>
      </c>
      <c r="K262" s="131">
        <f ca="1"/>
        <v>0.10000000000005922</v>
      </c>
      <c r="L262" s="1"/>
      <c r="W262" s="7"/>
      <c r="X262" s="7"/>
      <c r="Y262" s="7"/>
      <c r="Z262" s="7"/>
      <c r="AA262" s="7"/>
      <c r="AB262" s="7"/>
      <c r="AC262" s="7"/>
    </row>
    <row r="263" spans="1:29" x14ac:dyDescent="0.25">
      <c r="A263" s="112">
        <v>259</v>
      </c>
      <c r="B263" s="120" t="s">
        <v>65</v>
      </c>
      <c r="C263" s="122">
        <v>95.899999999999665</v>
      </c>
      <c r="D263" s="125">
        <v>100</v>
      </c>
      <c r="E263" s="126">
        <f t="shared" si="8"/>
        <v>0.1</v>
      </c>
      <c r="F263" s="125">
        <v>1</v>
      </c>
      <c r="G263" s="126">
        <v>0.01</v>
      </c>
      <c r="H263" s="126">
        <v>0</v>
      </c>
      <c r="J263" s="130">
        <f ca="1"/>
        <v>6.2304260085418406</v>
      </c>
      <c r="K263" s="131">
        <f ca="1"/>
        <v>0.10000000000004394</v>
      </c>
      <c r="L263" s="1"/>
      <c r="W263" s="7"/>
      <c r="X263" s="7"/>
      <c r="Y263" s="7"/>
      <c r="Z263" s="7"/>
      <c r="AA263" s="7"/>
      <c r="AB263" s="7"/>
      <c r="AC263" s="7"/>
    </row>
    <row r="264" spans="1:29" x14ac:dyDescent="0.25">
      <c r="A264" s="112">
        <v>260</v>
      </c>
      <c r="B264" s="120" t="s">
        <v>65</v>
      </c>
      <c r="C264" s="122">
        <v>95.999999999999659</v>
      </c>
      <c r="D264" s="125">
        <v>100</v>
      </c>
      <c r="E264" s="126">
        <f t="shared" si="8"/>
        <v>0.1</v>
      </c>
      <c r="F264" s="125">
        <v>1</v>
      </c>
      <c r="G264" s="126">
        <v>0.01</v>
      </c>
      <c r="H264" s="126">
        <v>0</v>
      </c>
      <c r="J264" s="130">
        <f ca="1"/>
        <v>6.16687891037936</v>
      </c>
      <c r="K264" s="131">
        <f ca="1"/>
        <v>0.10000000000003247</v>
      </c>
      <c r="L264" s="1"/>
      <c r="W264" s="7"/>
      <c r="X264" s="7"/>
      <c r="Y264" s="7"/>
      <c r="Z264" s="7"/>
      <c r="AA264" s="7"/>
      <c r="AB264" s="7"/>
      <c r="AC264" s="7"/>
    </row>
    <row r="265" spans="1:29" x14ac:dyDescent="0.25">
      <c r="A265" s="112">
        <v>261</v>
      </c>
      <c r="B265" s="120" t="s">
        <v>65</v>
      </c>
      <c r="C265" s="122">
        <v>96.099999999999653</v>
      </c>
      <c r="D265" s="125">
        <v>100</v>
      </c>
      <c r="E265" s="126">
        <f t="shared" si="8"/>
        <v>0.1</v>
      </c>
      <c r="F265" s="125">
        <v>1</v>
      </c>
      <c r="G265" s="126">
        <v>0.01</v>
      </c>
      <c r="H265" s="126">
        <v>0</v>
      </c>
      <c r="J265" s="130">
        <f ca="1"/>
        <v>6.1037176701693667</v>
      </c>
      <c r="K265" s="131">
        <f ca="1"/>
        <v>0.10000000000002394</v>
      </c>
      <c r="L265" s="1"/>
      <c r="W265" s="7"/>
      <c r="X265" s="7"/>
      <c r="Y265" s="7"/>
      <c r="Z265" s="7"/>
      <c r="AA265" s="7"/>
      <c r="AB265" s="7"/>
      <c r="AC265" s="7"/>
    </row>
    <row r="266" spans="1:29" x14ac:dyDescent="0.25">
      <c r="A266" s="112">
        <v>262</v>
      </c>
      <c r="B266" s="120" t="s">
        <v>65</v>
      </c>
      <c r="C266" s="122">
        <v>96.199999999999648</v>
      </c>
      <c r="D266" s="125">
        <v>100</v>
      </c>
      <c r="E266" s="126">
        <f t="shared" si="8"/>
        <v>0.1</v>
      </c>
      <c r="F266" s="125">
        <v>1</v>
      </c>
      <c r="G266" s="126">
        <v>0.01</v>
      </c>
      <c r="H266" s="126">
        <v>0</v>
      </c>
      <c r="J266" s="130">
        <f ca="1"/>
        <v>6.0409433056687689</v>
      </c>
      <c r="K266" s="131">
        <f ca="1"/>
        <v>0.1000000000000172</v>
      </c>
      <c r="L266" s="1"/>
      <c r="W266" s="7"/>
      <c r="X266" s="7"/>
      <c r="Y266" s="7"/>
      <c r="Z266" s="7"/>
      <c r="AA266" s="7"/>
      <c r="AB266" s="7"/>
      <c r="AC266" s="7"/>
    </row>
    <row r="267" spans="1:29" x14ac:dyDescent="0.25">
      <c r="A267" s="112">
        <v>263</v>
      </c>
      <c r="B267" s="120" t="s">
        <v>65</v>
      </c>
      <c r="C267" s="122">
        <v>96.299999999999642</v>
      </c>
      <c r="D267" s="125">
        <v>100</v>
      </c>
      <c r="E267" s="126">
        <f t="shared" si="8"/>
        <v>0.1</v>
      </c>
      <c r="F267" s="125">
        <v>1</v>
      </c>
      <c r="G267" s="126">
        <v>0.01</v>
      </c>
      <c r="H267" s="126">
        <v>0</v>
      </c>
      <c r="J267" s="130">
        <f ca="1"/>
        <v>5.9785567942793136</v>
      </c>
      <c r="K267" s="131">
        <f ca="1"/>
        <v>0.10000000000001324</v>
      </c>
      <c r="L267" s="1"/>
      <c r="W267" s="7"/>
      <c r="X267" s="7"/>
      <c r="Y267" s="7"/>
      <c r="Z267" s="7"/>
      <c r="AA267" s="7"/>
      <c r="AB267" s="7"/>
      <c r="AC267" s="7"/>
    </row>
    <row r="268" spans="1:29" x14ac:dyDescent="0.25">
      <c r="A268" s="112">
        <v>264</v>
      </c>
      <c r="B268" s="120" t="s">
        <v>65</v>
      </c>
      <c r="C268" s="122">
        <v>96.399999999999636</v>
      </c>
      <c r="D268" s="125">
        <v>100</v>
      </c>
      <c r="E268" s="126">
        <f t="shared" si="8"/>
        <v>0.1</v>
      </c>
      <c r="F268" s="125">
        <v>1</v>
      </c>
      <c r="G268" s="126">
        <v>0.01</v>
      </c>
      <c r="H268" s="126">
        <v>0</v>
      </c>
      <c r="J268" s="130">
        <f ca="1"/>
        <v>5.9165590728618795</v>
      </c>
      <c r="K268" s="131">
        <f ca="1"/>
        <v>0.10000000000000903</v>
      </c>
      <c r="L268" s="1"/>
      <c r="W268" s="7"/>
      <c r="X268" s="7"/>
      <c r="Y268" s="7"/>
      <c r="Z268" s="7"/>
      <c r="AA268" s="7"/>
      <c r="AB268" s="7"/>
      <c r="AC268" s="7"/>
    </row>
    <row r="269" spans="1:29" x14ac:dyDescent="0.25">
      <c r="A269" s="112">
        <v>265</v>
      </c>
      <c r="B269" s="120" t="s">
        <v>65</v>
      </c>
      <c r="C269" s="122">
        <v>96.499999999999631</v>
      </c>
      <c r="D269" s="125">
        <v>100</v>
      </c>
      <c r="E269" s="126">
        <f t="shared" si="8"/>
        <v>0.1</v>
      </c>
      <c r="F269" s="125">
        <v>1</v>
      </c>
      <c r="G269" s="126">
        <v>0.01</v>
      </c>
      <c r="H269" s="126">
        <v>0</v>
      </c>
      <c r="J269" s="130">
        <f ca="1"/>
        <v>5.8549510375642981</v>
      </c>
      <c r="K269" s="131">
        <f ca="1"/>
        <v>0.10000000000000653</v>
      </c>
      <c r="L269" s="1"/>
      <c r="W269" s="7"/>
      <c r="X269" s="7"/>
      <c r="Y269" s="7"/>
      <c r="Z269" s="7"/>
      <c r="AA269" s="7"/>
      <c r="AB269" s="7"/>
      <c r="AC269" s="7"/>
    </row>
    <row r="270" spans="1:29" x14ac:dyDescent="0.25">
      <c r="A270" s="112">
        <v>266</v>
      </c>
      <c r="B270" s="120" t="s">
        <v>65</v>
      </c>
      <c r="C270" s="122">
        <v>96.599999999999625</v>
      </c>
      <c r="D270" s="125">
        <v>100</v>
      </c>
      <c r="E270" s="126">
        <f t="shared" si="8"/>
        <v>0.1</v>
      </c>
      <c r="F270" s="125">
        <v>1</v>
      </c>
      <c r="G270" s="126">
        <v>0.01</v>
      </c>
      <c r="H270" s="126">
        <v>0</v>
      </c>
      <c r="J270" s="130">
        <f ca="1"/>
        <v>5.7937335436623272</v>
      </c>
      <c r="K270" s="131">
        <f ca="1"/>
        <v>0.10000000000000443</v>
      </c>
      <c r="L270" s="1"/>
      <c r="W270" s="7"/>
      <c r="X270" s="7"/>
      <c r="Y270" s="7"/>
      <c r="Z270" s="7"/>
      <c r="AA270" s="7"/>
      <c r="AB270" s="7"/>
      <c r="AC270" s="7"/>
    </row>
    <row r="271" spans="1:29" x14ac:dyDescent="0.25">
      <c r="A271" s="112">
        <v>267</v>
      </c>
      <c r="B271" s="120" t="s">
        <v>65</v>
      </c>
      <c r="C271" s="122">
        <v>96.699999999999619</v>
      </c>
      <c r="D271" s="125">
        <v>100</v>
      </c>
      <c r="E271" s="126">
        <f t="shared" si="8"/>
        <v>0.1</v>
      </c>
      <c r="F271" s="125">
        <v>1</v>
      </c>
      <c r="G271" s="126">
        <v>0.01</v>
      </c>
      <c r="H271" s="126">
        <v>0</v>
      </c>
      <c r="J271" s="130">
        <f ca="1"/>
        <v>5.7329074054145153</v>
      </c>
      <c r="K271" s="131">
        <f ca="1"/>
        <v>0.10000000000000367</v>
      </c>
      <c r="L271" s="1"/>
      <c r="W271" s="7"/>
      <c r="X271" s="7"/>
      <c r="Y271" s="7"/>
      <c r="Z271" s="7"/>
      <c r="AA271" s="7"/>
      <c r="AB271" s="7"/>
      <c r="AC271" s="7"/>
    </row>
    <row r="272" spans="1:29" x14ac:dyDescent="0.25">
      <c r="A272" s="112">
        <v>268</v>
      </c>
      <c r="B272" s="120" t="s">
        <v>65</v>
      </c>
      <c r="C272" s="122">
        <v>96.799999999999613</v>
      </c>
      <c r="D272" s="125">
        <v>100</v>
      </c>
      <c r="E272" s="126">
        <f t="shared" si="8"/>
        <v>0.1</v>
      </c>
      <c r="F272" s="125">
        <v>1</v>
      </c>
      <c r="G272" s="126">
        <v>0.01</v>
      </c>
      <c r="H272" s="126">
        <v>0</v>
      </c>
      <c r="J272" s="130">
        <f ca="1"/>
        <v>5.6724733959304316</v>
      </c>
      <c r="K272" s="131">
        <f ca="1"/>
        <v>0.10000000000000202</v>
      </c>
      <c r="L272" s="1"/>
      <c r="W272" s="7"/>
      <c r="X272" s="7"/>
      <c r="Y272" s="7"/>
      <c r="Z272" s="7"/>
      <c r="AA272" s="7"/>
      <c r="AB272" s="7"/>
      <c r="AC272" s="7"/>
    </row>
    <row r="273" spans="1:29" x14ac:dyDescent="0.25">
      <c r="A273" s="112">
        <v>269</v>
      </c>
      <c r="B273" s="120" t="s">
        <v>65</v>
      </c>
      <c r="C273" s="122">
        <v>96.899999999999608</v>
      </c>
      <c r="D273" s="125">
        <v>100</v>
      </c>
      <c r="E273" s="126">
        <f t="shared" si="8"/>
        <v>0.1</v>
      </c>
      <c r="F273" s="125">
        <v>1</v>
      </c>
      <c r="G273" s="126">
        <v>0.01</v>
      </c>
      <c r="H273" s="126">
        <v>0</v>
      </c>
      <c r="J273" s="130">
        <f ca="1"/>
        <v>5.6124322470525314</v>
      </c>
      <c r="K273" s="131">
        <f ca="1"/>
        <v>0.10000000000000107</v>
      </c>
      <c r="L273" s="1"/>
      <c r="W273" s="7"/>
      <c r="X273" s="7"/>
      <c r="Y273" s="7"/>
      <c r="Z273" s="7"/>
      <c r="AA273" s="7"/>
      <c r="AB273" s="7"/>
      <c r="AC273" s="7"/>
    </row>
    <row r="274" spans="1:29" x14ac:dyDescent="0.25">
      <c r="A274" s="112">
        <v>270</v>
      </c>
      <c r="B274" s="120" t="s">
        <v>65</v>
      </c>
      <c r="C274" s="122">
        <v>96.999999999999602</v>
      </c>
      <c r="D274" s="125">
        <v>100</v>
      </c>
      <c r="E274" s="126">
        <f t="shared" si="8"/>
        <v>0.1</v>
      </c>
      <c r="F274" s="125">
        <v>1</v>
      </c>
      <c r="G274" s="126">
        <v>0.01</v>
      </c>
      <c r="H274" s="126">
        <v>0</v>
      </c>
      <c r="J274" s="130">
        <f ca="1"/>
        <v>5.5527846492514357</v>
      </c>
      <c r="K274" s="131">
        <f ca="1"/>
        <v>0.10000000000000088</v>
      </c>
      <c r="L274" s="1"/>
      <c r="W274" s="7"/>
      <c r="X274" s="7"/>
      <c r="Y274" s="7"/>
      <c r="Z274" s="7"/>
      <c r="AA274" s="7"/>
      <c r="AB274" s="7"/>
      <c r="AC274" s="7"/>
    </row>
    <row r="275" spans="1:29" x14ac:dyDescent="0.25">
      <c r="A275" s="112">
        <v>271</v>
      </c>
      <c r="B275" s="120" t="s">
        <v>65</v>
      </c>
      <c r="C275" s="122">
        <v>97.099999999999596</v>
      </c>
      <c r="D275" s="125">
        <v>100</v>
      </c>
      <c r="E275" s="126">
        <f t="shared" si="8"/>
        <v>0.1</v>
      </c>
      <c r="F275" s="125">
        <v>1</v>
      </c>
      <c r="G275" s="126">
        <v>0.01</v>
      </c>
      <c r="H275" s="126">
        <v>0</v>
      </c>
      <c r="J275" s="130">
        <f ca="1"/>
        <v>5.4935312515348116</v>
      </c>
      <c r="K275" s="131">
        <f ca="1"/>
        <v>0.10000000000000038</v>
      </c>
      <c r="L275" s="1"/>
      <c r="W275" s="7"/>
      <c r="X275" s="7"/>
      <c r="Y275" s="7"/>
      <c r="Z275" s="7"/>
      <c r="AA275" s="7"/>
      <c r="AB275" s="7"/>
      <c r="AC275" s="7"/>
    </row>
    <row r="276" spans="1:29" x14ac:dyDescent="0.25">
      <c r="A276" s="112">
        <v>272</v>
      </c>
      <c r="B276" s="120" t="s">
        <v>65</v>
      </c>
      <c r="C276" s="122">
        <v>97.199999999999591</v>
      </c>
      <c r="D276" s="125">
        <v>100</v>
      </c>
      <c r="E276" s="126">
        <f t="shared" si="8"/>
        <v>0.1</v>
      </c>
      <c r="F276" s="125">
        <v>1</v>
      </c>
      <c r="G276" s="126">
        <v>0.01</v>
      </c>
      <c r="H276" s="126">
        <v>0</v>
      </c>
      <c r="J276" s="130">
        <f ca="1"/>
        <v>5.4346726613697243</v>
      </c>
      <c r="K276" s="131">
        <f ca="1"/>
        <v>0.10000000000000002</v>
      </c>
      <c r="L276" s="1"/>
      <c r="W276" s="7"/>
      <c r="X276" s="7"/>
      <c r="Y276" s="7"/>
      <c r="Z276" s="7"/>
      <c r="AA276" s="7"/>
      <c r="AB276" s="7"/>
      <c r="AC276" s="7"/>
    </row>
    <row r="277" spans="1:29" x14ac:dyDescent="0.25">
      <c r="A277" s="112">
        <v>273</v>
      </c>
      <c r="B277" s="120" t="s">
        <v>65</v>
      </c>
      <c r="C277" s="122">
        <v>97.299999999999585</v>
      </c>
      <c r="D277" s="125">
        <v>100</v>
      </c>
      <c r="E277" s="126">
        <f t="shared" si="8"/>
        <v>0.1</v>
      </c>
      <c r="F277" s="125">
        <v>1</v>
      </c>
      <c r="G277" s="126">
        <v>0.01</v>
      </c>
      <c r="H277" s="126">
        <v>0</v>
      </c>
      <c r="J277" s="130">
        <f ca="1"/>
        <v>5.3762094446184605</v>
      </c>
      <c r="K277" s="131">
        <f ca="1"/>
        <v>9.9999999999999784E-2</v>
      </c>
      <c r="L277" s="1"/>
      <c r="W277" s="7"/>
      <c r="X277" s="7"/>
      <c r="Y277" s="7"/>
      <c r="Z277" s="7"/>
      <c r="AA277" s="7"/>
      <c r="AB277" s="7"/>
      <c r="AC277" s="7"/>
    </row>
    <row r="278" spans="1:29" x14ac:dyDescent="0.25">
      <c r="A278" s="112">
        <v>274</v>
      </c>
      <c r="B278" s="120" t="s">
        <v>65</v>
      </c>
      <c r="C278" s="122">
        <v>97.399999999999579</v>
      </c>
      <c r="D278" s="125">
        <v>100</v>
      </c>
      <c r="E278" s="126">
        <f t="shared" si="8"/>
        <v>0.1</v>
      </c>
      <c r="F278" s="125">
        <v>1</v>
      </c>
      <c r="G278" s="126">
        <v>0.01</v>
      </c>
      <c r="H278" s="126">
        <v>0</v>
      </c>
      <c r="J278" s="130">
        <f ca="1"/>
        <v>5.318142125487789</v>
      </c>
      <c r="K278" s="131">
        <f ca="1"/>
        <v>0.10000000000000039</v>
      </c>
      <c r="L278" s="1"/>
      <c r="W278" s="7"/>
      <c r="X278" s="7"/>
      <c r="Y278" s="7"/>
      <c r="Z278" s="7"/>
      <c r="AA278" s="7"/>
      <c r="AB278" s="7"/>
      <c r="AC278" s="7"/>
    </row>
    <row r="279" spans="1:29" x14ac:dyDescent="0.25">
      <c r="A279" s="112">
        <v>275</v>
      </c>
      <c r="B279" s="120" t="s">
        <v>65</v>
      </c>
      <c r="C279" s="122">
        <v>97.499999999999574</v>
      </c>
      <c r="D279" s="125">
        <v>100</v>
      </c>
      <c r="E279" s="126">
        <f t="shared" si="8"/>
        <v>0.1</v>
      </c>
      <c r="F279" s="125">
        <v>1</v>
      </c>
      <c r="G279" s="126">
        <v>0.01</v>
      </c>
      <c r="H279" s="126">
        <v>0</v>
      </c>
      <c r="J279" s="130">
        <f ca="1"/>
        <v>5.2604711864915004</v>
      </c>
      <c r="K279" s="131">
        <f ca="1"/>
        <v>0.10000000000262152</v>
      </c>
      <c r="L279" s="1"/>
      <c r="W279" s="7"/>
      <c r="X279" s="7"/>
      <c r="Y279" s="7"/>
      <c r="Z279" s="7"/>
      <c r="AA279" s="7"/>
      <c r="AB279" s="7"/>
      <c r="AC279" s="7"/>
    </row>
    <row r="280" spans="1:29" x14ac:dyDescent="0.25">
      <c r="A280" s="112">
        <v>276</v>
      </c>
      <c r="B280" s="120" t="s">
        <v>65</v>
      </c>
      <c r="C280" s="122">
        <v>97.599999999999568</v>
      </c>
      <c r="D280" s="125">
        <v>100</v>
      </c>
      <c r="E280" s="126">
        <f t="shared" si="8"/>
        <v>0.1</v>
      </c>
      <c r="F280" s="125">
        <v>1</v>
      </c>
      <c r="G280" s="126">
        <v>0.01</v>
      </c>
      <c r="H280" s="126">
        <v>0</v>
      </c>
      <c r="J280" s="130">
        <f ca="1"/>
        <v>5.2031970684266113</v>
      </c>
      <c r="K280" s="131">
        <f ca="1"/>
        <v>0.10000000000160698</v>
      </c>
      <c r="L280" s="1"/>
      <c r="W280" s="7"/>
      <c r="X280" s="7"/>
      <c r="Y280" s="7"/>
      <c r="Z280" s="7"/>
      <c r="AA280" s="7"/>
      <c r="AB280" s="7"/>
      <c r="AC280" s="7"/>
    </row>
    <row r="281" spans="1:29" x14ac:dyDescent="0.25">
      <c r="A281" s="112">
        <v>277</v>
      </c>
      <c r="B281" s="120" t="s">
        <v>65</v>
      </c>
      <c r="C281" s="122">
        <v>97.699999999999562</v>
      </c>
      <c r="D281" s="125">
        <v>100</v>
      </c>
      <c r="E281" s="126">
        <f t="shared" si="8"/>
        <v>0.1</v>
      </c>
      <c r="F281" s="125">
        <v>1</v>
      </c>
      <c r="G281" s="126">
        <v>0.01</v>
      </c>
      <c r="H281" s="126">
        <v>0</v>
      </c>
      <c r="J281" s="130">
        <f ca="1"/>
        <v>5.146320170362408</v>
      </c>
      <c r="K281" s="131">
        <f ca="1"/>
        <v>0.10000000000094945</v>
      </c>
      <c r="L281" s="1"/>
      <c r="W281" s="7"/>
      <c r="X281" s="7"/>
      <c r="Y281" s="7"/>
      <c r="Z281" s="7"/>
      <c r="AA281" s="7"/>
      <c r="AB281" s="7"/>
      <c r="AC281" s="7"/>
    </row>
    <row r="282" spans="1:29" x14ac:dyDescent="0.25">
      <c r="A282" s="112">
        <v>278</v>
      </c>
      <c r="B282" s="120" t="s">
        <v>65</v>
      </c>
      <c r="C282" s="122">
        <v>97.799999999999557</v>
      </c>
      <c r="D282" s="125">
        <v>100</v>
      </c>
      <c r="E282" s="126">
        <f t="shared" si="8"/>
        <v>0.1</v>
      </c>
      <c r="F282" s="125">
        <v>1</v>
      </c>
      <c r="G282" s="126">
        <v>0.01</v>
      </c>
      <c r="H282" s="126">
        <v>0</v>
      </c>
      <c r="J282" s="130">
        <f ca="1"/>
        <v>5.0898408496430747</v>
      </c>
      <c r="K282" s="131">
        <f ca="1"/>
        <v>0.10000000000053604</v>
      </c>
      <c r="L282" s="1"/>
      <c r="W282" s="7"/>
      <c r="X282" s="7"/>
      <c r="Y282" s="7"/>
      <c r="Z282" s="7"/>
      <c r="AA282" s="7"/>
      <c r="AB282" s="7"/>
      <c r="AC282" s="7"/>
    </row>
    <row r="283" spans="1:29" x14ac:dyDescent="0.25">
      <c r="A283" s="112">
        <v>279</v>
      </c>
      <c r="B283" s="120" t="s">
        <v>65</v>
      </c>
      <c r="C283" s="122">
        <v>97.899999999999551</v>
      </c>
      <c r="D283" s="125">
        <v>100</v>
      </c>
      <c r="E283" s="126">
        <f t="shared" si="8"/>
        <v>0.1</v>
      </c>
      <c r="F283" s="125">
        <v>1</v>
      </c>
      <c r="G283" s="126">
        <v>0.01</v>
      </c>
      <c r="H283" s="126">
        <v>0</v>
      </c>
      <c r="J283" s="130">
        <f ca="1"/>
        <v>5.0337594219032837</v>
      </c>
      <c r="K283" s="131">
        <f ca="1"/>
        <v>0.10000000000028625</v>
      </c>
      <c r="L283" s="1"/>
      <c r="W283" s="7"/>
      <c r="X283" s="7"/>
      <c r="Y283" s="7"/>
      <c r="Z283" s="7"/>
      <c r="AA283" s="7"/>
      <c r="AB283" s="7"/>
      <c r="AC283" s="7"/>
    </row>
    <row r="284" spans="1:29" x14ac:dyDescent="0.25">
      <c r="A284" s="112">
        <v>280</v>
      </c>
      <c r="B284" s="120" t="s">
        <v>65</v>
      </c>
      <c r="C284" s="122">
        <v>97.999999999999545</v>
      </c>
      <c r="D284" s="125">
        <v>100</v>
      </c>
      <c r="E284" s="126">
        <f t="shared" si="8"/>
        <v>0.1</v>
      </c>
      <c r="F284" s="125">
        <v>1</v>
      </c>
      <c r="G284" s="126">
        <v>0.01</v>
      </c>
      <c r="H284" s="126">
        <v>0</v>
      </c>
      <c r="J284" s="130">
        <f ca="1"/>
        <v>4.9780761610970288</v>
      </c>
      <c r="K284" s="131">
        <f ca="1"/>
        <v>0.1000000000001427</v>
      </c>
      <c r="L284" s="1"/>
      <c r="W284" s="7"/>
      <c r="X284" s="7"/>
      <c r="Y284" s="7"/>
      <c r="Z284" s="7"/>
      <c r="AA284" s="7"/>
      <c r="AB284" s="7"/>
      <c r="AC284" s="7"/>
    </row>
    <row r="285" spans="1:29" x14ac:dyDescent="0.25">
      <c r="A285" s="112">
        <v>281</v>
      </c>
      <c r="B285" s="120" t="s">
        <v>65</v>
      </c>
      <c r="C285" s="122">
        <v>98.09999999999954</v>
      </c>
      <c r="D285" s="125">
        <v>100</v>
      </c>
      <c r="E285" s="126">
        <f t="shared" si="8"/>
        <v>0.1</v>
      </c>
      <c r="F285" s="125">
        <v>1</v>
      </c>
      <c r="G285" s="126">
        <v>0.01</v>
      </c>
      <c r="H285" s="126">
        <v>0</v>
      </c>
      <c r="J285" s="130">
        <f ca="1"/>
        <v>4.9227912995390852</v>
      </c>
      <c r="K285" s="131">
        <f ca="1"/>
        <v>0.10000000000006508</v>
      </c>
      <c r="L285" s="1"/>
      <c r="W285" s="7"/>
      <c r="X285" s="7"/>
      <c r="Y285" s="7"/>
      <c r="Z285" s="7"/>
      <c r="AA285" s="7"/>
      <c r="AB285" s="7"/>
      <c r="AC285" s="7"/>
    </row>
    <row r="286" spans="1:29" x14ac:dyDescent="0.25">
      <c r="A286" s="112">
        <v>282</v>
      </c>
      <c r="B286" s="120" t="s">
        <v>65</v>
      </c>
      <c r="C286" s="122">
        <v>98.199999999999534</v>
      </c>
      <c r="D286" s="125">
        <v>100</v>
      </c>
      <c r="E286" s="126">
        <f t="shared" si="8"/>
        <v>0.1</v>
      </c>
      <c r="F286" s="125">
        <v>1</v>
      </c>
      <c r="G286" s="126">
        <v>0.01</v>
      </c>
      <c r="H286" s="126">
        <v>0</v>
      </c>
      <c r="J286" s="130">
        <f ca="1"/>
        <v>4.8679050279599707</v>
      </c>
      <c r="K286" s="131">
        <f ca="1"/>
        <v>0.10000000000002567</v>
      </c>
      <c r="L286" s="1"/>
      <c r="W286" s="7"/>
      <c r="X286" s="7"/>
      <c r="Y286" s="7"/>
      <c r="Z286" s="7"/>
      <c r="AA286" s="7"/>
      <c r="AB286" s="7"/>
      <c r="AC286" s="7"/>
    </row>
    <row r="287" spans="1:29" x14ac:dyDescent="0.25">
      <c r="A287" s="112">
        <v>283</v>
      </c>
      <c r="B287" s="120" t="s">
        <v>65</v>
      </c>
      <c r="C287" s="122">
        <v>98.299999999999528</v>
      </c>
      <c r="D287" s="125">
        <v>100</v>
      </c>
      <c r="E287" s="126">
        <f t="shared" si="8"/>
        <v>0.1</v>
      </c>
      <c r="F287" s="125">
        <v>1</v>
      </c>
      <c r="G287" s="126">
        <v>0.01</v>
      </c>
      <c r="H287" s="126">
        <v>0</v>
      </c>
      <c r="J287" s="130">
        <f ca="1"/>
        <v>4.8134174955732618</v>
      </c>
      <c r="K287" s="131">
        <f ca="1"/>
        <v>0.10000000000000832</v>
      </c>
      <c r="L287" s="1"/>
      <c r="W287" s="7"/>
      <c r="X287" s="7"/>
      <c r="Y287" s="7"/>
      <c r="Z287" s="7"/>
      <c r="AA287" s="7"/>
      <c r="AB287" s="7"/>
      <c r="AC287" s="7"/>
    </row>
    <row r="288" spans="1:29" x14ac:dyDescent="0.25">
      <c r="A288" s="112">
        <v>284</v>
      </c>
      <c r="B288" s="120" t="s">
        <v>65</v>
      </c>
      <c r="C288" s="122">
        <v>98.399999999999523</v>
      </c>
      <c r="D288" s="125">
        <v>100</v>
      </c>
      <c r="E288" s="126">
        <f t="shared" si="8"/>
        <v>0.1</v>
      </c>
      <c r="F288" s="125">
        <v>1</v>
      </c>
      <c r="G288" s="126">
        <v>0.01</v>
      </c>
      <c r="H288" s="126">
        <v>0</v>
      </c>
      <c r="J288" s="130">
        <f ca="1"/>
        <v>4.7593288101556794</v>
      </c>
      <c r="K288" s="131">
        <f ca="1"/>
        <v>0.10000000000000168</v>
      </c>
      <c r="L288" s="1"/>
      <c r="W288" s="7"/>
      <c r="X288" s="7"/>
      <c r="Y288" s="7"/>
      <c r="Z288" s="7"/>
      <c r="AA288" s="7"/>
      <c r="AB288" s="7"/>
      <c r="AC288" s="7"/>
    </row>
    <row r="289" spans="1:29" x14ac:dyDescent="0.25">
      <c r="A289" s="112">
        <v>285</v>
      </c>
      <c r="B289" s="120" t="s">
        <v>65</v>
      </c>
      <c r="C289" s="122">
        <v>98.499999999999517</v>
      </c>
      <c r="D289" s="125">
        <v>100</v>
      </c>
      <c r="E289" s="126">
        <f t="shared" si="8"/>
        <v>0.1</v>
      </c>
      <c r="F289" s="125">
        <v>1</v>
      </c>
      <c r="G289" s="126">
        <v>0.01</v>
      </c>
      <c r="H289" s="126">
        <v>0</v>
      </c>
      <c r="J289" s="130">
        <f ca="1"/>
        <v>4.7056390381399993</v>
      </c>
      <c r="K289" s="131">
        <f ca="1"/>
        <v>0.10000000000139908</v>
      </c>
      <c r="L289" s="1"/>
      <c r="W289" s="7"/>
      <c r="X289" s="7"/>
      <c r="Y289" s="7"/>
      <c r="Z289" s="7"/>
      <c r="AA289" s="7"/>
      <c r="AB289" s="7"/>
      <c r="AC289" s="7"/>
    </row>
    <row r="290" spans="1:29" x14ac:dyDescent="0.25">
      <c r="A290" s="112">
        <v>286</v>
      </c>
      <c r="B290" s="120" t="s">
        <v>65</v>
      </c>
      <c r="C290" s="122">
        <v>98.599999999999511</v>
      </c>
      <c r="D290" s="125">
        <v>100</v>
      </c>
      <c r="E290" s="126">
        <f t="shared" si="8"/>
        <v>0.1</v>
      </c>
      <c r="F290" s="125">
        <v>1</v>
      </c>
      <c r="G290" s="126">
        <v>0.01</v>
      </c>
      <c r="H290" s="126">
        <v>0</v>
      </c>
      <c r="J290" s="130">
        <f ca="1"/>
        <v>4.652348204720262</v>
      </c>
      <c r="K290" s="131">
        <f ca="1"/>
        <v>0.10000000000000088</v>
      </c>
      <c r="L290" s="1"/>
      <c r="W290" s="7"/>
      <c r="X290" s="7"/>
      <c r="Y290" s="7"/>
      <c r="Z290" s="7"/>
      <c r="AA290" s="7"/>
      <c r="AB290" s="7"/>
      <c r="AC290" s="7"/>
    </row>
    <row r="291" spans="1:29" x14ac:dyDescent="0.25">
      <c r="A291" s="112">
        <v>287</v>
      </c>
      <c r="B291" s="120" t="s">
        <v>65</v>
      </c>
      <c r="C291" s="122">
        <v>98.699999999999505</v>
      </c>
      <c r="D291" s="125">
        <v>100</v>
      </c>
      <c r="E291" s="126">
        <f t="shared" si="8"/>
        <v>0.1</v>
      </c>
      <c r="F291" s="125">
        <v>1</v>
      </c>
      <c r="G291" s="126">
        <v>0.01</v>
      </c>
      <c r="H291" s="126">
        <v>0</v>
      </c>
      <c r="J291" s="130">
        <f ca="1"/>
        <v>4.5994562939693466</v>
      </c>
      <c r="K291" s="131">
        <f ca="1"/>
        <v>0.10000000000000457</v>
      </c>
      <c r="L291" s="1"/>
      <c r="W291" s="7"/>
      <c r="X291" s="7"/>
      <c r="Y291" s="7"/>
      <c r="Z291" s="7"/>
      <c r="AA291" s="7"/>
      <c r="AB291" s="7"/>
      <c r="AC291" s="7"/>
    </row>
    <row r="292" spans="1:29" x14ac:dyDescent="0.25">
      <c r="A292" s="112">
        <v>288</v>
      </c>
      <c r="B292" s="120" t="s">
        <v>65</v>
      </c>
      <c r="C292" s="122">
        <v>98.7999999999995</v>
      </c>
      <c r="D292" s="125">
        <v>100</v>
      </c>
      <c r="E292" s="126">
        <f t="shared" si="8"/>
        <v>0.1</v>
      </c>
      <c r="F292" s="125">
        <v>1</v>
      </c>
      <c r="G292" s="126">
        <v>0.01</v>
      </c>
      <c r="H292" s="126">
        <v>0</v>
      </c>
      <c r="J292" s="130">
        <f ca="1"/>
        <v>4.5469632489690852</v>
      </c>
      <c r="K292" s="131">
        <f ca="1"/>
        <v>0.10000000000002403</v>
      </c>
      <c r="L292" s="1"/>
      <c r="W292" s="7"/>
      <c r="X292" s="7"/>
      <c r="Y292" s="7"/>
      <c r="Z292" s="7"/>
      <c r="AA292" s="7"/>
      <c r="AB292" s="7"/>
      <c r="AC292" s="7"/>
    </row>
    <row r="293" spans="1:29" x14ac:dyDescent="0.25">
      <c r="A293" s="112">
        <v>289</v>
      </c>
      <c r="B293" s="120" t="s">
        <v>65</v>
      </c>
      <c r="C293" s="122">
        <v>98.899999999999494</v>
      </c>
      <c r="D293" s="125">
        <v>100</v>
      </c>
      <c r="E293" s="126">
        <f t="shared" si="8"/>
        <v>0.1</v>
      </c>
      <c r="F293" s="125">
        <v>1</v>
      </c>
      <c r="G293" s="126">
        <v>0.01</v>
      </c>
      <c r="H293" s="126">
        <v>0</v>
      </c>
      <c r="J293" s="130">
        <f ca="1"/>
        <v>4.4948689719520445</v>
      </c>
      <c r="K293" s="131">
        <f ca="1"/>
        <v>0.10000000000017376</v>
      </c>
      <c r="L293" s="1"/>
      <c r="W293" s="7"/>
      <c r="X293" s="7"/>
      <c r="Y293" s="7"/>
      <c r="Z293" s="7"/>
      <c r="AA293" s="7"/>
      <c r="AB293" s="7"/>
      <c r="AC293" s="7"/>
    </row>
    <row r="294" spans="1:29" x14ac:dyDescent="0.25">
      <c r="A294" s="112">
        <v>290</v>
      </c>
      <c r="B294" s="120" t="s">
        <v>65</v>
      </c>
      <c r="C294" s="122">
        <v>98.999999999999488</v>
      </c>
      <c r="D294" s="125">
        <v>100</v>
      </c>
      <c r="E294" s="126">
        <f t="shared" si="8"/>
        <v>0.1</v>
      </c>
      <c r="F294" s="125">
        <v>1</v>
      </c>
      <c r="G294" s="126">
        <v>0.01</v>
      </c>
      <c r="H294" s="126">
        <v>0</v>
      </c>
      <c r="J294" s="130">
        <f ca="1"/>
        <v>4.4431733244557421</v>
      </c>
      <c r="K294" s="131">
        <f ca="1"/>
        <v>0.10000000000000042</v>
      </c>
      <c r="L294" s="1"/>
      <c r="W294" s="7"/>
      <c r="X294" s="7"/>
      <c r="Y294" s="7"/>
      <c r="Z294" s="7"/>
      <c r="AA294" s="7"/>
      <c r="AB294" s="7"/>
      <c r="AC294" s="7"/>
    </row>
    <row r="295" spans="1:29" x14ac:dyDescent="0.25">
      <c r="A295" s="112">
        <v>291</v>
      </c>
      <c r="B295" s="120" t="s">
        <v>65</v>
      </c>
      <c r="C295" s="122">
        <v>99.099999999999483</v>
      </c>
      <c r="D295" s="125">
        <v>100</v>
      </c>
      <c r="E295" s="126">
        <f t="shared" si="8"/>
        <v>0.1</v>
      </c>
      <c r="F295" s="125">
        <v>1</v>
      </c>
      <c r="G295" s="126">
        <v>0.01</v>
      </c>
      <c r="H295" s="126">
        <v>0</v>
      </c>
      <c r="J295" s="130">
        <f ca="1"/>
        <v>4.3918761274884233</v>
      </c>
      <c r="K295" s="131">
        <f ca="1"/>
        <v>0.10000000000003828</v>
      </c>
      <c r="L295" s="1"/>
      <c r="W295" s="7"/>
      <c r="X295" s="7"/>
      <c r="Y295" s="7"/>
      <c r="Z295" s="7"/>
      <c r="AA295" s="7"/>
      <c r="AB295" s="7"/>
      <c r="AC295" s="7"/>
    </row>
    <row r="296" spans="1:29" x14ac:dyDescent="0.25">
      <c r="A296" s="112">
        <v>292</v>
      </c>
      <c r="B296" s="120" t="s">
        <v>65</v>
      </c>
      <c r="C296" s="122">
        <v>99.199999999999477</v>
      </c>
      <c r="D296" s="125">
        <v>100</v>
      </c>
      <c r="E296" s="126">
        <f t="shared" si="8"/>
        <v>0.1</v>
      </c>
      <c r="F296" s="125">
        <v>1</v>
      </c>
      <c r="G296" s="126">
        <v>0.01</v>
      </c>
      <c r="H296" s="126">
        <v>0</v>
      </c>
      <c r="J296" s="130">
        <f ca="1"/>
        <v>4.340977161706661</v>
      </c>
      <c r="K296" s="131">
        <f ca="1"/>
        <v>0.10000000000000057</v>
      </c>
      <c r="L296" s="1"/>
      <c r="W296" s="7"/>
      <c r="X296" s="7"/>
      <c r="Y296" s="7"/>
      <c r="Z296" s="7"/>
      <c r="AA296" s="7"/>
      <c r="AB296" s="7"/>
      <c r="AC296" s="7"/>
    </row>
    <row r="297" spans="1:29" x14ac:dyDescent="0.25">
      <c r="A297" s="112">
        <v>293</v>
      </c>
      <c r="B297" s="120" t="s">
        <v>65</v>
      </c>
      <c r="C297" s="122">
        <v>99.299999999999471</v>
      </c>
      <c r="D297" s="125">
        <v>100</v>
      </c>
      <c r="E297" s="126">
        <f t="shared" si="8"/>
        <v>0.1</v>
      </c>
      <c r="F297" s="125">
        <v>1</v>
      </c>
      <c r="G297" s="126">
        <v>0.01</v>
      </c>
      <c r="H297" s="126">
        <v>0</v>
      </c>
      <c r="J297" s="130">
        <f ca="1"/>
        <v>4.2904761676045666</v>
      </c>
      <c r="K297" s="131">
        <f ca="1"/>
        <v>0.10000000000000013</v>
      </c>
      <c r="L297" s="1"/>
      <c r="W297" s="7"/>
      <c r="X297" s="7"/>
      <c r="Y297" s="7"/>
      <c r="Z297" s="7"/>
      <c r="AA297" s="7"/>
      <c r="AB297" s="7"/>
      <c r="AC297" s="7"/>
    </row>
    <row r="298" spans="1:29" x14ac:dyDescent="0.25">
      <c r="A298" s="112">
        <v>294</v>
      </c>
      <c r="B298" s="120" t="s">
        <v>65</v>
      </c>
      <c r="C298" s="122">
        <v>99.399999999999466</v>
      </c>
      <c r="D298" s="125">
        <v>100</v>
      </c>
      <c r="E298" s="126">
        <f t="shared" si="8"/>
        <v>0.1</v>
      </c>
      <c r="F298" s="125">
        <v>1</v>
      </c>
      <c r="G298" s="126">
        <v>0.01</v>
      </c>
      <c r="H298" s="126">
        <v>0</v>
      </c>
      <c r="J298" s="130">
        <f ca="1"/>
        <v>4.2403728457142336</v>
      </c>
      <c r="K298" s="131">
        <f ca="1"/>
        <v>0.10000000000072057</v>
      </c>
      <c r="L298" s="1"/>
      <c r="W298" s="7"/>
      <c r="X298" s="7"/>
      <c r="Y298" s="7"/>
      <c r="Z298" s="7"/>
      <c r="AA298" s="7"/>
      <c r="AB298" s="7"/>
      <c r="AC298" s="7"/>
    </row>
    <row r="299" spans="1:29" x14ac:dyDescent="0.25">
      <c r="A299" s="112">
        <v>295</v>
      </c>
      <c r="B299" s="120" t="s">
        <v>65</v>
      </c>
      <c r="C299" s="122">
        <v>99.49999999999946</v>
      </c>
      <c r="D299" s="125">
        <v>100</v>
      </c>
      <c r="E299" s="126">
        <f t="shared" si="8"/>
        <v>0.1</v>
      </c>
      <c r="F299" s="125">
        <v>1</v>
      </c>
      <c r="G299" s="126">
        <v>0.01</v>
      </c>
      <c r="H299" s="126">
        <v>0</v>
      </c>
      <c r="J299" s="130">
        <f ca="1"/>
        <v>4.1906668568175718</v>
      </c>
      <c r="K299" s="131">
        <f ca="1"/>
        <v>0.10000000000028168</v>
      </c>
      <c r="L299" s="1"/>
      <c r="W299" s="7"/>
      <c r="X299" s="7"/>
      <c r="Y299" s="7"/>
      <c r="Z299" s="7"/>
      <c r="AA299" s="7"/>
      <c r="AB299" s="7"/>
      <c r="AC299" s="7"/>
    </row>
    <row r="300" spans="1:29" x14ac:dyDescent="0.25">
      <c r="A300" s="112">
        <v>296</v>
      </c>
      <c r="B300" s="120" t="s">
        <v>65</v>
      </c>
      <c r="C300" s="122">
        <v>99.599999999999454</v>
      </c>
      <c r="D300" s="125">
        <v>100</v>
      </c>
      <c r="E300" s="126">
        <f t="shared" si="8"/>
        <v>0.1</v>
      </c>
      <c r="F300" s="125">
        <v>1</v>
      </c>
      <c r="G300" s="126">
        <v>0.01</v>
      </c>
      <c r="H300" s="126">
        <v>0</v>
      </c>
      <c r="J300" s="130">
        <f ca="1"/>
        <v>4.1413578221692404</v>
      </c>
      <c r="K300" s="131">
        <f ca="1"/>
        <v>0.10000000000026664</v>
      </c>
      <c r="L300" s="1"/>
      <c r="W300" s="7"/>
      <c r="X300" s="7"/>
      <c r="Y300" s="7"/>
      <c r="Z300" s="7"/>
      <c r="AA300" s="7"/>
      <c r="AB300" s="7"/>
      <c r="AC300" s="7"/>
    </row>
    <row r="301" spans="1:29" x14ac:dyDescent="0.25">
      <c r="A301" s="112">
        <v>297</v>
      </c>
      <c r="B301" s="120" t="s">
        <v>65</v>
      </c>
      <c r="C301" s="122">
        <v>99.699999999999449</v>
      </c>
      <c r="D301" s="125">
        <v>100</v>
      </c>
      <c r="E301" s="126">
        <f t="shared" si="8"/>
        <v>0.1</v>
      </c>
      <c r="F301" s="125">
        <v>1</v>
      </c>
      <c r="G301" s="126">
        <v>0.01</v>
      </c>
      <c r="H301" s="126">
        <v>0</v>
      </c>
      <c r="J301" s="130">
        <f ca="1"/>
        <v>4.0924453237303808</v>
      </c>
      <c r="K301" s="131">
        <f ca="1"/>
        <v>0.10000000000000017</v>
      </c>
      <c r="L301" s="1"/>
      <c r="W301" s="7"/>
      <c r="X301" s="7"/>
      <c r="Y301" s="7"/>
      <c r="Z301" s="7"/>
      <c r="AA301" s="7"/>
      <c r="AB301" s="7"/>
      <c r="AC301" s="7"/>
    </row>
    <row r="302" spans="1:29" x14ac:dyDescent="0.25">
      <c r="A302" s="112">
        <v>298</v>
      </c>
      <c r="B302" s="120" t="s">
        <v>65</v>
      </c>
      <c r="C302" s="122">
        <v>99.799999999999443</v>
      </c>
      <c r="D302" s="125">
        <v>100</v>
      </c>
      <c r="E302" s="126">
        <f t="shared" si="8"/>
        <v>0.1</v>
      </c>
      <c r="F302" s="125">
        <v>1</v>
      </c>
      <c r="G302" s="126">
        <v>0.01</v>
      </c>
      <c r="H302" s="126">
        <v>0</v>
      </c>
      <c r="J302" s="130">
        <f ca="1"/>
        <v>4.0439289044130575</v>
      </c>
      <c r="K302" s="131">
        <f ca="1"/>
        <v>0.10000000000000021</v>
      </c>
      <c r="L302" s="1"/>
      <c r="W302" s="7"/>
      <c r="X302" s="7"/>
      <c r="Y302" s="7"/>
      <c r="Z302" s="7"/>
      <c r="AA302" s="7"/>
      <c r="AB302" s="7"/>
      <c r="AC302" s="7"/>
    </row>
    <row r="303" spans="1:29" x14ac:dyDescent="0.25">
      <c r="A303" s="112">
        <v>299</v>
      </c>
      <c r="B303" s="120" t="s">
        <v>65</v>
      </c>
      <c r="C303" s="122">
        <v>99.899999999999437</v>
      </c>
      <c r="D303" s="125">
        <v>100</v>
      </c>
      <c r="E303" s="126">
        <f t="shared" si="8"/>
        <v>0.1</v>
      </c>
      <c r="F303" s="125">
        <v>1</v>
      </c>
      <c r="G303" s="126">
        <v>0.01</v>
      </c>
      <c r="H303" s="126">
        <v>0</v>
      </c>
      <c r="J303" s="130">
        <f ca="1"/>
        <v>3.9958080683355774</v>
      </c>
      <c r="K303" s="131">
        <f ca="1"/>
        <v>0.10000000000000002</v>
      </c>
      <c r="L303" s="1"/>
      <c r="W303" s="7"/>
      <c r="X303" s="7"/>
      <c r="Y303" s="7"/>
      <c r="Z303" s="7"/>
      <c r="AA303" s="7"/>
      <c r="AB303" s="7"/>
      <c r="AC303" s="7"/>
    </row>
    <row r="304" spans="1:29" x14ac:dyDescent="0.25">
      <c r="A304" s="112">
        <v>300</v>
      </c>
      <c r="B304" s="120" t="s">
        <v>65</v>
      </c>
      <c r="C304" s="122">
        <v>99.999999999999432</v>
      </c>
      <c r="D304" s="125">
        <v>100</v>
      </c>
      <c r="E304" s="126">
        <f t="shared" si="8"/>
        <v>0.1</v>
      </c>
      <c r="F304" s="125">
        <v>1</v>
      </c>
      <c r="G304" s="126">
        <v>0.01</v>
      </c>
      <c r="H304" s="126">
        <v>0</v>
      </c>
      <c r="J304" s="130">
        <f ca="1"/>
        <v>3.9480822810877996</v>
      </c>
      <c r="K304" s="131">
        <f ca="1"/>
        <v>9.9999999999999839E-2</v>
      </c>
      <c r="L304" s="1"/>
      <c r="W304" s="7"/>
      <c r="X304" s="7"/>
      <c r="Y304" s="7"/>
      <c r="Z304" s="7"/>
      <c r="AA304" s="7"/>
      <c r="AB304" s="7"/>
      <c r="AC304" s="7"/>
    </row>
    <row r="305" spans="1:29" x14ac:dyDescent="0.25">
      <c r="A305" s="112">
        <v>301</v>
      </c>
      <c r="B305" s="120" t="s">
        <v>65</v>
      </c>
      <c r="C305" s="122">
        <v>100.09999999999943</v>
      </c>
      <c r="D305" s="125">
        <v>100</v>
      </c>
      <c r="E305" s="126">
        <f t="shared" si="8"/>
        <v>0.1</v>
      </c>
      <c r="F305" s="125">
        <v>1</v>
      </c>
      <c r="G305" s="126">
        <v>0.01</v>
      </c>
      <c r="H305" s="126">
        <v>0</v>
      </c>
      <c r="J305" s="130">
        <f ca="1"/>
        <v>3.9007509700071026</v>
      </c>
      <c r="K305" s="131">
        <f ca="1"/>
        <v>9.9999999999999561E-2</v>
      </c>
      <c r="L305" s="1"/>
      <c r="W305" s="7"/>
      <c r="X305" s="7"/>
      <c r="Y305" s="7"/>
      <c r="Z305" s="7"/>
      <c r="AA305" s="7"/>
      <c r="AB305" s="7"/>
      <c r="AC305" s="7"/>
    </row>
    <row r="306" spans="1:29" x14ac:dyDescent="0.25">
      <c r="A306" s="112">
        <v>302</v>
      </c>
      <c r="B306" s="120" t="s">
        <v>65</v>
      </c>
      <c r="C306" s="122">
        <v>100.19999999999942</v>
      </c>
      <c r="D306" s="125">
        <v>100</v>
      </c>
      <c r="E306" s="126">
        <f t="shared" si="8"/>
        <v>0.1</v>
      </c>
      <c r="F306" s="125">
        <v>1</v>
      </c>
      <c r="G306" s="126">
        <v>0.01</v>
      </c>
      <c r="H306" s="126">
        <v>0</v>
      </c>
      <c r="J306" s="130">
        <f ca="1"/>
        <v>3.8538135244632699</v>
      </c>
      <c r="K306" s="131">
        <f ca="1"/>
        <v>9.9999999999999839E-2</v>
      </c>
      <c r="L306" s="1"/>
      <c r="W306" s="7"/>
      <c r="X306" s="7"/>
      <c r="Y306" s="7"/>
      <c r="Z306" s="7"/>
      <c r="AA306" s="7"/>
      <c r="AB306" s="7"/>
      <c r="AC306" s="7"/>
    </row>
    <row r="307" spans="1:29" x14ac:dyDescent="0.25">
      <c r="A307" s="112">
        <v>303</v>
      </c>
      <c r="B307" s="120" t="s">
        <v>65</v>
      </c>
      <c r="C307" s="122">
        <v>100.29999999999941</v>
      </c>
      <c r="D307" s="125">
        <v>100</v>
      </c>
      <c r="E307" s="126">
        <f t="shared" si="8"/>
        <v>0.1</v>
      </c>
      <c r="F307" s="125">
        <v>1</v>
      </c>
      <c r="G307" s="126">
        <v>0.01</v>
      </c>
      <c r="H307" s="126">
        <v>0</v>
      </c>
      <c r="J307" s="130">
        <f ca="1"/>
        <v>3.8072692961551979</v>
      </c>
      <c r="K307" s="131">
        <f ca="1"/>
        <v>0.10000000000000016</v>
      </c>
      <c r="L307" s="1"/>
      <c r="W307" s="7"/>
      <c r="X307" s="7"/>
      <c r="Y307" s="7"/>
      <c r="Z307" s="7"/>
      <c r="AA307" s="7"/>
      <c r="AB307" s="7"/>
      <c r="AC307" s="7"/>
    </row>
    <row r="308" spans="1:29" x14ac:dyDescent="0.25">
      <c r="A308" s="112">
        <v>304</v>
      </c>
      <c r="B308" s="120" t="s">
        <v>65</v>
      </c>
      <c r="C308" s="122">
        <v>100.39999999999941</v>
      </c>
      <c r="D308" s="125">
        <v>100</v>
      </c>
      <c r="E308" s="126">
        <f t="shared" si="8"/>
        <v>0.1</v>
      </c>
      <c r="F308" s="125">
        <v>1</v>
      </c>
      <c r="G308" s="126">
        <v>0.01</v>
      </c>
      <c r="H308" s="126">
        <v>0</v>
      </c>
      <c r="J308" s="130">
        <f ca="1"/>
        <v>3.7611175994152575</v>
      </c>
      <c r="K308" s="131">
        <f ca="1"/>
        <v>0.10000000000000003</v>
      </c>
      <c r="L308" s="1"/>
      <c r="W308" s="7"/>
      <c r="X308" s="7"/>
      <c r="Y308" s="7"/>
      <c r="Z308" s="7"/>
      <c r="AA308" s="7"/>
      <c r="AB308" s="7"/>
      <c r="AC308" s="7"/>
    </row>
    <row r="309" spans="1:29" x14ac:dyDescent="0.25">
      <c r="A309" s="112">
        <v>305</v>
      </c>
      <c r="B309" s="120" t="s">
        <v>65</v>
      </c>
      <c r="C309" s="122">
        <v>100.4999999999994</v>
      </c>
      <c r="D309" s="125">
        <v>100</v>
      </c>
      <c r="E309" s="126">
        <f t="shared" si="8"/>
        <v>0.1</v>
      </c>
      <c r="F309" s="125">
        <v>1</v>
      </c>
      <c r="G309" s="126">
        <v>0.01</v>
      </c>
      <c r="H309" s="126">
        <v>0</v>
      </c>
      <c r="J309" s="130">
        <f ca="1"/>
        <v>3.7153577115241703</v>
      </c>
      <c r="K309" s="131">
        <f ca="1"/>
        <v>0.10000000000009249</v>
      </c>
      <c r="L309" s="1"/>
      <c r="W309" s="7"/>
      <c r="X309" s="7"/>
      <c r="Y309" s="7"/>
      <c r="Z309" s="7"/>
      <c r="AA309" s="7"/>
      <c r="AB309" s="7"/>
      <c r="AC309" s="7"/>
    </row>
    <row r="310" spans="1:29" x14ac:dyDescent="0.25">
      <c r="A310" s="112">
        <v>306</v>
      </c>
      <c r="B310" s="120" t="s">
        <v>65</v>
      </c>
      <c r="C310" s="122">
        <v>100.5999999999994</v>
      </c>
      <c r="D310" s="125">
        <v>100</v>
      </c>
      <c r="E310" s="126">
        <f t="shared" si="8"/>
        <v>0.1</v>
      </c>
      <c r="F310" s="125">
        <v>1</v>
      </c>
      <c r="G310" s="126">
        <v>0.01</v>
      </c>
      <c r="H310" s="126">
        <v>0</v>
      </c>
      <c r="J310" s="130">
        <f ca="1"/>
        <v>3.6699888730347396</v>
      </c>
      <c r="K310" s="131">
        <f ca="1"/>
        <v>0.1000000000000001</v>
      </c>
      <c r="L310" s="1"/>
      <c r="W310" s="7"/>
      <c r="X310" s="7"/>
      <c r="Y310" s="7"/>
      <c r="Z310" s="7"/>
      <c r="AA310" s="7"/>
      <c r="AB310" s="7"/>
      <c r="AC310" s="7"/>
    </row>
    <row r="311" spans="1:29" x14ac:dyDescent="0.25">
      <c r="A311" s="112">
        <v>307</v>
      </c>
      <c r="B311" s="120" t="s">
        <v>65</v>
      </c>
      <c r="C311" s="122">
        <v>100.69999999999939</v>
      </c>
      <c r="D311" s="125">
        <v>100</v>
      </c>
      <c r="E311" s="126">
        <f t="shared" si="8"/>
        <v>0.1</v>
      </c>
      <c r="F311" s="125">
        <v>1</v>
      </c>
      <c r="G311" s="126">
        <v>0.01</v>
      </c>
      <c r="H311" s="126">
        <v>0</v>
      </c>
      <c r="J311" s="130">
        <f ca="1"/>
        <v>3.6250102881047397</v>
      </c>
      <c r="K311" s="131">
        <f ca="1"/>
        <v>9.9999999999999908E-2</v>
      </c>
      <c r="L311" s="1"/>
      <c r="W311" s="7"/>
      <c r="X311" s="7"/>
      <c r="Y311" s="7"/>
      <c r="Z311" s="7"/>
      <c r="AA311" s="7"/>
      <c r="AB311" s="7"/>
      <c r="AC311" s="7"/>
    </row>
    <row r="312" spans="1:29" x14ac:dyDescent="0.25">
      <c r="A312" s="112">
        <v>308</v>
      </c>
      <c r="B312" s="120" t="s">
        <v>65</v>
      </c>
      <c r="C312" s="122">
        <v>100.79999999999939</v>
      </c>
      <c r="D312" s="125">
        <v>100</v>
      </c>
      <c r="E312" s="126">
        <f t="shared" si="8"/>
        <v>0.1</v>
      </c>
      <c r="F312" s="125">
        <v>1</v>
      </c>
      <c r="G312" s="126">
        <v>0.01</v>
      </c>
      <c r="H312" s="126">
        <v>0</v>
      </c>
      <c r="J312" s="130">
        <f ca="1"/>
        <v>3.5804211248386295</v>
      </c>
      <c r="K312" s="131">
        <f ca="1"/>
        <v>0.10000000000000005</v>
      </c>
      <c r="L312" s="1"/>
      <c r="W312" s="7"/>
      <c r="X312" s="7"/>
      <c r="Y312" s="7"/>
      <c r="Z312" s="7"/>
      <c r="AA312" s="7"/>
      <c r="AB312" s="7"/>
      <c r="AC312" s="7"/>
    </row>
    <row r="313" spans="1:29" x14ac:dyDescent="0.25">
      <c r="A313" s="112">
        <v>309</v>
      </c>
      <c r="B313" s="120" t="s">
        <v>65</v>
      </c>
      <c r="C313" s="122">
        <v>100.89999999999938</v>
      </c>
      <c r="D313" s="125">
        <v>100</v>
      </c>
      <c r="E313" s="126">
        <f t="shared" si="8"/>
        <v>0.1</v>
      </c>
      <c r="F313" s="125">
        <v>1</v>
      </c>
      <c r="G313" s="126">
        <v>0.01</v>
      </c>
      <c r="H313" s="126">
        <v>0</v>
      </c>
      <c r="J313" s="130">
        <f ca="1"/>
        <v>3.5362205156378508</v>
      </c>
      <c r="K313" s="131">
        <f ca="1"/>
        <v>0.1</v>
      </c>
      <c r="L313" s="1"/>
      <c r="W313" s="7"/>
      <c r="X313" s="7"/>
      <c r="Y313" s="7"/>
      <c r="Z313" s="7"/>
      <c r="AA313" s="7"/>
      <c r="AB313" s="7"/>
      <c r="AC313" s="7"/>
    </row>
    <row r="314" spans="1:29" x14ac:dyDescent="0.25">
      <c r="A314" s="112">
        <v>310</v>
      </c>
      <c r="B314" s="120" t="s">
        <v>65</v>
      </c>
      <c r="C314" s="122">
        <v>100.99999999999937</v>
      </c>
      <c r="D314" s="125">
        <v>100</v>
      </c>
      <c r="E314" s="126">
        <f t="shared" si="8"/>
        <v>0.1</v>
      </c>
      <c r="F314" s="125">
        <v>1</v>
      </c>
      <c r="G314" s="126">
        <v>0.01</v>
      </c>
      <c r="H314" s="126">
        <v>0</v>
      </c>
      <c r="J314" s="130">
        <f ca="1"/>
        <v>3.4924075575595026</v>
      </c>
      <c r="K314" s="131">
        <f ca="1"/>
        <v>9.999999999999977E-2</v>
      </c>
      <c r="L314" s="1"/>
      <c r="W314" s="7"/>
      <c r="X314" s="7"/>
      <c r="Y314" s="7"/>
      <c r="Z314" s="7"/>
      <c r="AA314" s="7"/>
      <c r="AB314" s="7"/>
      <c r="AC314" s="7"/>
    </row>
    <row r="315" spans="1:29" x14ac:dyDescent="0.25">
      <c r="A315" s="112">
        <v>311</v>
      </c>
      <c r="B315" s="120" t="s">
        <v>65</v>
      </c>
      <c r="C315" s="122">
        <v>101.09999999999937</v>
      </c>
      <c r="D315" s="125">
        <v>100</v>
      </c>
      <c r="E315" s="126">
        <f t="shared" si="8"/>
        <v>0.1</v>
      </c>
      <c r="F315" s="125">
        <v>1</v>
      </c>
      <c r="G315" s="126">
        <v>0.01</v>
      </c>
      <c r="H315" s="126">
        <v>0</v>
      </c>
      <c r="J315" s="130">
        <f ca="1"/>
        <v>3.4489813126832942</v>
      </c>
      <c r="K315" s="131">
        <f ca="1"/>
        <v>9.9999999999999506E-2</v>
      </c>
      <c r="L315" s="1"/>
      <c r="W315" s="7"/>
      <c r="X315" s="7"/>
      <c r="Y315" s="7"/>
      <c r="Z315" s="7"/>
      <c r="AA315" s="7"/>
      <c r="AB315" s="7"/>
      <c r="AC315" s="7"/>
    </row>
    <row r="316" spans="1:29" x14ac:dyDescent="0.25">
      <c r="A316" s="112">
        <v>312</v>
      </c>
      <c r="B316" s="120" t="s">
        <v>65</v>
      </c>
      <c r="C316" s="122">
        <v>101.19999999999936</v>
      </c>
      <c r="D316" s="125">
        <v>100</v>
      </c>
      <c r="E316" s="126">
        <f t="shared" si="8"/>
        <v>0.1</v>
      </c>
      <c r="F316" s="125">
        <v>1</v>
      </c>
      <c r="G316" s="126">
        <v>0.01</v>
      </c>
      <c r="H316" s="126">
        <v>0</v>
      </c>
      <c r="J316" s="130">
        <f ca="1"/>
        <v>3.4059408084864131</v>
      </c>
      <c r="K316" s="131">
        <f ca="1"/>
        <v>9.9999999999999145E-2</v>
      </c>
      <c r="L316" s="1"/>
      <c r="W316" s="7"/>
      <c r="X316" s="7"/>
      <c r="Y316" s="7"/>
      <c r="Z316" s="7"/>
      <c r="AA316" s="7"/>
      <c r="AB316" s="7"/>
      <c r="AC316" s="7"/>
    </row>
    <row r="317" spans="1:29" x14ac:dyDescent="0.25">
      <c r="A317" s="112">
        <v>313</v>
      </c>
      <c r="B317" s="120" t="s">
        <v>65</v>
      </c>
      <c r="C317" s="122">
        <v>101.29999999999936</v>
      </c>
      <c r="D317" s="125">
        <v>100</v>
      </c>
      <c r="E317" s="126">
        <f t="shared" si="8"/>
        <v>0.1</v>
      </c>
      <c r="F317" s="125">
        <v>1</v>
      </c>
      <c r="G317" s="126">
        <v>0.01</v>
      </c>
      <c r="H317" s="126">
        <v>0</v>
      </c>
      <c r="J317" s="130">
        <f ca="1"/>
        <v>3.363285038226131</v>
      </c>
      <c r="K317" s="131">
        <f ca="1"/>
        <v>9.9999999999998798E-2</v>
      </c>
      <c r="L317" s="1"/>
      <c r="W317" s="7"/>
      <c r="X317" s="7"/>
      <c r="Y317" s="7"/>
      <c r="Z317" s="7"/>
      <c r="AA317" s="7"/>
      <c r="AB317" s="7"/>
      <c r="AC317" s="7"/>
    </row>
    <row r="318" spans="1:29" x14ac:dyDescent="0.25">
      <c r="A318" s="112">
        <v>314</v>
      </c>
      <c r="B318" s="120" t="s">
        <v>65</v>
      </c>
      <c r="C318" s="122">
        <v>101.39999999999935</v>
      </c>
      <c r="D318" s="125">
        <v>100</v>
      </c>
      <c r="E318" s="126">
        <f t="shared" si="8"/>
        <v>0.1</v>
      </c>
      <c r="F318" s="125">
        <v>1</v>
      </c>
      <c r="G318" s="126">
        <v>0.01</v>
      </c>
      <c r="H318" s="126">
        <v>0</v>
      </c>
      <c r="J318" s="130">
        <f ca="1"/>
        <v>3.3210129613300765</v>
      </c>
      <c r="K318" s="131">
        <f ca="1"/>
        <v>9.9999999999998757E-2</v>
      </c>
      <c r="L318" s="1"/>
      <c r="W318" s="7"/>
      <c r="X318" s="7"/>
      <c r="Y318" s="7"/>
      <c r="Z318" s="7"/>
      <c r="AA318" s="7"/>
      <c r="AB318" s="7"/>
      <c r="AC318" s="7"/>
    </row>
    <row r="319" spans="1:29" x14ac:dyDescent="0.25">
      <c r="A319" s="112">
        <v>315</v>
      </c>
      <c r="B319" s="120" t="s">
        <v>65</v>
      </c>
      <c r="C319" s="122">
        <v>101.49999999999935</v>
      </c>
      <c r="D319" s="125">
        <v>100</v>
      </c>
      <c r="E319" s="126">
        <f t="shared" si="8"/>
        <v>0.1</v>
      </c>
      <c r="F319" s="125">
        <v>1</v>
      </c>
      <c r="G319" s="126">
        <v>0.01</v>
      </c>
      <c r="H319" s="126">
        <v>0</v>
      </c>
      <c r="J319" s="130">
        <f ca="1"/>
        <v>3.2791235037936346</v>
      </c>
      <c r="K319" s="131">
        <f ca="1"/>
        <v>9.9999999999998923E-2</v>
      </c>
      <c r="L319" s="1"/>
      <c r="W319" s="7"/>
      <c r="X319" s="7"/>
      <c r="Y319" s="7"/>
      <c r="Z319" s="7"/>
      <c r="AA319" s="7"/>
      <c r="AB319" s="7"/>
      <c r="AC319" s="7"/>
    </row>
    <row r="320" spans="1:29" x14ac:dyDescent="0.25">
      <c r="A320" s="112">
        <v>316</v>
      </c>
      <c r="B320" s="120" t="s">
        <v>65</v>
      </c>
      <c r="C320" s="122">
        <v>101.59999999999934</v>
      </c>
      <c r="D320" s="125">
        <v>100</v>
      </c>
      <c r="E320" s="126">
        <f t="shared" si="8"/>
        <v>0.1</v>
      </c>
      <c r="F320" s="125">
        <v>1</v>
      </c>
      <c r="G320" s="126">
        <v>0.01</v>
      </c>
      <c r="H320" s="126">
        <v>0</v>
      </c>
      <c r="J320" s="130">
        <f ca="1"/>
        <v>3.2376155585847428</v>
      </c>
      <c r="K320" s="131">
        <f ca="1"/>
        <v>0.10000000000000278</v>
      </c>
      <c r="L320" s="1"/>
      <c r="W320" s="7"/>
      <c r="X320" s="7"/>
      <c r="Y320" s="7"/>
      <c r="Z320" s="7"/>
      <c r="AA320" s="7"/>
      <c r="AB320" s="7"/>
      <c r="AC320" s="7"/>
    </row>
    <row r="321" spans="1:29" x14ac:dyDescent="0.25">
      <c r="A321" s="112">
        <v>317</v>
      </c>
      <c r="B321" s="120" t="s">
        <v>65</v>
      </c>
      <c r="C321" s="122">
        <v>101.69999999999933</v>
      </c>
      <c r="D321" s="125">
        <v>100</v>
      </c>
      <c r="E321" s="126">
        <f t="shared" si="8"/>
        <v>0.1</v>
      </c>
      <c r="F321" s="125">
        <v>1</v>
      </c>
      <c r="G321" s="126">
        <v>0.01</v>
      </c>
      <c r="H321" s="126">
        <v>0</v>
      </c>
      <c r="J321" s="130">
        <f ca="1"/>
        <v>3.1964879860551605</v>
      </c>
      <c r="K321" s="131">
        <f ca="1"/>
        <v>0.10000000000001301</v>
      </c>
      <c r="L321" s="1"/>
      <c r="W321" s="7"/>
      <c r="X321" s="7"/>
      <c r="Y321" s="7"/>
      <c r="Z321" s="7"/>
      <c r="AA321" s="7"/>
      <c r="AB321" s="7"/>
      <c r="AC321" s="7"/>
    </row>
    <row r="322" spans="1:29" x14ac:dyDescent="0.25">
      <c r="A322" s="112">
        <v>318</v>
      </c>
      <c r="B322" s="120" t="s">
        <v>65</v>
      </c>
      <c r="C322" s="122">
        <v>101.79999999999933</v>
      </c>
      <c r="D322" s="125">
        <v>100</v>
      </c>
      <c r="E322" s="126">
        <f t="shared" si="8"/>
        <v>0.1</v>
      </c>
      <c r="F322" s="125">
        <v>1</v>
      </c>
      <c r="G322" s="126">
        <v>0.01</v>
      </c>
      <c r="H322" s="126">
        <v>0</v>
      </c>
      <c r="J322" s="130">
        <f ca="1"/>
        <v>3.1557396143588079</v>
      </c>
      <c r="K322" s="131">
        <f ca="1"/>
        <v>0.10000000000003514</v>
      </c>
      <c r="L322" s="1"/>
      <c r="W322" s="7"/>
      <c r="X322" s="7"/>
      <c r="Y322" s="7"/>
      <c r="Z322" s="7"/>
      <c r="AA322" s="7"/>
      <c r="AB322" s="7"/>
      <c r="AC322" s="7"/>
    </row>
    <row r="323" spans="1:29" x14ac:dyDescent="0.25">
      <c r="A323" s="112">
        <v>319</v>
      </c>
      <c r="B323" s="120" t="s">
        <v>65</v>
      </c>
      <c r="C323" s="122">
        <v>101.89999999999932</v>
      </c>
      <c r="D323" s="125">
        <v>100</v>
      </c>
      <c r="E323" s="126">
        <f t="shared" si="8"/>
        <v>0.1</v>
      </c>
      <c r="F323" s="125">
        <v>1</v>
      </c>
      <c r="G323" s="126">
        <v>0.01</v>
      </c>
      <c r="H323" s="126">
        <v>0</v>
      </c>
      <c r="J323" s="130">
        <f ca="1"/>
        <v>3.1153692398762587</v>
      </c>
      <c r="K323" s="131">
        <f ca="1"/>
        <v>0.10000000000007878</v>
      </c>
      <c r="L323" s="1"/>
      <c r="W323" s="7"/>
      <c r="X323" s="7"/>
      <c r="Y323" s="7"/>
      <c r="Z323" s="7"/>
      <c r="AA323" s="7"/>
      <c r="AB323" s="7"/>
      <c r="AC323" s="7"/>
    </row>
    <row r="324" spans="1:29" x14ac:dyDescent="0.25">
      <c r="A324" s="112">
        <v>320</v>
      </c>
      <c r="B324" s="120" t="s">
        <v>65</v>
      </c>
      <c r="C324" s="122">
        <v>101.99999999999932</v>
      </c>
      <c r="D324" s="125">
        <v>100</v>
      </c>
      <c r="E324" s="126">
        <f t="shared" si="8"/>
        <v>0.1</v>
      </c>
      <c r="F324" s="125">
        <v>1</v>
      </c>
      <c r="G324" s="126">
        <v>0.01</v>
      </c>
      <c r="H324" s="126">
        <v>0</v>
      </c>
      <c r="J324" s="130">
        <f ca="1"/>
        <v>3.0753756276455562</v>
      </c>
      <c r="K324" s="131">
        <f ca="1"/>
        <v>0.10000000000015884</v>
      </c>
      <c r="L324" s="1"/>
      <c r="W324" s="7"/>
      <c r="X324" s="7"/>
      <c r="Y324" s="7"/>
      <c r="Z324" s="7"/>
      <c r="AA324" s="7"/>
      <c r="AB324" s="7"/>
      <c r="AC324" s="7"/>
    </row>
    <row r="325" spans="1:29" x14ac:dyDescent="0.25">
      <c r="A325" s="112">
        <v>321</v>
      </c>
      <c r="B325" s="120" t="s">
        <v>65</v>
      </c>
      <c r="C325" s="122">
        <v>102.09999999999931</v>
      </c>
      <c r="D325" s="125">
        <v>100</v>
      </c>
      <c r="E325" s="126">
        <f t="shared" ref="E325:E388" si="9">$E$2</f>
        <v>0.1</v>
      </c>
      <c r="F325" s="125">
        <v>1</v>
      </c>
      <c r="G325" s="126">
        <v>0.01</v>
      </c>
      <c r="H325" s="126">
        <v>0</v>
      </c>
      <c r="J325" s="130">
        <f ca="1"/>
        <v>3.0357575117989768</v>
      </c>
      <c r="K325" s="131">
        <f ca="1"/>
        <v>0.10000000000029732</v>
      </c>
      <c r="L325" s="1"/>
      <c r="W325" s="7"/>
      <c r="X325" s="7"/>
      <c r="Y325" s="7"/>
      <c r="Z325" s="7"/>
      <c r="AA325" s="7"/>
      <c r="AB325" s="7"/>
      <c r="AC325" s="7"/>
    </row>
    <row r="326" spans="1:29" x14ac:dyDescent="0.25">
      <c r="A326" s="112">
        <v>322</v>
      </c>
      <c r="B326" s="120" t="s">
        <v>65</v>
      </c>
      <c r="C326" s="122">
        <v>102.19999999999931</v>
      </c>
      <c r="D326" s="125">
        <v>100</v>
      </c>
      <c r="E326" s="126">
        <f t="shared" si="9"/>
        <v>0.1</v>
      </c>
      <c r="F326" s="125">
        <v>1</v>
      </c>
      <c r="G326" s="126">
        <v>0.01</v>
      </c>
      <c r="H326" s="126">
        <v>0</v>
      </c>
      <c r="J326" s="130">
        <f ca="1"/>
        <v>2.9965135960055065</v>
      </c>
      <c r="K326" s="131">
        <f ca="1"/>
        <v>0.10000000000052524</v>
      </c>
      <c r="L326" s="1"/>
      <c r="W326" s="7"/>
      <c r="X326" s="7"/>
      <c r="Y326" s="7"/>
      <c r="Z326" s="7"/>
      <c r="AA326" s="7"/>
      <c r="AB326" s="7"/>
      <c r="AC326" s="7"/>
    </row>
    <row r="327" spans="1:29" x14ac:dyDescent="0.25">
      <c r="A327" s="112">
        <v>323</v>
      </c>
      <c r="B327" s="120" t="s">
        <v>65</v>
      </c>
      <c r="C327" s="122">
        <v>102.2999999999993</v>
      </c>
      <c r="D327" s="125">
        <v>100</v>
      </c>
      <c r="E327" s="126">
        <f t="shared" si="9"/>
        <v>0.1</v>
      </c>
      <c r="F327" s="125">
        <v>1</v>
      </c>
      <c r="G327" s="126">
        <v>0.01</v>
      </c>
      <c r="H327" s="126">
        <v>0</v>
      </c>
      <c r="J327" s="130">
        <f ca="1"/>
        <v>2.9576425539189799</v>
      </c>
      <c r="K327" s="131">
        <f ca="1"/>
        <v>0.10000000000088904</v>
      </c>
      <c r="L327" s="1"/>
      <c r="W327" s="7"/>
      <c r="X327" s="7"/>
      <c r="Y327" s="7"/>
      <c r="Z327" s="7"/>
      <c r="AA327" s="7"/>
      <c r="AB327" s="7"/>
      <c r="AC327" s="7"/>
    </row>
    <row r="328" spans="1:29" x14ac:dyDescent="0.25">
      <c r="A328" s="112">
        <v>324</v>
      </c>
      <c r="B328" s="120" t="s">
        <v>65</v>
      </c>
      <c r="C328" s="122">
        <v>102.3999999999993</v>
      </c>
      <c r="D328" s="125">
        <v>100</v>
      </c>
      <c r="E328" s="126">
        <f t="shared" si="9"/>
        <v>0.1</v>
      </c>
      <c r="F328" s="125">
        <v>1</v>
      </c>
      <c r="G328" s="126">
        <v>0.01</v>
      </c>
      <c r="H328" s="126">
        <v>0</v>
      </c>
      <c r="J328" s="130">
        <f ca="1"/>
        <v>2.919143029631293</v>
      </c>
      <c r="K328" s="131">
        <f ca="1"/>
        <v>0.10000000000144958</v>
      </c>
      <c r="L328" s="1"/>
      <c r="W328" s="7"/>
      <c r="X328" s="7"/>
      <c r="Y328" s="7"/>
      <c r="Z328" s="7"/>
      <c r="AA328" s="7"/>
      <c r="AB328" s="7"/>
      <c r="AC328" s="7"/>
    </row>
    <row r="329" spans="1:29" x14ac:dyDescent="0.25">
      <c r="A329" s="112">
        <v>325</v>
      </c>
      <c r="B329" s="120" t="s">
        <v>65</v>
      </c>
      <c r="C329" s="122">
        <v>102.49999999999929</v>
      </c>
      <c r="D329" s="125">
        <v>100</v>
      </c>
      <c r="E329" s="126">
        <f t="shared" si="9"/>
        <v>0.1</v>
      </c>
      <c r="F329" s="125">
        <v>1</v>
      </c>
      <c r="G329" s="126">
        <v>0.01</v>
      </c>
      <c r="H329" s="126">
        <v>0</v>
      </c>
      <c r="J329" s="130">
        <f ca="1"/>
        <v>2.8810136381308951</v>
      </c>
      <c r="K329" s="131">
        <f ca="1"/>
        <v>0.10000000000229002</v>
      </c>
      <c r="L329" s="1"/>
      <c r="W329" s="7"/>
      <c r="X329" s="7"/>
      <c r="Y329" s="7"/>
      <c r="Z329" s="7"/>
      <c r="AA329" s="7"/>
      <c r="AB329" s="7"/>
      <c r="AC329" s="7"/>
    </row>
    <row r="330" spans="1:29" x14ac:dyDescent="0.25">
      <c r="A330" s="112">
        <v>326</v>
      </c>
      <c r="B330" s="120" t="s">
        <v>65</v>
      </c>
      <c r="C330" s="122">
        <v>102.59999999999928</v>
      </c>
      <c r="D330" s="125">
        <v>100</v>
      </c>
      <c r="E330" s="126">
        <f t="shared" si="9"/>
        <v>0.1</v>
      </c>
      <c r="F330" s="125">
        <v>1</v>
      </c>
      <c r="G330" s="126">
        <v>0.01</v>
      </c>
      <c r="H330" s="126">
        <v>0</v>
      </c>
      <c r="J330" s="130">
        <f ca="1"/>
        <v>2.8432529657659771</v>
      </c>
      <c r="K330" s="131">
        <f ca="1"/>
        <v>0.10000000000000014</v>
      </c>
      <c r="L330" s="1"/>
      <c r="W330" s="7"/>
      <c r="X330" s="7"/>
      <c r="Y330" s="7"/>
      <c r="Z330" s="7"/>
      <c r="AA330" s="7"/>
      <c r="AB330" s="7"/>
      <c r="AC330" s="7"/>
    </row>
    <row r="331" spans="1:29" x14ac:dyDescent="0.25">
      <c r="A331" s="112">
        <v>327</v>
      </c>
      <c r="B331" s="120" t="s">
        <v>65</v>
      </c>
      <c r="C331" s="122">
        <v>102.69999999999928</v>
      </c>
      <c r="D331" s="125">
        <v>100</v>
      </c>
      <c r="E331" s="126">
        <f t="shared" si="9"/>
        <v>0.1</v>
      </c>
      <c r="F331" s="125">
        <v>1</v>
      </c>
      <c r="G331" s="126">
        <v>0.01</v>
      </c>
      <c r="H331" s="126">
        <v>0</v>
      </c>
      <c r="J331" s="130">
        <f ca="1"/>
        <v>2.8058595707123644</v>
      </c>
      <c r="K331" s="131">
        <f ca="1"/>
        <v>9.9999999999999853E-2</v>
      </c>
      <c r="L331" s="1"/>
      <c r="W331" s="7"/>
      <c r="X331" s="7"/>
      <c r="Y331" s="7"/>
      <c r="Z331" s="7"/>
      <c r="AA331" s="7"/>
      <c r="AB331" s="7"/>
      <c r="AC331" s="7"/>
    </row>
    <row r="332" spans="1:29" x14ac:dyDescent="0.25">
      <c r="A332" s="112">
        <v>328</v>
      </c>
      <c r="B332" s="120" t="s">
        <v>65</v>
      </c>
      <c r="C332" s="122">
        <v>102.79999999999927</v>
      </c>
      <c r="D332" s="125">
        <v>100</v>
      </c>
      <c r="E332" s="126">
        <f t="shared" si="9"/>
        <v>0.1</v>
      </c>
      <c r="F332" s="125">
        <v>1</v>
      </c>
      <c r="G332" s="126">
        <v>0.01</v>
      </c>
      <c r="H332" s="126">
        <v>0</v>
      </c>
      <c r="J332" s="130">
        <f ca="1"/>
        <v>2.7688319834457502</v>
      </c>
      <c r="K332" s="131">
        <f ca="1"/>
        <v>0.10000000000000021</v>
      </c>
      <c r="L332" s="1"/>
      <c r="W332" s="7"/>
      <c r="X332" s="7"/>
      <c r="Y332" s="7"/>
      <c r="Z332" s="7"/>
      <c r="AA332" s="7"/>
      <c r="AB332" s="7"/>
      <c r="AC332" s="7"/>
    </row>
    <row r="333" spans="1:29" x14ac:dyDescent="0.25">
      <c r="A333" s="112">
        <v>329</v>
      </c>
      <c r="B333" s="120" t="s">
        <v>65</v>
      </c>
      <c r="C333" s="122">
        <v>102.89999999999927</v>
      </c>
      <c r="D333" s="125">
        <v>100</v>
      </c>
      <c r="E333" s="126">
        <f t="shared" si="9"/>
        <v>0.1</v>
      </c>
      <c r="F333" s="125">
        <v>1</v>
      </c>
      <c r="G333" s="126">
        <v>0.01</v>
      </c>
      <c r="H333" s="126">
        <v>0</v>
      </c>
      <c r="J333" s="130">
        <f ca="1"/>
        <v>2.7321687072180509</v>
      </c>
      <c r="K333" s="131">
        <f ca="1"/>
        <v>0.10000000000000028</v>
      </c>
      <c r="L333" s="1"/>
      <c r="W333" s="7"/>
      <c r="X333" s="7"/>
      <c r="Y333" s="7"/>
      <c r="Z333" s="7"/>
      <c r="AA333" s="7"/>
      <c r="AB333" s="7"/>
      <c r="AC333" s="7"/>
    </row>
    <row r="334" spans="1:29" x14ac:dyDescent="0.25">
      <c r="A334" s="112">
        <v>330</v>
      </c>
      <c r="B334" s="120" t="s">
        <v>65</v>
      </c>
      <c r="C334" s="122">
        <v>102.99999999999926</v>
      </c>
      <c r="D334" s="125">
        <v>100</v>
      </c>
      <c r="E334" s="126">
        <f t="shared" si="9"/>
        <v>0.1</v>
      </c>
      <c r="F334" s="125">
        <v>1</v>
      </c>
      <c r="G334" s="126">
        <v>0.01</v>
      </c>
      <c r="H334" s="126">
        <v>0</v>
      </c>
      <c r="J334" s="130">
        <f ca="1"/>
        <v>2.695868218537754</v>
      </c>
      <c r="K334" s="131">
        <f ca="1"/>
        <v>0.10000000000000037</v>
      </c>
      <c r="L334" s="1"/>
      <c r="W334" s="7"/>
      <c r="X334" s="7"/>
      <c r="Y334" s="7"/>
      <c r="Z334" s="7"/>
      <c r="AA334" s="7"/>
      <c r="AB334" s="7"/>
      <c r="AC334" s="7"/>
    </row>
    <row r="335" spans="1:29" x14ac:dyDescent="0.25">
      <c r="A335" s="112">
        <v>331</v>
      </c>
      <c r="B335" s="120" t="s">
        <v>65</v>
      </c>
      <c r="C335" s="122">
        <v>103.09999999999926</v>
      </c>
      <c r="D335" s="125">
        <v>100</v>
      </c>
      <c r="E335" s="126">
        <f t="shared" si="9"/>
        <v>0.1</v>
      </c>
      <c r="F335" s="125">
        <v>1</v>
      </c>
      <c r="G335" s="126">
        <v>0.01</v>
      </c>
      <c r="H335" s="126">
        <v>0</v>
      </c>
      <c r="J335" s="130">
        <f ca="1"/>
        <v>2.6599289676539684</v>
      </c>
      <c r="K335" s="131">
        <f ca="1"/>
        <v>0.10000000000000085</v>
      </c>
      <c r="L335" s="1"/>
      <c r="W335" s="7"/>
      <c r="X335" s="7"/>
      <c r="Y335" s="7"/>
      <c r="Z335" s="7"/>
      <c r="AA335" s="7"/>
      <c r="AB335" s="7"/>
      <c r="AC335" s="7"/>
    </row>
    <row r="336" spans="1:29" x14ac:dyDescent="0.25">
      <c r="A336" s="112">
        <v>332</v>
      </c>
      <c r="B336" s="120" t="s">
        <v>65</v>
      </c>
      <c r="C336" s="122">
        <v>103.19999999999925</v>
      </c>
      <c r="D336" s="125">
        <v>100</v>
      </c>
      <c r="E336" s="126">
        <f t="shared" si="9"/>
        <v>0.1</v>
      </c>
      <c r="F336" s="125">
        <v>1</v>
      </c>
      <c r="G336" s="126">
        <v>0.01</v>
      </c>
      <c r="H336" s="126">
        <v>0</v>
      </c>
      <c r="J336" s="130">
        <f ca="1"/>
        <v>2.624349379043899</v>
      </c>
      <c r="K336" s="131">
        <f ca="1"/>
        <v>0.10000000000000164</v>
      </c>
      <c r="L336" s="1"/>
      <c r="W336" s="7"/>
      <c r="X336" s="7"/>
      <c r="Y336" s="7"/>
      <c r="Z336" s="7"/>
      <c r="AA336" s="7"/>
      <c r="AB336" s="7"/>
      <c r="AC336" s="7"/>
    </row>
    <row r="337" spans="1:29" x14ac:dyDescent="0.25">
      <c r="A337" s="112">
        <v>333</v>
      </c>
      <c r="B337" s="120" t="s">
        <v>65</v>
      </c>
      <c r="C337" s="122">
        <v>103.29999999999924</v>
      </c>
      <c r="D337" s="125">
        <v>100</v>
      </c>
      <c r="E337" s="126">
        <f t="shared" si="9"/>
        <v>0.1</v>
      </c>
      <c r="F337" s="125">
        <v>1</v>
      </c>
      <c r="G337" s="126">
        <v>0.01</v>
      </c>
      <c r="H337" s="126">
        <v>0</v>
      </c>
      <c r="J337" s="130">
        <f ca="1"/>
        <v>2.5891278519035765</v>
      </c>
      <c r="K337" s="131">
        <f ca="1"/>
        <v>0.1000000000000022</v>
      </c>
      <c r="L337" s="1"/>
      <c r="W337" s="7"/>
      <c r="X337" s="7"/>
      <c r="Y337" s="7"/>
      <c r="Z337" s="7"/>
      <c r="AA337" s="7"/>
      <c r="AB337" s="7"/>
      <c r="AC337" s="7"/>
    </row>
    <row r="338" spans="1:29" x14ac:dyDescent="0.25">
      <c r="A338" s="112">
        <v>334</v>
      </c>
      <c r="B338" s="120" t="s">
        <v>65</v>
      </c>
      <c r="C338" s="122">
        <v>103.39999999999924</v>
      </c>
      <c r="D338" s="125">
        <v>100</v>
      </c>
      <c r="E338" s="126">
        <f t="shared" si="9"/>
        <v>0.1</v>
      </c>
      <c r="F338" s="125">
        <v>1</v>
      </c>
      <c r="G338" s="126">
        <v>0.01</v>
      </c>
      <c r="H338" s="126">
        <v>0</v>
      </c>
      <c r="J338" s="130">
        <f ca="1"/>
        <v>2.5542627606417412</v>
      </c>
      <c r="K338" s="131">
        <f ca="1"/>
        <v>0.10000000000000313</v>
      </c>
      <c r="L338" s="1"/>
      <c r="W338" s="7"/>
      <c r="X338" s="7"/>
      <c r="Y338" s="7"/>
      <c r="Z338" s="7"/>
      <c r="AA338" s="7"/>
      <c r="AB338" s="7"/>
      <c r="AC338" s="7"/>
    </row>
    <row r="339" spans="1:29" x14ac:dyDescent="0.25">
      <c r="A339" s="112">
        <v>335</v>
      </c>
      <c r="B339" s="120" t="s">
        <v>65</v>
      </c>
      <c r="C339" s="122">
        <v>103.49999999999923</v>
      </c>
      <c r="D339" s="125">
        <v>100</v>
      </c>
      <c r="E339" s="126">
        <f t="shared" si="9"/>
        <v>0.1</v>
      </c>
      <c r="F339" s="125">
        <v>1</v>
      </c>
      <c r="G339" s="126">
        <v>0.01</v>
      </c>
      <c r="H339" s="126">
        <v>0</v>
      </c>
      <c r="J339" s="130">
        <f ca="1"/>
        <v>2.5197524553763344</v>
      </c>
      <c r="K339" s="131">
        <f ca="1"/>
        <v>0.10000000000000438</v>
      </c>
      <c r="L339" s="1"/>
      <c r="W339" s="7"/>
      <c r="X339" s="7"/>
      <c r="Y339" s="7"/>
      <c r="Z339" s="7"/>
      <c r="AA339" s="7"/>
      <c r="AB339" s="7"/>
      <c r="AC339" s="7"/>
    </row>
    <row r="340" spans="1:29" x14ac:dyDescent="0.25">
      <c r="A340" s="112">
        <v>336</v>
      </c>
      <c r="B340" s="120" t="s">
        <v>65</v>
      </c>
      <c r="C340" s="122">
        <v>103.59999999999923</v>
      </c>
      <c r="D340" s="125">
        <v>100</v>
      </c>
      <c r="E340" s="126">
        <f t="shared" si="9"/>
        <v>0.1</v>
      </c>
      <c r="F340" s="125">
        <v>1</v>
      </c>
      <c r="G340" s="126">
        <v>0.01</v>
      </c>
      <c r="H340" s="126">
        <v>0</v>
      </c>
      <c r="J340" s="130">
        <f ca="1"/>
        <v>2.4855952624337334</v>
      </c>
      <c r="K340" s="131">
        <f ca="1"/>
        <v>0.10000000000000552</v>
      </c>
      <c r="L340" s="1"/>
      <c r="W340" s="7"/>
      <c r="X340" s="7"/>
      <c r="Y340" s="7"/>
      <c r="Z340" s="7"/>
      <c r="AA340" s="7"/>
      <c r="AB340" s="7"/>
      <c r="AC340" s="7"/>
    </row>
    <row r="341" spans="1:29" x14ac:dyDescent="0.25">
      <c r="A341" s="112">
        <v>337</v>
      </c>
      <c r="B341" s="120" t="s">
        <v>65</v>
      </c>
      <c r="C341" s="122">
        <v>103.69999999999922</v>
      </c>
      <c r="D341" s="125">
        <v>100</v>
      </c>
      <c r="E341" s="126">
        <f t="shared" si="9"/>
        <v>0.1</v>
      </c>
      <c r="F341" s="125">
        <v>1</v>
      </c>
      <c r="G341" s="126">
        <v>0.01</v>
      </c>
      <c r="H341" s="126">
        <v>0</v>
      </c>
      <c r="J341" s="130">
        <f ca="1"/>
        <v>2.4517894848503303</v>
      </c>
      <c r="K341" s="131">
        <f ca="1"/>
        <v>0.10000000000000808</v>
      </c>
      <c r="L341" s="1"/>
      <c r="W341" s="7"/>
      <c r="X341" s="7"/>
      <c r="Y341" s="7"/>
      <c r="Z341" s="7"/>
      <c r="AA341" s="7"/>
      <c r="AB341" s="7"/>
      <c r="AC341" s="7"/>
    </row>
    <row r="342" spans="1:29" x14ac:dyDescent="0.25">
      <c r="A342" s="112">
        <v>338</v>
      </c>
      <c r="B342" s="120" t="s">
        <v>65</v>
      </c>
      <c r="C342" s="122">
        <v>103.79999999999922</v>
      </c>
      <c r="D342" s="125">
        <v>100</v>
      </c>
      <c r="E342" s="126">
        <f t="shared" si="9"/>
        <v>0.1</v>
      </c>
      <c r="F342" s="125">
        <v>1</v>
      </c>
      <c r="G342" s="126">
        <v>0.01</v>
      </c>
      <c r="H342" s="126">
        <v>0</v>
      </c>
      <c r="J342" s="130">
        <f ca="1"/>
        <v>2.418333402876172</v>
      </c>
      <c r="K342" s="131">
        <f ca="1"/>
        <v>0.10000000000001152</v>
      </c>
      <c r="L342" s="1"/>
      <c r="W342" s="7"/>
      <c r="X342" s="7"/>
      <c r="Y342" s="7"/>
      <c r="Z342" s="7"/>
      <c r="AA342" s="7"/>
      <c r="AB342" s="7"/>
      <c r="AC342" s="7"/>
    </row>
    <row r="343" spans="1:29" x14ac:dyDescent="0.25">
      <c r="A343" s="112">
        <v>339</v>
      </c>
      <c r="B343" s="120" t="s">
        <v>65</v>
      </c>
      <c r="C343" s="122">
        <v>103.89999999999921</v>
      </c>
      <c r="D343" s="125">
        <v>100</v>
      </c>
      <c r="E343" s="126">
        <f t="shared" si="9"/>
        <v>0.1</v>
      </c>
      <c r="F343" s="125">
        <v>1</v>
      </c>
      <c r="G343" s="126">
        <v>0.01</v>
      </c>
      <c r="H343" s="126">
        <v>0</v>
      </c>
      <c r="J343" s="130">
        <f ca="1"/>
        <v>2.3852252744805824</v>
      </c>
      <c r="K343" s="131">
        <f ca="1"/>
        <v>0.10000000000001502</v>
      </c>
      <c r="L343" s="1"/>
      <c r="W343" s="7"/>
      <c r="X343" s="7"/>
      <c r="Y343" s="7"/>
      <c r="Z343" s="7"/>
      <c r="AA343" s="7"/>
      <c r="AB343" s="7"/>
      <c r="AC343" s="7"/>
    </row>
    <row r="344" spans="1:29" x14ac:dyDescent="0.25">
      <c r="A344" s="112">
        <v>340</v>
      </c>
      <c r="B344" s="120" t="s">
        <v>65</v>
      </c>
      <c r="C344" s="122">
        <v>103.9999999999992</v>
      </c>
      <c r="D344" s="125">
        <v>100</v>
      </c>
      <c r="E344" s="126">
        <f t="shared" si="9"/>
        <v>0.1</v>
      </c>
      <c r="F344" s="125">
        <v>1</v>
      </c>
      <c r="G344" s="126">
        <v>0.01</v>
      </c>
      <c r="H344" s="126">
        <v>0</v>
      </c>
      <c r="J344" s="130">
        <f ca="1"/>
        <v>2.3524633358596105</v>
      </c>
      <c r="K344" s="131">
        <f ca="1"/>
        <v>0.10000000000002038</v>
      </c>
      <c r="L344" s="1"/>
      <c r="W344" s="7"/>
      <c r="X344" s="7"/>
      <c r="Y344" s="7"/>
      <c r="Z344" s="7"/>
      <c r="AA344" s="7"/>
      <c r="AB344" s="7"/>
      <c r="AC344" s="7"/>
    </row>
    <row r="345" spans="1:29" x14ac:dyDescent="0.25">
      <c r="A345" s="112">
        <v>341</v>
      </c>
      <c r="B345" s="120" t="s">
        <v>65</v>
      </c>
      <c r="C345" s="122">
        <v>104.0999999999992</v>
      </c>
      <c r="D345" s="125">
        <v>100</v>
      </c>
      <c r="E345" s="126">
        <f t="shared" si="9"/>
        <v>0.1</v>
      </c>
      <c r="F345" s="125">
        <v>1</v>
      </c>
      <c r="G345" s="126">
        <v>0.01</v>
      </c>
      <c r="H345" s="126">
        <v>0</v>
      </c>
      <c r="J345" s="130">
        <f ca="1"/>
        <v>2.3200458019448007</v>
      </c>
      <c r="K345" s="131">
        <f ca="1"/>
        <v>0.10000000000002753</v>
      </c>
      <c r="L345" s="1"/>
      <c r="W345" s="7"/>
      <c r="X345" s="7"/>
      <c r="Y345" s="7"/>
      <c r="Z345" s="7"/>
      <c r="AA345" s="7"/>
      <c r="AB345" s="7"/>
      <c r="AC345" s="7"/>
    </row>
    <row r="346" spans="1:29" x14ac:dyDescent="0.25">
      <c r="A346" s="112">
        <v>342</v>
      </c>
      <c r="B346" s="120" t="s">
        <v>65</v>
      </c>
      <c r="C346" s="122">
        <v>104.19999999999919</v>
      </c>
      <c r="D346" s="125">
        <v>100</v>
      </c>
      <c r="E346" s="126">
        <f t="shared" si="9"/>
        <v>0.1</v>
      </c>
      <c r="F346" s="125">
        <v>1</v>
      </c>
      <c r="G346" s="126">
        <v>0.01</v>
      </c>
      <c r="H346" s="126">
        <v>0</v>
      </c>
      <c r="J346" s="130">
        <f ca="1"/>
        <v>2.2879708669133123</v>
      </c>
      <c r="K346" s="131">
        <f ca="1"/>
        <v>0.10000000000003645</v>
      </c>
      <c r="L346" s="1"/>
      <c r="W346" s="7"/>
      <c r="X346" s="7"/>
      <c r="Y346" s="7"/>
      <c r="Z346" s="7"/>
      <c r="AA346" s="7"/>
      <c r="AB346" s="7"/>
      <c r="AC346" s="7"/>
    </row>
    <row r="347" spans="1:29" x14ac:dyDescent="0.25">
      <c r="A347" s="112">
        <v>343</v>
      </c>
      <c r="B347" s="120" t="s">
        <v>65</v>
      </c>
      <c r="C347" s="122">
        <v>104.29999999999919</v>
      </c>
      <c r="D347" s="125">
        <v>100</v>
      </c>
      <c r="E347" s="126">
        <f t="shared" si="9"/>
        <v>0.1</v>
      </c>
      <c r="F347" s="125">
        <v>1</v>
      </c>
      <c r="G347" s="126">
        <v>0.01</v>
      </c>
      <c r="H347" s="126">
        <v>0</v>
      </c>
      <c r="J347" s="130">
        <f ca="1"/>
        <v>2.2562367046992335</v>
      </c>
      <c r="K347" s="131">
        <f ca="1"/>
        <v>0.10000000000004812</v>
      </c>
      <c r="L347" s="1"/>
      <c r="W347" s="7"/>
      <c r="X347" s="7"/>
      <c r="Y347" s="7"/>
      <c r="Z347" s="7"/>
      <c r="AA347" s="7"/>
      <c r="AB347" s="7"/>
      <c r="AC347" s="7"/>
    </row>
    <row r="348" spans="1:29" x14ac:dyDescent="0.25">
      <c r="A348" s="112">
        <v>344</v>
      </c>
      <c r="B348" s="120" t="s">
        <v>65</v>
      </c>
      <c r="C348" s="122">
        <v>104.39999999999918</v>
      </c>
      <c r="D348" s="125">
        <v>100</v>
      </c>
      <c r="E348" s="126">
        <f t="shared" si="9"/>
        <v>0.1</v>
      </c>
      <c r="F348" s="125">
        <v>1</v>
      </c>
      <c r="G348" s="126">
        <v>0.01</v>
      </c>
      <c r="H348" s="126">
        <v>0</v>
      </c>
      <c r="J348" s="130">
        <f ca="1"/>
        <v>2.2248414695056269</v>
      </c>
      <c r="K348" s="131">
        <f ca="1"/>
        <v>0.10000000000006282</v>
      </c>
      <c r="L348" s="1"/>
      <c r="W348" s="7"/>
      <c r="X348" s="7"/>
      <c r="Y348" s="7"/>
      <c r="Z348" s="7"/>
      <c r="AA348" s="7"/>
      <c r="AB348" s="7"/>
      <c r="AC348" s="7"/>
    </row>
    <row r="349" spans="1:29" x14ac:dyDescent="0.25">
      <c r="A349" s="112">
        <v>345</v>
      </c>
      <c r="B349" s="120" t="s">
        <v>65</v>
      </c>
      <c r="C349" s="122">
        <v>104.49999999999918</v>
      </c>
      <c r="D349" s="125">
        <v>100</v>
      </c>
      <c r="E349" s="126">
        <f t="shared" si="9"/>
        <v>0.1</v>
      </c>
      <c r="F349" s="125">
        <v>1</v>
      </c>
      <c r="G349" s="126">
        <v>0.01</v>
      </c>
      <c r="H349" s="126">
        <v>0</v>
      </c>
      <c r="J349" s="130">
        <f ca="1"/>
        <v>2.1937832963173278</v>
      </c>
      <c r="K349" s="131">
        <f ca="1"/>
        <v>0.10000000000008143</v>
      </c>
      <c r="L349" s="1"/>
      <c r="W349" s="7"/>
      <c r="X349" s="7"/>
      <c r="Y349" s="7"/>
      <c r="Z349" s="7"/>
      <c r="AA349" s="7"/>
      <c r="AB349" s="7"/>
      <c r="AC349" s="7"/>
    </row>
    <row r="350" spans="1:29" x14ac:dyDescent="0.25">
      <c r="A350" s="112">
        <v>346</v>
      </c>
      <c r="B350" s="120" t="s">
        <v>65</v>
      </c>
      <c r="C350" s="122">
        <v>104.59999999999917</v>
      </c>
      <c r="D350" s="125">
        <v>100</v>
      </c>
      <c r="E350" s="126">
        <f t="shared" si="9"/>
        <v>0.1</v>
      </c>
      <c r="F350" s="125">
        <v>1</v>
      </c>
      <c r="G350" s="126">
        <v>0.01</v>
      </c>
      <c r="H350" s="126">
        <v>0</v>
      </c>
      <c r="J350" s="130">
        <f ca="1"/>
        <v>2.1630603014141911</v>
      </c>
      <c r="K350" s="131">
        <f ca="1"/>
        <v>0.10000000000010524</v>
      </c>
      <c r="L350" s="1"/>
      <c r="W350" s="7"/>
      <c r="X350" s="7"/>
      <c r="Y350" s="7"/>
      <c r="Z350" s="7"/>
      <c r="AA350" s="7"/>
      <c r="AB350" s="7"/>
      <c r="AC350" s="7"/>
    </row>
    <row r="351" spans="1:29" x14ac:dyDescent="0.25">
      <c r="A351" s="112">
        <v>347</v>
      </c>
      <c r="B351" s="120" t="s">
        <v>65</v>
      </c>
      <c r="C351" s="122">
        <v>104.69999999999916</v>
      </c>
      <c r="D351" s="125">
        <v>100</v>
      </c>
      <c r="E351" s="126">
        <f t="shared" si="9"/>
        <v>0.1</v>
      </c>
      <c r="F351" s="125">
        <v>1</v>
      </c>
      <c r="G351" s="126">
        <v>0.01</v>
      </c>
      <c r="H351" s="126">
        <v>0</v>
      </c>
      <c r="J351" s="130">
        <f ca="1"/>
        <v>2.1326705828845469</v>
      </c>
      <c r="K351" s="131">
        <f ca="1"/>
        <v>0.10000000000013513</v>
      </c>
      <c r="L351" s="1"/>
      <c r="W351" s="7"/>
      <c r="X351" s="7"/>
      <c r="Y351" s="7"/>
      <c r="Z351" s="7"/>
      <c r="AA351" s="7"/>
      <c r="AB351" s="7"/>
      <c r="AC351" s="7"/>
    </row>
    <row r="352" spans="1:29" x14ac:dyDescent="0.25">
      <c r="A352" s="112">
        <v>348</v>
      </c>
      <c r="B352" s="120" t="s">
        <v>65</v>
      </c>
      <c r="C352" s="122">
        <v>104.79999999999916</v>
      </c>
      <c r="D352" s="125">
        <v>100</v>
      </c>
      <c r="E352" s="126">
        <f t="shared" si="9"/>
        <v>0.1</v>
      </c>
      <c r="F352" s="125">
        <v>1</v>
      </c>
      <c r="G352" s="126">
        <v>0.01</v>
      </c>
      <c r="H352" s="126">
        <v>0</v>
      </c>
      <c r="J352" s="130">
        <f ca="1"/>
        <v>2.1026122211388696</v>
      </c>
      <c r="K352" s="131">
        <f ca="1"/>
        <v>0.10000000000017309</v>
      </c>
      <c r="L352" s="1"/>
      <c r="W352" s="7"/>
      <c r="X352" s="7"/>
      <c r="Y352" s="7"/>
      <c r="Z352" s="7"/>
      <c r="AA352" s="7"/>
      <c r="AB352" s="7"/>
      <c r="AC352" s="7"/>
    </row>
    <row r="353" spans="1:29" x14ac:dyDescent="0.25">
      <c r="A353" s="112">
        <v>349</v>
      </c>
      <c r="B353" s="120" t="s">
        <v>65</v>
      </c>
      <c r="C353" s="122">
        <v>104.89999999999915</v>
      </c>
      <c r="D353" s="125">
        <v>100</v>
      </c>
      <c r="E353" s="126">
        <f t="shared" si="9"/>
        <v>0.1</v>
      </c>
      <c r="F353" s="125">
        <v>1</v>
      </c>
      <c r="G353" s="126">
        <v>0.01</v>
      </c>
      <c r="H353" s="126">
        <v>0</v>
      </c>
      <c r="J353" s="130">
        <f ca="1"/>
        <v>2.0728832794231735</v>
      </c>
      <c r="K353" s="131">
        <f ca="1"/>
        <v>0.10000000000022069</v>
      </c>
      <c r="L353" s="1"/>
      <c r="W353" s="7"/>
      <c r="X353" s="7"/>
      <c r="Y353" s="7"/>
      <c r="Z353" s="7"/>
      <c r="AA353" s="7"/>
      <c r="AB353" s="7"/>
      <c r="AC353" s="7"/>
    </row>
    <row r="354" spans="1:29" x14ac:dyDescent="0.25">
      <c r="A354" s="112">
        <v>350</v>
      </c>
      <c r="B354" s="120" t="s">
        <v>65</v>
      </c>
      <c r="C354" s="122">
        <v>104.99999999999915</v>
      </c>
      <c r="D354" s="125">
        <v>100</v>
      </c>
      <c r="E354" s="126">
        <f t="shared" si="9"/>
        <v>0.1</v>
      </c>
      <c r="F354" s="125">
        <v>1</v>
      </c>
      <c r="G354" s="126">
        <v>0.01</v>
      </c>
      <c r="H354" s="126">
        <v>0</v>
      </c>
      <c r="J354" s="130">
        <f ca="1"/>
        <v>2.043481804332135</v>
      </c>
      <c r="K354" s="131">
        <f ca="1"/>
        <v>0.10000000000028071</v>
      </c>
      <c r="L354" s="1"/>
      <c r="W354" s="7"/>
      <c r="X354" s="7"/>
      <c r="Y354" s="7"/>
      <c r="Z354" s="7"/>
      <c r="AA354" s="7"/>
      <c r="AB354" s="7"/>
      <c r="AC354" s="7"/>
    </row>
    <row r="355" spans="1:29" x14ac:dyDescent="0.25">
      <c r="A355" s="112">
        <v>351</v>
      </c>
      <c r="B355" s="120" t="s">
        <v>65</v>
      </c>
      <c r="C355" s="122">
        <v>105.09999999999914</v>
      </c>
      <c r="D355" s="125">
        <v>100</v>
      </c>
      <c r="E355" s="126">
        <f t="shared" si="9"/>
        <v>0.1</v>
      </c>
      <c r="F355" s="125">
        <v>1</v>
      </c>
      <c r="G355" s="126">
        <v>0.01</v>
      </c>
      <c r="H355" s="126">
        <v>0</v>
      </c>
      <c r="J355" s="130">
        <f ca="1"/>
        <v>2.0144058263217559</v>
      </c>
      <c r="K355" s="131">
        <f ca="1"/>
        <v>0.10000000000035553</v>
      </c>
      <c r="L355" s="1"/>
      <c r="W355" s="7"/>
      <c r="X355" s="7"/>
      <c r="Y355" s="7"/>
      <c r="Z355" s="7"/>
      <c r="AA355" s="7"/>
      <c r="AB355" s="7"/>
      <c r="AC355" s="7"/>
    </row>
    <row r="356" spans="1:29" x14ac:dyDescent="0.25">
      <c r="A356" s="112">
        <v>352</v>
      </c>
      <c r="B356" s="120" t="s">
        <v>65</v>
      </c>
      <c r="C356" s="122">
        <v>105.19999999999914</v>
      </c>
      <c r="D356" s="125">
        <v>100</v>
      </c>
      <c r="E356" s="126">
        <f t="shared" si="9"/>
        <v>0.1</v>
      </c>
      <c r="F356" s="125">
        <v>1</v>
      </c>
      <c r="G356" s="126">
        <v>0.01</v>
      </c>
      <c r="H356" s="126">
        <v>0</v>
      </c>
      <c r="J356" s="130">
        <f ca="1"/>
        <v>1.9856533602212778</v>
      </c>
      <c r="K356" s="131">
        <f ca="1"/>
        <v>0.10000000000044861</v>
      </c>
      <c r="L356" s="1"/>
      <c r="W356" s="7"/>
      <c r="X356" s="7"/>
      <c r="Y356" s="7"/>
      <c r="Z356" s="7"/>
      <c r="AA356" s="7"/>
      <c r="AB356" s="7"/>
      <c r="AC356" s="7"/>
    </row>
    <row r="357" spans="1:29" x14ac:dyDescent="0.25">
      <c r="A357" s="112">
        <v>353</v>
      </c>
      <c r="B357" s="120" t="s">
        <v>65</v>
      </c>
      <c r="C357" s="122">
        <v>105.29999999999913</v>
      </c>
      <c r="D357" s="125">
        <v>100</v>
      </c>
      <c r="E357" s="126">
        <f t="shared" si="9"/>
        <v>0.1</v>
      </c>
      <c r="F357" s="125">
        <v>1</v>
      </c>
      <c r="G357" s="126">
        <v>0.01</v>
      </c>
      <c r="H357" s="126">
        <v>0</v>
      </c>
      <c r="J357" s="130">
        <f ca="1"/>
        <v>1.9572224057442149</v>
      </c>
      <c r="K357" s="131">
        <f ca="1"/>
        <v>0.10000000000056482</v>
      </c>
      <c r="L357" s="1"/>
      <c r="W357" s="7"/>
      <c r="X357" s="7"/>
      <c r="Y357" s="7"/>
      <c r="Z357" s="7"/>
      <c r="AA357" s="7"/>
      <c r="AB357" s="7"/>
      <c r="AC357" s="7"/>
    </row>
    <row r="358" spans="1:29" x14ac:dyDescent="0.25">
      <c r="A358" s="112">
        <v>354</v>
      </c>
      <c r="B358" s="120" t="s">
        <v>65</v>
      </c>
      <c r="C358" s="122">
        <v>105.39999999999912</v>
      </c>
      <c r="D358" s="125">
        <v>100</v>
      </c>
      <c r="E358" s="126">
        <f t="shared" si="9"/>
        <v>0.1</v>
      </c>
      <c r="F358" s="125">
        <v>1</v>
      </c>
      <c r="G358" s="126">
        <v>0.01</v>
      </c>
      <c r="H358" s="126">
        <v>0</v>
      </c>
      <c r="J358" s="130">
        <f ca="1"/>
        <v>1.9291109479983355</v>
      </c>
      <c r="K358" s="131">
        <f ca="1"/>
        <v>0.10000000000070981</v>
      </c>
      <c r="L358" s="1"/>
      <c r="W358" s="7"/>
      <c r="X358" s="7"/>
      <c r="Y358" s="7"/>
      <c r="Z358" s="7"/>
      <c r="AA358" s="7"/>
      <c r="AB358" s="7"/>
      <c r="AC358" s="7"/>
    </row>
    <row r="359" spans="1:29" x14ac:dyDescent="0.25">
      <c r="A359" s="112">
        <v>355</v>
      </c>
      <c r="B359" s="120" t="s">
        <v>65</v>
      </c>
      <c r="C359" s="122">
        <v>105.49999999999912</v>
      </c>
      <c r="D359" s="125">
        <v>100</v>
      </c>
      <c r="E359" s="126">
        <f t="shared" si="9"/>
        <v>0.1</v>
      </c>
      <c r="F359" s="125">
        <v>1</v>
      </c>
      <c r="G359" s="126">
        <v>0.01</v>
      </c>
      <c r="H359" s="126">
        <v>0</v>
      </c>
      <c r="J359" s="130">
        <f ca="1"/>
        <v>1.9013169579943714</v>
      </c>
      <c r="K359" s="131">
        <f ca="1"/>
        <v>0.1000000000008886</v>
      </c>
      <c r="L359" s="1"/>
      <c r="W359" s="7"/>
      <c r="X359" s="7"/>
      <c r="Y359" s="7"/>
      <c r="Z359" s="7"/>
      <c r="AA359" s="7"/>
      <c r="AB359" s="7"/>
      <c r="AC359" s="7"/>
    </row>
    <row r="360" spans="1:29" x14ac:dyDescent="0.25">
      <c r="A360" s="112">
        <v>356</v>
      </c>
      <c r="B360" s="120" t="s">
        <v>65</v>
      </c>
      <c r="C360" s="122">
        <v>105.59999999999911</v>
      </c>
      <c r="D360" s="125">
        <v>100</v>
      </c>
      <c r="E360" s="126">
        <f t="shared" si="9"/>
        <v>0.1</v>
      </c>
      <c r="F360" s="125">
        <v>1</v>
      </c>
      <c r="G360" s="126">
        <v>0.01</v>
      </c>
      <c r="H360" s="126">
        <v>0</v>
      </c>
      <c r="J360" s="130">
        <f ca="1"/>
        <v>1.8738383931534131</v>
      </c>
      <c r="K360" s="131">
        <f ca="1"/>
        <v>0.10000000000111017</v>
      </c>
      <c r="L360" s="1"/>
      <c r="W360" s="7"/>
      <c r="X360" s="7"/>
      <c r="Y360" s="7"/>
      <c r="Z360" s="7"/>
      <c r="AA360" s="7"/>
      <c r="AB360" s="7"/>
      <c r="AC360" s="7"/>
    </row>
    <row r="361" spans="1:29" x14ac:dyDescent="0.25">
      <c r="A361" s="112">
        <v>357</v>
      </c>
      <c r="B361" s="120" t="s">
        <v>65</v>
      </c>
      <c r="C361" s="122">
        <v>105.69999999999911</v>
      </c>
      <c r="D361" s="125">
        <v>100</v>
      </c>
      <c r="E361" s="126">
        <f t="shared" si="9"/>
        <v>0.1</v>
      </c>
      <c r="F361" s="125">
        <v>1</v>
      </c>
      <c r="G361" s="126">
        <v>0.01</v>
      </c>
      <c r="H361" s="126">
        <v>0</v>
      </c>
      <c r="J361" s="130">
        <f ca="1"/>
        <v>1.8466731978125708</v>
      </c>
      <c r="K361" s="131">
        <f ca="1"/>
        <v>0.10000000000138509</v>
      </c>
      <c r="L361" s="1"/>
      <c r="W361" s="7"/>
      <c r="X361" s="7"/>
      <c r="Y361" s="7"/>
      <c r="Z361" s="7"/>
      <c r="AA361" s="7"/>
      <c r="AB361" s="7"/>
      <c r="AC361" s="7"/>
    </row>
    <row r="362" spans="1:29" x14ac:dyDescent="0.25">
      <c r="A362" s="112">
        <v>358</v>
      </c>
      <c r="B362" s="120" t="s">
        <v>65</v>
      </c>
      <c r="C362" s="122">
        <v>105.7999999999991</v>
      </c>
      <c r="D362" s="125">
        <v>100</v>
      </c>
      <c r="E362" s="126">
        <f t="shared" si="9"/>
        <v>0.1</v>
      </c>
      <c r="F362" s="125">
        <v>1</v>
      </c>
      <c r="G362" s="126">
        <v>0.01</v>
      </c>
      <c r="H362" s="126">
        <v>0</v>
      </c>
      <c r="J362" s="130">
        <f ca="1"/>
        <v>1.8198193037289023</v>
      </c>
      <c r="K362" s="131">
        <f ca="1"/>
        <v>0.10000000000172428</v>
      </c>
      <c r="L362" s="1"/>
      <c r="W362" s="7"/>
      <c r="X362" s="7"/>
      <c r="Y362" s="7"/>
      <c r="Z362" s="7"/>
      <c r="AA362" s="7"/>
      <c r="AB362" s="7"/>
      <c r="AC362" s="7"/>
    </row>
    <row r="363" spans="1:29" x14ac:dyDescent="0.25">
      <c r="A363" s="112">
        <v>359</v>
      </c>
      <c r="B363" s="120" t="s">
        <v>65</v>
      </c>
      <c r="C363" s="122">
        <v>105.8999999999991</v>
      </c>
      <c r="D363" s="125">
        <v>100</v>
      </c>
      <c r="E363" s="126">
        <f t="shared" si="9"/>
        <v>0.1</v>
      </c>
      <c r="F363" s="125">
        <v>1</v>
      </c>
      <c r="G363" s="126">
        <v>0.01</v>
      </c>
      <c r="H363" s="126">
        <v>0</v>
      </c>
      <c r="J363" s="130">
        <f ca="1"/>
        <v>1.7932746305815286</v>
      </c>
      <c r="K363" s="131">
        <f ca="1"/>
        <v>0.10000000000214318</v>
      </c>
      <c r="L363" s="1"/>
      <c r="W363" s="7"/>
      <c r="X363" s="7"/>
      <c r="Y363" s="7"/>
      <c r="Z363" s="7"/>
      <c r="AA363" s="7"/>
      <c r="AB363" s="7"/>
      <c r="AC363" s="7"/>
    </row>
    <row r="364" spans="1:29" x14ac:dyDescent="0.25">
      <c r="A364" s="112">
        <v>360</v>
      </c>
      <c r="B364" s="120" t="s">
        <v>65</v>
      </c>
      <c r="C364" s="122">
        <v>105.99999999999909</v>
      </c>
      <c r="D364" s="125">
        <v>100</v>
      </c>
      <c r="E364" s="126">
        <f t="shared" si="9"/>
        <v>0.1</v>
      </c>
      <c r="F364" s="125">
        <v>1</v>
      </c>
      <c r="G364" s="126">
        <v>0.01</v>
      </c>
      <c r="H364" s="126">
        <v>0</v>
      </c>
      <c r="J364" s="130">
        <f ca="1"/>
        <v>1.7670370864714968</v>
      </c>
      <c r="K364" s="131">
        <f ca="1"/>
        <v>0.10000000000265895</v>
      </c>
      <c r="L364" s="1"/>
      <c r="W364" s="7"/>
      <c r="X364" s="7"/>
      <c r="Y364" s="7"/>
      <c r="Z364" s="7"/>
      <c r="AA364" s="7"/>
      <c r="AB364" s="7"/>
      <c r="AC364" s="7"/>
    </row>
    <row r="365" spans="1:29" x14ac:dyDescent="0.25">
      <c r="A365" s="112">
        <v>361</v>
      </c>
      <c r="B365" s="120" t="s">
        <v>65</v>
      </c>
      <c r="C365" s="122">
        <v>106.09999999999908</v>
      </c>
      <c r="D365" s="125">
        <v>100</v>
      </c>
      <c r="E365" s="126">
        <f t="shared" si="9"/>
        <v>0.1</v>
      </c>
      <c r="F365" s="125">
        <v>1</v>
      </c>
      <c r="G365" s="126">
        <v>0.01</v>
      </c>
      <c r="H365" s="126">
        <v>0</v>
      </c>
      <c r="J365" s="130">
        <f ca="1"/>
        <v>1.7411045684194981</v>
      </c>
      <c r="K365" s="131">
        <f ca="1"/>
        <v>0.10000000000000034</v>
      </c>
      <c r="L365" s="1"/>
      <c r="W365" s="7"/>
      <c r="X365" s="7"/>
      <c r="Y365" s="7"/>
      <c r="Z365" s="7"/>
      <c r="AA365" s="7"/>
      <c r="AB365" s="7"/>
      <c r="AC365" s="7"/>
    </row>
    <row r="366" spans="1:29" x14ac:dyDescent="0.25">
      <c r="A366" s="112">
        <v>362</v>
      </c>
      <c r="B366" s="120" t="s">
        <v>65</v>
      </c>
      <c r="C366" s="122">
        <v>106.19999999999908</v>
      </c>
      <c r="D366" s="125">
        <v>100</v>
      </c>
      <c r="E366" s="126">
        <f t="shared" si="9"/>
        <v>0.1</v>
      </c>
      <c r="F366" s="125">
        <v>1</v>
      </c>
      <c r="G366" s="126">
        <v>0.01</v>
      </c>
      <c r="H366" s="126">
        <v>0</v>
      </c>
      <c r="J366" s="130">
        <f ca="1"/>
        <v>1.7154749628611299</v>
      </c>
      <c r="K366" s="131">
        <f ca="1"/>
        <v>0.10000000000000078</v>
      </c>
      <c r="L366" s="1"/>
      <c r="W366" s="7"/>
      <c r="X366" s="7"/>
      <c r="Y366" s="7"/>
      <c r="Z366" s="7"/>
      <c r="AA366" s="7"/>
      <c r="AB366" s="7"/>
      <c r="AC366" s="7"/>
    </row>
    <row r="367" spans="1:29" x14ac:dyDescent="0.25">
      <c r="A367" s="112">
        <v>363</v>
      </c>
      <c r="B367" s="120" t="s">
        <v>65</v>
      </c>
      <c r="C367" s="122">
        <v>106.29999999999907</v>
      </c>
      <c r="D367" s="125">
        <v>100</v>
      </c>
      <c r="E367" s="126">
        <f t="shared" si="9"/>
        <v>0.1</v>
      </c>
      <c r="F367" s="125">
        <v>1</v>
      </c>
      <c r="G367" s="126">
        <v>0.01</v>
      </c>
      <c r="H367" s="126">
        <v>0</v>
      </c>
      <c r="J367" s="130">
        <f ca="1"/>
        <v>1.6901461461395861</v>
      </c>
      <c r="K367" s="131">
        <f ca="1"/>
        <v>0.10000000000000109</v>
      </c>
      <c r="L367" s="1"/>
      <c r="W367" s="7"/>
      <c r="X367" s="7"/>
      <c r="Y367" s="7"/>
      <c r="Z367" s="7"/>
      <c r="AA367" s="7"/>
      <c r="AB367" s="7"/>
      <c r="AC367" s="7"/>
    </row>
    <row r="368" spans="1:29" x14ac:dyDescent="0.25">
      <c r="A368" s="112">
        <v>364</v>
      </c>
      <c r="B368" s="120" t="s">
        <v>65</v>
      </c>
      <c r="C368" s="122">
        <v>106.39999999999907</v>
      </c>
      <c r="D368" s="125">
        <v>100</v>
      </c>
      <c r="E368" s="126">
        <f t="shared" si="9"/>
        <v>0.1</v>
      </c>
      <c r="F368" s="125">
        <v>1</v>
      </c>
      <c r="G368" s="126">
        <v>0.01</v>
      </c>
      <c r="H368" s="126">
        <v>0</v>
      </c>
      <c r="J368" s="130">
        <f ca="1"/>
        <v>1.6651159849956869</v>
      </c>
      <c r="K368" s="131">
        <f ca="1"/>
        <v>0.10000000000000117</v>
      </c>
      <c r="L368" s="1"/>
      <c r="W368" s="7"/>
      <c r="X368" s="7"/>
      <c r="Y368" s="7"/>
      <c r="Z368" s="7"/>
      <c r="AA368" s="7"/>
      <c r="AB368" s="7"/>
      <c r="AC368" s="7"/>
    </row>
    <row r="369" spans="1:29" x14ac:dyDescent="0.25">
      <c r="A369" s="112">
        <v>365</v>
      </c>
      <c r="B369" s="120" t="s">
        <v>65</v>
      </c>
      <c r="C369" s="122">
        <v>106.49999999999906</v>
      </c>
      <c r="D369" s="125">
        <v>100</v>
      </c>
      <c r="E369" s="126">
        <f t="shared" si="9"/>
        <v>0.1</v>
      </c>
      <c r="F369" s="125">
        <v>1</v>
      </c>
      <c r="G369" s="126">
        <v>0.01</v>
      </c>
      <c r="H369" s="126">
        <v>0</v>
      </c>
      <c r="J369" s="130">
        <f ca="1"/>
        <v>1.6403823370549304</v>
      </c>
      <c r="K369" s="131">
        <f ca="1"/>
        <v>0.10000000000000163</v>
      </c>
      <c r="L369" s="1"/>
      <c r="W369" s="7"/>
      <c r="X369" s="7"/>
      <c r="Y369" s="7"/>
      <c r="Z369" s="7"/>
      <c r="AA369" s="7"/>
      <c r="AB369" s="7"/>
      <c r="AC369" s="7"/>
    </row>
    <row r="370" spans="1:29" x14ac:dyDescent="0.25">
      <c r="A370" s="112">
        <v>366</v>
      </c>
      <c r="B370" s="120" t="s">
        <v>65</v>
      </c>
      <c r="C370" s="122">
        <v>106.59999999999906</v>
      </c>
      <c r="D370" s="125">
        <v>100</v>
      </c>
      <c r="E370" s="126">
        <f t="shared" si="9"/>
        <v>0.1</v>
      </c>
      <c r="F370" s="125">
        <v>1</v>
      </c>
      <c r="G370" s="126">
        <v>0.01</v>
      </c>
      <c r="H370" s="126">
        <v>0</v>
      </c>
      <c r="J370" s="130">
        <f ca="1"/>
        <v>1.6159430513116604</v>
      </c>
      <c r="K370" s="131">
        <f ca="1"/>
        <v>0.10000000000000191</v>
      </c>
      <c r="L370" s="1"/>
      <c r="W370" s="7"/>
      <c r="X370" s="7"/>
      <c r="Y370" s="7"/>
      <c r="Z370" s="7"/>
      <c r="AA370" s="7"/>
      <c r="AB370" s="7"/>
      <c r="AC370" s="7"/>
    </row>
    <row r="371" spans="1:29" x14ac:dyDescent="0.25">
      <c r="A371" s="112">
        <v>367</v>
      </c>
      <c r="B371" s="120" t="s">
        <v>65</v>
      </c>
      <c r="C371" s="122">
        <v>106.69999999999905</v>
      </c>
      <c r="D371" s="125">
        <v>100</v>
      </c>
      <c r="E371" s="126">
        <f t="shared" si="9"/>
        <v>0.1</v>
      </c>
      <c r="F371" s="125">
        <v>1</v>
      </c>
      <c r="G371" s="126">
        <v>0.01</v>
      </c>
      <c r="H371" s="126">
        <v>0</v>
      </c>
      <c r="J371" s="130">
        <f ca="1"/>
        <v>1.5917959686100716</v>
      </c>
      <c r="K371" s="131">
        <f ca="1"/>
        <v>0.10000000000000246</v>
      </c>
      <c r="L371" s="1"/>
      <c r="W371" s="7"/>
      <c r="X371" s="7"/>
      <c r="Y371" s="7"/>
      <c r="Z371" s="7"/>
      <c r="AA371" s="7"/>
      <c r="AB371" s="7"/>
      <c r="AC371" s="7"/>
    </row>
    <row r="372" spans="1:29" x14ac:dyDescent="0.25">
      <c r="A372" s="112">
        <v>368</v>
      </c>
      <c r="B372" s="120" t="s">
        <v>65</v>
      </c>
      <c r="C372" s="122">
        <v>106.79999999999905</v>
      </c>
      <c r="D372" s="125">
        <v>100</v>
      </c>
      <c r="E372" s="126">
        <f t="shared" si="9"/>
        <v>0.1</v>
      </c>
      <c r="F372" s="125">
        <v>1</v>
      </c>
      <c r="G372" s="126">
        <v>0.01</v>
      </c>
      <c r="H372" s="126">
        <v>0</v>
      </c>
      <c r="J372" s="130">
        <f ca="1"/>
        <v>1.5679389221217939</v>
      </c>
      <c r="K372" s="131">
        <f ca="1"/>
        <v>0.10000000000000316</v>
      </c>
      <c r="L372" s="1"/>
      <c r="W372" s="7"/>
      <c r="X372" s="7"/>
      <c r="Y372" s="7"/>
      <c r="Z372" s="7"/>
      <c r="AA372" s="7"/>
      <c r="AB372" s="7"/>
      <c r="AC372" s="7"/>
    </row>
    <row r="373" spans="1:29" x14ac:dyDescent="0.25">
      <c r="A373" s="112">
        <v>369</v>
      </c>
      <c r="B373" s="120" t="s">
        <v>65</v>
      </c>
      <c r="C373" s="122">
        <v>106.89999999999904</v>
      </c>
      <c r="D373" s="125">
        <v>100</v>
      </c>
      <c r="E373" s="126">
        <f t="shared" si="9"/>
        <v>0.1</v>
      </c>
      <c r="F373" s="125">
        <v>1</v>
      </c>
      <c r="G373" s="126">
        <v>0.01</v>
      </c>
      <c r="H373" s="126">
        <v>0</v>
      </c>
      <c r="J373" s="130">
        <f ca="1"/>
        <v>1.5443697378202401</v>
      </c>
      <c r="K373" s="131">
        <f ca="1"/>
        <v>0.10000000000000396</v>
      </c>
      <c r="L373" s="1"/>
      <c r="W373" s="7"/>
      <c r="X373" s="7"/>
      <c r="Y373" s="7"/>
      <c r="Z373" s="7"/>
      <c r="AA373" s="7"/>
      <c r="AB373" s="7"/>
      <c r="AC373" s="7"/>
    </row>
    <row r="374" spans="1:29" x14ac:dyDescent="0.25">
      <c r="A374" s="112">
        <v>370</v>
      </c>
      <c r="B374" s="120" t="s">
        <v>65</v>
      </c>
      <c r="C374" s="122">
        <v>106.99999999999903</v>
      </c>
      <c r="D374" s="125">
        <v>100</v>
      </c>
      <c r="E374" s="126">
        <f t="shared" si="9"/>
        <v>0.1</v>
      </c>
      <c r="F374" s="125">
        <v>1</v>
      </c>
      <c r="G374" s="126">
        <v>0.01</v>
      </c>
      <c r="H374" s="126">
        <v>0</v>
      </c>
      <c r="J374" s="130">
        <f ca="1"/>
        <v>1.5210862349513086</v>
      </c>
      <c r="K374" s="131">
        <f ca="1"/>
        <v>0.10000000000000478</v>
      </c>
      <c r="L374" s="1"/>
      <c r="W374" s="7"/>
      <c r="X374" s="7"/>
      <c r="Y374" s="7"/>
      <c r="Z374" s="7"/>
      <c r="AA374" s="7"/>
      <c r="AB374" s="7"/>
      <c r="AC374" s="7"/>
    </row>
    <row r="375" spans="1:29" x14ac:dyDescent="0.25">
      <c r="A375" s="112">
        <v>371</v>
      </c>
      <c r="B375" s="120" t="s">
        <v>65</v>
      </c>
      <c r="C375" s="122">
        <v>107.09999999999903</v>
      </c>
      <c r="D375" s="125">
        <v>100</v>
      </c>
      <c r="E375" s="126">
        <f t="shared" si="9"/>
        <v>0.1</v>
      </c>
      <c r="F375" s="125">
        <v>1</v>
      </c>
      <c r="G375" s="126">
        <v>0.01</v>
      </c>
      <c r="H375" s="126">
        <v>0</v>
      </c>
      <c r="J375" s="130">
        <f ca="1"/>
        <v>1.4980862265004014</v>
      </c>
      <c r="K375" s="131">
        <f ca="1"/>
        <v>0.1000000000000061</v>
      </c>
      <c r="L375" s="1"/>
      <c r="W375" s="7"/>
      <c r="X375" s="7"/>
      <c r="Y375" s="7"/>
      <c r="Z375" s="7"/>
      <c r="AA375" s="7"/>
      <c r="AB375" s="7"/>
      <c r="AC375" s="7"/>
    </row>
    <row r="376" spans="1:29" x14ac:dyDescent="0.25">
      <c r="A376" s="112">
        <v>372</v>
      </c>
      <c r="B376" s="120" t="s">
        <v>65</v>
      </c>
      <c r="C376" s="122">
        <v>107.19999999999902</v>
      </c>
      <c r="D376" s="125">
        <v>100</v>
      </c>
      <c r="E376" s="126">
        <f t="shared" si="9"/>
        <v>0.1</v>
      </c>
      <c r="F376" s="125">
        <v>1</v>
      </c>
      <c r="G376" s="126">
        <v>0.01</v>
      </c>
      <c r="H376" s="126">
        <v>0</v>
      </c>
      <c r="J376" s="130">
        <f ca="1"/>
        <v>1.4753675196556806</v>
      </c>
      <c r="K376" s="131">
        <f ca="1"/>
        <v>0.10000000000000722</v>
      </c>
      <c r="L376" s="1"/>
      <c r="W376" s="7"/>
      <c r="X376" s="7"/>
      <c r="Y376" s="7"/>
      <c r="Z376" s="7"/>
      <c r="AA376" s="7"/>
      <c r="AB376" s="7"/>
      <c r="AC376" s="7"/>
    </row>
    <row r="377" spans="1:29" x14ac:dyDescent="0.25">
      <c r="A377" s="112">
        <v>373</v>
      </c>
      <c r="B377" s="120" t="s">
        <v>65</v>
      </c>
      <c r="C377" s="122">
        <v>107.29999999999902</v>
      </c>
      <c r="D377" s="125">
        <v>100</v>
      </c>
      <c r="E377" s="126">
        <f t="shared" si="9"/>
        <v>0.1</v>
      </c>
      <c r="F377" s="125">
        <v>1</v>
      </c>
      <c r="G377" s="126">
        <v>0.01</v>
      </c>
      <c r="H377" s="126">
        <v>0</v>
      </c>
      <c r="J377" s="130">
        <f ca="1"/>
        <v>1.45292791626742</v>
      </c>
      <c r="K377" s="131">
        <f ca="1"/>
        <v>0.10000000000000907</v>
      </c>
      <c r="L377" s="1"/>
      <c r="W377" s="7"/>
      <c r="X377" s="7"/>
      <c r="Y377" s="7"/>
      <c r="Z377" s="7"/>
      <c r="AA377" s="7"/>
      <c r="AB377" s="7"/>
      <c r="AC377" s="7"/>
    </row>
    <row r="378" spans="1:29" x14ac:dyDescent="0.25">
      <c r="A378" s="112">
        <v>374</v>
      </c>
      <c r="B378" s="120" t="s">
        <v>65</v>
      </c>
      <c r="C378" s="122">
        <v>107.39999999999901</v>
      </c>
      <c r="D378" s="125">
        <v>100</v>
      </c>
      <c r="E378" s="126">
        <f t="shared" si="9"/>
        <v>0.1</v>
      </c>
      <c r="F378" s="125">
        <v>1</v>
      </c>
      <c r="G378" s="126">
        <v>0.01</v>
      </c>
      <c r="H378" s="126">
        <v>0</v>
      </c>
      <c r="J378" s="130">
        <f ca="1"/>
        <v>1.4307652133032782</v>
      </c>
      <c r="K378" s="131">
        <f ca="1"/>
        <v>0.10000000000001168</v>
      </c>
      <c r="L378" s="1"/>
      <c r="W378" s="7"/>
      <c r="X378" s="7"/>
      <c r="Y378" s="7"/>
      <c r="Z378" s="7"/>
      <c r="AA378" s="7"/>
      <c r="AB378" s="7"/>
      <c r="AC378" s="7"/>
    </row>
    <row r="379" spans="1:29" x14ac:dyDescent="0.25">
      <c r="A379" s="112">
        <v>375</v>
      </c>
      <c r="B379" s="120" t="s">
        <v>65</v>
      </c>
      <c r="C379" s="122">
        <v>107.49999999999901</v>
      </c>
      <c r="D379" s="125">
        <v>100</v>
      </c>
      <c r="E379" s="126">
        <f t="shared" si="9"/>
        <v>0.1</v>
      </c>
      <c r="F379" s="125">
        <v>1</v>
      </c>
      <c r="G379" s="126">
        <v>0.01</v>
      </c>
      <c r="H379" s="126">
        <v>0</v>
      </c>
      <c r="J379" s="130">
        <f ca="1"/>
        <v>1.4088772032994505</v>
      </c>
      <c r="K379" s="131">
        <f ca="1"/>
        <v>0.1000000000000144</v>
      </c>
      <c r="L379" s="1"/>
      <c r="W379" s="7"/>
      <c r="X379" s="7"/>
      <c r="Y379" s="7"/>
      <c r="Z379" s="7"/>
      <c r="AA379" s="7"/>
      <c r="AB379" s="7"/>
      <c r="AC379" s="7"/>
    </row>
    <row r="380" spans="1:29" x14ac:dyDescent="0.25">
      <c r="A380" s="112">
        <v>376</v>
      </c>
      <c r="B380" s="120" t="s">
        <v>65</v>
      </c>
      <c r="C380" s="122">
        <v>107.599999999999</v>
      </c>
      <c r="D380" s="125">
        <v>100</v>
      </c>
      <c r="E380" s="126">
        <f t="shared" si="9"/>
        <v>0.1</v>
      </c>
      <c r="F380" s="125">
        <v>1</v>
      </c>
      <c r="G380" s="126">
        <v>0.01</v>
      </c>
      <c r="H380" s="126">
        <v>0</v>
      </c>
      <c r="J380" s="130">
        <f ca="1"/>
        <v>1.3872616748075899</v>
      </c>
      <c r="K380" s="131">
        <f ca="1"/>
        <v>0.10000000000001782</v>
      </c>
      <c r="L380" s="1"/>
      <c r="W380" s="7"/>
      <c r="X380" s="7"/>
      <c r="Y380" s="7"/>
      <c r="Z380" s="7"/>
      <c r="AA380" s="7"/>
      <c r="AB380" s="7"/>
      <c r="AC380" s="7"/>
    </row>
    <row r="381" spans="1:29" x14ac:dyDescent="0.25">
      <c r="A381" s="112">
        <v>377</v>
      </c>
      <c r="B381" s="120" t="s">
        <v>65</v>
      </c>
      <c r="C381" s="122">
        <v>107.69999999999899</v>
      </c>
      <c r="D381" s="125">
        <v>100</v>
      </c>
      <c r="E381" s="126">
        <f t="shared" si="9"/>
        <v>0.1</v>
      </c>
      <c r="F381" s="125">
        <v>1</v>
      </c>
      <c r="G381" s="126">
        <v>0.01</v>
      </c>
      <c r="H381" s="126">
        <v>0</v>
      </c>
      <c r="J381" s="130">
        <f ca="1"/>
        <v>1.3659164128372865</v>
      </c>
      <c r="K381" s="131">
        <f ca="1"/>
        <v>0.10000000000002215</v>
      </c>
      <c r="L381" s="1"/>
      <c r="W381" s="7"/>
      <c r="X381" s="7"/>
      <c r="Y381" s="7"/>
      <c r="Z381" s="7"/>
      <c r="AA381" s="7"/>
      <c r="AB381" s="7"/>
      <c r="AC381" s="7"/>
    </row>
    <row r="382" spans="1:29" x14ac:dyDescent="0.25">
      <c r="A382" s="112">
        <v>378</v>
      </c>
      <c r="B382" s="120" t="s">
        <v>65</v>
      </c>
      <c r="C382" s="122">
        <v>107.79999999999899</v>
      </c>
      <c r="D382" s="125">
        <v>100</v>
      </c>
      <c r="E382" s="126">
        <f t="shared" si="9"/>
        <v>0.1</v>
      </c>
      <c r="F382" s="125">
        <v>1</v>
      </c>
      <c r="G382" s="126">
        <v>0.01</v>
      </c>
      <c r="H382" s="126">
        <v>0</v>
      </c>
      <c r="J382" s="130">
        <f ca="1"/>
        <v>1.3448391992942135</v>
      </c>
      <c r="K382" s="131">
        <f ca="1"/>
        <v>0.10000000000002654</v>
      </c>
      <c r="L382" s="1"/>
      <c r="W382" s="7"/>
      <c r="X382" s="7"/>
      <c r="Y382" s="7"/>
      <c r="Z382" s="7"/>
      <c r="AA382" s="7"/>
      <c r="AB382" s="7"/>
      <c r="AC382" s="7"/>
    </row>
    <row r="383" spans="1:29" x14ac:dyDescent="0.25">
      <c r="A383" s="112">
        <v>379</v>
      </c>
      <c r="B383" s="120" t="s">
        <v>65</v>
      </c>
      <c r="C383" s="122">
        <v>107.89999999999898</v>
      </c>
      <c r="D383" s="125">
        <v>100</v>
      </c>
      <c r="E383" s="126">
        <f t="shared" si="9"/>
        <v>0.1</v>
      </c>
      <c r="F383" s="125">
        <v>1</v>
      </c>
      <c r="G383" s="126">
        <v>0.01</v>
      </c>
      <c r="H383" s="126">
        <v>0</v>
      </c>
      <c r="J383" s="130">
        <f ca="1"/>
        <v>1.3240278134136396</v>
      </c>
      <c r="K383" s="131">
        <f ca="1"/>
        <v>0.10000000000003367</v>
      </c>
      <c r="L383" s="1"/>
      <c r="W383" s="7"/>
      <c r="X383" s="7"/>
      <c r="Y383" s="7"/>
      <c r="Z383" s="7"/>
      <c r="AA383" s="7"/>
      <c r="AB383" s="7"/>
      <c r="AC383" s="7"/>
    </row>
    <row r="384" spans="1:29" x14ac:dyDescent="0.25">
      <c r="A384" s="112">
        <v>380</v>
      </c>
      <c r="B384" s="120" t="s">
        <v>65</v>
      </c>
      <c r="C384" s="122">
        <v>107.99999999999898</v>
      </c>
      <c r="D384" s="125">
        <v>100</v>
      </c>
      <c r="E384" s="126">
        <f t="shared" si="9"/>
        <v>0.1</v>
      </c>
      <c r="F384" s="125">
        <v>1</v>
      </c>
      <c r="G384" s="126">
        <v>0.01</v>
      </c>
      <c r="H384" s="126">
        <v>0</v>
      </c>
      <c r="J384" s="130">
        <f ca="1"/>
        <v>1.3034800321891922</v>
      </c>
      <c r="K384" s="131">
        <f ca="1"/>
        <v>0.10000000000004103</v>
      </c>
      <c r="L384" s="1"/>
      <c r="W384" s="7"/>
      <c r="X384" s="7"/>
      <c r="Y384" s="7"/>
      <c r="Z384" s="7"/>
      <c r="AA384" s="7"/>
      <c r="AB384" s="7"/>
      <c r="AC384" s="7"/>
    </row>
    <row r="385" spans="1:29" x14ac:dyDescent="0.25">
      <c r="A385" s="112">
        <v>381</v>
      </c>
      <c r="B385" s="120" t="s">
        <v>65</v>
      </c>
      <c r="C385" s="122">
        <v>108.09999999999897</v>
      </c>
      <c r="D385" s="125">
        <v>100</v>
      </c>
      <c r="E385" s="126">
        <f t="shared" si="9"/>
        <v>0.1</v>
      </c>
      <c r="F385" s="125">
        <v>1</v>
      </c>
      <c r="G385" s="126">
        <v>0.01</v>
      </c>
      <c r="H385" s="126">
        <v>0</v>
      </c>
      <c r="J385" s="130">
        <f ca="1"/>
        <v>1.2831936307971361</v>
      </c>
      <c r="K385" s="131">
        <f ca="1"/>
        <v>0.10000000000005038</v>
      </c>
      <c r="L385" s="1"/>
      <c r="W385" s="7"/>
      <c r="X385" s="7"/>
      <c r="Y385" s="7"/>
      <c r="Z385" s="7"/>
      <c r="AA385" s="7"/>
      <c r="AB385" s="7"/>
      <c r="AC385" s="7"/>
    </row>
    <row r="386" spans="1:29" x14ac:dyDescent="0.25">
      <c r="A386" s="112">
        <v>382</v>
      </c>
      <c r="B386" s="120" t="s">
        <v>65</v>
      </c>
      <c r="C386" s="122">
        <v>108.19999999999897</v>
      </c>
      <c r="D386" s="125">
        <v>100</v>
      </c>
      <c r="E386" s="126">
        <f t="shared" si="9"/>
        <v>0.1</v>
      </c>
      <c r="F386" s="125">
        <v>1</v>
      </c>
      <c r="G386" s="126">
        <v>0.01</v>
      </c>
      <c r="H386" s="126">
        <v>0</v>
      </c>
      <c r="J386" s="130">
        <f ca="1"/>
        <v>1.2631663830155411</v>
      </c>
      <c r="K386" s="131">
        <f ca="1"/>
        <v>0.1000000000000618</v>
      </c>
      <c r="L386" s="1"/>
      <c r="W386" s="7"/>
      <c r="X386" s="7"/>
      <c r="Y386" s="7"/>
      <c r="Z386" s="7"/>
      <c r="AA386" s="7"/>
      <c r="AB386" s="7"/>
      <c r="AC386" s="7"/>
    </row>
    <row r="387" spans="1:29" x14ac:dyDescent="0.25">
      <c r="A387" s="112">
        <v>383</v>
      </c>
      <c r="B387" s="120" t="s">
        <v>65</v>
      </c>
      <c r="C387" s="122">
        <v>108.29999999999896</v>
      </c>
      <c r="D387" s="125">
        <v>100</v>
      </c>
      <c r="E387" s="126">
        <f t="shared" si="9"/>
        <v>0.1</v>
      </c>
      <c r="F387" s="125">
        <v>1</v>
      </c>
      <c r="G387" s="126">
        <v>0.01</v>
      </c>
      <c r="H387" s="126">
        <v>0</v>
      </c>
      <c r="J387" s="130">
        <f ca="1"/>
        <v>1.2433960616386805</v>
      </c>
      <c r="K387" s="131">
        <f ca="1"/>
        <v>0.10000000000007471</v>
      </c>
      <c r="L387" s="1"/>
      <c r="W387" s="7"/>
      <c r="X387" s="7"/>
      <c r="Y387" s="7"/>
      <c r="Z387" s="7"/>
      <c r="AA387" s="7"/>
      <c r="AB387" s="7"/>
      <c r="AC387" s="7"/>
    </row>
    <row r="388" spans="1:29" x14ac:dyDescent="0.25">
      <c r="A388" s="112">
        <v>384</v>
      </c>
      <c r="B388" s="120" t="s">
        <v>65</v>
      </c>
      <c r="C388" s="122">
        <v>108.39999999999895</v>
      </c>
      <c r="D388" s="125">
        <v>100</v>
      </c>
      <c r="E388" s="126">
        <f t="shared" si="9"/>
        <v>0.1</v>
      </c>
      <c r="F388" s="125">
        <v>1</v>
      </c>
      <c r="G388" s="126">
        <v>0.01</v>
      </c>
      <c r="H388" s="126">
        <v>0</v>
      </c>
      <c r="J388" s="130">
        <f ca="1"/>
        <v>1.2238804388864928</v>
      </c>
      <c r="K388" s="131">
        <f ca="1"/>
        <v>0.10000000000009138</v>
      </c>
      <c r="L388" s="1"/>
      <c r="W388" s="7"/>
      <c r="X388" s="7"/>
      <c r="Y388" s="7"/>
      <c r="Z388" s="7"/>
      <c r="AA388" s="7"/>
      <c r="AB388" s="7"/>
      <c r="AC388" s="7"/>
    </row>
    <row r="389" spans="1:29" x14ac:dyDescent="0.25">
      <c r="A389" s="112">
        <v>385</v>
      </c>
      <c r="B389" s="120" t="s">
        <v>65</v>
      </c>
      <c r="C389" s="122">
        <v>108.49999999999895</v>
      </c>
      <c r="D389" s="125">
        <v>100</v>
      </c>
      <c r="E389" s="126">
        <f t="shared" ref="E389:E404" si="10">$E$2</f>
        <v>0.1</v>
      </c>
      <c r="F389" s="125">
        <v>1</v>
      </c>
      <c r="G389" s="126">
        <v>0.01</v>
      </c>
      <c r="H389" s="126">
        <v>0</v>
      </c>
      <c r="J389" s="130">
        <f ca="1"/>
        <v>1.2046172868087233</v>
      </c>
      <c r="K389" s="131">
        <f ca="1"/>
        <v>0.10000000000011078</v>
      </c>
      <c r="L389" s="1"/>
      <c r="W389" s="7"/>
      <c r="X389" s="7"/>
      <c r="Y389" s="7"/>
      <c r="Z389" s="7"/>
      <c r="AA389" s="7"/>
      <c r="AB389" s="7"/>
      <c r="AC389" s="7"/>
    </row>
    <row r="390" spans="1:29" x14ac:dyDescent="0.25">
      <c r="A390" s="112">
        <v>386</v>
      </c>
      <c r="B390" s="120" t="s">
        <v>65</v>
      </c>
      <c r="C390" s="122">
        <v>108.59999999999894</v>
      </c>
      <c r="D390" s="125">
        <v>100</v>
      </c>
      <c r="E390" s="126">
        <f t="shared" si="10"/>
        <v>0.1</v>
      </c>
      <c r="F390" s="125">
        <v>1</v>
      </c>
      <c r="G390" s="126">
        <v>0.01</v>
      </c>
      <c r="H390" s="126">
        <v>0</v>
      </c>
      <c r="J390" s="130">
        <f ca="1"/>
        <v>1.1856043776842498</v>
      </c>
      <c r="K390" s="131">
        <f ca="1"/>
        <v>0.10000000000013429</v>
      </c>
      <c r="L390" s="1"/>
      <c r="W390" s="7"/>
      <c r="X390" s="7"/>
      <c r="Y390" s="7"/>
      <c r="Z390" s="7"/>
      <c r="AA390" s="7"/>
      <c r="AB390" s="7"/>
      <c r="AC390" s="7"/>
    </row>
    <row r="391" spans="1:29" x14ac:dyDescent="0.25">
      <c r="A391" s="112">
        <v>387</v>
      </c>
      <c r="B391" s="120" t="s">
        <v>65</v>
      </c>
      <c r="C391" s="122">
        <v>108.69999999999894</v>
      </c>
      <c r="D391" s="125">
        <v>100</v>
      </c>
      <c r="E391" s="126">
        <f t="shared" si="10"/>
        <v>0.1</v>
      </c>
      <c r="F391" s="125">
        <v>1</v>
      </c>
      <c r="G391" s="126">
        <v>0.01</v>
      </c>
      <c r="H391" s="126">
        <v>0</v>
      </c>
      <c r="J391" s="130">
        <f ca="1"/>
        <v>1.1668394844149113</v>
      </c>
      <c r="K391" s="131">
        <f ca="1"/>
        <v>0.1000000000001625</v>
      </c>
      <c r="L391" s="1"/>
      <c r="W391" s="7"/>
      <c r="X391" s="7"/>
      <c r="Y391" s="7"/>
      <c r="Z391" s="7"/>
      <c r="AA391" s="7"/>
      <c r="AB391" s="7"/>
      <c r="AC391" s="7"/>
    </row>
    <row r="392" spans="1:29" x14ac:dyDescent="0.25">
      <c r="A392" s="112">
        <v>388</v>
      </c>
      <c r="B392" s="120" t="s">
        <v>65</v>
      </c>
      <c r="C392" s="122">
        <v>108.79999999999893</v>
      </c>
      <c r="D392" s="125">
        <v>100</v>
      </c>
      <c r="E392" s="126">
        <f t="shared" si="10"/>
        <v>0.1</v>
      </c>
      <c r="F392" s="125">
        <v>1</v>
      </c>
      <c r="G392" s="126">
        <v>0.01</v>
      </c>
      <c r="H392" s="126">
        <v>0</v>
      </c>
      <c r="J392" s="130">
        <f ca="1"/>
        <v>1.148320380914214</v>
      </c>
      <c r="K392" s="131">
        <f ca="1"/>
        <v>0.10000000000019582</v>
      </c>
      <c r="L392" s="1"/>
      <c r="W392" s="7"/>
      <c r="X392" s="7"/>
      <c r="Y392" s="7"/>
      <c r="Z392" s="7"/>
      <c r="AA392" s="7"/>
      <c r="AB392" s="7"/>
      <c r="AC392" s="7"/>
    </row>
    <row r="393" spans="1:29" x14ac:dyDescent="0.25">
      <c r="A393" s="112">
        <v>389</v>
      </c>
      <c r="B393" s="120" t="s">
        <v>65</v>
      </c>
      <c r="C393" s="122">
        <v>108.89999999999893</v>
      </c>
      <c r="D393" s="125">
        <v>100</v>
      </c>
      <c r="E393" s="126">
        <f t="shared" si="10"/>
        <v>0.1</v>
      </c>
      <c r="F393" s="125">
        <v>1</v>
      </c>
      <c r="G393" s="126">
        <v>0.01</v>
      </c>
      <c r="H393" s="126">
        <v>0</v>
      </c>
      <c r="J393" s="130">
        <f ca="1"/>
        <v>1.1300448424906371</v>
      </c>
      <c r="K393" s="131">
        <f ca="1"/>
        <v>0.10000000000023554</v>
      </c>
      <c r="L393" s="1"/>
      <c r="W393" s="7"/>
      <c r="X393" s="7"/>
      <c r="Y393" s="7"/>
      <c r="Z393" s="7"/>
      <c r="AA393" s="7"/>
      <c r="AB393" s="7"/>
      <c r="AC393" s="7"/>
    </row>
    <row r="394" spans="1:29" x14ac:dyDescent="0.25">
      <c r="A394" s="112">
        <v>390</v>
      </c>
      <c r="B394" s="120" t="s">
        <v>65</v>
      </c>
      <c r="C394" s="122">
        <v>108.99999999999892</v>
      </c>
      <c r="D394" s="125">
        <v>100</v>
      </c>
      <c r="E394" s="126">
        <f t="shared" si="10"/>
        <v>0.1</v>
      </c>
      <c r="F394" s="125">
        <v>1</v>
      </c>
      <c r="G394" s="126">
        <v>0.01</v>
      </c>
      <c r="H394" s="126">
        <v>0</v>
      </c>
      <c r="J394" s="130">
        <f ca="1"/>
        <v>1.1120106462255386</v>
      </c>
      <c r="K394" s="131">
        <f ca="1"/>
        <v>0.10000000000028297</v>
      </c>
      <c r="L394" s="1"/>
      <c r="W394" s="7"/>
      <c r="X394" s="7"/>
      <c r="Y394" s="7"/>
      <c r="Z394" s="7"/>
      <c r="AA394" s="7"/>
      <c r="AB394" s="7"/>
      <c r="AC394" s="7"/>
    </row>
    <row r="395" spans="1:29" x14ac:dyDescent="0.25">
      <c r="A395" s="112">
        <v>391</v>
      </c>
      <c r="B395" s="120" t="s">
        <v>65</v>
      </c>
      <c r="C395" s="122">
        <v>109.09999999999891</v>
      </c>
      <c r="D395" s="125">
        <v>100</v>
      </c>
      <c r="E395" s="126">
        <f t="shared" si="10"/>
        <v>0.1</v>
      </c>
      <c r="F395" s="125">
        <v>1</v>
      </c>
      <c r="G395" s="126">
        <v>0.01</v>
      </c>
      <c r="H395" s="126">
        <v>0</v>
      </c>
      <c r="J395" s="130">
        <f ca="1"/>
        <v>1.094215571345611</v>
      </c>
      <c r="K395" s="131">
        <f ca="1"/>
        <v>0.10000000000033911</v>
      </c>
      <c r="L395" s="1"/>
      <c r="W395" s="7"/>
      <c r="X395" s="7"/>
      <c r="Y395" s="7"/>
      <c r="Z395" s="7"/>
      <c r="AA395" s="7"/>
      <c r="AB395" s="7"/>
      <c r="AC395" s="7"/>
    </row>
    <row r="396" spans="1:29" x14ac:dyDescent="0.25">
      <c r="A396" s="112">
        <v>392</v>
      </c>
      <c r="B396" s="120" t="s">
        <v>65</v>
      </c>
      <c r="C396" s="122">
        <v>109.19999999999891</v>
      </c>
      <c r="D396" s="125">
        <v>100</v>
      </c>
      <c r="E396" s="126">
        <f t="shared" si="10"/>
        <v>0.1</v>
      </c>
      <c r="F396" s="125">
        <v>1</v>
      </c>
      <c r="G396" s="126">
        <v>0.01</v>
      </c>
      <c r="H396" s="126">
        <v>0</v>
      </c>
      <c r="J396" s="130">
        <f ca="1"/>
        <v>1.0766573995897843</v>
      </c>
      <c r="K396" s="131">
        <f ca="1"/>
        <v>0.10000000000040564</v>
      </c>
      <c r="L396" s="1"/>
      <c r="W396" s="7"/>
      <c r="X396" s="7"/>
      <c r="Y396" s="7"/>
      <c r="Z396" s="7"/>
      <c r="AA396" s="7"/>
      <c r="AB396" s="7"/>
      <c r="AC396" s="7"/>
    </row>
    <row r="397" spans="1:29" x14ac:dyDescent="0.25">
      <c r="A397" s="112">
        <v>393</v>
      </c>
      <c r="B397" s="120" t="s">
        <v>65</v>
      </c>
      <c r="C397" s="122">
        <v>109.2999999999989</v>
      </c>
      <c r="D397" s="125">
        <v>100</v>
      </c>
      <c r="E397" s="126">
        <f t="shared" si="10"/>
        <v>0.1</v>
      </c>
      <c r="F397" s="125">
        <v>1</v>
      </c>
      <c r="G397" s="126">
        <v>0.01</v>
      </c>
      <c r="H397" s="126">
        <v>0</v>
      </c>
      <c r="J397" s="130">
        <f ca="1"/>
        <v>1.0593339155706332</v>
      </c>
      <c r="K397" s="131">
        <f ca="1"/>
        <v>0.10000000000048447</v>
      </c>
      <c r="L397" s="1"/>
      <c r="W397" s="7"/>
      <c r="X397" s="7"/>
      <c r="Y397" s="7"/>
      <c r="Z397" s="7"/>
      <c r="AA397" s="7"/>
      <c r="AB397" s="7"/>
      <c r="AC397" s="7"/>
    </row>
    <row r="398" spans="1:29" x14ac:dyDescent="0.25">
      <c r="A398" s="112">
        <v>394</v>
      </c>
      <c r="B398" s="120" t="s">
        <v>65</v>
      </c>
      <c r="C398" s="122">
        <v>109.3999999999989</v>
      </c>
      <c r="D398" s="125">
        <v>100</v>
      </c>
      <c r="E398" s="126">
        <f t="shared" si="10"/>
        <v>0.1</v>
      </c>
      <c r="F398" s="125">
        <v>1</v>
      </c>
      <c r="G398" s="126">
        <v>0.01</v>
      </c>
      <c r="H398" s="126">
        <v>0</v>
      </c>
      <c r="J398" s="130">
        <f ca="1"/>
        <v>1.0422429071300812</v>
      </c>
      <c r="K398" s="131">
        <f ca="1"/>
        <v>0.10000000000057793</v>
      </c>
      <c r="L398" s="1"/>
      <c r="W398" s="7"/>
      <c r="X398" s="7"/>
      <c r="Y398" s="7"/>
      <c r="Z398" s="7"/>
      <c r="AA398" s="7"/>
      <c r="AB398" s="7"/>
      <c r="AC398" s="7"/>
    </row>
    <row r="399" spans="1:29" x14ac:dyDescent="0.25">
      <c r="A399" s="112">
        <v>395</v>
      </c>
      <c r="B399" s="120" t="s">
        <v>65</v>
      </c>
      <c r="C399" s="122">
        <v>109.49999999999889</v>
      </c>
      <c r="D399" s="125">
        <v>100</v>
      </c>
      <c r="E399" s="126">
        <f t="shared" si="10"/>
        <v>0.1</v>
      </c>
      <c r="F399" s="125">
        <v>1</v>
      </c>
      <c r="G399" s="126">
        <v>0.01</v>
      </c>
      <c r="H399" s="126">
        <v>0</v>
      </c>
      <c r="J399" s="130">
        <f ca="1"/>
        <v>1.0253821656895781</v>
      </c>
      <c r="K399" s="131">
        <f ca="1"/>
        <v>0.10000000000068833</v>
      </c>
      <c r="L399" s="1"/>
      <c r="W399" s="7"/>
      <c r="X399" s="7"/>
      <c r="Y399" s="7"/>
      <c r="Z399" s="7"/>
      <c r="AA399" s="7"/>
      <c r="AB399" s="7"/>
      <c r="AC399" s="7"/>
    </row>
    <row r="400" spans="1:29" x14ac:dyDescent="0.25">
      <c r="A400" s="112">
        <v>396</v>
      </c>
      <c r="B400" s="120" t="s">
        <v>65</v>
      </c>
      <c r="C400" s="122">
        <v>109.59999999999889</v>
      </c>
      <c r="D400" s="125">
        <v>100</v>
      </c>
      <c r="E400" s="126">
        <f t="shared" si="10"/>
        <v>0.1</v>
      </c>
      <c r="F400" s="125">
        <v>1</v>
      </c>
      <c r="G400" s="126">
        <v>0.01</v>
      </c>
      <c r="H400" s="126">
        <v>0</v>
      </c>
      <c r="J400" s="130">
        <f ca="1"/>
        <v>1.0087494865944109</v>
      </c>
      <c r="K400" s="131">
        <f ca="1"/>
        <v>0.10000000000081757</v>
      </c>
      <c r="L400" s="1"/>
      <c r="W400" s="7"/>
      <c r="X400" s="7"/>
      <c r="Y400" s="7"/>
      <c r="Z400" s="7"/>
      <c r="AA400" s="7"/>
      <c r="AB400" s="7"/>
      <c r="AC400" s="7"/>
    </row>
    <row r="401" spans="1:29" x14ac:dyDescent="0.25">
      <c r="A401" s="112">
        <v>397</v>
      </c>
      <c r="B401" s="120" t="s">
        <v>65</v>
      </c>
      <c r="C401" s="122">
        <v>109.69999999999888</v>
      </c>
      <c r="D401" s="125">
        <v>100</v>
      </c>
      <c r="E401" s="126">
        <f t="shared" si="10"/>
        <v>0.1</v>
      </c>
      <c r="F401" s="125">
        <v>1</v>
      </c>
      <c r="G401" s="126">
        <v>0.01</v>
      </c>
      <c r="H401" s="126">
        <v>0</v>
      </c>
      <c r="J401" s="130">
        <f ca="1"/>
        <v>0.9923426694524764</v>
      </c>
      <c r="K401" s="131">
        <f ca="1"/>
        <v>0.10000000000096994</v>
      </c>
      <c r="L401" s="1"/>
      <c r="W401" s="7"/>
      <c r="X401" s="7"/>
      <c r="Y401" s="7"/>
      <c r="Z401" s="7"/>
      <c r="AA401" s="7"/>
      <c r="AB401" s="7"/>
      <c r="AC401" s="7"/>
    </row>
    <row r="402" spans="1:29" x14ac:dyDescent="0.25">
      <c r="A402" s="112">
        <v>398</v>
      </c>
      <c r="B402" s="120" t="s">
        <v>65</v>
      </c>
      <c r="C402" s="122">
        <v>109.79999999999887</v>
      </c>
      <c r="D402" s="125">
        <v>100</v>
      </c>
      <c r="E402" s="126">
        <f t="shared" si="10"/>
        <v>0.1</v>
      </c>
      <c r="F402" s="125">
        <v>1</v>
      </c>
      <c r="G402" s="126">
        <v>0.01</v>
      </c>
      <c r="H402" s="126">
        <v>0</v>
      </c>
      <c r="J402" s="130">
        <f ca="1"/>
        <v>0.97615951846711724</v>
      </c>
      <c r="K402" s="131">
        <f ca="1"/>
        <v>0.10000000000114954</v>
      </c>
      <c r="L402" s="1"/>
      <c r="W402" s="7"/>
      <c r="X402" s="7"/>
      <c r="Y402" s="7"/>
      <c r="Z402" s="7"/>
      <c r="AA402" s="7"/>
      <c r="AB402" s="7"/>
      <c r="AC402" s="7"/>
    </row>
    <row r="403" spans="1:29" x14ac:dyDescent="0.25">
      <c r="A403" s="112">
        <v>399</v>
      </c>
      <c r="B403" s="120" t="s">
        <v>65</v>
      </c>
      <c r="C403" s="122">
        <v>109.89999999999887</v>
      </c>
      <c r="D403" s="125">
        <v>100</v>
      </c>
      <c r="E403" s="126">
        <f t="shared" si="10"/>
        <v>0.1</v>
      </c>
      <c r="F403" s="125">
        <v>1</v>
      </c>
      <c r="G403" s="126">
        <v>0.01</v>
      </c>
      <c r="H403" s="126">
        <v>0</v>
      </c>
      <c r="J403" s="130">
        <f ca="1"/>
        <v>0.96019784276429121</v>
      </c>
      <c r="K403" s="131">
        <f ca="1"/>
        <v>0.10000000000135967</v>
      </c>
      <c r="L403" s="1"/>
      <c r="W403" s="7"/>
      <c r="X403" s="7"/>
      <c r="Y403" s="7"/>
      <c r="Z403" s="7"/>
      <c r="AA403" s="7"/>
      <c r="AB403" s="7"/>
      <c r="AC403" s="7"/>
    </row>
    <row r="404" spans="1:29" x14ac:dyDescent="0.25">
      <c r="A404" s="112">
        <v>400</v>
      </c>
      <c r="B404" s="120" t="s">
        <v>65</v>
      </c>
      <c r="C404" s="122">
        <v>109.99999999999886</v>
      </c>
      <c r="D404" s="125">
        <v>100</v>
      </c>
      <c r="E404" s="126">
        <f t="shared" si="10"/>
        <v>0.1</v>
      </c>
      <c r="F404" s="125">
        <v>1</v>
      </c>
      <c r="G404" s="126">
        <v>0.01</v>
      </c>
      <c r="H404" s="126">
        <v>0</v>
      </c>
      <c r="J404" s="130">
        <f ca="1"/>
        <v>0.94445545671385034</v>
      </c>
      <c r="K404" s="131">
        <f ca="1"/>
        <v>0.10000000000160617</v>
      </c>
      <c r="L404" s="1"/>
      <c r="W404" s="7"/>
      <c r="X404" s="7"/>
      <c r="Y404" s="7"/>
      <c r="Z404" s="7"/>
      <c r="AA404" s="7"/>
      <c r="AB404" s="7"/>
      <c r="AC404" s="7"/>
    </row>
    <row r="405" spans="1:29" x14ac:dyDescent="0.25">
      <c r="A405" s="112" t="s">
        <v>64</v>
      </c>
      <c r="B405" s="112" t="s">
        <v>64</v>
      </c>
      <c r="C405" s="112" t="s">
        <v>64</v>
      </c>
      <c r="D405" s="112" t="s">
        <v>64</v>
      </c>
      <c r="E405" s="112" t="s">
        <v>64</v>
      </c>
      <c r="F405" s="112" t="s">
        <v>64</v>
      </c>
      <c r="G405" s="112" t="s">
        <v>64</v>
      </c>
      <c r="H405" s="112" t="s">
        <v>64</v>
      </c>
      <c r="I405" s="112" t="s">
        <v>64</v>
      </c>
      <c r="J405" s="112" t="s">
        <v>64</v>
      </c>
      <c r="K405" s="112" t="s">
        <v>64</v>
      </c>
      <c r="L405" s="1"/>
      <c r="W405" s="7"/>
      <c r="X405" s="7"/>
      <c r="Y405" s="7"/>
      <c r="Z405" s="7"/>
      <c r="AA405" s="7"/>
      <c r="AB405" s="7"/>
      <c r="AC405" s="7"/>
    </row>
    <row r="406" spans="1:29" x14ac:dyDescent="0.25">
      <c r="A406" s="112"/>
      <c r="B406" s="113"/>
      <c r="C406" s="114"/>
      <c r="D406" s="114"/>
      <c r="E406" s="115"/>
      <c r="F406" s="114"/>
      <c r="G406" s="115"/>
      <c r="H406" s="115"/>
      <c r="W406" s="7"/>
      <c r="X406" s="7"/>
      <c r="Y406" s="7"/>
      <c r="Z406" s="7"/>
      <c r="AA406" s="7"/>
      <c r="AB406" s="7"/>
      <c r="AC406" s="7"/>
    </row>
    <row r="407" spans="1:29" x14ac:dyDescent="0.25">
      <c r="A407" s="112"/>
      <c r="B407" s="113"/>
      <c r="C407" s="114"/>
      <c r="D407" s="114"/>
      <c r="E407" s="115"/>
      <c r="F407" s="114"/>
      <c r="G407" s="115"/>
      <c r="H407" s="115"/>
      <c r="W407" s="7"/>
      <c r="X407" s="7"/>
      <c r="Y407" s="7"/>
      <c r="Z407" s="7"/>
      <c r="AA407" s="7"/>
      <c r="AB407" s="7"/>
      <c r="AC407" s="7"/>
    </row>
    <row r="408" spans="1:29" x14ac:dyDescent="0.25">
      <c r="A408" s="112"/>
      <c r="B408" s="113"/>
      <c r="C408" s="114"/>
      <c r="D408" s="114"/>
      <c r="E408" s="115"/>
      <c r="F408" s="114"/>
      <c r="G408" s="115"/>
      <c r="H408" s="115"/>
      <c r="W408" s="7"/>
      <c r="X408" s="7"/>
      <c r="Y408" s="7"/>
      <c r="Z408" s="7"/>
      <c r="AA408" s="7"/>
      <c r="AB408" s="7"/>
      <c r="AC408" s="7"/>
    </row>
    <row r="409" spans="1:29" x14ac:dyDescent="0.25">
      <c r="A409" s="112"/>
      <c r="B409" s="113"/>
      <c r="C409" s="114"/>
      <c r="D409" s="114"/>
      <c r="E409" s="115"/>
      <c r="F409" s="114"/>
      <c r="G409" s="115"/>
      <c r="H409" s="115"/>
      <c r="W409" s="7"/>
      <c r="X409" s="7"/>
      <c r="Y409" s="7"/>
      <c r="Z409" s="7"/>
      <c r="AA409" s="7"/>
      <c r="AB409" s="7"/>
      <c r="AC409" s="7"/>
    </row>
    <row r="410" spans="1:29" x14ac:dyDescent="0.25">
      <c r="A410" s="112"/>
      <c r="B410" s="113"/>
      <c r="C410" s="114"/>
      <c r="D410" s="114"/>
      <c r="E410" s="115"/>
      <c r="F410" s="114"/>
      <c r="G410" s="115"/>
      <c r="H410" s="115"/>
      <c r="W410" s="7"/>
      <c r="X410" s="7"/>
      <c r="Y410" s="7"/>
      <c r="Z410" s="7"/>
      <c r="AA410" s="7"/>
      <c r="AB410" s="7"/>
      <c r="AC410" s="7"/>
    </row>
    <row r="411" spans="1:29" x14ac:dyDescent="0.25">
      <c r="A411" s="112"/>
      <c r="B411" s="113"/>
      <c r="C411" s="114"/>
      <c r="D411" s="114"/>
      <c r="E411" s="115"/>
      <c r="F411" s="114"/>
      <c r="G411" s="115"/>
      <c r="H411" s="115"/>
      <c r="W411" s="7"/>
      <c r="X411" s="7"/>
      <c r="Y411" s="7"/>
      <c r="Z411" s="7"/>
      <c r="AA411" s="7"/>
      <c r="AB411" s="7"/>
      <c r="AC411" s="7"/>
    </row>
    <row r="412" spans="1:29" x14ac:dyDescent="0.25">
      <c r="A412" s="112"/>
      <c r="B412" s="113"/>
      <c r="C412" s="114"/>
      <c r="D412" s="114"/>
      <c r="E412" s="115"/>
      <c r="F412" s="114"/>
      <c r="G412" s="115"/>
      <c r="H412" s="115"/>
      <c r="W412" s="7"/>
      <c r="X412" s="7"/>
      <c r="Y412" s="7"/>
      <c r="Z412" s="7"/>
      <c r="AA412" s="7"/>
      <c r="AB412" s="7"/>
      <c r="AC412" s="7"/>
    </row>
    <row r="413" spans="1:29" x14ac:dyDescent="0.25">
      <c r="A413" s="112"/>
      <c r="B413" s="113"/>
      <c r="C413" s="114"/>
      <c r="D413" s="114"/>
      <c r="E413" s="115"/>
      <c r="F413" s="114"/>
      <c r="G413" s="115"/>
      <c r="H413" s="115"/>
      <c r="W413" s="7"/>
      <c r="X413" s="7"/>
      <c r="Y413" s="7"/>
      <c r="Z413" s="7"/>
      <c r="AA413" s="7"/>
      <c r="AB413" s="7"/>
      <c r="AC413" s="7"/>
    </row>
    <row r="414" spans="1:29" x14ac:dyDescent="0.25">
      <c r="A414" s="112"/>
      <c r="B414" s="113"/>
      <c r="C414" s="114"/>
      <c r="D414" s="114"/>
      <c r="E414" s="115"/>
      <c r="F414" s="114"/>
      <c r="G414" s="115"/>
      <c r="H414" s="115"/>
      <c r="W414" s="7"/>
      <c r="X414" s="7"/>
      <c r="Y414" s="7"/>
      <c r="Z414" s="7"/>
      <c r="AA414" s="7"/>
      <c r="AB414" s="7"/>
      <c r="AC414" s="7"/>
    </row>
    <row r="415" spans="1:29" x14ac:dyDescent="0.25">
      <c r="A415" s="112"/>
      <c r="B415" s="113"/>
      <c r="C415" s="114"/>
      <c r="D415" s="114"/>
      <c r="E415" s="115"/>
      <c r="F415" s="114"/>
      <c r="G415" s="115"/>
      <c r="H415" s="115"/>
    </row>
    <row r="416" spans="1:29" x14ac:dyDescent="0.25">
      <c r="A416" s="112"/>
      <c r="B416" s="113"/>
      <c r="C416" s="114"/>
      <c r="D416" s="114"/>
      <c r="E416" s="115"/>
      <c r="F416" s="114"/>
      <c r="G416" s="115"/>
      <c r="H416" s="115"/>
    </row>
    <row r="417" spans="1:8" x14ac:dyDescent="0.25">
      <c r="A417" s="112"/>
      <c r="B417" s="113"/>
      <c r="C417" s="114"/>
      <c r="D417" s="114"/>
      <c r="E417" s="115"/>
      <c r="F417" s="114"/>
      <c r="G417" s="115"/>
      <c r="H417" s="115"/>
    </row>
    <row r="418" spans="1:8" x14ac:dyDescent="0.25">
      <c r="A418" s="112"/>
      <c r="B418" s="113"/>
      <c r="C418" s="114"/>
      <c r="D418" s="114"/>
      <c r="E418" s="115"/>
      <c r="F418" s="114"/>
      <c r="G418" s="115"/>
      <c r="H418" s="115"/>
    </row>
    <row r="419" spans="1:8" x14ac:dyDescent="0.25">
      <c r="A419" s="112"/>
      <c r="B419" s="113"/>
      <c r="C419" s="114"/>
      <c r="D419" s="114"/>
      <c r="E419" s="115"/>
      <c r="F419" s="114"/>
      <c r="G419" s="115"/>
      <c r="H419" s="115"/>
    </row>
    <row r="420" spans="1:8" x14ac:dyDescent="0.25">
      <c r="A420" s="112"/>
      <c r="B420" s="113"/>
      <c r="C420" s="114"/>
      <c r="D420" s="114"/>
      <c r="E420" s="115"/>
      <c r="F420" s="114"/>
      <c r="G420" s="115"/>
      <c r="H420" s="115"/>
    </row>
    <row r="421" spans="1:8" x14ac:dyDescent="0.25">
      <c r="A421" s="112"/>
      <c r="B421" s="113"/>
      <c r="C421" s="114"/>
      <c r="D421" s="114"/>
      <c r="E421" s="115"/>
      <c r="F421" s="114"/>
      <c r="G421" s="115"/>
      <c r="H421" s="115"/>
    </row>
    <row r="422" spans="1:8" x14ac:dyDescent="0.25">
      <c r="A422" s="112"/>
      <c r="B422" s="113"/>
      <c r="C422" s="114"/>
      <c r="D422" s="114"/>
      <c r="E422" s="115"/>
      <c r="F422" s="114"/>
      <c r="G422" s="115"/>
      <c r="H422" s="115"/>
    </row>
    <row r="423" spans="1:8" x14ac:dyDescent="0.25">
      <c r="A423" s="112"/>
      <c r="B423" s="113"/>
      <c r="C423" s="114"/>
      <c r="D423" s="114"/>
      <c r="E423" s="115"/>
      <c r="F423" s="114"/>
      <c r="G423" s="115"/>
      <c r="H423" s="115"/>
    </row>
    <row r="424" spans="1:8" x14ac:dyDescent="0.25">
      <c r="A424" s="112"/>
      <c r="B424" s="113"/>
      <c r="C424" s="114"/>
      <c r="D424" s="114"/>
      <c r="E424" s="115"/>
      <c r="F424" s="114"/>
      <c r="G424" s="115"/>
      <c r="H424" s="115"/>
    </row>
    <row r="425" spans="1:8" x14ac:dyDescent="0.25">
      <c r="A425" s="112"/>
      <c r="B425" s="113"/>
      <c r="C425" s="114"/>
      <c r="D425" s="114"/>
      <c r="E425" s="115"/>
      <c r="F425" s="114"/>
      <c r="G425" s="115"/>
      <c r="H425" s="115"/>
    </row>
    <row r="426" spans="1:8" x14ac:dyDescent="0.25">
      <c r="A426" s="112"/>
      <c r="B426" s="113"/>
      <c r="C426" s="114"/>
      <c r="D426" s="114"/>
      <c r="E426" s="115"/>
      <c r="F426" s="114"/>
      <c r="G426" s="115"/>
      <c r="H426" s="115"/>
    </row>
    <row r="427" spans="1:8" x14ac:dyDescent="0.25">
      <c r="A427" s="112"/>
      <c r="B427" s="113"/>
      <c r="C427" s="114"/>
      <c r="D427" s="114"/>
      <c r="E427" s="115"/>
      <c r="F427" s="114"/>
      <c r="G427" s="115"/>
      <c r="H427" s="115"/>
    </row>
    <row r="428" spans="1:8" x14ac:dyDescent="0.25">
      <c r="A428" s="112"/>
      <c r="B428" s="113"/>
      <c r="C428" s="114"/>
      <c r="D428" s="114"/>
      <c r="E428" s="115"/>
      <c r="F428" s="114"/>
      <c r="G428" s="115"/>
      <c r="H428" s="115"/>
    </row>
    <row r="429" spans="1:8" x14ac:dyDescent="0.25">
      <c r="A429" s="112"/>
      <c r="B429" s="113"/>
      <c r="C429" s="114"/>
      <c r="D429" s="114"/>
      <c r="E429" s="115"/>
      <c r="F429" s="114"/>
      <c r="G429" s="115"/>
      <c r="H429" s="115"/>
    </row>
    <row r="430" spans="1:8" x14ac:dyDescent="0.25">
      <c r="A430" s="112"/>
      <c r="B430" s="113"/>
      <c r="C430" s="114"/>
      <c r="D430" s="114"/>
      <c r="E430" s="115"/>
      <c r="F430" s="114"/>
      <c r="G430" s="115"/>
      <c r="H430" s="115"/>
    </row>
    <row r="431" spans="1:8" x14ac:dyDescent="0.25">
      <c r="A431" s="112"/>
      <c r="B431" s="113"/>
      <c r="C431" s="114"/>
      <c r="D431" s="114"/>
      <c r="E431" s="115"/>
      <c r="F431" s="114"/>
      <c r="G431" s="115"/>
      <c r="H431" s="115"/>
    </row>
    <row r="432" spans="1:8" x14ac:dyDescent="0.25">
      <c r="A432" s="112"/>
      <c r="B432" s="113"/>
      <c r="C432" s="114"/>
      <c r="D432" s="114"/>
      <c r="E432" s="115"/>
      <c r="F432" s="114"/>
      <c r="G432" s="115"/>
      <c r="H432" s="115"/>
    </row>
    <row r="433" spans="1:8" x14ac:dyDescent="0.25">
      <c r="A433" s="112"/>
      <c r="B433" s="113"/>
      <c r="C433" s="114"/>
      <c r="D433" s="114"/>
      <c r="E433" s="115"/>
      <c r="F433" s="114"/>
      <c r="G433" s="115"/>
      <c r="H433" s="115"/>
    </row>
    <row r="434" spans="1:8" x14ac:dyDescent="0.25">
      <c r="A434" s="112"/>
      <c r="B434" s="113"/>
      <c r="C434" s="114"/>
      <c r="D434" s="114"/>
      <c r="E434" s="115"/>
      <c r="F434" s="114"/>
      <c r="G434" s="115"/>
      <c r="H434" s="115"/>
    </row>
    <row r="435" spans="1:8" x14ac:dyDescent="0.25">
      <c r="A435" s="112"/>
      <c r="B435" s="113"/>
      <c r="C435" s="114"/>
      <c r="D435" s="114"/>
      <c r="E435" s="115"/>
      <c r="F435" s="114"/>
      <c r="G435" s="115"/>
      <c r="H435" s="115"/>
    </row>
    <row r="436" spans="1:8" x14ac:dyDescent="0.25">
      <c r="A436" s="112"/>
      <c r="B436" s="113"/>
      <c r="C436" s="114"/>
      <c r="D436" s="114"/>
      <c r="E436" s="115"/>
      <c r="F436" s="114"/>
      <c r="G436" s="115"/>
      <c r="H436" s="115"/>
    </row>
    <row r="437" spans="1:8" x14ac:dyDescent="0.25">
      <c r="A437" s="112"/>
      <c r="B437" s="113"/>
      <c r="C437" s="114"/>
      <c r="D437" s="114"/>
      <c r="E437" s="115"/>
      <c r="F437" s="114"/>
      <c r="G437" s="115"/>
      <c r="H437" s="115"/>
    </row>
    <row r="438" spans="1:8" x14ac:dyDescent="0.25">
      <c r="A438" s="112"/>
      <c r="B438" s="113"/>
      <c r="C438" s="114"/>
      <c r="D438" s="114"/>
      <c r="E438" s="115"/>
      <c r="F438" s="114"/>
      <c r="G438" s="115"/>
      <c r="H438" s="115"/>
    </row>
    <row r="439" spans="1:8" x14ac:dyDescent="0.25">
      <c r="A439" s="112"/>
      <c r="B439" s="113"/>
      <c r="C439" s="114"/>
      <c r="D439" s="114"/>
      <c r="E439" s="115"/>
      <c r="F439" s="114"/>
      <c r="G439" s="115"/>
      <c r="H439" s="115"/>
    </row>
    <row r="440" spans="1:8" x14ac:dyDescent="0.25">
      <c r="A440" s="112"/>
      <c r="B440" s="113"/>
      <c r="C440" s="114"/>
      <c r="D440" s="114"/>
      <c r="E440" s="115"/>
      <c r="F440" s="114"/>
      <c r="G440" s="115"/>
      <c r="H440" s="115"/>
    </row>
    <row r="441" spans="1:8" x14ac:dyDescent="0.25">
      <c r="A441" s="112"/>
      <c r="B441" s="113"/>
      <c r="C441" s="114"/>
      <c r="D441" s="114"/>
      <c r="E441" s="115"/>
      <c r="F441" s="114"/>
      <c r="G441" s="115"/>
      <c r="H441" s="115"/>
    </row>
    <row r="442" spans="1:8" x14ac:dyDescent="0.25">
      <c r="A442" s="112"/>
      <c r="B442" s="113"/>
      <c r="C442" s="114"/>
      <c r="D442" s="114"/>
      <c r="E442" s="115"/>
      <c r="F442" s="114"/>
      <c r="G442" s="115"/>
      <c r="H442" s="115"/>
    </row>
    <row r="443" spans="1:8" x14ac:dyDescent="0.25">
      <c r="A443" s="112"/>
      <c r="B443" s="113"/>
      <c r="C443" s="114"/>
      <c r="D443" s="114"/>
      <c r="E443" s="115"/>
      <c r="F443" s="114"/>
      <c r="G443" s="115"/>
      <c r="H443" s="115"/>
    </row>
    <row r="444" spans="1:8" x14ac:dyDescent="0.25">
      <c r="A444" s="112"/>
      <c r="B444" s="113"/>
      <c r="C444" s="114"/>
      <c r="D444" s="114"/>
      <c r="E444" s="115"/>
      <c r="F444" s="114"/>
      <c r="G444" s="115"/>
      <c r="H444" s="115"/>
    </row>
    <row r="445" spans="1:8" x14ac:dyDescent="0.25">
      <c r="A445" s="112"/>
      <c r="B445" s="113"/>
      <c r="C445" s="114"/>
      <c r="D445" s="114"/>
      <c r="E445" s="115"/>
      <c r="F445" s="114"/>
      <c r="G445" s="115"/>
      <c r="H445" s="115"/>
    </row>
    <row r="446" spans="1:8" x14ac:dyDescent="0.25">
      <c r="A446" s="112"/>
      <c r="B446" s="113"/>
      <c r="C446" s="114"/>
      <c r="D446" s="114"/>
      <c r="E446" s="115"/>
      <c r="F446" s="114"/>
      <c r="G446" s="115"/>
      <c r="H446" s="115"/>
    </row>
    <row r="447" spans="1:8" x14ac:dyDescent="0.25">
      <c r="A447" s="112"/>
      <c r="B447" s="113"/>
      <c r="C447" s="114"/>
      <c r="D447" s="114"/>
      <c r="E447" s="115"/>
      <c r="F447" s="114"/>
      <c r="G447" s="115"/>
      <c r="H447" s="115"/>
    </row>
    <row r="448" spans="1:8" x14ac:dyDescent="0.25">
      <c r="A448" s="112"/>
      <c r="B448" s="113"/>
      <c r="C448" s="114"/>
      <c r="D448" s="114"/>
      <c r="E448" s="115"/>
      <c r="F448" s="114"/>
      <c r="G448" s="115"/>
      <c r="H448" s="115"/>
    </row>
    <row r="449" spans="1:8" x14ac:dyDescent="0.25">
      <c r="A449" s="112"/>
      <c r="B449" s="113"/>
      <c r="C449" s="114"/>
      <c r="D449" s="114"/>
      <c r="E449" s="115"/>
      <c r="F449" s="114"/>
      <c r="G449" s="115"/>
      <c r="H449" s="115"/>
    </row>
    <row r="450" spans="1:8" x14ac:dyDescent="0.25">
      <c r="A450" s="112"/>
      <c r="B450" s="113"/>
      <c r="C450" s="114"/>
      <c r="D450" s="114"/>
      <c r="E450" s="115"/>
      <c r="F450" s="114"/>
      <c r="G450" s="115"/>
      <c r="H450" s="115"/>
    </row>
    <row r="451" spans="1:8" x14ac:dyDescent="0.25">
      <c r="A451" s="112"/>
      <c r="B451" s="113"/>
      <c r="C451" s="114"/>
      <c r="D451" s="114"/>
      <c r="E451" s="115"/>
      <c r="F451" s="114"/>
      <c r="G451" s="115"/>
      <c r="H451" s="115"/>
    </row>
    <row r="452" spans="1:8" x14ac:dyDescent="0.25">
      <c r="A452" s="112"/>
      <c r="B452" s="113"/>
      <c r="C452" s="114"/>
      <c r="D452" s="114"/>
      <c r="E452" s="115"/>
      <c r="F452" s="114"/>
      <c r="G452" s="115"/>
      <c r="H452" s="115"/>
    </row>
    <row r="453" spans="1:8" x14ac:dyDescent="0.25">
      <c r="A453" s="112"/>
      <c r="B453" s="113"/>
      <c r="C453" s="114"/>
      <c r="D453" s="114"/>
      <c r="E453" s="115"/>
      <c r="F453" s="114"/>
      <c r="G453" s="115"/>
      <c r="H453" s="115"/>
    </row>
    <row r="454" spans="1:8" x14ac:dyDescent="0.25">
      <c r="A454" s="112"/>
      <c r="B454" s="113"/>
      <c r="C454" s="114"/>
      <c r="D454" s="114"/>
      <c r="E454" s="115"/>
      <c r="F454" s="114"/>
      <c r="G454" s="115"/>
      <c r="H454" s="115"/>
    </row>
    <row r="455" spans="1:8" x14ac:dyDescent="0.25">
      <c r="A455" s="112"/>
      <c r="B455" s="113"/>
      <c r="C455" s="114"/>
      <c r="D455" s="114"/>
      <c r="E455" s="115"/>
      <c r="F455" s="114"/>
      <c r="G455" s="115"/>
      <c r="H455" s="115"/>
    </row>
    <row r="456" spans="1:8" x14ac:dyDescent="0.25">
      <c r="A456" s="112"/>
      <c r="B456" s="113"/>
      <c r="C456" s="114"/>
      <c r="D456" s="114"/>
      <c r="E456" s="115"/>
      <c r="F456" s="114"/>
      <c r="G456" s="115"/>
      <c r="H456" s="115"/>
    </row>
    <row r="457" spans="1:8" x14ac:dyDescent="0.25">
      <c r="A457" s="112"/>
      <c r="B457" s="113"/>
      <c r="C457" s="114"/>
      <c r="D457" s="114"/>
      <c r="E457" s="115"/>
      <c r="F457" s="114"/>
      <c r="G457" s="115"/>
      <c r="H457" s="115"/>
    </row>
    <row r="458" spans="1:8" x14ac:dyDescent="0.25">
      <c r="A458" s="112"/>
      <c r="B458" s="113"/>
      <c r="C458" s="114"/>
      <c r="D458" s="114"/>
      <c r="E458" s="115"/>
      <c r="F458" s="114"/>
      <c r="G458" s="115"/>
      <c r="H458" s="115"/>
    </row>
    <row r="459" spans="1:8" x14ac:dyDescent="0.25">
      <c r="A459" s="112"/>
      <c r="B459" s="113"/>
      <c r="C459" s="114"/>
      <c r="D459" s="114"/>
      <c r="E459" s="115"/>
      <c r="F459" s="114"/>
      <c r="G459" s="115"/>
      <c r="H459" s="115"/>
    </row>
    <row r="460" spans="1:8" x14ac:dyDescent="0.25">
      <c r="A460" s="112"/>
      <c r="B460" s="113"/>
      <c r="C460" s="114"/>
      <c r="D460" s="114"/>
      <c r="E460" s="115"/>
      <c r="F460" s="114"/>
      <c r="G460" s="115"/>
      <c r="H460" s="115"/>
    </row>
    <row r="461" spans="1:8" x14ac:dyDescent="0.25">
      <c r="A461" s="112"/>
      <c r="B461" s="113"/>
      <c r="C461" s="114"/>
      <c r="D461" s="114"/>
      <c r="E461" s="115"/>
      <c r="F461" s="114"/>
      <c r="G461" s="115"/>
      <c r="H461" s="115"/>
    </row>
    <row r="462" spans="1:8" x14ac:dyDescent="0.25">
      <c r="A462" s="112"/>
      <c r="B462" s="113"/>
      <c r="C462" s="114"/>
      <c r="D462" s="114"/>
      <c r="E462" s="115"/>
      <c r="F462" s="114"/>
      <c r="G462" s="115"/>
      <c r="H462" s="115"/>
    </row>
    <row r="463" spans="1:8" x14ac:dyDescent="0.25">
      <c r="A463" s="112"/>
      <c r="B463" s="113"/>
      <c r="C463" s="114"/>
      <c r="D463" s="114"/>
      <c r="E463" s="115"/>
      <c r="F463" s="114"/>
      <c r="G463" s="115"/>
      <c r="H463" s="115"/>
    </row>
    <row r="464" spans="1:8" x14ac:dyDescent="0.25">
      <c r="A464" s="112"/>
      <c r="B464" s="113"/>
      <c r="C464" s="114"/>
      <c r="D464" s="114"/>
      <c r="E464" s="115"/>
      <c r="F464" s="114"/>
      <c r="G464" s="115"/>
      <c r="H464" s="115"/>
    </row>
    <row r="465" spans="1:8" x14ac:dyDescent="0.25">
      <c r="A465" s="112"/>
      <c r="B465" s="113"/>
      <c r="C465" s="114"/>
      <c r="D465" s="114"/>
      <c r="E465" s="115"/>
      <c r="F465" s="114"/>
      <c r="G465" s="115"/>
      <c r="H465" s="115"/>
    </row>
    <row r="466" spans="1:8" x14ac:dyDescent="0.25">
      <c r="A466" s="112"/>
      <c r="B466" s="113"/>
      <c r="C466" s="114"/>
      <c r="D466" s="114"/>
      <c r="E466" s="115"/>
      <c r="F466" s="114"/>
      <c r="G466" s="115"/>
      <c r="H466" s="115"/>
    </row>
    <row r="467" spans="1:8" x14ac:dyDescent="0.25">
      <c r="A467" s="112"/>
      <c r="B467" s="113"/>
      <c r="C467" s="114"/>
      <c r="D467" s="114"/>
      <c r="E467" s="115"/>
      <c r="F467" s="114"/>
      <c r="G467" s="115"/>
      <c r="H467" s="115"/>
    </row>
    <row r="468" spans="1:8" x14ac:dyDescent="0.25">
      <c r="A468" s="112"/>
      <c r="B468" s="113"/>
      <c r="C468" s="114"/>
      <c r="D468" s="114"/>
      <c r="E468" s="115"/>
      <c r="F468" s="114"/>
      <c r="G468" s="115"/>
      <c r="H468" s="115"/>
    </row>
    <row r="469" spans="1:8" x14ac:dyDescent="0.25">
      <c r="A469" s="112"/>
      <c r="B469" s="113"/>
      <c r="C469" s="114"/>
      <c r="D469" s="114"/>
      <c r="E469" s="115"/>
      <c r="F469" s="114"/>
      <c r="G469" s="115"/>
      <c r="H469" s="115"/>
    </row>
    <row r="470" spans="1:8" x14ac:dyDescent="0.25">
      <c r="A470" s="112"/>
      <c r="B470" s="113"/>
      <c r="C470" s="114"/>
      <c r="D470" s="114"/>
      <c r="E470" s="115"/>
      <c r="F470" s="114"/>
      <c r="G470" s="115"/>
      <c r="H470" s="115"/>
    </row>
    <row r="471" spans="1:8" x14ac:dyDescent="0.25">
      <c r="A471" s="112"/>
      <c r="B471" s="113"/>
      <c r="C471" s="114"/>
      <c r="D471" s="114"/>
      <c r="E471" s="115"/>
      <c r="F471" s="114"/>
      <c r="G471" s="115"/>
      <c r="H471" s="115"/>
    </row>
    <row r="472" spans="1:8" x14ac:dyDescent="0.25">
      <c r="A472" s="112"/>
      <c r="B472" s="113"/>
      <c r="C472" s="114"/>
      <c r="D472" s="114"/>
      <c r="E472" s="115"/>
      <c r="F472" s="114"/>
      <c r="G472" s="115"/>
      <c r="H472" s="115"/>
    </row>
    <row r="473" spans="1:8" x14ac:dyDescent="0.25">
      <c r="A473" s="112"/>
      <c r="B473" s="113"/>
      <c r="C473" s="114"/>
      <c r="D473" s="114"/>
      <c r="E473" s="115"/>
      <c r="F473" s="114"/>
      <c r="G473" s="115"/>
      <c r="H473" s="115"/>
    </row>
    <row r="474" spans="1:8" x14ac:dyDescent="0.25">
      <c r="A474" s="112"/>
      <c r="B474" s="113"/>
      <c r="C474" s="114"/>
      <c r="D474" s="114"/>
      <c r="E474" s="115"/>
      <c r="F474" s="114"/>
      <c r="G474" s="115"/>
      <c r="H474" s="115"/>
    </row>
    <row r="475" spans="1:8" x14ac:dyDescent="0.25">
      <c r="A475" s="112"/>
      <c r="B475" s="113"/>
      <c r="C475" s="114"/>
      <c r="D475" s="114"/>
      <c r="E475" s="115"/>
      <c r="F475" s="114"/>
      <c r="G475" s="115"/>
      <c r="H475" s="115"/>
    </row>
    <row r="476" spans="1:8" x14ac:dyDescent="0.25">
      <c r="A476" s="112"/>
      <c r="B476" s="113"/>
      <c r="C476" s="114"/>
      <c r="D476" s="114"/>
      <c r="E476" s="115"/>
      <c r="F476" s="114"/>
      <c r="G476" s="115"/>
      <c r="H476" s="115"/>
    </row>
    <row r="477" spans="1:8" x14ac:dyDescent="0.25">
      <c r="A477" s="112"/>
      <c r="B477" s="113"/>
      <c r="C477" s="114"/>
      <c r="D477" s="114"/>
      <c r="E477" s="115"/>
      <c r="F477" s="114"/>
      <c r="G477" s="115"/>
      <c r="H477" s="115"/>
    </row>
    <row r="478" spans="1:8" x14ac:dyDescent="0.25">
      <c r="A478" s="112"/>
      <c r="B478" s="113"/>
      <c r="C478" s="114"/>
      <c r="D478" s="114"/>
      <c r="E478" s="115"/>
      <c r="F478" s="114"/>
      <c r="G478" s="115"/>
      <c r="H478" s="115"/>
    </row>
    <row r="479" spans="1:8" x14ac:dyDescent="0.25">
      <c r="A479" s="112"/>
      <c r="B479" s="113"/>
      <c r="C479" s="114"/>
      <c r="D479" s="114"/>
      <c r="E479" s="115"/>
      <c r="F479" s="114"/>
      <c r="G479" s="115"/>
      <c r="H479" s="115"/>
    </row>
    <row r="480" spans="1:8" x14ac:dyDescent="0.25">
      <c r="A480" s="112"/>
      <c r="B480" s="113"/>
      <c r="C480" s="114"/>
      <c r="D480" s="114"/>
      <c r="E480" s="115"/>
      <c r="F480" s="114"/>
      <c r="G480" s="115"/>
      <c r="H480" s="115"/>
    </row>
    <row r="481" spans="1:8" x14ac:dyDescent="0.25">
      <c r="A481" s="112"/>
      <c r="B481" s="113"/>
      <c r="C481" s="114"/>
      <c r="D481" s="114"/>
      <c r="E481" s="115"/>
      <c r="F481" s="114"/>
      <c r="G481" s="115"/>
      <c r="H481" s="115"/>
    </row>
    <row r="482" spans="1:8" x14ac:dyDescent="0.25">
      <c r="A482" s="112"/>
      <c r="B482" s="113"/>
      <c r="C482" s="114"/>
      <c r="D482" s="114"/>
      <c r="E482" s="115"/>
      <c r="F482" s="114"/>
      <c r="G482" s="115"/>
      <c r="H482" s="115"/>
    </row>
    <row r="483" spans="1:8" x14ac:dyDescent="0.25">
      <c r="A483" s="112"/>
      <c r="B483" s="113"/>
      <c r="C483" s="114"/>
      <c r="D483" s="114"/>
      <c r="E483" s="115"/>
      <c r="F483" s="114"/>
      <c r="G483" s="115"/>
      <c r="H483" s="115"/>
    </row>
    <row r="484" spans="1:8" x14ac:dyDescent="0.25">
      <c r="A484" s="112"/>
      <c r="B484" s="113"/>
      <c r="C484" s="114"/>
      <c r="D484" s="114"/>
      <c r="E484" s="115"/>
      <c r="F484" s="114"/>
      <c r="G484" s="115"/>
      <c r="H484" s="115"/>
    </row>
    <row r="485" spans="1:8" x14ac:dyDescent="0.25">
      <c r="A485" s="112"/>
      <c r="B485" s="113"/>
      <c r="C485" s="114"/>
      <c r="D485" s="114"/>
      <c r="E485" s="115"/>
      <c r="F485" s="114"/>
      <c r="G485" s="115"/>
      <c r="H485" s="115"/>
    </row>
    <row r="486" spans="1:8" x14ac:dyDescent="0.25">
      <c r="A486" s="112"/>
      <c r="B486" s="113"/>
      <c r="C486" s="114"/>
      <c r="D486" s="114"/>
      <c r="E486" s="115"/>
      <c r="F486" s="114"/>
      <c r="G486" s="115"/>
      <c r="H486" s="115"/>
    </row>
    <row r="487" spans="1:8" x14ac:dyDescent="0.25">
      <c r="A487" s="112"/>
      <c r="B487" s="113"/>
      <c r="C487" s="114"/>
      <c r="D487" s="114"/>
      <c r="E487" s="115"/>
      <c r="F487" s="114"/>
      <c r="G487" s="115"/>
      <c r="H487" s="115"/>
    </row>
    <row r="488" spans="1:8" x14ac:dyDescent="0.25">
      <c r="A488" s="112"/>
      <c r="B488" s="113"/>
      <c r="C488" s="114"/>
      <c r="D488" s="114"/>
      <c r="E488" s="115"/>
      <c r="F488" s="114"/>
      <c r="G488" s="115"/>
      <c r="H488" s="115"/>
    </row>
    <row r="489" spans="1:8" x14ac:dyDescent="0.25">
      <c r="A489" s="112"/>
      <c r="B489" s="113"/>
      <c r="C489" s="114"/>
      <c r="D489" s="114"/>
      <c r="E489" s="115"/>
      <c r="F489" s="114"/>
      <c r="G489" s="115"/>
      <c r="H489" s="115"/>
    </row>
    <row r="490" spans="1:8" x14ac:dyDescent="0.25">
      <c r="A490" s="112"/>
      <c r="B490" s="113"/>
      <c r="C490" s="114"/>
      <c r="D490" s="114"/>
      <c r="E490" s="115"/>
      <c r="F490" s="114"/>
      <c r="G490" s="115"/>
      <c r="H490" s="115"/>
    </row>
    <row r="491" spans="1:8" x14ac:dyDescent="0.25">
      <c r="A491" s="112"/>
      <c r="B491" s="113"/>
      <c r="C491" s="114"/>
      <c r="D491" s="114"/>
      <c r="E491" s="115"/>
      <c r="F491" s="114"/>
      <c r="G491" s="115"/>
      <c r="H491" s="115"/>
    </row>
    <row r="492" spans="1:8" x14ac:dyDescent="0.25">
      <c r="A492" s="112"/>
      <c r="B492" s="113"/>
      <c r="C492" s="114"/>
      <c r="D492" s="114"/>
      <c r="E492" s="115"/>
      <c r="F492" s="114"/>
      <c r="G492" s="115"/>
      <c r="H492" s="115"/>
    </row>
    <row r="493" spans="1:8" x14ac:dyDescent="0.25">
      <c r="A493" s="112"/>
      <c r="B493" s="113"/>
      <c r="C493" s="114"/>
      <c r="D493" s="114"/>
      <c r="E493" s="115"/>
      <c r="F493" s="114"/>
      <c r="G493" s="115"/>
      <c r="H493" s="115"/>
    </row>
    <row r="494" spans="1:8" x14ac:dyDescent="0.25">
      <c r="A494" s="112"/>
      <c r="B494" s="113"/>
      <c r="C494" s="114"/>
      <c r="D494" s="114"/>
      <c r="E494" s="115"/>
      <c r="F494" s="114"/>
      <c r="G494" s="115"/>
      <c r="H494" s="115"/>
    </row>
    <row r="495" spans="1:8" x14ac:dyDescent="0.25">
      <c r="A495" s="112"/>
      <c r="B495" s="113"/>
      <c r="C495" s="114"/>
      <c r="D495" s="114"/>
      <c r="E495" s="115"/>
      <c r="F495" s="114"/>
      <c r="G495" s="115"/>
      <c r="H495" s="115"/>
    </row>
    <row r="496" spans="1:8" x14ac:dyDescent="0.25">
      <c r="A496" s="112"/>
      <c r="B496" s="113"/>
      <c r="C496" s="114"/>
      <c r="D496" s="114"/>
      <c r="E496" s="115"/>
      <c r="F496" s="114"/>
      <c r="G496" s="115"/>
      <c r="H496" s="115"/>
    </row>
    <row r="497" spans="1:8" x14ac:dyDescent="0.25">
      <c r="A497" s="112"/>
      <c r="B497" s="113"/>
      <c r="C497" s="114"/>
      <c r="D497" s="114"/>
      <c r="E497" s="115"/>
      <c r="F497" s="114"/>
      <c r="G497" s="115"/>
      <c r="H497" s="115"/>
    </row>
    <row r="498" spans="1:8" x14ac:dyDescent="0.25">
      <c r="A498" s="112"/>
      <c r="B498" s="113"/>
      <c r="C498" s="114"/>
      <c r="D498" s="114"/>
      <c r="E498" s="115"/>
      <c r="F498" s="114"/>
      <c r="G498" s="115"/>
      <c r="H498" s="115"/>
    </row>
    <row r="499" spans="1:8" x14ac:dyDescent="0.25">
      <c r="A499" s="112"/>
      <c r="B499" s="113"/>
      <c r="C499" s="114"/>
      <c r="D499" s="114"/>
      <c r="E499" s="115"/>
      <c r="F499" s="114"/>
      <c r="G499" s="115"/>
      <c r="H499" s="115"/>
    </row>
    <row r="500" spans="1:8" x14ac:dyDescent="0.25">
      <c r="A500" s="112"/>
      <c r="B500" s="113"/>
      <c r="C500" s="114"/>
      <c r="D500" s="114"/>
      <c r="E500" s="115"/>
      <c r="F500" s="114"/>
      <c r="G500" s="115"/>
      <c r="H500" s="115"/>
    </row>
    <row r="501" spans="1:8" x14ac:dyDescent="0.25">
      <c r="A501" s="112"/>
      <c r="B501" s="113"/>
      <c r="C501" s="114"/>
      <c r="D501" s="114"/>
      <c r="E501" s="115"/>
      <c r="F501" s="114"/>
      <c r="G501" s="115"/>
      <c r="H501" s="115"/>
    </row>
    <row r="502" spans="1:8" x14ac:dyDescent="0.25">
      <c r="A502" s="112"/>
      <c r="B502" s="113"/>
      <c r="C502" s="114"/>
      <c r="D502" s="114"/>
      <c r="E502" s="115"/>
      <c r="F502" s="114"/>
      <c r="G502" s="115"/>
      <c r="H502" s="115"/>
    </row>
    <row r="503" spans="1:8" x14ac:dyDescent="0.25">
      <c r="A503" s="112"/>
      <c r="B503" s="113"/>
      <c r="C503" s="114"/>
      <c r="D503" s="114"/>
      <c r="E503" s="115"/>
      <c r="F503" s="114"/>
      <c r="G503" s="115"/>
      <c r="H503" s="115"/>
    </row>
    <row r="504" spans="1:8" x14ac:dyDescent="0.25">
      <c r="A504" s="112"/>
      <c r="B504" s="113"/>
      <c r="C504" s="114"/>
      <c r="D504" s="114"/>
      <c r="E504" s="115"/>
      <c r="F504" s="114"/>
      <c r="G504" s="115"/>
      <c r="H504" s="115"/>
    </row>
  </sheetData>
  <dataValidations count="2">
    <dataValidation type="list" allowBlank="1" showInputMessage="1" showErrorMessage="1" sqref="B5:B404 B406:B504">
      <formula1>"CALL,PUT"</formula1>
    </dataValidation>
    <dataValidation type="list" allowBlank="1" showInputMessage="1" showErrorMessage="1" sqref="K2">
      <formula1>"TRUE,FALSE"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2"/>
  <sheetViews>
    <sheetView tabSelected="1" workbookViewId="0"/>
  </sheetViews>
  <sheetFormatPr defaultRowHeight="15" x14ac:dyDescent="0.25"/>
  <cols>
    <col min="1" max="1" width="9.140625" style="22" customWidth="1"/>
    <col min="2" max="2" width="13.85546875" bestFit="1" customWidth="1"/>
    <col min="3" max="3" width="11.85546875" bestFit="1" customWidth="1"/>
    <col min="4" max="7" width="11.7109375" bestFit="1" customWidth="1"/>
    <col min="8" max="8" width="11.85546875" bestFit="1" customWidth="1"/>
    <col min="9" max="13" width="11.7109375" bestFit="1" customWidth="1"/>
  </cols>
  <sheetData>
    <row r="2" spans="1:14" x14ac:dyDescent="0.25">
      <c r="B2" s="35" t="s">
        <v>29</v>
      </c>
      <c r="H2" s="142">
        <v>0.05</v>
      </c>
    </row>
    <row r="3" spans="1:14" x14ac:dyDescent="0.25">
      <c r="B3" t="s">
        <v>26</v>
      </c>
      <c r="C3" s="31">
        <f t="shared" ref="C3:F3" ca="1" si="0">D3-$H$2</f>
        <v>0.74999999999999978</v>
      </c>
      <c r="D3" s="31">
        <f t="shared" ca="1" si="0"/>
        <v>0.79999999999999982</v>
      </c>
      <c r="E3" s="31">
        <f t="shared" ca="1" si="0"/>
        <v>0.84999999999999987</v>
      </c>
      <c r="F3" s="31">
        <f t="shared" ca="1" si="0"/>
        <v>0.89999999999999991</v>
      </c>
      <c r="G3" s="31">
        <f ca="1">H3-$H$2</f>
        <v>0.95</v>
      </c>
      <c r="H3" s="31">
        <v>1</v>
      </c>
      <c r="I3" s="31">
        <f ca="1">H3+$H$2</f>
        <v>1.05</v>
      </c>
      <c r="J3" s="31">
        <f t="shared" ref="J3:M3" ca="1" si="1">I3+$H$2</f>
        <v>1.1000000000000001</v>
      </c>
      <c r="K3" s="31">
        <f t="shared" ca="1" si="1"/>
        <v>1.1500000000000001</v>
      </c>
      <c r="L3" s="31">
        <f t="shared" ca="1" si="1"/>
        <v>1.2000000000000002</v>
      </c>
      <c r="M3" s="31">
        <f t="shared" ca="1" si="1"/>
        <v>1.2500000000000002</v>
      </c>
      <c r="N3" t="s">
        <v>64</v>
      </c>
    </row>
    <row r="4" spans="1:14" x14ac:dyDescent="0.25">
      <c r="C4" s="32"/>
      <c r="D4" s="32"/>
      <c r="E4" s="32"/>
      <c r="F4" s="32"/>
      <c r="G4" s="32"/>
      <c r="I4" s="32"/>
      <c r="J4" s="32"/>
      <c r="K4" s="32"/>
      <c r="L4" s="32"/>
      <c r="M4" s="32"/>
      <c r="N4" t="s">
        <v>64</v>
      </c>
    </row>
    <row r="5" spans="1:14" x14ac:dyDescent="0.25">
      <c r="B5" t="s">
        <v>68</v>
      </c>
      <c r="C5" s="135" t="str">
        <f>$H$5</f>
        <v>PAYER</v>
      </c>
      <c r="D5" s="135" t="str">
        <f t="shared" ref="D5:G5" si="2">$H$5</f>
        <v>PAYER</v>
      </c>
      <c r="E5" s="135" t="str">
        <f t="shared" si="2"/>
        <v>PAYER</v>
      </c>
      <c r="F5" s="135" t="str">
        <f t="shared" si="2"/>
        <v>PAYER</v>
      </c>
      <c r="G5" s="135" t="str">
        <f t="shared" si="2"/>
        <v>PAYER</v>
      </c>
      <c r="H5" s="140" t="s">
        <v>72</v>
      </c>
      <c r="I5" s="135" t="str">
        <f>$H$5</f>
        <v>PAYER</v>
      </c>
      <c r="J5" s="135" t="str">
        <f t="shared" ref="J5:M5" si="3">$H$5</f>
        <v>PAYER</v>
      </c>
      <c r="K5" s="135" t="str">
        <f t="shared" si="3"/>
        <v>PAYER</v>
      </c>
      <c r="L5" s="135" t="str">
        <f t="shared" si="3"/>
        <v>PAYER</v>
      </c>
      <c r="M5" s="135" t="str">
        <f t="shared" si="3"/>
        <v>PAYER</v>
      </c>
      <c r="N5" t="s">
        <v>64</v>
      </c>
    </row>
    <row r="6" spans="1:14" x14ac:dyDescent="0.25">
      <c r="B6" t="s">
        <v>67</v>
      </c>
      <c r="C6" s="137">
        <f>$H$6</f>
        <v>5000000</v>
      </c>
      <c r="D6" s="137">
        <f t="shared" ref="D6:G6" si="4">$H$6</f>
        <v>5000000</v>
      </c>
      <c r="E6" s="137">
        <f t="shared" si="4"/>
        <v>5000000</v>
      </c>
      <c r="F6" s="137">
        <f t="shared" si="4"/>
        <v>5000000</v>
      </c>
      <c r="G6" s="137">
        <f t="shared" si="4"/>
        <v>5000000</v>
      </c>
      <c r="H6" s="138">
        <v>5000000</v>
      </c>
      <c r="I6" s="137">
        <f>$H$6</f>
        <v>5000000</v>
      </c>
      <c r="J6" s="137">
        <f t="shared" ref="J6:M6" si="5">$H$6</f>
        <v>5000000</v>
      </c>
      <c r="K6" s="137">
        <f t="shared" si="5"/>
        <v>5000000</v>
      </c>
      <c r="L6" s="137">
        <f t="shared" si="5"/>
        <v>5000000</v>
      </c>
      <c r="M6" s="137">
        <f t="shared" si="5"/>
        <v>5000000</v>
      </c>
      <c r="N6" t="s">
        <v>64</v>
      </c>
    </row>
    <row r="7" spans="1:14" x14ac:dyDescent="0.25">
      <c r="B7" t="s">
        <v>69</v>
      </c>
      <c r="C7" s="25">
        <f t="shared" ref="C7:G7" ca="1" si="6">$H$7*C$3</f>
        <v>1.4999999999999996E-3</v>
      </c>
      <c r="D7" s="25">
        <f t="shared" ca="1" si="6"/>
        <v>1.5999999999999996E-3</v>
      </c>
      <c r="E7" s="25">
        <f t="shared" ca="1" si="6"/>
        <v>1.6999999999999997E-3</v>
      </c>
      <c r="F7" s="25">
        <f t="shared" ca="1" si="6"/>
        <v>1.8E-3</v>
      </c>
      <c r="G7" s="25">
        <f t="shared" ca="1" si="6"/>
        <v>1.9E-3</v>
      </c>
      <c r="H7" s="30">
        <v>2E-3</v>
      </c>
      <c r="I7" s="25">
        <f t="shared" ref="I7:M7" ca="1" si="7">$H$7*I$3</f>
        <v>2.1000000000000003E-3</v>
      </c>
      <c r="J7" s="25">
        <f t="shared" ca="1" si="7"/>
        <v>2.2000000000000001E-3</v>
      </c>
      <c r="K7" s="25">
        <f t="shared" ca="1" si="7"/>
        <v>2.3000000000000004E-3</v>
      </c>
      <c r="L7" s="25">
        <f t="shared" ca="1" si="7"/>
        <v>2.4000000000000002E-3</v>
      </c>
      <c r="M7" s="25">
        <f t="shared" ca="1" si="7"/>
        <v>2.5000000000000005E-3</v>
      </c>
      <c r="N7" t="s">
        <v>64</v>
      </c>
    </row>
    <row r="8" spans="1:14" x14ac:dyDescent="0.25">
      <c r="B8" t="s">
        <v>17</v>
      </c>
      <c r="C8" s="25">
        <f>$H$8</f>
        <v>2E-3</v>
      </c>
      <c r="D8" s="25">
        <f t="shared" ref="D8:G8" si="8">$H$8</f>
        <v>2E-3</v>
      </c>
      <c r="E8" s="25">
        <f t="shared" si="8"/>
        <v>2E-3</v>
      </c>
      <c r="F8" s="25">
        <f t="shared" si="8"/>
        <v>2E-3</v>
      </c>
      <c r="G8" s="25">
        <f t="shared" si="8"/>
        <v>2E-3</v>
      </c>
      <c r="H8" s="30">
        <v>2E-3</v>
      </c>
      <c r="I8" s="25">
        <f>$H$8</f>
        <v>2E-3</v>
      </c>
      <c r="J8" s="25">
        <f t="shared" ref="J8:M8" si="9">$H$8</f>
        <v>2E-3</v>
      </c>
      <c r="K8" s="25">
        <f t="shared" si="9"/>
        <v>2E-3</v>
      </c>
      <c r="L8" s="25">
        <f t="shared" si="9"/>
        <v>2E-3</v>
      </c>
      <c r="M8" s="25">
        <f t="shared" si="9"/>
        <v>2E-3</v>
      </c>
      <c r="N8" t="s">
        <v>64</v>
      </c>
    </row>
    <row r="9" spans="1:14" x14ac:dyDescent="0.25">
      <c r="A9" s="141"/>
      <c r="B9" t="s">
        <v>77</v>
      </c>
      <c r="C9" s="25">
        <f>$H9</f>
        <v>0.1</v>
      </c>
      <c r="D9" s="25">
        <f t="shared" ref="D9:G11" si="10">$H9</f>
        <v>0.1</v>
      </c>
      <c r="E9" s="25">
        <f t="shared" si="10"/>
        <v>0.1</v>
      </c>
      <c r="F9" s="25">
        <f t="shared" si="10"/>
        <v>0.1</v>
      </c>
      <c r="G9" s="25">
        <f t="shared" si="10"/>
        <v>0.1</v>
      </c>
      <c r="H9" s="30">
        <v>0.1</v>
      </c>
      <c r="I9" s="25">
        <f>$H9</f>
        <v>0.1</v>
      </c>
      <c r="J9" s="25">
        <f t="shared" ref="J9:M11" si="11">$H9</f>
        <v>0.1</v>
      </c>
      <c r="K9" s="25">
        <f t="shared" si="11"/>
        <v>0.1</v>
      </c>
      <c r="L9" s="25">
        <f t="shared" si="11"/>
        <v>0.1</v>
      </c>
      <c r="M9" s="25">
        <f t="shared" si="11"/>
        <v>0.1</v>
      </c>
      <c r="N9" t="s">
        <v>64</v>
      </c>
    </row>
    <row r="10" spans="1:14" x14ac:dyDescent="0.25">
      <c r="B10" t="s">
        <v>19</v>
      </c>
      <c r="C10" s="27">
        <f t="shared" ref="C10:I11" si="12">$H10</f>
        <v>1</v>
      </c>
      <c r="D10" s="27">
        <f t="shared" si="10"/>
        <v>1</v>
      </c>
      <c r="E10" s="27">
        <f t="shared" si="10"/>
        <v>1</v>
      </c>
      <c r="F10" s="27">
        <f t="shared" si="10"/>
        <v>1</v>
      </c>
      <c r="G10" s="27">
        <f t="shared" si="10"/>
        <v>1</v>
      </c>
      <c r="H10" s="29">
        <v>1</v>
      </c>
      <c r="I10" s="27">
        <f t="shared" si="12"/>
        <v>1</v>
      </c>
      <c r="J10" s="27">
        <f t="shared" si="11"/>
        <v>1</v>
      </c>
      <c r="K10" s="27">
        <f t="shared" si="11"/>
        <v>1</v>
      </c>
      <c r="L10" s="27">
        <f t="shared" si="11"/>
        <v>1</v>
      </c>
      <c r="M10" s="27">
        <f t="shared" si="11"/>
        <v>1</v>
      </c>
      <c r="N10" t="s">
        <v>64</v>
      </c>
    </row>
    <row r="11" spans="1:14" x14ac:dyDescent="0.25">
      <c r="B11" t="s">
        <v>20</v>
      </c>
      <c r="C11" s="25">
        <f t="shared" si="12"/>
        <v>0.01</v>
      </c>
      <c r="D11" s="25">
        <f t="shared" si="10"/>
        <v>0.01</v>
      </c>
      <c r="E11" s="25">
        <f t="shared" si="10"/>
        <v>0.01</v>
      </c>
      <c r="F11" s="25">
        <f t="shared" si="10"/>
        <v>0.01</v>
      </c>
      <c r="G11" s="25">
        <f t="shared" si="10"/>
        <v>0.01</v>
      </c>
      <c r="H11" s="30">
        <v>0.01</v>
      </c>
      <c r="I11" s="25">
        <f t="shared" si="12"/>
        <v>0.01</v>
      </c>
      <c r="J11" s="25">
        <f t="shared" si="11"/>
        <v>0.01</v>
      </c>
      <c r="K11" s="25">
        <f t="shared" si="11"/>
        <v>0.01</v>
      </c>
      <c r="L11" s="25">
        <f t="shared" si="11"/>
        <v>0.01</v>
      </c>
      <c r="M11" s="25">
        <f t="shared" si="11"/>
        <v>0.01</v>
      </c>
      <c r="N11" t="s">
        <v>64</v>
      </c>
    </row>
    <row r="12" spans="1:14" x14ac:dyDescent="0.25">
      <c r="N12" t="s">
        <v>64</v>
      </c>
    </row>
    <row r="13" spans="1:14" x14ac:dyDescent="0.25">
      <c r="B13" t="s">
        <v>33</v>
      </c>
      <c r="C13" s="27">
        <f ca="1">_xll.meMathEuropeanIRSwaptionPrice(C5,C6,C7,C8,C9,C10)</f>
        <v>0.50742901084041636</v>
      </c>
      <c r="D13" s="27">
        <f ca="1">_xll.meMathEuropeanIRSwaptionPrice(D5,D6,D7,D8,D9,D10)</f>
        <v>3.9914343421842515</v>
      </c>
      <c r="E13" s="27">
        <f ca="1">_xll.meMathEuropeanIRSwaptionPrice(E5,E6,E7,E8,E9,E10)</f>
        <v>20.16873279726509</v>
      </c>
      <c r="F13" s="27">
        <f ca="1">_xll.meMathEuropeanIRSwaptionPrice(F5,F6,F7,F8,F9,F10)</f>
        <v>71.238089607366874</v>
      </c>
      <c r="G13" s="27">
        <f ca="1">_xll.meMathEuropeanIRSwaptionPrice(G5,G6,G7,G8,G9,G10)</f>
        <v>188.80632480607258</v>
      </c>
      <c r="H13" s="136">
        <f ca="1">_xll.meMathEuropeanIRSwaptionPrice(H5,H6,H7,H8,H9,H10)</f>
        <v>398.77611676744965</v>
      </c>
      <c r="I13" s="27">
        <f ca="1">_xll.meMathEuropeanIRSwaptionPrice(I5,I6,I7,I8,I9,I10)</f>
        <v>706.40191378988357</v>
      </c>
      <c r="J13" s="27">
        <f ca="1">_xll.meMathEuropeanIRSwaptionPrice(J5,J6,J7,J8,J9,J10)</f>
        <v>1095.3947391857221</v>
      </c>
      <c r="K13" s="27">
        <f ca="1">_xll.meMathEuropeanIRSwaptionPrice(K5,K6,K7,K8,K9,K10)</f>
        <v>1539.4938837716431</v>
      </c>
      <c r="L13" s="27">
        <f ca="1">_xll.meMathEuropeanIRSwaptionPrice(L5,L6,L7,L8,L9,L10)</f>
        <v>2014.7332263256972</v>
      </c>
      <c r="M13" s="27">
        <f ca="1">_xll.meMathEuropeanIRSwaptionPrice(M5,M6,M7,M8,M9,M10)</f>
        <v>2504.9892929277321</v>
      </c>
      <c r="N13" t="s">
        <v>64</v>
      </c>
    </row>
    <row r="14" spans="1:14" x14ac:dyDescent="0.25">
      <c r="B14" t="s">
        <v>63</v>
      </c>
      <c r="C14" s="25">
        <f ca="1">_xll.meMathEuropeanIRSwaptionImpliedVol(C13,C5,C6,C7,C8,C10)</f>
        <v>0.10000000000012797</v>
      </c>
      <c r="D14" s="25">
        <f ca="1">_xll.meMathEuropeanIRSwaptionImpliedVol(D13,D5,D6,D7,D8,D10)</f>
        <v>0.10000000000004852</v>
      </c>
      <c r="E14" s="25">
        <f ca="1">_xll.meMathEuropeanIRSwaptionImpliedVol(E13,E5,E6,E7,E8,E10)</f>
        <v>0.10000000000000067</v>
      </c>
      <c r="F14" s="25">
        <f ca="1">_xll.meMathEuropeanIRSwaptionImpliedVol(F13,F5,F6,F7,F8,F10)</f>
        <v>0.10000000000000552</v>
      </c>
      <c r="G14" s="25">
        <f ca="1">_xll.meMathEuropeanIRSwaptionImpliedVol(G13,G5,G6,G7,G8,G10)</f>
        <v>0.10000000000000017</v>
      </c>
      <c r="H14" s="25">
        <f ca="1">_xll.meMathEuropeanIRSwaptionImpliedVol(H13,H5,H6,H7,H8,H10)</f>
        <v>0.10000000000000007</v>
      </c>
      <c r="I14" s="25">
        <f ca="1">_xll.meMathEuropeanIRSwaptionImpliedVol(I13,I5,I6,I7,I8,I10)</f>
        <v>9.9999999999999867E-2</v>
      </c>
      <c r="J14" s="25">
        <f ca="1">_xll.meMathEuropeanIRSwaptionImpliedVol(J13,J5,J6,J7,J8,J10)</f>
        <v>0.10000000000000042</v>
      </c>
      <c r="K14" s="25">
        <f ca="1">_xll.meMathEuropeanIRSwaptionImpliedVol(K13,K5,K6,K7,K8,K10)</f>
        <v>0.10000000000000307</v>
      </c>
      <c r="L14" s="25">
        <f ca="1">_xll.meMathEuropeanIRSwaptionImpliedVol(L13,L5,L6,L7,L8,L10)</f>
        <v>0.10000000000001369</v>
      </c>
      <c r="M14" s="25">
        <f ca="1">_xll.meMathEuropeanIRSwaptionImpliedVol(M13,M5,M6,M7,M8,M10)</f>
        <v>0.100000000000044</v>
      </c>
      <c r="N14" t="s">
        <v>64</v>
      </c>
    </row>
    <row r="15" spans="1:14" x14ac:dyDescent="0.25">
      <c r="C15" s="103"/>
      <c r="N15" t="s">
        <v>64</v>
      </c>
    </row>
    <row r="16" spans="1:14" x14ac:dyDescent="0.25">
      <c r="N16" t="s">
        <v>64</v>
      </c>
    </row>
    <row r="17" spans="1:14" x14ac:dyDescent="0.25">
      <c r="C17" s="103"/>
      <c r="N17" s="21"/>
    </row>
    <row r="18" spans="1:14" x14ac:dyDescent="0.25">
      <c r="B18" s="35" t="s">
        <v>74</v>
      </c>
      <c r="N18" t="s">
        <v>64</v>
      </c>
    </row>
    <row r="19" spans="1:14" x14ac:dyDescent="0.25">
      <c r="B19" t="s">
        <v>73</v>
      </c>
      <c r="C19" s="25">
        <v>-0.01</v>
      </c>
      <c r="D19" s="25">
        <v>-0.01</v>
      </c>
      <c r="E19" s="25">
        <v>-0.01</v>
      </c>
      <c r="F19" s="25">
        <v>-0.01</v>
      </c>
      <c r="G19" s="25">
        <v>-0.01</v>
      </c>
      <c r="H19" s="25">
        <v>-0.01</v>
      </c>
      <c r="I19" s="25">
        <v>-0.01</v>
      </c>
      <c r="J19" s="25">
        <v>-0.01</v>
      </c>
      <c r="K19" s="25">
        <v>-0.01</v>
      </c>
      <c r="L19" s="25">
        <v>-0.01</v>
      </c>
      <c r="M19" s="25">
        <v>-0.01</v>
      </c>
    </row>
    <row r="20" spans="1:14" x14ac:dyDescent="0.25">
      <c r="A20" s="141"/>
      <c r="B20" t="s">
        <v>75</v>
      </c>
      <c r="C20" s="25">
        <f ca="1">_xll.meMathEuropeanIRSwaptionImpliedVol(C13,C5,C6,C7,C8,C10,C19)</f>
        <v>1.478795232701286E-2</v>
      </c>
      <c r="D20" s="25">
        <f ca="1">_xll.meMathEuropeanIRSwaptionImpliedVol(D13,D5,D6,D7,D8,D10,D19)</f>
        <v>1.5186530204269043E-2</v>
      </c>
      <c r="E20" s="25">
        <f ca="1">_xll.meMathEuropeanIRSwaptionImpliedVol(E13,E5,E6,E7,E8,E10,E19)</f>
        <v>1.557204501985872E-2</v>
      </c>
      <c r="F20" s="25">
        <f ca="1">_xll.meMathEuropeanIRSwaptionImpliedVol(F13,F5,F6,F7,F8,F10,F19)</f>
        <v>1.5945533771471034E-2</v>
      </c>
      <c r="G20" s="25">
        <f ca="1">_xll.meMathEuropeanIRSwaptionImpliedVol(G13,G5,G6,G7,G8,G10,G19)</f>
        <v>1.6307895748249788E-2</v>
      </c>
      <c r="H20" s="25">
        <f ca="1">_xll.meMathEuropeanIRSwaptionImpliedVol(H13,H5,H6,H7,H8,H10,H19)</f>
        <v>1.6659917490591886E-2</v>
      </c>
      <c r="I20" s="25">
        <f ca="1">_xll.meMathEuropeanIRSwaptionImpliedVol(I13,I5,I6,I7,I8,I10,I19)</f>
        <v>1.7002292169011383E-2</v>
      </c>
      <c r="J20" s="25">
        <f ca="1">_xll.meMathEuropeanIRSwaptionImpliedVol(J13,J5,J6,J7,J8,J10,J19)</f>
        <v>1.7335634839553145E-2</v>
      </c>
      <c r="K20" s="25">
        <f ca="1">_xll.meMathEuropeanIRSwaptionImpliedVol(K13,K5,K6,K7,K8,K10,K19)</f>
        <v>1.7660494603499843E-2</v>
      </c>
      <c r="L20" s="25">
        <f ca="1">_xll.meMathEuropeanIRSwaptionImpliedVol(L13,L5,L6,L7,L8,L10,L19)</f>
        <v>1.7977364409082833E-2</v>
      </c>
      <c r="M20" s="25">
        <f ca="1">_xll.meMathEuropeanIRSwaptionImpliedVol(M13,M5,M6,M7,M8,M10,M19)</f>
        <v>1.828668903337163E-2</v>
      </c>
    </row>
    <row r="21" spans="1:14" x14ac:dyDescent="0.25">
      <c r="B21" t="s">
        <v>33</v>
      </c>
      <c r="C21" s="27">
        <f ca="1">_xll.meMathEuropeanIRSwaptionPrice(C5,C6,C7,C8,C20,C10,C19)</f>
        <v>0.50742901089632053</v>
      </c>
      <c r="D21" s="27">
        <f ca="1">_xll.meMathEuropeanIRSwaptionPrice(D5,D6,D7,D8,D20,D10,D19)</f>
        <v>3.9914343422003453</v>
      </c>
      <c r="E21" s="27">
        <f ca="1">_xll.meMathEuropeanIRSwaptionPrice(E5,E6,E7,E8,E20,E10,E19)</f>
        <v>20.168732797351758</v>
      </c>
      <c r="F21" s="27">
        <f ca="1">_xll.meMathEuropeanIRSwaptionPrice(F5,F6,F7,F8,F20,F10,F19)</f>
        <v>71.238089607372032</v>
      </c>
      <c r="G21" s="27">
        <f ca="1">_xll.meMathEuropeanIRSwaptionPrice(G5,G6,G7,G8,G20,G10,G19)</f>
        <v>188.80632480607366</v>
      </c>
      <c r="H21" s="27">
        <f ca="1">_xll.meMathEuropeanIRSwaptionPrice(H5,H6,H7,H8,H20,H10,H19)</f>
        <v>398.77611676744641</v>
      </c>
      <c r="I21" s="27">
        <f ca="1">_xll.meMathEuropeanIRSwaptionPrice(I5,I6,I7,I8,I20,I10,I19)</f>
        <v>706.40191378989334</v>
      </c>
      <c r="J21" s="27">
        <f ca="1">_xll.meMathEuropeanIRSwaptionPrice(J5,J6,J7,J8,J20,J10,J19)</f>
        <v>1095.3947391857678</v>
      </c>
      <c r="K21" s="27">
        <f ca="1">_xll.meMathEuropeanIRSwaptionPrice(K5,K6,K7,K8,K20,K10,K19)</f>
        <v>1539.493883771642</v>
      </c>
      <c r="L21" s="27">
        <f ca="1">_xll.meMathEuropeanIRSwaptionPrice(L5,L6,L7,L8,L20,L10,L19)</f>
        <v>2014.7332263256972</v>
      </c>
      <c r="M21" s="27">
        <f ca="1">_xll.meMathEuropeanIRSwaptionPrice(M5,M6,M7,M8,M20,M10,M19)</f>
        <v>2504.9892929277385</v>
      </c>
    </row>
    <row r="22" spans="1:14" x14ac:dyDescent="0.25">
      <c r="B22" t="s">
        <v>76</v>
      </c>
      <c r="C22" s="23">
        <f ca="1">C21-C13</f>
        <v>5.5904170181975132E-11</v>
      </c>
      <c r="D22" s="23">
        <f ca="1">D21-D13</f>
        <v>1.6093792964966269E-11</v>
      </c>
      <c r="E22" s="23">
        <f t="shared" ref="E22:M22" ca="1" si="13">E21-E13</f>
        <v>8.666845019433822E-11</v>
      </c>
      <c r="F22" s="23">
        <f t="shared" ca="1" si="13"/>
        <v>5.1585402616183273E-12</v>
      </c>
      <c r="G22" s="23">
        <f t="shared" ca="1" si="13"/>
        <v>1.0800249583553523E-12</v>
      </c>
      <c r="H22" s="23">
        <f t="shared" ca="1" si="13"/>
        <v>-3.2400748750660568E-12</v>
      </c>
      <c r="I22" s="23">
        <f t="shared" ca="1" si="13"/>
        <v>9.7770680440589786E-12</v>
      </c>
      <c r="J22" s="23">
        <f t="shared" ca="1" si="13"/>
        <v>4.5702108764089644E-11</v>
      </c>
      <c r="K22" s="23">
        <f t="shared" ca="1" si="13"/>
        <v>0</v>
      </c>
      <c r="L22" s="23">
        <f t="shared" ca="1" si="13"/>
        <v>0</v>
      </c>
      <c r="M22" s="23">
        <f t="shared" ca="1" si="13"/>
        <v>6.3664629124104977E-12</v>
      </c>
    </row>
  </sheetData>
  <dataValidations count="1">
    <dataValidation type="list" allowBlank="1" showInputMessage="1" showErrorMessage="1" sqref="C5:M5">
      <formula1>"PAYER,RECEIVER"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05"/>
  <sheetViews>
    <sheetView workbookViewId="0"/>
  </sheetViews>
  <sheetFormatPr defaultRowHeight="15" x14ac:dyDescent="0.25"/>
  <cols>
    <col min="2" max="2" width="16" bestFit="1" customWidth="1"/>
    <col min="3" max="3" width="11.7109375" bestFit="1" customWidth="1"/>
    <col min="4" max="4" width="9.7109375" bestFit="1" customWidth="1"/>
    <col min="10" max="10" width="9.85546875" bestFit="1" customWidth="1"/>
    <col min="11" max="12" width="12.140625" bestFit="1" customWidth="1"/>
    <col min="13" max="24" width="12" bestFit="1" customWidth="1"/>
  </cols>
  <sheetData>
    <row r="2" spans="1:24" x14ac:dyDescent="0.25">
      <c r="A2" s="112"/>
      <c r="B2" s="112"/>
      <c r="C2" s="112"/>
      <c r="D2" s="112"/>
      <c r="E2" s="132" t="s">
        <v>18</v>
      </c>
      <c r="F2" s="133">
        <v>0.1</v>
      </c>
      <c r="G2" s="112"/>
      <c r="H2" s="112"/>
      <c r="I2" s="112"/>
      <c r="J2" s="101" t="s">
        <v>66</v>
      </c>
      <c r="K2" s="127" t="b">
        <v>0</v>
      </c>
    </row>
    <row r="3" spans="1:24" x14ac:dyDescent="0.25">
      <c r="A3" s="112"/>
      <c r="B3" s="112"/>
      <c r="C3" s="112"/>
      <c r="D3" s="112"/>
      <c r="E3" s="112"/>
      <c r="F3" s="112"/>
      <c r="G3" s="112"/>
      <c r="H3" s="112"/>
      <c r="I3" s="112"/>
    </row>
    <row r="4" spans="1:24" x14ac:dyDescent="0.25">
      <c r="A4" s="112"/>
      <c r="B4" s="116" t="s">
        <v>70</v>
      </c>
      <c r="C4" s="117" t="s">
        <v>67</v>
      </c>
      <c r="D4" s="117" t="s">
        <v>69</v>
      </c>
      <c r="E4" s="117" t="s">
        <v>17</v>
      </c>
      <c r="F4" s="118" t="s">
        <v>18</v>
      </c>
      <c r="G4" s="117" t="s">
        <v>19</v>
      </c>
      <c r="H4" s="118" t="s">
        <v>20</v>
      </c>
      <c r="I4" s="112"/>
      <c r="J4" s="101" t="s">
        <v>33</v>
      </c>
      <c r="K4" s="101" t="s">
        <v>63</v>
      </c>
      <c r="L4" s="101"/>
    </row>
    <row r="5" spans="1:24" x14ac:dyDescent="0.25">
      <c r="A5" s="112">
        <v>1</v>
      </c>
      <c r="B5" s="119" t="s">
        <v>71</v>
      </c>
      <c r="C5" s="139">
        <v>5000000</v>
      </c>
      <c r="D5" s="134">
        <v>2E-3</v>
      </c>
      <c r="E5" s="124">
        <v>2E-3</v>
      </c>
      <c r="F5" s="124">
        <f t="shared" ref="F5:F68" si="0">$F$2</f>
        <v>0.1</v>
      </c>
      <c r="G5" s="123">
        <v>1</v>
      </c>
      <c r="H5" s="124">
        <v>0.01</v>
      </c>
      <c r="J5" s="128">
        <f t="array" aca="1" ref="J5:J404" ca="1">_xll.meMathEuropeanIRSwaptionPrices(B5:B404,C5:C404,D5:D404,E5:E404,F5:F404,G5:G404,,$K$2)</f>
        <v>398.77611676745022</v>
      </c>
      <c r="K5" s="129">
        <f t="array" aca="1" ref="K5:K404" ca="1">_xll.meMathEuropeanIRSwaptionImpliedVols(J5:J404,B5:B404,C5:C404,D5:D404,E5:E404,G5:G404,,$K$2)</f>
        <v>0.1000000000000002</v>
      </c>
      <c r="L5" s="7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</row>
    <row r="6" spans="1:24" x14ac:dyDescent="0.25">
      <c r="A6" s="112">
        <v>2</v>
      </c>
      <c r="B6" s="119" t="s">
        <v>71</v>
      </c>
      <c r="C6" s="139">
        <v>5000000</v>
      </c>
      <c r="D6" s="134">
        <v>2E-3</v>
      </c>
      <c r="E6" s="124">
        <v>2E-3</v>
      </c>
      <c r="F6" s="124">
        <f t="shared" si="0"/>
        <v>0.1</v>
      </c>
      <c r="G6" s="123">
        <v>1</v>
      </c>
      <c r="H6" s="124">
        <v>0.01</v>
      </c>
      <c r="J6" s="130">
        <f ca="1"/>
        <v>398.77611676745022</v>
      </c>
      <c r="K6" s="131">
        <f ca="1"/>
        <v>0.1000000000000002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</row>
    <row r="7" spans="1:24" x14ac:dyDescent="0.25">
      <c r="A7" s="112">
        <v>3</v>
      </c>
      <c r="B7" s="119" t="s">
        <v>71</v>
      </c>
      <c r="C7" s="139">
        <v>5000000</v>
      </c>
      <c r="D7" s="134">
        <v>2E-3</v>
      </c>
      <c r="E7" s="124">
        <v>2E-3</v>
      </c>
      <c r="F7" s="124">
        <f t="shared" si="0"/>
        <v>0.1</v>
      </c>
      <c r="G7" s="123">
        <v>1</v>
      </c>
      <c r="H7" s="124">
        <v>0.01</v>
      </c>
      <c r="J7" s="130">
        <f ca="1"/>
        <v>398.77611676745022</v>
      </c>
      <c r="K7" s="131">
        <f ca="1"/>
        <v>0.1000000000000002</v>
      </c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</row>
    <row r="8" spans="1:24" x14ac:dyDescent="0.25">
      <c r="A8" s="112">
        <v>4</v>
      </c>
      <c r="B8" s="119" t="s">
        <v>71</v>
      </c>
      <c r="C8" s="139">
        <v>5000000</v>
      </c>
      <c r="D8" s="134">
        <v>2E-3</v>
      </c>
      <c r="E8" s="124">
        <v>2E-3</v>
      </c>
      <c r="F8" s="124">
        <f t="shared" si="0"/>
        <v>0.1</v>
      </c>
      <c r="G8" s="123">
        <v>1</v>
      </c>
      <c r="H8" s="124">
        <v>0.01</v>
      </c>
      <c r="J8" s="130">
        <f ca="1"/>
        <v>398.77611676745022</v>
      </c>
      <c r="K8" s="131">
        <f ca="1"/>
        <v>0.1000000000000002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</row>
    <row r="9" spans="1:24" x14ac:dyDescent="0.25">
      <c r="A9" s="112">
        <v>5</v>
      </c>
      <c r="B9" s="119" t="s">
        <v>71</v>
      </c>
      <c r="C9" s="139">
        <v>5000000</v>
      </c>
      <c r="D9" s="134">
        <v>2E-3</v>
      </c>
      <c r="E9" s="124">
        <v>2E-3</v>
      </c>
      <c r="F9" s="124">
        <f t="shared" si="0"/>
        <v>0.1</v>
      </c>
      <c r="G9" s="123">
        <v>1</v>
      </c>
      <c r="H9" s="124">
        <v>0.01</v>
      </c>
      <c r="J9" s="130">
        <f ca="1"/>
        <v>398.77611676745022</v>
      </c>
      <c r="K9" s="131">
        <f ca="1"/>
        <v>0.1000000000000002</v>
      </c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</row>
    <row r="10" spans="1:24" x14ac:dyDescent="0.25">
      <c r="A10" s="112">
        <v>6</v>
      </c>
      <c r="B10" s="119" t="s">
        <v>71</v>
      </c>
      <c r="C10" s="139">
        <v>5000000</v>
      </c>
      <c r="D10" s="134">
        <v>2E-3</v>
      </c>
      <c r="E10" s="124">
        <v>2E-3</v>
      </c>
      <c r="F10" s="124">
        <f t="shared" si="0"/>
        <v>0.1</v>
      </c>
      <c r="G10" s="123">
        <v>1</v>
      </c>
      <c r="H10" s="124">
        <v>0.01</v>
      </c>
      <c r="J10" s="130">
        <f ca="1"/>
        <v>398.77611676745022</v>
      </c>
      <c r="K10" s="131">
        <f ca="1"/>
        <v>0.1000000000000002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</row>
    <row r="11" spans="1:24" x14ac:dyDescent="0.25">
      <c r="A11" s="112">
        <v>7</v>
      </c>
      <c r="B11" s="119" t="s">
        <v>71</v>
      </c>
      <c r="C11" s="139">
        <v>5000000</v>
      </c>
      <c r="D11" s="134">
        <v>2E-3</v>
      </c>
      <c r="E11" s="124">
        <v>2E-3</v>
      </c>
      <c r="F11" s="124">
        <f t="shared" si="0"/>
        <v>0.1</v>
      </c>
      <c r="G11" s="123">
        <v>1</v>
      </c>
      <c r="H11" s="124">
        <v>0.01</v>
      </c>
      <c r="J11" s="130">
        <f ca="1"/>
        <v>398.77611676745022</v>
      </c>
      <c r="K11" s="131">
        <f ca="1"/>
        <v>0.1000000000000002</v>
      </c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</row>
    <row r="12" spans="1:24" x14ac:dyDescent="0.25">
      <c r="A12" s="112">
        <v>8</v>
      </c>
      <c r="B12" s="119" t="s">
        <v>71</v>
      </c>
      <c r="C12" s="139">
        <v>5000000</v>
      </c>
      <c r="D12" s="134">
        <v>2E-3</v>
      </c>
      <c r="E12" s="124">
        <v>2E-3</v>
      </c>
      <c r="F12" s="124">
        <f t="shared" si="0"/>
        <v>0.1</v>
      </c>
      <c r="G12" s="123">
        <v>1</v>
      </c>
      <c r="H12" s="124">
        <v>0.01</v>
      </c>
      <c r="J12" s="130">
        <f ca="1"/>
        <v>398.77611676745022</v>
      </c>
      <c r="K12" s="131">
        <f ca="1"/>
        <v>0.1000000000000002</v>
      </c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</row>
    <row r="13" spans="1:24" x14ac:dyDescent="0.25">
      <c r="A13" s="112">
        <v>9</v>
      </c>
      <c r="B13" s="119" t="s">
        <v>71</v>
      </c>
      <c r="C13" s="139">
        <v>5000000</v>
      </c>
      <c r="D13" s="134">
        <v>2E-3</v>
      </c>
      <c r="E13" s="124">
        <v>2E-3</v>
      </c>
      <c r="F13" s="124">
        <f t="shared" si="0"/>
        <v>0.1</v>
      </c>
      <c r="G13" s="123">
        <v>1</v>
      </c>
      <c r="H13" s="124">
        <v>0.01</v>
      </c>
      <c r="J13" s="130">
        <f ca="1"/>
        <v>398.77611676745022</v>
      </c>
      <c r="K13" s="131">
        <f ca="1"/>
        <v>0.1000000000000002</v>
      </c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</row>
    <row r="14" spans="1:24" x14ac:dyDescent="0.25">
      <c r="A14" s="112">
        <v>10</v>
      </c>
      <c r="B14" s="119" t="s">
        <v>71</v>
      </c>
      <c r="C14" s="139">
        <v>5000000</v>
      </c>
      <c r="D14" s="134">
        <v>2E-3</v>
      </c>
      <c r="E14" s="124">
        <v>2E-3</v>
      </c>
      <c r="F14" s="124">
        <f t="shared" si="0"/>
        <v>0.1</v>
      </c>
      <c r="G14" s="123">
        <v>1</v>
      </c>
      <c r="H14" s="124">
        <v>0.01</v>
      </c>
      <c r="J14" s="130">
        <f ca="1"/>
        <v>398.77611676745022</v>
      </c>
      <c r="K14" s="131">
        <f ca="1"/>
        <v>0.1000000000000002</v>
      </c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</row>
    <row r="15" spans="1:24" x14ac:dyDescent="0.25">
      <c r="A15" s="112">
        <v>11</v>
      </c>
      <c r="B15" s="119" t="s">
        <v>71</v>
      </c>
      <c r="C15" s="139">
        <v>5000000</v>
      </c>
      <c r="D15" s="134">
        <v>2E-3</v>
      </c>
      <c r="E15" s="124">
        <v>2E-3</v>
      </c>
      <c r="F15" s="124">
        <f t="shared" si="0"/>
        <v>0.1</v>
      </c>
      <c r="G15" s="123">
        <v>1</v>
      </c>
      <c r="H15" s="124">
        <v>0.01</v>
      </c>
      <c r="J15" s="130">
        <f ca="1"/>
        <v>398.77611676745022</v>
      </c>
      <c r="K15" s="131">
        <f ca="1"/>
        <v>0.1000000000000002</v>
      </c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</row>
    <row r="16" spans="1:24" x14ac:dyDescent="0.25">
      <c r="A16" s="112">
        <v>12</v>
      </c>
      <c r="B16" s="119" t="s">
        <v>71</v>
      </c>
      <c r="C16" s="139">
        <v>5000000</v>
      </c>
      <c r="D16" s="134">
        <v>2E-3</v>
      </c>
      <c r="E16" s="124">
        <v>2E-3</v>
      </c>
      <c r="F16" s="124">
        <f t="shared" si="0"/>
        <v>0.1</v>
      </c>
      <c r="G16" s="123">
        <v>1</v>
      </c>
      <c r="H16" s="124">
        <v>0.01</v>
      </c>
      <c r="J16" s="130">
        <f ca="1"/>
        <v>398.77611676745022</v>
      </c>
      <c r="K16" s="131">
        <f ca="1"/>
        <v>0.1000000000000002</v>
      </c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</row>
    <row r="17" spans="1:24" x14ac:dyDescent="0.25">
      <c r="A17" s="112">
        <v>13</v>
      </c>
      <c r="B17" s="119" t="s">
        <v>71</v>
      </c>
      <c r="C17" s="139">
        <v>5000000</v>
      </c>
      <c r="D17" s="134">
        <v>2E-3</v>
      </c>
      <c r="E17" s="124">
        <v>2E-3</v>
      </c>
      <c r="F17" s="124">
        <f t="shared" si="0"/>
        <v>0.1</v>
      </c>
      <c r="G17" s="123">
        <v>1</v>
      </c>
      <c r="H17" s="124">
        <v>0.01</v>
      </c>
      <c r="J17" s="130">
        <f ca="1"/>
        <v>398.77611676745022</v>
      </c>
      <c r="K17" s="131">
        <f ca="1"/>
        <v>0.1000000000000002</v>
      </c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</row>
    <row r="18" spans="1:24" x14ac:dyDescent="0.25">
      <c r="A18" s="112">
        <v>14</v>
      </c>
      <c r="B18" s="119" t="s">
        <v>71</v>
      </c>
      <c r="C18" s="139">
        <v>5000000</v>
      </c>
      <c r="D18" s="134">
        <v>2E-3</v>
      </c>
      <c r="E18" s="124">
        <v>2E-3</v>
      </c>
      <c r="F18" s="124">
        <f t="shared" si="0"/>
        <v>0.1</v>
      </c>
      <c r="G18" s="123">
        <v>1</v>
      </c>
      <c r="H18" s="124">
        <v>0.01</v>
      </c>
      <c r="J18" s="130">
        <f ca="1"/>
        <v>398.77611676745022</v>
      </c>
      <c r="K18" s="131">
        <f ca="1"/>
        <v>0.1000000000000002</v>
      </c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</row>
    <row r="19" spans="1:24" x14ac:dyDescent="0.25">
      <c r="A19" s="112">
        <v>15</v>
      </c>
      <c r="B19" s="119" t="s">
        <v>71</v>
      </c>
      <c r="C19" s="139">
        <v>5000000</v>
      </c>
      <c r="D19" s="134">
        <v>2E-3</v>
      </c>
      <c r="E19" s="124">
        <v>2E-3</v>
      </c>
      <c r="F19" s="124">
        <f t="shared" si="0"/>
        <v>0.1</v>
      </c>
      <c r="G19" s="123">
        <v>1</v>
      </c>
      <c r="H19" s="124">
        <v>0.01</v>
      </c>
      <c r="J19" s="130">
        <f ca="1"/>
        <v>398.77611676745022</v>
      </c>
      <c r="K19" s="131">
        <f ca="1"/>
        <v>0.1000000000000002</v>
      </c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</row>
    <row r="20" spans="1:24" x14ac:dyDescent="0.25">
      <c r="A20" s="112">
        <v>16</v>
      </c>
      <c r="B20" s="119" t="s">
        <v>71</v>
      </c>
      <c r="C20" s="139">
        <v>5000000</v>
      </c>
      <c r="D20" s="134">
        <v>2E-3</v>
      </c>
      <c r="E20" s="124">
        <v>2E-3</v>
      </c>
      <c r="F20" s="124">
        <f t="shared" si="0"/>
        <v>0.1</v>
      </c>
      <c r="G20" s="123">
        <v>1</v>
      </c>
      <c r="H20" s="124">
        <v>0.01</v>
      </c>
      <c r="J20" s="130">
        <f ca="1"/>
        <v>398.77611676745022</v>
      </c>
      <c r="K20" s="131">
        <f ca="1"/>
        <v>0.1000000000000002</v>
      </c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</row>
    <row r="21" spans="1:24" x14ac:dyDescent="0.25">
      <c r="A21" s="112">
        <v>17</v>
      </c>
      <c r="B21" s="119" t="s">
        <v>71</v>
      </c>
      <c r="C21" s="139">
        <v>5000000</v>
      </c>
      <c r="D21" s="134">
        <v>2E-3</v>
      </c>
      <c r="E21" s="124">
        <v>2E-3</v>
      </c>
      <c r="F21" s="124">
        <f t="shared" si="0"/>
        <v>0.1</v>
      </c>
      <c r="G21" s="123">
        <v>1</v>
      </c>
      <c r="H21" s="124">
        <v>0.01</v>
      </c>
      <c r="J21" s="130">
        <f ca="1"/>
        <v>398.77611676745022</v>
      </c>
      <c r="K21" s="131">
        <f ca="1"/>
        <v>0.1000000000000002</v>
      </c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</row>
    <row r="22" spans="1:24" x14ac:dyDescent="0.25">
      <c r="A22" s="112">
        <v>18</v>
      </c>
      <c r="B22" s="119" t="s">
        <v>71</v>
      </c>
      <c r="C22" s="139">
        <v>5000000</v>
      </c>
      <c r="D22" s="134">
        <v>2E-3</v>
      </c>
      <c r="E22" s="124">
        <v>2E-3</v>
      </c>
      <c r="F22" s="124">
        <f t="shared" si="0"/>
        <v>0.1</v>
      </c>
      <c r="G22" s="123">
        <v>1</v>
      </c>
      <c r="H22" s="124">
        <v>0.01</v>
      </c>
      <c r="J22" s="130">
        <f ca="1"/>
        <v>398.77611676745022</v>
      </c>
      <c r="K22" s="131">
        <f ca="1"/>
        <v>0.1000000000000002</v>
      </c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</row>
    <row r="23" spans="1:24" x14ac:dyDescent="0.25">
      <c r="A23" s="112">
        <v>19</v>
      </c>
      <c r="B23" s="119" t="s">
        <v>71</v>
      </c>
      <c r="C23" s="139">
        <v>5000000</v>
      </c>
      <c r="D23" s="134">
        <v>2E-3</v>
      </c>
      <c r="E23" s="124">
        <v>2E-3</v>
      </c>
      <c r="F23" s="124">
        <f t="shared" si="0"/>
        <v>0.1</v>
      </c>
      <c r="G23" s="123">
        <v>1</v>
      </c>
      <c r="H23" s="124">
        <v>0.01</v>
      </c>
      <c r="J23" s="130">
        <f ca="1"/>
        <v>398.77611676745022</v>
      </c>
      <c r="K23" s="131">
        <f ca="1"/>
        <v>0.1000000000000002</v>
      </c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</row>
    <row r="24" spans="1:24" x14ac:dyDescent="0.25">
      <c r="A24" s="112">
        <v>20</v>
      </c>
      <c r="B24" s="119" t="s">
        <v>71</v>
      </c>
      <c r="C24" s="139">
        <v>5000000</v>
      </c>
      <c r="D24" s="134">
        <v>2E-3</v>
      </c>
      <c r="E24" s="124">
        <v>2E-3</v>
      </c>
      <c r="F24" s="124">
        <f t="shared" si="0"/>
        <v>0.1</v>
      </c>
      <c r="G24" s="123">
        <v>1</v>
      </c>
      <c r="H24" s="124">
        <v>0.01</v>
      </c>
      <c r="J24" s="130">
        <f ca="1"/>
        <v>398.77611676745022</v>
      </c>
      <c r="K24" s="131">
        <f ca="1"/>
        <v>0.1000000000000002</v>
      </c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</row>
    <row r="25" spans="1:24" x14ac:dyDescent="0.25">
      <c r="A25" s="112">
        <v>21</v>
      </c>
      <c r="B25" s="119" t="s">
        <v>71</v>
      </c>
      <c r="C25" s="139">
        <v>5000000</v>
      </c>
      <c r="D25" s="134">
        <v>2E-3</v>
      </c>
      <c r="E25" s="124">
        <v>2E-3</v>
      </c>
      <c r="F25" s="124">
        <f t="shared" si="0"/>
        <v>0.1</v>
      </c>
      <c r="G25" s="123">
        <v>1</v>
      </c>
      <c r="H25" s="124">
        <v>0.01</v>
      </c>
      <c r="J25" s="130">
        <f ca="1"/>
        <v>398.77611676745022</v>
      </c>
      <c r="K25" s="131">
        <f ca="1"/>
        <v>0.1000000000000002</v>
      </c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</row>
    <row r="26" spans="1:24" x14ac:dyDescent="0.25">
      <c r="A26" s="112">
        <v>22</v>
      </c>
      <c r="B26" s="119" t="s">
        <v>71</v>
      </c>
      <c r="C26" s="139">
        <v>5000000</v>
      </c>
      <c r="D26" s="134">
        <v>2E-3</v>
      </c>
      <c r="E26" s="124">
        <v>2E-3</v>
      </c>
      <c r="F26" s="124">
        <f t="shared" si="0"/>
        <v>0.1</v>
      </c>
      <c r="G26" s="123">
        <v>1</v>
      </c>
      <c r="H26" s="124">
        <v>0.01</v>
      </c>
      <c r="J26" s="130">
        <f ca="1"/>
        <v>398.77611676745022</v>
      </c>
      <c r="K26" s="131">
        <f ca="1"/>
        <v>0.1000000000000002</v>
      </c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</row>
    <row r="27" spans="1:24" x14ac:dyDescent="0.25">
      <c r="A27" s="112">
        <v>23</v>
      </c>
      <c r="B27" s="119" t="s">
        <v>71</v>
      </c>
      <c r="C27" s="139">
        <v>5000000</v>
      </c>
      <c r="D27" s="134">
        <v>2E-3</v>
      </c>
      <c r="E27" s="124">
        <v>2E-3</v>
      </c>
      <c r="F27" s="124">
        <f t="shared" si="0"/>
        <v>0.1</v>
      </c>
      <c r="G27" s="123">
        <v>1</v>
      </c>
      <c r="H27" s="124">
        <v>0.01</v>
      </c>
      <c r="J27" s="130">
        <f ca="1"/>
        <v>398.77611676745022</v>
      </c>
      <c r="K27" s="131">
        <f ca="1"/>
        <v>0.1000000000000002</v>
      </c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</row>
    <row r="28" spans="1:24" x14ac:dyDescent="0.25">
      <c r="A28" s="112">
        <v>24</v>
      </c>
      <c r="B28" s="119" t="s">
        <v>71</v>
      </c>
      <c r="C28" s="139">
        <v>5000000</v>
      </c>
      <c r="D28" s="134">
        <v>2E-3</v>
      </c>
      <c r="E28" s="124">
        <v>2E-3</v>
      </c>
      <c r="F28" s="124">
        <f t="shared" si="0"/>
        <v>0.1</v>
      </c>
      <c r="G28" s="123">
        <v>1</v>
      </c>
      <c r="H28" s="124">
        <v>0.01</v>
      </c>
      <c r="J28" s="130">
        <f ca="1"/>
        <v>398.77611676745022</v>
      </c>
      <c r="K28" s="131">
        <f ca="1"/>
        <v>0.1000000000000002</v>
      </c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</row>
    <row r="29" spans="1:24" x14ac:dyDescent="0.25">
      <c r="A29" s="112">
        <v>25</v>
      </c>
      <c r="B29" s="119" t="s">
        <v>71</v>
      </c>
      <c r="C29" s="139">
        <v>5000000</v>
      </c>
      <c r="D29" s="134">
        <v>2E-3</v>
      </c>
      <c r="E29" s="124">
        <v>2E-3</v>
      </c>
      <c r="F29" s="124">
        <f t="shared" si="0"/>
        <v>0.1</v>
      </c>
      <c r="G29" s="123">
        <v>1</v>
      </c>
      <c r="H29" s="124">
        <v>0.01</v>
      </c>
      <c r="J29" s="130">
        <f ca="1"/>
        <v>398.77611676745022</v>
      </c>
      <c r="K29" s="131">
        <f ca="1"/>
        <v>0.1000000000000002</v>
      </c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</row>
    <row r="30" spans="1:24" x14ac:dyDescent="0.25">
      <c r="A30" s="112">
        <v>26</v>
      </c>
      <c r="B30" s="119" t="s">
        <v>71</v>
      </c>
      <c r="C30" s="139">
        <v>5000000</v>
      </c>
      <c r="D30" s="134">
        <v>2E-3</v>
      </c>
      <c r="E30" s="124">
        <v>2E-3</v>
      </c>
      <c r="F30" s="124">
        <f t="shared" si="0"/>
        <v>0.1</v>
      </c>
      <c r="G30" s="123">
        <v>1</v>
      </c>
      <c r="H30" s="124">
        <v>0.01</v>
      </c>
      <c r="J30" s="130">
        <f ca="1"/>
        <v>398.77611676745022</v>
      </c>
      <c r="K30" s="131">
        <f ca="1"/>
        <v>0.1000000000000002</v>
      </c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</row>
    <row r="31" spans="1:24" x14ac:dyDescent="0.25">
      <c r="A31" s="112">
        <v>27</v>
      </c>
      <c r="B31" s="119" t="s">
        <v>71</v>
      </c>
      <c r="C31" s="139">
        <v>5000000</v>
      </c>
      <c r="D31" s="134">
        <v>2E-3</v>
      </c>
      <c r="E31" s="124">
        <v>2E-3</v>
      </c>
      <c r="F31" s="124">
        <f t="shared" si="0"/>
        <v>0.1</v>
      </c>
      <c r="G31" s="123">
        <v>1</v>
      </c>
      <c r="H31" s="124">
        <v>0.01</v>
      </c>
      <c r="J31" s="130">
        <f ca="1"/>
        <v>398.77611676745022</v>
      </c>
      <c r="K31" s="131">
        <f ca="1"/>
        <v>0.1000000000000002</v>
      </c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</row>
    <row r="32" spans="1:24" x14ac:dyDescent="0.25">
      <c r="A32" s="112">
        <v>28</v>
      </c>
      <c r="B32" s="119" t="s">
        <v>71</v>
      </c>
      <c r="C32" s="139">
        <v>5000000</v>
      </c>
      <c r="D32" s="134">
        <v>2E-3</v>
      </c>
      <c r="E32" s="124">
        <v>2E-3</v>
      </c>
      <c r="F32" s="124">
        <f t="shared" si="0"/>
        <v>0.1</v>
      </c>
      <c r="G32" s="123">
        <v>1</v>
      </c>
      <c r="H32" s="124">
        <v>0.01</v>
      </c>
      <c r="J32" s="130">
        <f ca="1"/>
        <v>398.77611676745022</v>
      </c>
      <c r="K32" s="131">
        <f ca="1"/>
        <v>0.1000000000000002</v>
      </c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</row>
    <row r="33" spans="1:24" x14ac:dyDescent="0.25">
      <c r="A33" s="112">
        <v>29</v>
      </c>
      <c r="B33" s="119" t="s">
        <v>71</v>
      </c>
      <c r="C33" s="139">
        <v>5000000</v>
      </c>
      <c r="D33" s="134">
        <v>2E-3</v>
      </c>
      <c r="E33" s="124">
        <v>2E-3</v>
      </c>
      <c r="F33" s="124">
        <f t="shared" si="0"/>
        <v>0.1</v>
      </c>
      <c r="G33" s="123">
        <v>1</v>
      </c>
      <c r="H33" s="124">
        <v>0.01</v>
      </c>
      <c r="J33" s="130">
        <f ca="1"/>
        <v>398.77611676745022</v>
      </c>
      <c r="K33" s="131">
        <f ca="1"/>
        <v>0.1000000000000002</v>
      </c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</row>
    <row r="34" spans="1:24" x14ac:dyDescent="0.25">
      <c r="A34" s="112">
        <v>30</v>
      </c>
      <c r="B34" s="119" t="s">
        <v>71</v>
      </c>
      <c r="C34" s="139">
        <v>5000000</v>
      </c>
      <c r="D34" s="134">
        <v>2E-3</v>
      </c>
      <c r="E34" s="124">
        <v>2E-3</v>
      </c>
      <c r="F34" s="124">
        <f t="shared" si="0"/>
        <v>0.1</v>
      </c>
      <c r="G34" s="123">
        <v>1</v>
      </c>
      <c r="H34" s="124">
        <v>0.01</v>
      </c>
      <c r="J34" s="130">
        <f ca="1"/>
        <v>398.77611676745022</v>
      </c>
      <c r="K34" s="131">
        <f ca="1"/>
        <v>0.1000000000000002</v>
      </c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</row>
    <row r="35" spans="1:24" x14ac:dyDescent="0.25">
      <c r="A35" s="112">
        <v>31</v>
      </c>
      <c r="B35" s="119" t="s">
        <v>71</v>
      </c>
      <c r="C35" s="139">
        <v>5000000</v>
      </c>
      <c r="D35" s="134">
        <v>2E-3</v>
      </c>
      <c r="E35" s="124">
        <v>2E-3</v>
      </c>
      <c r="F35" s="124">
        <f t="shared" si="0"/>
        <v>0.1</v>
      </c>
      <c r="G35" s="123">
        <v>1</v>
      </c>
      <c r="H35" s="124">
        <v>0.01</v>
      </c>
      <c r="J35" s="130">
        <f ca="1"/>
        <v>398.77611676745022</v>
      </c>
      <c r="K35" s="131">
        <f ca="1"/>
        <v>0.1000000000000002</v>
      </c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</row>
    <row r="36" spans="1:24" x14ac:dyDescent="0.25">
      <c r="A36" s="112">
        <v>32</v>
      </c>
      <c r="B36" s="119" t="s">
        <v>71</v>
      </c>
      <c r="C36" s="139">
        <v>5000000</v>
      </c>
      <c r="D36" s="134">
        <v>2E-3</v>
      </c>
      <c r="E36" s="124">
        <v>2E-3</v>
      </c>
      <c r="F36" s="124">
        <f t="shared" si="0"/>
        <v>0.1</v>
      </c>
      <c r="G36" s="123">
        <v>1</v>
      </c>
      <c r="H36" s="124">
        <v>0.01</v>
      </c>
      <c r="J36" s="130">
        <f ca="1"/>
        <v>398.77611676745022</v>
      </c>
      <c r="K36" s="131">
        <f ca="1"/>
        <v>0.1000000000000002</v>
      </c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</row>
    <row r="37" spans="1:24" x14ac:dyDescent="0.25">
      <c r="A37" s="112">
        <v>33</v>
      </c>
      <c r="B37" s="119" t="s">
        <v>71</v>
      </c>
      <c r="C37" s="139">
        <v>5000000</v>
      </c>
      <c r="D37" s="134">
        <v>2E-3</v>
      </c>
      <c r="E37" s="124">
        <v>2E-3</v>
      </c>
      <c r="F37" s="124">
        <f t="shared" si="0"/>
        <v>0.1</v>
      </c>
      <c r="G37" s="123">
        <v>1</v>
      </c>
      <c r="H37" s="124">
        <v>0.01</v>
      </c>
      <c r="J37" s="130">
        <f ca="1"/>
        <v>398.77611676745022</v>
      </c>
      <c r="K37" s="131">
        <f ca="1"/>
        <v>0.1000000000000002</v>
      </c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</row>
    <row r="38" spans="1:24" x14ac:dyDescent="0.25">
      <c r="A38" s="112">
        <v>34</v>
      </c>
      <c r="B38" s="119" t="s">
        <v>71</v>
      </c>
      <c r="C38" s="139">
        <v>5000000</v>
      </c>
      <c r="D38" s="134">
        <v>2E-3</v>
      </c>
      <c r="E38" s="124">
        <v>2E-3</v>
      </c>
      <c r="F38" s="124">
        <f t="shared" si="0"/>
        <v>0.1</v>
      </c>
      <c r="G38" s="123">
        <v>1</v>
      </c>
      <c r="H38" s="124">
        <v>0.01</v>
      </c>
      <c r="J38" s="130">
        <f ca="1"/>
        <v>398.77611676745022</v>
      </c>
      <c r="K38" s="131">
        <f ca="1"/>
        <v>0.1000000000000002</v>
      </c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</row>
    <row r="39" spans="1:24" x14ac:dyDescent="0.25">
      <c r="A39" s="112">
        <v>35</v>
      </c>
      <c r="B39" s="119" t="s">
        <v>71</v>
      </c>
      <c r="C39" s="139">
        <v>5000000</v>
      </c>
      <c r="D39" s="134">
        <v>2E-3</v>
      </c>
      <c r="E39" s="124">
        <v>2E-3</v>
      </c>
      <c r="F39" s="124">
        <f t="shared" si="0"/>
        <v>0.1</v>
      </c>
      <c r="G39" s="123">
        <v>1</v>
      </c>
      <c r="H39" s="124">
        <v>0.01</v>
      </c>
      <c r="J39" s="130">
        <f ca="1"/>
        <v>398.77611676745022</v>
      </c>
      <c r="K39" s="131">
        <f ca="1"/>
        <v>0.1000000000000002</v>
      </c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</row>
    <row r="40" spans="1:24" x14ac:dyDescent="0.25">
      <c r="A40" s="112">
        <v>36</v>
      </c>
      <c r="B40" s="119" t="s">
        <v>71</v>
      </c>
      <c r="C40" s="139">
        <v>5000000</v>
      </c>
      <c r="D40" s="134">
        <v>2E-3</v>
      </c>
      <c r="E40" s="124">
        <v>2E-3</v>
      </c>
      <c r="F40" s="124">
        <f t="shared" si="0"/>
        <v>0.1</v>
      </c>
      <c r="G40" s="123">
        <v>1</v>
      </c>
      <c r="H40" s="124">
        <v>0.01</v>
      </c>
      <c r="J40" s="130">
        <f ca="1"/>
        <v>398.77611676745022</v>
      </c>
      <c r="K40" s="131">
        <f ca="1"/>
        <v>0.1000000000000002</v>
      </c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</row>
    <row r="41" spans="1:24" x14ac:dyDescent="0.25">
      <c r="A41" s="112">
        <v>37</v>
      </c>
      <c r="B41" s="119" t="s">
        <v>71</v>
      </c>
      <c r="C41" s="139">
        <v>5000000</v>
      </c>
      <c r="D41" s="134">
        <v>2E-3</v>
      </c>
      <c r="E41" s="124">
        <v>2E-3</v>
      </c>
      <c r="F41" s="124">
        <f t="shared" si="0"/>
        <v>0.1</v>
      </c>
      <c r="G41" s="123">
        <v>1</v>
      </c>
      <c r="H41" s="124">
        <v>0.01</v>
      </c>
      <c r="J41" s="130">
        <f ca="1"/>
        <v>398.77611676745022</v>
      </c>
      <c r="K41" s="131">
        <f ca="1"/>
        <v>0.1000000000000002</v>
      </c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</row>
    <row r="42" spans="1:24" x14ac:dyDescent="0.25">
      <c r="A42" s="112">
        <v>38</v>
      </c>
      <c r="B42" s="119" t="s">
        <v>71</v>
      </c>
      <c r="C42" s="139">
        <v>5000000</v>
      </c>
      <c r="D42" s="134">
        <v>2E-3</v>
      </c>
      <c r="E42" s="124">
        <v>2E-3</v>
      </c>
      <c r="F42" s="124">
        <f t="shared" si="0"/>
        <v>0.1</v>
      </c>
      <c r="G42" s="123">
        <v>1</v>
      </c>
      <c r="H42" s="124">
        <v>0.01</v>
      </c>
      <c r="J42" s="130">
        <f ca="1"/>
        <v>398.77611676745022</v>
      </c>
      <c r="K42" s="131">
        <f ca="1"/>
        <v>0.1000000000000002</v>
      </c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</row>
    <row r="43" spans="1:24" x14ac:dyDescent="0.25">
      <c r="A43" s="112">
        <v>39</v>
      </c>
      <c r="B43" s="119" t="s">
        <v>71</v>
      </c>
      <c r="C43" s="139">
        <v>5000000</v>
      </c>
      <c r="D43" s="134">
        <v>2E-3</v>
      </c>
      <c r="E43" s="124">
        <v>2E-3</v>
      </c>
      <c r="F43" s="124">
        <f t="shared" si="0"/>
        <v>0.1</v>
      </c>
      <c r="G43" s="123">
        <v>1</v>
      </c>
      <c r="H43" s="124">
        <v>0.01</v>
      </c>
      <c r="J43" s="130">
        <f ca="1"/>
        <v>398.77611676745022</v>
      </c>
      <c r="K43" s="131">
        <f ca="1"/>
        <v>0.1000000000000002</v>
      </c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</row>
    <row r="44" spans="1:24" x14ac:dyDescent="0.25">
      <c r="A44" s="112">
        <v>40</v>
      </c>
      <c r="B44" s="119" t="s">
        <v>71</v>
      </c>
      <c r="C44" s="139">
        <v>5000000</v>
      </c>
      <c r="D44" s="134">
        <v>2E-3</v>
      </c>
      <c r="E44" s="124">
        <v>2E-3</v>
      </c>
      <c r="F44" s="124">
        <f t="shared" si="0"/>
        <v>0.1</v>
      </c>
      <c r="G44" s="123">
        <v>1</v>
      </c>
      <c r="H44" s="124">
        <v>0.01</v>
      </c>
      <c r="J44" s="130">
        <f ca="1"/>
        <v>398.77611676745022</v>
      </c>
      <c r="K44" s="131">
        <f ca="1"/>
        <v>0.1000000000000002</v>
      </c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</row>
    <row r="45" spans="1:24" x14ac:dyDescent="0.25">
      <c r="A45" s="112">
        <v>41</v>
      </c>
      <c r="B45" s="119" t="s">
        <v>71</v>
      </c>
      <c r="C45" s="139">
        <v>5000000</v>
      </c>
      <c r="D45" s="134">
        <v>2E-3</v>
      </c>
      <c r="E45" s="124">
        <v>2E-3</v>
      </c>
      <c r="F45" s="124">
        <f t="shared" si="0"/>
        <v>0.1</v>
      </c>
      <c r="G45" s="123">
        <v>1</v>
      </c>
      <c r="H45" s="124">
        <v>0.01</v>
      </c>
      <c r="J45" s="130">
        <f ca="1"/>
        <v>398.77611676745022</v>
      </c>
      <c r="K45" s="131">
        <f ca="1"/>
        <v>0.1000000000000002</v>
      </c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</row>
    <row r="46" spans="1:24" x14ac:dyDescent="0.25">
      <c r="A46" s="112">
        <v>42</v>
      </c>
      <c r="B46" s="119" t="s">
        <v>71</v>
      </c>
      <c r="C46" s="139">
        <v>5000000</v>
      </c>
      <c r="D46" s="134">
        <v>2E-3</v>
      </c>
      <c r="E46" s="124">
        <v>2E-3</v>
      </c>
      <c r="F46" s="124">
        <f t="shared" si="0"/>
        <v>0.1</v>
      </c>
      <c r="G46" s="123">
        <v>1</v>
      </c>
      <c r="H46" s="124">
        <v>0.01</v>
      </c>
      <c r="J46" s="130">
        <f ca="1"/>
        <v>398.77611676745022</v>
      </c>
      <c r="K46" s="131">
        <f ca="1"/>
        <v>0.1000000000000002</v>
      </c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</row>
    <row r="47" spans="1:24" x14ac:dyDescent="0.25">
      <c r="A47" s="112">
        <v>43</v>
      </c>
      <c r="B47" s="119" t="s">
        <v>71</v>
      </c>
      <c r="C47" s="139">
        <v>5000000</v>
      </c>
      <c r="D47" s="134">
        <v>2E-3</v>
      </c>
      <c r="E47" s="124">
        <v>2E-3</v>
      </c>
      <c r="F47" s="124">
        <f t="shared" si="0"/>
        <v>0.1</v>
      </c>
      <c r="G47" s="123">
        <v>1</v>
      </c>
      <c r="H47" s="124">
        <v>0.01</v>
      </c>
      <c r="J47" s="130">
        <f ca="1"/>
        <v>398.77611676745022</v>
      </c>
      <c r="K47" s="131">
        <f ca="1"/>
        <v>0.1000000000000002</v>
      </c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</row>
    <row r="48" spans="1:24" x14ac:dyDescent="0.25">
      <c r="A48" s="112">
        <v>44</v>
      </c>
      <c r="B48" s="119" t="s">
        <v>71</v>
      </c>
      <c r="C48" s="139">
        <v>5000000</v>
      </c>
      <c r="D48" s="134">
        <v>2E-3</v>
      </c>
      <c r="E48" s="124">
        <v>2E-3</v>
      </c>
      <c r="F48" s="124">
        <f t="shared" si="0"/>
        <v>0.1</v>
      </c>
      <c r="G48" s="123">
        <v>1</v>
      </c>
      <c r="H48" s="124">
        <v>0.01</v>
      </c>
      <c r="J48" s="130">
        <f ca="1"/>
        <v>398.77611676745022</v>
      </c>
      <c r="K48" s="131">
        <f ca="1"/>
        <v>0.1000000000000002</v>
      </c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</row>
    <row r="49" spans="1:24" x14ac:dyDescent="0.25">
      <c r="A49" s="112">
        <v>45</v>
      </c>
      <c r="B49" s="119" t="s">
        <v>71</v>
      </c>
      <c r="C49" s="139">
        <v>5000000</v>
      </c>
      <c r="D49" s="134">
        <v>2E-3</v>
      </c>
      <c r="E49" s="124">
        <v>2E-3</v>
      </c>
      <c r="F49" s="124">
        <f t="shared" si="0"/>
        <v>0.1</v>
      </c>
      <c r="G49" s="123">
        <v>1</v>
      </c>
      <c r="H49" s="124">
        <v>0.01</v>
      </c>
      <c r="J49" s="130">
        <f ca="1"/>
        <v>398.77611676745022</v>
      </c>
      <c r="K49" s="131">
        <f ca="1"/>
        <v>0.1000000000000002</v>
      </c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</row>
    <row r="50" spans="1:24" x14ac:dyDescent="0.25">
      <c r="A50" s="112">
        <v>46</v>
      </c>
      <c r="B50" s="119" t="s">
        <v>71</v>
      </c>
      <c r="C50" s="139">
        <v>5000000</v>
      </c>
      <c r="D50" s="134">
        <v>2E-3</v>
      </c>
      <c r="E50" s="124">
        <v>2E-3</v>
      </c>
      <c r="F50" s="124">
        <f t="shared" si="0"/>
        <v>0.1</v>
      </c>
      <c r="G50" s="123">
        <v>1</v>
      </c>
      <c r="H50" s="124">
        <v>0.01</v>
      </c>
      <c r="J50" s="130">
        <f ca="1"/>
        <v>398.77611676745022</v>
      </c>
      <c r="K50" s="131">
        <f ca="1"/>
        <v>0.1000000000000002</v>
      </c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</row>
    <row r="51" spans="1:24" x14ac:dyDescent="0.25">
      <c r="A51" s="112">
        <v>47</v>
      </c>
      <c r="B51" s="119" t="s">
        <v>71</v>
      </c>
      <c r="C51" s="139">
        <v>5000000</v>
      </c>
      <c r="D51" s="134">
        <v>2E-3</v>
      </c>
      <c r="E51" s="124">
        <v>2E-3</v>
      </c>
      <c r="F51" s="124">
        <f t="shared" si="0"/>
        <v>0.1</v>
      </c>
      <c r="G51" s="123">
        <v>1</v>
      </c>
      <c r="H51" s="124">
        <v>0.01</v>
      </c>
      <c r="J51" s="130">
        <f ca="1"/>
        <v>398.77611676745022</v>
      </c>
      <c r="K51" s="131">
        <f ca="1"/>
        <v>0.1000000000000002</v>
      </c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</row>
    <row r="52" spans="1:24" x14ac:dyDescent="0.25">
      <c r="A52" s="112">
        <v>48</v>
      </c>
      <c r="B52" s="119" t="s">
        <v>71</v>
      </c>
      <c r="C52" s="139">
        <v>5000000</v>
      </c>
      <c r="D52" s="134">
        <v>2E-3</v>
      </c>
      <c r="E52" s="124">
        <v>2E-3</v>
      </c>
      <c r="F52" s="124">
        <f t="shared" si="0"/>
        <v>0.1</v>
      </c>
      <c r="G52" s="123">
        <v>1</v>
      </c>
      <c r="H52" s="124">
        <v>0.01</v>
      </c>
      <c r="J52" s="130">
        <f ca="1"/>
        <v>398.77611676745022</v>
      </c>
      <c r="K52" s="131">
        <f ca="1"/>
        <v>0.1000000000000002</v>
      </c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</row>
    <row r="53" spans="1:24" x14ac:dyDescent="0.25">
      <c r="A53" s="112">
        <v>49</v>
      </c>
      <c r="B53" s="119" t="s">
        <v>71</v>
      </c>
      <c r="C53" s="139">
        <v>5000000</v>
      </c>
      <c r="D53" s="134">
        <v>2E-3</v>
      </c>
      <c r="E53" s="124">
        <v>2E-3</v>
      </c>
      <c r="F53" s="124">
        <f t="shared" si="0"/>
        <v>0.1</v>
      </c>
      <c r="G53" s="123">
        <v>1</v>
      </c>
      <c r="H53" s="124">
        <v>0.01</v>
      </c>
      <c r="J53" s="130">
        <f ca="1"/>
        <v>398.77611676745022</v>
      </c>
      <c r="K53" s="131">
        <f ca="1"/>
        <v>0.1000000000000002</v>
      </c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</row>
    <row r="54" spans="1:24" x14ac:dyDescent="0.25">
      <c r="A54" s="112">
        <v>50</v>
      </c>
      <c r="B54" s="119" t="s">
        <v>71</v>
      </c>
      <c r="C54" s="139">
        <v>5000000</v>
      </c>
      <c r="D54" s="134">
        <v>2E-3</v>
      </c>
      <c r="E54" s="124">
        <v>2E-3</v>
      </c>
      <c r="F54" s="124">
        <f t="shared" si="0"/>
        <v>0.1</v>
      </c>
      <c r="G54" s="123">
        <v>1</v>
      </c>
      <c r="H54" s="124">
        <v>0.01</v>
      </c>
      <c r="J54" s="130">
        <f ca="1"/>
        <v>398.77611676745022</v>
      </c>
      <c r="K54" s="131">
        <f ca="1"/>
        <v>0.1000000000000002</v>
      </c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</row>
    <row r="55" spans="1:24" x14ac:dyDescent="0.25">
      <c r="A55" s="112">
        <v>51</v>
      </c>
      <c r="B55" s="119" t="s">
        <v>71</v>
      </c>
      <c r="C55" s="139">
        <v>5000000</v>
      </c>
      <c r="D55" s="134">
        <v>2E-3</v>
      </c>
      <c r="E55" s="124">
        <v>2E-3</v>
      </c>
      <c r="F55" s="124">
        <f t="shared" si="0"/>
        <v>0.1</v>
      </c>
      <c r="G55" s="123">
        <v>1</v>
      </c>
      <c r="H55" s="124">
        <v>0.01</v>
      </c>
      <c r="J55" s="130">
        <f ca="1"/>
        <v>398.77611676745022</v>
      </c>
      <c r="K55" s="131">
        <f ca="1"/>
        <v>0.1000000000000002</v>
      </c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</row>
    <row r="56" spans="1:24" x14ac:dyDescent="0.25">
      <c r="A56" s="112">
        <v>52</v>
      </c>
      <c r="B56" s="119" t="s">
        <v>71</v>
      </c>
      <c r="C56" s="139">
        <v>5000000</v>
      </c>
      <c r="D56" s="134">
        <v>2E-3</v>
      </c>
      <c r="E56" s="124">
        <v>2E-3</v>
      </c>
      <c r="F56" s="124">
        <f t="shared" si="0"/>
        <v>0.1</v>
      </c>
      <c r="G56" s="123">
        <v>1</v>
      </c>
      <c r="H56" s="124">
        <v>0.01</v>
      </c>
      <c r="J56" s="130">
        <f ca="1"/>
        <v>398.77611676745022</v>
      </c>
      <c r="K56" s="131">
        <f ca="1"/>
        <v>0.1000000000000002</v>
      </c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</row>
    <row r="57" spans="1:24" x14ac:dyDescent="0.25">
      <c r="A57" s="112">
        <v>53</v>
      </c>
      <c r="B57" s="119" t="s">
        <v>71</v>
      </c>
      <c r="C57" s="139">
        <v>5000000</v>
      </c>
      <c r="D57" s="134">
        <v>2E-3</v>
      </c>
      <c r="E57" s="124">
        <v>2E-3</v>
      </c>
      <c r="F57" s="124">
        <f t="shared" si="0"/>
        <v>0.1</v>
      </c>
      <c r="G57" s="123">
        <v>1</v>
      </c>
      <c r="H57" s="124">
        <v>0.01</v>
      </c>
      <c r="J57" s="130">
        <f ca="1"/>
        <v>398.77611676745022</v>
      </c>
      <c r="K57" s="131">
        <f ca="1"/>
        <v>0.1000000000000002</v>
      </c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</row>
    <row r="58" spans="1:24" x14ac:dyDescent="0.25">
      <c r="A58" s="112">
        <v>54</v>
      </c>
      <c r="B58" s="119" t="s">
        <v>71</v>
      </c>
      <c r="C58" s="139">
        <v>5000000</v>
      </c>
      <c r="D58" s="134">
        <v>2E-3</v>
      </c>
      <c r="E58" s="124">
        <v>2E-3</v>
      </c>
      <c r="F58" s="124">
        <f t="shared" si="0"/>
        <v>0.1</v>
      </c>
      <c r="G58" s="123">
        <v>1</v>
      </c>
      <c r="H58" s="124">
        <v>0.01</v>
      </c>
      <c r="J58" s="130">
        <f ca="1"/>
        <v>398.77611676745022</v>
      </c>
      <c r="K58" s="131">
        <f ca="1"/>
        <v>0.1000000000000002</v>
      </c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</row>
    <row r="59" spans="1:24" x14ac:dyDescent="0.25">
      <c r="A59" s="112">
        <v>55</v>
      </c>
      <c r="B59" s="119" t="s">
        <v>71</v>
      </c>
      <c r="C59" s="139">
        <v>5000000</v>
      </c>
      <c r="D59" s="134">
        <v>2E-3</v>
      </c>
      <c r="E59" s="124">
        <v>2E-3</v>
      </c>
      <c r="F59" s="124">
        <f t="shared" si="0"/>
        <v>0.1</v>
      </c>
      <c r="G59" s="123">
        <v>1</v>
      </c>
      <c r="H59" s="124">
        <v>0.01</v>
      </c>
      <c r="J59" s="130">
        <f ca="1"/>
        <v>398.77611676745022</v>
      </c>
      <c r="K59" s="131">
        <f ca="1"/>
        <v>0.1000000000000002</v>
      </c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</row>
    <row r="60" spans="1:24" x14ac:dyDescent="0.25">
      <c r="A60" s="112">
        <v>56</v>
      </c>
      <c r="B60" s="119" t="s">
        <v>71</v>
      </c>
      <c r="C60" s="139">
        <v>5000000</v>
      </c>
      <c r="D60" s="134">
        <v>2E-3</v>
      </c>
      <c r="E60" s="124">
        <v>2E-3</v>
      </c>
      <c r="F60" s="124">
        <f t="shared" si="0"/>
        <v>0.1</v>
      </c>
      <c r="G60" s="123">
        <v>1</v>
      </c>
      <c r="H60" s="124">
        <v>0.01</v>
      </c>
      <c r="J60" s="130">
        <f ca="1"/>
        <v>398.77611676745022</v>
      </c>
      <c r="K60" s="131">
        <f ca="1"/>
        <v>0.1000000000000002</v>
      </c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</row>
    <row r="61" spans="1:24" x14ac:dyDescent="0.25">
      <c r="A61" s="112">
        <v>57</v>
      </c>
      <c r="B61" s="119" t="s">
        <v>71</v>
      </c>
      <c r="C61" s="139">
        <v>5000000</v>
      </c>
      <c r="D61" s="134">
        <v>2E-3</v>
      </c>
      <c r="E61" s="124">
        <v>2E-3</v>
      </c>
      <c r="F61" s="124">
        <f t="shared" si="0"/>
        <v>0.1</v>
      </c>
      <c r="G61" s="123">
        <v>1</v>
      </c>
      <c r="H61" s="124">
        <v>0.01</v>
      </c>
      <c r="J61" s="130">
        <f ca="1"/>
        <v>398.77611676745022</v>
      </c>
      <c r="K61" s="131">
        <f ca="1"/>
        <v>0.1000000000000002</v>
      </c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</row>
    <row r="62" spans="1:24" x14ac:dyDescent="0.25">
      <c r="A62" s="112">
        <v>58</v>
      </c>
      <c r="B62" s="119" t="s">
        <v>71</v>
      </c>
      <c r="C62" s="139">
        <v>5000000</v>
      </c>
      <c r="D62" s="134">
        <v>2E-3</v>
      </c>
      <c r="E62" s="124">
        <v>2E-3</v>
      </c>
      <c r="F62" s="124">
        <f t="shared" si="0"/>
        <v>0.1</v>
      </c>
      <c r="G62" s="123">
        <v>1</v>
      </c>
      <c r="H62" s="124">
        <v>0.01</v>
      </c>
      <c r="J62" s="130">
        <f ca="1"/>
        <v>398.77611676745022</v>
      </c>
      <c r="K62" s="131">
        <f ca="1"/>
        <v>0.1000000000000002</v>
      </c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</row>
    <row r="63" spans="1:24" x14ac:dyDescent="0.25">
      <c r="A63" s="112">
        <v>59</v>
      </c>
      <c r="B63" s="119" t="s">
        <v>71</v>
      </c>
      <c r="C63" s="139">
        <v>5000000</v>
      </c>
      <c r="D63" s="134">
        <v>2E-3</v>
      </c>
      <c r="E63" s="124">
        <v>2E-3</v>
      </c>
      <c r="F63" s="124">
        <f t="shared" si="0"/>
        <v>0.1</v>
      </c>
      <c r="G63" s="123">
        <v>1</v>
      </c>
      <c r="H63" s="124">
        <v>0.01</v>
      </c>
      <c r="J63" s="130">
        <f ca="1"/>
        <v>398.77611676745022</v>
      </c>
      <c r="K63" s="131">
        <f ca="1"/>
        <v>0.1000000000000002</v>
      </c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</row>
    <row r="64" spans="1:24" x14ac:dyDescent="0.25">
      <c r="A64" s="112">
        <v>60</v>
      </c>
      <c r="B64" s="119" t="s">
        <v>71</v>
      </c>
      <c r="C64" s="139">
        <v>5000000</v>
      </c>
      <c r="D64" s="134">
        <v>2E-3</v>
      </c>
      <c r="E64" s="124">
        <v>2E-3</v>
      </c>
      <c r="F64" s="124">
        <f t="shared" si="0"/>
        <v>0.1</v>
      </c>
      <c r="G64" s="123">
        <v>1</v>
      </c>
      <c r="H64" s="124">
        <v>0.01</v>
      </c>
      <c r="J64" s="130">
        <f ca="1"/>
        <v>398.77611676745022</v>
      </c>
      <c r="K64" s="131">
        <f ca="1"/>
        <v>0.1000000000000002</v>
      </c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</row>
    <row r="65" spans="1:24" x14ac:dyDescent="0.25">
      <c r="A65" s="112">
        <v>61</v>
      </c>
      <c r="B65" s="119" t="s">
        <v>71</v>
      </c>
      <c r="C65" s="139">
        <v>5000000</v>
      </c>
      <c r="D65" s="134">
        <v>2E-3</v>
      </c>
      <c r="E65" s="124">
        <v>2E-3</v>
      </c>
      <c r="F65" s="124">
        <f t="shared" si="0"/>
        <v>0.1</v>
      </c>
      <c r="G65" s="123">
        <v>1</v>
      </c>
      <c r="H65" s="124">
        <v>0.01</v>
      </c>
      <c r="J65" s="130">
        <f ca="1"/>
        <v>398.77611676745022</v>
      </c>
      <c r="K65" s="131">
        <f ca="1"/>
        <v>0.1000000000000002</v>
      </c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</row>
    <row r="66" spans="1:24" x14ac:dyDescent="0.25">
      <c r="A66" s="112">
        <v>62</v>
      </c>
      <c r="B66" s="119" t="s">
        <v>71</v>
      </c>
      <c r="C66" s="139">
        <v>5000000</v>
      </c>
      <c r="D66" s="134">
        <v>2E-3</v>
      </c>
      <c r="E66" s="124">
        <v>2E-3</v>
      </c>
      <c r="F66" s="124">
        <f t="shared" si="0"/>
        <v>0.1</v>
      </c>
      <c r="G66" s="123">
        <v>1</v>
      </c>
      <c r="H66" s="124">
        <v>0.01</v>
      </c>
      <c r="J66" s="130">
        <f ca="1"/>
        <v>398.77611676745022</v>
      </c>
      <c r="K66" s="131">
        <f ca="1"/>
        <v>0.1000000000000002</v>
      </c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</row>
    <row r="67" spans="1:24" x14ac:dyDescent="0.25">
      <c r="A67" s="112">
        <v>63</v>
      </c>
      <c r="B67" s="119" t="s">
        <v>71</v>
      </c>
      <c r="C67" s="139">
        <v>5000000</v>
      </c>
      <c r="D67" s="134">
        <v>2E-3</v>
      </c>
      <c r="E67" s="124">
        <v>2E-3</v>
      </c>
      <c r="F67" s="124">
        <f t="shared" si="0"/>
        <v>0.1</v>
      </c>
      <c r="G67" s="123">
        <v>1</v>
      </c>
      <c r="H67" s="124">
        <v>0.01</v>
      </c>
      <c r="J67" s="130">
        <f ca="1"/>
        <v>398.77611676745022</v>
      </c>
      <c r="K67" s="131">
        <f ca="1"/>
        <v>0.1000000000000002</v>
      </c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</row>
    <row r="68" spans="1:24" x14ac:dyDescent="0.25">
      <c r="A68" s="112">
        <v>64</v>
      </c>
      <c r="B68" s="119" t="s">
        <v>71</v>
      </c>
      <c r="C68" s="139">
        <v>5000000</v>
      </c>
      <c r="D68" s="134">
        <v>2E-3</v>
      </c>
      <c r="E68" s="124">
        <v>2E-3</v>
      </c>
      <c r="F68" s="124">
        <f t="shared" si="0"/>
        <v>0.1</v>
      </c>
      <c r="G68" s="123">
        <v>1</v>
      </c>
      <c r="H68" s="124">
        <v>0.01</v>
      </c>
      <c r="J68" s="130">
        <f ca="1"/>
        <v>398.77611676745022</v>
      </c>
      <c r="K68" s="131">
        <f ca="1"/>
        <v>0.1000000000000002</v>
      </c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</row>
    <row r="69" spans="1:24" x14ac:dyDescent="0.25">
      <c r="A69" s="112">
        <v>65</v>
      </c>
      <c r="B69" s="119" t="s">
        <v>71</v>
      </c>
      <c r="C69" s="139">
        <v>5000000</v>
      </c>
      <c r="D69" s="134">
        <v>2E-3</v>
      </c>
      <c r="E69" s="124">
        <v>2E-3</v>
      </c>
      <c r="F69" s="124">
        <f t="shared" ref="F69:F132" si="1">$F$2</f>
        <v>0.1</v>
      </c>
      <c r="G69" s="123">
        <v>1</v>
      </c>
      <c r="H69" s="124">
        <v>0.01</v>
      </c>
      <c r="J69" s="130">
        <f ca="1"/>
        <v>398.77611676745022</v>
      </c>
      <c r="K69" s="131">
        <f ca="1"/>
        <v>0.1000000000000002</v>
      </c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</row>
    <row r="70" spans="1:24" x14ac:dyDescent="0.25">
      <c r="A70" s="112">
        <v>66</v>
      </c>
      <c r="B70" s="119" t="s">
        <v>71</v>
      </c>
      <c r="C70" s="139">
        <v>5000000</v>
      </c>
      <c r="D70" s="134">
        <v>2E-3</v>
      </c>
      <c r="E70" s="124">
        <v>2E-3</v>
      </c>
      <c r="F70" s="124">
        <f t="shared" si="1"/>
        <v>0.1</v>
      </c>
      <c r="G70" s="123">
        <v>1</v>
      </c>
      <c r="H70" s="124">
        <v>0.01</v>
      </c>
      <c r="J70" s="130">
        <f ca="1"/>
        <v>398.77611676745022</v>
      </c>
      <c r="K70" s="131">
        <f ca="1"/>
        <v>0.1000000000000002</v>
      </c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</row>
    <row r="71" spans="1:24" x14ac:dyDescent="0.25">
      <c r="A71" s="112">
        <v>67</v>
      </c>
      <c r="B71" s="119" t="s">
        <v>71</v>
      </c>
      <c r="C71" s="139">
        <v>5000000</v>
      </c>
      <c r="D71" s="134">
        <v>2E-3</v>
      </c>
      <c r="E71" s="124">
        <v>2E-3</v>
      </c>
      <c r="F71" s="124">
        <f t="shared" si="1"/>
        <v>0.1</v>
      </c>
      <c r="G71" s="123">
        <v>1</v>
      </c>
      <c r="H71" s="124">
        <v>0.01</v>
      </c>
      <c r="J71" s="130">
        <f ca="1"/>
        <v>398.77611676745022</v>
      </c>
      <c r="K71" s="131">
        <f ca="1"/>
        <v>0.1000000000000002</v>
      </c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</row>
    <row r="72" spans="1:24" x14ac:dyDescent="0.25">
      <c r="A72" s="112">
        <v>68</v>
      </c>
      <c r="B72" s="119" t="s">
        <v>71</v>
      </c>
      <c r="C72" s="139">
        <v>5000000</v>
      </c>
      <c r="D72" s="134">
        <v>2E-3</v>
      </c>
      <c r="E72" s="124">
        <v>2E-3</v>
      </c>
      <c r="F72" s="124">
        <f t="shared" si="1"/>
        <v>0.1</v>
      </c>
      <c r="G72" s="123">
        <v>1</v>
      </c>
      <c r="H72" s="124">
        <v>0.01</v>
      </c>
      <c r="J72" s="130">
        <f ca="1"/>
        <v>398.77611676745022</v>
      </c>
      <c r="K72" s="131">
        <f ca="1"/>
        <v>0.1000000000000002</v>
      </c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</row>
    <row r="73" spans="1:24" x14ac:dyDescent="0.25">
      <c r="A73" s="112">
        <v>69</v>
      </c>
      <c r="B73" s="119" t="s">
        <v>71</v>
      </c>
      <c r="C73" s="139">
        <v>5000000</v>
      </c>
      <c r="D73" s="134">
        <v>2E-3</v>
      </c>
      <c r="E73" s="124">
        <v>2E-3</v>
      </c>
      <c r="F73" s="124">
        <f t="shared" si="1"/>
        <v>0.1</v>
      </c>
      <c r="G73" s="123">
        <v>1</v>
      </c>
      <c r="H73" s="124">
        <v>0.01</v>
      </c>
      <c r="J73" s="130">
        <f ca="1"/>
        <v>398.77611676745022</v>
      </c>
      <c r="K73" s="131">
        <f ca="1"/>
        <v>0.1000000000000002</v>
      </c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</row>
    <row r="74" spans="1:24" x14ac:dyDescent="0.25">
      <c r="A74" s="112">
        <v>70</v>
      </c>
      <c r="B74" s="119" t="s">
        <v>71</v>
      </c>
      <c r="C74" s="139">
        <v>5000000</v>
      </c>
      <c r="D74" s="134">
        <v>2E-3</v>
      </c>
      <c r="E74" s="124">
        <v>2E-3</v>
      </c>
      <c r="F74" s="124">
        <f t="shared" si="1"/>
        <v>0.1</v>
      </c>
      <c r="G74" s="123">
        <v>1</v>
      </c>
      <c r="H74" s="124">
        <v>0.01</v>
      </c>
      <c r="J74" s="130">
        <f ca="1"/>
        <v>398.77611676745022</v>
      </c>
      <c r="K74" s="131">
        <f ca="1"/>
        <v>0.1000000000000002</v>
      </c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</row>
    <row r="75" spans="1:24" x14ac:dyDescent="0.25">
      <c r="A75" s="112">
        <v>71</v>
      </c>
      <c r="B75" s="119" t="s">
        <v>71</v>
      </c>
      <c r="C75" s="139">
        <v>5000000</v>
      </c>
      <c r="D75" s="134">
        <v>2E-3</v>
      </c>
      <c r="E75" s="124">
        <v>2E-3</v>
      </c>
      <c r="F75" s="124">
        <f t="shared" si="1"/>
        <v>0.1</v>
      </c>
      <c r="G75" s="123">
        <v>1</v>
      </c>
      <c r="H75" s="124">
        <v>0.01</v>
      </c>
      <c r="J75" s="130">
        <f ca="1"/>
        <v>398.77611676745022</v>
      </c>
      <c r="K75" s="131">
        <f ca="1"/>
        <v>0.1000000000000002</v>
      </c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</row>
    <row r="76" spans="1:24" x14ac:dyDescent="0.25">
      <c r="A76" s="112">
        <v>72</v>
      </c>
      <c r="B76" s="119" t="s">
        <v>71</v>
      </c>
      <c r="C76" s="139">
        <v>5000000</v>
      </c>
      <c r="D76" s="134">
        <v>2E-3</v>
      </c>
      <c r="E76" s="124">
        <v>2E-3</v>
      </c>
      <c r="F76" s="124">
        <f t="shared" si="1"/>
        <v>0.1</v>
      </c>
      <c r="G76" s="123">
        <v>1</v>
      </c>
      <c r="H76" s="124">
        <v>0.01</v>
      </c>
      <c r="J76" s="130">
        <f ca="1"/>
        <v>398.77611676745022</v>
      </c>
      <c r="K76" s="131">
        <f ca="1"/>
        <v>0.1000000000000002</v>
      </c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</row>
    <row r="77" spans="1:24" x14ac:dyDescent="0.25">
      <c r="A77" s="112">
        <v>73</v>
      </c>
      <c r="B77" s="119" t="s">
        <v>71</v>
      </c>
      <c r="C77" s="139">
        <v>5000000</v>
      </c>
      <c r="D77" s="134">
        <v>2E-3</v>
      </c>
      <c r="E77" s="124">
        <v>2E-3</v>
      </c>
      <c r="F77" s="124">
        <f t="shared" si="1"/>
        <v>0.1</v>
      </c>
      <c r="G77" s="123">
        <v>1</v>
      </c>
      <c r="H77" s="124">
        <v>0.01</v>
      </c>
      <c r="J77" s="130">
        <f ca="1"/>
        <v>398.77611676745022</v>
      </c>
      <c r="K77" s="131">
        <f ca="1"/>
        <v>0.1000000000000002</v>
      </c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</row>
    <row r="78" spans="1:24" x14ac:dyDescent="0.25">
      <c r="A78" s="112">
        <v>74</v>
      </c>
      <c r="B78" s="119" t="s">
        <v>71</v>
      </c>
      <c r="C78" s="139">
        <v>5000000</v>
      </c>
      <c r="D78" s="134">
        <v>2E-3</v>
      </c>
      <c r="E78" s="124">
        <v>2E-3</v>
      </c>
      <c r="F78" s="124">
        <f t="shared" si="1"/>
        <v>0.1</v>
      </c>
      <c r="G78" s="123">
        <v>1</v>
      </c>
      <c r="H78" s="124">
        <v>0.01</v>
      </c>
      <c r="J78" s="130">
        <f ca="1"/>
        <v>398.77611676745022</v>
      </c>
      <c r="K78" s="131">
        <f ca="1"/>
        <v>0.1000000000000002</v>
      </c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</row>
    <row r="79" spans="1:24" x14ac:dyDescent="0.25">
      <c r="A79" s="112">
        <v>75</v>
      </c>
      <c r="B79" s="119" t="s">
        <v>71</v>
      </c>
      <c r="C79" s="139">
        <v>5000000</v>
      </c>
      <c r="D79" s="134">
        <v>2E-3</v>
      </c>
      <c r="E79" s="124">
        <v>2E-3</v>
      </c>
      <c r="F79" s="124">
        <f t="shared" si="1"/>
        <v>0.1</v>
      </c>
      <c r="G79" s="123">
        <v>1</v>
      </c>
      <c r="H79" s="124">
        <v>0.01</v>
      </c>
      <c r="J79" s="130">
        <f ca="1"/>
        <v>398.77611676745022</v>
      </c>
      <c r="K79" s="131">
        <f ca="1"/>
        <v>0.1000000000000002</v>
      </c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</row>
    <row r="80" spans="1:24" x14ac:dyDescent="0.25">
      <c r="A80" s="112">
        <v>76</v>
      </c>
      <c r="B80" s="119" t="s">
        <v>71</v>
      </c>
      <c r="C80" s="139">
        <v>5000000</v>
      </c>
      <c r="D80" s="134">
        <v>2E-3</v>
      </c>
      <c r="E80" s="124">
        <v>2E-3</v>
      </c>
      <c r="F80" s="124">
        <f t="shared" si="1"/>
        <v>0.1</v>
      </c>
      <c r="G80" s="123">
        <v>1</v>
      </c>
      <c r="H80" s="124">
        <v>0.01</v>
      </c>
      <c r="J80" s="130">
        <f ca="1"/>
        <v>398.77611676745022</v>
      </c>
      <c r="K80" s="131">
        <f ca="1"/>
        <v>0.1000000000000002</v>
      </c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</row>
    <row r="81" spans="1:24" x14ac:dyDescent="0.25">
      <c r="A81" s="112">
        <v>77</v>
      </c>
      <c r="B81" s="119" t="s">
        <v>71</v>
      </c>
      <c r="C81" s="139">
        <v>5000000</v>
      </c>
      <c r="D81" s="134">
        <v>2E-3</v>
      </c>
      <c r="E81" s="124">
        <v>2E-3</v>
      </c>
      <c r="F81" s="124">
        <f t="shared" si="1"/>
        <v>0.1</v>
      </c>
      <c r="G81" s="123">
        <v>1</v>
      </c>
      <c r="H81" s="124">
        <v>0.01</v>
      </c>
      <c r="J81" s="130">
        <f ca="1"/>
        <v>398.77611676745022</v>
      </c>
      <c r="K81" s="131">
        <f ca="1"/>
        <v>0.1000000000000002</v>
      </c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</row>
    <row r="82" spans="1:24" x14ac:dyDescent="0.25">
      <c r="A82" s="112">
        <v>78</v>
      </c>
      <c r="B82" s="119" t="s">
        <v>71</v>
      </c>
      <c r="C82" s="139">
        <v>5000000</v>
      </c>
      <c r="D82" s="134">
        <v>2E-3</v>
      </c>
      <c r="E82" s="124">
        <v>2E-3</v>
      </c>
      <c r="F82" s="124">
        <f t="shared" si="1"/>
        <v>0.1</v>
      </c>
      <c r="G82" s="123">
        <v>1</v>
      </c>
      <c r="H82" s="124">
        <v>0.01</v>
      </c>
      <c r="J82" s="130">
        <f ca="1"/>
        <v>398.77611676745022</v>
      </c>
      <c r="K82" s="131">
        <f ca="1"/>
        <v>0.1000000000000002</v>
      </c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</row>
    <row r="83" spans="1:24" x14ac:dyDescent="0.25">
      <c r="A83" s="112">
        <v>79</v>
      </c>
      <c r="B83" s="119" t="s">
        <v>71</v>
      </c>
      <c r="C83" s="139">
        <v>5000000</v>
      </c>
      <c r="D83" s="134">
        <v>2E-3</v>
      </c>
      <c r="E83" s="124">
        <v>2E-3</v>
      </c>
      <c r="F83" s="124">
        <f t="shared" si="1"/>
        <v>0.1</v>
      </c>
      <c r="G83" s="123">
        <v>1</v>
      </c>
      <c r="H83" s="124">
        <v>0.01</v>
      </c>
      <c r="J83" s="130">
        <f ca="1"/>
        <v>398.77611676745022</v>
      </c>
      <c r="K83" s="131">
        <f ca="1"/>
        <v>0.1000000000000002</v>
      </c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</row>
    <row r="84" spans="1:24" x14ac:dyDescent="0.25">
      <c r="A84" s="112">
        <v>80</v>
      </c>
      <c r="B84" s="119" t="s">
        <v>71</v>
      </c>
      <c r="C84" s="139">
        <v>5000000</v>
      </c>
      <c r="D84" s="134">
        <v>2E-3</v>
      </c>
      <c r="E84" s="124">
        <v>2E-3</v>
      </c>
      <c r="F84" s="124">
        <f t="shared" si="1"/>
        <v>0.1</v>
      </c>
      <c r="G84" s="123">
        <v>1</v>
      </c>
      <c r="H84" s="124">
        <v>0.01</v>
      </c>
      <c r="J84" s="130">
        <f ca="1"/>
        <v>398.77611676745022</v>
      </c>
      <c r="K84" s="131">
        <f ca="1"/>
        <v>0.1000000000000002</v>
      </c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</row>
    <row r="85" spans="1:24" x14ac:dyDescent="0.25">
      <c r="A85" s="112">
        <v>81</v>
      </c>
      <c r="B85" s="119" t="s">
        <v>71</v>
      </c>
      <c r="C85" s="139">
        <v>5000000</v>
      </c>
      <c r="D85" s="134">
        <v>2E-3</v>
      </c>
      <c r="E85" s="124">
        <v>2E-3</v>
      </c>
      <c r="F85" s="124">
        <f t="shared" si="1"/>
        <v>0.1</v>
      </c>
      <c r="G85" s="123">
        <v>1</v>
      </c>
      <c r="H85" s="124">
        <v>0.01</v>
      </c>
      <c r="J85" s="130">
        <f ca="1"/>
        <v>398.77611676745022</v>
      </c>
      <c r="K85" s="131">
        <f ca="1"/>
        <v>0.1000000000000002</v>
      </c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</row>
    <row r="86" spans="1:24" x14ac:dyDescent="0.25">
      <c r="A86" s="112">
        <v>82</v>
      </c>
      <c r="B86" s="119" t="s">
        <v>71</v>
      </c>
      <c r="C86" s="139">
        <v>5000000</v>
      </c>
      <c r="D86" s="134">
        <v>2E-3</v>
      </c>
      <c r="E86" s="124">
        <v>2E-3</v>
      </c>
      <c r="F86" s="124">
        <f t="shared" si="1"/>
        <v>0.1</v>
      </c>
      <c r="G86" s="123">
        <v>1</v>
      </c>
      <c r="H86" s="124">
        <v>0.01</v>
      </c>
      <c r="J86" s="130">
        <f ca="1"/>
        <v>398.77611676745022</v>
      </c>
      <c r="K86" s="131">
        <f ca="1"/>
        <v>0.1000000000000002</v>
      </c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</row>
    <row r="87" spans="1:24" x14ac:dyDescent="0.25">
      <c r="A87" s="112">
        <v>83</v>
      </c>
      <c r="B87" s="119" t="s">
        <v>71</v>
      </c>
      <c r="C87" s="139">
        <v>5000000</v>
      </c>
      <c r="D87" s="134">
        <v>2E-3</v>
      </c>
      <c r="E87" s="124">
        <v>2E-3</v>
      </c>
      <c r="F87" s="124">
        <f t="shared" si="1"/>
        <v>0.1</v>
      </c>
      <c r="G87" s="123">
        <v>1</v>
      </c>
      <c r="H87" s="124">
        <v>0.01</v>
      </c>
      <c r="J87" s="130">
        <f ca="1"/>
        <v>398.77611676745022</v>
      </c>
      <c r="K87" s="131">
        <f ca="1"/>
        <v>0.1000000000000002</v>
      </c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</row>
    <row r="88" spans="1:24" x14ac:dyDescent="0.25">
      <c r="A88" s="112">
        <v>84</v>
      </c>
      <c r="B88" s="119" t="s">
        <v>71</v>
      </c>
      <c r="C88" s="139">
        <v>5000000</v>
      </c>
      <c r="D88" s="134">
        <v>2E-3</v>
      </c>
      <c r="E88" s="124">
        <v>2E-3</v>
      </c>
      <c r="F88" s="124">
        <f t="shared" si="1"/>
        <v>0.1</v>
      </c>
      <c r="G88" s="123">
        <v>1</v>
      </c>
      <c r="H88" s="124">
        <v>0.01</v>
      </c>
      <c r="J88" s="130">
        <f ca="1"/>
        <v>398.77611676745022</v>
      </c>
      <c r="K88" s="131">
        <f ca="1"/>
        <v>0.1000000000000002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</row>
    <row r="89" spans="1:24" x14ac:dyDescent="0.25">
      <c r="A89" s="112">
        <v>85</v>
      </c>
      <c r="B89" s="119" t="s">
        <v>71</v>
      </c>
      <c r="C89" s="139">
        <v>5000000</v>
      </c>
      <c r="D89" s="134">
        <v>2E-3</v>
      </c>
      <c r="E89" s="124">
        <v>2E-3</v>
      </c>
      <c r="F89" s="124">
        <f t="shared" si="1"/>
        <v>0.1</v>
      </c>
      <c r="G89" s="123">
        <v>1</v>
      </c>
      <c r="H89" s="124">
        <v>0.01</v>
      </c>
      <c r="J89" s="130">
        <f ca="1"/>
        <v>398.77611676745022</v>
      </c>
      <c r="K89" s="131">
        <f ca="1"/>
        <v>0.1000000000000002</v>
      </c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</row>
    <row r="90" spans="1:24" x14ac:dyDescent="0.25">
      <c r="A90" s="112">
        <v>86</v>
      </c>
      <c r="B90" s="119" t="s">
        <v>71</v>
      </c>
      <c r="C90" s="139">
        <v>5000000</v>
      </c>
      <c r="D90" s="134">
        <v>2E-3</v>
      </c>
      <c r="E90" s="124">
        <v>2E-3</v>
      </c>
      <c r="F90" s="124">
        <f t="shared" si="1"/>
        <v>0.1</v>
      </c>
      <c r="G90" s="123">
        <v>1</v>
      </c>
      <c r="H90" s="124">
        <v>0.01</v>
      </c>
      <c r="J90" s="130">
        <f ca="1"/>
        <v>398.77611676745022</v>
      </c>
      <c r="K90" s="131">
        <f ca="1"/>
        <v>0.1000000000000002</v>
      </c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</row>
    <row r="91" spans="1:24" x14ac:dyDescent="0.25">
      <c r="A91" s="112">
        <v>87</v>
      </c>
      <c r="B91" s="119" t="s">
        <v>71</v>
      </c>
      <c r="C91" s="139">
        <v>5000000</v>
      </c>
      <c r="D91" s="134">
        <v>2E-3</v>
      </c>
      <c r="E91" s="124">
        <v>2E-3</v>
      </c>
      <c r="F91" s="124">
        <f t="shared" si="1"/>
        <v>0.1</v>
      </c>
      <c r="G91" s="123">
        <v>1</v>
      </c>
      <c r="H91" s="124">
        <v>0.01</v>
      </c>
      <c r="J91" s="130">
        <f ca="1"/>
        <v>398.77611676745022</v>
      </c>
      <c r="K91" s="131">
        <f ca="1"/>
        <v>0.1000000000000002</v>
      </c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</row>
    <row r="92" spans="1:24" x14ac:dyDescent="0.25">
      <c r="A92" s="112">
        <v>88</v>
      </c>
      <c r="B92" s="119" t="s">
        <v>71</v>
      </c>
      <c r="C92" s="139">
        <v>5000000</v>
      </c>
      <c r="D92" s="134">
        <v>2E-3</v>
      </c>
      <c r="E92" s="124">
        <v>2E-3</v>
      </c>
      <c r="F92" s="124">
        <f t="shared" si="1"/>
        <v>0.1</v>
      </c>
      <c r="G92" s="123">
        <v>1</v>
      </c>
      <c r="H92" s="124">
        <v>0.01</v>
      </c>
      <c r="J92" s="130">
        <f ca="1"/>
        <v>398.77611676745022</v>
      </c>
      <c r="K92" s="131">
        <f ca="1"/>
        <v>0.1000000000000002</v>
      </c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</row>
    <row r="93" spans="1:24" x14ac:dyDescent="0.25">
      <c r="A93" s="112">
        <v>89</v>
      </c>
      <c r="B93" s="119" t="s">
        <v>71</v>
      </c>
      <c r="C93" s="139">
        <v>5000000</v>
      </c>
      <c r="D93" s="134">
        <v>2E-3</v>
      </c>
      <c r="E93" s="124">
        <v>2E-3</v>
      </c>
      <c r="F93" s="124">
        <f t="shared" si="1"/>
        <v>0.1</v>
      </c>
      <c r="G93" s="123">
        <v>1</v>
      </c>
      <c r="H93" s="124">
        <v>0.01</v>
      </c>
      <c r="J93" s="130">
        <f ca="1"/>
        <v>398.77611676745022</v>
      </c>
      <c r="K93" s="131">
        <f ca="1"/>
        <v>0.1000000000000002</v>
      </c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</row>
    <row r="94" spans="1:24" x14ac:dyDescent="0.25">
      <c r="A94" s="112">
        <v>90</v>
      </c>
      <c r="B94" s="119" t="s">
        <v>71</v>
      </c>
      <c r="C94" s="139">
        <v>5000000</v>
      </c>
      <c r="D94" s="134">
        <v>2E-3</v>
      </c>
      <c r="E94" s="124">
        <v>2E-3</v>
      </c>
      <c r="F94" s="124">
        <f t="shared" si="1"/>
        <v>0.1</v>
      </c>
      <c r="G94" s="123">
        <v>1</v>
      </c>
      <c r="H94" s="124">
        <v>0.01</v>
      </c>
      <c r="J94" s="130">
        <f ca="1"/>
        <v>398.77611676745022</v>
      </c>
      <c r="K94" s="131">
        <f ca="1"/>
        <v>0.1000000000000002</v>
      </c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</row>
    <row r="95" spans="1:24" x14ac:dyDescent="0.25">
      <c r="A95" s="112">
        <v>91</v>
      </c>
      <c r="B95" s="119" t="s">
        <v>71</v>
      </c>
      <c r="C95" s="139">
        <v>5000000</v>
      </c>
      <c r="D95" s="134">
        <v>2E-3</v>
      </c>
      <c r="E95" s="124">
        <v>2E-3</v>
      </c>
      <c r="F95" s="124">
        <f t="shared" si="1"/>
        <v>0.1</v>
      </c>
      <c r="G95" s="123">
        <v>1</v>
      </c>
      <c r="H95" s="124">
        <v>0.01</v>
      </c>
      <c r="J95" s="130">
        <f ca="1"/>
        <v>398.77611676745022</v>
      </c>
      <c r="K95" s="131">
        <f ca="1"/>
        <v>0.1000000000000002</v>
      </c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</row>
    <row r="96" spans="1:24" x14ac:dyDescent="0.25">
      <c r="A96" s="112">
        <v>92</v>
      </c>
      <c r="B96" s="119" t="s">
        <v>71</v>
      </c>
      <c r="C96" s="139">
        <v>5000000</v>
      </c>
      <c r="D96" s="134">
        <v>2E-3</v>
      </c>
      <c r="E96" s="124">
        <v>2E-3</v>
      </c>
      <c r="F96" s="124">
        <f t="shared" si="1"/>
        <v>0.1</v>
      </c>
      <c r="G96" s="123">
        <v>1</v>
      </c>
      <c r="H96" s="124">
        <v>0.01</v>
      </c>
      <c r="J96" s="130">
        <f ca="1"/>
        <v>398.77611676745022</v>
      </c>
      <c r="K96" s="131">
        <f ca="1"/>
        <v>0.1000000000000002</v>
      </c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</row>
    <row r="97" spans="1:24" x14ac:dyDescent="0.25">
      <c r="A97" s="112">
        <v>93</v>
      </c>
      <c r="B97" s="119" t="s">
        <v>71</v>
      </c>
      <c r="C97" s="139">
        <v>5000000</v>
      </c>
      <c r="D97" s="134">
        <v>2E-3</v>
      </c>
      <c r="E97" s="124">
        <v>2E-3</v>
      </c>
      <c r="F97" s="124">
        <f t="shared" si="1"/>
        <v>0.1</v>
      </c>
      <c r="G97" s="123">
        <v>1</v>
      </c>
      <c r="H97" s="124">
        <v>0.01</v>
      </c>
      <c r="J97" s="130">
        <f ca="1"/>
        <v>398.77611676745022</v>
      </c>
      <c r="K97" s="131">
        <f ca="1"/>
        <v>0.1000000000000002</v>
      </c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</row>
    <row r="98" spans="1:24" x14ac:dyDescent="0.25">
      <c r="A98" s="112">
        <v>94</v>
      </c>
      <c r="B98" s="119" t="s">
        <v>71</v>
      </c>
      <c r="C98" s="139">
        <v>5000000</v>
      </c>
      <c r="D98" s="134">
        <v>2E-3</v>
      </c>
      <c r="E98" s="124">
        <v>2E-3</v>
      </c>
      <c r="F98" s="124">
        <f t="shared" si="1"/>
        <v>0.1</v>
      </c>
      <c r="G98" s="123">
        <v>1</v>
      </c>
      <c r="H98" s="124">
        <v>0.01</v>
      </c>
      <c r="J98" s="130">
        <f ca="1"/>
        <v>398.77611676745022</v>
      </c>
      <c r="K98" s="131">
        <f ca="1"/>
        <v>0.1000000000000002</v>
      </c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</row>
    <row r="99" spans="1:24" x14ac:dyDescent="0.25">
      <c r="A99" s="112">
        <v>95</v>
      </c>
      <c r="B99" s="119" t="s">
        <v>71</v>
      </c>
      <c r="C99" s="139">
        <v>5000000</v>
      </c>
      <c r="D99" s="134">
        <v>2E-3</v>
      </c>
      <c r="E99" s="124">
        <v>2E-3</v>
      </c>
      <c r="F99" s="124">
        <f t="shared" si="1"/>
        <v>0.1</v>
      </c>
      <c r="G99" s="123">
        <v>1</v>
      </c>
      <c r="H99" s="124">
        <v>0.01</v>
      </c>
      <c r="J99" s="130">
        <f ca="1"/>
        <v>398.77611676745022</v>
      </c>
      <c r="K99" s="131">
        <f ca="1"/>
        <v>0.1000000000000002</v>
      </c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</row>
    <row r="100" spans="1:24" x14ac:dyDescent="0.25">
      <c r="A100" s="112">
        <v>96</v>
      </c>
      <c r="B100" s="119" t="s">
        <v>71</v>
      </c>
      <c r="C100" s="139">
        <v>5000000</v>
      </c>
      <c r="D100" s="134">
        <v>2E-3</v>
      </c>
      <c r="E100" s="124">
        <v>2E-3</v>
      </c>
      <c r="F100" s="124">
        <f t="shared" si="1"/>
        <v>0.1</v>
      </c>
      <c r="G100" s="123">
        <v>1</v>
      </c>
      <c r="H100" s="124">
        <v>0.01</v>
      </c>
      <c r="J100" s="130">
        <f ca="1"/>
        <v>398.77611676745022</v>
      </c>
      <c r="K100" s="131">
        <f ca="1"/>
        <v>0.1000000000000002</v>
      </c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</row>
    <row r="101" spans="1:24" x14ac:dyDescent="0.25">
      <c r="A101" s="112">
        <v>97</v>
      </c>
      <c r="B101" s="119" t="s">
        <v>71</v>
      </c>
      <c r="C101" s="139">
        <v>5000000</v>
      </c>
      <c r="D101" s="134">
        <v>2E-3</v>
      </c>
      <c r="E101" s="124">
        <v>2E-3</v>
      </c>
      <c r="F101" s="124">
        <f t="shared" si="1"/>
        <v>0.1</v>
      </c>
      <c r="G101" s="123">
        <v>1</v>
      </c>
      <c r="H101" s="124">
        <v>0.01</v>
      </c>
      <c r="J101" s="130">
        <f ca="1"/>
        <v>398.77611676745022</v>
      </c>
      <c r="K101" s="131">
        <f ca="1"/>
        <v>0.1000000000000002</v>
      </c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</row>
    <row r="102" spans="1:24" x14ac:dyDescent="0.25">
      <c r="A102" s="112">
        <v>98</v>
      </c>
      <c r="B102" s="119" t="s">
        <v>71</v>
      </c>
      <c r="C102" s="139">
        <v>5000000</v>
      </c>
      <c r="D102" s="134">
        <v>2E-3</v>
      </c>
      <c r="E102" s="124">
        <v>2E-3</v>
      </c>
      <c r="F102" s="124">
        <f t="shared" si="1"/>
        <v>0.1</v>
      </c>
      <c r="G102" s="123">
        <v>1</v>
      </c>
      <c r="H102" s="124">
        <v>0.01</v>
      </c>
      <c r="J102" s="130">
        <f ca="1"/>
        <v>398.77611676745022</v>
      </c>
      <c r="K102" s="131">
        <f ca="1"/>
        <v>0.1000000000000002</v>
      </c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</row>
    <row r="103" spans="1:24" x14ac:dyDescent="0.25">
      <c r="A103" s="112">
        <v>99</v>
      </c>
      <c r="B103" s="119" t="s">
        <v>71</v>
      </c>
      <c r="C103" s="139">
        <v>5000000</v>
      </c>
      <c r="D103" s="134">
        <v>2E-3</v>
      </c>
      <c r="E103" s="124">
        <v>2E-3</v>
      </c>
      <c r="F103" s="124">
        <f t="shared" si="1"/>
        <v>0.1</v>
      </c>
      <c r="G103" s="123">
        <v>1</v>
      </c>
      <c r="H103" s="124">
        <v>0.01</v>
      </c>
      <c r="J103" s="130">
        <f ca="1"/>
        <v>398.77611676745022</v>
      </c>
      <c r="K103" s="131">
        <f ca="1"/>
        <v>0.1000000000000002</v>
      </c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</row>
    <row r="104" spans="1:24" x14ac:dyDescent="0.25">
      <c r="A104" s="112">
        <v>100</v>
      </c>
      <c r="B104" s="119" t="s">
        <v>71</v>
      </c>
      <c r="C104" s="139">
        <v>5000000</v>
      </c>
      <c r="D104" s="134">
        <v>2E-3</v>
      </c>
      <c r="E104" s="124">
        <v>2E-3</v>
      </c>
      <c r="F104" s="124">
        <f t="shared" si="1"/>
        <v>0.1</v>
      </c>
      <c r="G104" s="123">
        <v>1</v>
      </c>
      <c r="H104" s="124">
        <v>0.01</v>
      </c>
      <c r="J104" s="130">
        <f ca="1"/>
        <v>398.77611676745022</v>
      </c>
      <c r="K104" s="131">
        <f ca="1"/>
        <v>0.1000000000000002</v>
      </c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</row>
    <row r="105" spans="1:24" x14ac:dyDescent="0.25">
      <c r="A105" s="112">
        <v>101</v>
      </c>
      <c r="B105" s="119" t="s">
        <v>71</v>
      </c>
      <c r="C105" s="139">
        <v>5000000</v>
      </c>
      <c r="D105" s="134">
        <v>2E-3</v>
      </c>
      <c r="E105" s="124">
        <v>2E-3</v>
      </c>
      <c r="F105" s="124">
        <f t="shared" si="1"/>
        <v>0.1</v>
      </c>
      <c r="G105" s="123">
        <v>1</v>
      </c>
      <c r="H105" s="124">
        <v>0.01</v>
      </c>
      <c r="J105" s="130">
        <f ca="1"/>
        <v>398.77611676745022</v>
      </c>
      <c r="K105" s="131">
        <f ca="1"/>
        <v>0.1000000000000002</v>
      </c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</row>
    <row r="106" spans="1:24" x14ac:dyDescent="0.25">
      <c r="A106" s="112">
        <v>102</v>
      </c>
      <c r="B106" s="119" t="s">
        <v>71</v>
      </c>
      <c r="C106" s="139">
        <v>5000000</v>
      </c>
      <c r="D106" s="134">
        <v>2E-3</v>
      </c>
      <c r="E106" s="124">
        <v>2E-3</v>
      </c>
      <c r="F106" s="124">
        <f t="shared" si="1"/>
        <v>0.1</v>
      </c>
      <c r="G106" s="123">
        <v>1</v>
      </c>
      <c r="H106" s="124">
        <v>0.01</v>
      </c>
      <c r="J106" s="130">
        <f ca="1"/>
        <v>398.77611676745022</v>
      </c>
      <c r="K106" s="131">
        <f ca="1"/>
        <v>0.1000000000000002</v>
      </c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</row>
    <row r="107" spans="1:24" x14ac:dyDescent="0.25">
      <c r="A107" s="112">
        <v>103</v>
      </c>
      <c r="B107" s="119" t="s">
        <v>71</v>
      </c>
      <c r="C107" s="139">
        <v>5000000</v>
      </c>
      <c r="D107" s="134">
        <v>2E-3</v>
      </c>
      <c r="E107" s="124">
        <v>2E-3</v>
      </c>
      <c r="F107" s="124">
        <f t="shared" si="1"/>
        <v>0.1</v>
      </c>
      <c r="G107" s="123">
        <v>1</v>
      </c>
      <c r="H107" s="124">
        <v>0.01</v>
      </c>
      <c r="J107" s="130">
        <f ca="1"/>
        <v>398.77611676745022</v>
      </c>
      <c r="K107" s="131">
        <f ca="1"/>
        <v>0.1000000000000002</v>
      </c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</row>
    <row r="108" spans="1:24" x14ac:dyDescent="0.25">
      <c r="A108" s="112">
        <v>104</v>
      </c>
      <c r="B108" s="119" t="s">
        <v>71</v>
      </c>
      <c r="C108" s="139">
        <v>5000000</v>
      </c>
      <c r="D108" s="134">
        <v>2E-3</v>
      </c>
      <c r="E108" s="124">
        <v>2E-3</v>
      </c>
      <c r="F108" s="124">
        <f t="shared" si="1"/>
        <v>0.1</v>
      </c>
      <c r="G108" s="123">
        <v>1</v>
      </c>
      <c r="H108" s="124">
        <v>0.01</v>
      </c>
      <c r="J108" s="130">
        <f ca="1"/>
        <v>398.77611676745022</v>
      </c>
      <c r="K108" s="131">
        <f ca="1"/>
        <v>0.1000000000000002</v>
      </c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</row>
    <row r="109" spans="1:24" x14ac:dyDescent="0.25">
      <c r="A109" s="112">
        <v>105</v>
      </c>
      <c r="B109" s="119" t="s">
        <v>71</v>
      </c>
      <c r="C109" s="139">
        <v>5000000</v>
      </c>
      <c r="D109" s="134">
        <v>2E-3</v>
      </c>
      <c r="E109" s="124">
        <v>2E-3</v>
      </c>
      <c r="F109" s="124">
        <f t="shared" si="1"/>
        <v>0.1</v>
      </c>
      <c r="G109" s="123">
        <v>1</v>
      </c>
      <c r="H109" s="124">
        <v>0.01</v>
      </c>
      <c r="J109" s="130">
        <f ca="1"/>
        <v>398.77611676745022</v>
      </c>
      <c r="K109" s="131">
        <f ca="1"/>
        <v>0.1000000000000002</v>
      </c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</row>
    <row r="110" spans="1:24" x14ac:dyDescent="0.25">
      <c r="A110" s="112">
        <v>106</v>
      </c>
      <c r="B110" s="119" t="s">
        <v>71</v>
      </c>
      <c r="C110" s="139">
        <v>5000000</v>
      </c>
      <c r="D110" s="134">
        <v>2E-3</v>
      </c>
      <c r="E110" s="124">
        <v>2E-3</v>
      </c>
      <c r="F110" s="124">
        <f t="shared" si="1"/>
        <v>0.1</v>
      </c>
      <c r="G110" s="123">
        <v>1</v>
      </c>
      <c r="H110" s="124">
        <v>0.01</v>
      </c>
      <c r="J110" s="130">
        <f ca="1"/>
        <v>398.77611676745022</v>
      </c>
      <c r="K110" s="131">
        <f ca="1"/>
        <v>0.1000000000000002</v>
      </c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</row>
    <row r="111" spans="1:24" x14ac:dyDescent="0.25">
      <c r="A111" s="112">
        <v>107</v>
      </c>
      <c r="B111" s="119" t="s">
        <v>71</v>
      </c>
      <c r="C111" s="139">
        <v>5000000</v>
      </c>
      <c r="D111" s="134">
        <v>2E-3</v>
      </c>
      <c r="E111" s="124">
        <v>2E-3</v>
      </c>
      <c r="F111" s="124">
        <f t="shared" si="1"/>
        <v>0.1</v>
      </c>
      <c r="G111" s="123">
        <v>1</v>
      </c>
      <c r="H111" s="124">
        <v>0.01</v>
      </c>
      <c r="J111" s="130">
        <f ca="1"/>
        <v>398.77611676745022</v>
      </c>
      <c r="K111" s="131">
        <f ca="1"/>
        <v>0.1000000000000002</v>
      </c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</row>
    <row r="112" spans="1:24" x14ac:dyDescent="0.25">
      <c r="A112" s="112">
        <v>108</v>
      </c>
      <c r="B112" s="119" t="s">
        <v>71</v>
      </c>
      <c r="C112" s="139">
        <v>5000000</v>
      </c>
      <c r="D112" s="134">
        <v>2E-3</v>
      </c>
      <c r="E112" s="124">
        <v>2E-3</v>
      </c>
      <c r="F112" s="124">
        <f t="shared" si="1"/>
        <v>0.1</v>
      </c>
      <c r="G112" s="123">
        <v>1</v>
      </c>
      <c r="H112" s="124">
        <v>0.01</v>
      </c>
      <c r="J112" s="130">
        <f ca="1"/>
        <v>398.77611676745022</v>
      </c>
      <c r="K112" s="131">
        <f ca="1"/>
        <v>0.1000000000000002</v>
      </c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</row>
    <row r="113" spans="1:24" x14ac:dyDescent="0.25">
      <c r="A113" s="112">
        <v>109</v>
      </c>
      <c r="B113" s="119" t="s">
        <v>71</v>
      </c>
      <c r="C113" s="139">
        <v>5000000</v>
      </c>
      <c r="D113" s="134">
        <v>2E-3</v>
      </c>
      <c r="E113" s="124">
        <v>2E-3</v>
      </c>
      <c r="F113" s="124">
        <f t="shared" si="1"/>
        <v>0.1</v>
      </c>
      <c r="G113" s="123">
        <v>1</v>
      </c>
      <c r="H113" s="124">
        <v>0.01</v>
      </c>
      <c r="J113" s="130">
        <f ca="1"/>
        <v>398.77611676745022</v>
      </c>
      <c r="K113" s="131">
        <f ca="1"/>
        <v>0.1000000000000002</v>
      </c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</row>
    <row r="114" spans="1:24" x14ac:dyDescent="0.25">
      <c r="A114" s="112">
        <v>110</v>
      </c>
      <c r="B114" s="119" t="s">
        <v>71</v>
      </c>
      <c r="C114" s="139">
        <v>5000000</v>
      </c>
      <c r="D114" s="134">
        <v>2E-3</v>
      </c>
      <c r="E114" s="124">
        <v>2E-3</v>
      </c>
      <c r="F114" s="124">
        <f t="shared" si="1"/>
        <v>0.1</v>
      </c>
      <c r="G114" s="123">
        <v>1</v>
      </c>
      <c r="H114" s="124">
        <v>0.01</v>
      </c>
      <c r="J114" s="130">
        <f ca="1"/>
        <v>398.77611676745022</v>
      </c>
      <c r="K114" s="131">
        <f ca="1"/>
        <v>0.1000000000000002</v>
      </c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</row>
    <row r="115" spans="1:24" x14ac:dyDescent="0.25">
      <c r="A115" s="112">
        <v>111</v>
      </c>
      <c r="B115" s="119" t="s">
        <v>71</v>
      </c>
      <c r="C115" s="139">
        <v>5000000</v>
      </c>
      <c r="D115" s="134">
        <v>2E-3</v>
      </c>
      <c r="E115" s="124">
        <v>2E-3</v>
      </c>
      <c r="F115" s="124">
        <f t="shared" si="1"/>
        <v>0.1</v>
      </c>
      <c r="G115" s="123">
        <v>1</v>
      </c>
      <c r="H115" s="124">
        <v>0.01</v>
      </c>
      <c r="J115" s="130">
        <f ca="1"/>
        <v>398.77611676745022</v>
      </c>
      <c r="K115" s="131">
        <f ca="1"/>
        <v>0.1000000000000002</v>
      </c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</row>
    <row r="116" spans="1:24" x14ac:dyDescent="0.25">
      <c r="A116" s="112">
        <v>112</v>
      </c>
      <c r="B116" s="119" t="s">
        <v>71</v>
      </c>
      <c r="C116" s="139">
        <v>5000000</v>
      </c>
      <c r="D116" s="134">
        <v>2E-3</v>
      </c>
      <c r="E116" s="124">
        <v>2E-3</v>
      </c>
      <c r="F116" s="124">
        <f t="shared" si="1"/>
        <v>0.1</v>
      </c>
      <c r="G116" s="123">
        <v>1</v>
      </c>
      <c r="H116" s="124">
        <v>0.01</v>
      </c>
      <c r="J116" s="130">
        <f ca="1"/>
        <v>398.77611676745022</v>
      </c>
      <c r="K116" s="131">
        <f ca="1"/>
        <v>0.1000000000000002</v>
      </c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</row>
    <row r="117" spans="1:24" x14ac:dyDescent="0.25">
      <c r="A117" s="112">
        <v>113</v>
      </c>
      <c r="B117" s="119" t="s">
        <v>71</v>
      </c>
      <c r="C117" s="139">
        <v>5000000</v>
      </c>
      <c r="D117" s="134">
        <v>2E-3</v>
      </c>
      <c r="E117" s="124">
        <v>2E-3</v>
      </c>
      <c r="F117" s="124">
        <f t="shared" si="1"/>
        <v>0.1</v>
      </c>
      <c r="G117" s="123">
        <v>1</v>
      </c>
      <c r="H117" s="124">
        <v>0.01</v>
      </c>
      <c r="J117" s="130">
        <f ca="1"/>
        <v>398.77611676745022</v>
      </c>
      <c r="K117" s="131">
        <f ca="1"/>
        <v>0.1000000000000002</v>
      </c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</row>
    <row r="118" spans="1:24" x14ac:dyDescent="0.25">
      <c r="A118" s="112">
        <v>114</v>
      </c>
      <c r="B118" s="119" t="s">
        <v>71</v>
      </c>
      <c r="C118" s="139">
        <v>5000000</v>
      </c>
      <c r="D118" s="134">
        <v>2E-3</v>
      </c>
      <c r="E118" s="124">
        <v>2E-3</v>
      </c>
      <c r="F118" s="124">
        <f t="shared" si="1"/>
        <v>0.1</v>
      </c>
      <c r="G118" s="123">
        <v>1</v>
      </c>
      <c r="H118" s="124">
        <v>0.01</v>
      </c>
      <c r="J118" s="130">
        <f ca="1"/>
        <v>398.77611676745022</v>
      </c>
      <c r="K118" s="131">
        <f ca="1"/>
        <v>0.1000000000000002</v>
      </c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</row>
    <row r="119" spans="1:24" x14ac:dyDescent="0.25">
      <c r="A119" s="112">
        <v>115</v>
      </c>
      <c r="B119" s="119" t="s">
        <v>71</v>
      </c>
      <c r="C119" s="139">
        <v>5000000</v>
      </c>
      <c r="D119" s="134">
        <v>2E-3</v>
      </c>
      <c r="E119" s="124">
        <v>2E-3</v>
      </c>
      <c r="F119" s="124">
        <f t="shared" si="1"/>
        <v>0.1</v>
      </c>
      <c r="G119" s="123">
        <v>1</v>
      </c>
      <c r="H119" s="124">
        <v>0.01</v>
      </c>
      <c r="J119" s="130">
        <f ca="1"/>
        <v>398.77611676745022</v>
      </c>
      <c r="K119" s="131">
        <f ca="1"/>
        <v>0.1000000000000002</v>
      </c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</row>
    <row r="120" spans="1:24" x14ac:dyDescent="0.25">
      <c r="A120" s="112">
        <v>116</v>
      </c>
      <c r="B120" s="119" t="s">
        <v>71</v>
      </c>
      <c r="C120" s="139">
        <v>5000000</v>
      </c>
      <c r="D120" s="134">
        <v>2E-3</v>
      </c>
      <c r="E120" s="124">
        <v>2E-3</v>
      </c>
      <c r="F120" s="124">
        <f t="shared" si="1"/>
        <v>0.1</v>
      </c>
      <c r="G120" s="123">
        <v>1</v>
      </c>
      <c r="H120" s="124">
        <v>0.01</v>
      </c>
      <c r="J120" s="130">
        <f ca="1"/>
        <v>398.77611676745022</v>
      </c>
      <c r="K120" s="131">
        <f ca="1"/>
        <v>0.1000000000000002</v>
      </c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</row>
    <row r="121" spans="1:24" x14ac:dyDescent="0.25">
      <c r="A121" s="112">
        <v>117</v>
      </c>
      <c r="B121" s="119" t="s">
        <v>71</v>
      </c>
      <c r="C121" s="139">
        <v>5000000</v>
      </c>
      <c r="D121" s="134">
        <v>2E-3</v>
      </c>
      <c r="E121" s="124">
        <v>2E-3</v>
      </c>
      <c r="F121" s="124">
        <f t="shared" si="1"/>
        <v>0.1</v>
      </c>
      <c r="G121" s="123">
        <v>1</v>
      </c>
      <c r="H121" s="124">
        <v>0.01</v>
      </c>
      <c r="J121" s="130">
        <f ca="1"/>
        <v>398.77611676745022</v>
      </c>
      <c r="K121" s="131">
        <f ca="1"/>
        <v>0.1000000000000002</v>
      </c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</row>
    <row r="122" spans="1:24" x14ac:dyDescent="0.25">
      <c r="A122" s="112">
        <v>118</v>
      </c>
      <c r="B122" s="119" t="s">
        <v>71</v>
      </c>
      <c r="C122" s="139">
        <v>5000000</v>
      </c>
      <c r="D122" s="134">
        <v>2E-3</v>
      </c>
      <c r="E122" s="124">
        <v>2E-3</v>
      </c>
      <c r="F122" s="124">
        <f t="shared" si="1"/>
        <v>0.1</v>
      </c>
      <c r="G122" s="123">
        <v>1</v>
      </c>
      <c r="H122" s="124">
        <v>0.01</v>
      </c>
      <c r="J122" s="130">
        <f ca="1"/>
        <v>398.77611676745022</v>
      </c>
      <c r="K122" s="131">
        <f ca="1"/>
        <v>0.1000000000000002</v>
      </c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</row>
    <row r="123" spans="1:24" x14ac:dyDescent="0.25">
      <c r="A123" s="112">
        <v>119</v>
      </c>
      <c r="B123" s="119" t="s">
        <v>71</v>
      </c>
      <c r="C123" s="139">
        <v>5000000</v>
      </c>
      <c r="D123" s="134">
        <v>2E-3</v>
      </c>
      <c r="E123" s="124">
        <v>2E-3</v>
      </c>
      <c r="F123" s="124">
        <f t="shared" si="1"/>
        <v>0.1</v>
      </c>
      <c r="G123" s="123">
        <v>1</v>
      </c>
      <c r="H123" s="124">
        <v>0.01</v>
      </c>
      <c r="J123" s="130">
        <f ca="1"/>
        <v>398.77611676745022</v>
      </c>
      <c r="K123" s="131">
        <f ca="1"/>
        <v>0.1000000000000002</v>
      </c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</row>
    <row r="124" spans="1:24" x14ac:dyDescent="0.25">
      <c r="A124" s="112">
        <v>120</v>
      </c>
      <c r="B124" s="119" t="s">
        <v>71</v>
      </c>
      <c r="C124" s="139">
        <v>5000000</v>
      </c>
      <c r="D124" s="134">
        <v>2E-3</v>
      </c>
      <c r="E124" s="124">
        <v>2E-3</v>
      </c>
      <c r="F124" s="124">
        <f t="shared" si="1"/>
        <v>0.1</v>
      </c>
      <c r="G124" s="123">
        <v>1</v>
      </c>
      <c r="H124" s="124">
        <v>0.01</v>
      </c>
      <c r="J124" s="130">
        <f ca="1"/>
        <v>398.77611676745022</v>
      </c>
      <c r="K124" s="131">
        <f ca="1"/>
        <v>0.1000000000000002</v>
      </c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</row>
    <row r="125" spans="1:24" x14ac:dyDescent="0.25">
      <c r="A125" s="112">
        <v>121</v>
      </c>
      <c r="B125" s="119" t="s">
        <v>71</v>
      </c>
      <c r="C125" s="139">
        <v>5000000</v>
      </c>
      <c r="D125" s="134">
        <v>2E-3</v>
      </c>
      <c r="E125" s="124">
        <v>2E-3</v>
      </c>
      <c r="F125" s="124">
        <f t="shared" si="1"/>
        <v>0.1</v>
      </c>
      <c r="G125" s="123">
        <v>1</v>
      </c>
      <c r="H125" s="124">
        <v>0.01</v>
      </c>
      <c r="J125" s="130">
        <f ca="1"/>
        <v>398.77611676745022</v>
      </c>
      <c r="K125" s="131">
        <f ca="1"/>
        <v>0.1000000000000002</v>
      </c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</row>
    <row r="126" spans="1:24" x14ac:dyDescent="0.25">
      <c r="A126" s="112">
        <v>122</v>
      </c>
      <c r="B126" s="119" t="s">
        <v>71</v>
      </c>
      <c r="C126" s="139">
        <v>5000000</v>
      </c>
      <c r="D126" s="134">
        <v>2E-3</v>
      </c>
      <c r="E126" s="124">
        <v>2E-3</v>
      </c>
      <c r="F126" s="124">
        <f t="shared" si="1"/>
        <v>0.1</v>
      </c>
      <c r="G126" s="123">
        <v>1</v>
      </c>
      <c r="H126" s="124">
        <v>0.01</v>
      </c>
      <c r="J126" s="130">
        <f ca="1"/>
        <v>398.77611676745022</v>
      </c>
      <c r="K126" s="131">
        <f ca="1"/>
        <v>0.1000000000000002</v>
      </c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</row>
    <row r="127" spans="1:24" x14ac:dyDescent="0.25">
      <c r="A127" s="112">
        <v>123</v>
      </c>
      <c r="B127" s="119" t="s">
        <v>71</v>
      </c>
      <c r="C127" s="139">
        <v>5000000</v>
      </c>
      <c r="D127" s="134">
        <v>2E-3</v>
      </c>
      <c r="E127" s="124">
        <v>2E-3</v>
      </c>
      <c r="F127" s="124">
        <f t="shared" si="1"/>
        <v>0.1</v>
      </c>
      <c r="G127" s="123">
        <v>1</v>
      </c>
      <c r="H127" s="124">
        <v>0.01</v>
      </c>
      <c r="J127" s="130">
        <f ca="1"/>
        <v>398.77611676745022</v>
      </c>
      <c r="K127" s="131">
        <f ca="1"/>
        <v>0.1000000000000002</v>
      </c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</row>
    <row r="128" spans="1:24" x14ac:dyDescent="0.25">
      <c r="A128" s="112">
        <v>124</v>
      </c>
      <c r="B128" s="119" t="s">
        <v>71</v>
      </c>
      <c r="C128" s="139">
        <v>5000000</v>
      </c>
      <c r="D128" s="134">
        <v>2E-3</v>
      </c>
      <c r="E128" s="124">
        <v>2E-3</v>
      </c>
      <c r="F128" s="124">
        <f t="shared" si="1"/>
        <v>0.1</v>
      </c>
      <c r="G128" s="123">
        <v>1</v>
      </c>
      <c r="H128" s="124">
        <v>0.01</v>
      </c>
      <c r="J128" s="130">
        <f ca="1"/>
        <v>398.77611676745022</v>
      </c>
      <c r="K128" s="131">
        <f ca="1"/>
        <v>0.1000000000000002</v>
      </c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</row>
    <row r="129" spans="1:24" x14ac:dyDescent="0.25">
      <c r="A129" s="112">
        <v>125</v>
      </c>
      <c r="B129" s="119" t="s">
        <v>71</v>
      </c>
      <c r="C129" s="139">
        <v>5000000</v>
      </c>
      <c r="D129" s="134">
        <v>2E-3</v>
      </c>
      <c r="E129" s="124">
        <v>2E-3</v>
      </c>
      <c r="F129" s="124">
        <f t="shared" si="1"/>
        <v>0.1</v>
      </c>
      <c r="G129" s="123">
        <v>1</v>
      </c>
      <c r="H129" s="124">
        <v>0.01</v>
      </c>
      <c r="J129" s="130">
        <f ca="1"/>
        <v>398.77611676745022</v>
      </c>
      <c r="K129" s="131">
        <f ca="1"/>
        <v>0.1000000000000002</v>
      </c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</row>
    <row r="130" spans="1:24" x14ac:dyDescent="0.25">
      <c r="A130" s="112">
        <v>126</v>
      </c>
      <c r="B130" s="119" t="s">
        <v>71</v>
      </c>
      <c r="C130" s="139">
        <v>5000000</v>
      </c>
      <c r="D130" s="134">
        <v>2E-3</v>
      </c>
      <c r="E130" s="124">
        <v>2E-3</v>
      </c>
      <c r="F130" s="124">
        <f t="shared" si="1"/>
        <v>0.1</v>
      </c>
      <c r="G130" s="123">
        <v>1</v>
      </c>
      <c r="H130" s="124">
        <v>0.01</v>
      </c>
      <c r="J130" s="130">
        <f ca="1"/>
        <v>398.77611676745022</v>
      </c>
      <c r="K130" s="131">
        <f ca="1"/>
        <v>0.1000000000000002</v>
      </c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</row>
    <row r="131" spans="1:24" x14ac:dyDescent="0.25">
      <c r="A131" s="112">
        <v>127</v>
      </c>
      <c r="B131" s="119" t="s">
        <v>71</v>
      </c>
      <c r="C131" s="139">
        <v>5000000</v>
      </c>
      <c r="D131" s="134">
        <v>2E-3</v>
      </c>
      <c r="E131" s="124">
        <v>2E-3</v>
      </c>
      <c r="F131" s="124">
        <f t="shared" si="1"/>
        <v>0.1</v>
      </c>
      <c r="G131" s="123">
        <v>1</v>
      </c>
      <c r="H131" s="124">
        <v>0.01</v>
      </c>
      <c r="J131" s="130">
        <f ca="1"/>
        <v>398.77611676745022</v>
      </c>
      <c r="K131" s="131">
        <f ca="1"/>
        <v>0.1000000000000002</v>
      </c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</row>
    <row r="132" spans="1:24" x14ac:dyDescent="0.25">
      <c r="A132" s="112">
        <v>128</v>
      </c>
      <c r="B132" s="119" t="s">
        <v>71</v>
      </c>
      <c r="C132" s="139">
        <v>5000000</v>
      </c>
      <c r="D132" s="134">
        <v>2E-3</v>
      </c>
      <c r="E132" s="124">
        <v>2E-3</v>
      </c>
      <c r="F132" s="124">
        <f t="shared" si="1"/>
        <v>0.1</v>
      </c>
      <c r="G132" s="123">
        <v>1</v>
      </c>
      <c r="H132" s="124">
        <v>0.01</v>
      </c>
      <c r="J132" s="130">
        <f ca="1"/>
        <v>398.77611676745022</v>
      </c>
      <c r="K132" s="131">
        <f ca="1"/>
        <v>0.1000000000000002</v>
      </c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</row>
    <row r="133" spans="1:24" x14ac:dyDescent="0.25">
      <c r="A133" s="112">
        <v>129</v>
      </c>
      <c r="B133" s="119" t="s">
        <v>71</v>
      </c>
      <c r="C133" s="139">
        <v>5000000</v>
      </c>
      <c r="D133" s="134">
        <v>2E-3</v>
      </c>
      <c r="E133" s="124">
        <v>2E-3</v>
      </c>
      <c r="F133" s="124">
        <f t="shared" ref="F133:F196" si="2">$F$2</f>
        <v>0.1</v>
      </c>
      <c r="G133" s="123">
        <v>1</v>
      </c>
      <c r="H133" s="124">
        <v>0.01</v>
      </c>
      <c r="J133" s="130">
        <f ca="1"/>
        <v>398.77611676745022</v>
      </c>
      <c r="K133" s="131">
        <f ca="1"/>
        <v>0.1000000000000002</v>
      </c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</row>
    <row r="134" spans="1:24" x14ac:dyDescent="0.25">
      <c r="A134" s="112">
        <v>130</v>
      </c>
      <c r="B134" s="119" t="s">
        <v>71</v>
      </c>
      <c r="C134" s="139">
        <v>5000000</v>
      </c>
      <c r="D134" s="134">
        <v>2E-3</v>
      </c>
      <c r="E134" s="124">
        <v>2E-3</v>
      </c>
      <c r="F134" s="124">
        <f t="shared" si="2"/>
        <v>0.1</v>
      </c>
      <c r="G134" s="123">
        <v>1</v>
      </c>
      <c r="H134" s="124">
        <v>0.01</v>
      </c>
      <c r="J134" s="130">
        <f ca="1"/>
        <v>398.77611676745022</v>
      </c>
      <c r="K134" s="131">
        <f ca="1"/>
        <v>0.1000000000000002</v>
      </c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</row>
    <row r="135" spans="1:24" x14ac:dyDescent="0.25">
      <c r="A135" s="112">
        <v>131</v>
      </c>
      <c r="B135" s="119" t="s">
        <v>71</v>
      </c>
      <c r="C135" s="139">
        <v>5000000</v>
      </c>
      <c r="D135" s="134">
        <v>2E-3</v>
      </c>
      <c r="E135" s="124">
        <v>2E-3</v>
      </c>
      <c r="F135" s="124">
        <f t="shared" si="2"/>
        <v>0.1</v>
      </c>
      <c r="G135" s="123">
        <v>1</v>
      </c>
      <c r="H135" s="124">
        <v>0.01</v>
      </c>
      <c r="J135" s="130">
        <f ca="1"/>
        <v>398.77611676745022</v>
      </c>
      <c r="K135" s="131">
        <f ca="1"/>
        <v>0.1000000000000002</v>
      </c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</row>
    <row r="136" spans="1:24" x14ac:dyDescent="0.25">
      <c r="A136" s="112">
        <v>132</v>
      </c>
      <c r="B136" s="119" t="s">
        <v>71</v>
      </c>
      <c r="C136" s="139">
        <v>5000000</v>
      </c>
      <c r="D136" s="134">
        <v>2E-3</v>
      </c>
      <c r="E136" s="124">
        <v>2E-3</v>
      </c>
      <c r="F136" s="124">
        <f t="shared" si="2"/>
        <v>0.1</v>
      </c>
      <c r="G136" s="123">
        <v>1</v>
      </c>
      <c r="H136" s="124">
        <v>0.01</v>
      </c>
      <c r="J136" s="130">
        <f ca="1"/>
        <v>398.77611676745022</v>
      </c>
      <c r="K136" s="131">
        <f ca="1"/>
        <v>0.1000000000000002</v>
      </c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</row>
    <row r="137" spans="1:24" x14ac:dyDescent="0.25">
      <c r="A137" s="112">
        <v>133</v>
      </c>
      <c r="B137" s="119" t="s">
        <v>71</v>
      </c>
      <c r="C137" s="139">
        <v>5000000</v>
      </c>
      <c r="D137" s="134">
        <v>2E-3</v>
      </c>
      <c r="E137" s="124">
        <v>2E-3</v>
      </c>
      <c r="F137" s="124">
        <f t="shared" si="2"/>
        <v>0.1</v>
      </c>
      <c r="G137" s="123">
        <v>1</v>
      </c>
      <c r="H137" s="124">
        <v>0.01</v>
      </c>
      <c r="J137" s="130">
        <f ca="1"/>
        <v>398.77611676745022</v>
      </c>
      <c r="K137" s="131">
        <f ca="1"/>
        <v>0.1000000000000002</v>
      </c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</row>
    <row r="138" spans="1:24" x14ac:dyDescent="0.25">
      <c r="A138" s="112">
        <v>134</v>
      </c>
      <c r="B138" s="119" t="s">
        <v>71</v>
      </c>
      <c r="C138" s="139">
        <v>5000000</v>
      </c>
      <c r="D138" s="134">
        <v>2E-3</v>
      </c>
      <c r="E138" s="124">
        <v>2E-3</v>
      </c>
      <c r="F138" s="124">
        <f t="shared" si="2"/>
        <v>0.1</v>
      </c>
      <c r="G138" s="123">
        <v>1</v>
      </c>
      <c r="H138" s="124">
        <v>0.01</v>
      </c>
      <c r="J138" s="130">
        <f ca="1"/>
        <v>398.77611676745022</v>
      </c>
      <c r="K138" s="131">
        <f ca="1"/>
        <v>0.1000000000000002</v>
      </c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</row>
    <row r="139" spans="1:24" x14ac:dyDescent="0.25">
      <c r="A139" s="112">
        <v>135</v>
      </c>
      <c r="B139" s="119" t="s">
        <v>71</v>
      </c>
      <c r="C139" s="139">
        <v>5000000</v>
      </c>
      <c r="D139" s="134">
        <v>2E-3</v>
      </c>
      <c r="E139" s="124">
        <v>2E-3</v>
      </c>
      <c r="F139" s="124">
        <f t="shared" si="2"/>
        <v>0.1</v>
      </c>
      <c r="G139" s="123">
        <v>1</v>
      </c>
      <c r="H139" s="124">
        <v>0.01</v>
      </c>
      <c r="J139" s="130">
        <f ca="1"/>
        <v>398.77611676745022</v>
      </c>
      <c r="K139" s="131">
        <f ca="1"/>
        <v>0.1000000000000002</v>
      </c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</row>
    <row r="140" spans="1:24" x14ac:dyDescent="0.25">
      <c r="A140" s="112">
        <v>136</v>
      </c>
      <c r="B140" s="119" t="s">
        <v>71</v>
      </c>
      <c r="C140" s="139">
        <v>5000000</v>
      </c>
      <c r="D140" s="134">
        <v>2E-3</v>
      </c>
      <c r="E140" s="124">
        <v>2E-3</v>
      </c>
      <c r="F140" s="124">
        <f t="shared" si="2"/>
        <v>0.1</v>
      </c>
      <c r="G140" s="123">
        <v>1</v>
      </c>
      <c r="H140" s="124">
        <v>0.01</v>
      </c>
      <c r="J140" s="130">
        <f ca="1"/>
        <v>398.77611676745022</v>
      </c>
      <c r="K140" s="131">
        <f ca="1"/>
        <v>0.1000000000000002</v>
      </c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</row>
    <row r="141" spans="1:24" x14ac:dyDescent="0.25">
      <c r="A141" s="112">
        <v>137</v>
      </c>
      <c r="B141" s="119" t="s">
        <v>71</v>
      </c>
      <c r="C141" s="139">
        <v>5000000</v>
      </c>
      <c r="D141" s="134">
        <v>2E-3</v>
      </c>
      <c r="E141" s="124">
        <v>2E-3</v>
      </c>
      <c r="F141" s="124">
        <f t="shared" si="2"/>
        <v>0.1</v>
      </c>
      <c r="G141" s="123">
        <v>1</v>
      </c>
      <c r="H141" s="124">
        <v>0.01</v>
      </c>
      <c r="J141" s="130">
        <f ca="1"/>
        <v>398.77611676745022</v>
      </c>
      <c r="K141" s="131">
        <f ca="1"/>
        <v>0.1000000000000002</v>
      </c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</row>
    <row r="142" spans="1:24" x14ac:dyDescent="0.25">
      <c r="A142" s="112">
        <v>138</v>
      </c>
      <c r="B142" s="119" t="s">
        <v>71</v>
      </c>
      <c r="C142" s="139">
        <v>5000000</v>
      </c>
      <c r="D142" s="134">
        <v>2E-3</v>
      </c>
      <c r="E142" s="124">
        <v>2E-3</v>
      </c>
      <c r="F142" s="124">
        <f t="shared" si="2"/>
        <v>0.1</v>
      </c>
      <c r="G142" s="123">
        <v>1</v>
      </c>
      <c r="H142" s="124">
        <v>0.01</v>
      </c>
      <c r="J142" s="130">
        <f ca="1"/>
        <v>398.77611676745022</v>
      </c>
      <c r="K142" s="131">
        <f ca="1"/>
        <v>0.1000000000000002</v>
      </c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</row>
    <row r="143" spans="1:24" x14ac:dyDescent="0.25">
      <c r="A143" s="112">
        <v>139</v>
      </c>
      <c r="B143" s="119" t="s">
        <v>71</v>
      </c>
      <c r="C143" s="139">
        <v>5000000</v>
      </c>
      <c r="D143" s="134">
        <v>2E-3</v>
      </c>
      <c r="E143" s="124">
        <v>2E-3</v>
      </c>
      <c r="F143" s="124">
        <f t="shared" si="2"/>
        <v>0.1</v>
      </c>
      <c r="G143" s="123">
        <v>1</v>
      </c>
      <c r="H143" s="124">
        <v>0.01</v>
      </c>
      <c r="J143" s="130">
        <f ca="1"/>
        <v>398.77611676745022</v>
      </c>
      <c r="K143" s="131">
        <f ca="1"/>
        <v>0.1000000000000002</v>
      </c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</row>
    <row r="144" spans="1:24" x14ac:dyDescent="0.25">
      <c r="A144" s="112">
        <v>140</v>
      </c>
      <c r="B144" s="119" t="s">
        <v>71</v>
      </c>
      <c r="C144" s="139">
        <v>5000000</v>
      </c>
      <c r="D144" s="134">
        <v>2E-3</v>
      </c>
      <c r="E144" s="124">
        <v>2E-3</v>
      </c>
      <c r="F144" s="124">
        <f t="shared" si="2"/>
        <v>0.1</v>
      </c>
      <c r="G144" s="123">
        <v>1</v>
      </c>
      <c r="H144" s="124">
        <v>0.01</v>
      </c>
      <c r="J144" s="130">
        <f ca="1"/>
        <v>398.77611676745022</v>
      </c>
      <c r="K144" s="131">
        <f ca="1"/>
        <v>0.1000000000000002</v>
      </c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</row>
    <row r="145" spans="1:24" x14ac:dyDescent="0.25">
      <c r="A145" s="112">
        <v>141</v>
      </c>
      <c r="B145" s="119" t="s">
        <v>71</v>
      </c>
      <c r="C145" s="139">
        <v>5000000</v>
      </c>
      <c r="D145" s="134">
        <v>2E-3</v>
      </c>
      <c r="E145" s="124">
        <v>2E-3</v>
      </c>
      <c r="F145" s="124">
        <f t="shared" si="2"/>
        <v>0.1</v>
      </c>
      <c r="G145" s="123">
        <v>1</v>
      </c>
      <c r="H145" s="124">
        <v>0.01</v>
      </c>
      <c r="J145" s="130">
        <f ca="1"/>
        <v>398.77611676745022</v>
      </c>
      <c r="K145" s="131">
        <f ca="1"/>
        <v>0.1000000000000002</v>
      </c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</row>
    <row r="146" spans="1:24" x14ac:dyDescent="0.25">
      <c r="A146" s="112">
        <v>142</v>
      </c>
      <c r="B146" s="119" t="s">
        <v>71</v>
      </c>
      <c r="C146" s="139">
        <v>5000000</v>
      </c>
      <c r="D146" s="134">
        <v>2E-3</v>
      </c>
      <c r="E146" s="124">
        <v>2E-3</v>
      </c>
      <c r="F146" s="124">
        <f t="shared" si="2"/>
        <v>0.1</v>
      </c>
      <c r="G146" s="123">
        <v>1</v>
      </c>
      <c r="H146" s="124">
        <v>0.01</v>
      </c>
      <c r="J146" s="130">
        <f ca="1"/>
        <v>398.77611676745022</v>
      </c>
      <c r="K146" s="131">
        <f ca="1"/>
        <v>0.1000000000000002</v>
      </c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</row>
    <row r="147" spans="1:24" x14ac:dyDescent="0.25">
      <c r="A147" s="112">
        <v>143</v>
      </c>
      <c r="B147" s="119" t="s">
        <v>71</v>
      </c>
      <c r="C147" s="139">
        <v>5000000</v>
      </c>
      <c r="D147" s="134">
        <v>2E-3</v>
      </c>
      <c r="E147" s="124">
        <v>2E-3</v>
      </c>
      <c r="F147" s="124">
        <f t="shared" si="2"/>
        <v>0.1</v>
      </c>
      <c r="G147" s="123">
        <v>1</v>
      </c>
      <c r="H147" s="124">
        <v>0.01</v>
      </c>
      <c r="J147" s="130">
        <f ca="1"/>
        <v>398.77611676745022</v>
      </c>
      <c r="K147" s="131">
        <f ca="1"/>
        <v>0.1000000000000002</v>
      </c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</row>
    <row r="148" spans="1:24" x14ac:dyDescent="0.25">
      <c r="A148" s="112">
        <v>144</v>
      </c>
      <c r="B148" s="119" t="s">
        <v>71</v>
      </c>
      <c r="C148" s="139">
        <v>5000000</v>
      </c>
      <c r="D148" s="134">
        <v>2E-3</v>
      </c>
      <c r="E148" s="124">
        <v>2E-3</v>
      </c>
      <c r="F148" s="124">
        <f t="shared" si="2"/>
        <v>0.1</v>
      </c>
      <c r="G148" s="123">
        <v>1</v>
      </c>
      <c r="H148" s="124">
        <v>0.01</v>
      </c>
      <c r="J148" s="130">
        <f ca="1"/>
        <v>398.77611676745022</v>
      </c>
      <c r="K148" s="131">
        <f ca="1"/>
        <v>0.1000000000000002</v>
      </c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</row>
    <row r="149" spans="1:24" x14ac:dyDescent="0.25">
      <c r="A149" s="112">
        <v>145</v>
      </c>
      <c r="B149" s="119" t="s">
        <v>71</v>
      </c>
      <c r="C149" s="139">
        <v>5000000</v>
      </c>
      <c r="D149" s="134">
        <v>2E-3</v>
      </c>
      <c r="E149" s="124">
        <v>2E-3</v>
      </c>
      <c r="F149" s="124">
        <f t="shared" si="2"/>
        <v>0.1</v>
      </c>
      <c r="G149" s="123">
        <v>1</v>
      </c>
      <c r="H149" s="124">
        <v>0.01</v>
      </c>
      <c r="J149" s="130">
        <f ca="1"/>
        <v>398.77611676745022</v>
      </c>
      <c r="K149" s="131">
        <f ca="1"/>
        <v>0.1000000000000002</v>
      </c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</row>
    <row r="150" spans="1:24" x14ac:dyDescent="0.25">
      <c r="A150" s="112">
        <v>146</v>
      </c>
      <c r="B150" s="119" t="s">
        <v>71</v>
      </c>
      <c r="C150" s="139">
        <v>5000000</v>
      </c>
      <c r="D150" s="134">
        <v>2E-3</v>
      </c>
      <c r="E150" s="124">
        <v>2E-3</v>
      </c>
      <c r="F150" s="124">
        <f t="shared" si="2"/>
        <v>0.1</v>
      </c>
      <c r="G150" s="123">
        <v>1</v>
      </c>
      <c r="H150" s="124">
        <v>0.01</v>
      </c>
      <c r="J150" s="130">
        <f ca="1"/>
        <v>398.77611676745022</v>
      </c>
      <c r="K150" s="131">
        <f ca="1"/>
        <v>0.1000000000000002</v>
      </c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</row>
    <row r="151" spans="1:24" x14ac:dyDescent="0.25">
      <c r="A151" s="112">
        <v>147</v>
      </c>
      <c r="B151" s="119" t="s">
        <v>71</v>
      </c>
      <c r="C151" s="139">
        <v>5000000</v>
      </c>
      <c r="D151" s="134">
        <v>2E-3</v>
      </c>
      <c r="E151" s="124">
        <v>2E-3</v>
      </c>
      <c r="F151" s="124">
        <f t="shared" si="2"/>
        <v>0.1</v>
      </c>
      <c r="G151" s="123">
        <v>1</v>
      </c>
      <c r="H151" s="124">
        <v>0.01</v>
      </c>
      <c r="J151" s="130">
        <f ca="1"/>
        <v>398.77611676745022</v>
      </c>
      <c r="K151" s="131">
        <f ca="1"/>
        <v>0.1000000000000002</v>
      </c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</row>
    <row r="152" spans="1:24" x14ac:dyDescent="0.25">
      <c r="A152" s="112">
        <v>148</v>
      </c>
      <c r="B152" s="119" t="s">
        <v>71</v>
      </c>
      <c r="C152" s="139">
        <v>5000000</v>
      </c>
      <c r="D152" s="134">
        <v>2E-3</v>
      </c>
      <c r="E152" s="124">
        <v>2E-3</v>
      </c>
      <c r="F152" s="124">
        <f t="shared" si="2"/>
        <v>0.1</v>
      </c>
      <c r="G152" s="123">
        <v>1</v>
      </c>
      <c r="H152" s="124">
        <v>0.01</v>
      </c>
      <c r="J152" s="130">
        <f ca="1"/>
        <v>398.77611676745022</v>
      </c>
      <c r="K152" s="131">
        <f ca="1"/>
        <v>0.1000000000000002</v>
      </c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</row>
    <row r="153" spans="1:24" x14ac:dyDescent="0.25">
      <c r="A153" s="112">
        <v>149</v>
      </c>
      <c r="B153" s="119" t="s">
        <v>71</v>
      </c>
      <c r="C153" s="139">
        <v>5000000</v>
      </c>
      <c r="D153" s="134">
        <v>2E-3</v>
      </c>
      <c r="E153" s="124">
        <v>2E-3</v>
      </c>
      <c r="F153" s="124">
        <f t="shared" si="2"/>
        <v>0.1</v>
      </c>
      <c r="G153" s="123">
        <v>1</v>
      </c>
      <c r="H153" s="124">
        <v>0.01</v>
      </c>
      <c r="J153" s="130">
        <f ca="1"/>
        <v>398.77611676745022</v>
      </c>
      <c r="K153" s="131">
        <f ca="1"/>
        <v>0.1000000000000002</v>
      </c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</row>
    <row r="154" spans="1:24" x14ac:dyDescent="0.25">
      <c r="A154" s="112">
        <v>150</v>
      </c>
      <c r="B154" s="119" t="s">
        <v>71</v>
      </c>
      <c r="C154" s="139">
        <v>5000000</v>
      </c>
      <c r="D154" s="134">
        <v>2E-3</v>
      </c>
      <c r="E154" s="124">
        <v>2E-3</v>
      </c>
      <c r="F154" s="124">
        <f t="shared" si="2"/>
        <v>0.1</v>
      </c>
      <c r="G154" s="123">
        <v>1</v>
      </c>
      <c r="H154" s="124">
        <v>0.01</v>
      </c>
      <c r="J154" s="130">
        <f ca="1"/>
        <v>398.77611676745022</v>
      </c>
      <c r="K154" s="131">
        <f ca="1"/>
        <v>0.1000000000000002</v>
      </c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</row>
    <row r="155" spans="1:24" x14ac:dyDescent="0.25">
      <c r="A155" s="112">
        <v>151</v>
      </c>
      <c r="B155" s="119" t="s">
        <v>71</v>
      </c>
      <c r="C155" s="139">
        <v>5000000</v>
      </c>
      <c r="D155" s="134">
        <v>2E-3</v>
      </c>
      <c r="E155" s="124">
        <v>2E-3</v>
      </c>
      <c r="F155" s="124">
        <f t="shared" si="2"/>
        <v>0.1</v>
      </c>
      <c r="G155" s="123">
        <v>1</v>
      </c>
      <c r="H155" s="124">
        <v>0.01</v>
      </c>
      <c r="J155" s="130">
        <f ca="1"/>
        <v>398.77611676745022</v>
      </c>
      <c r="K155" s="131">
        <f ca="1"/>
        <v>0.1000000000000002</v>
      </c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</row>
    <row r="156" spans="1:24" x14ac:dyDescent="0.25">
      <c r="A156" s="112">
        <v>152</v>
      </c>
      <c r="B156" s="119" t="s">
        <v>71</v>
      </c>
      <c r="C156" s="139">
        <v>5000000</v>
      </c>
      <c r="D156" s="134">
        <v>2E-3</v>
      </c>
      <c r="E156" s="124">
        <v>2E-3</v>
      </c>
      <c r="F156" s="124">
        <f t="shared" si="2"/>
        <v>0.1</v>
      </c>
      <c r="G156" s="123">
        <v>1</v>
      </c>
      <c r="H156" s="124">
        <v>0.01</v>
      </c>
      <c r="J156" s="130">
        <f ca="1"/>
        <v>398.77611676745022</v>
      </c>
      <c r="K156" s="131">
        <f ca="1"/>
        <v>0.1000000000000002</v>
      </c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</row>
    <row r="157" spans="1:24" x14ac:dyDescent="0.25">
      <c r="A157" s="112">
        <v>153</v>
      </c>
      <c r="B157" s="119" t="s">
        <v>71</v>
      </c>
      <c r="C157" s="139">
        <v>5000000</v>
      </c>
      <c r="D157" s="134">
        <v>2E-3</v>
      </c>
      <c r="E157" s="124">
        <v>2E-3</v>
      </c>
      <c r="F157" s="124">
        <f t="shared" si="2"/>
        <v>0.1</v>
      </c>
      <c r="G157" s="123">
        <v>1</v>
      </c>
      <c r="H157" s="124">
        <v>0.01</v>
      </c>
      <c r="J157" s="130">
        <f ca="1"/>
        <v>398.77611676745022</v>
      </c>
      <c r="K157" s="131">
        <f ca="1"/>
        <v>0.1000000000000002</v>
      </c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</row>
    <row r="158" spans="1:24" x14ac:dyDescent="0.25">
      <c r="A158" s="112">
        <v>154</v>
      </c>
      <c r="B158" s="119" t="s">
        <v>71</v>
      </c>
      <c r="C158" s="139">
        <v>5000000</v>
      </c>
      <c r="D158" s="134">
        <v>2E-3</v>
      </c>
      <c r="E158" s="124">
        <v>2E-3</v>
      </c>
      <c r="F158" s="124">
        <f t="shared" si="2"/>
        <v>0.1</v>
      </c>
      <c r="G158" s="123">
        <v>1</v>
      </c>
      <c r="H158" s="124">
        <v>0.01</v>
      </c>
      <c r="J158" s="130">
        <f ca="1"/>
        <v>398.77611676745022</v>
      </c>
      <c r="K158" s="131">
        <f ca="1"/>
        <v>0.1000000000000002</v>
      </c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</row>
    <row r="159" spans="1:24" x14ac:dyDescent="0.25">
      <c r="A159" s="112">
        <v>155</v>
      </c>
      <c r="B159" s="119" t="s">
        <v>71</v>
      </c>
      <c r="C159" s="139">
        <v>5000000</v>
      </c>
      <c r="D159" s="134">
        <v>2E-3</v>
      </c>
      <c r="E159" s="124">
        <v>2E-3</v>
      </c>
      <c r="F159" s="124">
        <f t="shared" si="2"/>
        <v>0.1</v>
      </c>
      <c r="G159" s="123">
        <v>1</v>
      </c>
      <c r="H159" s="124">
        <v>0.01</v>
      </c>
      <c r="J159" s="130">
        <f ca="1"/>
        <v>398.77611676745022</v>
      </c>
      <c r="K159" s="131">
        <f ca="1"/>
        <v>0.1000000000000002</v>
      </c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</row>
    <row r="160" spans="1:24" x14ac:dyDescent="0.25">
      <c r="A160" s="112">
        <v>156</v>
      </c>
      <c r="B160" s="119" t="s">
        <v>71</v>
      </c>
      <c r="C160" s="139">
        <v>5000000</v>
      </c>
      <c r="D160" s="134">
        <v>2E-3</v>
      </c>
      <c r="E160" s="124">
        <v>2E-3</v>
      </c>
      <c r="F160" s="124">
        <f t="shared" si="2"/>
        <v>0.1</v>
      </c>
      <c r="G160" s="123">
        <v>1</v>
      </c>
      <c r="H160" s="124">
        <v>0.01</v>
      </c>
      <c r="J160" s="130">
        <f ca="1"/>
        <v>398.77611676745022</v>
      </c>
      <c r="K160" s="131">
        <f ca="1"/>
        <v>0.1000000000000002</v>
      </c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</row>
    <row r="161" spans="1:24" x14ac:dyDescent="0.25">
      <c r="A161" s="112">
        <v>157</v>
      </c>
      <c r="B161" s="119" t="s">
        <v>71</v>
      </c>
      <c r="C161" s="139">
        <v>5000000</v>
      </c>
      <c r="D161" s="134">
        <v>2E-3</v>
      </c>
      <c r="E161" s="124">
        <v>2E-3</v>
      </c>
      <c r="F161" s="124">
        <f t="shared" si="2"/>
        <v>0.1</v>
      </c>
      <c r="G161" s="123">
        <v>1</v>
      </c>
      <c r="H161" s="124">
        <v>0.01</v>
      </c>
      <c r="J161" s="130">
        <f ca="1"/>
        <v>398.77611676745022</v>
      </c>
      <c r="K161" s="131">
        <f ca="1"/>
        <v>0.1000000000000002</v>
      </c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</row>
    <row r="162" spans="1:24" x14ac:dyDescent="0.25">
      <c r="A162" s="112">
        <v>158</v>
      </c>
      <c r="B162" s="119" t="s">
        <v>71</v>
      </c>
      <c r="C162" s="139">
        <v>5000000</v>
      </c>
      <c r="D162" s="134">
        <v>2E-3</v>
      </c>
      <c r="E162" s="124">
        <v>2E-3</v>
      </c>
      <c r="F162" s="124">
        <f t="shared" si="2"/>
        <v>0.1</v>
      </c>
      <c r="G162" s="123">
        <v>1</v>
      </c>
      <c r="H162" s="124">
        <v>0.01</v>
      </c>
      <c r="J162" s="130">
        <f ca="1"/>
        <v>398.77611676745022</v>
      </c>
      <c r="K162" s="131">
        <f ca="1"/>
        <v>0.1000000000000002</v>
      </c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</row>
    <row r="163" spans="1:24" x14ac:dyDescent="0.25">
      <c r="A163" s="112">
        <v>159</v>
      </c>
      <c r="B163" s="119" t="s">
        <v>71</v>
      </c>
      <c r="C163" s="139">
        <v>5000000</v>
      </c>
      <c r="D163" s="134">
        <v>2E-3</v>
      </c>
      <c r="E163" s="124">
        <v>2E-3</v>
      </c>
      <c r="F163" s="124">
        <f t="shared" si="2"/>
        <v>0.1</v>
      </c>
      <c r="G163" s="123">
        <v>1</v>
      </c>
      <c r="H163" s="124">
        <v>0.01</v>
      </c>
      <c r="J163" s="130">
        <f ca="1"/>
        <v>398.77611676745022</v>
      </c>
      <c r="K163" s="131">
        <f ca="1"/>
        <v>0.1000000000000002</v>
      </c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</row>
    <row r="164" spans="1:24" x14ac:dyDescent="0.25">
      <c r="A164" s="112">
        <v>160</v>
      </c>
      <c r="B164" s="119" t="s">
        <v>71</v>
      </c>
      <c r="C164" s="139">
        <v>5000000</v>
      </c>
      <c r="D164" s="134">
        <v>2E-3</v>
      </c>
      <c r="E164" s="124">
        <v>2E-3</v>
      </c>
      <c r="F164" s="124">
        <f t="shared" si="2"/>
        <v>0.1</v>
      </c>
      <c r="G164" s="123">
        <v>1</v>
      </c>
      <c r="H164" s="124">
        <v>0.01</v>
      </c>
      <c r="J164" s="130">
        <f ca="1"/>
        <v>398.77611676745022</v>
      </c>
      <c r="K164" s="131">
        <f ca="1"/>
        <v>0.1000000000000002</v>
      </c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</row>
    <row r="165" spans="1:24" x14ac:dyDescent="0.25">
      <c r="A165" s="112">
        <v>161</v>
      </c>
      <c r="B165" s="119" t="s">
        <v>71</v>
      </c>
      <c r="C165" s="139">
        <v>5000000</v>
      </c>
      <c r="D165" s="134">
        <v>2E-3</v>
      </c>
      <c r="E165" s="124">
        <v>2E-3</v>
      </c>
      <c r="F165" s="124">
        <f t="shared" si="2"/>
        <v>0.1</v>
      </c>
      <c r="G165" s="123">
        <v>1</v>
      </c>
      <c r="H165" s="124">
        <v>0.01</v>
      </c>
      <c r="J165" s="130">
        <f ca="1"/>
        <v>398.77611676745022</v>
      </c>
      <c r="K165" s="131">
        <f ca="1"/>
        <v>0.1000000000000002</v>
      </c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</row>
    <row r="166" spans="1:24" x14ac:dyDescent="0.25">
      <c r="A166" s="112">
        <v>162</v>
      </c>
      <c r="B166" s="119" t="s">
        <v>71</v>
      </c>
      <c r="C166" s="139">
        <v>5000000</v>
      </c>
      <c r="D166" s="134">
        <v>2E-3</v>
      </c>
      <c r="E166" s="124">
        <v>2E-3</v>
      </c>
      <c r="F166" s="124">
        <f t="shared" si="2"/>
        <v>0.1</v>
      </c>
      <c r="G166" s="123">
        <v>1</v>
      </c>
      <c r="H166" s="124">
        <v>0.01</v>
      </c>
      <c r="J166" s="130">
        <f ca="1"/>
        <v>398.77611676745022</v>
      </c>
      <c r="K166" s="131">
        <f ca="1"/>
        <v>0.1000000000000002</v>
      </c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</row>
    <row r="167" spans="1:24" x14ac:dyDescent="0.25">
      <c r="A167" s="112">
        <v>163</v>
      </c>
      <c r="B167" s="119" t="s">
        <v>71</v>
      </c>
      <c r="C167" s="139">
        <v>5000000</v>
      </c>
      <c r="D167" s="134">
        <v>2E-3</v>
      </c>
      <c r="E167" s="124">
        <v>2E-3</v>
      </c>
      <c r="F167" s="124">
        <f t="shared" si="2"/>
        <v>0.1</v>
      </c>
      <c r="G167" s="123">
        <v>1</v>
      </c>
      <c r="H167" s="124">
        <v>0.01</v>
      </c>
      <c r="J167" s="130">
        <f ca="1"/>
        <v>398.77611676745022</v>
      </c>
      <c r="K167" s="131">
        <f ca="1"/>
        <v>0.1000000000000002</v>
      </c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</row>
    <row r="168" spans="1:24" x14ac:dyDescent="0.25">
      <c r="A168" s="112">
        <v>164</v>
      </c>
      <c r="B168" s="119" t="s">
        <v>71</v>
      </c>
      <c r="C168" s="139">
        <v>5000000</v>
      </c>
      <c r="D168" s="134">
        <v>2E-3</v>
      </c>
      <c r="E168" s="124">
        <v>2E-3</v>
      </c>
      <c r="F168" s="124">
        <f t="shared" si="2"/>
        <v>0.1</v>
      </c>
      <c r="G168" s="123">
        <v>1</v>
      </c>
      <c r="H168" s="124">
        <v>0.01</v>
      </c>
      <c r="J168" s="130">
        <f ca="1"/>
        <v>398.77611676745022</v>
      </c>
      <c r="K168" s="131">
        <f ca="1"/>
        <v>0.1000000000000002</v>
      </c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</row>
    <row r="169" spans="1:24" x14ac:dyDescent="0.25">
      <c r="A169" s="112">
        <v>165</v>
      </c>
      <c r="B169" s="119" t="s">
        <v>71</v>
      </c>
      <c r="C169" s="139">
        <v>5000000</v>
      </c>
      <c r="D169" s="134">
        <v>2E-3</v>
      </c>
      <c r="E169" s="124">
        <v>2E-3</v>
      </c>
      <c r="F169" s="124">
        <f t="shared" si="2"/>
        <v>0.1</v>
      </c>
      <c r="G169" s="123">
        <v>1</v>
      </c>
      <c r="H169" s="124">
        <v>0.01</v>
      </c>
      <c r="J169" s="130">
        <f ca="1"/>
        <v>398.77611676745022</v>
      </c>
      <c r="K169" s="131">
        <f ca="1"/>
        <v>0.1000000000000002</v>
      </c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</row>
    <row r="170" spans="1:24" x14ac:dyDescent="0.25">
      <c r="A170" s="112">
        <v>166</v>
      </c>
      <c r="B170" s="119" t="s">
        <v>71</v>
      </c>
      <c r="C170" s="139">
        <v>5000000</v>
      </c>
      <c r="D170" s="134">
        <v>2E-3</v>
      </c>
      <c r="E170" s="124">
        <v>2E-3</v>
      </c>
      <c r="F170" s="124">
        <f t="shared" si="2"/>
        <v>0.1</v>
      </c>
      <c r="G170" s="123">
        <v>1</v>
      </c>
      <c r="H170" s="124">
        <v>0.01</v>
      </c>
      <c r="J170" s="130">
        <f ca="1"/>
        <v>398.77611676745022</v>
      </c>
      <c r="K170" s="131">
        <f ca="1"/>
        <v>0.1000000000000002</v>
      </c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</row>
    <row r="171" spans="1:24" x14ac:dyDescent="0.25">
      <c r="A171" s="112">
        <v>167</v>
      </c>
      <c r="B171" s="119" t="s">
        <v>71</v>
      </c>
      <c r="C171" s="139">
        <v>5000000</v>
      </c>
      <c r="D171" s="134">
        <v>2E-3</v>
      </c>
      <c r="E171" s="124">
        <v>2E-3</v>
      </c>
      <c r="F171" s="124">
        <f t="shared" si="2"/>
        <v>0.1</v>
      </c>
      <c r="G171" s="123">
        <v>1</v>
      </c>
      <c r="H171" s="124">
        <v>0.01</v>
      </c>
      <c r="J171" s="130">
        <f ca="1"/>
        <v>398.77611676745022</v>
      </c>
      <c r="K171" s="131">
        <f ca="1"/>
        <v>0.1000000000000002</v>
      </c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</row>
    <row r="172" spans="1:24" x14ac:dyDescent="0.25">
      <c r="A172" s="112">
        <v>168</v>
      </c>
      <c r="B172" s="119" t="s">
        <v>71</v>
      </c>
      <c r="C172" s="139">
        <v>5000000</v>
      </c>
      <c r="D172" s="134">
        <v>2E-3</v>
      </c>
      <c r="E172" s="124">
        <v>2E-3</v>
      </c>
      <c r="F172" s="124">
        <f t="shared" si="2"/>
        <v>0.1</v>
      </c>
      <c r="G172" s="123">
        <v>1</v>
      </c>
      <c r="H172" s="124">
        <v>0.01</v>
      </c>
      <c r="J172" s="130">
        <f ca="1"/>
        <v>398.77611676745022</v>
      </c>
      <c r="K172" s="131">
        <f ca="1"/>
        <v>0.1000000000000002</v>
      </c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</row>
    <row r="173" spans="1:24" x14ac:dyDescent="0.25">
      <c r="A173" s="112">
        <v>169</v>
      </c>
      <c r="B173" s="119" t="s">
        <v>71</v>
      </c>
      <c r="C173" s="139">
        <v>5000000</v>
      </c>
      <c r="D173" s="134">
        <v>2E-3</v>
      </c>
      <c r="E173" s="124">
        <v>2E-3</v>
      </c>
      <c r="F173" s="124">
        <f t="shared" si="2"/>
        <v>0.1</v>
      </c>
      <c r="G173" s="123">
        <v>1</v>
      </c>
      <c r="H173" s="124">
        <v>0.01</v>
      </c>
      <c r="J173" s="130">
        <f ca="1"/>
        <v>398.77611676745022</v>
      </c>
      <c r="K173" s="131">
        <f ca="1"/>
        <v>0.1000000000000002</v>
      </c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</row>
    <row r="174" spans="1:24" x14ac:dyDescent="0.25">
      <c r="A174" s="112">
        <v>170</v>
      </c>
      <c r="B174" s="119" t="s">
        <v>71</v>
      </c>
      <c r="C174" s="139">
        <v>5000000</v>
      </c>
      <c r="D174" s="134">
        <v>2E-3</v>
      </c>
      <c r="E174" s="124">
        <v>2E-3</v>
      </c>
      <c r="F174" s="124">
        <f t="shared" si="2"/>
        <v>0.1</v>
      </c>
      <c r="G174" s="123">
        <v>1</v>
      </c>
      <c r="H174" s="124">
        <v>0.01</v>
      </c>
      <c r="J174" s="130">
        <f ca="1"/>
        <v>398.77611676745022</v>
      </c>
      <c r="K174" s="131">
        <f ca="1"/>
        <v>0.1000000000000002</v>
      </c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</row>
    <row r="175" spans="1:24" x14ac:dyDescent="0.25">
      <c r="A175" s="112">
        <v>171</v>
      </c>
      <c r="B175" s="119" t="s">
        <v>71</v>
      </c>
      <c r="C175" s="139">
        <v>5000000</v>
      </c>
      <c r="D175" s="134">
        <v>2E-3</v>
      </c>
      <c r="E175" s="124">
        <v>2E-3</v>
      </c>
      <c r="F175" s="124">
        <f t="shared" si="2"/>
        <v>0.1</v>
      </c>
      <c r="G175" s="123">
        <v>1</v>
      </c>
      <c r="H175" s="124">
        <v>0.01</v>
      </c>
      <c r="J175" s="130">
        <f ca="1"/>
        <v>398.77611676745022</v>
      </c>
      <c r="K175" s="131">
        <f ca="1"/>
        <v>0.1000000000000002</v>
      </c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</row>
    <row r="176" spans="1:24" x14ac:dyDescent="0.25">
      <c r="A176" s="112">
        <v>172</v>
      </c>
      <c r="B176" s="119" t="s">
        <v>71</v>
      </c>
      <c r="C176" s="139">
        <v>5000000</v>
      </c>
      <c r="D176" s="134">
        <v>2E-3</v>
      </c>
      <c r="E176" s="124">
        <v>2E-3</v>
      </c>
      <c r="F176" s="124">
        <f t="shared" si="2"/>
        <v>0.1</v>
      </c>
      <c r="G176" s="123">
        <v>1</v>
      </c>
      <c r="H176" s="124">
        <v>0.01</v>
      </c>
      <c r="J176" s="130">
        <f ca="1"/>
        <v>398.77611676745022</v>
      </c>
      <c r="K176" s="131">
        <f ca="1"/>
        <v>0.1000000000000002</v>
      </c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</row>
    <row r="177" spans="1:24" x14ac:dyDescent="0.25">
      <c r="A177" s="112">
        <v>173</v>
      </c>
      <c r="B177" s="119" t="s">
        <v>71</v>
      </c>
      <c r="C177" s="139">
        <v>5000000</v>
      </c>
      <c r="D177" s="134">
        <v>2E-3</v>
      </c>
      <c r="E177" s="124">
        <v>2E-3</v>
      </c>
      <c r="F177" s="124">
        <f t="shared" si="2"/>
        <v>0.1</v>
      </c>
      <c r="G177" s="123">
        <v>1</v>
      </c>
      <c r="H177" s="124">
        <v>0.01</v>
      </c>
      <c r="J177" s="130">
        <f ca="1"/>
        <v>398.77611676745022</v>
      </c>
      <c r="K177" s="131">
        <f ca="1"/>
        <v>0.1000000000000002</v>
      </c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</row>
    <row r="178" spans="1:24" x14ac:dyDescent="0.25">
      <c r="A178" s="112">
        <v>174</v>
      </c>
      <c r="B178" s="119" t="s">
        <v>71</v>
      </c>
      <c r="C178" s="139">
        <v>5000000</v>
      </c>
      <c r="D178" s="134">
        <v>2E-3</v>
      </c>
      <c r="E178" s="124">
        <v>2E-3</v>
      </c>
      <c r="F178" s="124">
        <f t="shared" si="2"/>
        <v>0.1</v>
      </c>
      <c r="G178" s="123">
        <v>1</v>
      </c>
      <c r="H178" s="124">
        <v>0.01</v>
      </c>
      <c r="J178" s="130">
        <f ca="1"/>
        <v>398.77611676745022</v>
      </c>
      <c r="K178" s="131">
        <f ca="1"/>
        <v>0.1000000000000002</v>
      </c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</row>
    <row r="179" spans="1:24" x14ac:dyDescent="0.25">
      <c r="A179" s="112">
        <v>175</v>
      </c>
      <c r="B179" s="119" t="s">
        <v>71</v>
      </c>
      <c r="C179" s="139">
        <v>5000000</v>
      </c>
      <c r="D179" s="134">
        <v>2E-3</v>
      </c>
      <c r="E179" s="124">
        <v>2E-3</v>
      </c>
      <c r="F179" s="124">
        <f t="shared" si="2"/>
        <v>0.1</v>
      </c>
      <c r="G179" s="123">
        <v>1</v>
      </c>
      <c r="H179" s="124">
        <v>0.01</v>
      </c>
      <c r="J179" s="130">
        <f ca="1"/>
        <v>398.77611676745022</v>
      </c>
      <c r="K179" s="131">
        <f ca="1"/>
        <v>0.1000000000000002</v>
      </c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</row>
    <row r="180" spans="1:24" x14ac:dyDescent="0.25">
      <c r="A180" s="112">
        <v>176</v>
      </c>
      <c r="B180" s="119" t="s">
        <v>71</v>
      </c>
      <c r="C180" s="139">
        <v>5000000</v>
      </c>
      <c r="D180" s="134">
        <v>2E-3</v>
      </c>
      <c r="E180" s="124">
        <v>2E-3</v>
      </c>
      <c r="F180" s="124">
        <f t="shared" si="2"/>
        <v>0.1</v>
      </c>
      <c r="G180" s="123">
        <v>1</v>
      </c>
      <c r="H180" s="124">
        <v>0.01</v>
      </c>
      <c r="J180" s="130">
        <f ca="1"/>
        <v>398.77611676745022</v>
      </c>
      <c r="K180" s="131">
        <f ca="1"/>
        <v>0.1000000000000002</v>
      </c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</row>
    <row r="181" spans="1:24" x14ac:dyDescent="0.25">
      <c r="A181" s="112">
        <v>177</v>
      </c>
      <c r="B181" s="119" t="s">
        <v>71</v>
      </c>
      <c r="C181" s="139">
        <v>5000000</v>
      </c>
      <c r="D181" s="134">
        <v>2E-3</v>
      </c>
      <c r="E181" s="124">
        <v>2E-3</v>
      </c>
      <c r="F181" s="124">
        <f t="shared" si="2"/>
        <v>0.1</v>
      </c>
      <c r="G181" s="123">
        <v>1</v>
      </c>
      <c r="H181" s="124">
        <v>0.01</v>
      </c>
      <c r="J181" s="130">
        <f ca="1"/>
        <v>398.77611676745022</v>
      </c>
      <c r="K181" s="131">
        <f ca="1"/>
        <v>0.1000000000000002</v>
      </c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</row>
    <row r="182" spans="1:24" x14ac:dyDescent="0.25">
      <c r="A182" s="112">
        <v>178</v>
      </c>
      <c r="B182" s="119" t="s">
        <v>71</v>
      </c>
      <c r="C182" s="139">
        <v>5000000</v>
      </c>
      <c r="D182" s="134">
        <v>2E-3</v>
      </c>
      <c r="E182" s="124">
        <v>2E-3</v>
      </c>
      <c r="F182" s="124">
        <f t="shared" si="2"/>
        <v>0.1</v>
      </c>
      <c r="G182" s="123">
        <v>1</v>
      </c>
      <c r="H182" s="124">
        <v>0.01</v>
      </c>
      <c r="J182" s="130">
        <f ca="1"/>
        <v>398.77611676745022</v>
      </c>
      <c r="K182" s="131">
        <f ca="1"/>
        <v>0.1000000000000002</v>
      </c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</row>
    <row r="183" spans="1:24" x14ac:dyDescent="0.25">
      <c r="A183" s="112">
        <v>179</v>
      </c>
      <c r="B183" s="119" t="s">
        <v>71</v>
      </c>
      <c r="C183" s="139">
        <v>5000000</v>
      </c>
      <c r="D183" s="134">
        <v>2E-3</v>
      </c>
      <c r="E183" s="124">
        <v>2E-3</v>
      </c>
      <c r="F183" s="124">
        <f t="shared" si="2"/>
        <v>0.1</v>
      </c>
      <c r="G183" s="123">
        <v>1</v>
      </c>
      <c r="H183" s="124">
        <v>0.01</v>
      </c>
      <c r="J183" s="130">
        <f ca="1"/>
        <v>398.77611676745022</v>
      </c>
      <c r="K183" s="131">
        <f ca="1"/>
        <v>0.1000000000000002</v>
      </c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</row>
    <row r="184" spans="1:24" x14ac:dyDescent="0.25">
      <c r="A184" s="112">
        <v>180</v>
      </c>
      <c r="B184" s="119" t="s">
        <v>71</v>
      </c>
      <c r="C184" s="139">
        <v>5000000</v>
      </c>
      <c r="D184" s="134">
        <v>2E-3</v>
      </c>
      <c r="E184" s="124">
        <v>2E-3</v>
      </c>
      <c r="F184" s="124">
        <f t="shared" si="2"/>
        <v>0.1</v>
      </c>
      <c r="G184" s="123">
        <v>1</v>
      </c>
      <c r="H184" s="124">
        <v>0.01</v>
      </c>
      <c r="J184" s="130">
        <f ca="1"/>
        <v>398.77611676745022</v>
      </c>
      <c r="K184" s="131">
        <f ca="1"/>
        <v>0.1000000000000002</v>
      </c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</row>
    <row r="185" spans="1:24" x14ac:dyDescent="0.25">
      <c r="A185" s="112">
        <v>181</v>
      </c>
      <c r="B185" s="119" t="s">
        <v>71</v>
      </c>
      <c r="C185" s="139">
        <v>5000000</v>
      </c>
      <c r="D185" s="134">
        <v>2E-3</v>
      </c>
      <c r="E185" s="124">
        <v>2E-3</v>
      </c>
      <c r="F185" s="124">
        <f t="shared" si="2"/>
        <v>0.1</v>
      </c>
      <c r="G185" s="123">
        <v>1</v>
      </c>
      <c r="H185" s="124">
        <v>0.01</v>
      </c>
      <c r="J185" s="130">
        <f ca="1"/>
        <v>398.77611676745022</v>
      </c>
      <c r="K185" s="131">
        <f ca="1"/>
        <v>0.1000000000000002</v>
      </c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</row>
    <row r="186" spans="1:24" x14ac:dyDescent="0.25">
      <c r="A186" s="112">
        <v>182</v>
      </c>
      <c r="B186" s="119" t="s">
        <v>71</v>
      </c>
      <c r="C186" s="139">
        <v>5000000</v>
      </c>
      <c r="D186" s="134">
        <v>2E-3</v>
      </c>
      <c r="E186" s="124">
        <v>2E-3</v>
      </c>
      <c r="F186" s="124">
        <f t="shared" si="2"/>
        <v>0.1</v>
      </c>
      <c r="G186" s="123">
        <v>1</v>
      </c>
      <c r="H186" s="124">
        <v>0.01</v>
      </c>
      <c r="J186" s="130">
        <f ca="1"/>
        <v>398.77611676745022</v>
      </c>
      <c r="K186" s="131">
        <f ca="1"/>
        <v>0.1000000000000002</v>
      </c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</row>
    <row r="187" spans="1:24" x14ac:dyDescent="0.25">
      <c r="A187" s="112">
        <v>183</v>
      </c>
      <c r="B187" s="119" t="s">
        <v>71</v>
      </c>
      <c r="C187" s="139">
        <v>5000000</v>
      </c>
      <c r="D187" s="134">
        <v>2E-3</v>
      </c>
      <c r="E187" s="124">
        <v>2E-3</v>
      </c>
      <c r="F187" s="124">
        <f t="shared" si="2"/>
        <v>0.1</v>
      </c>
      <c r="G187" s="123">
        <v>1</v>
      </c>
      <c r="H187" s="124">
        <v>0.01</v>
      </c>
      <c r="J187" s="130">
        <f ca="1"/>
        <v>398.77611676745022</v>
      </c>
      <c r="K187" s="131">
        <f ca="1"/>
        <v>0.1000000000000002</v>
      </c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</row>
    <row r="188" spans="1:24" x14ac:dyDescent="0.25">
      <c r="A188" s="112">
        <v>184</v>
      </c>
      <c r="B188" s="119" t="s">
        <v>71</v>
      </c>
      <c r="C188" s="139">
        <v>5000000</v>
      </c>
      <c r="D188" s="134">
        <v>2E-3</v>
      </c>
      <c r="E188" s="124">
        <v>2E-3</v>
      </c>
      <c r="F188" s="124">
        <f t="shared" si="2"/>
        <v>0.1</v>
      </c>
      <c r="G188" s="123">
        <v>1</v>
      </c>
      <c r="H188" s="124">
        <v>0.01</v>
      </c>
      <c r="J188" s="130">
        <f ca="1"/>
        <v>398.77611676745022</v>
      </c>
      <c r="K188" s="131">
        <f ca="1"/>
        <v>0.1000000000000002</v>
      </c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</row>
    <row r="189" spans="1:24" x14ac:dyDescent="0.25">
      <c r="A189" s="112">
        <v>185</v>
      </c>
      <c r="B189" s="119" t="s">
        <v>71</v>
      </c>
      <c r="C189" s="139">
        <v>5000000</v>
      </c>
      <c r="D189" s="134">
        <v>2E-3</v>
      </c>
      <c r="E189" s="124">
        <v>2E-3</v>
      </c>
      <c r="F189" s="124">
        <f t="shared" si="2"/>
        <v>0.1</v>
      </c>
      <c r="G189" s="123">
        <v>1</v>
      </c>
      <c r="H189" s="124">
        <v>0.01</v>
      </c>
      <c r="J189" s="130">
        <f ca="1"/>
        <v>398.77611676745022</v>
      </c>
      <c r="K189" s="131">
        <f ca="1"/>
        <v>0.1000000000000002</v>
      </c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</row>
    <row r="190" spans="1:24" x14ac:dyDescent="0.25">
      <c r="A190" s="112">
        <v>186</v>
      </c>
      <c r="B190" s="119" t="s">
        <v>71</v>
      </c>
      <c r="C190" s="139">
        <v>5000000</v>
      </c>
      <c r="D190" s="134">
        <v>2E-3</v>
      </c>
      <c r="E190" s="124">
        <v>2E-3</v>
      </c>
      <c r="F190" s="124">
        <f t="shared" si="2"/>
        <v>0.1</v>
      </c>
      <c r="G190" s="123">
        <v>1</v>
      </c>
      <c r="H190" s="124">
        <v>0.01</v>
      </c>
      <c r="J190" s="130">
        <f ca="1"/>
        <v>398.77611676745022</v>
      </c>
      <c r="K190" s="131">
        <f ca="1"/>
        <v>0.1000000000000002</v>
      </c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</row>
    <row r="191" spans="1:24" x14ac:dyDescent="0.25">
      <c r="A191" s="112">
        <v>187</v>
      </c>
      <c r="B191" s="119" t="s">
        <v>71</v>
      </c>
      <c r="C191" s="139">
        <v>5000000</v>
      </c>
      <c r="D191" s="134">
        <v>2E-3</v>
      </c>
      <c r="E191" s="124">
        <v>2E-3</v>
      </c>
      <c r="F191" s="124">
        <f t="shared" si="2"/>
        <v>0.1</v>
      </c>
      <c r="G191" s="123">
        <v>1</v>
      </c>
      <c r="H191" s="124">
        <v>0.01</v>
      </c>
      <c r="J191" s="130">
        <f ca="1"/>
        <v>398.77611676745022</v>
      </c>
      <c r="K191" s="131">
        <f ca="1"/>
        <v>0.1000000000000002</v>
      </c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</row>
    <row r="192" spans="1:24" x14ac:dyDescent="0.25">
      <c r="A192" s="112">
        <v>188</v>
      </c>
      <c r="B192" s="119" t="s">
        <v>71</v>
      </c>
      <c r="C192" s="139">
        <v>5000000</v>
      </c>
      <c r="D192" s="134">
        <v>2E-3</v>
      </c>
      <c r="E192" s="124">
        <v>2E-3</v>
      </c>
      <c r="F192" s="124">
        <f t="shared" si="2"/>
        <v>0.1</v>
      </c>
      <c r="G192" s="123">
        <v>1</v>
      </c>
      <c r="H192" s="124">
        <v>0.01</v>
      </c>
      <c r="J192" s="130">
        <f ca="1"/>
        <v>398.77611676745022</v>
      </c>
      <c r="K192" s="131">
        <f ca="1"/>
        <v>0.1000000000000002</v>
      </c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</row>
    <row r="193" spans="1:24" x14ac:dyDescent="0.25">
      <c r="A193" s="112">
        <v>189</v>
      </c>
      <c r="B193" s="119" t="s">
        <v>71</v>
      </c>
      <c r="C193" s="139">
        <v>5000000</v>
      </c>
      <c r="D193" s="134">
        <v>2E-3</v>
      </c>
      <c r="E193" s="124">
        <v>2E-3</v>
      </c>
      <c r="F193" s="124">
        <f t="shared" si="2"/>
        <v>0.1</v>
      </c>
      <c r="G193" s="123">
        <v>1</v>
      </c>
      <c r="H193" s="124">
        <v>0.01</v>
      </c>
      <c r="J193" s="130">
        <f ca="1"/>
        <v>398.77611676745022</v>
      </c>
      <c r="K193" s="131">
        <f ca="1"/>
        <v>0.1000000000000002</v>
      </c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</row>
    <row r="194" spans="1:24" x14ac:dyDescent="0.25">
      <c r="A194" s="112">
        <v>190</v>
      </c>
      <c r="B194" s="119" t="s">
        <v>71</v>
      </c>
      <c r="C194" s="139">
        <v>5000000</v>
      </c>
      <c r="D194" s="134">
        <v>2E-3</v>
      </c>
      <c r="E194" s="124">
        <v>2E-3</v>
      </c>
      <c r="F194" s="124">
        <f t="shared" si="2"/>
        <v>0.1</v>
      </c>
      <c r="G194" s="123">
        <v>1</v>
      </c>
      <c r="H194" s="124">
        <v>0.01</v>
      </c>
      <c r="J194" s="130">
        <f ca="1"/>
        <v>398.77611676745022</v>
      </c>
      <c r="K194" s="131">
        <f ca="1"/>
        <v>0.1000000000000002</v>
      </c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</row>
    <row r="195" spans="1:24" x14ac:dyDescent="0.25">
      <c r="A195" s="112">
        <v>191</v>
      </c>
      <c r="B195" s="119" t="s">
        <v>71</v>
      </c>
      <c r="C195" s="139">
        <v>5000000</v>
      </c>
      <c r="D195" s="134">
        <v>2E-3</v>
      </c>
      <c r="E195" s="124">
        <v>2E-3</v>
      </c>
      <c r="F195" s="124">
        <f t="shared" si="2"/>
        <v>0.1</v>
      </c>
      <c r="G195" s="123">
        <v>1</v>
      </c>
      <c r="H195" s="124">
        <v>0.01</v>
      </c>
      <c r="J195" s="130">
        <f ca="1"/>
        <v>398.77611676745022</v>
      </c>
      <c r="K195" s="131">
        <f ca="1"/>
        <v>0.1000000000000002</v>
      </c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</row>
    <row r="196" spans="1:24" x14ac:dyDescent="0.25">
      <c r="A196" s="112">
        <v>192</v>
      </c>
      <c r="B196" s="119" t="s">
        <v>71</v>
      </c>
      <c r="C196" s="139">
        <v>5000000</v>
      </c>
      <c r="D196" s="134">
        <v>2E-3</v>
      </c>
      <c r="E196" s="124">
        <v>2E-3</v>
      </c>
      <c r="F196" s="124">
        <f t="shared" si="2"/>
        <v>0.1</v>
      </c>
      <c r="G196" s="123">
        <v>1</v>
      </c>
      <c r="H196" s="124">
        <v>0.01</v>
      </c>
      <c r="J196" s="130">
        <f ca="1"/>
        <v>398.77611676745022</v>
      </c>
      <c r="K196" s="131">
        <f ca="1"/>
        <v>0.1000000000000002</v>
      </c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</row>
    <row r="197" spans="1:24" x14ac:dyDescent="0.25">
      <c r="A197" s="112">
        <v>193</v>
      </c>
      <c r="B197" s="119" t="s">
        <v>71</v>
      </c>
      <c r="C197" s="139">
        <v>5000000</v>
      </c>
      <c r="D197" s="134">
        <v>2E-3</v>
      </c>
      <c r="E197" s="124">
        <v>2E-3</v>
      </c>
      <c r="F197" s="124">
        <f t="shared" ref="F197:F260" si="3">$F$2</f>
        <v>0.1</v>
      </c>
      <c r="G197" s="123">
        <v>1</v>
      </c>
      <c r="H197" s="124">
        <v>0.01</v>
      </c>
      <c r="J197" s="130">
        <f ca="1"/>
        <v>398.77611676745022</v>
      </c>
      <c r="K197" s="131">
        <f ca="1"/>
        <v>0.1000000000000002</v>
      </c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</row>
    <row r="198" spans="1:24" x14ac:dyDescent="0.25">
      <c r="A198" s="112">
        <v>194</v>
      </c>
      <c r="B198" s="119" t="s">
        <v>71</v>
      </c>
      <c r="C198" s="139">
        <v>5000000</v>
      </c>
      <c r="D198" s="134">
        <v>2E-3</v>
      </c>
      <c r="E198" s="124">
        <v>2E-3</v>
      </c>
      <c r="F198" s="124">
        <f t="shared" si="3"/>
        <v>0.1</v>
      </c>
      <c r="G198" s="123">
        <v>1</v>
      </c>
      <c r="H198" s="124">
        <v>0.01</v>
      </c>
      <c r="J198" s="130">
        <f ca="1"/>
        <v>398.77611676745022</v>
      </c>
      <c r="K198" s="131">
        <f ca="1"/>
        <v>0.1000000000000002</v>
      </c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</row>
    <row r="199" spans="1:24" x14ac:dyDescent="0.25">
      <c r="A199" s="112">
        <v>195</v>
      </c>
      <c r="B199" s="119" t="s">
        <v>71</v>
      </c>
      <c r="C199" s="139">
        <v>5000000</v>
      </c>
      <c r="D199" s="134">
        <v>2E-3</v>
      </c>
      <c r="E199" s="124">
        <v>2E-3</v>
      </c>
      <c r="F199" s="124">
        <f t="shared" si="3"/>
        <v>0.1</v>
      </c>
      <c r="G199" s="123">
        <v>1</v>
      </c>
      <c r="H199" s="124">
        <v>0.01</v>
      </c>
      <c r="J199" s="130">
        <f ca="1"/>
        <v>398.77611676745022</v>
      </c>
      <c r="K199" s="131">
        <f ca="1"/>
        <v>0.1000000000000002</v>
      </c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</row>
    <row r="200" spans="1:24" x14ac:dyDescent="0.25">
      <c r="A200" s="112">
        <v>196</v>
      </c>
      <c r="B200" s="119" t="s">
        <v>71</v>
      </c>
      <c r="C200" s="139">
        <v>5000000</v>
      </c>
      <c r="D200" s="134">
        <v>2E-3</v>
      </c>
      <c r="E200" s="124">
        <v>2E-3</v>
      </c>
      <c r="F200" s="124">
        <f t="shared" si="3"/>
        <v>0.1</v>
      </c>
      <c r="G200" s="123">
        <v>1</v>
      </c>
      <c r="H200" s="124">
        <v>0.01</v>
      </c>
      <c r="J200" s="130">
        <f ca="1"/>
        <v>398.77611676745022</v>
      </c>
      <c r="K200" s="131">
        <f ca="1"/>
        <v>0.1000000000000002</v>
      </c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</row>
    <row r="201" spans="1:24" x14ac:dyDescent="0.25">
      <c r="A201" s="112">
        <v>197</v>
      </c>
      <c r="B201" s="119" t="s">
        <v>71</v>
      </c>
      <c r="C201" s="139">
        <v>5000000</v>
      </c>
      <c r="D201" s="134">
        <v>2E-3</v>
      </c>
      <c r="E201" s="124">
        <v>2E-3</v>
      </c>
      <c r="F201" s="124">
        <f t="shared" si="3"/>
        <v>0.1</v>
      </c>
      <c r="G201" s="123">
        <v>1</v>
      </c>
      <c r="H201" s="124">
        <v>0.01</v>
      </c>
      <c r="J201" s="130">
        <f ca="1"/>
        <v>398.77611676745022</v>
      </c>
      <c r="K201" s="131">
        <f ca="1"/>
        <v>0.1000000000000002</v>
      </c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</row>
    <row r="202" spans="1:24" x14ac:dyDescent="0.25">
      <c r="A202" s="112">
        <v>198</v>
      </c>
      <c r="B202" s="119" t="s">
        <v>71</v>
      </c>
      <c r="C202" s="139">
        <v>5000000</v>
      </c>
      <c r="D202" s="134">
        <v>2E-3</v>
      </c>
      <c r="E202" s="124">
        <v>2E-3</v>
      </c>
      <c r="F202" s="124">
        <f t="shared" si="3"/>
        <v>0.1</v>
      </c>
      <c r="G202" s="123">
        <v>1</v>
      </c>
      <c r="H202" s="124">
        <v>0.01</v>
      </c>
      <c r="J202" s="130">
        <f ca="1"/>
        <v>398.77611676745022</v>
      </c>
      <c r="K202" s="131">
        <f ca="1"/>
        <v>0.1000000000000002</v>
      </c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</row>
    <row r="203" spans="1:24" x14ac:dyDescent="0.25">
      <c r="A203" s="112">
        <v>199</v>
      </c>
      <c r="B203" s="119" t="s">
        <v>71</v>
      </c>
      <c r="C203" s="139">
        <v>5000000</v>
      </c>
      <c r="D203" s="134">
        <v>2E-3</v>
      </c>
      <c r="E203" s="124">
        <v>2E-3</v>
      </c>
      <c r="F203" s="124">
        <f t="shared" si="3"/>
        <v>0.1</v>
      </c>
      <c r="G203" s="123">
        <v>1</v>
      </c>
      <c r="H203" s="124">
        <v>0.01</v>
      </c>
      <c r="J203" s="130">
        <f ca="1"/>
        <v>398.77611676745022</v>
      </c>
      <c r="K203" s="131">
        <f ca="1"/>
        <v>0.1000000000000002</v>
      </c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</row>
    <row r="204" spans="1:24" x14ac:dyDescent="0.25">
      <c r="A204" s="112">
        <v>200</v>
      </c>
      <c r="B204" s="119" t="s">
        <v>71</v>
      </c>
      <c r="C204" s="139">
        <v>5000000</v>
      </c>
      <c r="D204" s="134">
        <v>2E-3</v>
      </c>
      <c r="E204" s="124">
        <v>2E-3</v>
      </c>
      <c r="F204" s="124">
        <f t="shared" si="3"/>
        <v>0.1</v>
      </c>
      <c r="G204" s="123">
        <v>1</v>
      </c>
      <c r="H204" s="124">
        <v>0.01</v>
      </c>
      <c r="J204" s="130">
        <f ca="1"/>
        <v>398.77611676745022</v>
      </c>
      <c r="K204" s="131">
        <f ca="1"/>
        <v>0.1000000000000002</v>
      </c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</row>
    <row r="205" spans="1:24" x14ac:dyDescent="0.25">
      <c r="A205" s="112">
        <v>201</v>
      </c>
      <c r="B205" s="119" t="s">
        <v>71</v>
      </c>
      <c r="C205" s="139">
        <v>5000000</v>
      </c>
      <c r="D205" s="134">
        <v>2E-3</v>
      </c>
      <c r="E205" s="124">
        <v>2E-3</v>
      </c>
      <c r="F205" s="124">
        <f t="shared" si="3"/>
        <v>0.1</v>
      </c>
      <c r="G205" s="123">
        <v>1</v>
      </c>
      <c r="H205" s="124">
        <v>0.01</v>
      </c>
      <c r="J205" s="130">
        <f ca="1"/>
        <v>398.77611676745022</v>
      </c>
      <c r="K205" s="131">
        <f ca="1"/>
        <v>0.1000000000000002</v>
      </c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</row>
    <row r="206" spans="1:24" x14ac:dyDescent="0.25">
      <c r="A206" s="112">
        <v>202</v>
      </c>
      <c r="B206" s="119" t="s">
        <v>71</v>
      </c>
      <c r="C206" s="139">
        <v>5000000</v>
      </c>
      <c r="D206" s="134">
        <v>2E-3</v>
      </c>
      <c r="E206" s="124">
        <v>2E-3</v>
      </c>
      <c r="F206" s="124">
        <f t="shared" si="3"/>
        <v>0.1</v>
      </c>
      <c r="G206" s="123">
        <v>1</v>
      </c>
      <c r="H206" s="124">
        <v>0.01</v>
      </c>
      <c r="J206" s="130">
        <f ca="1"/>
        <v>398.77611676745022</v>
      </c>
      <c r="K206" s="131">
        <f ca="1"/>
        <v>0.1000000000000002</v>
      </c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</row>
    <row r="207" spans="1:24" x14ac:dyDescent="0.25">
      <c r="A207" s="112">
        <v>203</v>
      </c>
      <c r="B207" s="119" t="s">
        <v>71</v>
      </c>
      <c r="C207" s="139">
        <v>5000000</v>
      </c>
      <c r="D207" s="134">
        <v>2E-3</v>
      </c>
      <c r="E207" s="124">
        <v>2E-3</v>
      </c>
      <c r="F207" s="124">
        <f t="shared" si="3"/>
        <v>0.1</v>
      </c>
      <c r="G207" s="123">
        <v>1</v>
      </c>
      <c r="H207" s="124">
        <v>0.01</v>
      </c>
      <c r="J207" s="130">
        <f ca="1"/>
        <v>398.77611676745022</v>
      </c>
      <c r="K207" s="131">
        <f ca="1"/>
        <v>0.1000000000000002</v>
      </c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</row>
    <row r="208" spans="1:24" x14ac:dyDescent="0.25">
      <c r="A208" s="112">
        <v>204</v>
      </c>
      <c r="B208" s="119" t="s">
        <v>71</v>
      </c>
      <c r="C208" s="139">
        <v>5000000</v>
      </c>
      <c r="D208" s="134">
        <v>2E-3</v>
      </c>
      <c r="E208" s="124">
        <v>2E-3</v>
      </c>
      <c r="F208" s="124">
        <f t="shared" si="3"/>
        <v>0.1</v>
      </c>
      <c r="G208" s="123">
        <v>1</v>
      </c>
      <c r="H208" s="124">
        <v>0.01</v>
      </c>
      <c r="J208" s="130">
        <f ca="1"/>
        <v>398.77611676745022</v>
      </c>
      <c r="K208" s="131">
        <f ca="1"/>
        <v>0.1000000000000002</v>
      </c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</row>
    <row r="209" spans="1:24" x14ac:dyDescent="0.25">
      <c r="A209" s="112">
        <v>205</v>
      </c>
      <c r="B209" s="119" t="s">
        <v>71</v>
      </c>
      <c r="C209" s="139">
        <v>5000000</v>
      </c>
      <c r="D209" s="134">
        <v>2E-3</v>
      </c>
      <c r="E209" s="124">
        <v>2E-3</v>
      </c>
      <c r="F209" s="124">
        <f t="shared" si="3"/>
        <v>0.1</v>
      </c>
      <c r="G209" s="123">
        <v>1</v>
      </c>
      <c r="H209" s="124">
        <v>0.01</v>
      </c>
      <c r="J209" s="130">
        <f ca="1"/>
        <v>398.77611676745022</v>
      </c>
      <c r="K209" s="131">
        <f ca="1"/>
        <v>0.1000000000000002</v>
      </c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</row>
    <row r="210" spans="1:24" x14ac:dyDescent="0.25">
      <c r="A210" s="112">
        <v>206</v>
      </c>
      <c r="B210" s="119" t="s">
        <v>71</v>
      </c>
      <c r="C210" s="139">
        <v>5000000</v>
      </c>
      <c r="D210" s="134">
        <v>2E-3</v>
      </c>
      <c r="E210" s="124">
        <v>2E-3</v>
      </c>
      <c r="F210" s="124">
        <f t="shared" si="3"/>
        <v>0.1</v>
      </c>
      <c r="G210" s="123">
        <v>1</v>
      </c>
      <c r="H210" s="124">
        <v>0.01</v>
      </c>
      <c r="J210" s="130">
        <f ca="1"/>
        <v>398.77611676745022</v>
      </c>
      <c r="K210" s="131">
        <f ca="1"/>
        <v>0.1000000000000002</v>
      </c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</row>
    <row r="211" spans="1:24" x14ac:dyDescent="0.25">
      <c r="A211" s="112">
        <v>207</v>
      </c>
      <c r="B211" s="119" t="s">
        <v>71</v>
      </c>
      <c r="C211" s="139">
        <v>5000000</v>
      </c>
      <c r="D211" s="134">
        <v>2E-3</v>
      </c>
      <c r="E211" s="124">
        <v>2E-3</v>
      </c>
      <c r="F211" s="124">
        <f t="shared" si="3"/>
        <v>0.1</v>
      </c>
      <c r="G211" s="123">
        <v>1</v>
      </c>
      <c r="H211" s="124">
        <v>0.01</v>
      </c>
      <c r="J211" s="130">
        <f ca="1"/>
        <v>398.77611676745022</v>
      </c>
      <c r="K211" s="131">
        <f ca="1"/>
        <v>0.1000000000000002</v>
      </c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</row>
    <row r="212" spans="1:24" x14ac:dyDescent="0.25">
      <c r="A212" s="112">
        <v>208</v>
      </c>
      <c r="B212" s="119" t="s">
        <v>71</v>
      </c>
      <c r="C212" s="139">
        <v>5000000</v>
      </c>
      <c r="D212" s="134">
        <v>2E-3</v>
      </c>
      <c r="E212" s="124">
        <v>2E-3</v>
      </c>
      <c r="F212" s="124">
        <f t="shared" si="3"/>
        <v>0.1</v>
      </c>
      <c r="G212" s="123">
        <v>1</v>
      </c>
      <c r="H212" s="124">
        <v>0.01</v>
      </c>
      <c r="J212" s="130">
        <f ca="1"/>
        <v>398.77611676745022</v>
      </c>
      <c r="K212" s="131">
        <f ca="1"/>
        <v>0.1000000000000002</v>
      </c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</row>
    <row r="213" spans="1:24" x14ac:dyDescent="0.25">
      <c r="A213" s="112">
        <v>209</v>
      </c>
      <c r="B213" s="119" t="s">
        <v>71</v>
      </c>
      <c r="C213" s="139">
        <v>5000000</v>
      </c>
      <c r="D213" s="134">
        <v>2E-3</v>
      </c>
      <c r="E213" s="124">
        <v>2E-3</v>
      </c>
      <c r="F213" s="124">
        <f t="shared" si="3"/>
        <v>0.1</v>
      </c>
      <c r="G213" s="123">
        <v>1</v>
      </c>
      <c r="H213" s="124">
        <v>0.01</v>
      </c>
      <c r="J213" s="130">
        <f ca="1"/>
        <v>398.77611676745022</v>
      </c>
      <c r="K213" s="131">
        <f ca="1"/>
        <v>0.1000000000000002</v>
      </c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</row>
    <row r="214" spans="1:24" x14ac:dyDescent="0.25">
      <c r="A214" s="112">
        <v>210</v>
      </c>
      <c r="B214" s="119" t="s">
        <v>71</v>
      </c>
      <c r="C214" s="139">
        <v>5000000</v>
      </c>
      <c r="D214" s="134">
        <v>2E-3</v>
      </c>
      <c r="E214" s="124">
        <v>2E-3</v>
      </c>
      <c r="F214" s="124">
        <f t="shared" si="3"/>
        <v>0.1</v>
      </c>
      <c r="G214" s="123">
        <v>1</v>
      </c>
      <c r="H214" s="124">
        <v>0.01</v>
      </c>
      <c r="J214" s="130">
        <f ca="1"/>
        <v>398.77611676745022</v>
      </c>
      <c r="K214" s="131">
        <f ca="1"/>
        <v>0.1000000000000002</v>
      </c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</row>
    <row r="215" spans="1:24" x14ac:dyDescent="0.25">
      <c r="A215" s="112">
        <v>211</v>
      </c>
      <c r="B215" s="119" t="s">
        <v>71</v>
      </c>
      <c r="C215" s="139">
        <v>5000000</v>
      </c>
      <c r="D215" s="134">
        <v>2E-3</v>
      </c>
      <c r="E215" s="124">
        <v>2E-3</v>
      </c>
      <c r="F215" s="124">
        <f t="shared" si="3"/>
        <v>0.1</v>
      </c>
      <c r="G215" s="123">
        <v>1</v>
      </c>
      <c r="H215" s="124">
        <v>0.01</v>
      </c>
      <c r="J215" s="130">
        <f ca="1"/>
        <v>398.77611676745022</v>
      </c>
      <c r="K215" s="131">
        <f ca="1"/>
        <v>0.1000000000000002</v>
      </c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</row>
    <row r="216" spans="1:24" x14ac:dyDescent="0.25">
      <c r="A216" s="112">
        <v>212</v>
      </c>
      <c r="B216" s="119" t="s">
        <v>71</v>
      </c>
      <c r="C216" s="139">
        <v>5000000</v>
      </c>
      <c r="D216" s="134">
        <v>2E-3</v>
      </c>
      <c r="E216" s="124">
        <v>2E-3</v>
      </c>
      <c r="F216" s="124">
        <f t="shared" si="3"/>
        <v>0.1</v>
      </c>
      <c r="G216" s="123">
        <v>1</v>
      </c>
      <c r="H216" s="124">
        <v>0.01</v>
      </c>
      <c r="J216" s="130">
        <f ca="1"/>
        <v>398.77611676745022</v>
      </c>
      <c r="K216" s="131">
        <f ca="1"/>
        <v>0.1000000000000002</v>
      </c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</row>
    <row r="217" spans="1:24" x14ac:dyDescent="0.25">
      <c r="A217" s="112">
        <v>213</v>
      </c>
      <c r="B217" s="119" t="s">
        <v>71</v>
      </c>
      <c r="C217" s="139">
        <v>5000000</v>
      </c>
      <c r="D217" s="134">
        <v>2E-3</v>
      </c>
      <c r="E217" s="124">
        <v>2E-3</v>
      </c>
      <c r="F217" s="124">
        <f t="shared" si="3"/>
        <v>0.1</v>
      </c>
      <c r="G217" s="123">
        <v>1</v>
      </c>
      <c r="H217" s="124">
        <v>0.01</v>
      </c>
      <c r="J217" s="130">
        <f ca="1"/>
        <v>398.77611676745022</v>
      </c>
      <c r="K217" s="131">
        <f ca="1"/>
        <v>0.1000000000000002</v>
      </c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</row>
    <row r="218" spans="1:24" x14ac:dyDescent="0.25">
      <c r="A218" s="112">
        <v>214</v>
      </c>
      <c r="B218" s="119" t="s">
        <v>71</v>
      </c>
      <c r="C218" s="139">
        <v>5000000</v>
      </c>
      <c r="D218" s="134">
        <v>2E-3</v>
      </c>
      <c r="E218" s="124">
        <v>2E-3</v>
      </c>
      <c r="F218" s="124">
        <f t="shared" si="3"/>
        <v>0.1</v>
      </c>
      <c r="G218" s="123">
        <v>1</v>
      </c>
      <c r="H218" s="124">
        <v>0.01</v>
      </c>
      <c r="J218" s="130">
        <f ca="1"/>
        <v>398.77611676745022</v>
      </c>
      <c r="K218" s="131">
        <f ca="1"/>
        <v>0.1000000000000002</v>
      </c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</row>
    <row r="219" spans="1:24" x14ac:dyDescent="0.25">
      <c r="A219" s="112">
        <v>215</v>
      </c>
      <c r="B219" s="119" t="s">
        <v>71</v>
      </c>
      <c r="C219" s="139">
        <v>5000000</v>
      </c>
      <c r="D219" s="134">
        <v>2E-3</v>
      </c>
      <c r="E219" s="124">
        <v>2E-3</v>
      </c>
      <c r="F219" s="124">
        <f t="shared" si="3"/>
        <v>0.1</v>
      </c>
      <c r="G219" s="123">
        <v>1</v>
      </c>
      <c r="H219" s="124">
        <v>0.01</v>
      </c>
      <c r="J219" s="130">
        <f ca="1"/>
        <v>398.77611676745022</v>
      </c>
      <c r="K219" s="131">
        <f ca="1"/>
        <v>0.1000000000000002</v>
      </c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</row>
    <row r="220" spans="1:24" x14ac:dyDescent="0.25">
      <c r="A220" s="112">
        <v>216</v>
      </c>
      <c r="B220" s="119" t="s">
        <v>71</v>
      </c>
      <c r="C220" s="139">
        <v>5000000</v>
      </c>
      <c r="D220" s="134">
        <v>2E-3</v>
      </c>
      <c r="E220" s="124">
        <v>2E-3</v>
      </c>
      <c r="F220" s="124">
        <f t="shared" si="3"/>
        <v>0.1</v>
      </c>
      <c r="G220" s="123">
        <v>1</v>
      </c>
      <c r="H220" s="124">
        <v>0.01</v>
      </c>
      <c r="J220" s="130">
        <f ca="1"/>
        <v>398.77611676745022</v>
      </c>
      <c r="K220" s="131">
        <f ca="1"/>
        <v>0.1000000000000002</v>
      </c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</row>
    <row r="221" spans="1:24" x14ac:dyDescent="0.25">
      <c r="A221" s="112">
        <v>217</v>
      </c>
      <c r="B221" s="119" t="s">
        <v>71</v>
      </c>
      <c r="C221" s="139">
        <v>5000000</v>
      </c>
      <c r="D221" s="134">
        <v>2E-3</v>
      </c>
      <c r="E221" s="124">
        <v>2E-3</v>
      </c>
      <c r="F221" s="124">
        <f t="shared" si="3"/>
        <v>0.1</v>
      </c>
      <c r="G221" s="123">
        <v>1</v>
      </c>
      <c r="H221" s="124">
        <v>0.01</v>
      </c>
      <c r="J221" s="130">
        <f ca="1"/>
        <v>398.77611676745022</v>
      </c>
      <c r="K221" s="131">
        <f ca="1"/>
        <v>0.1000000000000002</v>
      </c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</row>
    <row r="222" spans="1:24" x14ac:dyDescent="0.25">
      <c r="A222" s="112">
        <v>218</v>
      </c>
      <c r="B222" s="119" t="s">
        <v>71</v>
      </c>
      <c r="C222" s="139">
        <v>5000000</v>
      </c>
      <c r="D222" s="134">
        <v>2E-3</v>
      </c>
      <c r="E222" s="124">
        <v>2E-3</v>
      </c>
      <c r="F222" s="124">
        <f t="shared" si="3"/>
        <v>0.1</v>
      </c>
      <c r="G222" s="123">
        <v>1</v>
      </c>
      <c r="H222" s="124">
        <v>0.01</v>
      </c>
      <c r="J222" s="130">
        <f ca="1"/>
        <v>398.77611676745022</v>
      </c>
      <c r="K222" s="131">
        <f ca="1"/>
        <v>0.1000000000000002</v>
      </c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</row>
    <row r="223" spans="1:24" x14ac:dyDescent="0.25">
      <c r="A223" s="112">
        <v>219</v>
      </c>
      <c r="B223" s="119" t="s">
        <v>71</v>
      </c>
      <c r="C223" s="139">
        <v>5000000</v>
      </c>
      <c r="D223" s="134">
        <v>2E-3</v>
      </c>
      <c r="E223" s="124">
        <v>2E-3</v>
      </c>
      <c r="F223" s="124">
        <f t="shared" si="3"/>
        <v>0.1</v>
      </c>
      <c r="G223" s="123">
        <v>1</v>
      </c>
      <c r="H223" s="124">
        <v>0.01</v>
      </c>
      <c r="J223" s="130">
        <f ca="1"/>
        <v>398.77611676745022</v>
      </c>
      <c r="K223" s="131">
        <f ca="1"/>
        <v>0.1000000000000002</v>
      </c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</row>
    <row r="224" spans="1:24" x14ac:dyDescent="0.25">
      <c r="A224" s="112">
        <v>220</v>
      </c>
      <c r="B224" s="119" t="s">
        <v>71</v>
      </c>
      <c r="C224" s="139">
        <v>5000000</v>
      </c>
      <c r="D224" s="134">
        <v>2E-3</v>
      </c>
      <c r="E224" s="124">
        <v>2E-3</v>
      </c>
      <c r="F224" s="124">
        <f t="shared" si="3"/>
        <v>0.1</v>
      </c>
      <c r="G224" s="123">
        <v>1</v>
      </c>
      <c r="H224" s="124">
        <v>0.01</v>
      </c>
      <c r="J224" s="130">
        <f ca="1"/>
        <v>398.77611676745022</v>
      </c>
      <c r="K224" s="131">
        <f ca="1"/>
        <v>0.1000000000000002</v>
      </c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</row>
    <row r="225" spans="1:24" x14ac:dyDescent="0.25">
      <c r="A225" s="112">
        <v>221</v>
      </c>
      <c r="B225" s="119" t="s">
        <v>71</v>
      </c>
      <c r="C225" s="139">
        <v>5000000</v>
      </c>
      <c r="D225" s="134">
        <v>2E-3</v>
      </c>
      <c r="E225" s="124">
        <v>2E-3</v>
      </c>
      <c r="F225" s="124">
        <f t="shared" si="3"/>
        <v>0.1</v>
      </c>
      <c r="G225" s="123">
        <v>1</v>
      </c>
      <c r="H225" s="124">
        <v>0.01</v>
      </c>
      <c r="J225" s="130">
        <f ca="1"/>
        <v>398.77611676745022</v>
      </c>
      <c r="K225" s="131">
        <f ca="1"/>
        <v>0.1000000000000002</v>
      </c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</row>
    <row r="226" spans="1:24" x14ac:dyDescent="0.25">
      <c r="A226" s="112">
        <v>222</v>
      </c>
      <c r="B226" s="119" t="s">
        <v>71</v>
      </c>
      <c r="C226" s="139">
        <v>5000000</v>
      </c>
      <c r="D226" s="134">
        <v>2E-3</v>
      </c>
      <c r="E226" s="124">
        <v>2E-3</v>
      </c>
      <c r="F226" s="124">
        <f t="shared" si="3"/>
        <v>0.1</v>
      </c>
      <c r="G226" s="123">
        <v>1</v>
      </c>
      <c r="H226" s="124">
        <v>0.01</v>
      </c>
      <c r="J226" s="130">
        <f ca="1"/>
        <v>398.77611676745022</v>
      </c>
      <c r="K226" s="131">
        <f ca="1"/>
        <v>0.1000000000000002</v>
      </c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</row>
    <row r="227" spans="1:24" x14ac:dyDescent="0.25">
      <c r="A227" s="112">
        <v>223</v>
      </c>
      <c r="B227" s="119" t="s">
        <v>71</v>
      </c>
      <c r="C227" s="139">
        <v>5000000</v>
      </c>
      <c r="D227" s="134">
        <v>2E-3</v>
      </c>
      <c r="E227" s="124">
        <v>2E-3</v>
      </c>
      <c r="F227" s="124">
        <f t="shared" si="3"/>
        <v>0.1</v>
      </c>
      <c r="G227" s="123">
        <v>1</v>
      </c>
      <c r="H227" s="124">
        <v>0.01</v>
      </c>
      <c r="J227" s="130">
        <f ca="1"/>
        <v>398.77611676745022</v>
      </c>
      <c r="K227" s="131">
        <f ca="1"/>
        <v>0.1000000000000002</v>
      </c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</row>
    <row r="228" spans="1:24" x14ac:dyDescent="0.25">
      <c r="A228" s="112">
        <v>224</v>
      </c>
      <c r="B228" s="119" t="s">
        <v>71</v>
      </c>
      <c r="C228" s="139">
        <v>5000000</v>
      </c>
      <c r="D228" s="134">
        <v>2E-3</v>
      </c>
      <c r="E228" s="124">
        <v>2E-3</v>
      </c>
      <c r="F228" s="124">
        <f t="shared" si="3"/>
        <v>0.1</v>
      </c>
      <c r="G228" s="123">
        <v>1</v>
      </c>
      <c r="H228" s="124">
        <v>0.01</v>
      </c>
      <c r="J228" s="130">
        <f ca="1"/>
        <v>398.77611676745022</v>
      </c>
      <c r="K228" s="131">
        <f ca="1"/>
        <v>0.1000000000000002</v>
      </c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</row>
    <row r="229" spans="1:24" x14ac:dyDescent="0.25">
      <c r="A229" s="112">
        <v>225</v>
      </c>
      <c r="B229" s="119" t="s">
        <v>71</v>
      </c>
      <c r="C229" s="139">
        <v>5000000</v>
      </c>
      <c r="D229" s="134">
        <v>2E-3</v>
      </c>
      <c r="E229" s="124">
        <v>2E-3</v>
      </c>
      <c r="F229" s="124">
        <f t="shared" si="3"/>
        <v>0.1</v>
      </c>
      <c r="G229" s="123">
        <v>1</v>
      </c>
      <c r="H229" s="124">
        <v>0.01</v>
      </c>
      <c r="J229" s="130">
        <f ca="1"/>
        <v>398.77611676745022</v>
      </c>
      <c r="K229" s="131">
        <f ca="1"/>
        <v>0.1000000000000002</v>
      </c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</row>
    <row r="230" spans="1:24" x14ac:dyDescent="0.25">
      <c r="A230" s="112">
        <v>226</v>
      </c>
      <c r="B230" s="119" t="s">
        <v>71</v>
      </c>
      <c r="C230" s="139">
        <v>5000000</v>
      </c>
      <c r="D230" s="134">
        <v>2E-3</v>
      </c>
      <c r="E230" s="124">
        <v>2E-3</v>
      </c>
      <c r="F230" s="124">
        <f t="shared" si="3"/>
        <v>0.1</v>
      </c>
      <c r="G230" s="123">
        <v>1</v>
      </c>
      <c r="H230" s="124">
        <v>0.01</v>
      </c>
      <c r="J230" s="130">
        <f ca="1"/>
        <v>398.77611676745022</v>
      </c>
      <c r="K230" s="131">
        <f ca="1"/>
        <v>0.1000000000000002</v>
      </c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</row>
    <row r="231" spans="1:24" x14ac:dyDescent="0.25">
      <c r="A231" s="112">
        <v>227</v>
      </c>
      <c r="B231" s="119" t="s">
        <v>71</v>
      </c>
      <c r="C231" s="139">
        <v>5000000</v>
      </c>
      <c r="D231" s="134">
        <v>2E-3</v>
      </c>
      <c r="E231" s="124">
        <v>2E-3</v>
      </c>
      <c r="F231" s="124">
        <f t="shared" si="3"/>
        <v>0.1</v>
      </c>
      <c r="G231" s="123">
        <v>1</v>
      </c>
      <c r="H231" s="124">
        <v>0.01</v>
      </c>
      <c r="J231" s="130">
        <f ca="1"/>
        <v>398.77611676745022</v>
      </c>
      <c r="K231" s="131">
        <f ca="1"/>
        <v>0.1000000000000002</v>
      </c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</row>
    <row r="232" spans="1:24" x14ac:dyDescent="0.25">
      <c r="A232" s="112">
        <v>228</v>
      </c>
      <c r="B232" s="119" t="s">
        <v>71</v>
      </c>
      <c r="C232" s="139">
        <v>5000000</v>
      </c>
      <c r="D232" s="134">
        <v>2E-3</v>
      </c>
      <c r="E232" s="124">
        <v>2E-3</v>
      </c>
      <c r="F232" s="124">
        <f t="shared" si="3"/>
        <v>0.1</v>
      </c>
      <c r="G232" s="123">
        <v>1</v>
      </c>
      <c r="H232" s="124">
        <v>0.01</v>
      </c>
      <c r="J232" s="130">
        <f ca="1"/>
        <v>398.77611676745022</v>
      </c>
      <c r="K232" s="131">
        <f ca="1"/>
        <v>0.1000000000000002</v>
      </c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</row>
    <row r="233" spans="1:24" x14ac:dyDescent="0.25">
      <c r="A233" s="112">
        <v>229</v>
      </c>
      <c r="B233" s="119" t="s">
        <v>71</v>
      </c>
      <c r="C233" s="139">
        <v>5000000</v>
      </c>
      <c r="D233" s="134">
        <v>2E-3</v>
      </c>
      <c r="E233" s="124">
        <v>2E-3</v>
      </c>
      <c r="F233" s="124">
        <f t="shared" si="3"/>
        <v>0.1</v>
      </c>
      <c r="G233" s="123">
        <v>1</v>
      </c>
      <c r="H233" s="124">
        <v>0.01</v>
      </c>
      <c r="J233" s="130">
        <f ca="1"/>
        <v>398.77611676745022</v>
      </c>
      <c r="K233" s="131">
        <f ca="1"/>
        <v>0.1000000000000002</v>
      </c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</row>
    <row r="234" spans="1:24" x14ac:dyDescent="0.25">
      <c r="A234" s="112">
        <v>230</v>
      </c>
      <c r="B234" s="119" t="s">
        <v>71</v>
      </c>
      <c r="C234" s="139">
        <v>5000000</v>
      </c>
      <c r="D234" s="134">
        <v>2E-3</v>
      </c>
      <c r="E234" s="124">
        <v>2E-3</v>
      </c>
      <c r="F234" s="124">
        <f t="shared" si="3"/>
        <v>0.1</v>
      </c>
      <c r="G234" s="123">
        <v>1</v>
      </c>
      <c r="H234" s="124">
        <v>0.01</v>
      </c>
      <c r="J234" s="130">
        <f ca="1"/>
        <v>398.77611676745022</v>
      </c>
      <c r="K234" s="131">
        <f ca="1"/>
        <v>0.1000000000000002</v>
      </c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</row>
    <row r="235" spans="1:24" x14ac:dyDescent="0.25">
      <c r="A235" s="112">
        <v>231</v>
      </c>
      <c r="B235" s="119" t="s">
        <v>71</v>
      </c>
      <c r="C235" s="139">
        <v>5000000</v>
      </c>
      <c r="D235" s="134">
        <v>2E-3</v>
      </c>
      <c r="E235" s="124">
        <v>2E-3</v>
      </c>
      <c r="F235" s="124">
        <f t="shared" si="3"/>
        <v>0.1</v>
      </c>
      <c r="G235" s="123">
        <v>1</v>
      </c>
      <c r="H235" s="124">
        <v>0.01</v>
      </c>
      <c r="J235" s="130">
        <f ca="1"/>
        <v>398.77611676745022</v>
      </c>
      <c r="K235" s="131">
        <f ca="1"/>
        <v>0.1000000000000002</v>
      </c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</row>
    <row r="236" spans="1:24" x14ac:dyDescent="0.25">
      <c r="A236" s="112">
        <v>232</v>
      </c>
      <c r="B236" s="119" t="s">
        <v>71</v>
      </c>
      <c r="C236" s="139">
        <v>5000000</v>
      </c>
      <c r="D236" s="134">
        <v>2E-3</v>
      </c>
      <c r="E236" s="124">
        <v>2E-3</v>
      </c>
      <c r="F236" s="124">
        <f t="shared" si="3"/>
        <v>0.1</v>
      </c>
      <c r="G236" s="123">
        <v>1</v>
      </c>
      <c r="H236" s="124">
        <v>0.01</v>
      </c>
      <c r="J236" s="130">
        <f ca="1"/>
        <v>398.77611676745022</v>
      </c>
      <c r="K236" s="131">
        <f ca="1"/>
        <v>0.1000000000000002</v>
      </c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</row>
    <row r="237" spans="1:24" x14ac:dyDescent="0.25">
      <c r="A237" s="112">
        <v>233</v>
      </c>
      <c r="B237" s="119" t="s">
        <v>71</v>
      </c>
      <c r="C237" s="139">
        <v>5000000</v>
      </c>
      <c r="D237" s="134">
        <v>2E-3</v>
      </c>
      <c r="E237" s="124">
        <v>2E-3</v>
      </c>
      <c r="F237" s="124">
        <f t="shared" si="3"/>
        <v>0.1</v>
      </c>
      <c r="G237" s="123">
        <v>1</v>
      </c>
      <c r="H237" s="124">
        <v>0.01</v>
      </c>
      <c r="J237" s="130">
        <f ca="1"/>
        <v>398.77611676745022</v>
      </c>
      <c r="K237" s="131">
        <f ca="1"/>
        <v>0.1000000000000002</v>
      </c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</row>
    <row r="238" spans="1:24" x14ac:dyDescent="0.25">
      <c r="A238" s="112">
        <v>234</v>
      </c>
      <c r="B238" s="119" t="s">
        <v>71</v>
      </c>
      <c r="C238" s="139">
        <v>5000000</v>
      </c>
      <c r="D238" s="134">
        <v>2E-3</v>
      </c>
      <c r="E238" s="124">
        <v>2E-3</v>
      </c>
      <c r="F238" s="124">
        <f t="shared" si="3"/>
        <v>0.1</v>
      </c>
      <c r="G238" s="123">
        <v>1</v>
      </c>
      <c r="H238" s="124">
        <v>0.01</v>
      </c>
      <c r="J238" s="130">
        <f ca="1"/>
        <v>398.77611676745022</v>
      </c>
      <c r="K238" s="131">
        <f ca="1"/>
        <v>0.1000000000000002</v>
      </c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</row>
    <row r="239" spans="1:24" x14ac:dyDescent="0.25">
      <c r="A239" s="112">
        <v>235</v>
      </c>
      <c r="B239" s="119" t="s">
        <v>71</v>
      </c>
      <c r="C239" s="139">
        <v>5000000</v>
      </c>
      <c r="D239" s="134">
        <v>2E-3</v>
      </c>
      <c r="E239" s="124">
        <v>2E-3</v>
      </c>
      <c r="F239" s="124">
        <f t="shared" si="3"/>
        <v>0.1</v>
      </c>
      <c r="G239" s="123">
        <v>1</v>
      </c>
      <c r="H239" s="124">
        <v>0.01</v>
      </c>
      <c r="J239" s="130">
        <f ca="1"/>
        <v>398.77611676745022</v>
      </c>
      <c r="K239" s="131">
        <f ca="1"/>
        <v>0.1000000000000002</v>
      </c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</row>
    <row r="240" spans="1:24" x14ac:dyDescent="0.25">
      <c r="A240" s="112">
        <v>236</v>
      </c>
      <c r="B240" s="119" t="s">
        <v>71</v>
      </c>
      <c r="C240" s="139">
        <v>5000000</v>
      </c>
      <c r="D240" s="134">
        <v>2E-3</v>
      </c>
      <c r="E240" s="124">
        <v>2E-3</v>
      </c>
      <c r="F240" s="124">
        <f t="shared" si="3"/>
        <v>0.1</v>
      </c>
      <c r="G240" s="123">
        <v>1</v>
      </c>
      <c r="H240" s="124">
        <v>0.01</v>
      </c>
      <c r="J240" s="130">
        <f ca="1"/>
        <v>398.77611676745022</v>
      </c>
      <c r="K240" s="131">
        <f ca="1"/>
        <v>0.1000000000000002</v>
      </c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</row>
    <row r="241" spans="1:24" x14ac:dyDescent="0.25">
      <c r="A241" s="112">
        <v>237</v>
      </c>
      <c r="B241" s="119" t="s">
        <v>71</v>
      </c>
      <c r="C241" s="139">
        <v>5000000</v>
      </c>
      <c r="D241" s="134">
        <v>2E-3</v>
      </c>
      <c r="E241" s="124">
        <v>2E-3</v>
      </c>
      <c r="F241" s="124">
        <f t="shared" si="3"/>
        <v>0.1</v>
      </c>
      <c r="G241" s="123">
        <v>1</v>
      </c>
      <c r="H241" s="124">
        <v>0.01</v>
      </c>
      <c r="J241" s="130">
        <f ca="1"/>
        <v>398.77611676745022</v>
      </c>
      <c r="K241" s="131">
        <f ca="1"/>
        <v>0.1000000000000002</v>
      </c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</row>
    <row r="242" spans="1:24" x14ac:dyDescent="0.25">
      <c r="A242" s="112">
        <v>238</v>
      </c>
      <c r="B242" s="119" t="s">
        <v>71</v>
      </c>
      <c r="C242" s="139">
        <v>5000000</v>
      </c>
      <c r="D242" s="134">
        <v>2E-3</v>
      </c>
      <c r="E242" s="124">
        <v>2E-3</v>
      </c>
      <c r="F242" s="124">
        <f t="shared" si="3"/>
        <v>0.1</v>
      </c>
      <c r="G242" s="123">
        <v>1</v>
      </c>
      <c r="H242" s="124">
        <v>0.01</v>
      </c>
      <c r="J242" s="130">
        <f ca="1"/>
        <v>398.77611676745022</v>
      </c>
      <c r="K242" s="131">
        <f ca="1"/>
        <v>0.1000000000000002</v>
      </c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</row>
    <row r="243" spans="1:24" x14ac:dyDescent="0.25">
      <c r="A243" s="112">
        <v>239</v>
      </c>
      <c r="B243" s="119" t="s">
        <v>71</v>
      </c>
      <c r="C243" s="139">
        <v>5000000</v>
      </c>
      <c r="D243" s="134">
        <v>2E-3</v>
      </c>
      <c r="E243" s="124">
        <v>2E-3</v>
      </c>
      <c r="F243" s="124">
        <f t="shared" si="3"/>
        <v>0.1</v>
      </c>
      <c r="G243" s="123">
        <v>1</v>
      </c>
      <c r="H243" s="124">
        <v>0.01</v>
      </c>
      <c r="J243" s="130">
        <f ca="1"/>
        <v>398.77611676745022</v>
      </c>
      <c r="K243" s="131">
        <f ca="1"/>
        <v>0.1000000000000002</v>
      </c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</row>
    <row r="244" spans="1:24" x14ac:dyDescent="0.25">
      <c r="A244" s="112">
        <v>240</v>
      </c>
      <c r="B244" s="119" t="s">
        <v>71</v>
      </c>
      <c r="C244" s="139">
        <v>5000000</v>
      </c>
      <c r="D244" s="134">
        <v>2E-3</v>
      </c>
      <c r="E244" s="124">
        <v>2E-3</v>
      </c>
      <c r="F244" s="124">
        <f t="shared" si="3"/>
        <v>0.1</v>
      </c>
      <c r="G244" s="123">
        <v>1</v>
      </c>
      <c r="H244" s="124">
        <v>0.01</v>
      </c>
      <c r="J244" s="130">
        <f ca="1"/>
        <v>398.77611676745022</v>
      </c>
      <c r="K244" s="131">
        <f ca="1"/>
        <v>0.1000000000000002</v>
      </c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</row>
    <row r="245" spans="1:24" x14ac:dyDescent="0.25">
      <c r="A245" s="112">
        <v>241</v>
      </c>
      <c r="B245" s="119" t="s">
        <v>71</v>
      </c>
      <c r="C245" s="139">
        <v>5000000</v>
      </c>
      <c r="D245" s="134">
        <v>2E-3</v>
      </c>
      <c r="E245" s="124">
        <v>2E-3</v>
      </c>
      <c r="F245" s="124">
        <f t="shared" si="3"/>
        <v>0.1</v>
      </c>
      <c r="G245" s="123">
        <v>1</v>
      </c>
      <c r="H245" s="124">
        <v>0.01</v>
      </c>
      <c r="J245" s="130">
        <f ca="1"/>
        <v>398.77611676745022</v>
      </c>
      <c r="K245" s="131">
        <f ca="1"/>
        <v>0.1000000000000002</v>
      </c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</row>
    <row r="246" spans="1:24" x14ac:dyDescent="0.25">
      <c r="A246" s="112">
        <v>242</v>
      </c>
      <c r="B246" s="119" t="s">
        <v>71</v>
      </c>
      <c r="C246" s="139">
        <v>5000000</v>
      </c>
      <c r="D246" s="134">
        <v>2E-3</v>
      </c>
      <c r="E246" s="124">
        <v>2E-3</v>
      </c>
      <c r="F246" s="124">
        <f t="shared" si="3"/>
        <v>0.1</v>
      </c>
      <c r="G246" s="123">
        <v>1</v>
      </c>
      <c r="H246" s="124">
        <v>0.01</v>
      </c>
      <c r="J246" s="130">
        <f ca="1"/>
        <v>398.77611676745022</v>
      </c>
      <c r="K246" s="131">
        <f ca="1"/>
        <v>0.1000000000000002</v>
      </c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</row>
    <row r="247" spans="1:24" x14ac:dyDescent="0.25">
      <c r="A247" s="112">
        <v>243</v>
      </c>
      <c r="B247" s="119" t="s">
        <v>71</v>
      </c>
      <c r="C247" s="139">
        <v>5000000</v>
      </c>
      <c r="D247" s="134">
        <v>2E-3</v>
      </c>
      <c r="E247" s="124">
        <v>2E-3</v>
      </c>
      <c r="F247" s="124">
        <f t="shared" si="3"/>
        <v>0.1</v>
      </c>
      <c r="G247" s="123">
        <v>1</v>
      </c>
      <c r="H247" s="124">
        <v>0.01</v>
      </c>
      <c r="J247" s="130">
        <f ca="1"/>
        <v>398.77611676745022</v>
      </c>
      <c r="K247" s="131">
        <f ca="1"/>
        <v>0.1000000000000002</v>
      </c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</row>
    <row r="248" spans="1:24" x14ac:dyDescent="0.25">
      <c r="A248" s="112">
        <v>244</v>
      </c>
      <c r="B248" s="119" t="s">
        <v>71</v>
      </c>
      <c r="C248" s="139">
        <v>5000000</v>
      </c>
      <c r="D248" s="134">
        <v>2E-3</v>
      </c>
      <c r="E248" s="124">
        <v>2E-3</v>
      </c>
      <c r="F248" s="124">
        <f t="shared" si="3"/>
        <v>0.1</v>
      </c>
      <c r="G248" s="123">
        <v>1</v>
      </c>
      <c r="H248" s="124">
        <v>0.01</v>
      </c>
      <c r="J248" s="130">
        <f ca="1"/>
        <v>398.77611676745022</v>
      </c>
      <c r="K248" s="131">
        <f ca="1"/>
        <v>0.1000000000000002</v>
      </c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</row>
    <row r="249" spans="1:24" x14ac:dyDescent="0.25">
      <c r="A249" s="112">
        <v>245</v>
      </c>
      <c r="B249" s="119" t="s">
        <v>71</v>
      </c>
      <c r="C249" s="139">
        <v>5000000</v>
      </c>
      <c r="D249" s="134">
        <v>2E-3</v>
      </c>
      <c r="E249" s="124">
        <v>2E-3</v>
      </c>
      <c r="F249" s="124">
        <f t="shared" si="3"/>
        <v>0.1</v>
      </c>
      <c r="G249" s="123">
        <v>1</v>
      </c>
      <c r="H249" s="124">
        <v>0.01</v>
      </c>
      <c r="J249" s="130">
        <f ca="1"/>
        <v>398.77611676745022</v>
      </c>
      <c r="K249" s="131">
        <f ca="1"/>
        <v>0.1000000000000002</v>
      </c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</row>
    <row r="250" spans="1:24" x14ac:dyDescent="0.25">
      <c r="A250" s="112">
        <v>246</v>
      </c>
      <c r="B250" s="119" t="s">
        <v>71</v>
      </c>
      <c r="C250" s="139">
        <v>5000000</v>
      </c>
      <c r="D250" s="134">
        <v>2E-3</v>
      </c>
      <c r="E250" s="124">
        <v>2E-3</v>
      </c>
      <c r="F250" s="124">
        <f t="shared" si="3"/>
        <v>0.1</v>
      </c>
      <c r="G250" s="123">
        <v>1</v>
      </c>
      <c r="H250" s="124">
        <v>0.01</v>
      </c>
      <c r="J250" s="130">
        <f ca="1"/>
        <v>398.77611676745022</v>
      </c>
      <c r="K250" s="131">
        <f ca="1"/>
        <v>0.1000000000000002</v>
      </c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</row>
    <row r="251" spans="1:24" x14ac:dyDescent="0.25">
      <c r="A251" s="112">
        <v>247</v>
      </c>
      <c r="B251" s="119" t="s">
        <v>71</v>
      </c>
      <c r="C251" s="139">
        <v>5000000</v>
      </c>
      <c r="D251" s="134">
        <v>2E-3</v>
      </c>
      <c r="E251" s="124">
        <v>2E-3</v>
      </c>
      <c r="F251" s="124">
        <f t="shared" si="3"/>
        <v>0.1</v>
      </c>
      <c r="G251" s="123">
        <v>1</v>
      </c>
      <c r="H251" s="124">
        <v>0.01</v>
      </c>
      <c r="J251" s="130">
        <f ca="1"/>
        <v>398.77611676745022</v>
      </c>
      <c r="K251" s="131">
        <f ca="1"/>
        <v>0.1000000000000002</v>
      </c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</row>
    <row r="252" spans="1:24" x14ac:dyDescent="0.25">
      <c r="A252" s="112">
        <v>248</v>
      </c>
      <c r="B252" s="119" t="s">
        <v>71</v>
      </c>
      <c r="C252" s="139">
        <v>5000000</v>
      </c>
      <c r="D252" s="134">
        <v>2E-3</v>
      </c>
      <c r="E252" s="124">
        <v>2E-3</v>
      </c>
      <c r="F252" s="124">
        <f t="shared" si="3"/>
        <v>0.1</v>
      </c>
      <c r="G252" s="123">
        <v>1</v>
      </c>
      <c r="H252" s="124">
        <v>0.01</v>
      </c>
      <c r="J252" s="130">
        <f ca="1"/>
        <v>398.77611676745022</v>
      </c>
      <c r="K252" s="131">
        <f ca="1"/>
        <v>0.1000000000000002</v>
      </c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</row>
    <row r="253" spans="1:24" x14ac:dyDescent="0.25">
      <c r="A253" s="112">
        <v>249</v>
      </c>
      <c r="B253" s="119" t="s">
        <v>71</v>
      </c>
      <c r="C253" s="139">
        <v>5000000</v>
      </c>
      <c r="D253" s="134">
        <v>2E-3</v>
      </c>
      <c r="E253" s="124">
        <v>2E-3</v>
      </c>
      <c r="F253" s="124">
        <f t="shared" si="3"/>
        <v>0.1</v>
      </c>
      <c r="G253" s="123">
        <v>1</v>
      </c>
      <c r="H253" s="124">
        <v>0.01</v>
      </c>
      <c r="J253" s="130">
        <f ca="1"/>
        <v>398.77611676745022</v>
      </c>
      <c r="K253" s="131">
        <f ca="1"/>
        <v>0.1000000000000002</v>
      </c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</row>
    <row r="254" spans="1:24" x14ac:dyDescent="0.25">
      <c r="A254" s="112">
        <v>250</v>
      </c>
      <c r="B254" s="119" t="s">
        <v>71</v>
      </c>
      <c r="C254" s="139">
        <v>5000000</v>
      </c>
      <c r="D254" s="134">
        <v>2E-3</v>
      </c>
      <c r="E254" s="124">
        <v>2E-3</v>
      </c>
      <c r="F254" s="124">
        <f t="shared" si="3"/>
        <v>0.1</v>
      </c>
      <c r="G254" s="123">
        <v>1</v>
      </c>
      <c r="H254" s="124">
        <v>0.01</v>
      </c>
      <c r="J254" s="130">
        <f ca="1"/>
        <v>398.77611676745022</v>
      </c>
      <c r="K254" s="131">
        <f ca="1"/>
        <v>0.1000000000000002</v>
      </c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</row>
    <row r="255" spans="1:24" x14ac:dyDescent="0.25">
      <c r="A255" s="112">
        <v>251</v>
      </c>
      <c r="B255" s="119" t="s">
        <v>71</v>
      </c>
      <c r="C255" s="139">
        <v>5000000</v>
      </c>
      <c r="D255" s="134">
        <v>2E-3</v>
      </c>
      <c r="E255" s="124">
        <v>2E-3</v>
      </c>
      <c r="F255" s="124">
        <f t="shared" si="3"/>
        <v>0.1</v>
      </c>
      <c r="G255" s="123">
        <v>1</v>
      </c>
      <c r="H255" s="124">
        <v>0.01</v>
      </c>
      <c r="J255" s="130">
        <f ca="1"/>
        <v>398.77611676745022</v>
      </c>
      <c r="K255" s="131">
        <f ca="1"/>
        <v>0.1000000000000002</v>
      </c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</row>
    <row r="256" spans="1:24" x14ac:dyDescent="0.25">
      <c r="A256" s="112">
        <v>252</v>
      </c>
      <c r="B256" s="119" t="s">
        <v>71</v>
      </c>
      <c r="C256" s="139">
        <v>5000000</v>
      </c>
      <c r="D256" s="134">
        <v>2E-3</v>
      </c>
      <c r="E256" s="124">
        <v>2E-3</v>
      </c>
      <c r="F256" s="124">
        <f t="shared" si="3"/>
        <v>0.1</v>
      </c>
      <c r="G256" s="123">
        <v>1</v>
      </c>
      <c r="H256" s="124">
        <v>0.01</v>
      </c>
      <c r="J256" s="130">
        <f ca="1"/>
        <v>398.77611676745022</v>
      </c>
      <c r="K256" s="131">
        <f ca="1"/>
        <v>0.1000000000000002</v>
      </c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</row>
    <row r="257" spans="1:24" x14ac:dyDescent="0.25">
      <c r="A257" s="112">
        <v>253</v>
      </c>
      <c r="B257" s="119" t="s">
        <v>71</v>
      </c>
      <c r="C257" s="139">
        <v>5000000</v>
      </c>
      <c r="D257" s="134">
        <v>2E-3</v>
      </c>
      <c r="E257" s="124">
        <v>2E-3</v>
      </c>
      <c r="F257" s="124">
        <f t="shared" si="3"/>
        <v>0.1</v>
      </c>
      <c r="G257" s="123">
        <v>1</v>
      </c>
      <c r="H257" s="124">
        <v>0.01</v>
      </c>
      <c r="J257" s="130">
        <f ca="1"/>
        <v>398.77611676745022</v>
      </c>
      <c r="K257" s="131">
        <f ca="1"/>
        <v>0.1000000000000002</v>
      </c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</row>
    <row r="258" spans="1:24" x14ac:dyDescent="0.25">
      <c r="A258" s="112">
        <v>254</v>
      </c>
      <c r="B258" s="119" t="s">
        <v>71</v>
      </c>
      <c r="C258" s="139">
        <v>5000000</v>
      </c>
      <c r="D258" s="134">
        <v>2E-3</v>
      </c>
      <c r="E258" s="124">
        <v>2E-3</v>
      </c>
      <c r="F258" s="124">
        <f t="shared" si="3"/>
        <v>0.1</v>
      </c>
      <c r="G258" s="123">
        <v>1</v>
      </c>
      <c r="H258" s="124">
        <v>0.01</v>
      </c>
      <c r="J258" s="130">
        <f ca="1"/>
        <v>398.77611676745022</v>
      </c>
      <c r="K258" s="131">
        <f ca="1"/>
        <v>0.1000000000000002</v>
      </c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</row>
    <row r="259" spans="1:24" x14ac:dyDescent="0.25">
      <c r="A259" s="112">
        <v>255</v>
      </c>
      <c r="B259" s="119" t="s">
        <v>71</v>
      </c>
      <c r="C259" s="139">
        <v>5000000</v>
      </c>
      <c r="D259" s="134">
        <v>2E-3</v>
      </c>
      <c r="E259" s="124">
        <v>2E-3</v>
      </c>
      <c r="F259" s="124">
        <f t="shared" si="3"/>
        <v>0.1</v>
      </c>
      <c r="G259" s="123">
        <v>1</v>
      </c>
      <c r="H259" s="124">
        <v>0.01</v>
      </c>
      <c r="J259" s="130">
        <f ca="1"/>
        <v>398.77611676745022</v>
      </c>
      <c r="K259" s="131">
        <f ca="1"/>
        <v>0.1000000000000002</v>
      </c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</row>
    <row r="260" spans="1:24" x14ac:dyDescent="0.25">
      <c r="A260" s="112">
        <v>256</v>
      </c>
      <c r="B260" s="119" t="s">
        <v>71</v>
      </c>
      <c r="C260" s="139">
        <v>5000000</v>
      </c>
      <c r="D260" s="134">
        <v>2E-3</v>
      </c>
      <c r="E260" s="124">
        <v>2E-3</v>
      </c>
      <c r="F260" s="124">
        <f t="shared" si="3"/>
        <v>0.1</v>
      </c>
      <c r="G260" s="123">
        <v>1</v>
      </c>
      <c r="H260" s="124">
        <v>0.01</v>
      </c>
      <c r="J260" s="130">
        <f ca="1"/>
        <v>398.77611676745022</v>
      </c>
      <c r="K260" s="131">
        <f ca="1"/>
        <v>0.1000000000000002</v>
      </c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</row>
    <row r="261" spans="1:24" x14ac:dyDescent="0.25">
      <c r="A261" s="112">
        <v>257</v>
      </c>
      <c r="B261" s="119" t="s">
        <v>71</v>
      </c>
      <c r="C261" s="139">
        <v>5000000</v>
      </c>
      <c r="D261" s="134">
        <v>2E-3</v>
      </c>
      <c r="E261" s="124">
        <v>2E-3</v>
      </c>
      <c r="F261" s="124">
        <f t="shared" ref="F261:F324" si="4">$F$2</f>
        <v>0.1</v>
      </c>
      <c r="G261" s="123">
        <v>1</v>
      </c>
      <c r="H261" s="124">
        <v>0.01</v>
      </c>
      <c r="J261" s="130">
        <f ca="1"/>
        <v>398.77611676745022</v>
      </c>
      <c r="K261" s="131">
        <f ca="1"/>
        <v>0.1000000000000002</v>
      </c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</row>
    <row r="262" spans="1:24" x14ac:dyDescent="0.25">
      <c r="A262" s="112">
        <v>258</v>
      </c>
      <c r="B262" s="119" t="s">
        <v>71</v>
      </c>
      <c r="C262" s="139">
        <v>5000000</v>
      </c>
      <c r="D262" s="134">
        <v>2E-3</v>
      </c>
      <c r="E262" s="124">
        <v>2E-3</v>
      </c>
      <c r="F262" s="124">
        <f t="shared" si="4"/>
        <v>0.1</v>
      </c>
      <c r="G262" s="123">
        <v>1</v>
      </c>
      <c r="H262" s="124">
        <v>0.01</v>
      </c>
      <c r="J262" s="130">
        <f ca="1"/>
        <v>398.77611676745022</v>
      </c>
      <c r="K262" s="131">
        <f ca="1"/>
        <v>0.1000000000000002</v>
      </c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</row>
    <row r="263" spans="1:24" x14ac:dyDescent="0.25">
      <c r="A263" s="112">
        <v>259</v>
      </c>
      <c r="B263" s="119" t="s">
        <v>71</v>
      </c>
      <c r="C263" s="139">
        <v>5000000</v>
      </c>
      <c r="D263" s="134">
        <v>2E-3</v>
      </c>
      <c r="E263" s="124">
        <v>2E-3</v>
      </c>
      <c r="F263" s="124">
        <f t="shared" si="4"/>
        <v>0.1</v>
      </c>
      <c r="G263" s="123">
        <v>1</v>
      </c>
      <c r="H263" s="124">
        <v>0.01</v>
      </c>
      <c r="J263" s="130">
        <f ca="1"/>
        <v>398.77611676745022</v>
      </c>
      <c r="K263" s="131">
        <f ca="1"/>
        <v>0.1000000000000002</v>
      </c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</row>
    <row r="264" spans="1:24" x14ac:dyDescent="0.25">
      <c r="A264" s="112">
        <v>260</v>
      </c>
      <c r="B264" s="119" t="s">
        <v>71</v>
      </c>
      <c r="C264" s="139">
        <v>5000000</v>
      </c>
      <c r="D264" s="134">
        <v>2E-3</v>
      </c>
      <c r="E264" s="124">
        <v>2E-3</v>
      </c>
      <c r="F264" s="124">
        <f t="shared" si="4"/>
        <v>0.1</v>
      </c>
      <c r="G264" s="123">
        <v>1</v>
      </c>
      <c r="H264" s="124">
        <v>0.01</v>
      </c>
      <c r="J264" s="130">
        <f ca="1"/>
        <v>398.77611676745022</v>
      </c>
      <c r="K264" s="131">
        <f ca="1"/>
        <v>0.1000000000000002</v>
      </c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</row>
    <row r="265" spans="1:24" x14ac:dyDescent="0.25">
      <c r="A265" s="112">
        <v>261</v>
      </c>
      <c r="B265" s="119" t="s">
        <v>71</v>
      </c>
      <c r="C265" s="139">
        <v>5000000</v>
      </c>
      <c r="D265" s="134">
        <v>2E-3</v>
      </c>
      <c r="E265" s="124">
        <v>2E-3</v>
      </c>
      <c r="F265" s="124">
        <f t="shared" si="4"/>
        <v>0.1</v>
      </c>
      <c r="G265" s="123">
        <v>1</v>
      </c>
      <c r="H265" s="124">
        <v>0.01</v>
      </c>
      <c r="J265" s="130">
        <f ca="1"/>
        <v>398.77611676745022</v>
      </c>
      <c r="K265" s="131">
        <f ca="1"/>
        <v>0.1000000000000002</v>
      </c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</row>
    <row r="266" spans="1:24" x14ac:dyDescent="0.25">
      <c r="A266" s="112">
        <v>262</v>
      </c>
      <c r="B266" s="119" t="s">
        <v>71</v>
      </c>
      <c r="C266" s="139">
        <v>5000000</v>
      </c>
      <c r="D266" s="134">
        <v>2E-3</v>
      </c>
      <c r="E266" s="124">
        <v>2E-3</v>
      </c>
      <c r="F266" s="124">
        <f t="shared" si="4"/>
        <v>0.1</v>
      </c>
      <c r="G266" s="123">
        <v>1</v>
      </c>
      <c r="H266" s="124">
        <v>0.01</v>
      </c>
      <c r="J266" s="130">
        <f ca="1"/>
        <v>398.77611676745022</v>
      </c>
      <c r="K266" s="131">
        <f ca="1"/>
        <v>0.1000000000000002</v>
      </c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</row>
    <row r="267" spans="1:24" x14ac:dyDescent="0.25">
      <c r="A267" s="112">
        <v>263</v>
      </c>
      <c r="B267" s="119" t="s">
        <v>71</v>
      </c>
      <c r="C267" s="139">
        <v>5000000</v>
      </c>
      <c r="D267" s="134">
        <v>2E-3</v>
      </c>
      <c r="E267" s="124">
        <v>2E-3</v>
      </c>
      <c r="F267" s="124">
        <f t="shared" si="4"/>
        <v>0.1</v>
      </c>
      <c r="G267" s="123">
        <v>1</v>
      </c>
      <c r="H267" s="124">
        <v>0.01</v>
      </c>
      <c r="J267" s="130">
        <f ca="1"/>
        <v>398.77611676745022</v>
      </c>
      <c r="K267" s="131">
        <f ca="1"/>
        <v>0.1000000000000002</v>
      </c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</row>
    <row r="268" spans="1:24" x14ac:dyDescent="0.25">
      <c r="A268" s="112">
        <v>264</v>
      </c>
      <c r="B268" s="119" t="s">
        <v>71</v>
      </c>
      <c r="C268" s="139">
        <v>5000000</v>
      </c>
      <c r="D268" s="134">
        <v>2E-3</v>
      </c>
      <c r="E268" s="124">
        <v>2E-3</v>
      </c>
      <c r="F268" s="124">
        <f t="shared" si="4"/>
        <v>0.1</v>
      </c>
      <c r="G268" s="123">
        <v>1</v>
      </c>
      <c r="H268" s="124">
        <v>0.01</v>
      </c>
      <c r="J268" s="130">
        <f ca="1"/>
        <v>398.77611676745022</v>
      </c>
      <c r="K268" s="131">
        <f ca="1"/>
        <v>0.1000000000000002</v>
      </c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</row>
    <row r="269" spans="1:24" x14ac:dyDescent="0.25">
      <c r="A269" s="112">
        <v>265</v>
      </c>
      <c r="B269" s="119" t="s">
        <v>71</v>
      </c>
      <c r="C269" s="139">
        <v>5000000</v>
      </c>
      <c r="D269" s="134">
        <v>2E-3</v>
      </c>
      <c r="E269" s="124">
        <v>2E-3</v>
      </c>
      <c r="F269" s="124">
        <f t="shared" si="4"/>
        <v>0.1</v>
      </c>
      <c r="G269" s="123">
        <v>1</v>
      </c>
      <c r="H269" s="124">
        <v>0.01</v>
      </c>
      <c r="J269" s="130">
        <f ca="1"/>
        <v>398.77611676745022</v>
      </c>
      <c r="K269" s="131">
        <f ca="1"/>
        <v>0.1000000000000002</v>
      </c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</row>
    <row r="270" spans="1:24" x14ac:dyDescent="0.25">
      <c r="A270" s="112">
        <v>266</v>
      </c>
      <c r="B270" s="119" t="s">
        <v>71</v>
      </c>
      <c r="C270" s="139">
        <v>5000000</v>
      </c>
      <c r="D270" s="134">
        <v>2E-3</v>
      </c>
      <c r="E270" s="124">
        <v>2E-3</v>
      </c>
      <c r="F270" s="124">
        <f t="shared" si="4"/>
        <v>0.1</v>
      </c>
      <c r="G270" s="123">
        <v>1</v>
      </c>
      <c r="H270" s="124">
        <v>0.01</v>
      </c>
      <c r="J270" s="130">
        <f ca="1"/>
        <v>398.77611676745022</v>
      </c>
      <c r="K270" s="131">
        <f ca="1"/>
        <v>0.1000000000000002</v>
      </c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</row>
    <row r="271" spans="1:24" x14ac:dyDescent="0.25">
      <c r="A271" s="112">
        <v>267</v>
      </c>
      <c r="B271" s="119" t="s">
        <v>71</v>
      </c>
      <c r="C271" s="139">
        <v>5000000</v>
      </c>
      <c r="D271" s="134">
        <v>2E-3</v>
      </c>
      <c r="E271" s="124">
        <v>2E-3</v>
      </c>
      <c r="F271" s="124">
        <f t="shared" si="4"/>
        <v>0.1</v>
      </c>
      <c r="G271" s="123">
        <v>1</v>
      </c>
      <c r="H271" s="124">
        <v>0.01</v>
      </c>
      <c r="J271" s="130">
        <f ca="1"/>
        <v>398.77611676745022</v>
      </c>
      <c r="K271" s="131">
        <f ca="1"/>
        <v>0.1000000000000002</v>
      </c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</row>
    <row r="272" spans="1:24" x14ac:dyDescent="0.25">
      <c r="A272" s="112">
        <v>268</v>
      </c>
      <c r="B272" s="119" t="s">
        <v>71</v>
      </c>
      <c r="C272" s="139">
        <v>5000000</v>
      </c>
      <c r="D272" s="134">
        <v>2E-3</v>
      </c>
      <c r="E272" s="124">
        <v>2E-3</v>
      </c>
      <c r="F272" s="124">
        <f t="shared" si="4"/>
        <v>0.1</v>
      </c>
      <c r="G272" s="123">
        <v>1</v>
      </c>
      <c r="H272" s="124">
        <v>0.01</v>
      </c>
      <c r="J272" s="130">
        <f ca="1"/>
        <v>398.77611676745022</v>
      </c>
      <c r="K272" s="131">
        <f ca="1"/>
        <v>0.1000000000000002</v>
      </c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</row>
    <row r="273" spans="1:24" x14ac:dyDescent="0.25">
      <c r="A273" s="112">
        <v>269</v>
      </c>
      <c r="B273" s="119" t="s">
        <v>71</v>
      </c>
      <c r="C273" s="139">
        <v>5000000</v>
      </c>
      <c r="D273" s="134">
        <v>2E-3</v>
      </c>
      <c r="E273" s="124">
        <v>2E-3</v>
      </c>
      <c r="F273" s="124">
        <f t="shared" si="4"/>
        <v>0.1</v>
      </c>
      <c r="G273" s="123">
        <v>1</v>
      </c>
      <c r="H273" s="124">
        <v>0.01</v>
      </c>
      <c r="J273" s="130">
        <f ca="1"/>
        <v>398.77611676745022</v>
      </c>
      <c r="K273" s="131">
        <f ca="1"/>
        <v>0.1000000000000002</v>
      </c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</row>
    <row r="274" spans="1:24" x14ac:dyDescent="0.25">
      <c r="A274" s="112">
        <v>270</v>
      </c>
      <c r="B274" s="119" t="s">
        <v>71</v>
      </c>
      <c r="C274" s="139">
        <v>5000000</v>
      </c>
      <c r="D274" s="134">
        <v>2E-3</v>
      </c>
      <c r="E274" s="124">
        <v>2E-3</v>
      </c>
      <c r="F274" s="124">
        <f t="shared" si="4"/>
        <v>0.1</v>
      </c>
      <c r="G274" s="123">
        <v>1</v>
      </c>
      <c r="H274" s="124">
        <v>0.01</v>
      </c>
      <c r="J274" s="130">
        <f ca="1"/>
        <v>398.77611676745022</v>
      </c>
      <c r="K274" s="131">
        <f ca="1"/>
        <v>0.1000000000000002</v>
      </c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</row>
    <row r="275" spans="1:24" x14ac:dyDescent="0.25">
      <c r="A275" s="112">
        <v>271</v>
      </c>
      <c r="B275" s="119" t="s">
        <v>71</v>
      </c>
      <c r="C275" s="139">
        <v>5000000</v>
      </c>
      <c r="D275" s="134">
        <v>2E-3</v>
      </c>
      <c r="E275" s="124">
        <v>2E-3</v>
      </c>
      <c r="F275" s="124">
        <f t="shared" si="4"/>
        <v>0.1</v>
      </c>
      <c r="G275" s="123">
        <v>1</v>
      </c>
      <c r="H275" s="124">
        <v>0.01</v>
      </c>
      <c r="J275" s="130">
        <f ca="1"/>
        <v>398.77611676745022</v>
      </c>
      <c r="K275" s="131">
        <f ca="1"/>
        <v>0.1000000000000002</v>
      </c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</row>
    <row r="276" spans="1:24" x14ac:dyDescent="0.25">
      <c r="A276" s="112">
        <v>272</v>
      </c>
      <c r="B276" s="119" t="s">
        <v>71</v>
      </c>
      <c r="C276" s="139">
        <v>5000000</v>
      </c>
      <c r="D276" s="134">
        <v>2E-3</v>
      </c>
      <c r="E276" s="124">
        <v>2E-3</v>
      </c>
      <c r="F276" s="124">
        <f t="shared" si="4"/>
        <v>0.1</v>
      </c>
      <c r="G276" s="123">
        <v>1</v>
      </c>
      <c r="H276" s="124">
        <v>0.01</v>
      </c>
      <c r="J276" s="130">
        <f ca="1"/>
        <v>398.77611676745022</v>
      </c>
      <c r="K276" s="131">
        <f ca="1"/>
        <v>0.1000000000000002</v>
      </c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</row>
    <row r="277" spans="1:24" x14ac:dyDescent="0.25">
      <c r="A277" s="112">
        <v>273</v>
      </c>
      <c r="B277" s="119" t="s">
        <v>71</v>
      </c>
      <c r="C277" s="139">
        <v>5000000</v>
      </c>
      <c r="D277" s="134">
        <v>2E-3</v>
      </c>
      <c r="E277" s="124">
        <v>2E-3</v>
      </c>
      <c r="F277" s="124">
        <f t="shared" si="4"/>
        <v>0.1</v>
      </c>
      <c r="G277" s="123">
        <v>1</v>
      </c>
      <c r="H277" s="124">
        <v>0.01</v>
      </c>
      <c r="J277" s="130">
        <f ca="1"/>
        <v>398.77611676745022</v>
      </c>
      <c r="K277" s="131">
        <f ca="1"/>
        <v>0.1000000000000002</v>
      </c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</row>
    <row r="278" spans="1:24" x14ac:dyDescent="0.25">
      <c r="A278" s="112">
        <v>274</v>
      </c>
      <c r="B278" s="119" t="s">
        <v>71</v>
      </c>
      <c r="C278" s="139">
        <v>5000000</v>
      </c>
      <c r="D278" s="134">
        <v>2E-3</v>
      </c>
      <c r="E278" s="124">
        <v>2E-3</v>
      </c>
      <c r="F278" s="124">
        <f t="shared" si="4"/>
        <v>0.1</v>
      </c>
      <c r="G278" s="123">
        <v>1</v>
      </c>
      <c r="H278" s="124">
        <v>0.01</v>
      </c>
      <c r="J278" s="130">
        <f ca="1"/>
        <v>398.77611676745022</v>
      </c>
      <c r="K278" s="131">
        <f ca="1"/>
        <v>0.1000000000000002</v>
      </c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</row>
    <row r="279" spans="1:24" x14ac:dyDescent="0.25">
      <c r="A279" s="112">
        <v>275</v>
      </c>
      <c r="B279" s="119" t="s">
        <v>71</v>
      </c>
      <c r="C279" s="139">
        <v>5000000</v>
      </c>
      <c r="D279" s="134">
        <v>2E-3</v>
      </c>
      <c r="E279" s="124">
        <v>2E-3</v>
      </c>
      <c r="F279" s="124">
        <f t="shared" si="4"/>
        <v>0.1</v>
      </c>
      <c r="G279" s="123">
        <v>1</v>
      </c>
      <c r="H279" s="124">
        <v>0.01</v>
      </c>
      <c r="J279" s="130">
        <f ca="1"/>
        <v>398.77611676745022</v>
      </c>
      <c r="K279" s="131">
        <f ca="1"/>
        <v>0.1000000000000002</v>
      </c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</row>
    <row r="280" spans="1:24" x14ac:dyDescent="0.25">
      <c r="A280" s="112">
        <v>276</v>
      </c>
      <c r="B280" s="119" t="s">
        <v>71</v>
      </c>
      <c r="C280" s="139">
        <v>5000000</v>
      </c>
      <c r="D280" s="134">
        <v>2E-3</v>
      </c>
      <c r="E280" s="124">
        <v>2E-3</v>
      </c>
      <c r="F280" s="124">
        <f t="shared" si="4"/>
        <v>0.1</v>
      </c>
      <c r="G280" s="123">
        <v>1</v>
      </c>
      <c r="H280" s="124">
        <v>0.01</v>
      </c>
      <c r="J280" s="130">
        <f ca="1"/>
        <v>398.77611676745022</v>
      </c>
      <c r="K280" s="131">
        <f ca="1"/>
        <v>0.1000000000000002</v>
      </c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</row>
    <row r="281" spans="1:24" x14ac:dyDescent="0.25">
      <c r="A281" s="112">
        <v>277</v>
      </c>
      <c r="B281" s="119" t="s">
        <v>71</v>
      </c>
      <c r="C281" s="139">
        <v>5000000</v>
      </c>
      <c r="D281" s="134">
        <v>2E-3</v>
      </c>
      <c r="E281" s="124">
        <v>2E-3</v>
      </c>
      <c r="F281" s="124">
        <f t="shared" si="4"/>
        <v>0.1</v>
      </c>
      <c r="G281" s="123">
        <v>1</v>
      </c>
      <c r="H281" s="124">
        <v>0.01</v>
      </c>
      <c r="J281" s="130">
        <f ca="1"/>
        <v>398.77611676745022</v>
      </c>
      <c r="K281" s="131">
        <f ca="1"/>
        <v>0.1000000000000002</v>
      </c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</row>
    <row r="282" spans="1:24" x14ac:dyDescent="0.25">
      <c r="A282" s="112">
        <v>278</v>
      </c>
      <c r="B282" s="119" t="s">
        <v>71</v>
      </c>
      <c r="C282" s="139">
        <v>5000000</v>
      </c>
      <c r="D282" s="134">
        <v>2E-3</v>
      </c>
      <c r="E282" s="124">
        <v>2E-3</v>
      </c>
      <c r="F282" s="124">
        <f t="shared" si="4"/>
        <v>0.1</v>
      </c>
      <c r="G282" s="123">
        <v>1</v>
      </c>
      <c r="H282" s="124">
        <v>0.01</v>
      </c>
      <c r="J282" s="130">
        <f ca="1"/>
        <v>398.77611676745022</v>
      </c>
      <c r="K282" s="131">
        <f ca="1"/>
        <v>0.1000000000000002</v>
      </c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</row>
    <row r="283" spans="1:24" x14ac:dyDescent="0.25">
      <c r="A283" s="112">
        <v>279</v>
      </c>
      <c r="B283" s="119" t="s">
        <v>71</v>
      </c>
      <c r="C283" s="139">
        <v>5000000</v>
      </c>
      <c r="D283" s="134">
        <v>2E-3</v>
      </c>
      <c r="E283" s="124">
        <v>2E-3</v>
      </c>
      <c r="F283" s="124">
        <f t="shared" si="4"/>
        <v>0.1</v>
      </c>
      <c r="G283" s="123">
        <v>1</v>
      </c>
      <c r="H283" s="124">
        <v>0.01</v>
      </c>
      <c r="J283" s="130">
        <f ca="1"/>
        <v>398.77611676745022</v>
      </c>
      <c r="K283" s="131">
        <f ca="1"/>
        <v>0.1000000000000002</v>
      </c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</row>
    <row r="284" spans="1:24" x14ac:dyDescent="0.25">
      <c r="A284" s="112">
        <v>280</v>
      </c>
      <c r="B284" s="119" t="s">
        <v>71</v>
      </c>
      <c r="C284" s="139">
        <v>5000000</v>
      </c>
      <c r="D284" s="134">
        <v>2E-3</v>
      </c>
      <c r="E284" s="124">
        <v>2E-3</v>
      </c>
      <c r="F284" s="124">
        <f t="shared" si="4"/>
        <v>0.1</v>
      </c>
      <c r="G284" s="123">
        <v>1</v>
      </c>
      <c r="H284" s="124">
        <v>0.01</v>
      </c>
      <c r="J284" s="130">
        <f ca="1"/>
        <v>398.77611676745022</v>
      </c>
      <c r="K284" s="131">
        <f ca="1"/>
        <v>0.1000000000000002</v>
      </c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</row>
    <row r="285" spans="1:24" x14ac:dyDescent="0.25">
      <c r="A285" s="112">
        <v>281</v>
      </c>
      <c r="B285" s="119" t="s">
        <v>71</v>
      </c>
      <c r="C285" s="139">
        <v>5000000</v>
      </c>
      <c r="D285" s="134">
        <v>2E-3</v>
      </c>
      <c r="E285" s="124">
        <v>2E-3</v>
      </c>
      <c r="F285" s="124">
        <f t="shared" si="4"/>
        <v>0.1</v>
      </c>
      <c r="G285" s="123">
        <v>1</v>
      </c>
      <c r="H285" s="124">
        <v>0.01</v>
      </c>
      <c r="J285" s="130">
        <f ca="1"/>
        <v>398.77611676745022</v>
      </c>
      <c r="K285" s="131">
        <f ca="1"/>
        <v>0.1000000000000002</v>
      </c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</row>
    <row r="286" spans="1:24" x14ac:dyDescent="0.25">
      <c r="A286" s="112">
        <v>282</v>
      </c>
      <c r="B286" s="119" t="s">
        <v>71</v>
      </c>
      <c r="C286" s="139">
        <v>5000000</v>
      </c>
      <c r="D286" s="134">
        <v>2E-3</v>
      </c>
      <c r="E286" s="124">
        <v>2E-3</v>
      </c>
      <c r="F286" s="124">
        <f t="shared" si="4"/>
        <v>0.1</v>
      </c>
      <c r="G286" s="123">
        <v>1</v>
      </c>
      <c r="H286" s="124">
        <v>0.01</v>
      </c>
      <c r="J286" s="130">
        <f ca="1"/>
        <v>398.77611676745022</v>
      </c>
      <c r="K286" s="131">
        <f ca="1"/>
        <v>0.1000000000000002</v>
      </c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</row>
    <row r="287" spans="1:24" x14ac:dyDescent="0.25">
      <c r="A287" s="112">
        <v>283</v>
      </c>
      <c r="B287" s="119" t="s">
        <v>71</v>
      </c>
      <c r="C287" s="139">
        <v>5000000</v>
      </c>
      <c r="D287" s="134">
        <v>2E-3</v>
      </c>
      <c r="E287" s="124">
        <v>2E-3</v>
      </c>
      <c r="F287" s="124">
        <f t="shared" si="4"/>
        <v>0.1</v>
      </c>
      <c r="G287" s="123">
        <v>1</v>
      </c>
      <c r="H287" s="124">
        <v>0.01</v>
      </c>
      <c r="J287" s="130">
        <f ca="1"/>
        <v>398.77611676745022</v>
      </c>
      <c r="K287" s="131">
        <f ca="1"/>
        <v>0.1000000000000002</v>
      </c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</row>
    <row r="288" spans="1:24" x14ac:dyDescent="0.25">
      <c r="A288" s="112">
        <v>284</v>
      </c>
      <c r="B288" s="119" t="s">
        <v>71</v>
      </c>
      <c r="C288" s="139">
        <v>5000000</v>
      </c>
      <c r="D288" s="134">
        <v>2E-3</v>
      </c>
      <c r="E288" s="124">
        <v>2E-3</v>
      </c>
      <c r="F288" s="124">
        <f t="shared" si="4"/>
        <v>0.1</v>
      </c>
      <c r="G288" s="123">
        <v>1</v>
      </c>
      <c r="H288" s="124">
        <v>0.01</v>
      </c>
      <c r="J288" s="130">
        <f ca="1"/>
        <v>398.77611676745022</v>
      </c>
      <c r="K288" s="131">
        <f ca="1"/>
        <v>0.1000000000000002</v>
      </c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</row>
    <row r="289" spans="1:24" x14ac:dyDescent="0.25">
      <c r="A289" s="112">
        <v>285</v>
      </c>
      <c r="B289" s="119" t="s">
        <v>71</v>
      </c>
      <c r="C289" s="139">
        <v>5000000</v>
      </c>
      <c r="D289" s="134">
        <v>2E-3</v>
      </c>
      <c r="E289" s="124">
        <v>2E-3</v>
      </c>
      <c r="F289" s="124">
        <f t="shared" si="4"/>
        <v>0.1</v>
      </c>
      <c r="G289" s="123">
        <v>1</v>
      </c>
      <c r="H289" s="124">
        <v>0.01</v>
      </c>
      <c r="J289" s="130">
        <f ca="1"/>
        <v>398.77611676745022</v>
      </c>
      <c r="K289" s="131">
        <f ca="1"/>
        <v>0.1000000000000002</v>
      </c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</row>
    <row r="290" spans="1:24" x14ac:dyDescent="0.25">
      <c r="A290" s="112">
        <v>286</v>
      </c>
      <c r="B290" s="119" t="s">
        <v>71</v>
      </c>
      <c r="C290" s="139">
        <v>5000000</v>
      </c>
      <c r="D290" s="134">
        <v>2E-3</v>
      </c>
      <c r="E290" s="124">
        <v>2E-3</v>
      </c>
      <c r="F290" s="124">
        <f t="shared" si="4"/>
        <v>0.1</v>
      </c>
      <c r="G290" s="123">
        <v>1</v>
      </c>
      <c r="H290" s="124">
        <v>0.01</v>
      </c>
      <c r="J290" s="130">
        <f ca="1"/>
        <v>398.77611676745022</v>
      </c>
      <c r="K290" s="131">
        <f ca="1"/>
        <v>0.1000000000000002</v>
      </c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</row>
    <row r="291" spans="1:24" x14ac:dyDescent="0.25">
      <c r="A291" s="112">
        <v>287</v>
      </c>
      <c r="B291" s="119" t="s">
        <v>71</v>
      </c>
      <c r="C291" s="139">
        <v>5000000</v>
      </c>
      <c r="D291" s="134">
        <v>2E-3</v>
      </c>
      <c r="E291" s="124">
        <v>2E-3</v>
      </c>
      <c r="F291" s="124">
        <f t="shared" si="4"/>
        <v>0.1</v>
      </c>
      <c r="G291" s="123">
        <v>1</v>
      </c>
      <c r="H291" s="124">
        <v>0.01</v>
      </c>
      <c r="J291" s="130">
        <f ca="1"/>
        <v>398.77611676745022</v>
      </c>
      <c r="K291" s="131">
        <f ca="1"/>
        <v>0.1000000000000002</v>
      </c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</row>
    <row r="292" spans="1:24" x14ac:dyDescent="0.25">
      <c r="A292" s="112">
        <v>288</v>
      </c>
      <c r="B292" s="119" t="s">
        <v>71</v>
      </c>
      <c r="C292" s="139">
        <v>5000000</v>
      </c>
      <c r="D292" s="134">
        <v>2E-3</v>
      </c>
      <c r="E292" s="124">
        <v>2E-3</v>
      </c>
      <c r="F292" s="124">
        <f t="shared" si="4"/>
        <v>0.1</v>
      </c>
      <c r="G292" s="123">
        <v>1</v>
      </c>
      <c r="H292" s="124">
        <v>0.01</v>
      </c>
      <c r="J292" s="130">
        <f ca="1"/>
        <v>398.77611676745022</v>
      </c>
      <c r="K292" s="131">
        <f ca="1"/>
        <v>0.1000000000000002</v>
      </c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</row>
    <row r="293" spans="1:24" x14ac:dyDescent="0.25">
      <c r="A293" s="112">
        <v>289</v>
      </c>
      <c r="B293" s="119" t="s">
        <v>71</v>
      </c>
      <c r="C293" s="139">
        <v>5000000</v>
      </c>
      <c r="D293" s="134">
        <v>2E-3</v>
      </c>
      <c r="E293" s="124">
        <v>2E-3</v>
      </c>
      <c r="F293" s="124">
        <f t="shared" si="4"/>
        <v>0.1</v>
      </c>
      <c r="G293" s="123">
        <v>1</v>
      </c>
      <c r="H293" s="124">
        <v>0.01</v>
      </c>
      <c r="J293" s="130">
        <f ca="1"/>
        <v>398.77611676745022</v>
      </c>
      <c r="K293" s="131">
        <f ca="1"/>
        <v>0.1000000000000002</v>
      </c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</row>
    <row r="294" spans="1:24" x14ac:dyDescent="0.25">
      <c r="A294" s="112">
        <v>290</v>
      </c>
      <c r="B294" s="119" t="s">
        <v>71</v>
      </c>
      <c r="C294" s="139">
        <v>5000000</v>
      </c>
      <c r="D294" s="134">
        <v>2E-3</v>
      </c>
      <c r="E294" s="124">
        <v>2E-3</v>
      </c>
      <c r="F294" s="124">
        <f t="shared" si="4"/>
        <v>0.1</v>
      </c>
      <c r="G294" s="123">
        <v>1</v>
      </c>
      <c r="H294" s="124">
        <v>0.01</v>
      </c>
      <c r="J294" s="130">
        <f ca="1"/>
        <v>398.77611676745022</v>
      </c>
      <c r="K294" s="131">
        <f ca="1"/>
        <v>0.1000000000000002</v>
      </c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</row>
    <row r="295" spans="1:24" x14ac:dyDescent="0.25">
      <c r="A295" s="112">
        <v>291</v>
      </c>
      <c r="B295" s="119" t="s">
        <v>71</v>
      </c>
      <c r="C295" s="139">
        <v>5000000</v>
      </c>
      <c r="D295" s="134">
        <v>2E-3</v>
      </c>
      <c r="E295" s="124">
        <v>2E-3</v>
      </c>
      <c r="F295" s="124">
        <f t="shared" si="4"/>
        <v>0.1</v>
      </c>
      <c r="G295" s="123">
        <v>1</v>
      </c>
      <c r="H295" s="124">
        <v>0.01</v>
      </c>
      <c r="J295" s="130">
        <f ca="1"/>
        <v>398.77611676745022</v>
      </c>
      <c r="K295" s="131">
        <f ca="1"/>
        <v>0.1000000000000002</v>
      </c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</row>
    <row r="296" spans="1:24" x14ac:dyDescent="0.25">
      <c r="A296" s="112">
        <v>292</v>
      </c>
      <c r="B296" s="119" t="s">
        <v>71</v>
      </c>
      <c r="C296" s="139">
        <v>5000000</v>
      </c>
      <c r="D296" s="134">
        <v>2E-3</v>
      </c>
      <c r="E296" s="124">
        <v>2E-3</v>
      </c>
      <c r="F296" s="124">
        <f t="shared" si="4"/>
        <v>0.1</v>
      </c>
      <c r="G296" s="123">
        <v>1</v>
      </c>
      <c r="H296" s="124">
        <v>0.01</v>
      </c>
      <c r="J296" s="130">
        <f ca="1"/>
        <v>398.77611676745022</v>
      </c>
      <c r="K296" s="131">
        <f ca="1"/>
        <v>0.1000000000000002</v>
      </c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</row>
    <row r="297" spans="1:24" x14ac:dyDescent="0.25">
      <c r="A297" s="112">
        <v>293</v>
      </c>
      <c r="B297" s="119" t="s">
        <v>71</v>
      </c>
      <c r="C297" s="139">
        <v>5000000</v>
      </c>
      <c r="D297" s="134">
        <v>2E-3</v>
      </c>
      <c r="E297" s="124">
        <v>2E-3</v>
      </c>
      <c r="F297" s="124">
        <f t="shared" si="4"/>
        <v>0.1</v>
      </c>
      <c r="G297" s="123">
        <v>1</v>
      </c>
      <c r="H297" s="124">
        <v>0.01</v>
      </c>
      <c r="J297" s="130">
        <f ca="1"/>
        <v>398.77611676745022</v>
      </c>
      <c r="K297" s="131">
        <f ca="1"/>
        <v>0.1000000000000002</v>
      </c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</row>
    <row r="298" spans="1:24" x14ac:dyDescent="0.25">
      <c r="A298" s="112">
        <v>294</v>
      </c>
      <c r="B298" s="119" t="s">
        <v>71</v>
      </c>
      <c r="C298" s="139">
        <v>5000000</v>
      </c>
      <c r="D298" s="134">
        <v>2E-3</v>
      </c>
      <c r="E298" s="124">
        <v>2E-3</v>
      </c>
      <c r="F298" s="124">
        <f t="shared" si="4"/>
        <v>0.1</v>
      </c>
      <c r="G298" s="123">
        <v>1</v>
      </c>
      <c r="H298" s="124">
        <v>0.01</v>
      </c>
      <c r="J298" s="130">
        <f ca="1"/>
        <v>398.77611676745022</v>
      </c>
      <c r="K298" s="131">
        <f ca="1"/>
        <v>0.1000000000000002</v>
      </c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</row>
    <row r="299" spans="1:24" x14ac:dyDescent="0.25">
      <c r="A299" s="112">
        <v>295</v>
      </c>
      <c r="B299" s="119" t="s">
        <v>71</v>
      </c>
      <c r="C299" s="139">
        <v>5000000</v>
      </c>
      <c r="D299" s="134">
        <v>2E-3</v>
      </c>
      <c r="E299" s="124">
        <v>2E-3</v>
      </c>
      <c r="F299" s="124">
        <f t="shared" si="4"/>
        <v>0.1</v>
      </c>
      <c r="G299" s="123">
        <v>1</v>
      </c>
      <c r="H299" s="124">
        <v>0.01</v>
      </c>
      <c r="J299" s="130">
        <f ca="1"/>
        <v>398.77611676745022</v>
      </c>
      <c r="K299" s="131">
        <f ca="1"/>
        <v>0.1000000000000002</v>
      </c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</row>
    <row r="300" spans="1:24" x14ac:dyDescent="0.25">
      <c r="A300" s="112">
        <v>296</v>
      </c>
      <c r="B300" s="119" t="s">
        <v>71</v>
      </c>
      <c r="C300" s="139">
        <v>5000000</v>
      </c>
      <c r="D300" s="134">
        <v>2E-3</v>
      </c>
      <c r="E300" s="124">
        <v>2E-3</v>
      </c>
      <c r="F300" s="124">
        <f t="shared" si="4"/>
        <v>0.1</v>
      </c>
      <c r="G300" s="123">
        <v>1</v>
      </c>
      <c r="H300" s="124">
        <v>0.01</v>
      </c>
      <c r="J300" s="130">
        <f ca="1"/>
        <v>398.77611676745022</v>
      </c>
      <c r="K300" s="131">
        <f ca="1"/>
        <v>0.1000000000000002</v>
      </c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</row>
    <row r="301" spans="1:24" x14ac:dyDescent="0.25">
      <c r="A301" s="112">
        <v>297</v>
      </c>
      <c r="B301" s="119" t="s">
        <v>71</v>
      </c>
      <c r="C301" s="139">
        <v>5000000</v>
      </c>
      <c r="D301" s="134">
        <v>2E-3</v>
      </c>
      <c r="E301" s="124">
        <v>2E-3</v>
      </c>
      <c r="F301" s="124">
        <f t="shared" si="4"/>
        <v>0.1</v>
      </c>
      <c r="G301" s="123">
        <v>1</v>
      </c>
      <c r="H301" s="124">
        <v>0.01</v>
      </c>
      <c r="J301" s="130">
        <f ca="1"/>
        <v>398.77611676745022</v>
      </c>
      <c r="K301" s="131">
        <f ca="1"/>
        <v>0.1000000000000002</v>
      </c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</row>
    <row r="302" spans="1:24" x14ac:dyDescent="0.25">
      <c r="A302" s="112">
        <v>298</v>
      </c>
      <c r="B302" s="119" t="s">
        <v>71</v>
      </c>
      <c r="C302" s="139">
        <v>5000000</v>
      </c>
      <c r="D302" s="134">
        <v>2E-3</v>
      </c>
      <c r="E302" s="124">
        <v>2E-3</v>
      </c>
      <c r="F302" s="124">
        <f t="shared" si="4"/>
        <v>0.1</v>
      </c>
      <c r="G302" s="123">
        <v>1</v>
      </c>
      <c r="H302" s="124">
        <v>0.01</v>
      </c>
      <c r="J302" s="130">
        <f ca="1"/>
        <v>398.77611676745022</v>
      </c>
      <c r="K302" s="131">
        <f ca="1"/>
        <v>0.1000000000000002</v>
      </c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</row>
    <row r="303" spans="1:24" x14ac:dyDescent="0.25">
      <c r="A303" s="112">
        <v>299</v>
      </c>
      <c r="B303" s="119" t="s">
        <v>71</v>
      </c>
      <c r="C303" s="139">
        <v>5000000</v>
      </c>
      <c r="D303" s="134">
        <v>2E-3</v>
      </c>
      <c r="E303" s="124">
        <v>2E-3</v>
      </c>
      <c r="F303" s="124">
        <f t="shared" si="4"/>
        <v>0.1</v>
      </c>
      <c r="G303" s="123">
        <v>1</v>
      </c>
      <c r="H303" s="124">
        <v>0.01</v>
      </c>
      <c r="J303" s="130">
        <f ca="1"/>
        <v>398.77611676745022</v>
      </c>
      <c r="K303" s="131">
        <f ca="1"/>
        <v>0.1000000000000002</v>
      </c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</row>
    <row r="304" spans="1:24" x14ac:dyDescent="0.25">
      <c r="A304" s="112">
        <v>300</v>
      </c>
      <c r="B304" s="119" t="s">
        <v>71</v>
      </c>
      <c r="C304" s="139">
        <v>5000000</v>
      </c>
      <c r="D304" s="134">
        <v>2E-3</v>
      </c>
      <c r="E304" s="124">
        <v>2E-3</v>
      </c>
      <c r="F304" s="124">
        <f t="shared" si="4"/>
        <v>0.1</v>
      </c>
      <c r="G304" s="123">
        <v>1</v>
      </c>
      <c r="H304" s="124">
        <v>0.01</v>
      </c>
      <c r="J304" s="130">
        <f ca="1"/>
        <v>398.77611676745022</v>
      </c>
      <c r="K304" s="131">
        <f ca="1"/>
        <v>0.1000000000000002</v>
      </c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</row>
    <row r="305" spans="1:24" x14ac:dyDescent="0.25">
      <c r="A305" s="112">
        <v>301</v>
      </c>
      <c r="B305" s="119" t="s">
        <v>71</v>
      </c>
      <c r="C305" s="139">
        <v>5000000</v>
      </c>
      <c r="D305" s="134">
        <v>2E-3</v>
      </c>
      <c r="E305" s="124">
        <v>2E-3</v>
      </c>
      <c r="F305" s="124">
        <f t="shared" si="4"/>
        <v>0.1</v>
      </c>
      <c r="G305" s="123">
        <v>1</v>
      </c>
      <c r="H305" s="124">
        <v>0.01</v>
      </c>
      <c r="J305" s="130">
        <f ca="1"/>
        <v>398.77611676745022</v>
      </c>
      <c r="K305" s="131">
        <f ca="1"/>
        <v>0.1000000000000002</v>
      </c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</row>
    <row r="306" spans="1:24" x14ac:dyDescent="0.25">
      <c r="A306" s="112">
        <v>302</v>
      </c>
      <c r="B306" s="119" t="s">
        <v>71</v>
      </c>
      <c r="C306" s="139">
        <v>5000000</v>
      </c>
      <c r="D306" s="134">
        <v>2E-3</v>
      </c>
      <c r="E306" s="124">
        <v>2E-3</v>
      </c>
      <c r="F306" s="124">
        <f t="shared" si="4"/>
        <v>0.1</v>
      </c>
      <c r="G306" s="123">
        <v>1</v>
      </c>
      <c r="H306" s="124">
        <v>0.01</v>
      </c>
      <c r="J306" s="130">
        <f ca="1"/>
        <v>398.77611676745022</v>
      </c>
      <c r="K306" s="131">
        <f ca="1"/>
        <v>0.1000000000000002</v>
      </c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</row>
    <row r="307" spans="1:24" x14ac:dyDescent="0.25">
      <c r="A307" s="112">
        <v>303</v>
      </c>
      <c r="B307" s="119" t="s">
        <v>71</v>
      </c>
      <c r="C307" s="139">
        <v>5000000</v>
      </c>
      <c r="D307" s="134">
        <v>2E-3</v>
      </c>
      <c r="E307" s="124">
        <v>2E-3</v>
      </c>
      <c r="F307" s="124">
        <f t="shared" si="4"/>
        <v>0.1</v>
      </c>
      <c r="G307" s="123">
        <v>1</v>
      </c>
      <c r="H307" s="124">
        <v>0.01</v>
      </c>
      <c r="J307" s="130">
        <f ca="1"/>
        <v>398.77611676745022</v>
      </c>
      <c r="K307" s="131">
        <f ca="1"/>
        <v>0.1000000000000002</v>
      </c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</row>
    <row r="308" spans="1:24" x14ac:dyDescent="0.25">
      <c r="A308" s="112">
        <v>304</v>
      </c>
      <c r="B308" s="119" t="s">
        <v>71</v>
      </c>
      <c r="C308" s="139">
        <v>5000000</v>
      </c>
      <c r="D308" s="134">
        <v>2E-3</v>
      </c>
      <c r="E308" s="124">
        <v>2E-3</v>
      </c>
      <c r="F308" s="124">
        <f t="shared" si="4"/>
        <v>0.1</v>
      </c>
      <c r="G308" s="123">
        <v>1</v>
      </c>
      <c r="H308" s="124">
        <v>0.01</v>
      </c>
      <c r="J308" s="130">
        <f ca="1"/>
        <v>398.77611676745022</v>
      </c>
      <c r="K308" s="131">
        <f ca="1"/>
        <v>0.1000000000000002</v>
      </c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</row>
    <row r="309" spans="1:24" x14ac:dyDescent="0.25">
      <c r="A309" s="112">
        <v>305</v>
      </c>
      <c r="B309" s="119" t="s">
        <v>71</v>
      </c>
      <c r="C309" s="139">
        <v>5000000</v>
      </c>
      <c r="D309" s="134">
        <v>2E-3</v>
      </c>
      <c r="E309" s="124">
        <v>2E-3</v>
      </c>
      <c r="F309" s="124">
        <f t="shared" si="4"/>
        <v>0.1</v>
      </c>
      <c r="G309" s="123">
        <v>1</v>
      </c>
      <c r="H309" s="124">
        <v>0.01</v>
      </c>
      <c r="J309" s="130">
        <f ca="1"/>
        <v>398.77611676745022</v>
      </c>
      <c r="K309" s="131">
        <f ca="1"/>
        <v>0.1000000000000002</v>
      </c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</row>
    <row r="310" spans="1:24" x14ac:dyDescent="0.25">
      <c r="A310" s="112">
        <v>306</v>
      </c>
      <c r="B310" s="119" t="s">
        <v>71</v>
      </c>
      <c r="C310" s="139">
        <v>5000000</v>
      </c>
      <c r="D310" s="134">
        <v>2E-3</v>
      </c>
      <c r="E310" s="124">
        <v>2E-3</v>
      </c>
      <c r="F310" s="124">
        <f t="shared" si="4"/>
        <v>0.1</v>
      </c>
      <c r="G310" s="123">
        <v>1</v>
      </c>
      <c r="H310" s="124">
        <v>0.01</v>
      </c>
      <c r="J310" s="130">
        <f ca="1"/>
        <v>398.77611676745022</v>
      </c>
      <c r="K310" s="131">
        <f ca="1"/>
        <v>0.1000000000000002</v>
      </c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</row>
    <row r="311" spans="1:24" x14ac:dyDescent="0.25">
      <c r="A311" s="112">
        <v>307</v>
      </c>
      <c r="B311" s="119" t="s">
        <v>71</v>
      </c>
      <c r="C311" s="139">
        <v>5000000</v>
      </c>
      <c r="D311" s="134">
        <v>2E-3</v>
      </c>
      <c r="E311" s="124">
        <v>2E-3</v>
      </c>
      <c r="F311" s="124">
        <f t="shared" si="4"/>
        <v>0.1</v>
      </c>
      <c r="G311" s="123">
        <v>1</v>
      </c>
      <c r="H311" s="124">
        <v>0.01</v>
      </c>
      <c r="J311" s="130">
        <f ca="1"/>
        <v>398.77611676745022</v>
      </c>
      <c r="K311" s="131">
        <f ca="1"/>
        <v>0.1000000000000002</v>
      </c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</row>
    <row r="312" spans="1:24" x14ac:dyDescent="0.25">
      <c r="A312" s="112">
        <v>308</v>
      </c>
      <c r="B312" s="119" t="s">
        <v>71</v>
      </c>
      <c r="C312" s="139">
        <v>5000000</v>
      </c>
      <c r="D312" s="134">
        <v>2E-3</v>
      </c>
      <c r="E312" s="124">
        <v>2E-3</v>
      </c>
      <c r="F312" s="124">
        <f t="shared" si="4"/>
        <v>0.1</v>
      </c>
      <c r="G312" s="123">
        <v>1</v>
      </c>
      <c r="H312" s="124">
        <v>0.01</v>
      </c>
      <c r="J312" s="130">
        <f ca="1"/>
        <v>398.77611676745022</v>
      </c>
      <c r="K312" s="131">
        <f ca="1"/>
        <v>0.1000000000000002</v>
      </c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</row>
    <row r="313" spans="1:24" x14ac:dyDescent="0.25">
      <c r="A313" s="112">
        <v>309</v>
      </c>
      <c r="B313" s="119" t="s">
        <v>71</v>
      </c>
      <c r="C313" s="139">
        <v>5000000</v>
      </c>
      <c r="D313" s="134">
        <v>2E-3</v>
      </c>
      <c r="E313" s="124">
        <v>2E-3</v>
      </c>
      <c r="F313" s="124">
        <f t="shared" si="4"/>
        <v>0.1</v>
      </c>
      <c r="G313" s="123">
        <v>1</v>
      </c>
      <c r="H313" s="124">
        <v>0.01</v>
      </c>
      <c r="J313" s="130">
        <f ca="1"/>
        <v>398.77611676745022</v>
      </c>
      <c r="K313" s="131">
        <f ca="1"/>
        <v>0.1000000000000002</v>
      </c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</row>
    <row r="314" spans="1:24" x14ac:dyDescent="0.25">
      <c r="A314" s="112">
        <v>310</v>
      </c>
      <c r="B314" s="119" t="s">
        <v>71</v>
      </c>
      <c r="C314" s="139">
        <v>5000000</v>
      </c>
      <c r="D314" s="134">
        <v>2E-3</v>
      </c>
      <c r="E314" s="124">
        <v>2E-3</v>
      </c>
      <c r="F314" s="124">
        <f t="shared" si="4"/>
        <v>0.1</v>
      </c>
      <c r="G314" s="123">
        <v>1</v>
      </c>
      <c r="H314" s="124">
        <v>0.01</v>
      </c>
      <c r="J314" s="130">
        <f ca="1"/>
        <v>398.77611676745022</v>
      </c>
      <c r="K314" s="131">
        <f ca="1"/>
        <v>0.1000000000000002</v>
      </c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</row>
    <row r="315" spans="1:24" x14ac:dyDescent="0.25">
      <c r="A315" s="112">
        <v>311</v>
      </c>
      <c r="B315" s="119" t="s">
        <v>71</v>
      </c>
      <c r="C315" s="139">
        <v>5000000</v>
      </c>
      <c r="D315" s="134">
        <v>2E-3</v>
      </c>
      <c r="E315" s="124">
        <v>2E-3</v>
      </c>
      <c r="F315" s="124">
        <f t="shared" si="4"/>
        <v>0.1</v>
      </c>
      <c r="G315" s="123">
        <v>1</v>
      </c>
      <c r="H315" s="124">
        <v>0.01</v>
      </c>
      <c r="J315" s="130">
        <f ca="1"/>
        <v>398.77611676745022</v>
      </c>
      <c r="K315" s="131">
        <f ca="1"/>
        <v>0.1000000000000002</v>
      </c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</row>
    <row r="316" spans="1:24" x14ac:dyDescent="0.25">
      <c r="A316" s="112">
        <v>312</v>
      </c>
      <c r="B316" s="119" t="s">
        <v>71</v>
      </c>
      <c r="C316" s="139">
        <v>5000000</v>
      </c>
      <c r="D316" s="134">
        <v>2E-3</v>
      </c>
      <c r="E316" s="124">
        <v>2E-3</v>
      </c>
      <c r="F316" s="124">
        <f t="shared" si="4"/>
        <v>0.1</v>
      </c>
      <c r="G316" s="123">
        <v>1</v>
      </c>
      <c r="H316" s="124">
        <v>0.01</v>
      </c>
      <c r="J316" s="130">
        <f ca="1"/>
        <v>398.77611676745022</v>
      </c>
      <c r="K316" s="131">
        <f ca="1"/>
        <v>0.1000000000000002</v>
      </c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</row>
    <row r="317" spans="1:24" x14ac:dyDescent="0.25">
      <c r="A317" s="112">
        <v>313</v>
      </c>
      <c r="B317" s="119" t="s">
        <v>71</v>
      </c>
      <c r="C317" s="139">
        <v>5000000</v>
      </c>
      <c r="D317" s="134">
        <v>2E-3</v>
      </c>
      <c r="E317" s="124">
        <v>2E-3</v>
      </c>
      <c r="F317" s="124">
        <f t="shared" si="4"/>
        <v>0.1</v>
      </c>
      <c r="G317" s="123">
        <v>1</v>
      </c>
      <c r="H317" s="124">
        <v>0.01</v>
      </c>
      <c r="J317" s="130">
        <f ca="1"/>
        <v>398.77611676745022</v>
      </c>
      <c r="K317" s="131">
        <f ca="1"/>
        <v>0.1000000000000002</v>
      </c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</row>
    <row r="318" spans="1:24" x14ac:dyDescent="0.25">
      <c r="A318" s="112">
        <v>314</v>
      </c>
      <c r="B318" s="119" t="s">
        <v>71</v>
      </c>
      <c r="C318" s="139">
        <v>5000000</v>
      </c>
      <c r="D318" s="134">
        <v>2E-3</v>
      </c>
      <c r="E318" s="124">
        <v>2E-3</v>
      </c>
      <c r="F318" s="124">
        <f t="shared" si="4"/>
        <v>0.1</v>
      </c>
      <c r="G318" s="123">
        <v>1</v>
      </c>
      <c r="H318" s="124">
        <v>0.01</v>
      </c>
      <c r="J318" s="130">
        <f ca="1"/>
        <v>398.77611676745022</v>
      </c>
      <c r="K318" s="131">
        <f ca="1"/>
        <v>0.1000000000000002</v>
      </c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</row>
    <row r="319" spans="1:24" x14ac:dyDescent="0.25">
      <c r="A319" s="112">
        <v>315</v>
      </c>
      <c r="B319" s="119" t="s">
        <v>71</v>
      </c>
      <c r="C319" s="139">
        <v>5000000</v>
      </c>
      <c r="D319" s="134">
        <v>2E-3</v>
      </c>
      <c r="E319" s="124">
        <v>2E-3</v>
      </c>
      <c r="F319" s="124">
        <f t="shared" si="4"/>
        <v>0.1</v>
      </c>
      <c r="G319" s="123">
        <v>1</v>
      </c>
      <c r="H319" s="124">
        <v>0.01</v>
      </c>
      <c r="J319" s="130">
        <f ca="1"/>
        <v>398.77611676745022</v>
      </c>
      <c r="K319" s="131">
        <f ca="1"/>
        <v>0.1000000000000002</v>
      </c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</row>
    <row r="320" spans="1:24" x14ac:dyDescent="0.25">
      <c r="A320" s="112">
        <v>316</v>
      </c>
      <c r="B320" s="119" t="s">
        <v>71</v>
      </c>
      <c r="C320" s="139">
        <v>5000000</v>
      </c>
      <c r="D320" s="134">
        <v>2E-3</v>
      </c>
      <c r="E320" s="124">
        <v>2E-3</v>
      </c>
      <c r="F320" s="124">
        <f t="shared" si="4"/>
        <v>0.1</v>
      </c>
      <c r="G320" s="123">
        <v>1</v>
      </c>
      <c r="H320" s="124">
        <v>0.01</v>
      </c>
      <c r="J320" s="130">
        <f ca="1"/>
        <v>398.77611676745022</v>
      </c>
      <c r="K320" s="131">
        <f ca="1"/>
        <v>0.1000000000000002</v>
      </c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</row>
    <row r="321" spans="1:24" x14ac:dyDescent="0.25">
      <c r="A321" s="112">
        <v>317</v>
      </c>
      <c r="B321" s="119" t="s">
        <v>71</v>
      </c>
      <c r="C321" s="139">
        <v>5000000</v>
      </c>
      <c r="D321" s="134">
        <v>2E-3</v>
      </c>
      <c r="E321" s="124">
        <v>2E-3</v>
      </c>
      <c r="F321" s="124">
        <f t="shared" si="4"/>
        <v>0.1</v>
      </c>
      <c r="G321" s="123">
        <v>1</v>
      </c>
      <c r="H321" s="124">
        <v>0.01</v>
      </c>
      <c r="J321" s="130">
        <f ca="1"/>
        <v>398.77611676745022</v>
      </c>
      <c r="K321" s="131">
        <f ca="1"/>
        <v>0.1000000000000002</v>
      </c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</row>
    <row r="322" spans="1:24" x14ac:dyDescent="0.25">
      <c r="A322" s="112">
        <v>318</v>
      </c>
      <c r="B322" s="119" t="s">
        <v>71</v>
      </c>
      <c r="C322" s="139">
        <v>5000000</v>
      </c>
      <c r="D322" s="134">
        <v>2E-3</v>
      </c>
      <c r="E322" s="124">
        <v>2E-3</v>
      </c>
      <c r="F322" s="124">
        <f t="shared" si="4"/>
        <v>0.1</v>
      </c>
      <c r="G322" s="123">
        <v>1</v>
      </c>
      <c r="H322" s="124">
        <v>0.01</v>
      </c>
      <c r="J322" s="130">
        <f ca="1"/>
        <v>398.77611676745022</v>
      </c>
      <c r="K322" s="131">
        <f ca="1"/>
        <v>0.1000000000000002</v>
      </c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</row>
    <row r="323" spans="1:24" x14ac:dyDescent="0.25">
      <c r="A323" s="112">
        <v>319</v>
      </c>
      <c r="B323" s="119" t="s">
        <v>71</v>
      </c>
      <c r="C323" s="139">
        <v>5000000</v>
      </c>
      <c r="D323" s="134">
        <v>2E-3</v>
      </c>
      <c r="E323" s="124">
        <v>2E-3</v>
      </c>
      <c r="F323" s="124">
        <f t="shared" si="4"/>
        <v>0.1</v>
      </c>
      <c r="G323" s="123">
        <v>1</v>
      </c>
      <c r="H323" s="124">
        <v>0.01</v>
      </c>
      <c r="J323" s="130">
        <f ca="1"/>
        <v>398.77611676745022</v>
      </c>
      <c r="K323" s="131">
        <f ca="1"/>
        <v>0.1000000000000002</v>
      </c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</row>
    <row r="324" spans="1:24" x14ac:dyDescent="0.25">
      <c r="A324" s="112">
        <v>320</v>
      </c>
      <c r="B324" s="119" t="s">
        <v>71</v>
      </c>
      <c r="C324" s="139">
        <v>5000000</v>
      </c>
      <c r="D324" s="134">
        <v>2E-3</v>
      </c>
      <c r="E324" s="124">
        <v>2E-3</v>
      </c>
      <c r="F324" s="124">
        <f t="shared" si="4"/>
        <v>0.1</v>
      </c>
      <c r="G324" s="123">
        <v>1</v>
      </c>
      <c r="H324" s="124">
        <v>0.01</v>
      </c>
      <c r="J324" s="130">
        <f ca="1"/>
        <v>398.77611676745022</v>
      </c>
      <c r="K324" s="131">
        <f ca="1"/>
        <v>0.1000000000000002</v>
      </c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</row>
    <row r="325" spans="1:24" x14ac:dyDescent="0.25">
      <c r="A325" s="112">
        <v>321</v>
      </c>
      <c r="B325" s="119" t="s">
        <v>71</v>
      </c>
      <c r="C325" s="139">
        <v>5000000</v>
      </c>
      <c r="D325" s="134">
        <v>2E-3</v>
      </c>
      <c r="E325" s="124">
        <v>2E-3</v>
      </c>
      <c r="F325" s="124">
        <f t="shared" ref="F325:F388" si="5">$F$2</f>
        <v>0.1</v>
      </c>
      <c r="G325" s="123">
        <v>1</v>
      </c>
      <c r="H325" s="124">
        <v>0.01</v>
      </c>
      <c r="J325" s="130">
        <f ca="1"/>
        <v>398.77611676745022</v>
      </c>
      <c r="K325" s="131">
        <f ca="1"/>
        <v>0.1000000000000002</v>
      </c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</row>
    <row r="326" spans="1:24" x14ac:dyDescent="0.25">
      <c r="A326" s="112">
        <v>322</v>
      </c>
      <c r="B326" s="119" t="s">
        <v>71</v>
      </c>
      <c r="C326" s="139">
        <v>5000000</v>
      </c>
      <c r="D326" s="134">
        <v>2E-3</v>
      </c>
      <c r="E326" s="124">
        <v>2E-3</v>
      </c>
      <c r="F326" s="124">
        <f t="shared" si="5"/>
        <v>0.1</v>
      </c>
      <c r="G326" s="123">
        <v>1</v>
      </c>
      <c r="H326" s="124">
        <v>0.01</v>
      </c>
      <c r="J326" s="130">
        <f ca="1"/>
        <v>398.77611676745022</v>
      </c>
      <c r="K326" s="131">
        <f ca="1"/>
        <v>0.1000000000000002</v>
      </c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</row>
    <row r="327" spans="1:24" x14ac:dyDescent="0.25">
      <c r="A327" s="112">
        <v>323</v>
      </c>
      <c r="B327" s="119" t="s">
        <v>71</v>
      </c>
      <c r="C327" s="139">
        <v>5000000</v>
      </c>
      <c r="D327" s="134">
        <v>2E-3</v>
      </c>
      <c r="E327" s="124">
        <v>2E-3</v>
      </c>
      <c r="F327" s="124">
        <f t="shared" si="5"/>
        <v>0.1</v>
      </c>
      <c r="G327" s="123">
        <v>1</v>
      </c>
      <c r="H327" s="124">
        <v>0.01</v>
      </c>
      <c r="J327" s="130">
        <f ca="1"/>
        <v>398.77611676745022</v>
      </c>
      <c r="K327" s="131">
        <f ca="1"/>
        <v>0.1000000000000002</v>
      </c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</row>
    <row r="328" spans="1:24" x14ac:dyDescent="0.25">
      <c r="A328" s="112">
        <v>324</v>
      </c>
      <c r="B328" s="119" t="s">
        <v>71</v>
      </c>
      <c r="C328" s="139">
        <v>5000000</v>
      </c>
      <c r="D328" s="134">
        <v>2E-3</v>
      </c>
      <c r="E328" s="124">
        <v>2E-3</v>
      </c>
      <c r="F328" s="124">
        <f t="shared" si="5"/>
        <v>0.1</v>
      </c>
      <c r="G328" s="123">
        <v>1</v>
      </c>
      <c r="H328" s="124">
        <v>0.01</v>
      </c>
      <c r="J328" s="130">
        <f ca="1"/>
        <v>398.77611676745022</v>
      </c>
      <c r="K328" s="131">
        <f ca="1"/>
        <v>0.1000000000000002</v>
      </c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</row>
    <row r="329" spans="1:24" x14ac:dyDescent="0.25">
      <c r="A329" s="112">
        <v>325</v>
      </c>
      <c r="B329" s="119" t="s">
        <v>71</v>
      </c>
      <c r="C329" s="139">
        <v>5000000</v>
      </c>
      <c r="D329" s="134">
        <v>2E-3</v>
      </c>
      <c r="E329" s="124">
        <v>2E-3</v>
      </c>
      <c r="F329" s="124">
        <f t="shared" si="5"/>
        <v>0.1</v>
      </c>
      <c r="G329" s="123">
        <v>1</v>
      </c>
      <c r="H329" s="124">
        <v>0.01</v>
      </c>
      <c r="J329" s="130">
        <f ca="1"/>
        <v>398.77611676745022</v>
      </c>
      <c r="K329" s="131">
        <f ca="1"/>
        <v>0.1000000000000002</v>
      </c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</row>
    <row r="330" spans="1:24" x14ac:dyDescent="0.25">
      <c r="A330" s="112">
        <v>326</v>
      </c>
      <c r="B330" s="119" t="s">
        <v>71</v>
      </c>
      <c r="C330" s="139">
        <v>5000000</v>
      </c>
      <c r="D330" s="134">
        <v>2E-3</v>
      </c>
      <c r="E330" s="124">
        <v>2E-3</v>
      </c>
      <c r="F330" s="124">
        <f t="shared" si="5"/>
        <v>0.1</v>
      </c>
      <c r="G330" s="123">
        <v>1</v>
      </c>
      <c r="H330" s="124">
        <v>0.01</v>
      </c>
      <c r="J330" s="130">
        <f ca="1"/>
        <v>398.77611676745022</v>
      </c>
      <c r="K330" s="131">
        <f ca="1"/>
        <v>0.1000000000000002</v>
      </c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</row>
    <row r="331" spans="1:24" x14ac:dyDescent="0.25">
      <c r="A331" s="112">
        <v>327</v>
      </c>
      <c r="B331" s="119" t="s">
        <v>71</v>
      </c>
      <c r="C331" s="139">
        <v>5000000</v>
      </c>
      <c r="D331" s="134">
        <v>2E-3</v>
      </c>
      <c r="E331" s="124">
        <v>2E-3</v>
      </c>
      <c r="F331" s="124">
        <f t="shared" si="5"/>
        <v>0.1</v>
      </c>
      <c r="G331" s="123">
        <v>1</v>
      </c>
      <c r="H331" s="124">
        <v>0.01</v>
      </c>
      <c r="J331" s="130">
        <f ca="1"/>
        <v>398.77611676745022</v>
      </c>
      <c r="K331" s="131">
        <f ca="1"/>
        <v>0.1000000000000002</v>
      </c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</row>
    <row r="332" spans="1:24" x14ac:dyDescent="0.25">
      <c r="A332" s="112">
        <v>328</v>
      </c>
      <c r="B332" s="119" t="s">
        <v>71</v>
      </c>
      <c r="C332" s="139">
        <v>5000000</v>
      </c>
      <c r="D332" s="134">
        <v>2E-3</v>
      </c>
      <c r="E332" s="124">
        <v>2E-3</v>
      </c>
      <c r="F332" s="124">
        <f t="shared" si="5"/>
        <v>0.1</v>
      </c>
      <c r="G332" s="123">
        <v>1</v>
      </c>
      <c r="H332" s="124">
        <v>0.01</v>
      </c>
      <c r="J332" s="130">
        <f ca="1"/>
        <v>398.77611676745022</v>
      </c>
      <c r="K332" s="131">
        <f ca="1"/>
        <v>0.1000000000000002</v>
      </c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</row>
    <row r="333" spans="1:24" x14ac:dyDescent="0.25">
      <c r="A333" s="112">
        <v>329</v>
      </c>
      <c r="B333" s="119" t="s">
        <v>71</v>
      </c>
      <c r="C333" s="139">
        <v>5000000</v>
      </c>
      <c r="D333" s="134">
        <v>2E-3</v>
      </c>
      <c r="E333" s="124">
        <v>2E-3</v>
      </c>
      <c r="F333" s="124">
        <f t="shared" si="5"/>
        <v>0.1</v>
      </c>
      <c r="G333" s="123">
        <v>1</v>
      </c>
      <c r="H333" s="124">
        <v>0.01</v>
      </c>
      <c r="J333" s="130">
        <f ca="1"/>
        <v>398.77611676745022</v>
      </c>
      <c r="K333" s="131">
        <f ca="1"/>
        <v>0.1000000000000002</v>
      </c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</row>
    <row r="334" spans="1:24" x14ac:dyDescent="0.25">
      <c r="A334" s="112">
        <v>330</v>
      </c>
      <c r="B334" s="119" t="s">
        <v>71</v>
      </c>
      <c r="C334" s="139">
        <v>5000000</v>
      </c>
      <c r="D334" s="134">
        <v>2E-3</v>
      </c>
      <c r="E334" s="124">
        <v>2E-3</v>
      </c>
      <c r="F334" s="124">
        <f t="shared" si="5"/>
        <v>0.1</v>
      </c>
      <c r="G334" s="123">
        <v>1</v>
      </c>
      <c r="H334" s="124">
        <v>0.01</v>
      </c>
      <c r="J334" s="130">
        <f ca="1"/>
        <v>398.77611676745022</v>
      </c>
      <c r="K334" s="131">
        <f ca="1"/>
        <v>0.1000000000000002</v>
      </c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</row>
    <row r="335" spans="1:24" x14ac:dyDescent="0.25">
      <c r="A335" s="112">
        <v>331</v>
      </c>
      <c r="B335" s="119" t="s">
        <v>71</v>
      </c>
      <c r="C335" s="139">
        <v>5000000</v>
      </c>
      <c r="D335" s="134">
        <v>2E-3</v>
      </c>
      <c r="E335" s="124">
        <v>2E-3</v>
      </c>
      <c r="F335" s="124">
        <f t="shared" si="5"/>
        <v>0.1</v>
      </c>
      <c r="G335" s="123">
        <v>1</v>
      </c>
      <c r="H335" s="124">
        <v>0.01</v>
      </c>
      <c r="J335" s="130">
        <f ca="1"/>
        <v>398.77611676745022</v>
      </c>
      <c r="K335" s="131">
        <f ca="1"/>
        <v>0.1000000000000002</v>
      </c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</row>
    <row r="336" spans="1:24" x14ac:dyDescent="0.25">
      <c r="A336" s="112">
        <v>332</v>
      </c>
      <c r="B336" s="119" t="s">
        <v>71</v>
      </c>
      <c r="C336" s="139">
        <v>5000000</v>
      </c>
      <c r="D336" s="134">
        <v>2E-3</v>
      </c>
      <c r="E336" s="124">
        <v>2E-3</v>
      </c>
      <c r="F336" s="124">
        <f t="shared" si="5"/>
        <v>0.1</v>
      </c>
      <c r="G336" s="123">
        <v>1</v>
      </c>
      <c r="H336" s="124">
        <v>0.01</v>
      </c>
      <c r="J336" s="130">
        <f ca="1"/>
        <v>398.77611676745022</v>
      </c>
      <c r="K336" s="131">
        <f ca="1"/>
        <v>0.1000000000000002</v>
      </c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</row>
    <row r="337" spans="1:24" x14ac:dyDescent="0.25">
      <c r="A337" s="112">
        <v>333</v>
      </c>
      <c r="B337" s="119" t="s">
        <v>71</v>
      </c>
      <c r="C337" s="139">
        <v>5000000</v>
      </c>
      <c r="D337" s="134">
        <v>2E-3</v>
      </c>
      <c r="E337" s="124">
        <v>2E-3</v>
      </c>
      <c r="F337" s="124">
        <f t="shared" si="5"/>
        <v>0.1</v>
      </c>
      <c r="G337" s="123">
        <v>1</v>
      </c>
      <c r="H337" s="124">
        <v>0.01</v>
      </c>
      <c r="J337" s="130">
        <f ca="1"/>
        <v>398.77611676745022</v>
      </c>
      <c r="K337" s="131">
        <f ca="1"/>
        <v>0.1000000000000002</v>
      </c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</row>
    <row r="338" spans="1:24" x14ac:dyDescent="0.25">
      <c r="A338" s="112">
        <v>334</v>
      </c>
      <c r="B338" s="119" t="s">
        <v>71</v>
      </c>
      <c r="C338" s="139">
        <v>5000000</v>
      </c>
      <c r="D338" s="134">
        <v>2E-3</v>
      </c>
      <c r="E338" s="124">
        <v>2E-3</v>
      </c>
      <c r="F338" s="124">
        <f t="shared" si="5"/>
        <v>0.1</v>
      </c>
      <c r="G338" s="123">
        <v>1</v>
      </c>
      <c r="H338" s="124">
        <v>0.01</v>
      </c>
      <c r="J338" s="130">
        <f ca="1"/>
        <v>398.77611676745022</v>
      </c>
      <c r="K338" s="131">
        <f ca="1"/>
        <v>0.1000000000000002</v>
      </c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</row>
    <row r="339" spans="1:24" x14ac:dyDescent="0.25">
      <c r="A339" s="112">
        <v>335</v>
      </c>
      <c r="B339" s="119" t="s">
        <v>71</v>
      </c>
      <c r="C339" s="139">
        <v>5000000</v>
      </c>
      <c r="D339" s="134">
        <v>2E-3</v>
      </c>
      <c r="E339" s="124">
        <v>2E-3</v>
      </c>
      <c r="F339" s="124">
        <f t="shared" si="5"/>
        <v>0.1</v>
      </c>
      <c r="G339" s="123">
        <v>1</v>
      </c>
      <c r="H339" s="124">
        <v>0.01</v>
      </c>
      <c r="J339" s="130">
        <f ca="1"/>
        <v>398.77611676745022</v>
      </c>
      <c r="K339" s="131">
        <f ca="1"/>
        <v>0.1000000000000002</v>
      </c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</row>
    <row r="340" spans="1:24" x14ac:dyDescent="0.25">
      <c r="A340" s="112">
        <v>336</v>
      </c>
      <c r="B340" s="119" t="s">
        <v>71</v>
      </c>
      <c r="C340" s="139">
        <v>5000000</v>
      </c>
      <c r="D340" s="134">
        <v>2E-3</v>
      </c>
      <c r="E340" s="124">
        <v>2E-3</v>
      </c>
      <c r="F340" s="124">
        <f t="shared" si="5"/>
        <v>0.1</v>
      </c>
      <c r="G340" s="123">
        <v>1</v>
      </c>
      <c r="H340" s="124">
        <v>0.01</v>
      </c>
      <c r="J340" s="130">
        <f ca="1"/>
        <v>398.77611676745022</v>
      </c>
      <c r="K340" s="131">
        <f ca="1"/>
        <v>0.1000000000000002</v>
      </c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</row>
    <row r="341" spans="1:24" x14ac:dyDescent="0.25">
      <c r="A341" s="112">
        <v>337</v>
      </c>
      <c r="B341" s="119" t="s">
        <v>71</v>
      </c>
      <c r="C341" s="139">
        <v>5000000</v>
      </c>
      <c r="D341" s="134">
        <v>2E-3</v>
      </c>
      <c r="E341" s="124">
        <v>2E-3</v>
      </c>
      <c r="F341" s="124">
        <f t="shared" si="5"/>
        <v>0.1</v>
      </c>
      <c r="G341" s="123">
        <v>1</v>
      </c>
      <c r="H341" s="124">
        <v>0.01</v>
      </c>
      <c r="J341" s="130">
        <f ca="1"/>
        <v>398.77611676745022</v>
      </c>
      <c r="K341" s="131">
        <f ca="1"/>
        <v>0.1000000000000002</v>
      </c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</row>
    <row r="342" spans="1:24" x14ac:dyDescent="0.25">
      <c r="A342" s="112">
        <v>338</v>
      </c>
      <c r="B342" s="119" t="s">
        <v>71</v>
      </c>
      <c r="C342" s="139">
        <v>5000000</v>
      </c>
      <c r="D342" s="134">
        <v>2E-3</v>
      </c>
      <c r="E342" s="124">
        <v>2E-3</v>
      </c>
      <c r="F342" s="124">
        <f t="shared" si="5"/>
        <v>0.1</v>
      </c>
      <c r="G342" s="123">
        <v>1</v>
      </c>
      <c r="H342" s="124">
        <v>0.01</v>
      </c>
      <c r="J342" s="130">
        <f ca="1"/>
        <v>398.77611676745022</v>
      </c>
      <c r="K342" s="131">
        <f ca="1"/>
        <v>0.1000000000000002</v>
      </c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</row>
    <row r="343" spans="1:24" x14ac:dyDescent="0.25">
      <c r="A343" s="112">
        <v>339</v>
      </c>
      <c r="B343" s="119" t="s">
        <v>71</v>
      </c>
      <c r="C343" s="139">
        <v>5000000</v>
      </c>
      <c r="D343" s="134">
        <v>2E-3</v>
      </c>
      <c r="E343" s="124">
        <v>2E-3</v>
      </c>
      <c r="F343" s="124">
        <f t="shared" si="5"/>
        <v>0.1</v>
      </c>
      <c r="G343" s="123">
        <v>1</v>
      </c>
      <c r="H343" s="124">
        <v>0.01</v>
      </c>
      <c r="J343" s="130">
        <f ca="1"/>
        <v>398.77611676745022</v>
      </c>
      <c r="K343" s="131">
        <f ca="1"/>
        <v>0.1000000000000002</v>
      </c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</row>
    <row r="344" spans="1:24" x14ac:dyDescent="0.25">
      <c r="A344" s="112">
        <v>340</v>
      </c>
      <c r="B344" s="119" t="s">
        <v>71</v>
      </c>
      <c r="C344" s="139">
        <v>5000000</v>
      </c>
      <c r="D344" s="134">
        <v>2E-3</v>
      </c>
      <c r="E344" s="124">
        <v>2E-3</v>
      </c>
      <c r="F344" s="124">
        <f t="shared" si="5"/>
        <v>0.1</v>
      </c>
      <c r="G344" s="123">
        <v>1</v>
      </c>
      <c r="H344" s="124">
        <v>0.01</v>
      </c>
      <c r="J344" s="130">
        <f ca="1"/>
        <v>398.77611676745022</v>
      </c>
      <c r="K344" s="131">
        <f ca="1"/>
        <v>0.1000000000000002</v>
      </c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</row>
    <row r="345" spans="1:24" x14ac:dyDescent="0.25">
      <c r="A345" s="112">
        <v>341</v>
      </c>
      <c r="B345" s="119" t="s">
        <v>71</v>
      </c>
      <c r="C345" s="139">
        <v>5000000</v>
      </c>
      <c r="D345" s="134">
        <v>2E-3</v>
      </c>
      <c r="E345" s="124">
        <v>2E-3</v>
      </c>
      <c r="F345" s="124">
        <f t="shared" si="5"/>
        <v>0.1</v>
      </c>
      <c r="G345" s="123">
        <v>1</v>
      </c>
      <c r="H345" s="124">
        <v>0.01</v>
      </c>
      <c r="J345" s="130">
        <f ca="1"/>
        <v>398.77611676745022</v>
      </c>
      <c r="K345" s="131">
        <f ca="1"/>
        <v>0.1000000000000002</v>
      </c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</row>
    <row r="346" spans="1:24" x14ac:dyDescent="0.25">
      <c r="A346" s="112">
        <v>342</v>
      </c>
      <c r="B346" s="119" t="s">
        <v>71</v>
      </c>
      <c r="C346" s="139">
        <v>5000000</v>
      </c>
      <c r="D346" s="134">
        <v>2E-3</v>
      </c>
      <c r="E346" s="124">
        <v>2E-3</v>
      </c>
      <c r="F346" s="124">
        <f t="shared" si="5"/>
        <v>0.1</v>
      </c>
      <c r="G346" s="123">
        <v>1</v>
      </c>
      <c r="H346" s="124">
        <v>0.01</v>
      </c>
      <c r="J346" s="130">
        <f ca="1"/>
        <v>398.77611676745022</v>
      </c>
      <c r="K346" s="131">
        <f ca="1"/>
        <v>0.1000000000000002</v>
      </c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</row>
    <row r="347" spans="1:24" x14ac:dyDescent="0.25">
      <c r="A347" s="112">
        <v>343</v>
      </c>
      <c r="B347" s="119" t="s">
        <v>71</v>
      </c>
      <c r="C347" s="139">
        <v>5000000</v>
      </c>
      <c r="D347" s="134">
        <v>2E-3</v>
      </c>
      <c r="E347" s="124">
        <v>2E-3</v>
      </c>
      <c r="F347" s="124">
        <f t="shared" si="5"/>
        <v>0.1</v>
      </c>
      <c r="G347" s="123">
        <v>1</v>
      </c>
      <c r="H347" s="124">
        <v>0.01</v>
      </c>
      <c r="J347" s="130">
        <f ca="1"/>
        <v>398.77611676745022</v>
      </c>
      <c r="K347" s="131">
        <f ca="1"/>
        <v>0.1000000000000002</v>
      </c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</row>
    <row r="348" spans="1:24" x14ac:dyDescent="0.25">
      <c r="A348" s="112">
        <v>344</v>
      </c>
      <c r="B348" s="119" t="s">
        <v>71</v>
      </c>
      <c r="C348" s="139">
        <v>5000000</v>
      </c>
      <c r="D348" s="134">
        <v>2E-3</v>
      </c>
      <c r="E348" s="124">
        <v>2E-3</v>
      </c>
      <c r="F348" s="124">
        <f t="shared" si="5"/>
        <v>0.1</v>
      </c>
      <c r="G348" s="123">
        <v>1</v>
      </c>
      <c r="H348" s="124">
        <v>0.01</v>
      </c>
      <c r="J348" s="130">
        <f ca="1"/>
        <v>398.77611676745022</v>
      </c>
      <c r="K348" s="131">
        <f ca="1"/>
        <v>0.1000000000000002</v>
      </c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</row>
    <row r="349" spans="1:24" x14ac:dyDescent="0.25">
      <c r="A349" s="112">
        <v>345</v>
      </c>
      <c r="B349" s="119" t="s">
        <v>71</v>
      </c>
      <c r="C349" s="139">
        <v>5000000</v>
      </c>
      <c r="D349" s="134">
        <v>2E-3</v>
      </c>
      <c r="E349" s="124">
        <v>2E-3</v>
      </c>
      <c r="F349" s="124">
        <f t="shared" si="5"/>
        <v>0.1</v>
      </c>
      <c r="G349" s="123">
        <v>1</v>
      </c>
      <c r="H349" s="124">
        <v>0.01</v>
      </c>
      <c r="J349" s="130">
        <f ca="1"/>
        <v>398.77611676745022</v>
      </c>
      <c r="K349" s="131">
        <f ca="1"/>
        <v>0.1000000000000002</v>
      </c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</row>
    <row r="350" spans="1:24" x14ac:dyDescent="0.25">
      <c r="A350" s="112">
        <v>346</v>
      </c>
      <c r="B350" s="119" t="s">
        <v>71</v>
      </c>
      <c r="C350" s="139">
        <v>5000000</v>
      </c>
      <c r="D350" s="134">
        <v>2E-3</v>
      </c>
      <c r="E350" s="124">
        <v>2E-3</v>
      </c>
      <c r="F350" s="124">
        <f t="shared" si="5"/>
        <v>0.1</v>
      </c>
      <c r="G350" s="123">
        <v>1</v>
      </c>
      <c r="H350" s="124">
        <v>0.01</v>
      </c>
      <c r="J350" s="130">
        <f ca="1"/>
        <v>398.77611676745022</v>
      </c>
      <c r="K350" s="131">
        <f ca="1"/>
        <v>0.1000000000000002</v>
      </c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</row>
    <row r="351" spans="1:24" x14ac:dyDescent="0.25">
      <c r="A351" s="112">
        <v>347</v>
      </c>
      <c r="B351" s="119" t="s">
        <v>71</v>
      </c>
      <c r="C351" s="139">
        <v>5000000</v>
      </c>
      <c r="D351" s="134">
        <v>2E-3</v>
      </c>
      <c r="E351" s="124">
        <v>2E-3</v>
      </c>
      <c r="F351" s="124">
        <f t="shared" si="5"/>
        <v>0.1</v>
      </c>
      <c r="G351" s="123">
        <v>1</v>
      </c>
      <c r="H351" s="124">
        <v>0.01</v>
      </c>
      <c r="J351" s="130">
        <f ca="1"/>
        <v>398.77611676745022</v>
      </c>
      <c r="K351" s="131">
        <f ca="1"/>
        <v>0.1000000000000002</v>
      </c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</row>
    <row r="352" spans="1:24" x14ac:dyDescent="0.25">
      <c r="A352" s="112">
        <v>348</v>
      </c>
      <c r="B352" s="119" t="s">
        <v>71</v>
      </c>
      <c r="C352" s="139">
        <v>5000000</v>
      </c>
      <c r="D352" s="134">
        <v>2E-3</v>
      </c>
      <c r="E352" s="124">
        <v>2E-3</v>
      </c>
      <c r="F352" s="124">
        <f t="shared" si="5"/>
        <v>0.1</v>
      </c>
      <c r="G352" s="123">
        <v>1</v>
      </c>
      <c r="H352" s="124">
        <v>0.01</v>
      </c>
      <c r="J352" s="130">
        <f ca="1"/>
        <v>398.77611676745022</v>
      </c>
      <c r="K352" s="131">
        <f ca="1"/>
        <v>0.1000000000000002</v>
      </c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</row>
    <row r="353" spans="1:24" x14ac:dyDescent="0.25">
      <c r="A353" s="112">
        <v>349</v>
      </c>
      <c r="B353" s="119" t="s">
        <v>71</v>
      </c>
      <c r="C353" s="139">
        <v>5000000</v>
      </c>
      <c r="D353" s="134">
        <v>2E-3</v>
      </c>
      <c r="E353" s="124">
        <v>2E-3</v>
      </c>
      <c r="F353" s="124">
        <f t="shared" si="5"/>
        <v>0.1</v>
      </c>
      <c r="G353" s="123">
        <v>1</v>
      </c>
      <c r="H353" s="124">
        <v>0.01</v>
      </c>
      <c r="J353" s="130">
        <f ca="1"/>
        <v>398.77611676745022</v>
      </c>
      <c r="K353" s="131">
        <f ca="1"/>
        <v>0.1000000000000002</v>
      </c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</row>
    <row r="354" spans="1:24" x14ac:dyDescent="0.25">
      <c r="A354" s="112">
        <v>350</v>
      </c>
      <c r="B354" s="119" t="s">
        <v>71</v>
      </c>
      <c r="C354" s="139">
        <v>5000000</v>
      </c>
      <c r="D354" s="134">
        <v>2E-3</v>
      </c>
      <c r="E354" s="124">
        <v>2E-3</v>
      </c>
      <c r="F354" s="124">
        <f t="shared" si="5"/>
        <v>0.1</v>
      </c>
      <c r="G354" s="123">
        <v>1</v>
      </c>
      <c r="H354" s="124">
        <v>0.01</v>
      </c>
      <c r="J354" s="130">
        <f ca="1"/>
        <v>398.77611676745022</v>
      </c>
      <c r="K354" s="131">
        <f ca="1"/>
        <v>0.1000000000000002</v>
      </c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</row>
    <row r="355" spans="1:24" x14ac:dyDescent="0.25">
      <c r="A355" s="112">
        <v>351</v>
      </c>
      <c r="B355" s="119" t="s">
        <v>71</v>
      </c>
      <c r="C355" s="139">
        <v>5000000</v>
      </c>
      <c r="D355" s="134">
        <v>2E-3</v>
      </c>
      <c r="E355" s="124">
        <v>2E-3</v>
      </c>
      <c r="F355" s="124">
        <f t="shared" si="5"/>
        <v>0.1</v>
      </c>
      <c r="G355" s="123">
        <v>1</v>
      </c>
      <c r="H355" s="124">
        <v>0.01</v>
      </c>
      <c r="J355" s="130">
        <f ca="1"/>
        <v>398.77611676745022</v>
      </c>
      <c r="K355" s="131">
        <f ca="1"/>
        <v>0.1000000000000002</v>
      </c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</row>
    <row r="356" spans="1:24" x14ac:dyDescent="0.25">
      <c r="A356" s="112">
        <v>352</v>
      </c>
      <c r="B356" s="119" t="s">
        <v>71</v>
      </c>
      <c r="C356" s="139">
        <v>5000000</v>
      </c>
      <c r="D356" s="134">
        <v>2E-3</v>
      </c>
      <c r="E356" s="124">
        <v>2E-3</v>
      </c>
      <c r="F356" s="124">
        <f t="shared" si="5"/>
        <v>0.1</v>
      </c>
      <c r="G356" s="123">
        <v>1</v>
      </c>
      <c r="H356" s="124">
        <v>0.01</v>
      </c>
      <c r="J356" s="130">
        <f ca="1"/>
        <v>398.77611676745022</v>
      </c>
      <c r="K356" s="131">
        <f ca="1"/>
        <v>0.1000000000000002</v>
      </c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</row>
    <row r="357" spans="1:24" x14ac:dyDescent="0.25">
      <c r="A357" s="112">
        <v>353</v>
      </c>
      <c r="B357" s="119" t="s">
        <v>71</v>
      </c>
      <c r="C357" s="139">
        <v>5000000</v>
      </c>
      <c r="D357" s="134">
        <v>2E-3</v>
      </c>
      <c r="E357" s="124">
        <v>2E-3</v>
      </c>
      <c r="F357" s="124">
        <f t="shared" si="5"/>
        <v>0.1</v>
      </c>
      <c r="G357" s="123">
        <v>1</v>
      </c>
      <c r="H357" s="124">
        <v>0.01</v>
      </c>
      <c r="J357" s="130">
        <f ca="1"/>
        <v>398.77611676745022</v>
      </c>
      <c r="K357" s="131">
        <f ca="1"/>
        <v>0.1000000000000002</v>
      </c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</row>
    <row r="358" spans="1:24" x14ac:dyDescent="0.25">
      <c r="A358" s="112">
        <v>354</v>
      </c>
      <c r="B358" s="119" t="s">
        <v>71</v>
      </c>
      <c r="C358" s="139">
        <v>5000000</v>
      </c>
      <c r="D358" s="134">
        <v>2E-3</v>
      </c>
      <c r="E358" s="124">
        <v>2E-3</v>
      </c>
      <c r="F358" s="124">
        <f t="shared" si="5"/>
        <v>0.1</v>
      </c>
      <c r="G358" s="123">
        <v>1</v>
      </c>
      <c r="H358" s="124">
        <v>0.01</v>
      </c>
      <c r="J358" s="130">
        <f ca="1"/>
        <v>398.77611676745022</v>
      </c>
      <c r="K358" s="131">
        <f ca="1"/>
        <v>0.1000000000000002</v>
      </c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</row>
    <row r="359" spans="1:24" x14ac:dyDescent="0.25">
      <c r="A359" s="112">
        <v>355</v>
      </c>
      <c r="B359" s="119" t="s">
        <v>71</v>
      </c>
      <c r="C359" s="139">
        <v>5000000</v>
      </c>
      <c r="D359" s="134">
        <v>2E-3</v>
      </c>
      <c r="E359" s="124">
        <v>2E-3</v>
      </c>
      <c r="F359" s="124">
        <f t="shared" si="5"/>
        <v>0.1</v>
      </c>
      <c r="G359" s="123">
        <v>1</v>
      </c>
      <c r="H359" s="124">
        <v>0.01</v>
      </c>
      <c r="J359" s="130">
        <f ca="1"/>
        <v>398.77611676745022</v>
      </c>
      <c r="K359" s="131">
        <f ca="1"/>
        <v>0.1000000000000002</v>
      </c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</row>
    <row r="360" spans="1:24" x14ac:dyDescent="0.25">
      <c r="A360" s="112">
        <v>356</v>
      </c>
      <c r="B360" s="119" t="s">
        <v>71</v>
      </c>
      <c r="C360" s="139">
        <v>5000000</v>
      </c>
      <c r="D360" s="134">
        <v>2E-3</v>
      </c>
      <c r="E360" s="124">
        <v>2E-3</v>
      </c>
      <c r="F360" s="124">
        <f t="shared" si="5"/>
        <v>0.1</v>
      </c>
      <c r="G360" s="123">
        <v>1</v>
      </c>
      <c r="H360" s="124">
        <v>0.01</v>
      </c>
      <c r="J360" s="130">
        <f ca="1"/>
        <v>398.77611676745022</v>
      </c>
      <c r="K360" s="131">
        <f ca="1"/>
        <v>0.1000000000000002</v>
      </c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</row>
    <row r="361" spans="1:24" x14ac:dyDescent="0.25">
      <c r="A361" s="112">
        <v>357</v>
      </c>
      <c r="B361" s="119" t="s">
        <v>71</v>
      </c>
      <c r="C361" s="139">
        <v>5000000</v>
      </c>
      <c r="D361" s="134">
        <v>2E-3</v>
      </c>
      <c r="E361" s="124">
        <v>2E-3</v>
      </c>
      <c r="F361" s="124">
        <f t="shared" si="5"/>
        <v>0.1</v>
      </c>
      <c r="G361" s="123">
        <v>1</v>
      </c>
      <c r="H361" s="124">
        <v>0.01</v>
      </c>
      <c r="J361" s="130">
        <f ca="1"/>
        <v>398.77611676745022</v>
      </c>
      <c r="K361" s="131">
        <f ca="1"/>
        <v>0.1000000000000002</v>
      </c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</row>
    <row r="362" spans="1:24" x14ac:dyDescent="0.25">
      <c r="A362" s="112">
        <v>358</v>
      </c>
      <c r="B362" s="119" t="s">
        <v>71</v>
      </c>
      <c r="C362" s="139">
        <v>5000000</v>
      </c>
      <c r="D362" s="134">
        <v>2E-3</v>
      </c>
      <c r="E362" s="124">
        <v>2E-3</v>
      </c>
      <c r="F362" s="124">
        <f t="shared" si="5"/>
        <v>0.1</v>
      </c>
      <c r="G362" s="123">
        <v>1</v>
      </c>
      <c r="H362" s="124">
        <v>0.01</v>
      </c>
      <c r="J362" s="130">
        <f ca="1"/>
        <v>398.77611676745022</v>
      </c>
      <c r="K362" s="131">
        <f ca="1"/>
        <v>0.1000000000000002</v>
      </c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</row>
    <row r="363" spans="1:24" x14ac:dyDescent="0.25">
      <c r="A363" s="112">
        <v>359</v>
      </c>
      <c r="B363" s="119" t="s">
        <v>71</v>
      </c>
      <c r="C363" s="139">
        <v>5000000</v>
      </c>
      <c r="D363" s="134">
        <v>2E-3</v>
      </c>
      <c r="E363" s="124">
        <v>2E-3</v>
      </c>
      <c r="F363" s="124">
        <f t="shared" si="5"/>
        <v>0.1</v>
      </c>
      <c r="G363" s="123">
        <v>1</v>
      </c>
      <c r="H363" s="124">
        <v>0.01</v>
      </c>
      <c r="J363" s="130">
        <f ca="1"/>
        <v>398.77611676745022</v>
      </c>
      <c r="K363" s="131">
        <f ca="1"/>
        <v>0.1000000000000002</v>
      </c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</row>
    <row r="364" spans="1:24" x14ac:dyDescent="0.25">
      <c r="A364" s="112">
        <v>360</v>
      </c>
      <c r="B364" s="119" t="s">
        <v>71</v>
      </c>
      <c r="C364" s="139">
        <v>5000000</v>
      </c>
      <c r="D364" s="134">
        <v>2E-3</v>
      </c>
      <c r="E364" s="124">
        <v>2E-3</v>
      </c>
      <c r="F364" s="124">
        <f t="shared" si="5"/>
        <v>0.1</v>
      </c>
      <c r="G364" s="123">
        <v>1</v>
      </c>
      <c r="H364" s="124">
        <v>0.01</v>
      </c>
      <c r="J364" s="130">
        <f ca="1"/>
        <v>398.77611676745022</v>
      </c>
      <c r="K364" s="131">
        <f ca="1"/>
        <v>0.1000000000000002</v>
      </c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</row>
    <row r="365" spans="1:24" x14ac:dyDescent="0.25">
      <c r="A365" s="112">
        <v>361</v>
      </c>
      <c r="B365" s="119" t="s">
        <v>71</v>
      </c>
      <c r="C365" s="139">
        <v>5000000</v>
      </c>
      <c r="D365" s="134">
        <v>2E-3</v>
      </c>
      <c r="E365" s="124">
        <v>2E-3</v>
      </c>
      <c r="F365" s="124">
        <f t="shared" si="5"/>
        <v>0.1</v>
      </c>
      <c r="G365" s="123">
        <v>1</v>
      </c>
      <c r="H365" s="124">
        <v>0.01</v>
      </c>
      <c r="J365" s="130">
        <f ca="1"/>
        <v>398.77611676745022</v>
      </c>
      <c r="K365" s="131">
        <f ca="1"/>
        <v>0.1000000000000002</v>
      </c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</row>
    <row r="366" spans="1:24" x14ac:dyDescent="0.25">
      <c r="A366" s="112">
        <v>362</v>
      </c>
      <c r="B366" s="119" t="s">
        <v>71</v>
      </c>
      <c r="C366" s="139">
        <v>5000000</v>
      </c>
      <c r="D366" s="134">
        <v>2E-3</v>
      </c>
      <c r="E366" s="124">
        <v>2E-3</v>
      </c>
      <c r="F366" s="124">
        <f t="shared" si="5"/>
        <v>0.1</v>
      </c>
      <c r="G366" s="123">
        <v>1</v>
      </c>
      <c r="H366" s="124">
        <v>0.01</v>
      </c>
      <c r="J366" s="130">
        <f ca="1"/>
        <v>398.77611676745022</v>
      </c>
      <c r="K366" s="131">
        <f ca="1"/>
        <v>0.1000000000000002</v>
      </c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</row>
    <row r="367" spans="1:24" x14ac:dyDescent="0.25">
      <c r="A367" s="112">
        <v>363</v>
      </c>
      <c r="B367" s="119" t="s">
        <v>71</v>
      </c>
      <c r="C367" s="139">
        <v>5000000</v>
      </c>
      <c r="D367" s="134">
        <v>2E-3</v>
      </c>
      <c r="E367" s="124">
        <v>2E-3</v>
      </c>
      <c r="F367" s="124">
        <f t="shared" si="5"/>
        <v>0.1</v>
      </c>
      <c r="G367" s="123">
        <v>1</v>
      </c>
      <c r="H367" s="124">
        <v>0.01</v>
      </c>
      <c r="J367" s="130">
        <f ca="1"/>
        <v>398.77611676745022</v>
      </c>
      <c r="K367" s="131">
        <f ca="1"/>
        <v>0.1000000000000002</v>
      </c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</row>
    <row r="368" spans="1:24" x14ac:dyDescent="0.25">
      <c r="A368" s="112">
        <v>364</v>
      </c>
      <c r="B368" s="119" t="s">
        <v>71</v>
      </c>
      <c r="C368" s="139">
        <v>5000000</v>
      </c>
      <c r="D368" s="134">
        <v>2E-3</v>
      </c>
      <c r="E368" s="124">
        <v>2E-3</v>
      </c>
      <c r="F368" s="124">
        <f t="shared" si="5"/>
        <v>0.1</v>
      </c>
      <c r="G368" s="123">
        <v>1</v>
      </c>
      <c r="H368" s="124">
        <v>0.01</v>
      </c>
      <c r="J368" s="130">
        <f ca="1"/>
        <v>398.77611676745022</v>
      </c>
      <c r="K368" s="131">
        <f ca="1"/>
        <v>0.1000000000000002</v>
      </c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</row>
    <row r="369" spans="1:24" x14ac:dyDescent="0.25">
      <c r="A369" s="112">
        <v>365</v>
      </c>
      <c r="B369" s="119" t="s">
        <v>71</v>
      </c>
      <c r="C369" s="139">
        <v>5000000</v>
      </c>
      <c r="D369" s="134">
        <v>2E-3</v>
      </c>
      <c r="E369" s="124">
        <v>2E-3</v>
      </c>
      <c r="F369" s="124">
        <f t="shared" si="5"/>
        <v>0.1</v>
      </c>
      <c r="G369" s="123">
        <v>1</v>
      </c>
      <c r="H369" s="124">
        <v>0.01</v>
      </c>
      <c r="J369" s="130">
        <f ca="1"/>
        <v>398.77611676745022</v>
      </c>
      <c r="K369" s="131">
        <f ca="1"/>
        <v>0.1000000000000002</v>
      </c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</row>
    <row r="370" spans="1:24" x14ac:dyDescent="0.25">
      <c r="A370" s="112">
        <v>366</v>
      </c>
      <c r="B370" s="119" t="s">
        <v>71</v>
      </c>
      <c r="C370" s="139">
        <v>5000000</v>
      </c>
      <c r="D370" s="134">
        <v>2E-3</v>
      </c>
      <c r="E370" s="124">
        <v>2E-3</v>
      </c>
      <c r="F370" s="124">
        <f t="shared" si="5"/>
        <v>0.1</v>
      </c>
      <c r="G370" s="123">
        <v>1</v>
      </c>
      <c r="H370" s="124">
        <v>0.01</v>
      </c>
      <c r="J370" s="130">
        <f ca="1"/>
        <v>398.77611676745022</v>
      </c>
      <c r="K370" s="131">
        <f ca="1"/>
        <v>0.1000000000000002</v>
      </c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</row>
    <row r="371" spans="1:24" x14ac:dyDescent="0.25">
      <c r="A371" s="112">
        <v>367</v>
      </c>
      <c r="B371" s="119" t="s">
        <v>71</v>
      </c>
      <c r="C371" s="139">
        <v>5000000</v>
      </c>
      <c r="D371" s="134">
        <v>2E-3</v>
      </c>
      <c r="E371" s="124">
        <v>2E-3</v>
      </c>
      <c r="F371" s="124">
        <f t="shared" si="5"/>
        <v>0.1</v>
      </c>
      <c r="G371" s="123">
        <v>1</v>
      </c>
      <c r="H371" s="124">
        <v>0.01</v>
      </c>
      <c r="J371" s="130">
        <f ca="1"/>
        <v>398.77611676745022</v>
      </c>
      <c r="K371" s="131">
        <f ca="1"/>
        <v>0.1000000000000002</v>
      </c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</row>
    <row r="372" spans="1:24" x14ac:dyDescent="0.25">
      <c r="A372" s="112">
        <v>368</v>
      </c>
      <c r="B372" s="119" t="s">
        <v>71</v>
      </c>
      <c r="C372" s="139">
        <v>5000000</v>
      </c>
      <c r="D372" s="134">
        <v>2E-3</v>
      </c>
      <c r="E372" s="124">
        <v>2E-3</v>
      </c>
      <c r="F372" s="124">
        <f t="shared" si="5"/>
        <v>0.1</v>
      </c>
      <c r="G372" s="123">
        <v>1</v>
      </c>
      <c r="H372" s="124">
        <v>0.01</v>
      </c>
      <c r="J372" s="130">
        <f ca="1"/>
        <v>398.77611676745022</v>
      </c>
      <c r="K372" s="131">
        <f ca="1"/>
        <v>0.1000000000000002</v>
      </c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</row>
    <row r="373" spans="1:24" x14ac:dyDescent="0.25">
      <c r="A373" s="112">
        <v>369</v>
      </c>
      <c r="B373" s="119" t="s">
        <v>71</v>
      </c>
      <c r="C373" s="139">
        <v>5000000</v>
      </c>
      <c r="D373" s="134">
        <v>2E-3</v>
      </c>
      <c r="E373" s="124">
        <v>2E-3</v>
      </c>
      <c r="F373" s="124">
        <f t="shared" si="5"/>
        <v>0.1</v>
      </c>
      <c r="G373" s="123">
        <v>1</v>
      </c>
      <c r="H373" s="124">
        <v>0.01</v>
      </c>
      <c r="J373" s="130">
        <f ca="1"/>
        <v>398.77611676745022</v>
      </c>
      <c r="K373" s="131">
        <f ca="1"/>
        <v>0.1000000000000002</v>
      </c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</row>
    <row r="374" spans="1:24" x14ac:dyDescent="0.25">
      <c r="A374" s="112">
        <v>370</v>
      </c>
      <c r="B374" s="119" t="s">
        <v>71</v>
      </c>
      <c r="C374" s="139">
        <v>5000000</v>
      </c>
      <c r="D374" s="134">
        <v>2E-3</v>
      </c>
      <c r="E374" s="124">
        <v>2E-3</v>
      </c>
      <c r="F374" s="124">
        <f t="shared" si="5"/>
        <v>0.1</v>
      </c>
      <c r="G374" s="123">
        <v>1</v>
      </c>
      <c r="H374" s="124">
        <v>0.01</v>
      </c>
      <c r="J374" s="130">
        <f ca="1"/>
        <v>398.77611676745022</v>
      </c>
      <c r="K374" s="131">
        <f ca="1"/>
        <v>0.1000000000000002</v>
      </c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</row>
    <row r="375" spans="1:24" x14ac:dyDescent="0.25">
      <c r="A375" s="112">
        <v>371</v>
      </c>
      <c r="B375" s="119" t="s">
        <v>71</v>
      </c>
      <c r="C375" s="139">
        <v>5000000</v>
      </c>
      <c r="D375" s="134">
        <v>2E-3</v>
      </c>
      <c r="E375" s="124">
        <v>2E-3</v>
      </c>
      <c r="F375" s="124">
        <f t="shared" si="5"/>
        <v>0.1</v>
      </c>
      <c r="G375" s="123">
        <v>1</v>
      </c>
      <c r="H375" s="124">
        <v>0.01</v>
      </c>
      <c r="J375" s="130">
        <f ca="1"/>
        <v>398.77611676745022</v>
      </c>
      <c r="K375" s="131">
        <f ca="1"/>
        <v>0.1000000000000002</v>
      </c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</row>
    <row r="376" spans="1:24" x14ac:dyDescent="0.25">
      <c r="A376" s="112">
        <v>372</v>
      </c>
      <c r="B376" s="119" t="s">
        <v>71</v>
      </c>
      <c r="C376" s="139">
        <v>5000000</v>
      </c>
      <c r="D376" s="134">
        <v>2E-3</v>
      </c>
      <c r="E376" s="124">
        <v>2E-3</v>
      </c>
      <c r="F376" s="124">
        <f t="shared" si="5"/>
        <v>0.1</v>
      </c>
      <c r="G376" s="123">
        <v>1</v>
      </c>
      <c r="H376" s="124">
        <v>0.01</v>
      </c>
      <c r="J376" s="130">
        <f ca="1"/>
        <v>398.77611676745022</v>
      </c>
      <c r="K376" s="131">
        <f ca="1"/>
        <v>0.1000000000000002</v>
      </c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</row>
    <row r="377" spans="1:24" x14ac:dyDescent="0.25">
      <c r="A377" s="112">
        <v>373</v>
      </c>
      <c r="B377" s="119" t="s">
        <v>71</v>
      </c>
      <c r="C377" s="139">
        <v>5000000</v>
      </c>
      <c r="D377" s="134">
        <v>2E-3</v>
      </c>
      <c r="E377" s="124">
        <v>2E-3</v>
      </c>
      <c r="F377" s="124">
        <f t="shared" si="5"/>
        <v>0.1</v>
      </c>
      <c r="G377" s="123">
        <v>1</v>
      </c>
      <c r="H377" s="124">
        <v>0.01</v>
      </c>
      <c r="J377" s="130">
        <f ca="1"/>
        <v>398.77611676745022</v>
      </c>
      <c r="K377" s="131">
        <f ca="1"/>
        <v>0.1000000000000002</v>
      </c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</row>
    <row r="378" spans="1:24" x14ac:dyDescent="0.25">
      <c r="A378" s="112">
        <v>374</v>
      </c>
      <c r="B378" s="119" t="s">
        <v>71</v>
      </c>
      <c r="C378" s="139">
        <v>5000000</v>
      </c>
      <c r="D378" s="134">
        <v>2E-3</v>
      </c>
      <c r="E378" s="124">
        <v>2E-3</v>
      </c>
      <c r="F378" s="124">
        <f t="shared" si="5"/>
        <v>0.1</v>
      </c>
      <c r="G378" s="123">
        <v>1</v>
      </c>
      <c r="H378" s="124">
        <v>0.01</v>
      </c>
      <c r="J378" s="130">
        <f ca="1"/>
        <v>398.77611676745022</v>
      </c>
      <c r="K378" s="131">
        <f ca="1"/>
        <v>0.1000000000000002</v>
      </c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</row>
    <row r="379" spans="1:24" x14ac:dyDescent="0.25">
      <c r="A379" s="112">
        <v>375</v>
      </c>
      <c r="B379" s="119" t="s">
        <v>71</v>
      </c>
      <c r="C379" s="139">
        <v>5000000</v>
      </c>
      <c r="D379" s="134">
        <v>2E-3</v>
      </c>
      <c r="E379" s="124">
        <v>2E-3</v>
      </c>
      <c r="F379" s="124">
        <f t="shared" si="5"/>
        <v>0.1</v>
      </c>
      <c r="G379" s="123">
        <v>1</v>
      </c>
      <c r="H379" s="124">
        <v>0.01</v>
      </c>
      <c r="J379" s="130">
        <f ca="1"/>
        <v>398.77611676745022</v>
      </c>
      <c r="K379" s="131">
        <f ca="1"/>
        <v>0.1000000000000002</v>
      </c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</row>
    <row r="380" spans="1:24" x14ac:dyDescent="0.25">
      <c r="A380" s="112">
        <v>376</v>
      </c>
      <c r="B380" s="119" t="s">
        <v>71</v>
      </c>
      <c r="C380" s="139">
        <v>5000000</v>
      </c>
      <c r="D380" s="134">
        <v>2E-3</v>
      </c>
      <c r="E380" s="124">
        <v>2E-3</v>
      </c>
      <c r="F380" s="124">
        <f t="shared" si="5"/>
        <v>0.1</v>
      </c>
      <c r="G380" s="123">
        <v>1</v>
      </c>
      <c r="H380" s="124">
        <v>0.01</v>
      </c>
      <c r="J380" s="130">
        <f ca="1"/>
        <v>398.77611676745022</v>
      </c>
      <c r="K380" s="131">
        <f ca="1"/>
        <v>0.1000000000000002</v>
      </c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</row>
    <row r="381" spans="1:24" x14ac:dyDescent="0.25">
      <c r="A381" s="112">
        <v>377</v>
      </c>
      <c r="B381" s="119" t="s">
        <v>71</v>
      </c>
      <c r="C381" s="139">
        <v>5000000</v>
      </c>
      <c r="D381" s="134">
        <v>2E-3</v>
      </c>
      <c r="E381" s="124">
        <v>2E-3</v>
      </c>
      <c r="F381" s="124">
        <f t="shared" si="5"/>
        <v>0.1</v>
      </c>
      <c r="G381" s="123">
        <v>1</v>
      </c>
      <c r="H381" s="124">
        <v>0.01</v>
      </c>
      <c r="J381" s="130">
        <f ca="1"/>
        <v>398.77611676745022</v>
      </c>
      <c r="K381" s="131">
        <f ca="1"/>
        <v>0.1000000000000002</v>
      </c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</row>
    <row r="382" spans="1:24" x14ac:dyDescent="0.25">
      <c r="A382" s="112">
        <v>378</v>
      </c>
      <c r="B382" s="119" t="s">
        <v>71</v>
      </c>
      <c r="C382" s="139">
        <v>5000000</v>
      </c>
      <c r="D382" s="134">
        <v>2E-3</v>
      </c>
      <c r="E382" s="124">
        <v>2E-3</v>
      </c>
      <c r="F382" s="124">
        <f t="shared" si="5"/>
        <v>0.1</v>
      </c>
      <c r="G382" s="123">
        <v>1</v>
      </c>
      <c r="H382" s="124">
        <v>0.01</v>
      </c>
      <c r="J382" s="130">
        <f ca="1"/>
        <v>398.77611676745022</v>
      </c>
      <c r="K382" s="131">
        <f ca="1"/>
        <v>0.1000000000000002</v>
      </c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</row>
    <row r="383" spans="1:24" x14ac:dyDescent="0.25">
      <c r="A383" s="112">
        <v>379</v>
      </c>
      <c r="B383" s="119" t="s">
        <v>71</v>
      </c>
      <c r="C383" s="139">
        <v>5000000</v>
      </c>
      <c r="D383" s="134">
        <v>2E-3</v>
      </c>
      <c r="E383" s="124">
        <v>2E-3</v>
      </c>
      <c r="F383" s="124">
        <f t="shared" si="5"/>
        <v>0.1</v>
      </c>
      <c r="G383" s="123">
        <v>1</v>
      </c>
      <c r="H383" s="124">
        <v>0.01</v>
      </c>
      <c r="J383" s="130">
        <f ca="1"/>
        <v>398.77611676745022</v>
      </c>
      <c r="K383" s="131">
        <f ca="1"/>
        <v>0.1000000000000002</v>
      </c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</row>
    <row r="384" spans="1:24" x14ac:dyDescent="0.25">
      <c r="A384" s="112">
        <v>380</v>
      </c>
      <c r="B384" s="119" t="s">
        <v>71</v>
      </c>
      <c r="C384" s="139">
        <v>5000000</v>
      </c>
      <c r="D384" s="134">
        <v>2E-3</v>
      </c>
      <c r="E384" s="124">
        <v>2E-3</v>
      </c>
      <c r="F384" s="124">
        <f t="shared" si="5"/>
        <v>0.1</v>
      </c>
      <c r="G384" s="123">
        <v>1</v>
      </c>
      <c r="H384" s="124">
        <v>0.01</v>
      </c>
      <c r="J384" s="130">
        <f ca="1"/>
        <v>398.77611676745022</v>
      </c>
      <c r="K384" s="131">
        <f ca="1"/>
        <v>0.1000000000000002</v>
      </c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</row>
    <row r="385" spans="1:24" x14ac:dyDescent="0.25">
      <c r="A385" s="112">
        <v>381</v>
      </c>
      <c r="B385" s="119" t="s">
        <v>71</v>
      </c>
      <c r="C385" s="139">
        <v>5000000</v>
      </c>
      <c r="D385" s="134">
        <v>2E-3</v>
      </c>
      <c r="E385" s="124">
        <v>2E-3</v>
      </c>
      <c r="F385" s="124">
        <f t="shared" si="5"/>
        <v>0.1</v>
      </c>
      <c r="G385" s="123">
        <v>1</v>
      </c>
      <c r="H385" s="124">
        <v>0.01</v>
      </c>
      <c r="J385" s="130">
        <f ca="1"/>
        <v>398.77611676745022</v>
      </c>
      <c r="K385" s="131">
        <f ca="1"/>
        <v>0.1000000000000002</v>
      </c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</row>
    <row r="386" spans="1:24" x14ac:dyDescent="0.25">
      <c r="A386" s="112">
        <v>382</v>
      </c>
      <c r="B386" s="119" t="s">
        <v>71</v>
      </c>
      <c r="C386" s="139">
        <v>5000000</v>
      </c>
      <c r="D386" s="134">
        <v>2E-3</v>
      </c>
      <c r="E386" s="124">
        <v>2E-3</v>
      </c>
      <c r="F386" s="124">
        <f t="shared" si="5"/>
        <v>0.1</v>
      </c>
      <c r="G386" s="123">
        <v>1</v>
      </c>
      <c r="H386" s="124">
        <v>0.01</v>
      </c>
      <c r="J386" s="130">
        <f ca="1"/>
        <v>398.77611676745022</v>
      </c>
      <c r="K386" s="131">
        <f ca="1"/>
        <v>0.1000000000000002</v>
      </c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</row>
    <row r="387" spans="1:24" x14ac:dyDescent="0.25">
      <c r="A387" s="112">
        <v>383</v>
      </c>
      <c r="B387" s="119" t="s">
        <v>71</v>
      </c>
      <c r="C387" s="139">
        <v>5000000</v>
      </c>
      <c r="D387" s="134">
        <v>2E-3</v>
      </c>
      <c r="E387" s="124">
        <v>2E-3</v>
      </c>
      <c r="F387" s="124">
        <f t="shared" si="5"/>
        <v>0.1</v>
      </c>
      <c r="G387" s="123">
        <v>1</v>
      </c>
      <c r="H387" s="124">
        <v>0.01</v>
      </c>
      <c r="J387" s="130">
        <f ca="1"/>
        <v>398.77611676745022</v>
      </c>
      <c r="K387" s="131">
        <f ca="1"/>
        <v>0.1000000000000002</v>
      </c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</row>
    <row r="388" spans="1:24" x14ac:dyDescent="0.25">
      <c r="A388" s="112">
        <v>384</v>
      </c>
      <c r="B388" s="119" t="s">
        <v>71</v>
      </c>
      <c r="C388" s="139">
        <v>5000000</v>
      </c>
      <c r="D388" s="134">
        <v>2E-3</v>
      </c>
      <c r="E388" s="124">
        <v>2E-3</v>
      </c>
      <c r="F388" s="124">
        <f t="shared" si="5"/>
        <v>0.1</v>
      </c>
      <c r="G388" s="123">
        <v>1</v>
      </c>
      <c r="H388" s="124">
        <v>0.01</v>
      </c>
      <c r="J388" s="130">
        <f ca="1"/>
        <v>398.77611676745022</v>
      </c>
      <c r="K388" s="131">
        <f ca="1"/>
        <v>0.1000000000000002</v>
      </c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</row>
    <row r="389" spans="1:24" x14ac:dyDescent="0.25">
      <c r="A389" s="112">
        <v>385</v>
      </c>
      <c r="B389" s="119" t="s">
        <v>71</v>
      </c>
      <c r="C389" s="139">
        <v>5000000</v>
      </c>
      <c r="D389" s="134">
        <v>2E-3</v>
      </c>
      <c r="E389" s="124">
        <v>2E-3</v>
      </c>
      <c r="F389" s="124">
        <f t="shared" ref="F389:F404" si="6">$F$2</f>
        <v>0.1</v>
      </c>
      <c r="G389" s="123">
        <v>1</v>
      </c>
      <c r="H389" s="124">
        <v>0.01</v>
      </c>
      <c r="J389" s="130">
        <f ca="1"/>
        <v>398.77611676745022</v>
      </c>
      <c r="K389" s="131">
        <f ca="1"/>
        <v>0.1000000000000002</v>
      </c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</row>
    <row r="390" spans="1:24" x14ac:dyDescent="0.25">
      <c r="A390" s="112">
        <v>386</v>
      </c>
      <c r="B390" s="119" t="s">
        <v>71</v>
      </c>
      <c r="C390" s="139">
        <v>5000000</v>
      </c>
      <c r="D390" s="134">
        <v>2E-3</v>
      </c>
      <c r="E390" s="124">
        <v>2E-3</v>
      </c>
      <c r="F390" s="124">
        <f t="shared" si="6"/>
        <v>0.1</v>
      </c>
      <c r="G390" s="123">
        <v>1</v>
      </c>
      <c r="H390" s="124">
        <v>0.01</v>
      </c>
      <c r="J390" s="130">
        <f ca="1"/>
        <v>398.77611676745022</v>
      </c>
      <c r="K390" s="131">
        <f ca="1"/>
        <v>0.1000000000000002</v>
      </c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</row>
    <row r="391" spans="1:24" x14ac:dyDescent="0.25">
      <c r="A391" s="112">
        <v>387</v>
      </c>
      <c r="B391" s="119" t="s">
        <v>71</v>
      </c>
      <c r="C391" s="139">
        <v>5000000</v>
      </c>
      <c r="D391" s="134">
        <v>2E-3</v>
      </c>
      <c r="E391" s="124">
        <v>2E-3</v>
      </c>
      <c r="F391" s="124">
        <f t="shared" si="6"/>
        <v>0.1</v>
      </c>
      <c r="G391" s="123">
        <v>1</v>
      </c>
      <c r="H391" s="124">
        <v>0.01</v>
      </c>
      <c r="J391" s="130">
        <f ca="1"/>
        <v>398.77611676745022</v>
      </c>
      <c r="K391" s="131">
        <f ca="1"/>
        <v>0.1000000000000002</v>
      </c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</row>
    <row r="392" spans="1:24" x14ac:dyDescent="0.25">
      <c r="A392" s="112">
        <v>388</v>
      </c>
      <c r="B392" s="119" t="s">
        <v>71</v>
      </c>
      <c r="C392" s="139">
        <v>5000000</v>
      </c>
      <c r="D392" s="134">
        <v>2E-3</v>
      </c>
      <c r="E392" s="124">
        <v>2E-3</v>
      </c>
      <c r="F392" s="124">
        <f t="shared" si="6"/>
        <v>0.1</v>
      </c>
      <c r="G392" s="123">
        <v>1</v>
      </c>
      <c r="H392" s="124">
        <v>0.01</v>
      </c>
      <c r="J392" s="130">
        <f ca="1"/>
        <v>398.77611676745022</v>
      </c>
      <c r="K392" s="131">
        <f ca="1"/>
        <v>0.1000000000000002</v>
      </c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</row>
    <row r="393" spans="1:24" x14ac:dyDescent="0.25">
      <c r="A393" s="112">
        <v>389</v>
      </c>
      <c r="B393" s="119" t="s">
        <v>71</v>
      </c>
      <c r="C393" s="139">
        <v>5000000</v>
      </c>
      <c r="D393" s="134">
        <v>2E-3</v>
      </c>
      <c r="E393" s="124">
        <v>2E-3</v>
      </c>
      <c r="F393" s="124">
        <f t="shared" si="6"/>
        <v>0.1</v>
      </c>
      <c r="G393" s="123">
        <v>1</v>
      </c>
      <c r="H393" s="124">
        <v>0.01</v>
      </c>
      <c r="J393" s="130">
        <f ca="1"/>
        <v>398.77611676745022</v>
      </c>
      <c r="K393" s="131">
        <f ca="1"/>
        <v>0.1000000000000002</v>
      </c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</row>
    <row r="394" spans="1:24" x14ac:dyDescent="0.25">
      <c r="A394" s="112">
        <v>390</v>
      </c>
      <c r="B394" s="119" t="s">
        <v>71</v>
      </c>
      <c r="C394" s="139">
        <v>5000000</v>
      </c>
      <c r="D394" s="134">
        <v>2E-3</v>
      </c>
      <c r="E394" s="124">
        <v>2E-3</v>
      </c>
      <c r="F394" s="124">
        <f t="shared" si="6"/>
        <v>0.1</v>
      </c>
      <c r="G394" s="123">
        <v>1</v>
      </c>
      <c r="H394" s="124">
        <v>0.01</v>
      </c>
      <c r="J394" s="130">
        <f ca="1"/>
        <v>398.77611676745022</v>
      </c>
      <c r="K394" s="131">
        <f ca="1"/>
        <v>0.1000000000000002</v>
      </c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</row>
    <row r="395" spans="1:24" x14ac:dyDescent="0.25">
      <c r="A395" s="112">
        <v>391</v>
      </c>
      <c r="B395" s="119" t="s">
        <v>71</v>
      </c>
      <c r="C395" s="139">
        <v>5000000</v>
      </c>
      <c r="D395" s="134">
        <v>2E-3</v>
      </c>
      <c r="E395" s="124">
        <v>2E-3</v>
      </c>
      <c r="F395" s="124">
        <f t="shared" si="6"/>
        <v>0.1</v>
      </c>
      <c r="G395" s="123">
        <v>1</v>
      </c>
      <c r="H395" s="124">
        <v>0.01</v>
      </c>
      <c r="J395" s="130">
        <f ca="1"/>
        <v>398.77611676745022</v>
      </c>
      <c r="K395" s="131">
        <f ca="1"/>
        <v>0.1000000000000002</v>
      </c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</row>
    <row r="396" spans="1:24" x14ac:dyDescent="0.25">
      <c r="A396" s="112">
        <v>392</v>
      </c>
      <c r="B396" s="119" t="s">
        <v>71</v>
      </c>
      <c r="C396" s="139">
        <v>5000000</v>
      </c>
      <c r="D396" s="134">
        <v>2E-3</v>
      </c>
      <c r="E396" s="124">
        <v>2E-3</v>
      </c>
      <c r="F396" s="124">
        <f t="shared" si="6"/>
        <v>0.1</v>
      </c>
      <c r="G396" s="123">
        <v>1</v>
      </c>
      <c r="H396" s="124">
        <v>0.01</v>
      </c>
      <c r="J396" s="130">
        <f ca="1"/>
        <v>398.77611676745022</v>
      </c>
      <c r="K396" s="131">
        <f ca="1"/>
        <v>0.1000000000000002</v>
      </c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</row>
    <row r="397" spans="1:24" x14ac:dyDescent="0.25">
      <c r="A397" s="112">
        <v>393</v>
      </c>
      <c r="B397" s="119" t="s">
        <v>71</v>
      </c>
      <c r="C397" s="139">
        <v>5000000</v>
      </c>
      <c r="D397" s="134">
        <v>2E-3</v>
      </c>
      <c r="E397" s="124">
        <v>2E-3</v>
      </c>
      <c r="F397" s="124">
        <f t="shared" si="6"/>
        <v>0.1</v>
      </c>
      <c r="G397" s="123">
        <v>1</v>
      </c>
      <c r="H397" s="124">
        <v>0.01</v>
      </c>
      <c r="J397" s="130">
        <f ca="1"/>
        <v>398.77611676745022</v>
      </c>
      <c r="K397" s="131">
        <f ca="1"/>
        <v>0.1000000000000002</v>
      </c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</row>
    <row r="398" spans="1:24" x14ac:dyDescent="0.25">
      <c r="A398" s="112">
        <v>394</v>
      </c>
      <c r="B398" s="119" t="s">
        <v>71</v>
      </c>
      <c r="C398" s="139">
        <v>5000000</v>
      </c>
      <c r="D398" s="134">
        <v>2E-3</v>
      </c>
      <c r="E398" s="124">
        <v>2E-3</v>
      </c>
      <c r="F398" s="124">
        <f t="shared" si="6"/>
        <v>0.1</v>
      </c>
      <c r="G398" s="123">
        <v>1</v>
      </c>
      <c r="H398" s="124">
        <v>0.01</v>
      </c>
      <c r="J398" s="130">
        <f ca="1"/>
        <v>398.77611676745022</v>
      </c>
      <c r="K398" s="131">
        <f ca="1"/>
        <v>0.1000000000000002</v>
      </c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</row>
    <row r="399" spans="1:24" x14ac:dyDescent="0.25">
      <c r="A399" s="112">
        <v>395</v>
      </c>
      <c r="B399" s="119" t="s">
        <v>71</v>
      </c>
      <c r="C399" s="139">
        <v>5000000</v>
      </c>
      <c r="D399" s="134">
        <v>2E-3</v>
      </c>
      <c r="E399" s="124">
        <v>2E-3</v>
      </c>
      <c r="F399" s="124">
        <f t="shared" si="6"/>
        <v>0.1</v>
      </c>
      <c r="G399" s="123">
        <v>1</v>
      </c>
      <c r="H399" s="124">
        <v>0.01</v>
      </c>
      <c r="J399" s="130">
        <f ca="1"/>
        <v>398.77611676745022</v>
      </c>
      <c r="K399" s="131">
        <f ca="1"/>
        <v>0.1000000000000002</v>
      </c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</row>
    <row r="400" spans="1:24" x14ac:dyDescent="0.25">
      <c r="A400" s="112">
        <v>396</v>
      </c>
      <c r="B400" s="119" t="s">
        <v>71</v>
      </c>
      <c r="C400" s="139">
        <v>5000000</v>
      </c>
      <c r="D400" s="134">
        <v>2E-3</v>
      </c>
      <c r="E400" s="124">
        <v>2E-3</v>
      </c>
      <c r="F400" s="124">
        <f t="shared" si="6"/>
        <v>0.1</v>
      </c>
      <c r="G400" s="123">
        <v>1</v>
      </c>
      <c r="H400" s="124">
        <v>0.01</v>
      </c>
      <c r="J400" s="130">
        <f ca="1"/>
        <v>398.77611676745022</v>
      </c>
      <c r="K400" s="131">
        <f ca="1"/>
        <v>0.1000000000000002</v>
      </c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</row>
    <row r="401" spans="1:24" x14ac:dyDescent="0.25">
      <c r="A401" s="112">
        <v>397</v>
      </c>
      <c r="B401" s="119" t="s">
        <v>71</v>
      </c>
      <c r="C401" s="139">
        <v>5000000</v>
      </c>
      <c r="D401" s="134">
        <v>2E-3</v>
      </c>
      <c r="E401" s="124">
        <v>2E-3</v>
      </c>
      <c r="F401" s="124">
        <f t="shared" si="6"/>
        <v>0.1</v>
      </c>
      <c r="G401" s="123">
        <v>1</v>
      </c>
      <c r="H401" s="124">
        <v>0.01</v>
      </c>
      <c r="J401" s="130">
        <f ca="1"/>
        <v>398.77611676745022</v>
      </c>
      <c r="K401" s="131">
        <f ca="1"/>
        <v>0.1000000000000002</v>
      </c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</row>
    <row r="402" spans="1:24" x14ac:dyDescent="0.25">
      <c r="A402" s="112">
        <v>398</v>
      </c>
      <c r="B402" s="119" t="s">
        <v>71</v>
      </c>
      <c r="C402" s="139">
        <v>5000000</v>
      </c>
      <c r="D402" s="134">
        <v>2E-3</v>
      </c>
      <c r="E402" s="124">
        <v>2E-3</v>
      </c>
      <c r="F402" s="124">
        <f t="shared" si="6"/>
        <v>0.1</v>
      </c>
      <c r="G402" s="123">
        <v>1</v>
      </c>
      <c r="H402" s="124">
        <v>0.01</v>
      </c>
      <c r="J402" s="130">
        <f ca="1"/>
        <v>398.77611676745022</v>
      </c>
      <c r="K402" s="131">
        <f ca="1"/>
        <v>0.1000000000000002</v>
      </c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</row>
    <row r="403" spans="1:24" x14ac:dyDescent="0.25">
      <c r="A403" s="112">
        <v>399</v>
      </c>
      <c r="B403" s="119" t="s">
        <v>71</v>
      </c>
      <c r="C403" s="139">
        <v>5000000</v>
      </c>
      <c r="D403" s="134">
        <v>2E-3</v>
      </c>
      <c r="E403" s="124">
        <v>2E-3</v>
      </c>
      <c r="F403" s="124">
        <f t="shared" si="6"/>
        <v>0.1</v>
      </c>
      <c r="G403" s="123">
        <v>1</v>
      </c>
      <c r="H403" s="124">
        <v>0.01</v>
      </c>
      <c r="J403" s="130">
        <f ca="1"/>
        <v>398.77611676745022</v>
      </c>
      <c r="K403" s="131">
        <f ca="1"/>
        <v>0.1000000000000002</v>
      </c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</row>
    <row r="404" spans="1:24" x14ac:dyDescent="0.25">
      <c r="A404" s="112">
        <v>400</v>
      </c>
      <c r="B404" s="119" t="s">
        <v>71</v>
      </c>
      <c r="C404" s="139">
        <v>5000000</v>
      </c>
      <c r="D404" s="134">
        <v>2E-3</v>
      </c>
      <c r="E404" s="124">
        <v>2E-3</v>
      </c>
      <c r="F404" s="124">
        <f t="shared" si="6"/>
        <v>0.1</v>
      </c>
      <c r="G404" s="123">
        <v>1</v>
      </c>
      <c r="H404" s="124">
        <v>0.01</v>
      </c>
      <c r="J404" s="130">
        <f ca="1"/>
        <v>398.77611676745022</v>
      </c>
      <c r="K404" s="131">
        <f ca="1"/>
        <v>0.1000000000000002</v>
      </c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</row>
    <row r="405" spans="1:24" x14ac:dyDescent="0.25">
      <c r="A405" s="112" t="s">
        <v>64</v>
      </c>
      <c r="B405" s="119"/>
      <c r="C405" s="123"/>
      <c r="D405" s="134"/>
      <c r="E405" s="124"/>
      <c r="F405" s="124"/>
      <c r="G405" s="123"/>
      <c r="H405" s="124"/>
    </row>
  </sheetData>
  <dataValidations count="2">
    <dataValidation type="list" allowBlank="1" showInputMessage="1" showErrorMessage="1" sqref="K2">
      <formula1>"TRUE,FALSE"</formula1>
    </dataValidation>
    <dataValidation type="list" allowBlank="1" showInputMessage="1" showErrorMessage="1" sqref="B5:B405">
      <formula1>"PAYER,RECEIVER"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Normal Distribution</vt:lpstr>
      <vt:lpstr>Black-Scholes</vt:lpstr>
      <vt:lpstr>Risk</vt:lpstr>
      <vt:lpstr>Results</vt:lpstr>
      <vt:lpstr>Black-Scholes Optimize</vt:lpstr>
      <vt:lpstr>Swaption</vt:lpstr>
      <vt:lpstr>EuroSwaption Optimize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2018-01-12T12:36:01Z</dcterms:modified>
</cp:coreProperties>
</file>