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0" windowWidth="20700" windowHeight="11760"/>
  </bookViews>
  <sheets>
    <sheet name="Cash Settled Swaption" sheetId="14" r:id="rId1"/>
    <sheet name="Physical Settled Swaption" sheetId="15" r:id="rId2"/>
    <sheet name="Cash vs Bloomberg" sheetId="16" r:id="rId3"/>
    <sheet name="Physical vs Bloomberg" sheetId="17" r:id="rId4"/>
  </sheets>
  <definedNames>
    <definedName name="AsOf">#REF!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C23" i="15" l="1"/>
  <c r="C23" i="14"/>
  <c r="C19" i="15" l="1"/>
  <c r="D14" i="15"/>
  <c r="D14" i="14"/>
  <c r="C19" i="14"/>
  <c r="D5" i="15"/>
  <c r="D5" i="14"/>
  <c r="D10" i="15"/>
  <c r="D6" i="15"/>
  <c r="D13" i="15"/>
  <c r="C13" i="15"/>
  <c r="D7" i="15"/>
  <c r="D6" i="14"/>
  <c r="D7" i="14"/>
  <c r="D9" i="15"/>
  <c r="D16" i="15"/>
  <c r="C13" i="14"/>
  <c r="C16" i="15" l="1"/>
  <c r="D13" i="14"/>
  <c r="D16" i="14"/>
  <c r="D9" i="14"/>
  <c r="D3" i="15"/>
  <c r="D10" i="14"/>
  <c r="D3" i="14"/>
  <c r="D15" i="15"/>
  <c r="D15" i="14" l="1"/>
  <c r="C16" i="14" l="1"/>
</calcChain>
</file>

<file path=xl/sharedStrings.xml><?xml version="1.0" encoding="utf-8"?>
<sst xmlns="http://schemas.openxmlformats.org/spreadsheetml/2006/main" count="170" uniqueCount="45">
  <si>
    <t>Strike</t>
  </si>
  <si>
    <t>Price</t>
  </si>
  <si>
    <t>Annuity</t>
  </si>
  <si>
    <t>PayerReceiver</t>
  </si>
  <si>
    <t>SwapRate</t>
  </si>
  <si>
    <t>PAYER</t>
  </si>
  <si>
    <t>Black-76 Vol</t>
  </si>
  <si>
    <t>Notional</t>
  </si>
  <si>
    <t>2D</t>
  </si>
  <si>
    <t>Curve</t>
  </si>
  <si>
    <t>Expiry</t>
  </si>
  <si>
    <t>NotificationLag</t>
  </si>
  <si>
    <t>SwapTenor</t>
  </si>
  <si>
    <t>UnderlyingSwap</t>
  </si>
  <si>
    <t>USD</t>
  </si>
  <si>
    <t>USD_3ML</t>
  </si>
  <si>
    <t>Unadjusted</t>
  </si>
  <si>
    <t>NYB:LNB</t>
  </si>
  <si>
    <t>UNDERLYING SWAP</t>
  </si>
  <si>
    <t>CreateSwap</t>
  </si>
  <si>
    <t>USDYC</t>
  </si>
  <si>
    <t>CASH</t>
  </si>
  <si>
    <t>PRICE</t>
  </si>
  <si>
    <t>TimeToExpiry</t>
  </si>
  <si>
    <t>No Coupons Per Year</t>
  </si>
  <si>
    <t>StubType</t>
  </si>
  <si>
    <t>SHORT_START</t>
  </si>
  <si>
    <t>ValuationDate</t>
  </si>
  <si>
    <t>Cash Annuity</t>
  </si>
  <si>
    <t>Physical Annuity</t>
  </si>
  <si>
    <t>PHYSICAL</t>
  </si>
  <si>
    <t>FixedFrequency</t>
  </si>
  <si>
    <t>SEMI-ANNUAL</t>
  </si>
  <si>
    <t>Lognormal Vol</t>
  </si>
  <si>
    <t>BBG</t>
  </si>
  <si>
    <t>+/-</t>
  </si>
  <si>
    <t>Swap Tenor</t>
  </si>
  <si>
    <t>2Y</t>
  </si>
  <si>
    <t>10Y</t>
  </si>
  <si>
    <t>Discount Factor</t>
  </si>
  <si>
    <t>USD SWAPTION - CASH SETTLEMENT</t>
  </si>
  <si>
    <t>SettlementType</t>
  </si>
  <si>
    <t>USD SWAPTION - PHYSICAL SETTLEMENT</t>
  </si>
  <si>
    <t>USD_3ML@610:0</t>
  </si>
  <si>
    <t>USD_3ML@609:0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</si>
</sst>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0000"/>
    <numFmt numFmtId="165" formatCode="#,##0.0000"/>
    <numFmt numFmtId="166" formatCode="ddd\,\ d\-mmm\-yy"/>
    <numFmt numFmtId="167" formatCode="0.00000%"/>
    <numFmt numFmtId="168" formatCode="0.000000%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3399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168" fontId="0" fillId="3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4" fontId="0" fillId="0" borderId="0" xfId="0" applyNumberFormat="1"/>
    <xf numFmtId="3" fontId="0" fillId="0" borderId="0" xfId="0" applyNumberFormat="1" applyAlignment="1">
      <alignment horizontal="center" vertical="center"/>
    </xf>
    <xf numFmtId="0" fontId="3" fillId="0" borderId="0" xfId="0" applyFont="1"/>
    <xf numFmtId="168" fontId="1" fillId="3" borderId="2" xfId="0" applyNumberFormat="1" applyFont="1" applyFill="1" applyBorder="1" applyAlignment="1">
      <alignment horizontal="center" vertical="center"/>
    </xf>
    <xf numFmtId="10" fontId="0" fillId="3" borderId="2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168" fontId="0" fillId="3" borderId="3" xfId="0" applyNumberFormat="1" applyFont="1" applyFill="1" applyBorder="1" applyAlignment="1">
      <alignment horizontal="center" vertical="center"/>
    </xf>
    <xf numFmtId="0" fontId="0" fillId="0" borderId="0" xfId="0" quotePrefix="1"/>
    <xf numFmtId="0" fontId="4" fillId="0" borderId="0" xfId="0" applyFont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66" fontId="4" fillId="0" borderId="0" xfId="0" applyNumberFormat="1" applyFont="1" applyAlignment="1">
      <alignment horizontal="center" vertical="center"/>
    </xf>
    <xf numFmtId="168" fontId="4" fillId="0" borderId="4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33"/>
      <color rgb="FF006600"/>
      <color rgb="FFFFFFCC"/>
      <color rgb="FFFFFF99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25</xdr:col>
      <xdr:colOff>220808</xdr:colOff>
      <xdr:row>26</xdr:row>
      <xdr:rowOff>172112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381000"/>
          <a:ext cx="12412808" cy="47441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25</xdr:col>
      <xdr:colOff>220808</xdr:colOff>
      <xdr:row>27</xdr:row>
      <xdr:rowOff>665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381000"/>
          <a:ext cx="12412808" cy="4763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showGridLines="0" tabSelected="1" workbookViewId="0"/>
  </sheetViews>
  <sheetFormatPr defaultRowHeight="15" x14ac:dyDescent="0.25"/>
  <cols>
    <col min="1" max="1" width="9.140625" customWidth="1"/>
    <col min="2" max="5" width="20.7109375" customWidth="1"/>
  </cols>
  <sheetData>
    <row r="2" spans="2:11" x14ac:dyDescent="0.25">
      <c r="B2" s="2" t="s">
        <v>40</v>
      </c>
    </row>
    <row r="3" spans="2:11" x14ac:dyDescent="0.25">
      <c r="B3" s="10" t="s">
        <v>3</v>
      </c>
      <c r="C3" s="23" t="s">
        <v>5</v>
      </c>
      <c r="D3" s="30">
        <f ca="1">_xll.meDateYearFraction(C19,D7,"ACT/365")</f>
        <v>1.9917808219178081</v>
      </c>
      <c r="E3" s="14" t="s">
        <v>23</v>
      </c>
    </row>
    <row r="4" spans="2:11" x14ac:dyDescent="0.25">
      <c r="B4" s="11" t="s">
        <v>7</v>
      </c>
      <c r="C4" s="8">
        <v>1000000</v>
      </c>
      <c r="D4" s="31"/>
    </row>
    <row r="5" spans="2:11" x14ac:dyDescent="0.25">
      <c r="B5" s="11" t="s">
        <v>10</v>
      </c>
      <c r="C5" s="4" t="s">
        <v>37</v>
      </c>
      <c r="D5" s="32">
        <f ca="1">_xll.meDateFromTenor($C$19,C5,"MOD_FOLLOWING",E5)</f>
        <v>43843</v>
      </c>
      <c r="E5" s="2" t="s">
        <v>17</v>
      </c>
    </row>
    <row r="6" spans="2:11" x14ac:dyDescent="0.25">
      <c r="B6" s="11" t="s">
        <v>12</v>
      </c>
      <c r="C6" s="4" t="s">
        <v>38</v>
      </c>
      <c r="D6" s="32">
        <f ca="1">_xll.meDateFromTenor($D$5,C6)</f>
        <v>47496</v>
      </c>
      <c r="E6" s="2" t="s">
        <v>16</v>
      </c>
    </row>
    <row r="7" spans="2:11" x14ac:dyDescent="0.25">
      <c r="B7" s="11" t="s">
        <v>11</v>
      </c>
      <c r="C7" s="5" t="s">
        <v>8</v>
      </c>
      <c r="D7" s="32">
        <f ca="1">_xll.meDateFromTenor(D5,"-"&amp;C7,"MOD_FOLLOWING",E7)</f>
        <v>43839</v>
      </c>
      <c r="E7" s="2" t="s">
        <v>17</v>
      </c>
    </row>
    <row r="8" spans="2:11" x14ac:dyDescent="0.25">
      <c r="B8" s="11" t="s">
        <v>13</v>
      </c>
      <c r="C8" s="7" t="s">
        <v>15</v>
      </c>
      <c r="D8" s="31"/>
    </row>
    <row r="9" spans="2:11" x14ac:dyDescent="0.25">
      <c r="B9" s="11" t="s">
        <v>4</v>
      </c>
      <c r="C9" s="9">
        <v>2.6691550000000001E-2</v>
      </c>
      <c r="D9" s="33">
        <f ca="1">_xll.meLWOSwapParRate(C13,C20)</f>
        <v>2.6720884222738245E-2</v>
      </c>
      <c r="E9" s="14" t="s">
        <v>4</v>
      </c>
    </row>
    <row r="10" spans="2:11" x14ac:dyDescent="0.25">
      <c r="B10" s="12" t="s">
        <v>0</v>
      </c>
      <c r="C10" s="26">
        <v>2.6691550000000001E-2</v>
      </c>
      <c r="D10" s="34">
        <f ca="1">_xll.meCurveDiscountFactors(D5,C20,"USDOIS")</f>
        <v>0.96183434341169971</v>
      </c>
      <c r="E10" s="14" t="s">
        <v>39</v>
      </c>
    </row>
    <row r="11" spans="2:11" x14ac:dyDescent="0.25">
      <c r="B11" s="17"/>
      <c r="C11" s="17"/>
      <c r="D11" s="31"/>
    </row>
    <row r="12" spans="2:11" x14ac:dyDescent="0.25">
      <c r="B12" s="2" t="s">
        <v>18</v>
      </c>
      <c r="D12" s="31"/>
    </row>
    <row r="13" spans="2:11" x14ac:dyDescent="0.25">
      <c r="B13" s="10" t="s">
        <v>19</v>
      </c>
      <c r="C13" s="22" t="str">
        <f ca="1">_xll.meLWOSwapCreateFromGenerator(C8,C8,C3,C4,D5,D6,C9,0)</f>
        <v>USD_3ML@17:3</v>
      </c>
      <c r="D13" s="30">
        <f ca="1">_xll.meDateYearFraction(D5,D6,"ACT/365")</f>
        <v>10.008219178082191</v>
      </c>
      <c r="E13" t="s">
        <v>36</v>
      </c>
    </row>
    <row r="14" spans="2:11" x14ac:dyDescent="0.25">
      <c r="B14" s="11" t="s">
        <v>31</v>
      </c>
      <c r="C14" s="18" t="s">
        <v>32</v>
      </c>
      <c r="D14" s="28">
        <f>IF(C14="ANNUAL",1,IF(C14="SEMI-ANNUAL",2,IF(C14="QUARTERLY",4,12)))</f>
        <v>2</v>
      </c>
      <c r="E14" t="s">
        <v>24</v>
      </c>
    </row>
    <row r="15" spans="2:11" x14ac:dyDescent="0.25">
      <c r="B15" s="11" t="s">
        <v>25</v>
      </c>
      <c r="C15" s="18" t="s">
        <v>26</v>
      </c>
      <c r="D15" s="29">
        <f ca="1">_xll.meMathEuropeanIRSwaptionCashAnnuity(C4,C9,D14,D13,C15)*D10</f>
        <v>8398983.5442984402</v>
      </c>
      <c r="E15" t="s">
        <v>28</v>
      </c>
      <c r="K15" s="3"/>
    </row>
    <row r="16" spans="2:11" x14ac:dyDescent="0.25">
      <c r="B16" s="12" t="s">
        <v>2</v>
      </c>
      <c r="C16" s="25">
        <f ca="1">IF(C21="CASH",D15,D16)</f>
        <v>8398983.5442984402</v>
      </c>
      <c r="D16" s="29">
        <f ca="1">_xll.meLWOSwapAnnuity(C13,C20,"Leg1:Fixed")</f>
        <v>8565607.3106300365</v>
      </c>
      <c r="E16" t="s">
        <v>29</v>
      </c>
    </row>
    <row r="17" spans="1:13" x14ac:dyDescent="0.25">
      <c r="A17" s="14"/>
      <c r="D17" s="17"/>
    </row>
    <row r="18" spans="1:13" x14ac:dyDescent="0.25">
      <c r="B18" s="2" t="s">
        <v>22</v>
      </c>
      <c r="D18" s="17"/>
      <c r="K18" s="2"/>
      <c r="M18" s="1"/>
    </row>
    <row r="19" spans="1:13" x14ac:dyDescent="0.25">
      <c r="B19" s="10" t="s">
        <v>27</v>
      </c>
      <c r="C19" s="24">
        <f ca="1">TODAY()</f>
        <v>43112</v>
      </c>
      <c r="E19" s="36"/>
      <c r="L19" s="16"/>
      <c r="M19" s="16"/>
    </row>
    <row r="20" spans="1:13" x14ac:dyDescent="0.25">
      <c r="B20" s="11" t="s">
        <v>9</v>
      </c>
      <c r="C20" s="6" t="s">
        <v>20</v>
      </c>
      <c r="E20" s="15"/>
      <c r="M20" s="16"/>
    </row>
    <row r="21" spans="1:13" x14ac:dyDescent="0.25">
      <c r="B21" s="11" t="s">
        <v>41</v>
      </c>
      <c r="C21" s="6" t="s">
        <v>21</v>
      </c>
      <c r="D21" s="20"/>
      <c r="M21" s="16"/>
    </row>
    <row r="22" spans="1:13" x14ac:dyDescent="0.25">
      <c r="B22" s="11" t="s">
        <v>6</v>
      </c>
      <c r="C22" s="19">
        <v>0.24110000000000001</v>
      </c>
      <c r="D22" s="1" t="s">
        <v>33</v>
      </c>
      <c r="E22" s="15"/>
    </row>
    <row r="23" spans="1:13" x14ac:dyDescent="0.25">
      <c r="B23" s="12" t="s">
        <v>1</v>
      </c>
      <c r="C23" s="21">
        <f ca="1">_xll.meMathEuropeanIRSwaptionPrice(C3,C16,C9,C10,C22,D3)</f>
        <v>30285.69139493223</v>
      </c>
      <c r="D23" s="13" t="s">
        <v>14</v>
      </c>
      <c r="E23" s="35"/>
    </row>
    <row r="25" spans="1:13" x14ac:dyDescent="0.25">
      <c r="C25" s="16"/>
      <c r="H25" s="2"/>
    </row>
    <row r="26" spans="1:13" x14ac:dyDescent="0.25">
      <c r="B26" s="27"/>
      <c r="C26" s="16"/>
      <c r="I26" s="36"/>
    </row>
    <row r="27" spans="1:13" x14ac:dyDescent="0.25">
      <c r="I27" s="36"/>
    </row>
    <row r="28" spans="1:13" x14ac:dyDescent="0.25">
      <c r="H28" s="27"/>
      <c r="I28" s="36"/>
    </row>
  </sheetData>
  <dataValidations count="4">
    <dataValidation type="list" allowBlank="1" showInputMessage="1" showErrorMessage="1" sqref="C3">
      <formula1>"PAYER,RECEIVER"</formula1>
    </dataValidation>
    <dataValidation type="list" allowBlank="1" showInputMessage="1" showErrorMessage="1" sqref="C21">
      <formula1>"CASH,PHYSICAL"</formula1>
    </dataValidation>
    <dataValidation type="list" allowBlank="1" showInputMessage="1" showErrorMessage="1" sqref="C14">
      <formula1>"ANNUAL,SEMI-ANNUAL,QUARTERLY,MONTHLY"</formula1>
    </dataValidation>
    <dataValidation type="list" allowBlank="1" showInputMessage="1" showErrorMessage="1" sqref="C15">
      <formula1>"SHORT_START,SHORT_END,LONG_START,LONG_END,NONE"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showGridLines="0" workbookViewId="0"/>
  </sheetViews>
  <sheetFormatPr defaultRowHeight="15" x14ac:dyDescent="0.25"/>
  <cols>
    <col min="1" max="1" width="9.140625" customWidth="1"/>
    <col min="2" max="5" width="20.7109375" customWidth="1"/>
  </cols>
  <sheetData>
    <row r="2" spans="2:11" x14ac:dyDescent="0.25">
      <c r="B2" s="2" t="s">
        <v>42</v>
      </c>
    </row>
    <row r="3" spans="2:11" x14ac:dyDescent="0.25">
      <c r="B3" s="10" t="s">
        <v>3</v>
      </c>
      <c r="C3" s="23" t="s">
        <v>5</v>
      </c>
      <c r="D3" s="30">
        <f ca="1">_xll.meDateYearFraction(C19,D7,"ACT/365")</f>
        <v>1.9917808219178081</v>
      </c>
      <c r="E3" s="14" t="s">
        <v>23</v>
      </c>
    </row>
    <row r="4" spans="2:11" x14ac:dyDescent="0.25">
      <c r="B4" s="11" t="s">
        <v>7</v>
      </c>
      <c r="C4" s="8">
        <v>1000000</v>
      </c>
      <c r="D4" s="31"/>
    </row>
    <row r="5" spans="2:11" x14ac:dyDescent="0.25">
      <c r="B5" s="11" t="s">
        <v>10</v>
      </c>
      <c r="C5" s="4" t="s">
        <v>37</v>
      </c>
      <c r="D5" s="32">
        <f ca="1">_xll.meDateFromTenor($C$19,C5,"MOD_FOLLOWING",E5)</f>
        <v>43843</v>
      </c>
      <c r="E5" s="2" t="s">
        <v>17</v>
      </c>
    </row>
    <row r="6" spans="2:11" x14ac:dyDescent="0.25">
      <c r="B6" s="11" t="s">
        <v>12</v>
      </c>
      <c r="C6" s="4" t="s">
        <v>38</v>
      </c>
      <c r="D6" s="32">
        <f ca="1">_xll.meDateFromTenor($D$5,C6)</f>
        <v>47496</v>
      </c>
      <c r="E6" s="2" t="s">
        <v>16</v>
      </c>
    </row>
    <row r="7" spans="2:11" x14ac:dyDescent="0.25">
      <c r="B7" s="11" t="s">
        <v>11</v>
      </c>
      <c r="C7" s="5" t="s">
        <v>8</v>
      </c>
      <c r="D7" s="32">
        <f ca="1">_xll.meDateFromTenor(D5,"-"&amp;C7,"MOD_FOLLOWING",E7)</f>
        <v>43839</v>
      </c>
      <c r="E7" s="2" t="s">
        <v>17</v>
      </c>
    </row>
    <row r="8" spans="2:11" x14ac:dyDescent="0.25">
      <c r="B8" s="11" t="s">
        <v>13</v>
      </c>
      <c r="C8" s="7" t="s">
        <v>15</v>
      </c>
      <c r="D8" s="31"/>
    </row>
    <row r="9" spans="2:11" x14ac:dyDescent="0.25">
      <c r="B9" s="11" t="s">
        <v>4</v>
      </c>
      <c r="C9" s="9">
        <v>2.6691550000000001E-2</v>
      </c>
      <c r="D9" s="33">
        <f ca="1">_xll.meLWOSwapParRate(C13,C20)</f>
        <v>2.6720884222738245E-2</v>
      </c>
      <c r="E9" s="14" t="s">
        <v>4</v>
      </c>
    </row>
    <row r="10" spans="2:11" x14ac:dyDescent="0.25">
      <c r="B10" s="12" t="s">
        <v>0</v>
      </c>
      <c r="C10" s="26">
        <v>2.6691550000000001E-2</v>
      </c>
      <c r="D10" s="34">
        <f ca="1">_xll.meCurveDiscountFactors(D5,C20,"USDOIS")</f>
        <v>0.96183434341169971</v>
      </c>
      <c r="E10" s="14" t="s">
        <v>39</v>
      </c>
    </row>
    <row r="11" spans="2:11" x14ac:dyDescent="0.25">
      <c r="B11" s="17"/>
      <c r="C11" s="17"/>
      <c r="D11" s="31"/>
    </row>
    <row r="12" spans="2:11" x14ac:dyDescent="0.25">
      <c r="B12" s="2" t="s">
        <v>18</v>
      </c>
      <c r="D12" s="31"/>
    </row>
    <row r="13" spans="2:11" x14ac:dyDescent="0.25">
      <c r="B13" s="10" t="s">
        <v>19</v>
      </c>
      <c r="C13" s="22" t="str">
        <f ca="1">_xll.meLWOSwapCreateFromGenerator(C8,C8,C3,C4,D5,D6,C9,0)</f>
        <v>USD_3ML@16:2</v>
      </c>
      <c r="D13" s="30">
        <f ca="1">_xll.meDateYearFraction(D5,D6,"ACT/365")</f>
        <v>10.008219178082191</v>
      </c>
      <c r="E13" t="s">
        <v>36</v>
      </c>
    </row>
    <row r="14" spans="2:11" x14ac:dyDescent="0.25">
      <c r="B14" s="11" t="s">
        <v>31</v>
      </c>
      <c r="C14" s="18" t="s">
        <v>32</v>
      </c>
      <c r="D14" s="28">
        <f>IF(C14="ANNUAL",1,IF(C14="SEMI-ANNUAL",2,IF(C14="QUARTERLY",4,12)))</f>
        <v>2</v>
      </c>
      <c r="E14" t="s">
        <v>24</v>
      </c>
    </row>
    <row r="15" spans="2:11" x14ac:dyDescent="0.25">
      <c r="B15" s="11" t="s">
        <v>25</v>
      </c>
      <c r="C15" s="18" t="s">
        <v>26</v>
      </c>
      <c r="D15" s="29">
        <f ca="1">_xll.meMathEuropeanIRSwaptionCashAnnuity(C4,C9,D14,D13,C15)*D10</f>
        <v>8398983.5442984402</v>
      </c>
      <c r="E15" t="s">
        <v>28</v>
      </c>
      <c r="K15" s="3"/>
    </row>
    <row r="16" spans="2:11" x14ac:dyDescent="0.25">
      <c r="B16" s="12" t="s">
        <v>2</v>
      </c>
      <c r="C16" s="25">
        <f ca="1">IF(C21="CASH",D15,D16)</f>
        <v>8565607.3106300365</v>
      </c>
      <c r="D16" s="29">
        <f ca="1">_xll.meLWOSwapAnnuity(C13,C20,"Leg1:Fixed")</f>
        <v>8565607.3106300365</v>
      </c>
      <c r="E16" t="s">
        <v>29</v>
      </c>
    </row>
    <row r="17" spans="1:13" x14ac:dyDescent="0.25">
      <c r="A17" s="14"/>
      <c r="D17" s="17"/>
    </row>
    <row r="18" spans="1:13" x14ac:dyDescent="0.25">
      <c r="B18" s="2" t="s">
        <v>22</v>
      </c>
      <c r="D18" s="17"/>
      <c r="K18" s="2"/>
      <c r="M18" s="1"/>
    </row>
    <row r="19" spans="1:13" x14ac:dyDescent="0.25">
      <c r="B19" s="10" t="s">
        <v>27</v>
      </c>
      <c r="C19" s="24">
        <f ca="1">TODAY()</f>
        <v>43112</v>
      </c>
      <c r="E19" s="36"/>
      <c r="L19" s="16"/>
      <c r="M19" s="16"/>
    </row>
    <row r="20" spans="1:13" x14ac:dyDescent="0.25">
      <c r="B20" s="11" t="s">
        <v>9</v>
      </c>
      <c r="C20" s="6" t="s">
        <v>20</v>
      </c>
      <c r="E20" s="15"/>
      <c r="M20" s="16"/>
    </row>
    <row r="21" spans="1:13" x14ac:dyDescent="0.25">
      <c r="B21" s="11" t="s">
        <v>41</v>
      </c>
      <c r="C21" s="6" t="s">
        <v>30</v>
      </c>
      <c r="D21" s="20"/>
      <c r="M21" s="16"/>
    </row>
    <row r="22" spans="1:13" x14ac:dyDescent="0.25">
      <c r="B22" s="11" t="s">
        <v>6</v>
      </c>
      <c r="C22" s="19">
        <v>0.24110000000000001</v>
      </c>
      <c r="D22" s="1" t="s">
        <v>33</v>
      </c>
      <c r="E22" s="15"/>
    </row>
    <row r="23" spans="1:13" x14ac:dyDescent="0.25">
      <c r="B23" s="12" t="s">
        <v>1</v>
      </c>
      <c r="C23" s="21">
        <f ca="1">_xll.meMathEuropeanIRSwaptionPrice(C3,C16,C9,C10,C22,D3)</f>
        <v>30886.515999429241</v>
      </c>
      <c r="D23" s="13" t="s">
        <v>14</v>
      </c>
      <c r="E23" s="35"/>
    </row>
    <row r="25" spans="1:13" x14ac:dyDescent="0.25">
      <c r="C25" s="16"/>
      <c r="H25" s="2"/>
    </row>
    <row r="26" spans="1:13" x14ac:dyDescent="0.25">
      <c r="B26" s="27"/>
      <c r="C26" s="16"/>
      <c r="I26" s="36"/>
    </row>
    <row r="27" spans="1:13" x14ac:dyDescent="0.25">
      <c r="I27" s="36"/>
    </row>
    <row r="28" spans="1:13" x14ac:dyDescent="0.25">
      <c r="H28" s="27"/>
      <c r="I28" s="36"/>
    </row>
  </sheetData>
  <dataValidations count="4">
    <dataValidation type="list" allowBlank="1" showInputMessage="1" showErrorMessage="1" sqref="C15">
      <formula1>"SHORT_START,SHORT_END,LONG_START,LONG_END,NONE"</formula1>
    </dataValidation>
    <dataValidation type="list" allowBlank="1" showInputMessage="1" showErrorMessage="1" sqref="C14">
      <formula1>"ANNUAL,SEMI-ANNUAL,QUARTERLY,MONTHLY"</formula1>
    </dataValidation>
    <dataValidation type="list" allowBlank="1" showInputMessage="1" showErrorMessage="1" sqref="C21">
      <formula1>"CASH,PHYSICAL"</formula1>
    </dataValidation>
    <dataValidation type="list" allowBlank="1" showInputMessage="1" showErrorMessage="1" sqref="C3">
      <formula1>"PAYER,RECEIVER"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showGridLines="0" workbookViewId="0"/>
  </sheetViews>
  <sheetFormatPr defaultRowHeight="15" x14ac:dyDescent="0.25"/>
  <cols>
    <col min="1" max="1" width="9.140625" customWidth="1"/>
    <col min="2" max="5" width="20.7109375" customWidth="1"/>
  </cols>
  <sheetData>
    <row r="2" spans="2:11" x14ac:dyDescent="0.25">
      <c r="B2" s="2" t="s">
        <v>40</v>
      </c>
    </row>
    <row r="3" spans="2:11" x14ac:dyDescent="0.25">
      <c r="B3" s="10" t="s">
        <v>3</v>
      </c>
      <c r="C3" s="23" t="s">
        <v>5</v>
      </c>
      <c r="D3" s="30">
        <v>1.9917808219178081</v>
      </c>
      <c r="E3" s="14" t="s">
        <v>23</v>
      </c>
    </row>
    <row r="4" spans="2:11" x14ac:dyDescent="0.25">
      <c r="B4" s="11" t="s">
        <v>7</v>
      </c>
      <c r="C4" s="8">
        <v>1000000</v>
      </c>
      <c r="D4" s="31"/>
    </row>
    <row r="5" spans="2:11" x14ac:dyDescent="0.25">
      <c r="B5" s="11" t="s">
        <v>10</v>
      </c>
      <c r="C5" s="4" t="s">
        <v>37</v>
      </c>
      <c r="D5" s="32">
        <v>43843</v>
      </c>
      <c r="E5" s="2" t="s">
        <v>17</v>
      </c>
    </row>
    <row r="6" spans="2:11" x14ac:dyDescent="0.25">
      <c r="B6" s="11" t="s">
        <v>12</v>
      </c>
      <c r="C6" s="4" t="s">
        <v>38</v>
      </c>
      <c r="D6" s="32">
        <v>47496</v>
      </c>
      <c r="E6" s="2" t="s">
        <v>16</v>
      </c>
    </row>
    <row r="7" spans="2:11" x14ac:dyDescent="0.25">
      <c r="B7" s="11" t="s">
        <v>11</v>
      </c>
      <c r="C7" s="5" t="s">
        <v>8</v>
      </c>
      <c r="D7" s="32">
        <v>43839</v>
      </c>
      <c r="E7" s="2" t="s">
        <v>17</v>
      </c>
    </row>
    <row r="8" spans="2:11" x14ac:dyDescent="0.25">
      <c r="B8" s="11" t="s">
        <v>13</v>
      </c>
      <c r="C8" s="7" t="s">
        <v>15</v>
      </c>
      <c r="D8" s="31"/>
    </row>
    <row r="9" spans="2:11" x14ac:dyDescent="0.25">
      <c r="B9" s="11" t="s">
        <v>4</v>
      </c>
      <c r="C9" s="9">
        <v>2.6691550000000001E-2</v>
      </c>
      <c r="D9" s="33">
        <v>2.6727620086817963E-2</v>
      </c>
      <c r="E9" s="14" t="s">
        <v>4</v>
      </c>
    </row>
    <row r="10" spans="2:11" x14ac:dyDescent="0.25">
      <c r="B10" s="12" t="s">
        <v>0</v>
      </c>
      <c r="C10" s="26">
        <v>2.6691550000000001E-2</v>
      </c>
      <c r="D10" s="34">
        <v>0.96193216052110764</v>
      </c>
      <c r="E10" s="14" t="s">
        <v>39</v>
      </c>
    </row>
    <row r="11" spans="2:11" x14ac:dyDescent="0.25">
      <c r="B11" s="17"/>
      <c r="C11" s="17"/>
      <c r="D11" s="31"/>
    </row>
    <row r="12" spans="2:11" x14ac:dyDescent="0.25">
      <c r="B12" s="2" t="s">
        <v>18</v>
      </c>
      <c r="D12" s="31"/>
    </row>
    <row r="13" spans="2:11" x14ac:dyDescent="0.25">
      <c r="B13" s="10" t="s">
        <v>19</v>
      </c>
      <c r="C13" s="22" t="s">
        <v>43</v>
      </c>
      <c r="D13" s="30">
        <v>10.008219178082191</v>
      </c>
      <c r="E13" t="s">
        <v>36</v>
      </c>
    </row>
    <row r="14" spans="2:11" x14ac:dyDescent="0.25">
      <c r="B14" s="11" t="s">
        <v>31</v>
      </c>
      <c r="C14" s="18" t="s">
        <v>32</v>
      </c>
      <c r="D14" s="28">
        <v>2</v>
      </c>
      <c r="E14" t="s">
        <v>24</v>
      </c>
    </row>
    <row r="15" spans="2:11" x14ac:dyDescent="0.25">
      <c r="B15" s="11" t="s">
        <v>25</v>
      </c>
      <c r="C15" s="18" t="s">
        <v>26</v>
      </c>
      <c r="D15" s="29">
        <v>8399837.7083214819</v>
      </c>
      <c r="E15" t="s">
        <v>28</v>
      </c>
      <c r="K15" s="3"/>
    </row>
    <row r="16" spans="2:11" x14ac:dyDescent="0.25">
      <c r="B16" s="12" t="s">
        <v>2</v>
      </c>
      <c r="C16" s="25">
        <v>8399837.7083214819</v>
      </c>
      <c r="D16" s="29">
        <v>8566550.4664983712</v>
      </c>
      <c r="E16" t="s">
        <v>29</v>
      </c>
    </row>
    <row r="17" spans="1:13" x14ac:dyDescent="0.25">
      <c r="A17" s="14"/>
      <c r="D17" s="17"/>
    </row>
    <row r="18" spans="1:13" x14ac:dyDescent="0.25">
      <c r="B18" s="2" t="s">
        <v>22</v>
      </c>
      <c r="D18" s="17"/>
      <c r="K18" s="2"/>
      <c r="M18" s="1"/>
    </row>
    <row r="19" spans="1:13" x14ac:dyDescent="0.25">
      <c r="B19" s="10" t="s">
        <v>27</v>
      </c>
      <c r="C19" s="24">
        <v>43112</v>
      </c>
      <c r="E19" s="36"/>
      <c r="L19" s="16"/>
      <c r="M19" s="16"/>
    </row>
    <row r="20" spans="1:13" x14ac:dyDescent="0.25">
      <c r="B20" s="11" t="s">
        <v>9</v>
      </c>
      <c r="C20" s="6" t="s">
        <v>20</v>
      </c>
      <c r="E20" s="15"/>
      <c r="M20" s="16"/>
    </row>
    <row r="21" spans="1:13" x14ac:dyDescent="0.25">
      <c r="B21" s="11" t="s">
        <v>41</v>
      </c>
      <c r="C21" s="6" t="s">
        <v>21</v>
      </c>
      <c r="D21" s="20"/>
      <c r="M21" s="16"/>
    </row>
    <row r="22" spans="1:13" x14ac:dyDescent="0.25">
      <c r="B22" s="11" t="s">
        <v>6</v>
      </c>
      <c r="C22" s="19">
        <v>0.24110000000000001</v>
      </c>
      <c r="D22" s="1" t="s">
        <v>33</v>
      </c>
      <c r="E22" s="15"/>
    </row>
    <row r="23" spans="1:13" x14ac:dyDescent="0.25">
      <c r="B23" s="12" t="s">
        <v>1</v>
      </c>
      <c r="C23" s="21">
        <v>30288.771404300751</v>
      </c>
      <c r="D23" s="13" t="s">
        <v>14</v>
      </c>
      <c r="E23" s="35"/>
    </row>
    <row r="25" spans="1:13" x14ac:dyDescent="0.25">
      <c r="B25" t="s">
        <v>34</v>
      </c>
      <c r="C25" s="16">
        <v>30365.8</v>
      </c>
      <c r="H25" s="2"/>
    </row>
    <row r="26" spans="1:13" x14ac:dyDescent="0.25">
      <c r="B26" s="27" t="s">
        <v>35</v>
      </c>
      <c r="C26" s="16">
        <v>-77.028595699248399</v>
      </c>
      <c r="I26" s="36"/>
    </row>
    <row r="27" spans="1:13" x14ac:dyDescent="0.25">
      <c r="I27" s="36"/>
    </row>
    <row r="28" spans="1:13" x14ac:dyDescent="0.25">
      <c r="H28" s="27"/>
      <c r="I28" s="36"/>
    </row>
  </sheetData>
  <dataValidations count="4">
    <dataValidation type="list" allowBlank="1" showInputMessage="1" showErrorMessage="1" sqref="C15">
      <formula1>"SHORT_START,SHORT_END,LONG_START,LONG_END,NONE"</formula1>
    </dataValidation>
    <dataValidation type="list" allowBlank="1" showInputMessage="1" showErrorMessage="1" sqref="C14">
      <formula1>"ANNUAL,SEMI-ANNUAL,QUARTERLY,MONTHLY"</formula1>
    </dataValidation>
    <dataValidation type="list" allowBlank="1" showInputMessage="1" showErrorMessage="1" sqref="C21">
      <formula1>"CASH,PHYSICAL"</formula1>
    </dataValidation>
    <dataValidation type="list" allowBlank="1" showInputMessage="1" showErrorMessage="1" sqref="C3">
      <formula1>"PAYER,RECEIVER"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showGridLines="0" workbookViewId="0"/>
  </sheetViews>
  <sheetFormatPr defaultRowHeight="15" x14ac:dyDescent="0.25"/>
  <cols>
    <col min="1" max="1" width="9.140625" customWidth="1"/>
    <col min="2" max="5" width="20.7109375" customWidth="1"/>
  </cols>
  <sheetData>
    <row r="2" spans="2:11" x14ac:dyDescent="0.25">
      <c r="B2" s="2" t="s">
        <v>42</v>
      </c>
    </row>
    <row r="3" spans="2:11" x14ac:dyDescent="0.25">
      <c r="B3" s="10" t="s">
        <v>3</v>
      </c>
      <c r="C3" s="23" t="s">
        <v>5</v>
      </c>
      <c r="D3" s="30">
        <v>1.9917808219178081</v>
      </c>
      <c r="E3" s="14" t="s">
        <v>23</v>
      </c>
    </row>
    <row r="4" spans="2:11" x14ac:dyDescent="0.25">
      <c r="B4" s="11" t="s">
        <v>7</v>
      </c>
      <c r="C4" s="8">
        <v>1000000</v>
      </c>
      <c r="D4" s="31"/>
    </row>
    <row r="5" spans="2:11" x14ac:dyDescent="0.25">
      <c r="B5" s="11" t="s">
        <v>10</v>
      </c>
      <c r="C5" s="4" t="s">
        <v>37</v>
      </c>
      <c r="D5" s="32">
        <v>43843</v>
      </c>
      <c r="E5" s="2" t="s">
        <v>17</v>
      </c>
    </row>
    <row r="6" spans="2:11" x14ac:dyDescent="0.25">
      <c r="B6" s="11" t="s">
        <v>12</v>
      </c>
      <c r="C6" s="4" t="s">
        <v>38</v>
      </c>
      <c r="D6" s="32">
        <v>47496</v>
      </c>
      <c r="E6" s="2" t="s">
        <v>16</v>
      </c>
    </row>
    <row r="7" spans="2:11" x14ac:dyDescent="0.25">
      <c r="B7" s="11" t="s">
        <v>11</v>
      </c>
      <c r="C7" s="5" t="s">
        <v>8</v>
      </c>
      <c r="D7" s="32">
        <v>43839</v>
      </c>
      <c r="E7" s="2" t="s">
        <v>17</v>
      </c>
    </row>
    <row r="8" spans="2:11" x14ac:dyDescent="0.25">
      <c r="B8" s="11" t="s">
        <v>13</v>
      </c>
      <c r="C8" s="7" t="s">
        <v>15</v>
      </c>
      <c r="D8" s="31"/>
    </row>
    <row r="9" spans="2:11" x14ac:dyDescent="0.25">
      <c r="B9" s="11" t="s">
        <v>4</v>
      </c>
      <c r="C9" s="9">
        <v>2.6691550000000001E-2</v>
      </c>
      <c r="D9" s="33">
        <v>2.6727620086817963E-2</v>
      </c>
      <c r="E9" s="14" t="s">
        <v>4</v>
      </c>
    </row>
    <row r="10" spans="2:11" x14ac:dyDescent="0.25">
      <c r="B10" s="12" t="s">
        <v>0</v>
      </c>
      <c r="C10" s="26">
        <v>2.6691550000000001E-2</v>
      </c>
      <c r="D10" s="34">
        <v>0.96193216052110764</v>
      </c>
      <c r="E10" s="14" t="s">
        <v>39</v>
      </c>
    </row>
    <row r="11" spans="2:11" x14ac:dyDescent="0.25">
      <c r="B11" s="17"/>
      <c r="C11" s="17"/>
      <c r="D11" s="31"/>
    </row>
    <row r="12" spans="2:11" x14ac:dyDescent="0.25">
      <c r="B12" s="2" t="s">
        <v>18</v>
      </c>
      <c r="D12" s="31"/>
    </row>
    <row r="13" spans="2:11" x14ac:dyDescent="0.25">
      <c r="B13" s="10" t="s">
        <v>19</v>
      </c>
      <c r="C13" s="22" t="s">
        <v>44</v>
      </c>
      <c r="D13" s="30">
        <v>10.008219178082191</v>
      </c>
      <c r="E13" t="s">
        <v>36</v>
      </c>
    </row>
    <row r="14" spans="2:11" x14ac:dyDescent="0.25">
      <c r="B14" s="11" t="s">
        <v>31</v>
      </c>
      <c r="C14" s="18" t="s">
        <v>32</v>
      </c>
      <c r="D14" s="28">
        <v>2</v>
      </c>
      <c r="E14" t="s">
        <v>24</v>
      </c>
    </row>
    <row r="15" spans="2:11" x14ac:dyDescent="0.25">
      <c r="B15" s="11" t="s">
        <v>25</v>
      </c>
      <c r="C15" s="18" t="s">
        <v>26</v>
      </c>
      <c r="D15" s="29">
        <v>8399837.7083214819</v>
      </c>
      <c r="E15" t="s">
        <v>28</v>
      </c>
      <c r="K15" s="3"/>
    </row>
    <row r="16" spans="2:11" x14ac:dyDescent="0.25">
      <c r="B16" s="12" t="s">
        <v>2</v>
      </c>
      <c r="C16" s="25">
        <v>8566550.4664983712</v>
      </c>
      <c r="D16" s="29">
        <v>8566550.4664983712</v>
      </c>
      <c r="E16" t="s">
        <v>29</v>
      </c>
    </row>
    <row r="17" spans="1:13" x14ac:dyDescent="0.25">
      <c r="A17" s="14"/>
      <c r="D17" s="17"/>
    </row>
    <row r="18" spans="1:13" x14ac:dyDescent="0.25">
      <c r="B18" s="2" t="s">
        <v>22</v>
      </c>
      <c r="D18" s="17"/>
      <c r="K18" s="2"/>
      <c r="M18" s="1"/>
    </row>
    <row r="19" spans="1:13" x14ac:dyDescent="0.25">
      <c r="B19" s="10" t="s">
        <v>27</v>
      </c>
      <c r="C19" s="24">
        <v>43112</v>
      </c>
      <c r="E19" s="36"/>
      <c r="L19" s="16"/>
      <c r="M19" s="16"/>
    </row>
    <row r="20" spans="1:13" x14ac:dyDescent="0.25">
      <c r="B20" s="11" t="s">
        <v>9</v>
      </c>
      <c r="C20" s="6" t="s">
        <v>20</v>
      </c>
      <c r="E20" s="15"/>
      <c r="M20" s="16"/>
    </row>
    <row r="21" spans="1:13" x14ac:dyDescent="0.25">
      <c r="B21" s="11" t="s">
        <v>41</v>
      </c>
      <c r="C21" s="6" t="s">
        <v>30</v>
      </c>
      <c r="D21" s="20"/>
      <c r="M21" s="16"/>
    </row>
    <row r="22" spans="1:13" x14ac:dyDescent="0.25">
      <c r="B22" s="11" t="s">
        <v>6</v>
      </c>
      <c r="C22" s="19">
        <v>0.24110000000000001</v>
      </c>
      <c r="D22" s="1" t="s">
        <v>33</v>
      </c>
      <c r="E22" s="15"/>
    </row>
    <row r="23" spans="1:13" x14ac:dyDescent="0.25">
      <c r="B23" s="12" t="s">
        <v>1</v>
      </c>
      <c r="C23" s="21">
        <v>30889.916902337915</v>
      </c>
      <c r="D23" s="13" t="s">
        <v>14</v>
      </c>
      <c r="E23" s="35"/>
    </row>
    <row r="25" spans="1:13" x14ac:dyDescent="0.25">
      <c r="B25" t="s">
        <v>34</v>
      </c>
      <c r="C25" s="16">
        <v>30953.279999999999</v>
      </c>
      <c r="H25" s="2"/>
    </row>
    <row r="26" spans="1:13" x14ac:dyDescent="0.25">
      <c r="B26" s="27" t="s">
        <v>35</v>
      </c>
      <c r="C26" s="16">
        <v>-63.083097662085493</v>
      </c>
      <c r="I26" s="36"/>
    </row>
    <row r="27" spans="1:13" x14ac:dyDescent="0.25">
      <c r="I27" s="36"/>
    </row>
    <row r="28" spans="1:13" x14ac:dyDescent="0.25">
      <c r="H28" s="27"/>
      <c r="I28" s="36"/>
    </row>
  </sheetData>
  <dataValidations count="4">
    <dataValidation type="list" allowBlank="1" showInputMessage="1" showErrorMessage="1" sqref="C3">
      <formula1>"PAYER,RECEIVER"</formula1>
    </dataValidation>
    <dataValidation type="list" allowBlank="1" showInputMessage="1" showErrorMessage="1" sqref="C21">
      <formula1>"CASH,PHYSICAL"</formula1>
    </dataValidation>
    <dataValidation type="list" allowBlank="1" showInputMessage="1" showErrorMessage="1" sqref="C14">
      <formula1>"ANNUAL,SEMI-ANNUAL,QUARTERLY,MONTHLY"</formula1>
    </dataValidation>
    <dataValidation type="list" allowBlank="1" showInputMessage="1" showErrorMessage="1" sqref="C15">
      <formula1>"SHORT_START,SHORT_END,LONG_START,LONG_END,NONE"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Settled Swaption</vt:lpstr>
      <vt:lpstr>Physical Settled Swaption</vt:lpstr>
      <vt:lpstr>Cash vs Bloomberg</vt:lpstr>
      <vt:lpstr>Physical vs Bloomberg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2018-01-12T12:31:26Z</dcterms:modified>
</cp:coreProperties>
</file>