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LIB\MLIBQ_DEV1\resource\examples\MLIBQ\Math\"/>
    </mc:Choice>
  </mc:AlternateContent>
  <bookViews>
    <workbookView xWindow="0" yWindow="0" windowWidth="28800" windowHeight="13575"/>
  </bookViews>
  <sheets>
    <sheet name="Sheet1" sheetId="1" r:id="rId1"/>
  </sheets>
  <calcPr calcId="162913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" l="1"/>
  <c r="E32" i="1"/>
  <c r="D32" i="1"/>
  <c r="E33" i="1"/>
  <c r="E34" i="1"/>
  <c r="E35" i="1"/>
  <c r="E36" i="1"/>
  <c r="E37" i="1"/>
  <c r="E9" i="1"/>
  <c r="E10" i="1"/>
  <c r="E11" i="1"/>
  <c r="E12" i="1"/>
  <c r="E13" i="1"/>
  <c r="E14" i="1"/>
  <c r="G35" i="1"/>
  <c r="H35" i="1"/>
  <c r="D33" i="1"/>
  <c r="C34" i="1"/>
  <c r="D34" i="1"/>
  <c r="C35" i="1"/>
  <c r="D35" i="1"/>
  <c r="C36" i="1"/>
  <c r="D36" i="1"/>
  <c r="C37" i="1"/>
  <c r="D37" i="1"/>
  <c r="D9" i="1"/>
  <c r="C10" i="1"/>
  <c r="D10" i="1"/>
  <c r="C11" i="1"/>
  <c r="D11" i="1"/>
  <c r="C12" i="1"/>
  <c r="D12" i="1"/>
  <c r="C13" i="1"/>
  <c r="D13" i="1"/>
  <c r="C14" i="1"/>
  <c r="D14" i="1"/>
</calcChain>
</file>

<file path=xl/sharedStrings.xml><?xml version="1.0" encoding="utf-8"?>
<sst xmlns="http://schemas.openxmlformats.org/spreadsheetml/2006/main" count="26" uniqueCount="19">
  <si>
    <t>Future</t>
  </si>
  <si>
    <t>Start</t>
  </si>
  <si>
    <t>End</t>
  </si>
  <si>
    <t>Short Rate Vol</t>
  </si>
  <si>
    <t>Convexity := 0.5 * vol * vol * T(Start) * T(end)</t>
  </si>
  <si>
    <t>EuroDollar Futures Convexity</t>
  </si>
  <si>
    <t>Convexity</t>
  </si>
  <si>
    <t>SOFR Futures Convexity</t>
  </si>
  <si>
    <t>Future Rate</t>
  </si>
  <si>
    <t>Fixing Convexity</t>
  </si>
  <si>
    <t>EURODOLLAR FUTURES</t>
  </si>
  <si>
    <t>SOFR CONVEXITY ADJUSTMENT</t>
  </si>
  <si>
    <t>3M TERM SOFR FIXING</t>
  </si>
  <si>
    <t>*</t>
  </si>
  <si>
    <t>3M SOFR Fixing **</t>
  </si>
  <si>
    <t>** Quickest way to get the fixing is to price a 3M SOFR Swap in Bloomberg SWPM</t>
  </si>
  <si>
    <t>* First fixing is pro rated future convexity and fixing convexity, since hedge has fixed</t>
  </si>
  <si>
    <t>with the effective date of the Futures fixing date. Alternatively use EONC &lt;GO&gt;</t>
  </si>
  <si>
    <t>and select SOFRRATE in the top left 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</si>
</sst>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7" formatCode="#,##0.00000"/>
    <numFmt numFmtId="169" formatCode="0.0000%"/>
    <numFmt numFmtId="170" formatCode="0.00000%"/>
    <numFmt numFmtId="172" formatCode="0.0000"/>
    <numFmt numFmtId="176" formatCode="0.0000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0" fontId="0" fillId="0" borderId="0" xfId="0" applyNumberFormat="1"/>
    <xf numFmtId="167" fontId="0" fillId="0" borderId="0" xfId="0" applyNumberFormat="1"/>
    <xf numFmtId="16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10" fontId="0" fillId="3" borderId="0" xfId="0" applyNumberFormat="1" applyFill="1" applyAlignment="1">
      <alignment horizontal="center" vertical="center"/>
    </xf>
    <xf numFmtId="169" fontId="0" fillId="0" borderId="0" xfId="0" applyNumberFormat="1"/>
    <xf numFmtId="15" fontId="0" fillId="0" borderId="0" xfId="0" applyNumberFormat="1"/>
    <xf numFmtId="172" fontId="0" fillId="0" borderId="0" xfId="0" applyNumberFormat="1" applyAlignment="1">
      <alignment horizontal="center" vertical="center"/>
    </xf>
    <xf numFmtId="170" fontId="2" fillId="4" borderId="0" xfId="0" applyNumberFormat="1" applyFont="1" applyFill="1" applyAlignment="1">
      <alignment horizontal="center" vertical="center"/>
    </xf>
    <xf numFmtId="170" fontId="2" fillId="2" borderId="0" xfId="0" applyNumberFormat="1" applyFont="1" applyFill="1" applyAlignment="1">
      <alignment horizontal="center" vertical="center"/>
    </xf>
    <xf numFmtId="170" fontId="0" fillId="0" borderId="0" xfId="0" applyNumberFormat="1" applyAlignment="1">
      <alignment horizontal="left" vertical="center"/>
    </xf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1</xdr:row>
      <xdr:rowOff>19050</xdr:rowOff>
    </xdr:from>
    <xdr:to>
      <xdr:col>20</xdr:col>
      <xdr:colOff>29514</xdr:colOff>
      <xdr:row>21</xdr:row>
      <xdr:rowOff>86266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209550"/>
          <a:ext cx="6725589" cy="38772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19</xdr:col>
      <xdr:colOff>601010</xdr:colOff>
      <xdr:row>45</xdr:row>
      <xdr:rowOff>143453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7375" y="4953000"/>
          <a:ext cx="6697010" cy="4143953"/>
        </a:xfrm>
        <a:prstGeom prst="rect">
          <a:avLst/>
        </a:prstGeom>
      </xdr:spPr>
    </xdr:pic>
    <xdr:clientData/>
  </xdr:twoCellAnchor>
  <xdr:twoCellAnchor editAs="oneCell">
    <xdr:from>
      <xdr:col>20</xdr:col>
      <xdr:colOff>600075</xdr:colOff>
      <xdr:row>2</xdr:row>
      <xdr:rowOff>27323</xdr:rowOff>
    </xdr:from>
    <xdr:to>
      <xdr:col>38</xdr:col>
      <xdr:colOff>563715</xdr:colOff>
      <xdr:row>42</xdr:row>
      <xdr:rowOff>60325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73050" y="408323"/>
          <a:ext cx="10936440" cy="7653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43"/>
  <sheetViews>
    <sheetView tabSelected="1" workbookViewId="0"/>
  </sheetViews>
  <sheetFormatPr defaultRowHeight="15" x14ac:dyDescent="0.25"/>
  <cols>
    <col min="5" max="5" width="11" bestFit="1" customWidth="1"/>
    <col min="7" max="7" width="11.5703125" customWidth="1"/>
    <col min="8" max="8" width="9.140625" customWidth="1"/>
  </cols>
  <sheetData>
    <row r="2" spans="2:22" x14ac:dyDescent="0.25">
      <c r="B2" s="5" t="s">
        <v>10</v>
      </c>
      <c r="V2" s="5" t="s">
        <v>12</v>
      </c>
    </row>
    <row r="4" spans="2:22" x14ac:dyDescent="0.25">
      <c r="B4" s="6" t="s">
        <v>3</v>
      </c>
      <c r="D4" s="7" t="s">
        <v>4</v>
      </c>
    </row>
    <row r="5" spans="2:22" x14ac:dyDescent="0.25">
      <c r="B5" s="8">
        <v>6.5100000000000002E-3</v>
      </c>
    </row>
    <row r="7" spans="2:22" x14ac:dyDescent="0.25">
      <c r="B7" s="5" t="s">
        <v>5</v>
      </c>
    </row>
    <row r="8" spans="2:22" x14ac:dyDescent="0.25">
      <c r="B8" t="s">
        <v>0</v>
      </c>
      <c r="C8" t="s">
        <v>1</v>
      </c>
      <c r="D8" t="s">
        <v>2</v>
      </c>
      <c r="E8" t="s">
        <v>6</v>
      </c>
      <c r="G8" s="2"/>
    </row>
    <row r="9" spans="2:22" x14ac:dyDescent="0.25">
      <c r="B9">
        <v>1</v>
      </c>
      <c r="C9">
        <v>0.25</v>
      </c>
      <c r="D9">
        <f ca="1">C9+$C$9</f>
        <v>0.5</v>
      </c>
      <c r="E9" s="12">
        <f t="shared" ref="E9:E14" ca="1" si="0">-0.5*$B$5*$B$5*D9*C9</f>
        <v>-2.6406249999999998E-6</v>
      </c>
      <c r="G9" s="2"/>
    </row>
    <row r="10" spans="2:22" x14ac:dyDescent="0.25">
      <c r="B10">
        <v>2</v>
      </c>
      <c r="C10">
        <f ca="1">D9</f>
        <v>0.5</v>
      </c>
      <c r="D10">
        <f ca="1">C10+$C$9</f>
        <v>0.75</v>
      </c>
      <c r="E10" s="12">
        <f t="shared" ca="1" si="0"/>
        <v>-7.9218749999999994E-6</v>
      </c>
      <c r="G10" s="2"/>
    </row>
    <row r="11" spans="2:22" x14ac:dyDescent="0.25">
      <c r="B11">
        <v>3</v>
      </c>
      <c r="C11">
        <f t="shared" ref="C11:C14" ca="1" si="1">D10</f>
        <v>0.75</v>
      </c>
      <c r="D11">
        <f ca="1">C11+$C$9</f>
        <v>1</v>
      </c>
      <c r="E11" s="12">
        <f t="shared" ca="1" si="0"/>
        <v>-1.5843749999999999E-5</v>
      </c>
      <c r="G11" s="2"/>
    </row>
    <row r="12" spans="2:22" x14ac:dyDescent="0.25">
      <c r="B12">
        <v>4</v>
      </c>
      <c r="C12">
        <f t="shared" ca="1" si="1"/>
        <v>1</v>
      </c>
      <c r="D12">
        <f ca="1">C12+$C$9</f>
        <v>1.25</v>
      </c>
      <c r="E12" s="12">
        <f t="shared" ca="1" si="0"/>
        <v>-2.6406249999999998E-5</v>
      </c>
      <c r="G12" s="2"/>
    </row>
    <row r="13" spans="2:22" x14ac:dyDescent="0.25">
      <c r="B13">
        <v>5</v>
      </c>
      <c r="C13">
        <f t="shared" ca="1" si="1"/>
        <v>1.25</v>
      </c>
      <c r="D13">
        <f ca="1">C13+$C$9</f>
        <v>1.5</v>
      </c>
      <c r="E13" s="12">
        <f t="shared" ca="1" si="0"/>
        <v>-3.9609374999999999E-5</v>
      </c>
      <c r="G13" s="2"/>
    </row>
    <row r="14" spans="2:22" x14ac:dyDescent="0.25">
      <c r="B14">
        <v>6</v>
      </c>
      <c r="C14">
        <f t="shared" ca="1" si="1"/>
        <v>1.5</v>
      </c>
      <c r="D14">
        <f ca="1">C14+$C$9</f>
        <v>1.75</v>
      </c>
      <c r="E14" s="12">
        <f t="shared" ca="1" si="0"/>
        <v>-5.5453125000000001E-5</v>
      </c>
    </row>
    <row r="20" spans="2:8" x14ac:dyDescent="0.25">
      <c r="E20" s="10"/>
    </row>
    <row r="25" spans="2:8" x14ac:dyDescent="0.25">
      <c r="B25" s="5" t="s">
        <v>11</v>
      </c>
    </row>
    <row r="27" spans="2:8" x14ac:dyDescent="0.25">
      <c r="B27" s="6" t="s">
        <v>3</v>
      </c>
      <c r="D27" s="7" t="s">
        <v>4</v>
      </c>
    </row>
    <row r="28" spans="2:8" x14ac:dyDescent="0.25">
      <c r="B28" s="8">
        <v>6.4999999999999997E-3</v>
      </c>
    </row>
    <row r="30" spans="2:8" x14ac:dyDescent="0.25">
      <c r="B30" s="5" t="s">
        <v>7</v>
      </c>
      <c r="E30" s="4"/>
    </row>
    <row r="31" spans="2:8" x14ac:dyDescent="0.25">
      <c r="B31" t="s">
        <v>0</v>
      </c>
      <c r="C31" t="s">
        <v>1</v>
      </c>
      <c r="D31" t="s">
        <v>2</v>
      </c>
      <c r="E31" t="s">
        <v>6</v>
      </c>
      <c r="G31" t="s">
        <v>0</v>
      </c>
      <c r="H31" t="s">
        <v>14</v>
      </c>
    </row>
    <row r="32" spans="2:8" x14ac:dyDescent="0.25">
      <c r="B32">
        <v>1</v>
      </c>
      <c r="D32">
        <f ca="1">0.5*0.25</f>
        <v>0.125</v>
      </c>
      <c r="E32" s="13">
        <f ca="1">(($C$33-$D$32)/$C$33*-0.5*$B$5*$B$5*D32)+($D$32/$C$33*$H$35)</f>
        <v>1.4867968749996614E-4</v>
      </c>
      <c r="F32" s="14" t="s">
        <v>13</v>
      </c>
      <c r="G32" s="11">
        <v>98.43</v>
      </c>
      <c r="H32" s="3">
        <v>1.54E-2</v>
      </c>
    </row>
    <row r="33" spans="2:8" x14ac:dyDescent="0.25">
      <c r="B33">
        <v>2</v>
      </c>
      <c r="C33">
        <v>0.25</v>
      </c>
      <c r="D33">
        <f ca="1">C33+$C$9</f>
        <v>0.5</v>
      </c>
      <c r="E33" s="12">
        <f t="shared" ref="E33:E37" ca="1" si="2">-0.5*$B$5*$B$5*D33*C33</f>
        <v>-2.6406249999999998E-6</v>
      </c>
      <c r="F33" s="4"/>
      <c r="H33" s="9"/>
    </row>
    <row r="34" spans="2:8" x14ac:dyDescent="0.25">
      <c r="B34">
        <v>3</v>
      </c>
      <c r="C34">
        <f ca="1">D33</f>
        <v>0.5</v>
      </c>
      <c r="D34">
        <f ca="1">C34+$C$9</f>
        <v>0.75</v>
      </c>
      <c r="E34" s="12">
        <f t="shared" ca="1" si="2"/>
        <v>-7.9218749999999994E-6</v>
      </c>
      <c r="G34" t="s">
        <v>8</v>
      </c>
      <c r="H34" s="9" t="s">
        <v>9</v>
      </c>
    </row>
    <row r="35" spans="2:8" x14ac:dyDescent="0.25">
      <c r="B35">
        <v>4</v>
      </c>
      <c r="C35">
        <f t="shared" ref="C35:C37" ca="1" si="3">D34</f>
        <v>0.75</v>
      </c>
      <c r="D35">
        <f ca="1">C35+$C$9</f>
        <v>1</v>
      </c>
      <c r="E35" s="12">
        <f t="shared" ca="1" si="2"/>
        <v>-1.5843749999999999E-5</v>
      </c>
      <c r="G35" s="3">
        <f ca="1">(100-G32)%</f>
        <v>1.5699999999999933E-2</v>
      </c>
      <c r="H35" s="9">
        <f ca="1">G35-H32</f>
        <v>2.9999999999993227E-4</v>
      </c>
    </row>
    <row r="36" spans="2:8" x14ac:dyDescent="0.25">
      <c r="B36">
        <v>5</v>
      </c>
      <c r="C36">
        <f t="shared" ca="1" si="3"/>
        <v>1</v>
      </c>
      <c r="D36">
        <f ca="1">C36+$C$9</f>
        <v>1.25</v>
      </c>
      <c r="E36" s="12">
        <f t="shared" ca="1" si="2"/>
        <v>-2.6406249999999998E-5</v>
      </c>
      <c r="G36" s="1">
        <v>1.5696999999999999E-2</v>
      </c>
    </row>
    <row r="37" spans="2:8" x14ac:dyDescent="0.25">
      <c r="B37">
        <v>6</v>
      </c>
      <c r="C37">
        <f t="shared" ca="1" si="3"/>
        <v>1.25</v>
      </c>
      <c r="D37">
        <f ca="1">C37+$C$9</f>
        <v>1.5</v>
      </c>
      <c r="E37" s="12">
        <f t="shared" ca="1" si="2"/>
        <v>-3.9609374999999999E-5</v>
      </c>
      <c r="G37" s="15">
        <f ca="1">G35-G36</f>
        <v>2.9999999999336113E-6</v>
      </c>
    </row>
    <row r="39" spans="2:8" x14ac:dyDescent="0.25">
      <c r="B39" t="s">
        <v>16</v>
      </c>
    </row>
    <row r="41" spans="2:8" x14ac:dyDescent="0.25">
      <c r="B41" t="s">
        <v>15</v>
      </c>
    </row>
    <row r="42" spans="2:8" x14ac:dyDescent="0.25">
      <c r="B42" t="s">
        <v>17</v>
      </c>
    </row>
    <row r="43" spans="2:8" x14ac:dyDescent="0.25">
      <c r="B43" t="s">
        <v>18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cp:lastPrinted>2020-01-21T14:53:33Z</cp:lastPrinted>
  <dcterms:created xsi:type="dcterms:W3CDTF">2020-01-21T11:35:16Z</dcterms:created>
  <dcterms:modified xsi:type="dcterms:W3CDTF">2020-01-21T15:17:16Z</dcterms:modified>
</cp:coreProperties>
</file>