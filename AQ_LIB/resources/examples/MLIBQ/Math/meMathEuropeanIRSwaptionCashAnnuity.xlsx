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0700" windowHeight="11760"/>
  </bookViews>
  <sheets>
    <sheet name="Regular Coupons" sheetId="1" r:id="rId1"/>
    <sheet name="Stub ShortStart" sheetId="2" r:id="rId2"/>
    <sheet name="Stub LongStart" sheetId="4" r:id="rId3"/>
    <sheet name="Stub ShortEnd" sheetId="3" r:id="rId4"/>
    <sheet name="Stub LongEnd" sheetId="5" r:id="rId5"/>
  </sheets>
  <calcPr calcId="145621" calcMode="manual" calcCompleted="0" calcOnSave="0"/>
</workbook>
</file>

<file path=xl/calcChain.xml><?xml version="1.0" encoding="utf-8"?>
<calcChain xmlns="http://schemas.openxmlformats.org/spreadsheetml/2006/main">
  <c r="N20" i="5" l="1"/>
  <c r="T21" i="5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21" i="5"/>
  <c r="O21" i="5"/>
  <c r="O22" i="5" s="1"/>
  <c r="J21" i="5"/>
  <c r="J22" i="5" s="1"/>
  <c r="E21" i="5"/>
  <c r="E22" i="5" s="1"/>
  <c r="H21" i="5"/>
  <c r="H22" i="5"/>
  <c r="H23" i="5"/>
  <c r="H24" i="5"/>
  <c r="H25" i="5"/>
  <c r="H26" i="5"/>
  <c r="H27" i="5"/>
  <c r="H28" i="5"/>
  <c r="Q79" i="5"/>
  <c r="L39" i="5"/>
  <c r="M20" i="5"/>
  <c r="L20" i="5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I20" i="5"/>
  <c r="H20" i="5"/>
  <c r="G20" i="5"/>
  <c r="G21" i="5" s="1"/>
  <c r="G22" i="5" s="1"/>
  <c r="G23" i="5" s="1"/>
  <c r="G24" i="5" s="1"/>
  <c r="G25" i="5" s="1"/>
  <c r="G26" i="5" s="1"/>
  <c r="G27" i="5" s="1"/>
  <c r="G28" i="5" s="1"/>
  <c r="G29" i="5"/>
  <c r="D20" i="5"/>
  <c r="B24" i="5"/>
  <c r="C20" i="5"/>
  <c r="C21" i="5"/>
  <c r="C22" i="5"/>
  <c r="C23" i="5"/>
  <c r="B20" i="5"/>
  <c r="B21" i="5" s="1"/>
  <c r="B22" i="5" s="1"/>
  <c r="B23" i="5" s="1"/>
  <c r="R16" i="5"/>
  <c r="R73" i="5" s="1"/>
  <c r="S6" i="3"/>
  <c r="R80" i="3" s="1"/>
  <c r="S6" i="2"/>
  <c r="Q20" i="2" s="1"/>
  <c r="T21" i="3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N20" i="3"/>
  <c r="M21" i="3"/>
  <c r="O21" i="3"/>
  <c r="O22" i="3" s="1"/>
  <c r="N22" i="3" s="1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20" i="3"/>
  <c r="L20" i="3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/>
  <c r="I20" i="3"/>
  <c r="H20" i="3"/>
  <c r="G20" i="3"/>
  <c r="G21" i="3" s="1"/>
  <c r="G22" i="3" s="1"/>
  <c r="G23" i="3" s="1"/>
  <c r="G24" i="3" s="1"/>
  <c r="G25" i="3" s="1"/>
  <c r="G26" i="3" s="1"/>
  <c r="G27" i="3" s="1"/>
  <c r="G28" i="3" s="1"/>
  <c r="G29" i="3" s="1"/>
  <c r="G30" i="3"/>
  <c r="B25" i="3"/>
  <c r="J21" i="3"/>
  <c r="J22" i="3" s="1"/>
  <c r="J23" i="3" s="1"/>
  <c r="J24" i="3" s="1"/>
  <c r="J25" i="3" s="1"/>
  <c r="J26" i="3" s="1"/>
  <c r="J27" i="3" s="1"/>
  <c r="J28" i="3" s="1"/>
  <c r="J29" i="3" s="1"/>
  <c r="I29" i="3" s="1"/>
  <c r="H21" i="3"/>
  <c r="D20" i="3"/>
  <c r="E21" i="3"/>
  <c r="E22" i="3" s="1"/>
  <c r="D22" i="3" s="1"/>
  <c r="C24" i="3"/>
  <c r="C23" i="3"/>
  <c r="C22" i="3"/>
  <c r="C21" i="3"/>
  <c r="C20" i="3"/>
  <c r="B20" i="3"/>
  <c r="B21" i="3" s="1"/>
  <c r="B22" i="3" s="1"/>
  <c r="B23" i="3" s="1"/>
  <c r="B24" i="3" s="1"/>
  <c r="H29" i="3"/>
  <c r="H28" i="3"/>
  <c r="H27" i="3"/>
  <c r="H26" i="3"/>
  <c r="H25" i="3"/>
  <c r="H24" i="3"/>
  <c r="H23" i="3"/>
  <c r="H22" i="3"/>
  <c r="R16" i="3"/>
  <c r="R21" i="3" s="1"/>
  <c r="J22" i="4"/>
  <c r="J23" i="4" s="1"/>
  <c r="J24" i="4" s="1"/>
  <c r="J25" i="4" s="1"/>
  <c r="J26" i="4" s="1"/>
  <c r="J27" i="4" s="1"/>
  <c r="J28" i="4" s="1"/>
  <c r="J29" i="4" s="1"/>
  <c r="N20" i="4"/>
  <c r="N21" i="4" s="1"/>
  <c r="I20" i="4"/>
  <c r="D20" i="4"/>
  <c r="D21" i="4" s="1"/>
  <c r="C21" i="4"/>
  <c r="M20" i="4"/>
  <c r="H20" i="4"/>
  <c r="C20" i="4"/>
  <c r="M39" i="4"/>
  <c r="M38" i="4"/>
  <c r="M37" i="4"/>
  <c r="M36" i="4"/>
  <c r="M35" i="4"/>
  <c r="M34" i="4"/>
  <c r="M33" i="4"/>
  <c r="M32" i="4"/>
  <c r="M31" i="4"/>
  <c r="M30" i="4"/>
  <c r="M29" i="4"/>
  <c r="H29" i="4"/>
  <c r="M28" i="4"/>
  <c r="H28" i="4"/>
  <c r="M27" i="4"/>
  <c r="H27" i="4"/>
  <c r="M26" i="4"/>
  <c r="H26" i="4"/>
  <c r="M25" i="4"/>
  <c r="H25" i="4"/>
  <c r="M24" i="4"/>
  <c r="H24" i="4"/>
  <c r="C24" i="4"/>
  <c r="M23" i="4"/>
  <c r="H23" i="4"/>
  <c r="C23" i="4"/>
  <c r="M22" i="4"/>
  <c r="H22" i="4"/>
  <c r="C22" i="4"/>
  <c r="T22" i="4"/>
  <c r="T23" i="4" s="1"/>
  <c r="T24" i="4" s="1"/>
  <c r="M21" i="4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H21" i="4"/>
  <c r="B21" i="4"/>
  <c r="B22" i="4" s="1"/>
  <c r="B23" i="4" s="1"/>
  <c r="B24" i="4" s="1"/>
  <c r="G21" i="4"/>
  <c r="G22" i="4" s="1"/>
  <c r="G23" i="4" s="1"/>
  <c r="G24" i="4" s="1"/>
  <c r="G25" i="4" s="1"/>
  <c r="G26" i="4" s="1"/>
  <c r="G27" i="4" s="1"/>
  <c r="G28" i="4" s="1"/>
  <c r="G29" i="4" s="1"/>
  <c r="R16" i="4"/>
  <c r="R28" i="4" s="1"/>
  <c r="T22" i="2"/>
  <c r="T23" i="2" s="1"/>
  <c r="T24" i="2" s="1"/>
  <c r="T25" i="2" s="1"/>
  <c r="T26" i="2" s="1"/>
  <c r="T27" i="2" s="1"/>
  <c r="T28" i="2" s="1"/>
  <c r="T29" i="2" s="1"/>
  <c r="N20" i="2"/>
  <c r="I20" i="2"/>
  <c r="I22" i="2" s="1"/>
  <c r="D20" i="2"/>
  <c r="D22" i="2" s="1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20" i="2"/>
  <c r="H21" i="2"/>
  <c r="H22" i="2"/>
  <c r="H23" i="2"/>
  <c r="H24" i="2"/>
  <c r="H25" i="2"/>
  <c r="H26" i="2"/>
  <c r="H27" i="2"/>
  <c r="H28" i="2"/>
  <c r="H29" i="2"/>
  <c r="H30" i="2"/>
  <c r="H20" i="2"/>
  <c r="C21" i="2"/>
  <c r="C22" i="2"/>
  <c r="C23" i="2"/>
  <c r="C24" i="2"/>
  <c r="C25" i="2"/>
  <c r="C20" i="2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G21" i="2"/>
  <c r="G22" i="2" s="1"/>
  <c r="G23" i="2" s="1"/>
  <c r="G24" i="2" s="1"/>
  <c r="G25" i="2" s="1"/>
  <c r="G26" i="2" s="1"/>
  <c r="G27" i="2" s="1"/>
  <c r="G28" i="2" s="1"/>
  <c r="G29" i="2" s="1"/>
  <c r="G30" i="2" s="1"/>
  <c r="B21" i="2"/>
  <c r="B22" i="2" s="1"/>
  <c r="B23" i="2" s="1"/>
  <c r="B24" i="2" s="1"/>
  <c r="B25" i="2" s="1"/>
  <c r="O22" i="2"/>
  <c r="O23" i="2" s="1"/>
  <c r="R16" i="2"/>
  <c r="R21" i="2" s="1"/>
  <c r="T21" i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R16" i="1"/>
  <c r="R36" i="1" s="1"/>
  <c r="O21" i="1"/>
  <c r="N21" i="1" s="1"/>
  <c r="N20" i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I29" i="1"/>
  <c r="I20" i="1"/>
  <c r="I21" i="1"/>
  <c r="I22" i="1"/>
  <c r="I23" i="1"/>
  <c r="I24" i="1"/>
  <c r="I25" i="1"/>
  <c r="I26" i="1"/>
  <c r="I27" i="1"/>
  <c r="I28" i="1"/>
  <c r="H21" i="1"/>
  <c r="G22" i="1"/>
  <c r="G23" i="1" s="1"/>
  <c r="G24" i="1" s="1"/>
  <c r="G25" i="1" s="1"/>
  <c r="G26" i="1" s="1"/>
  <c r="G27" i="1" s="1"/>
  <c r="G28" i="1" s="1"/>
  <c r="G29" i="1" s="1"/>
  <c r="H22" i="1"/>
  <c r="H23" i="1"/>
  <c r="H24" i="1"/>
  <c r="H25" i="1"/>
  <c r="H26" i="1"/>
  <c r="H27" i="1"/>
  <c r="H28" i="1"/>
  <c r="H29" i="1"/>
  <c r="H20" i="1"/>
  <c r="D20" i="1"/>
  <c r="D21" i="1"/>
  <c r="D22" i="1"/>
  <c r="D23" i="1"/>
  <c r="D24" i="1"/>
  <c r="C20" i="1"/>
  <c r="C21" i="1"/>
  <c r="C22" i="1"/>
  <c r="C23" i="1"/>
  <c r="C24" i="1"/>
  <c r="R9" i="2"/>
  <c r="C9" i="3"/>
  <c r="M9" i="1"/>
  <c r="H9" i="5"/>
  <c r="H9" i="4"/>
  <c r="C9" i="2"/>
  <c r="R9" i="3"/>
  <c r="M9" i="5"/>
  <c r="M9" i="4"/>
  <c r="R9" i="4"/>
  <c r="H9" i="3"/>
  <c r="H9" i="1"/>
  <c r="C9" i="4"/>
  <c r="R9" i="5"/>
  <c r="H9" i="2"/>
  <c r="M9" i="3"/>
  <c r="C9" i="5"/>
  <c r="M9" i="2"/>
  <c r="R9" i="1"/>
  <c r="C9" i="1"/>
  <c r="Q21" i="2" l="1"/>
  <c r="S20" i="3"/>
  <c r="I21" i="5"/>
  <c r="D21" i="5"/>
  <c r="M39" i="5"/>
  <c r="H29" i="5"/>
  <c r="R41" i="5"/>
  <c r="R36" i="5"/>
  <c r="R68" i="5"/>
  <c r="Q20" i="5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R57" i="5"/>
  <c r="R25" i="5"/>
  <c r="S77" i="5"/>
  <c r="R52" i="5"/>
  <c r="N21" i="5"/>
  <c r="N22" i="5"/>
  <c r="O23" i="5"/>
  <c r="R20" i="5"/>
  <c r="S22" i="5"/>
  <c r="S24" i="5"/>
  <c r="S26" i="5"/>
  <c r="S28" i="5"/>
  <c r="S30" i="5"/>
  <c r="S32" i="5"/>
  <c r="S34" i="5"/>
  <c r="S36" i="5"/>
  <c r="S38" i="5"/>
  <c r="S40" i="5"/>
  <c r="S42" i="5"/>
  <c r="S44" i="5"/>
  <c r="S46" i="5"/>
  <c r="S48" i="5"/>
  <c r="S50" i="5"/>
  <c r="S52" i="5"/>
  <c r="S54" i="5"/>
  <c r="S56" i="5"/>
  <c r="S58" i="5"/>
  <c r="S60" i="5"/>
  <c r="S62" i="5"/>
  <c r="S64" i="5"/>
  <c r="S66" i="5"/>
  <c r="S68" i="5"/>
  <c r="S70" i="5"/>
  <c r="S72" i="5"/>
  <c r="S74" i="5"/>
  <c r="S76" i="5"/>
  <c r="S78" i="5"/>
  <c r="R21" i="5"/>
  <c r="S23" i="5"/>
  <c r="S25" i="5"/>
  <c r="S27" i="5"/>
  <c r="S29" i="5"/>
  <c r="S31" i="5"/>
  <c r="S33" i="5"/>
  <c r="S35" i="5"/>
  <c r="S37" i="5"/>
  <c r="S39" i="5"/>
  <c r="S41" i="5"/>
  <c r="S43" i="5"/>
  <c r="S45" i="5"/>
  <c r="S47" i="5"/>
  <c r="S49" i="5"/>
  <c r="S51" i="5"/>
  <c r="S53" i="5"/>
  <c r="S55" i="5"/>
  <c r="S57" i="5"/>
  <c r="S59" i="5"/>
  <c r="S61" i="5"/>
  <c r="S63" i="5"/>
  <c r="S65" i="5"/>
  <c r="S67" i="5"/>
  <c r="S69" i="5"/>
  <c r="S71" i="5"/>
  <c r="S73" i="5"/>
  <c r="R69" i="5"/>
  <c r="R64" i="5"/>
  <c r="R53" i="5"/>
  <c r="R48" i="5"/>
  <c r="R37" i="5"/>
  <c r="R32" i="5"/>
  <c r="R78" i="5"/>
  <c r="R74" i="5"/>
  <c r="R63" i="5"/>
  <c r="R58" i="5"/>
  <c r="R47" i="5"/>
  <c r="R42" i="5"/>
  <c r="R31" i="5"/>
  <c r="R26" i="5"/>
  <c r="S20" i="5"/>
  <c r="R67" i="5"/>
  <c r="R51" i="5"/>
  <c r="R35" i="5"/>
  <c r="R72" i="5"/>
  <c r="R61" i="5"/>
  <c r="R56" i="5"/>
  <c r="R45" i="5"/>
  <c r="R40" i="5"/>
  <c r="R29" i="5"/>
  <c r="R24" i="5"/>
  <c r="R76" i="5"/>
  <c r="R71" i="5"/>
  <c r="R66" i="5"/>
  <c r="R55" i="5"/>
  <c r="R50" i="5"/>
  <c r="R39" i="5"/>
  <c r="R34" i="5"/>
  <c r="R23" i="5"/>
  <c r="E23" i="5"/>
  <c r="D23" i="5" s="1"/>
  <c r="D24" i="5" s="1"/>
  <c r="D22" i="5"/>
  <c r="R77" i="5"/>
  <c r="S75" i="5"/>
  <c r="R65" i="5"/>
  <c r="R60" i="5"/>
  <c r="R49" i="5"/>
  <c r="R44" i="5"/>
  <c r="R33" i="5"/>
  <c r="R28" i="5"/>
  <c r="R62" i="5"/>
  <c r="R46" i="5"/>
  <c r="R30" i="5"/>
  <c r="I22" i="5"/>
  <c r="J23" i="5"/>
  <c r="S21" i="5"/>
  <c r="R75" i="5"/>
  <c r="R70" i="5"/>
  <c r="R59" i="5"/>
  <c r="R54" i="5"/>
  <c r="R43" i="5"/>
  <c r="R38" i="5"/>
  <c r="R27" i="5"/>
  <c r="R22" i="5"/>
  <c r="C24" i="5"/>
  <c r="S21" i="3"/>
  <c r="R47" i="3"/>
  <c r="S22" i="3"/>
  <c r="R79" i="3"/>
  <c r="R61" i="3"/>
  <c r="R59" i="3"/>
  <c r="R75" i="3"/>
  <c r="R45" i="3"/>
  <c r="R25" i="3"/>
  <c r="R77" i="3"/>
  <c r="R63" i="3"/>
  <c r="Q20" i="3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R80" i="2"/>
  <c r="Q22" i="2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R79" i="2"/>
  <c r="R69" i="3"/>
  <c r="R53" i="3"/>
  <c r="R67" i="3"/>
  <c r="R51" i="3"/>
  <c r="R20" i="3"/>
  <c r="R65" i="3"/>
  <c r="R49" i="3"/>
  <c r="R73" i="3"/>
  <c r="R57" i="3"/>
  <c r="N21" i="3"/>
  <c r="R71" i="3"/>
  <c r="R55" i="3"/>
  <c r="R78" i="3"/>
  <c r="R76" i="3"/>
  <c r="R74" i="3"/>
  <c r="R72" i="3"/>
  <c r="R70" i="3"/>
  <c r="R68" i="3"/>
  <c r="R66" i="3"/>
  <c r="R64" i="3"/>
  <c r="R62" i="3"/>
  <c r="R60" i="3"/>
  <c r="R58" i="3"/>
  <c r="R56" i="3"/>
  <c r="R54" i="3"/>
  <c r="R52" i="3"/>
  <c r="R50" i="3"/>
  <c r="R48" i="3"/>
  <c r="R46" i="3"/>
  <c r="R44" i="3"/>
  <c r="R42" i="3"/>
  <c r="R40" i="3"/>
  <c r="R38" i="3"/>
  <c r="R36" i="3"/>
  <c r="R34" i="3"/>
  <c r="R32" i="3"/>
  <c r="R30" i="3"/>
  <c r="R28" i="3"/>
  <c r="R26" i="3"/>
  <c r="R24" i="3"/>
  <c r="R22" i="3"/>
  <c r="S79" i="3"/>
  <c r="S80" i="3" s="1"/>
  <c r="S77" i="3"/>
  <c r="S75" i="3"/>
  <c r="S73" i="3"/>
  <c r="S71" i="3"/>
  <c r="S69" i="3"/>
  <c r="S67" i="3"/>
  <c r="S65" i="3"/>
  <c r="S63" i="3"/>
  <c r="S61" i="3"/>
  <c r="S59" i="3"/>
  <c r="S57" i="3"/>
  <c r="S55" i="3"/>
  <c r="S53" i="3"/>
  <c r="S51" i="3"/>
  <c r="S49" i="3"/>
  <c r="S47" i="3"/>
  <c r="S45" i="3"/>
  <c r="S43" i="3"/>
  <c r="S41" i="3"/>
  <c r="S39" i="3"/>
  <c r="S37" i="3"/>
  <c r="S35" i="3"/>
  <c r="S33" i="3"/>
  <c r="S31" i="3"/>
  <c r="S29" i="3"/>
  <c r="S27" i="3"/>
  <c r="S25" i="3"/>
  <c r="S23" i="3"/>
  <c r="S78" i="3"/>
  <c r="S76" i="3"/>
  <c r="S74" i="3"/>
  <c r="S72" i="3"/>
  <c r="S70" i="3"/>
  <c r="S68" i="3"/>
  <c r="S66" i="3"/>
  <c r="S64" i="3"/>
  <c r="S62" i="3"/>
  <c r="S60" i="3"/>
  <c r="S58" i="3"/>
  <c r="S56" i="3"/>
  <c r="S54" i="3"/>
  <c r="S52" i="3"/>
  <c r="S50" i="3"/>
  <c r="S48" i="3"/>
  <c r="S46" i="3"/>
  <c r="S44" i="3"/>
  <c r="S42" i="3"/>
  <c r="S40" i="3"/>
  <c r="S38" i="3"/>
  <c r="S36" i="3"/>
  <c r="S34" i="3"/>
  <c r="S32" i="3"/>
  <c r="S30" i="3"/>
  <c r="S28" i="3"/>
  <c r="S26" i="3"/>
  <c r="S24" i="3"/>
  <c r="R43" i="3"/>
  <c r="R41" i="3"/>
  <c r="R39" i="3"/>
  <c r="R37" i="3"/>
  <c r="R35" i="3"/>
  <c r="R33" i="3"/>
  <c r="R31" i="3"/>
  <c r="R29" i="3"/>
  <c r="R27" i="3"/>
  <c r="R23" i="3"/>
  <c r="O23" i="3"/>
  <c r="I24" i="3"/>
  <c r="I25" i="3"/>
  <c r="I22" i="3"/>
  <c r="I23" i="3"/>
  <c r="I27" i="3"/>
  <c r="I26" i="3"/>
  <c r="I28" i="3"/>
  <c r="I21" i="3"/>
  <c r="D21" i="3"/>
  <c r="E23" i="3"/>
  <c r="D23" i="3" s="1"/>
  <c r="Q80" i="3"/>
  <c r="I30" i="3"/>
  <c r="Q20" i="4"/>
  <c r="D23" i="4"/>
  <c r="I29" i="4"/>
  <c r="I21" i="4"/>
  <c r="I22" i="4"/>
  <c r="D22" i="4"/>
  <c r="I23" i="4"/>
  <c r="I24" i="4"/>
  <c r="I28" i="4"/>
  <c r="I25" i="4"/>
  <c r="I26" i="4"/>
  <c r="I27" i="4"/>
  <c r="D24" i="4"/>
  <c r="O22" i="4"/>
  <c r="N22" i="4" s="1"/>
  <c r="R24" i="4"/>
  <c r="R26" i="4"/>
  <c r="R22" i="4"/>
  <c r="R27" i="4"/>
  <c r="R23" i="4"/>
  <c r="R21" i="4"/>
  <c r="R25" i="4"/>
  <c r="T25" i="4"/>
  <c r="R29" i="4"/>
  <c r="R30" i="4"/>
  <c r="R31" i="4"/>
  <c r="R32" i="4"/>
  <c r="R33" i="4"/>
  <c r="R34" i="4"/>
  <c r="R35" i="4"/>
  <c r="R36" i="4"/>
  <c r="R37" i="4"/>
  <c r="R38" i="4"/>
  <c r="R39" i="4"/>
  <c r="R41" i="4"/>
  <c r="R43" i="4"/>
  <c r="R45" i="4"/>
  <c r="R47" i="4"/>
  <c r="R49" i="4"/>
  <c r="R51" i="4"/>
  <c r="R53" i="4"/>
  <c r="R55" i="4"/>
  <c r="R57" i="4"/>
  <c r="R59" i="4"/>
  <c r="R61" i="4"/>
  <c r="R63" i="4"/>
  <c r="R65" i="4"/>
  <c r="R67" i="4"/>
  <c r="R69" i="4"/>
  <c r="R71" i="4"/>
  <c r="R73" i="4"/>
  <c r="R75" i="4"/>
  <c r="R77" i="4"/>
  <c r="R79" i="4"/>
  <c r="R40" i="4"/>
  <c r="R42" i="4"/>
  <c r="R44" i="4"/>
  <c r="R46" i="4"/>
  <c r="R48" i="4"/>
  <c r="R50" i="4"/>
  <c r="R52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N22" i="2"/>
  <c r="I28" i="2"/>
  <c r="I27" i="2"/>
  <c r="I26" i="2"/>
  <c r="D25" i="2"/>
  <c r="I29" i="2"/>
  <c r="N21" i="2"/>
  <c r="N23" i="2"/>
  <c r="I21" i="2"/>
  <c r="R44" i="2"/>
  <c r="R32" i="2"/>
  <c r="D24" i="2"/>
  <c r="D23" i="2"/>
  <c r="I25" i="2"/>
  <c r="I24" i="2"/>
  <c r="D21" i="2"/>
  <c r="I23" i="2"/>
  <c r="R57" i="2"/>
  <c r="R70" i="2"/>
  <c r="I30" i="2"/>
  <c r="R66" i="2"/>
  <c r="R41" i="2"/>
  <c r="R73" i="2"/>
  <c r="R60" i="2"/>
  <c r="R48" i="2"/>
  <c r="R34" i="2"/>
  <c r="R22" i="2"/>
  <c r="R72" i="2"/>
  <c r="R58" i="2"/>
  <c r="R46" i="2"/>
  <c r="R33" i="2"/>
  <c r="R78" i="2"/>
  <c r="R65" i="2"/>
  <c r="R52" i="2"/>
  <c r="R40" i="2"/>
  <c r="R26" i="2"/>
  <c r="R76" i="2"/>
  <c r="R64" i="2"/>
  <c r="R50" i="2"/>
  <c r="R38" i="2"/>
  <c r="R25" i="2"/>
  <c r="R68" i="2"/>
  <c r="R56" i="2"/>
  <c r="R42" i="2"/>
  <c r="R30" i="2"/>
  <c r="R54" i="2"/>
  <c r="R28" i="2"/>
  <c r="R74" i="2"/>
  <c r="R62" i="2"/>
  <c r="R49" i="2"/>
  <c r="R36" i="2"/>
  <c r="R24" i="2"/>
  <c r="O24" i="2"/>
  <c r="N24" i="2" s="1"/>
  <c r="R75" i="2"/>
  <c r="R67" i="2"/>
  <c r="R59" i="2"/>
  <c r="R51" i="2"/>
  <c r="R43" i="2"/>
  <c r="R35" i="2"/>
  <c r="R27" i="2"/>
  <c r="R71" i="2"/>
  <c r="R63" i="2"/>
  <c r="R55" i="2"/>
  <c r="R47" i="2"/>
  <c r="R39" i="2"/>
  <c r="R31" i="2"/>
  <c r="R23" i="2"/>
  <c r="R77" i="2"/>
  <c r="R69" i="2"/>
  <c r="R61" i="2"/>
  <c r="R53" i="2"/>
  <c r="R45" i="2"/>
  <c r="R37" i="2"/>
  <c r="R29" i="2"/>
  <c r="R28" i="1"/>
  <c r="R60" i="1"/>
  <c r="R44" i="1"/>
  <c r="R76" i="1"/>
  <c r="T33" i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S32" i="1"/>
  <c r="R56" i="1"/>
  <c r="R24" i="1"/>
  <c r="R52" i="1"/>
  <c r="R20" i="1"/>
  <c r="S24" i="1"/>
  <c r="R48" i="1"/>
  <c r="S28" i="1"/>
  <c r="S31" i="1"/>
  <c r="S23" i="1"/>
  <c r="R21" i="1"/>
  <c r="R29" i="1"/>
  <c r="R37" i="1"/>
  <c r="R45" i="1"/>
  <c r="R53" i="1"/>
  <c r="R61" i="1"/>
  <c r="R69" i="1"/>
  <c r="R77" i="1"/>
  <c r="S21" i="1"/>
  <c r="R23" i="1"/>
  <c r="R39" i="1"/>
  <c r="R55" i="1"/>
  <c r="R71" i="1"/>
  <c r="S30" i="1"/>
  <c r="S22" i="1"/>
  <c r="R22" i="1"/>
  <c r="R30" i="1"/>
  <c r="R38" i="1"/>
  <c r="R46" i="1"/>
  <c r="R54" i="1"/>
  <c r="R62" i="1"/>
  <c r="R70" i="1"/>
  <c r="R78" i="1"/>
  <c r="S29" i="1"/>
  <c r="R31" i="1"/>
  <c r="R47" i="1"/>
  <c r="R63" i="1"/>
  <c r="R79" i="1"/>
  <c r="S27" i="1"/>
  <c r="R25" i="1"/>
  <c r="R33" i="1"/>
  <c r="R41" i="1"/>
  <c r="R49" i="1"/>
  <c r="R57" i="1"/>
  <c r="R65" i="1"/>
  <c r="R73" i="1"/>
  <c r="S26" i="1"/>
  <c r="R26" i="1"/>
  <c r="R34" i="1"/>
  <c r="R42" i="1"/>
  <c r="R50" i="1"/>
  <c r="R58" i="1"/>
  <c r="R66" i="1"/>
  <c r="R74" i="1"/>
  <c r="S25" i="1"/>
  <c r="S20" i="1"/>
  <c r="R27" i="1"/>
  <c r="R35" i="1"/>
  <c r="R43" i="1"/>
  <c r="R51" i="1"/>
  <c r="R59" i="1"/>
  <c r="R67" i="1"/>
  <c r="R75" i="1"/>
  <c r="R72" i="1"/>
  <c r="R40" i="1"/>
  <c r="Q20" i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R68" i="1"/>
  <c r="R64" i="1"/>
  <c r="R32" i="1"/>
  <c r="H10" i="1"/>
  <c r="H11" i="1" s="1"/>
  <c r="O22" i="1"/>
  <c r="N22" i="1" s="1"/>
  <c r="C10" i="1"/>
  <c r="C11" i="1" s="1"/>
  <c r="S34" i="1" l="1"/>
  <c r="S41" i="1"/>
  <c r="S47" i="1"/>
  <c r="S79" i="5"/>
  <c r="R79" i="5"/>
  <c r="J24" i="5"/>
  <c r="I23" i="5"/>
  <c r="O24" i="5"/>
  <c r="N23" i="5"/>
  <c r="C10" i="5"/>
  <c r="C11" i="5" s="1"/>
  <c r="R10" i="3"/>
  <c r="R11" i="3" s="1"/>
  <c r="Q80" i="2"/>
  <c r="N23" i="3"/>
  <c r="O24" i="3"/>
  <c r="H10" i="3"/>
  <c r="H11" i="3" s="1"/>
  <c r="E24" i="3"/>
  <c r="Q21" i="4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S20" i="4"/>
  <c r="S25" i="4" s="1"/>
  <c r="R20" i="4"/>
  <c r="C10" i="4"/>
  <c r="C11" i="4" s="1"/>
  <c r="H10" i="4"/>
  <c r="H11" i="4" s="1"/>
  <c r="O23" i="4"/>
  <c r="N23" i="4" s="1"/>
  <c r="T26" i="4"/>
  <c r="R20" i="2"/>
  <c r="S20" i="2"/>
  <c r="H10" i="2"/>
  <c r="H11" i="2" s="1"/>
  <c r="C10" i="2"/>
  <c r="C11" i="2" s="1"/>
  <c r="O25" i="2"/>
  <c r="S40" i="1"/>
  <c r="S45" i="1"/>
  <c r="S36" i="1"/>
  <c r="S44" i="1"/>
  <c r="S38" i="1"/>
  <c r="S46" i="1"/>
  <c r="S33" i="1"/>
  <c r="S39" i="1"/>
  <c r="S42" i="1"/>
  <c r="S35" i="1"/>
  <c r="S43" i="1"/>
  <c r="S37" i="1"/>
  <c r="O23" i="1"/>
  <c r="N23" i="1" s="1"/>
  <c r="T49" i="1"/>
  <c r="S48" i="1"/>
  <c r="R10" i="5" l="1"/>
  <c r="I24" i="5"/>
  <c r="J25" i="5"/>
  <c r="N24" i="5"/>
  <c r="O25" i="5"/>
  <c r="O25" i="3"/>
  <c r="N24" i="3"/>
  <c r="D24" i="3"/>
  <c r="D25" i="3" s="1"/>
  <c r="S26" i="4"/>
  <c r="S21" i="4"/>
  <c r="S24" i="4"/>
  <c r="S22" i="4"/>
  <c r="S23" i="4"/>
  <c r="T27" i="4"/>
  <c r="S27" i="4" s="1"/>
  <c r="O24" i="4"/>
  <c r="N24" i="4" s="1"/>
  <c r="S21" i="2"/>
  <c r="S22" i="2"/>
  <c r="S23" i="2"/>
  <c r="S24" i="2"/>
  <c r="S25" i="2"/>
  <c r="N25" i="2"/>
  <c r="S26" i="2"/>
  <c r="O26" i="2"/>
  <c r="N26" i="2" s="1"/>
  <c r="O24" i="1"/>
  <c r="O25" i="1" s="1"/>
  <c r="T50" i="1"/>
  <c r="S49" i="1"/>
  <c r="O26" i="5" l="1"/>
  <c r="N25" i="5"/>
  <c r="J26" i="5"/>
  <c r="I25" i="5"/>
  <c r="N25" i="3"/>
  <c r="O26" i="3"/>
  <c r="C10" i="3"/>
  <c r="C11" i="3" s="1"/>
  <c r="O25" i="4"/>
  <c r="N25" i="4" s="1"/>
  <c r="T28" i="4"/>
  <c r="S28" i="4" s="1"/>
  <c r="O27" i="2"/>
  <c r="N27" i="2" s="1"/>
  <c r="S27" i="2"/>
  <c r="N24" i="1"/>
  <c r="T51" i="1"/>
  <c r="S50" i="1"/>
  <c r="N25" i="1"/>
  <c r="O26" i="1"/>
  <c r="N26" i="5" l="1"/>
  <c r="O27" i="5"/>
  <c r="J27" i="5"/>
  <c r="I26" i="5"/>
  <c r="O27" i="3"/>
  <c r="N26" i="3"/>
  <c r="T29" i="4"/>
  <c r="S29" i="4" s="1"/>
  <c r="O26" i="4"/>
  <c r="N26" i="4" s="1"/>
  <c r="S28" i="2"/>
  <c r="O28" i="2"/>
  <c r="N28" i="2" s="1"/>
  <c r="T52" i="1"/>
  <c r="S51" i="1"/>
  <c r="O27" i="1"/>
  <c r="N26" i="1"/>
  <c r="I27" i="5" l="1"/>
  <c r="J28" i="5"/>
  <c r="I28" i="5" s="1"/>
  <c r="I29" i="5" s="1"/>
  <c r="O28" i="5"/>
  <c r="N27" i="5"/>
  <c r="N27" i="3"/>
  <c r="O28" i="3"/>
  <c r="O27" i="4"/>
  <c r="N27" i="4" s="1"/>
  <c r="T30" i="4"/>
  <c r="S30" i="4" s="1"/>
  <c r="O29" i="2"/>
  <c r="N29" i="2" s="1"/>
  <c r="S29" i="2"/>
  <c r="T53" i="1"/>
  <c r="S52" i="1"/>
  <c r="O28" i="1"/>
  <c r="N27" i="1"/>
  <c r="H10" i="5" l="1"/>
  <c r="N28" i="5"/>
  <c r="O29" i="5"/>
  <c r="H11" i="5"/>
  <c r="O29" i="3"/>
  <c r="N28" i="3"/>
  <c r="T31" i="4"/>
  <c r="S31" i="4" s="1"/>
  <c r="O28" i="4"/>
  <c r="N28" i="4" s="1"/>
  <c r="T30" i="2"/>
  <c r="S30" i="2" s="1"/>
  <c r="O30" i="2"/>
  <c r="N30" i="2" s="1"/>
  <c r="T54" i="1"/>
  <c r="S53" i="1"/>
  <c r="N28" i="1"/>
  <c r="O29" i="1"/>
  <c r="O30" i="5" l="1"/>
  <c r="N29" i="5"/>
  <c r="N29" i="3"/>
  <c r="O30" i="3"/>
  <c r="O29" i="4"/>
  <c r="N29" i="4" s="1"/>
  <c r="T32" i="4"/>
  <c r="S32" i="4" s="1"/>
  <c r="O31" i="2"/>
  <c r="N31" i="2" s="1"/>
  <c r="T31" i="2"/>
  <c r="S31" i="2" s="1"/>
  <c r="T55" i="1"/>
  <c r="S54" i="1"/>
  <c r="O30" i="1"/>
  <c r="N29" i="1"/>
  <c r="N30" i="5" l="1"/>
  <c r="O31" i="5"/>
  <c r="O31" i="3"/>
  <c r="N30" i="3"/>
  <c r="T33" i="4"/>
  <c r="S33" i="4" s="1"/>
  <c r="O30" i="4"/>
  <c r="N30" i="4" s="1"/>
  <c r="T32" i="2"/>
  <c r="S32" i="2" s="1"/>
  <c r="O32" i="2"/>
  <c r="N32" i="2" s="1"/>
  <c r="T56" i="1"/>
  <c r="S55" i="1"/>
  <c r="N30" i="1"/>
  <c r="O31" i="1"/>
  <c r="O32" i="5" l="1"/>
  <c r="N31" i="5"/>
  <c r="N31" i="3"/>
  <c r="O32" i="3"/>
  <c r="O31" i="4"/>
  <c r="N31" i="4" s="1"/>
  <c r="T34" i="4"/>
  <c r="S34" i="4" s="1"/>
  <c r="O33" i="2"/>
  <c r="N33" i="2" s="1"/>
  <c r="T33" i="2"/>
  <c r="S33" i="2" s="1"/>
  <c r="T57" i="1"/>
  <c r="S56" i="1"/>
  <c r="N31" i="1"/>
  <c r="O32" i="1"/>
  <c r="N32" i="5" l="1"/>
  <c r="O33" i="5"/>
  <c r="O33" i="3"/>
  <c r="N32" i="3"/>
  <c r="T35" i="4"/>
  <c r="S35" i="4" s="1"/>
  <c r="O32" i="4"/>
  <c r="N32" i="4" s="1"/>
  <c r="O34" i="2"/>
  <c r="N34" i="2" s="1"/>
  <c r="T34" i="2"/>
  <c r="S34" i="2" s="1"/>
  <c r="T58" i="1"/>
  <c r="S57" i="1"/>
  <c r="O33" i="1"/>
  <c r="N32" i="1"/>
  <c r="O34" i="5" l="1"/>
  <c r="N33" i="5"/>
  <c r="N33" i="3"/>
  <c r="O34" i="3"/>
  <c r="O33" i="4"/>
  <c r="N33" i="4" s="1"/>
  <c r="T36" i="4"/>
  <c r="S36" i="4" s="1"/>
  <c r="T35" i="2"/>
  <c r="S35" i="2" s="1"/>
  <c r="O35" i="2"/>
  <c r="N35" i="2" s="1"/>
  <c r="T59" i="1"/>
  <c r="S58" i="1"/>
  <c r="N33" i="1"/>
  <c r="O34" i="1"/>
  <c r="N34" i="5" l="1"/>
  <c r="O35" i="5"/>
  <c r="O35" i="3"/>
  <c r="N34" i="3"/>
  <c r="T37" i="4"/>
  <c r="S37" i="4" s="1"/>
  <c r="O34" i="4"/>
  <c r="N34" i="4" s="1"/>
  <c r="O36" i="2"/>
  <c r="N36" i="2" s="1"/>
  <c r="T36" i="2"/>
  <c r="S36" i="2" s="1"/>
  <c r="T60" i="1"/>
  <c r="S59" i="1"/>
  <c r="O35" i="1"/>
  <c r="N34" i="1"/>
  <c r="O36" i="5" l="1"/>
  <c r="N35" i="5"/>
  <c r="N35" i="3"/>
  <c r="O36" i="3"/>
  <c r="O35" i="4"/>
  <c r="N35" i="4" s="1"/>
  <c r="T38" i="4"/>
  <c r="S38" i="4" s="1"/>
  <c r="O37" i="2"/>
  <c r="N37" i="2" s="1"/>
  <c r="T37" i="2"/>
  <c r="S37" i="2" s="1"/>
  <c r="T61" i="1"/>
  <c r="S60" i="1"/>
  <c r="O36" i="1"/>
  <c r="N35" i="1"/>
  <c r="N36" i="5" l="1"/>
  <c r="O37" i="5"/>
  <c r="O37" i="3"/>
  <c r="N36" i="3"/>
  <c r="O36" i="4"/>
  <c r="N36" i="4" s="1"/>
  <c r="T39" i="4"/>
  <c r="S39" i="4" s="1"/>
  <c r="T38" i="2"/>
  <c r="S38" i="2" s="1"/>
  <c r="O38" i="2"/>
  <c r="N38" i="2" s="1"/>
  <c r="T62" i="1"/>
  <c r="S61" i="1"/>
  <c r="N36" i="1"/>
  <c r="O37" i="1"/>
  <c r="O38" i="5" l="1"/>
  <c r="N38" i="5" s="1"/>
  <c r="N39" i="5" s="1"/>
  <c r="M10" i="5" s="1"/>
  <c r="N37" i="5"/>
  <c r="N37" i="3"/>
  <c r="O38" i="3"/>
  <c r="T40" i="4"/>
  <c r="S40" i="4" s="1"/>
  <c r="O37" i="4"/>
  <c r="N37" i="4" s="1"/>
  <c r="O39" i="2"/>
  <c r="N39" i="2" s="1"/>
  <c r="T39" i="2"/>
  <c r="S39" i="2" s="1"/>
  <c r="T63" i="1"/>
  <c r="S62" i="1"/>
  <c r="O38" i="1"/>
  <c r="N37" i="1"/>
  <c r="O39" i="3" l="1"/>
  <c r="N39" i="3" s="1"/>
  <c r="N38" i="3"/>
  <c r="O38" i="4"/>
  <c r="N38" i="4" s="1"/>
  <c r="T41" i="4"/>
  <c r="S41" i="4" s="1"/>
  <c r="T40" i="2"/>
  <c r="S40" i="2" s="1"/>
  <c r="O40" i="2"/>
  <c r="N40" i="2" s="1"/>
  <c r="M10" i="2" s="1"/>
  <c r="T64" i="1"/>
  <c r="S63" i="1"/>
  <c r="N38" i="1"/>
  <c r="O39" i="1"/>
  <c r="N39" i="1" s="1"/>
  <c r="M10" i="1" s="1"/>
  <c r="M11" i="1" s="1"/>
  <c r="M11" i="5" l="1"/>
  <c r="N40" i="3"/>
  <c r="M10" i="3" s="1"/>
  <c r="M11" i="3" s="1"/>
  <c r="T42" i="4"/>
  <c r="S42" i="4" s="1"/>
  <c r="O39" i="4"/>
  <c r="N39" i="4" s="1"/>
  <c r="M11" i="2"/>
  <c r="T41" i="2"/>
  <c r="S41" i="2" s="1"/>
  <c r="T65" i="1"/>
  <c r="S64" i="1"/>
  <c r="T43" i="4" l="1"/>
  <c r="S43" i="4" s="1"/>
  <c r="M10" i="4"/>
  <c r="M11" i="4" s="1"/>
  <c r="T42" i="2"/>
  <c r="S42" i="2" s="1"/>
  <c r="T66" i="1"/>
  <c r="S65" i="1"/>
  <c r="T44" i="4" l="1"/>
  <c r="S44" i="4" s="1"/>
  <c r="T43" i="2"/>
  <c r="S43" i="2" s="1"/>
  <c r="T67" i="1"/>
  <c r="S66" i="1"/>
  <c r="T45" i="4" l="1"/>
  <c r="S45" i="4" s="1"/>
  <c r="T44" i="2"/>
  <c r="S44" i="2" s="1"/>
  <c r="T68" i="1"/>
  <c r="S67" i="1"/>
  <c r="T46" i="4" l="1"/>
  <c r="S46" i="4" s="1"/>
  <c r="T45" i="2"/>
  <c r="S45" i="2" s="1"/>
  <c r="T69" i="1"/>
  <c r="S68" i="1"/>
  <c r="T47" i="4" l="1"/>
  <c r="S47" i="4" s="1"/>
  <c r="T46" i="2"/>
  <c r="S46" i="2" s="1"/>
  <c r="T70" i="1"/>
  <c r="S69" i="1"/>
  <c r="T48" i="4" l="1"/>
  <c r="S48" i="4" s="1"/>
  <c r="T47" i="2"/>
  <c r="S47" i="2" s="1"/>
  <c r="T71" i="1"/>
  <c r="S70" i="1"/>
  <c r="T49" i="4" l="1"/>
  <c r="S49" i="4" s="1"/>
  <c r="T48" i="2"/>
  <c r="S48" i="2" s="1"/>
  <c r="T72" i="1"/>
  <c r="S71" i="1"/>
  <c r="T50" i="4" l="1"/>
  <c r="S50" i="4" s="1"/>
  <c r="T49" i="2"/>
  <c r="S49" i="2" s="1"/>
  <c r="T73" i="1"/>
  <c r="S72" i="1"/>
  <c r="T51" i="4" l="1"/>
  <c r="S51" i="4" s="1"/>
  <c r="T50" i="2"/>
  <c r="S50" i="2" s="1"/>
  <c r="T74" i="1"/>
  <c r="S73" i="1"/>
  <c r="T52" i="4" l="1"/>
  <c r="S52" i="4" s="1"/>
  <c r="T51" i="2"/>
  <c r="S51" i="2" s="1"/>
  <c r="T75" i="1"/>
  <c r="S74" i="1"/>
  <c r="T53" i="4" l="1"/>
  <c r="S53" i="4" s="1"/>
  <c r="T52" i="2"/>
  <c r="S52" i="2" s="1"/>
  <c r="T76" i="1"/>
  <c r="S75" i="1"/>
  <c r="T54" i="4" l="1"/>
  <c r="S54" i="4" s="1"/>
  <c r="T53" i="2"/>
  <c r="S53" i="2" s="1"/>
  <c r="T77" i="1"/>
  <c r="S76" i="1"/>
  <c r="T55" i="4" l="1"/>
  <c r="S55" i="4" s="1"/>
  <c r="T54" i="2"/>
  <c r="S54" i="2" s="1"/>
  <c r="T78" i="1"/>
  <c r="S77" i="1"/>
  <c r="T56" i="4" l="1"/>
  <c r="S56" i="4" s="1"/>
  <c r="T55" i="2"/>
  <c r="S55" i="2" s="1"/>
  <c r="T79" i="1"/>
  <c r="S79" i="1" s="1"/>
  <c r="R10" i="1" s="1"/>
  <c r="R11" i="1" s="1"/>
  <c r="S78" i="1"/>
  <c r="T57" i="4" l="1"/>
  <c r="S57" i="4" s="1"/>
  <c r="T56" i="2"/>
  <c r="S56" i="2" s="1"/>
  <c r="T58" i="4" l="1"/>
  <c r="S58" i="4" s="1"/>
  <c r="T57" i="2"/>
  <c r="S57" i="2" s="1"/>
  <c r="T59" i="4" l="1"/>
  <c r="S59" i="4" s="1"/>
  <c r="T58" i="2"/>
  <c r="S58" i="2" s="1"/>
  <c r="T60" i="4" l="1"/>
  <c r="S60" i="4" s="1"/>
  <c r="T59" i="2"/>
  <c r="S59" i="2" s="1"/>
  <c r="T61" i="4" l="1"/>
  <c r="S61" i="4" s="1"/>
  <c r="T60" i="2"/>
  <c r="S60" i="2" s="1"/>
  <c r="T62" i="4" l="1"/>
  <c r="S62" i="4" s="1"/>
  <c r="T61" i="2"/>
  <c r="S61" i="2" s="1"/>
  <c r="T63" i="4" l="1"/>
  <c r="S63" i="4" s="1"/>
  <c r="T62" i="2"/>
  <c r="S62" i="2" s="1"/>
  <c r="T64" i="4" l="1"/>
  <c r="S64" i="4" s="1"/>
  <c r="T63" i="2"/>
  <c r="S63" i="2" s="1"/>
  <c r="T65" i="4" l="1"/>
  <c r="S65" i="4" s="1"/>
  <c r="T64" i="2"/>
  <c r="S64" i="2" s="1"/>
  <c r="T66" i="4" l="1"/>
  <c r="S66" i="4" s="1"/>
  <c r="T65" i="2"/>
  <c r="S65" i="2" s="1"/>
  <c r="T67" i="4" l="1"/>
  <c r="S67" i="4" s="1"/>
  <c r="T66" i="2"/>
  <c r="S66" i="2" s="1"/>
  <c r="R11" i="5" l="1"/>
  <c r="T68" i="4"/>
  <c r="S68" i="4" s="1"/>
  <c r="T67" i="2"/>
  <c r="S67" i="2" s="1"/>
  <c r="T69" i="4" l="1"/>
  <c r="S69" i="4" s="1"/>
  <c r="T68" i="2"/>
  <c r="S68" i="2" s="1"/>
  <c r="T70" i="4" l="1"/>
  <c r="S70" i="4" s="1"/>
  <c r="T69" i="2"/>
  <c r="S69" i="2" s="1"/>
  <c r="T71" i="4" l="1"/>
  <c r="S71" i="4" s="1"/>
  <c r="T70" i="2"/>
  <c r="S70" i="2" s="1"/>
  <c r="T72" i="4" l="1"/>
  <c r="S72" i="4" s="1"/>
  <c r="T71" i="2"/>
  <c r="S71" i="2" s="1"/>
  <c r="T73" i="4" l="1"/>
  <c r="S73" i="4" s="1"/>
  <c r="T72" i="2"/>
  <c r="S72" i="2" s="1"/>
  <c r="T74" i="4" l="1"/>
  <c r="S74" i="4" s="1"/>
  <c r="T73" i="2"/>
  <c r="S73" i="2" s="1"/>
  <c r="T75" i="4" l="1"/>
  <c r="S75" i="4" s="1"/>
  <c r="T74" i="2"/>
  <c r="S74" i="2" s="1"/>
  <c r="T76" i="4" l="1"/>
  <c r="S76" i="4" s="1"/>
  <c r="T75" i="2"/>
  <c r="S75" i="2" s="1"/>
  <c r="T77" i="4" l="1"/>
  <c r="S77" i="4" s="1"/>
  <c r="T76" i="2"/>
  <c r="S76" i="2" s="1"/>
  <c r="T78" i="4" l="1"/>
  <c r="S78" i="4" s="1"/>
  <c r="T77" i="2"/>
  <c r="S77" i="2" s="1"/>
  <c r="T79" i="4" l="1"/>
  <c r="S79" i="4" s="1"/>
  <c r="R10" i="4" s="1"/>
  <c r="T78" i="2"/>
  <c r="S78" i="2" l="1"/>
  <c r="T79" i="2"/>
  <c r="R11" i="4"/>
  <c r="T80" i="2" l="1"/>
  <c r="S79" i="2"/>
  <c r="S80" i="2" l="1"/>
  <c r="R10" i="2" s="1"/>
  <c r="R11" i="2" s="1"/>
</calcChain>
</file>

<file path=xl/sharedStrings.xml><?xml version="1.0" encoding="utf-8"?>
<sst xmlns="http://schemas.openxmlformats.org/spreadsheetml/2006/main" count="340" uniqueCount="22">
  <si>
    <t>Notional</t>
  </si>
  <si>
    <t>SwapRate</t>
  </si>
  <si>
    <t>nCoupons</t>
  </si>
  <si>
    <t>CashAnnuity</t>
  </si>
  <si>
    <t>Tenor</t>
  </si>
  <si>
    <t>StubType</t>
  </si>
  <si>
    <t>Coupon</t>
  </si>
  <si>
    <t>LONG_START</t>
  </si>
  <si>
    <t>DF</t>
  </si>
  <si>
    <t>SHORT_START</t>
  </si>
  <si>
    <t>Regular: 5Y Annual</t>
  </si>
  <si>
    <t>Regular: 5Y Semi-Annual</t>
  </si>
  <si>
    <t>Regular: 5Y Quarterly</t>
  </si>
  <si>
    <t>Regular: 5Y Monthly</t>
  </si>
  <si>
    <t>t</t>
  </si>
  <si>
    <t>YearFrac</t>
  </si>
  <si>
    <t>NONE</t>
  </si>
  <si>
    <t>n</t>
  </si>
  <si>
    <t>Manual Check</t>
  </si>
  <si>
    <t>+/-</t>
  </si>
  <si>
    <t>SHORT_END</t>
  </si>
  <si>
    <t>LONG_END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</si>
</sst>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00"/>
    <numFmt numFmtId="165" formatCode="#,##0.0000"/>
    <numFmt numFmtId="166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quotePrefix="1"/>
    <xf numFmtId="165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1" fontId="2" fillId="4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right" vertical="center"/>
    </xf>
    <xf numFmtId="4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4" fontId="4" fillId="3" borderId="0" xfId="0" applyNumberFormat="1" applyFont="1" applyFill="1" applyAlignment="1">
      <alignment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11"/>
  <sheetViews>
    <sheetView tabSelected="1" workbookViewId="0"/>
  </sheetViews>
  <sheetFormatPr defaultRowHeight="15" x14ac:dyDescent="0.25"/>
  <cols>
    <col min="2" max="2" width="19.7109375" bestFit="1" customWidth="1"/>
    <col min="3" max="3" width="12" bestFit="1" customWidth="1"/>
    <col min="7" max="7" width="23" bestFit="1" customWidth="1"/>
    <col min="8" max="8" width="12" bestFit="1" customWidth="1"/>
    <col min="12" max="12" width="19.85546875" bestFit="1" customWidth="1"/>
    <col min="13" max="13" width="12" bestFit="1" customWidth="1"/>
    <col min="17" max="17" width="19.85546875" bestFit="1" customWidth="1"/>
    <col min="18" max="18" width="13.42578125" bestFit="1" customWidth="1"/>
    <col min="20" max="20" width="12" bestFit="1" customWidth="1"/>
  </cols>
  <sheetData>
    <row r="3" spans="2:20" x14ac:dyDescent="0.25">
      <c r="B3" t="s">
        <v>0</v>
      </c>
      <c r="C3" s="1">
        <v>1</v>
      </c>
      <c r="G3" t="s">
        <v>0</v>
      </c>
      <c r="H3" s="1">
        <v>1</v>
      </c>
      <c r="L3" t="s">
        <v>0</v>
      </c>
      <c r="M3" s="1">
        <v>1</v>
      </c>
      <c r="Q3" t="s">
        <v>0</v>
      </c>
      <c r="R3" s="1">
        <v>1</v>
      </c>
    </row>
    <row r="4" spans="2:20" x14ac:dyDescent="0.25">
      <c r="B4" t="s">
        <v>1</v>
      </c>
      <c r="C4" s="2">
        <v>0.1</v>
      </c>
      <c r="G4" t="s">
        <v>1</v>
      </c>
      <c r="H4" s="2">
        <v>0.1</v>
      </c>
      <c r="L4" t="s">
        <v>1</v>
      </c>
      <c r="M4" s="2">
        <v>0.1</v>
      </c>
      <c r="Q4" t="s">
        <v>1</v>
      </c>
      <c r="R4" s="2">
        <v>0.1</v>
      </c>
    </row>
    <row r="5" spans="2:20" x14ac:dyDescent="0.25">
      <c r="B5" t="s">
        <v>2</v>
      </c>
      <c r="C5" s="1">
        <v>1</v>
      </c>
      <c r="G5" t="s">
        <v>2</v>
      </c>
      <c r="H5" s="1">
        <v>2</v>
      </c>
      <c r="L5" t="s">
        <v>2</v>
      </c>
      <c r="M5" s="1">
        <v>4</v>
      </c>
      <c r="Q5" t="s">
        <v>2</v>
      </c>
      <c r="R5" s="1">
        <v>12</v>
      </c>
    </row>
    <row r="6" spans="2:20" x14ac:dyDescent="0.25">
      <c r="B6" t="s">
        <v>4</v>
      </c>
      <c r="C6" s="3">
        <v>5</v>
      </c>
      <c r="G6" t="s">
        <v>4</v>
      </c>
      <c r="H6" s="3">
        <v>5</v>
      </c>
      <c r="L6" t="s">
        <v>4</v>
      </c>
      <c r="M6" s="3">
        <v>5</v>
      </c>
      <c r="Q6" t="s">
        <v>4</v>
      </c>
      <c r="R6" s="3">
        <v>5</v>
      </c>
    </row>
    <row r="7" spans="2:20" x14ac:dyDescent="0.25">
      <c r="B7" t="s">
        <v>5</v>
      </c>
      <c r="C7" s="12" t="s">
        <v>16</v>
      </c>
      <c r="G7" t="s">
        <v>5</v>
      </c>
      <c r="H7" s="12" t="s">
        <v>16</v>
      </c>
      <c r="L7" t="s">
        <v>5</v>
      </c>
      <c r="M7" s="12" t="s">
        <v>16</v>
      </c>
      <c r="Q7" t="s">
        <v>5</v>
      </c>
      <c r="R7" s="12" t="s">
        <v>16</v>
      </c>
    </row>
    <row r="8" spans="2:20" x14ac:dyDescent="0.25">
      <c r="T8" s="8"/>
    </row>
    <row r="9" spans="2:20" x14ac:dyDescent="0.25">
      <c r="B9" t="s">
        <v>3</v>
      </c>
      <c r="C9" s="11">
        <f ca="1">_xll.meMathEuropeanIRSwaptionCashAnnuity(C3,C4,C5,C6,C7)</f>
        <v>3.7907867694084478</v>
      </c>
      <c r="G9" t="s">
        <v>3</v>
      </c>
      <c r="H9" s="11">
        <f ca="1">_xll.meMathEuropeanIRSwaptionCashAnnuity(H3,H4,H5,H6,H7)</f>
        <v>3.8608674645924062</v>
      </c>
      <c r="L9" t="s">
        <v>3</v>
      </c>
      <c r="M9" s="11">
        <f ca="1">_xll.meMathEuropeanIRSwaptionCashAnnuity(M3,M4,M5,M6,M7)</f>
        <v>3.8972905714117059</v>
      </c>
      <c r="Q9" t="s">
        <v>3</v>
      </c>
      <c r="R9" s="11">
        <f ca="1">_xll.meMathEuropeanIRSwaptionCashAnnuity(R3,R4,R5,R6,R7)</f>
        <v>3.9221140853126712</v>
      </c>
    </row>
    <row r="10" spans="2:20" x14ac:dyDescent="0.25">
      <c r="B10" t="s">
        <v>18</v>
      </c>
      <c r="C10" s="24">
        <f>SUMPRODUCT(C20:C24,D20:D24)</f>
        <v>3.7907867694084478</v>
      </c>
      <c r="G10" t="s">
        <v>18</v>
      </c>
      <c r="H10" s="24">
        <f>SUMPRODUCT(H20:H29,I20:I29)</f>
        <v>3.8608674645924062</v>
      </c>
      <c r="L10" t="s">
        <v>18</v>
      </c>
      <c r="M10" s="24">
        <f>SUMPRODUCT(M20:M39,N20:N39)</f>
        <v>3.8972905714117045</v>
      </c>
      <c r="Q10" t="s">
        <v>18</v>
      </c>
      <c r="R10" s="24">
        <f>SUMPRODUCT(R20:R79,S20:S79)</f>
        <v>3.9221140853126721</v>
      </c>
    </row>
    <row r="11" spans="2:20" x14ac:dyDescent="0.25">
      <c r="B11" s="9" t="s">
        <v>19</v>
      </c>
      <c r="C11" s="15">
        <f ca="1">C9-C10</f>
        <v>0</v>
      </c>
      <c r="G11" s="9" t="s">
        <v>19</v>
      </c>
      <c r="H11" s="15">
        <f ca="1">H9-H10</f>
        <v>0</v>
      </c>
      <c r="L11" s="9" t="s">
        <v>19</v>
      </c>
      <c r="M11" s="15">
        <f ca="1">M9-M10</f>
        <v>0</v>
      </c>
      <c r="Q11" s="9" t="s">
        <v>19</v>
      </c>
      <c r="R11" s="15">
        <f ca="1">R9-R10</f>
        <v>0</v>
      </c>
    </row>
    <row r="14" spans="2:20" x14ac:dyDescent="0.25">
      <c r="B14" t="s">
        <v>10</v>
      </c>
      <c r="G14" t="s">
        <v>11</v>
      </c>
      <c r="L14" t="s">
        <v>12</v>
      </c>
      <c r="Q14" t="s">
        <v>13</v>
      </c>
    </row>
    <row r="15" spans="2:20" x14ac:dyDescent="0.25">
      <c r="B15" t="s">
        <v>0</v>
      </c>
      <c r="C15">
        <v>1</v>
      </c>
      <c r="G15" t="s">
        <v>0</v>
      </c>
      <c r="H15">
        <v>1</v>
      </c>
      <c r="L15" t="s">
        <v>0</v>
      </c>
      <c r="M15">
        <v>1</v>
      </c>
      <c r="Q15" t="s">
        <v>0</v>
      </c>
      <c r="R15">
        <v>1</v>
      </c>
    </row>
    <row r="16" spans="2:20" x14ac:dyDescent="0.25">
      <c r="B16" t="s">
        <v>15</v>
      </c>
      <c r="C16">
        <v>1</v>
      </c>
      <c r="G16" t="s">
        <v>15</v>
      </c>
      <c r="H16">
        <v>0.5</v>
      </c>
      <c r="L16" t="s">
        <v>15</v>
      </c>
      <c r="M16">
        <v>0.25</v>
      </c>
      <c r="Q16" t="s">
        <v>15</v>
      </c>
      <c r="R16">
        <f>1/12</f>
        <v>8.3333333333333329E-2</v>
      </c>
    </row>
    <row r="17" spans="2:20" x14ac:dyDescent="0.25">
      <c r="B17" t="s">
        <v>1</v>
      </c>
      <c r="C17" s="7">
        <v>0.1</v>
      </c>
      <c r="G17" t="s">
        <v>1</v>
      </c>
      <c r="H17" s="7">
        <v>0.1</v>
      </c>
      <c r="L17" t="s">
        <v>1</v>
      </c>
      <c r="M17" s="7">
        <v>0.1</v>
      </c>
      <c r="Q17" t="s">
        <v>1</v>
      </c>
      <c r="R17" s="7">
        <v>0.1</v>
      </c>
    </row>
    <row r="19" spans="2:20" x14ac:dyDescent="0.25">
      <c r="B19" t="s">
        <v>14</v>
      </c>
      <c r="C19" t="s">
        <v>6</v>
      </c>
      <c r="D19" t="s">
        <v>8</v>
      </c>
      <c r="E19" t="s">
        <v>17</v>
      </c>
      <c r="G19" t="s">
        <v>14</v>
      </c>
      <c r="H19" t="s">
        <v>6</v>
      </c>
      <c r="I19" t="s">
        <v>8</v>
      </c>
      <c r="J19" t="s">
        <v>17</v>
      </c>
      <c r="L19" t="s">
        <v>14</v>
      </c>
      <c r="M19" t="s">
        <v>6</v>
      </c>
      <c r="N19" t="s">
        <v>8</v>
      </c>
      <c r="O19" t="s">
        <v>17</v>
      </c>
      <c r="Q19" t="s">
        <v>14</v>
      </c>
      <c r="R19" t="s">
        <v>6</v>
      </c>
      <c r="S19" t="s">
        <v>8</v>
      </c>
      <c r="T19" t="s">
        <v>17</v>
      </c>
    </row>
    <row r="20" spans="2:20" x14ac:dyDescent="0.25">
      <c r="B20">
        <v>1</v>
      </c>
      <c r="C20" s="6">
        <f>$C$15*$C$16</f>
        <v>1</v>
      </c>
      <c r="D20">
        <f>1/(1+$C$17*$C$16)^B20</f>
        <v>0.90909090909090906</v>
      </c>
      <c r="E20">
        <v>1</v>
      </c>
      <c r="G20" s="6">
        <v>0.5</v>
      </c>
      <c r="H20" s="6">
        <f t="shared" ref="H20:H29" si="0">$H$15*$H$16</f>
        <v>0.5</v>
      </c>
      <c r="I20">
        <f t="shared" ref="I20:I29" si="1">1/(1+$H$17*$H$16)^J20</f>
        <v>0.95238095238095233</v>
      </c>
      <c r="J20">
        <v>1</v>
      </c>
      <c r="L20" s="6">
        <v>0.25</v>
      </c>
      <c r="M20" s="6">
        <v>0.25</v>
      </c>
      <c r="N20">
        <f t="shared" ref="N20:N39" si="2">1/(1+$M$17*$M$16)^O20</f>
        <v>0.97560975609756106</v>
      </c>
      <c r="O20">
        <v>1</v>
      </c>
      <c r="Q20" s="6">
        <f>$R$16</f>
        <v>8.3333333333333329E-2</v>
      </c>
      <c r="R20" s="10">
        <f>$R$16</f>
        <v>8.3333333333333329E-2</v>
      </c>
      <c r="S20">
        <f>1/(1+$R$17*$R$16)^T20</f>
        <v>0.99173553719008267</v>
      </c>
      <c r="T20">
        <v>1</v>
      </c>
    </row>
    <row r="21" spans="2:20" x14ac:dyDescent="0.25">
      <c r="B21">
        <v>2</v>
      </c>
      <c r="C21" s="6">
        <f>$C$15*$C$16</f>
        <v>1</v>
      </c>
      <c r="D21">
        <f>1/(1+$C$17*$C$16)^B21</f>
        <v>0.82644628099173545</v>
      </c>
      <c r="E21">
        <v>2</v>
      </c>
      <c r="G21" s="6">
        <v>1</v>
      </c>
      <c r="H21" s="6">
        <f t="shared" si="0"/>
        <v>0.5</v>
      </c>
      <c r="I21">
        <f t="shared" si="1"/>
        <v>0.90702947845804982</v>
      </c>
      <c r="J21">
        <v>2</v>
      </c>
      <c r="L21" s="6">
        <f t="shared" ref="L21:L39" si="3">L20+0.25</f>
        <v>0.5</v>
      </c>
      <c r="M21" s="6">
        <v>0.25</v>
      </c>
      <c r="N21">
        <f t="shared" si="2"/>
        <v>0.95181439619274244</v>
      </c>
      <c r="O21">
        <f t="shared" ref="O21:O39" si="4">O20+1</f>
        <v>2</v>
      </c>
      <c r="Q21" s="6">
        <f t="shared" ref="Q21:Q52" si="5">Q20+$R$16</f>
        <v>0.16666666666666666</v>
      </c>
      <c r="R21" s="10">
        <f t="shared" ref="R21:R52" si="6">$R$16</f>
        <v>8.3333333333333329E-2</v>
      </c>
      <c r="S21">
        <f t="shared" ref="S21:S79" si="7">1/(1+$R$17*$R$16)^T21</f>
        <v>0.98353937572570183</v>
      </c>
      <c r="T21">
        <f>T20+1</f>
        <v>2</v>
      </c>
    </row>
    <row r="22" spans="2:20" x14ac:dyDescent="0.25">
      <c r="B22">
        <v>3</v>
      </c>
      <c r="C22" s="6">
        <f>$C$15*$C$16</f>
        <v>1</v>
      </c>
      <c r="D22">
        <f>1/(1+$C$17*$C$16)^B22</f>
        <v>0.75131480090157754</v>
      </c>
      <c r="E22">
        <v>3</v>
      </c>
      <c r="G22" s="6">
        <f t="shared" ref="G22:G29" si="8">G21+0.5</f>
        <v>1.5</v>
      </c>
      <c r="H22" s="6">
        <f t="shared" si="0"/>
        <v>0.5</v>
      </c>
      <c r="I22">
        <f t="shared" si="1"/>
        <v>0.86383759853147601</v>
      </c>
      <c r="J22">
        <v>3</v>
      </c>
      <c r="L22" s="6">
        <f t="shared" si="3"/>
        <v>0.75</v>
      </c>
      <c r="M22" s="6">
        <v>0.25</v>
      </c>
      <c r="N22">
        <f t="shared" si="2"/>
        <v>0.92859941091974885</v>
      </c>
      <c r="O22">
        <f t="shared" si="4"/>
        <v>3</v>
      </c>
      <c r="Q22" s="6">
        <f t="shared" si="5"/>
        <v>0.25</v>
      </c>
      <c r="R22" s="10">
        <f t="shared" si="6"/>
        <v>8.3333333333333329E-2</v>
      </c>
      <c r="S22">
        <f t="shared" si="7"/>
        <v>0.97541095113292753</v>
      </c>
      <c r="T22">
        <f t="shared" ref="T22:T79" si="9">T21+1</f>
        <v>3</v>
      </c>
    </row>
    <row r="23" spans="2:20" x14ac:dyDescent="0.25">
      <c r="B23">
        <v>4</v>
      </c>
      <c r="C23" s="6">
        <f>$C$15*$C$16</f>
        <v>1</v>
      </c>
      <c r="D23">
        <f>1/(1+$C$17*$C$16)^B23</f>
        <v>0.68301345536507052</v>
      </c>
      <c r="E23">
        <v>4</v>
      </c>
      <c r="G23" s="6">
        <f t="shared" si="8"/>
        <v>2</v>
      </c>
      <c r="H23" s="6">
        <f t="shared" si="0"/>
        <v>0.5</v>
      </c>
      <c r="I23">
        <f t="shared" si="1"/>
        <v>0.82270247479188197</v>
      </c>
      <c r="J23">
        <v>4</v>
      </c>
      <c r="L23" s="6">
        <f t="shared" si="3"/>
        <v>1</v>
      </c>
      <c r="M23" s="6">
        <v>0.25</v>
      </c>
      <c r="N23">
        <f t="shared" si="2"/>
        <v>0.90595064479975507</v>
      </c>
      <c r="O23">
        <f t="shared" si="4"/>
        <v>4</v>
      </c>
      <c r="Q23" s="6">
        <f t="shared" si="5"/>
        <v>0.33333333333333331</v>
      </c>
      <c r="R23" s="10">
        <f t="shared" si="6"/>
        <v>8.3333333333333329E-2</v>
      </c>
      <c r="S23">
        <f t="shared" si="7"/>
        <v>0.9673497036029034</v>
      </c>
      <c r="T23">
        <f t="shared" si="9"/>
        <v>4</v>
      </c>
    </row>
    <row r="24" spans="2:20" x14ac:dyDescent="0.25">
      <c r="B24">
        <v>5</v>
      </c>
      <c r="C24" s="6">
        <f>$C$15*$C$16</f>
        <v>1</v>
      </c>
      <c r="D24">
        <f>1/(1+$C$17*$C$16)^B24</f>
        <v>0.62092132305915493</v>
      </c>
      <c r="E24">
        <v>5</v>
      </c>
      <c r="G24" s="6">
        <f t="shared" si="8"/>
        <v>2.5</v>
      </c>
      <c r="H24" s="6">
        <f t="shared" si="0"/>
        <v>0.5</v>
      </c>
      <c r="I24">
        <f t="shared" si="1"/>
        <v>0.78352616646845896</v>
      </c>
      <c r="J24">
        <v>5</v>
      </c>
      <c r="L24" s="6">
        <f t="shared" si="3"/>
        <v>1.25</v>
      </c>
      <c r="M24" s="6">
        <v>0.25</v>
      </c>
      <c r="N24">
        <f t="shared" si="2"/>
        <v>0.88385428760951712</v>
      </c>
      <c r="O24">
        <f t="shared" si="4"/>
        <v>5</v>
      </c>
      <c r="Q24" s="6">
        <f t="shared" si="5"/>
        <v>0.41666666666666663</v>
      </c>
      <c r="R24" s="10">
        <f t="shared" si="6"/>
        <v>8.3333333333333329E-2</v>
      </c>
      <c r="S24">
        <f t="shared" si="7"/>
        <v>0.95935507795329267</v>
      </c>
      <c r="T24">
        <f t="shared" si="9"/>
        <v>5</v>
      </c>
    </row>
    <row r="25" spans="2:20" x14ac:dyDescent="0.25">
      <c r="G25" s="6">
        <f t="shared" si="8"/>
        <v>3</v>
      </c>
      <c r="H25" s="6">
        <f t="shared" si="0"/>
        <v>0.5</v>
      </c>
      <c r="I25">
        <f t="shared" si="1"/>
        <v>0.74621539663662761</v>
      </c>
      <c r="J25">
        <v>6</v>
      </c>
      <c r="L25" s="6">
        <f t="shared" si="3"/>
        <v>1.5</v>
      </c>
      <c r="M25" s="6">
        <v>0.25</v>
      </c>
      <c r="N25">
        <f t="shared" si="2"/>
        <v>0.86229686596050459</v>
      </c>
      <c r="O25">
        <f t="shared" si="4"/>
        <v>6</v>
      </c>
      <c r="Q25" s="6">
        <f t="shared" si="5"/>
        <v>0.49999999999999994</v>
      </c>
      <c r="R25" s="10">
        <f t="shared" si="6"/>
        <v>8.3333333333333329E-2</v>
      </c>
      <c r="S25">
        <f t="shared" si="7"/>
        <v>0.95142652359004232</v>
      </c>
      <c r="T25">
        <f t="shared" si="9"/>
        <v>6</v>
      </c>
    </row>
    <row r="26" spans="2:20" x14ac:dyDescent="0.25">
      <c r="G26" s="6">
        <f t="shared" si="8"/>
        <v>3.5</v>
      </c>
      <c r="H26" s="6">
        <f t="shared" si="0"/>
        <v>0.5</v>
      </c>
      <c r="I26">
        <f t="shared" si="1"/>
        <v>0.71068133013012147</v>
      </c>
      <c r="J26">
        <v>7</v>
      </c>
      <c r="L26" s="6">
        <f t="shared" si="3"/>
        <v>1.75</v>
      </c>
      <c r="M26" s="6">
        <v>0.25</v>
      </c>
      <c r="N26">
        <f t="shared" si="2"/>
        <v>0.84126523508341911</v>
      </c>
      <c r="O26">
        <f t="shared" si="4"/>
        <v>7</v>
      </c>
      <c r="Q26" s="6">
        <f t="shared" si="5"/>
        <v>0.58333333333333326</v>
      </c>
      <c r="R26" s="10">
        <f t="shared" si="6"/>
        <v>8.3333333333333329E-2</v>
      </c>
      <c r="S26">
        <f t="shared" si="7"/>
        <v>0.94356349446946353</v>
      </c>
      <c r="T26">
        <f t="shared" si="9"/>
        <v>7</v>
      </c>
    </row>
    <row r="27" spans="2:20" x14ac:dyDescent="0.25">
      <c r="G27" s="6">
        <f t="shared" si="8"/>
        <v>4</v>
      </c>
      <c r="H27" s="6">
        <f t="shared" si="0"/>
        <v>0.5</v>
      </c>
      <c r="I27">
        <f t="shared" si="1"/>
        <v>0.67683936202868722</v>
      </c>
      <c r="J27">
        <v>8</v>
      </c>
      <c r="L27" s="6">
        <f t="shared" si="3"/>
        <v>2</v>
      </c>
      <c r="M27" s="6">
        <v>0.25</v>
      </c>
      <c r="N27">
        <f t="shared" si="2"/>
        <v>0.82074657081309188</v>
      </c>
      <c r="O27">
        <f t="shared" si="4"/>
        <v>8</v>
      </c>
      <c r="Q27" s="6">
        <f t="shared" si="5"/>
        <v>0.66666666666666663</v>
      </c>
      <c r="R27" s="10">
        <f t="shared" si="6"/>
        <v>8.3333333333333329E-2</v>
      </c>
      <c r="S27">
        <f t="shared" si="7"/>
        <v>0.93576544906062498</v>
      </c>
      <c r="T27">
        <f t="shared" si="9"/>
        <v>8</v>
      </c>
    </row>
    <row r="28" spans="2:20" x14ac:dyDescent="0.25">
      <c r="G28" s="6">
        <f t="shared" si="8"/>
        <v>4.5</v>
      </c>
      <c r="H28" s="6">
        <f t="shared" si="0"/>
        <v>0.5</v>
      </c>
      <c r="I28">
        <f t="shared" si="1"/>
        <v>0.64460891621779726</v>
      </c>
      <c r="J28">
        <v>9</v>
      </c>
      <c r="L28" s="6">
        <f t="shared" si="3"/>
        <v>2.25</v>
      </c>
      <c r="M28" s="6">
        <v>0.25</v>
      </c>
      <c r="N28">
        <f t="shared" si="2"/>
        <v>0.8007283617688703</v>
      </c>
      <c r="O28">
        <f t="shared" si="4"/>
        <v>9</v>
      </c>
      <c r="Q28" s="6">
        <f t="shared" si="5"/>
        <v>0.75</v>
      </c>
      <c r="R28" s="10">
        <f t="shared" si="6"/>
        <v>8.3333333333333329E-2</v>
      </c>
      <c r="S28">
        <f t="shared" si="7"/>
        <v>0.9280318503080579</v>
      </c>
      <c r="T28">
        <f t="shared" si="9"/>
        <v>9</v>
      </c>
    </row>
    <row r="29" spans="2:20" x14ac:dyDescent="0.25">
      <c r="G29" s="6">
        <f t="shared" si="8"/>
        <v>5</v>
      </c>
      <c r="H29" s="6">
        <f t="shared" si="0"/>
        <v>0.5</v>
      </c>
      <c r="I29">
        <f t="shared" si="1"/>
        <v>0.61391325354075932</v>
      </c>
      <c r="J29">
        <v>10</v>
      </c>
      <c r="L29" s="6">
        <f t="shared" si="3"/>
        <v>2.5</v>
      </c>
      <c r="M29" s="6">
        <v>0.25</v>
      </c>
      <c r="N29">
        <f t="shared" si="2"/>
        <v>0.78119840172572708</v>
      </c>
      <c r="O29">
        <f t="shared" si="4"/>
        <v>10</v>
      </c>
      <c r="Q29" s="6">
        <f t="shared" si="5"/>
        <v>0.83333333333333337</v>
      </c>
      <c r="R29" s="10">
        <f t="shared" si="6"/>
        <v>8.3333333333333329E-2</v>
      </c>
      <c r="S29">
        <f t="shared" si="7"/>
        <v>0.92036216559476813</v>
      </c>
      <c r="T29">
        <f t="shared" si="9"/>
        <v>10</v>
      </c>
    </row>
    <row r="30" spans="2:20" x14ac:dyDescent="0.25">
      <c r="L30" s="6">
        <f t="shared" si="3"/>
        <v>2.75</v>
      </c>
      <c r="M30" s="6">
        <v>0.25</v>
      </c>
      <c r="N30">
        <f t="shared" si="2"/>
        <v>0.7621447821714411</v>
      </c>
      <c r="O30">
        <f t="shared" si="4"/>
        <v>11</v>
      </c>
      <c r="Q30" s="6">
        <f t="shared" si="5"/>
        <v>0.91666666666666674</v>
      </c>
      <c r="R30" s="10">
        <f t="shared" si="6"/>
        <v>8.3333333333333329E-2</v>
      </c>
      <c r="S30">
        <f t="shared" si="7"/>
        <v>0.91275586670555531</v>
      </c>
      <c r="T30">
        <f t="shared" si="9"/>
        <v>11</v>
      </c>
    </row>
    <row r="31" spans="2:20" x14ac:dyDescent="0.25">
      <c r="L31" s="6">
        <f t="shared" si="3"/>
        <v>3</v>
      </c>
      <c r="M31" s="6">
        <v>0.25</v>
      </c>
      <c r="N31">
        <f t="shared" si="2"/>
        <v>0.74355588504530845</v>
      </c>
      <c r="O31">
        <f t="shared" si="4"/>
        <v>12</v>
      </c>
      <c r="Q31" s="6">
        <f t="shared" si="5"/>
        <v>1</v>
      </c>
      <c r="R31" s="10">
        <f t="shared" si="6"/>
        <v>8.3333333333333329E-2</v>
      </c>
      <c r="S31">
        <f t="shared" si="7"/>
        <v>0.90521242979063321</v>
      </c>
      <c r="T31">
        <f t="shared" si="9"/>
        <v>12</v>
      </c>
    </row>
    <row r="32" spans="2:20" x14ac:dyDescent="0.25">
      <c r="L32" s="6">
        <f t="shared" si="3"/>
        <v>3.25</v>
      </c>
      <c r="M32" s="6">
        <v>0.25</v>
      </c>
      <c r="N32">
        <f t="shared" si="2"/>
        <v>0.72542037565395945</v>
      </c>
      <c r="O32">
        <f t="shared" si="4"/>
        <v>13</v>
      </c>
      <c r="Q32" s="6">
        <f t="shared" si="5"/>
        <v>1.0833333333333333</v>
      </c>
      <c r="R32" s="10">
        <f t="shared" si="6"/>
        <v>8.3333333333333329E-2</v>
      </c>
      <c r="S32">
        <f t="shared" si="7"/>
        <v>0.89773133532955385</v>
      </c>
      <c r="T32">
        <f t="shared" si="9"/>
        <v>13</v>
      </c>
    </row>
    <row r="33" spans="12:20" x14ac:dyDescent="0.25">
      <c r="L33" s="6">
        <f t="shared" si="3"/>
        <v>3.5</v>
      </c>
      <c r="M33" s="6">
        <v>0.25</v>
      </c>
      <c r="N33">
        <f t="shared" si="2"/>
        <v>0.70772719575996057</v>
      </c>
      <c r="O33">
        <f t="shared" si="4"/>
        <v>14</v>
      </c>
      <c r="Q33" s="6">
        <f t="shared" si="5"/>
        <v>1.1666666666666665</v>
      </c>
      <c r="R33" s="10">
        <f t="shared" si="6"/>
        <v>8.3333333333333329E-2</v>
      </c>
      <c r="S33">
        <f t="shared" si="7"/>
        <v>0.89031206809542529</v>
      </c>
      <c r="T33">
        <f t="shared" si="9"/>
        <v>14</v>
      </c>
    </row>
    <row r="34" spans="12:20" x14ac:dyDescent="0.25">
      <c r="L34" s="6">
        <f t="shared" si="3"/>
        <v>3.75</v>
      </c>
      <c r="M34" s="6">
        <v>0.25</v>
      </c>
      <c r="N34">
        <f t="shared" si="2"/>
        <v>0.69046555683898581</v>
      </c>
      <c r="O34">
        <f t="shared" si="4"/>
        <v>15</v>
      </c>
      <c r="Q34" s="6">
        <f t="shared" si="5"/>
        <v>1.2499999999999998</v>
      </c>
      <c r="R34" s="10">
        <f t="shared" si="6"/>
        <v>8.3333333333333329E-2</v>
      </c>
      <c r="S34">
        <f t="shared" si="7"/>
        <v>0.88295411711943006</v>
      </c>
      <c r="T34">
        <f t="shared" si="9"/>
        <v>15</v>
      </c>
    </row>
    <row r="35" spans="12:20" x14ac:dyDescent="0.25">
      <c r="L35" s="6">
        <f t="shared" si="3"/>
        <v>4</v>
      </c>
      <c r="M35" s="6">
        <v>0.25</v>
      </c>
      <c r="N35">
        <f t="shared" si="2"/>
        <v>0.67362493350144959</v>
      </c>
      <c r="O35">
        <f t="shared" si="4"/>
        <v>16</v>
      </c>
      <c r="Q35" s="6">
        <f t="shared" si="5"/>
        <v>1.333333333333333</v>
      </c>
      <c r="R35" s="10">
        <f t="shared" si="6"/>
        <v>8.3333333333333329E-2</v>
      </c>
      <c r="S35">
        <f t="shared" si="7"/>
        <v>0.87565697565563305</v>
      </c>
      <c r="T35">
        <f t="shared" si="9"/>
        <v>16</v>
      </c>
    </row>
    <row r="36" spans="12:20" x14ac:dyDescent="0.25">
      <c r="L36" s="6">
        <f t="shared" si="3"/>
        <v>4.25</v>
      </c>
      <c r="M36" s="6">
        <v>0.25</v>
      </c>
      <c r="N36">
        <f t="shared" si="2"/>
        <v>0.65719505707458503</v>
      </c>
      <c r="O36">
        <f t="shared" si="4"/>
        <v>17</v>
      </c>
      <c r="Q36" s="6">
        <f t="shared" si="5"/>
        <v>1.4166666666666663</v>
      </c>
      <c r="R36" s="10">
        <f t="shared" si="6"/>
        <v>8.3333333333333329E-2</v>
      </c>
      <c r="S36">
        <f t="shared" si="7"/>
        <v>0.86842014114608246</v>
      </c>
      <c r="T36">
        <f t="shared" si="9"/>
        <v>17</v>
      </c>
    </row>
    <row r="37" spans="12:20" x14ac:dyDescent="0.25">
      <c r="L37" s="6">
        <f t="shared" si="3"/>
        <v>4.5</v>
      </c>
      <c r="M37" s="6">
        <v>0.25</v>
      </c>
      <c r="N37">
        <f t="shared" si="2"/>
        <v>0.64116590934105855</v>
      </c>
      <c r="O37">
        <f t="shared" si="4"/>
        <v>18</v>
      </c>
      <c r="Q37" s="6">
        <f t="shared" si="5"/>
        <v>1.4999999999999996</v>
      </c>
      <c r="R37" s="10">
        <f t="shared" si="6"/>
        <v>8.3333333333333329E-2</v>
      </c>
      <c r="S37">
        <f t="shared" si="7"/>
        <v>0.86124311518619745</v>
      </c>
      <c r="T37">
        <f t="shared" si="9"/>
        <v>18</v>
      </c>
    </row>
    <row r="38" spans="12:20" x14ac:dyDescent="0.25">
      <c r="L38" s="6">
        <f t="shared" si="3"/>
        <v>4.75</v>
      </c>
      <c r="M38" s="6">
        <v>0.25</v>
      </c>
      <c r="N38">
        <f t="shared" si="2"/>
        <v>0.62552771643030103</v>
      </c>
      <c r="O38">
        <f t="shared" si="4"/>
        <v>19</v>
      </c>
      <c r="Q38" s="6">
        <f t="shared" si="5"/>
        <v>1.5833333333333328</v>
      </c>
      <c r="R38" s="10">
        <f t="shared" si="6"/>
        <v>8.3333333333333329E-2</v>
      </c>
      <c r="S38">
        <f t="shared" si="7"/>
        <v>0.85412540349044375</v>
      </c>
      <c r="T38">
        <f t="shared" si="9"/>
        <v>19</v>
      </c>
    </row>
    <row r="39" spans="12:20" x14ac:dyDescent="0.25">
      <c r="L39" s="6">
        <f t="shared" si="3"/>
        <v>5</v>
      </c>
      <c r="M39" s="6">
        <v>0.25</v>
      </c>
      <c r="N39">
        <f t="shared" si="2"/>
        <v>0.61027094285883032</v>
      </c>
      <c r="O39">
        <f t="shared" si="4"/>
        <v>20</v>
      </c>
      <c r="Q39" s="6">
        <f t="shared" si="5"/>
        <v>1.6666666666666661</v>
      </c>
      <c r="R39" s="10">
        <f t="shared" si="6"/>
        <v>8.3333333333333329E-2</v>
      </c>
      <c r="S39">
        <f t="shared" si="7"/>
        <v>0.84706651585829151</v>
      </c>
      <c r="T39">
        <f t="shared" si="9"/>
        <v>20</v>
      </c>
    </row>
    <row r="40" spans="12:20" x14ac:dyDescent="0.25">
      <c r="L40" s="6"/>
      <c r="Q40" s="6">
        <f t="shared" si="5"/>
        <v>1.7499999999999993</v>
      </c>
      <c r="R40" s="10">
        <f t="shared" si="6"/>
        <v>8.3333333333333329E-2</v>
      </c>
      <c r="S40">
        <f t="shared" si="7"/>
        <v>0.84006596614045448</v>
      </c>
      <c r="T40">
        <f t="shared" si="9"/>
        <v>21</v>
      </c>
    </row>
    <row r="41" spans="12:20" x14ac:dyDescent="0.25">
      <c r="L41" s="6"/>
      <c r="Q41" s="6">
        <f t="shared" si="5"/>
        <v>1.8333333333333326</v>
      </c>
      <c r="R41" s="10">
        <f t="shared" si="6"/>
        <v>8.3333333333333329E-2</v>
      </c>
      <c r="S41">
        <f t="shared" si="7"/>
        <v>0.83312327220540916</v>
      </c>
      <c r="T41">
        <f t="shared" si="9"/>
        <v>22</v>
      </c>
    </row>
    <row r="42" spans="12:20" x14ac:dyDescent="0.25">
      <c r="L42" s="6"/>
      <c r="Q42" s="6">
        <f t="shared" si="5"/>
        <v>1.9166666666666659</v>
      </c>
      <c r="R42" s="10">
        <f t="shared" si="6"/>
        <v>8.3333333333333329E-2</v>
      </c>
      <c r="S42">
        <f t="shared" si="7"/>
        <v>0.82623795590619109</v>
      </c>
      <c r="T42">
        <f t="shared" si="9"/>
        <v>23</v>
      </c>
    </row>
    <row r="43" spans="12:20" x14ac:dyDescent="0.25">
      <c r="Q43" s="6">
        <f t="shared" si="5"/>
        <v>1.9999999999999991</v>
      </c>
      <c r="R43" s="10">
        <f t="shared" si="6"/>
        <v>8.3333333333333329E-2</v>
      </c>
      <c r="S43">
        <f t="shared" si="7"/>
        <v>0.81940954304746227</v>
      </c>
      <c r="T43">
        <f t="shared" si="9"/>
        <v>24</v>
      </c>
    </row>
    <row r="44" spans="12:20" x14ac:dyDescent="0.25">
      <c r="Q44" s="6">
        <f t="shared" si="5"/>
        <v>2.0833333333333326</v>
      </c>
      <c r="R44" s="10">
        <f t="shared" si="6"/>
        <v>8.3333333333333329E-2</v>
      </c>
      <c r="S44">
        <f t="shared" si="7"/>
        <v>0.81263756335285531</v>
      </c>
      <c r="T44">
        <f t="shared" si="9"/>
        <v>25</v>
      </c>
    </row>
    <row r="45" spans="12:20" x14ac:dyDescent="0.25">
      <c r="Q45" s="6">
        <f t="shared" si="5"/>
        <v>2.1666666666666661</v>
      </c>
      <c r="R45" s="10">
        <f t="shared" si="6"/>
        <v>8.3333333333333329E-2</v>
      </c>
      <c r="S45">
        <f t="shared" si="7"/>
        <v>0.80592155043258373</v>
      </c>
      <c r="T45">
        <f t="shared" si="9"/>
        <v>26</v>
      </c>
    </row>
    <row r="46" spans="12:20" x14ac:dyDescent="0.25">
      <c r="Q46" s="6">
        <f t="shared" si="5"/>
        <v>2.2499999999999996</v>
      </c>
      <c r="R46" s="10">
        <f t="shared" si="6"/>
        <v>8.3333333333333329E-2</v>
      </c>
      <c r="S46">
        <f t="shared" si="7"/>
        <v>0.79926104175132262</v>
      </c>
      <c r="T46">
        <f t="shared" si="9"/>
        <v>27</v>
      </c>
    </row>
    <row r="47" spans="12:20" x14ac:dyDescent="0.25">
      <c r="Q47" s="6">
        <f t="shared" si="5"/>
        <v>2.333333333333333</v>
      </c>
      <c r="R47" s="10">
        <f t="shared" si="6"/>
        <v>8.3333333333333329E-2</v>
      </c>
      <c r="S47">
        <f t="shared" si="7"/>
        <v>0.79265557859635305</v>
      </c>
      <c r="T47">
        <f t="shared" si="9"/>
        <v>28</v>
      </c>
    </row>
    <row r="48" spans="12:20" x14ac:dyDescent="0.25">
      <c r="Q48" s="6">
        <f t="shared" si="5"/>
        <v>2.4166666666666665</v>
      </c>
      <c r="R48" s="10">
        <f t="shared" si="6"/>
        <v>8.3333333333333329E-2</v>
      </c>
      <c r="S48">
        <f t="shared" si="7"/>
        <v>0.78610470604597016</v>
      </c>
      <c r="T48">
        <f t="shared" si="9"/>
        <v>29</v>
      </c>
    </row>
    <row r="49" spans="17:20" x14ac:dyDescent="0.25">
      <c r="Q49" s="6">
        <f t="shared" si="5"/>
        <v>2.5</v>
      </c>
      <c r="R49" s="10">
        <f t="shared" si="6"/>
        <v>8.3333333333333329E-2</v>
      </c>
      <c r="S49">
        <f t="shared" si="7"/>
        <v>0.77960797293815209</v>
      </c>
      <c r="T49">
        <f t="shared" si="9"/>
        <v>30</v>
      </c>
    </row>
    <row r="50" spans="17:20" x14ac:dyDescent="0.25">
      <c r="Q50" s="6">
        <f t="shared" si="5"/>
        <v>2.5833333333333335</v>
      </c>
      <c r="R50" s="10">
        <f t="shared" si="6"/>
        <v>8.3333333333333329E-2</v>
      </c>
      <c r="S50">
        <f t="shared" si="7"/>
        <v>0.77316493183948976</v>
      </c>
      <c r="T50">
        <f t="shared" si="9"/>
        <v>31</v>
      </c>
    </row>
    <row r="51" spans="17:20" x14ac:dyDescent="0.25">
      <c r="Q51" s="6">
        <f t="shared" si="5"/>
        <v>2.666666666666667</v>
      </c>
      <c r="R51" s="10">
        <f t="shared" si="6"/>
        <v>8.3333333333333329E-2</v>
      </c>
      <c r="S51">
        <f t="shared" si="7"/>
        <v>0.76677513901437</v>
      </c>
      <c r="T51">
        <f t="shared" si="9"/>
        <v>32</v>
      </c>
    </row>
    <row r="52" spans="17:20" x14ac:dyDescent="0.25">
      <c r="Q52" s="6">
        <f t="shared" si="5"/>
        <v>2.7500000000000004</v>
      </c>
      <c r="R52" s="10">
        <f t="shared" si="6"/>
        <v>8.3333333333333329E-2</v>
      </c>
      <c r="S52">
        <f t="shared" si="7"/>
        <v>0.76043815439441664</v>
      </c>
      <c r="T52">
        <f t="shared" si="9"/>
        <v>33</v>
      </c>
    </row>
    <row r="53" spans="17:20" x14ac:dyDescent="0.25">
      <c r="Q53" s="6">
        <f t="shared" ref="Q53:Q79" si="10">Q52+$R$16</f>
        <v>2.8333333333333339</v>
      </c>
      <c r="R53" s="10">
        <f t="shared" ref="R53:R79" si="11">$R$16</f>
        <v>8.3333333333333329E-2</v>
      </c>
      <c r="S53">
        <f t="shared" si="7"/>
        <v>0.75415354154818171</v>
      </c>
      <c r="T53">
        <f t="shared" si="9"/>
        <v>34</v>
      </c>
    </row>
    <row r="54" spans="17:20" x14ac:dyDescent="0.25">
      <c r="Q54" s="6">
        <f t="shared" si="10"/>
        <v>2.9166666666666674</v>
      </c>
      <c r="R54" s="10">
        <f t="shared" si="11"/>
        <v>8.3333333333333329E-2</v>
      </c>
      <c r="S54">
        <f t="shared" si="7"/>
        <v>0.74792086765108945</v>
      </c>
      <c r="T54">
        <f t="shared" si="9"/>
        <v>35</v>
      </c>
    </row>
    <row r="55" spans="17:20" x14ac:dyDescent="0.25">
      <c r="Q55" s="6">
        <f t="shared" si="10"/>
        <v>3.0000000000000009</v>
      </c>
      <c r="R55" s="10">
        <f t="shared" si="11"/>
        <v>8.3333333333333329E-2</v>
      </c>
      <c r="S55">
        <f t="shared" si="7"/>
        <v>0.7417397034556259</v>
      </c>
      <c r="T55">
        <f t="shared" si="9"/>
        <v>36</v>
      </c>
    </row>
    <row r="56" spans="17:20" x14ac:dyDescent="0.25">
      <c r="Q56" s="6">
        <f t="shared" si="10"/>
        <v>3.0833333333333344</v>
      </c>
      <c r="R56" s="10">
        <f t="shared" si="11"/>
        <v>8.3333333333333329E-2</v>
      </c>
      <c r="S56">
        <f t="shared" si="7"/>
        <v>0.73560962326177781</v>
      </c>
      <c r="T56">
        <f t="shared" si="9"/>
        <v>37</v>
      </c>
    </row>
    <row r="57" spans="17:20" x14ac:dyDescent="0.25">
      <c r="Q57" s="6">
        <f t="shared" si="10"/>
        <v>3.1666666666666679</v>
      </c>
      <c r="R57" s="10">
        <f t="shared" si="11"/>
        <v>8.3333333333333329E-2</v>
      </c>
      <c r="S57">
        <f t="shared" si="7"/>
        <v>0.72953020488771347</v>
      </c>
      <c r="T57">
        <f t="shared" si="9"/>
        <v>38</v>
      </c>
    </row>
    <row r="58" spans="17:20" x14ac:dyDescent="0.25">
      <c r="Q58" s="6">
        <f t="shared" si="10"/>
        <v>3.2500000000000013</v>
      </c>
      <c r="R58" s="10">
        <f t="shared" si="11"/>
        <v>8.3333333333333329E-2</v>
      </c>
      <c r="S58">
        <f t="shared" si="7"/>
        <v>0.72350102964070773</v>
      </c>
      <c r="T58">
        <f t="shared" si="9"/>
        <v>39</v>
      </c>
    </row>
    <row r="59" spans="17:20" x14ac:dyDescent="0.25">
      <c r="Q59" s="6">
        <f t="shared" si="10"/>
        <v>3.3333333333333348</v>
      </c>
      <c r="R59" s="10">
        <f t="shared" si="11"/>
        <v>8.3333333333333329E-2</v>
      </c>
      <c r="S59">
        <f t="shared" si="7"/>
        <v>0.71752168228830515</v>
      </c>
      <c r="T59">
        <f t="shared" si="9"/>
        <v>40</v>
      </c>
    </row>
    <row r="60" spans="17:20" x14ac:dyDescent="0.25">
      <c r="Q60" s="6">
        <f t="shared" si="10"/>
        <v>3.4166666666666683</v>
      </c>
      <c r="R60" s="10">
        <f t="shared" si="11"/>
        <v>8.3333333333333329E-2</v>
      </c>
      <c r="S60">
        <f t="shared" si="7"/>
        <v>0.71159175102972416</v>
      </c>
      <c r="T60">
        <f t="shared" si="9"/>
        <v>41</v>
      </c>
    </row>
    <row r="61" spans="17:20" x14ac:dyDescent="0.25">
      <c r="Q61" s="6">
        <f t="shared" si="10"/>
        <v>3.5000000000000018</v>
      </c>
      <c r="R61" s="10">
        <f t="shared" si="11"/>
        <v>8.3333333333333329E-2</v>
      </c>
      <c r="S61">
        <f t="shared" si="7"/>
        <v>0.70571082746749492</v>
      </c>
      <c r="T61">
        <f t="shared" si="9"/>
        <v>42</v>
      </c>
    </row>
    <row r="62" spans="17:20" x14ac:dyDescent="0.25">
      <c r="Q62" s="6">
        <f t="shared" si="10"/>
        <v>3.5833333333333353</v>
      </c>
      <c r="R62" s="10">
        <f t="shared" si="11"/>
        <v>8.3333333333333329E-2</v>
      </c>
      <c r="S62">
        <f t="shared" si="7"/>
        <v>0.69987850657933393</v>
      </c>
      <c r="T62">
        <f t="shared" si="9"/>
        <v>43</v>
      </c>
    </row>
    <row r="63" spans="17:20" x14ac:dyDescent="0.25">
      <c r="Q63" s="6">
        <f t="shared" si="10"/>
        <v>3.6666666666666687</v>
      </c>
      <c r="R63" s="10">
        <f t="shared" si="11"/>
        <v>8.3333333333333329E-2</v>
      </c>
      <c r="S63">
        <f t="shared" si="7"/>
        <v>0.69409438669024848</v>
      </c>
      <c r="T63">
        <f t="shared" si="9"/>
        <v>44</v>
      </c>
    </row>
    <row r="64" spans="17:20" x14ac:dyDescent="0.25">
      <c r="Q64" s="6">
        <f t="shared" si="10"/>
        <v>3.7500000000000022</v>
      </c>
      <c r="R64" s="10">
        <f t="shared" si="11"/>
        <v>8.3333333333333329E-2</v>
      </c>
      <c r="S64">
        <f t="shared" si="7"/>
        <v>0.68835806944487476</v>
      </c>
      <c r="T64">
        <f t="shared" si="9"/>
        <v>45</v>
      </c>
    </row>
    <row r="65" spans="17:20" x14ac:dyDescent="0.25">
      <c r="Q65" s="6">
        <f t="shared" si="10"/>
        <v>3.8333333333333357</v>
      </c>
      <c r="R65" s="10">
        <f t="shared" si="11"/>
        <v>8.3333333333333329E-2</v>
      </c>
      <c r="S65">
        <f t="shared" si="7"/>
        <v>0.68266915978004095</v>
      </c>
      <c r="T65">
        <f t="shared" si="9"/>
        <v>46</v>
      </c>
    </row>
    <row r="66" spans="17:20" x14ac:dyDescent="0.25">
      <c r="Q66" s="6">
        <f t="shared" si="10"/>
        <v>3.9166666666666692</v>
      </c>
      <c r="R66" s="10">
        <f t="shared" si="11"/>
        <v>8.3333333333333329E-2</v>
      </c>
      <c r="S66">
        <f t="shared" si="7"/>
        <v>0.67702726589756135</v>
      </c>
      <c r="T66">
        <f t="shared" si="9"/>
        <v>47</v>
      </c>
    </row>
    <row r="67" spans="17:20" x14ac:dyDescent="0.25">
      <c r="Q67" s="6">
        <f t="shared" si="10"/>
        <v>4.0000000000000027</v>
      </c>
      <c r="R67" s="10">
        <f t="shared" si="11"/>
        <v>8.3333333333333329E-2</v>
      </c>
      <c r="S67">
        <f t="shared" si="7"/>
        <v>0.67143199923725094</v>
      </c>
      <c r="T67">
        <f t="shared" si="9"/>
        <v>48</v>
      </c>
    </row>
    <row r="68" spans="17:20" x14ac:dyDescent="0.25">
      <c r="Q68" s="6">
        <f t="shared" si="10"/>
        <v>4.0833333333333357</v>
      </c>
      <c r="R68" s="10">
        <f t="shared" si="11"/>
        <v>8.3333333333333329E-2</v>
      </c>
      <c r="S68">
        <f t="shared" si="7"/>
        <v>0.6658829744501662</v>
      </c>
      <c r="T68">
        <f t="shared" si="9"/>
        <v>49</v>
      </c>
    </row>
    <row r="69" spans="17:20" x14ac:dyDescent="0.25">
      <c r="Q69" s="6">
        <f t="shared" si="10"/>
        <v>4.1666666666666687</v>
      </c>
      <c r="R69" s="10">
        <f t="shared" si="11"/>
        <v>8.3333333333333329E-2</v>
      </c>
      <c r="S69">
        <f t="shared" si="7"/>
        <v>0.66037980937206564</v>
      </c>
      <c r="T69">
        <f t="shared" si="9"/>
        <v>50</v>
      </c>
    </row>
    <row r="70" spans="17:20" x14ac:dyDescent="0.25">
      <c r="Q70" s="6">
        <f t="shared" si="10"/>
        <v>4.2500000000000018</v>
      </c>
      <c r="R70" s="10">
        <f t="shared" si="11"/>
        <v>8.3333333333333329E-2</v>
      </c>
      <c r="S70">
        <f t="shared" si="7"/>
        <v>0.65492212499708991</v>
      </c>
      <c r="T70">
        <f t="shared" si="9"/>
        <v>51</v>
      </c>
    </row>
    <row r="71" spans="17:20" x14ac:dyDescent="0.25">
      <c r="Q71" s="6">
        <f t="shared" si="10"/>
        <v>4.3333333333333348</v>
      </c>
      <c r="R71" s="10">
        <f t="shared" si="11"/>
        <v>8.3333333333333329E-2</v>
      </c>
      <c r="S71">
        <f t="shared" si="7"/>
        <v>0.64950954545165951</v>
      </c>
      <c r="T71">
        <f t="shared" si="9"/>
        <v>52</v>
      </c>
    </row>
    <row r="72" spans="17:20" x14ac:dyDescent="0.25">
      <c r="Q72" s="6">
        <f t="shared" si="10"/>
        <v>4.4166666666666679</v>
      </c>
      <c r="R72" s="10">
        <f t="shared" si="11"/>
        <v>8.3333333333333329E-2</v>
      </c>
      <c r="S72">
        <f t="shared" si="7"/>
        <v>0.644141697968588</v>
      </c>
      <c r="T72">
        <f t="shared" si="9"/>
        <v>53</v>
      </c>
    </row>
    <row r="73" spans="17:20" x14ac:dyDescent="0.25">
      <c r="Q73" s="6">
        <f t="shared" si="10"/>
        <v>4.5000000000000009</v>
      </c>
      <c r="R73" s="10">
        <f t="shared" si="11"/>
        <v>8.3333333333333329E-2</v>
      </c>
      <c r="S73">
        <f t="shared" si="7"/>
        <v>0.6388182128614095</v>
      </c>
      <c r="T73">
        <f t="shared" si="9"/>
        <v>54</v>
      </c>
    </row>
    <row r="74" spans="17:20" x14ac:dyDescent="0.25">
      <c r="Q74" s="6">
        <f t="shared" si="10"/>
        <v>4.5833333333333339</v>
      </c>
      <c r="R74" s="10">
        <f t="shared" si="11"/>
        <v>8.3333333333333329E-2</v>
      </c>
      <c r="S74">
        <f t="shared" si="7"/>
        <v>0.6335387234989186</v>
      </c>
      <c r="T74">
        <f t="shared" si="9"/>
        <v>55</v>
      </c>
    </row>
    <row r="75" spans="17:20" x14ac:dyDescent="0.25">
      <c r="Q75" s="6">
        <f t="shared" si="10"/>
        <v>4.666666666666667</v>
      </c>
      <c r="R75" s="10">
        <f t="shared" si="11"/>
        <v>8.3333333333333329E-2</v>
      </c>
      <c r="S75">
        <f t="shared" si="7"/>
        <v>0.62830286627991927</v>
      </c>
      <c r="T75">
        <f t="shared" si="9"/>
        <v>56</v>
      </c>
    </row>
    <row r="76" spans="17:20" x14ac:dyDescent="0.25">
      <c r="Q76" s="6">
        <f t="shared" si="10"/>
        <v>4.75</v>
      </c>
      <c r="R76" s="10">
        <f t="shared" si="11"/>
        <v>8.3333333333333329E-2</v>
      </c>
      <c r="S76">
        <f t="shared" si="7"/>
        <v>0.62311028060818452</v>
      </c>
      <c r="T76">
        <f t="shared" si="9"/>
        <v>57</v>
      </c>
    </row>
    <row r="77" spans="17:20" x14ac:dyDescent="0.25">
      <c r="Q77" s="6">
        <f t="shared" si="10"/>
        <v>4.833333333333333</v>
      </c>
      <c r="R77" s="10">
        <f t="shared" si="11"/>
        <v>8.3333333333333329E-2</v>
      </c>
      <c r="S77">
        <f t="shared" si="7"/>
        <v>0.61796060886762105</v>
      </c>
      <c r="T77">
        <f t="shared" si="9"/>
        <v>58</v>
      </c>
    </row>
    <row r="78" spans="17:20" x14ac:dyDescent="0.25">
      <c r="Q78" s="6">
        <f t="shared" si="10"/>
        <v>4.9166666666666661</v>
      </c>
      <c r="R78" s="10">
        <f t="shared" si="11"/>
        <v>8.3333333333333329E-2</v>
      </c>
      <c r="S78">
        <f t="shared" si="7"/>
        <v>0.61285349639764064</v>
      </c>
      <c r="T78">
        <f t="shared" si="9"/>
        <v>59</v>
      </c>
    </row>
    <row r="79" spans="17:20" x14ac:dyDescent="0.25">
      <c r="Q79" s="6">
        <f t="shared" si="10"/>
        <v>4.9999999999999991</v>
      </c>
      <c r="R79" s="10">
        <f t="shared" si="11"/>
        <v>8.3333333333333329E-2</v>
      </c>
      <c r="S79">
        <f t="shared" si="7"/>
        <v>0.60778859146873454</v>
      </c>
      <c r="T79">
        <f t="shared" si="9"/>
        <v>60</v>
      </c>
    </row>
    <row r="80" spans="17:20" x14ac:dyDescent="0.25">
      <c r="Q80" s="6"/>
    </row>
    <row r="81" spans="17:17" x14ac:dyDescent="0.25">
      <c r="Q81" s="6"/>
    </row>
    <row r="82" spans="17:17" x14ac:dyDescent="0.25">
      <c r="Q82" s="6"/>
    </row>
    <row r="83" spans="17:17" x14ac:dyDescent="0.25">
      <c r="Q83" s="6"/>
    </row>
    <row r="84" spans="17:17" x14ac:dyDescent="0.25">
      <c r="Q84" s="6"/>
    </row>
    <row r="85" spans="17:17" x14ac:dyDescent="0.25">
      <c r="Q85" s="6"/>
    </row>
    <row r="86" spans="17:17" x14ac:dyDescent="0.25">
      <c r="Q86" s="6"/>
    </row>
    <row r="87" spans="17:17" x14ac:dyDescent="0.25">
      <c r="Q87" s="6"/>
    </row>
    <row r="88" spans="17:17" x14ac:dyDescent="0.25">
      <c r="Q88" s="6"/>
    </row>
    <row r="89" spans="17:17" x14ac:dyDescent="0.25">
      <c r="Q89" s="6"/>
    </row>
    <row r="90" spans="17:17" x14ac:dyDescent="0.25">
      <c r="Q90" s="6"/>
    </row>
    <row r="91" spans="17:17" x14ac:dyDescent="0.25">
      <c r="Q91" s="6"/>
    </row>
    <row r="92" spans="17:17" x14ac:dyDescent="0.25">
      <c r="Q92" s="6"/>
    </row>
    <row r="93" spans="17:17" x14ac:dyDescent="0.25">
      <c r="Q93" s="6"/>
    </row>
    <row r="94" spans="17:17" x14ac:dyDescent="0.25">
      <c r="Q94" s="6"/>
    </row>
    <row r="95" spans="17:17" x14ac:dyDescent="0.25">
      <c r="Q95" s="6"/>
    </row>
    <row r="96" spans="17:17" x14ac:dyDescent="0.25">
      <c r="Q96" s="6"/>
    </row>
    <row r="97" spans="17:17" x14ac:dyDescent="0.25">
      <c r="Q97" s="6"/>
    </row>
    <row r="98" spans="17:17" x14ac:dyDescent="0.25">
      <c r="Q98" s="6"/>
    </row>
    <row r="99" spans="17:17" x14ac:dyDescent="0.25">
      <c r="Q99" s="6"/>
    </row>
    <row r="100" spans="17:17" x14ac:dyDescent="0.25">
      <c r="Q100" s="6"/>
    </row>
    <row r="101" spans="17:17" x14ac:dyDescent="0.25">
      <c r="Q101" s="6"/>
    </row>
    <row r="102" spans="17:17" x14ac:dyDescent="0.25">
      <c r="Q102" s="6"/>
    </row>
    <row r="103" spans="17:17" x14ac:dyDescent="0.25">
      <c r="Q103" s="6"/>
    </row>
    <row r="104" spans="17:17" x14ac:dyDescent="0.25">
      <c r="Q104" s="6"/>
    </row>
    <row r="105" spans="17:17" x14ac:dyDescent="0.25">
      <c r="Q105" s="6"/>
    </row>
    <row r="106" spans="17:17" x14ac:dyDescent="0.25">
      <c r="Q106" s="6"/>
    </row>
    <row r="107" spans="17:17" x14ac:dyDescent="0.25">
      <c r="Q107" s="6"/>
    </row>
    <row r="108" spans="17:17" x14ac:dyDescent="0.25">
      <c r="Q108" s="6"/>
    </row>
    <row r="109" spans="17:17" x14ac:dyDescent="0.25">
      <c r="Q109" s="6"/>
    </row>
    <row r="110" spans="17:17" x14ac:dyDescent="0.25">
      <c r="Q110" s="6"/>
    </row>
    <row r="111" spans="17:17" x14ac:dyDescent="0.25">
      <c r="Q111" s="6"/>
    </row>
  </sheetData>
  <dataValidations count="1">
    <dataValidation type="list" allowBlank="1" showInputMessage="1" showErrorMessage="1" sqref="C7 H7 M7 R7">
      <formula1>"SHORT_START,LONG_START,SHORT_END,LONG_END,NONE"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9"/>
  <sheetViews>
    <sheetView workbookViewId="0"/>
  </sheetViews>
  <sheetFormatPr defaultRowHeight="15" x14ac:dyDescent="0.25"/>
  <cols>
    <col min="2" max="2" width="17.7109375" bestFit="1" customWidth="1"/>
    <col min="3" max="3" width="13.42578125" bestFit="1" customWidth="1"/>
    <col min="7" max="7" width="23" bestFit="1" customWidth="1"/>
    <col min="8" max="8" width="13.42578125" bestFit="1" customWidth="1"/>
    <col min="12" max="12" width="19.85546875" bestFit="1" customWidth="1"/>
    <col min="13" max="13" width="13.42578125" bestFit="1" customWidth="1"/>
    <col min="17" max="17" width="18.85546875" bestFit="1" customWidth="1"/>
    <col min="18" max="18" width="13.42578125" bestFit="1" customWidth="1"/>
  </cols>
  <sheetData>
    <row r="3" spans="2:20" x14ac:dyDescent="0.25">
      <c r="B3" t="s">
        <v>0</v>
      </c>
      <c r="C3" s="1">
        <v>1</v>
      </c>
      <c r="G3" t="s">
        <v>0</v>
      </c>
      <c r="H3" s="1">
        <v>1</v>
      </c>
      <c r="L3" t="s">
        <v>0</v>
      </c>
      <c r="M3" s="1">
        <v>1</v>
      </c>
      <c r="Q3" t="s">
        <v>0</v>
      </c>
      <c r="R3" s="1">
        <v>1</v>
      </c>
    </row>
    <row r="4" spans="2:20" x14ac:dyDescent="0.25">
      <c r="B4" t="s">
        <v>1</v>
      </c>
      <c r="C4" s="2">
        <v>0.1</v>
      </c>
      <c r="G4" t="s">
        <v>1</v>
      </c>
      <c r="H4" s="2">
        <v>0.1</v>
      </c>
      <c r="L4" t="s">
        <v>1</v>
      </c>
      <c r="M4" s="2">
        <v>0.1</v>
      </c>
      <c r="Q4" t="s">
        <v>1</v>
      </c>
      <c r="R4" s="2">
        <v>0.1</v>
      </c>
    </row>
    <row r="5" spans="2:20" x14ac:dyDescent="0.25">
      <c r="B5" t="s">
        <v>2</v>
      </c>
      <c r="C5" s="1">
        <v>1</v>
      </c>
      <c r="G5" t="s">
        <v>2</v>
      </c>
      <c r="H5" s="1">
        <v>2</v>
      </c>
      <c r="L5" t="s">
        <v>2</v>
      </c>
      <c r="M5" s="1">
        <v>4</v>
      </c>
      <c r="Q5" t="s">
        <v>2</v>
      </c>
      <c r="R5" s="1">
        <v>12</v>
      </c>
    </row>
    <row r="6" spans="2:20" x14ac:dyDescent="0.25">
      <c r="B6" t="s">
        <v>4</v>
      </c>
      <c r="C6" s="3">
        <v>5.0999999999999996</v>
      </c>
      <c r="G6" t="s">
        <v>4</v>
      </c>
      <c r="H6" s="3">
        <v>5.0999999999999996</v>
      </c>
      <c r="L6" t="s">
        <v>4</v>
      </c>
      <c r="M6" s="3">
        <v>5.0999999999999996</v>
      </c>
      <c r="Q6" t="s">
        <v>4</v>
      </c>
      <c r="R6" s="16">
        <v>5.05</v>
      </c>
      <c r="S6" s="6">
        <f>R6-5</f>
        <v>4.9999999999999822E-2</v>
      </c>
    </row>
    <row r="7" spans="2:20" x14ac:dyDescent="0.25">
      <c r="B7" t="s">
        <v>5</v>
      </c>
      <c r="C7" s="12" t="s">
        <v>9</v>
      </c>
      <c r="G7" t="s">
        <v>5</v>
      </c>
      <c r="H7" s="12" t="s">
        <v>9</v>
      </c>
      <c r="L7" t="s">
        <v>5</v>
      </c>
      <c r="M7" s="12" t="s">
        <v>9</v>
      </c>
      <c r="Q7" t="s">
        <v>5</v>
      </c>
      <c r="R7" s="12" t="s">
        <v>9</v>
      </c>
    </row>
    <row r="8" spans="2:20" x14ac:dyDescent="0.25">
      <c r="T8" s="8"/>
    </row>
    <row r="9" spans="2:20" x14ac:dyDescent="0.25">
      <c r="B9" t="s">
        <v>3</v>
      </c>
      <c r="C9" s="13">
        <f ca="1">_xll.meMathEuropeanIRSwaptionCashAnnuity(C3,C4,C5,C6,C7)</f>
        <v>3.8522641281271754</v>
      </c>
      <c r="G9" t="s">
        <v>3</v>
      </c>
      <c r="H9" s="13">
        <f ca="1">_xll.meMathEuropeanIRSwaptionCashAnnuity(H3,H4,H5,H6,H7)</f>
        <v>3.9216509550419851</v>
      </c>
      <c r="L9" t="s">
        <v>3</v>
      </c>
      <c r="M9" s="13">
        <f ca="1">_xll.meMathEuropeanIRSwaptionCashAnnuity(M3,M4,M5,M6,M7)</f>
        <v>3.957713437041293</v>
      </c>
      <c r="Q9" t="s">
        <v>3</v>
      </c>
      <c r="R9" s="13">
        <f ca="1">_xll.meMathEuropeanIRSwaptionCashAnnuity(R3,R4,R5,R6,R7)</f>
        <v>3.9523523236942002</v>
      </c>
    </row>
    <row r="10" spans="2:20" x14ac:dyDescent="0.25">
      <c r="B10" t="s">
        <v>18</v>
      </c>
      <c r="C10" s="14">
        <f>SUMPRODUCT(C20:C25,D20:D25)</f>
        <v>3.8522641281271754</v>
      </c>
      <c r="G10" t="s">
        <v>18</v>
      </c>
      <c r="H10" s="14">
        <f>SUMPRODUCT(H20:H30,I20:I30)</f>
        <v>3.9216509550419865</v>
      </c>
      <c r="L10" t="s">
        <v>18</v>
      </c>
      <c r="M10" s="14">
        <f>SUMPRODUCT(M20:M40,N20:N40)</f>
        <v>3.9577134370412916</v>
      </c>
      <c r="Q10" t="s">
        <v>18</v>
      </c>
      <c r="R10" s="14">
        <f>SUMPRODUCT(R20:R80,S20:S80)</f>
        <v>3.9523523236942015</v>
      </c>
    </row>
    <row r="11" spans="2:20" x14ac:dyDescent="0.25">
      <c r="B11" s="9" t="s">
        <v>19</v>
      </c>
      <c r="C11" s="15">
        <f ca="1">C9-C10</f>
        <v>0</v>
      </c>
      <c r="G11" s="9" t="s">
        <v>19</v>
      </c>
      <c r="H11" s="15">
        <f ca="1">H9-H10</f>
        <v>0</v>
      </c>
      <c r="L11" s="9" t="s">
        <v>19</v>
      </c>
      <c r="M11" s="15">
        <f ca="1">M9-M10</f>
        <v>0</v>
      </c>
      <c r="Q11" s="9" t="s">
        <v>19</v>
      </c>
      <c r="R11" s="15">
        <f ca="1">R9-R10</f>
        <v>0</v>
      </c>
    </row>
    <row r="14" spans="2:20" x14ac:dyDescent="0.25">
      <c r="B14" t="s">
        <v>10</v>
      </c>
      <c r="G14" t="s">
        <v>11</v>
      </c>
      <c r="L14" t="s">
        <v>12</v>
      </c>
      <c r="Q14" t="s">
        <v>13</v>
      </c>
    </row>
    <row r="15" spans="2:20" x14ac:dyDescent="0.25">
      <c r="B15" t="s">
        <v>0</v>
      </c>
      <c r="C15">
        <v>1</v>
      </c>
      <c r="G15" t="s">
        <v>0</v>
      </c>
      <c r="H15">
        <v>1</v>
      </c>
      <c r="L15" t="s">
        <v>0</v>
      </c>
      <c r="M15">
        <v>1</v>
      </c>
      <c r="Q15" t="s">
        <v>0</v>
      </c>
      <c r="R15">
        <v>1</v>
      </c>
    </row>
    <row r="16" spans="2:20" x14ac:dyDescent="0.25">
      <c r="B16" t="s">
        <v>15</v>
      </c>
      <c r="C16">
        <v>1</v>
      </c>
      <c r="G16" t="s">
        <v>15</v>
      </c>
      <c r="H16">
        <v>0.5</v>
      </c>
      <c r="L16" t="s">
        <v>15</v>
      </c>
      <c r="M16">
        <v>0.25</v>
      </c>
      <c r="Q16" t="s">
        <v>15</v>
      </c>
      <c r="R16">
        <f>1/12</f>
        <v>8.3333333333333329E-2</v>
      </c>
    </row>
    <row r="17" spans="2:20" x14ac:dyDescent="0.25">
      <c r="B17" t="s">
        <v>1</v>
      </c>
      <c r="C17" s="7">
        <v>0.1</v>
      </c>
      <c r="G17" t="s">
        <v>1</v>
      </c>
      <c r="H17" s="7">
        <v>0.1</v>
      </c>
      <c r="L17" t="s">
        <v>1</v>
      </c>
      <c r="M17" s="7">
        <v>0.1</v>
      </c>
      <c r="Q17" t="s">
        <v>1</v>
      </c>
      <c r="R17" s="7">
        <v>0.1</v>
      </c>
    </row>
    <row r="19" spans="2:20" x14ac:dyDescent="0.25">
      <c r="B19" t="s">
        <v>14</v>
      </c>
      <c r="C19" t="s">
        <v>6</v>
      </c>
      <c r="D19" t="s">
        <v>8</v>
      </c>
      <c r="E19" t="s">
        <v>17</v>
      </c>
      <c r="G19" t="s">
        <v>14</v>
      </c>
      <c r="H19" t="s">
        <v>6</v>
      </c>
      <c r="I19" t="s">
        <v>8</v>
      </c>
      <c r="J19" t="s">
        <v>17</v>
      </c>
      <c r="L19" t="s">
        <v>14</v>
      </c>
      <c r="M19" t="s">
        <v>6</v>
      </c>
      <c r="N19" t="s">
        <v>8</v>
      </c>
      <c r="O19" t="s">
        <v>17</v>
      </c>
      <c r="Q19" t="s">
        <v>14</v>
      </c>
      <c r="R19" t="s">
        <v>6</v>
      </c>
      <c r="S19" t="s">
        <v>8</v>
      </c>
      <c r="T19" t="s">
        <v>17</v>
      </c>
    </row>
    <row r="20" spans="2:20" x14ac:dyDescent="0.25">
      <c r="B20" s="19">
        <v>0.1</v>
      </c>
      <c r="C20" s="19">
        <f>B20</f>
        <v>0.1</v>
      </c>
      <c r="D20" s="19">
        <f>1/(1+C$17*B20)</f>
        <v>0.99009900990099009</v>
      </c>
      <c r="E20" s="19">
        <v>1</v>
      </c>
      <c r="G20" s="19">
        <v>0.1</v>
      </c>
      <c r="H20" s="19">
        <f>G20</f>
        <v>0.1</v>
      </c>
      <c r="I20" s="20">
        <f>1/(1+H$17*G20)</f>
        <v>0.99009900990099009</v>
      </c>
      <c r="J20" s="19">
        <v>1</v>
      </c>
      <c r="L20" s="19">
        <v>0.1</v>
      </c>
      <c r="M20" s="19">
        <f>L20</f>
        <v>0.1</v>
      </c>
      <c r="N20" s="19">
        <f>1/(1+M$17*L20)</f>
        <v>0.99009900990099009</v>
      </c>
      <c r="O20" s="19">
        <v>1</v>
      </c>
      <c r="Q20" s="17">
        <f>S6</f>
        <v>4.9999999999999822E-2</v>
      </c>
      <c r="R20" s="18">
        <f>Q20</f>
        <v>4.9999999999999822E-2</v>
      </c>
      <c r="S20" s="19">
        <f>1/(1+R$17*Q20)</f>
        <v>0.99502487562189068</v>
      </c>
      <c r="T20" s="19">
        <v>1</v>
      </c>
    </row>
    <row r="21" spans="2:20" x14ac:dyDescent="0.25">
      <c r="B21">
        <f>B20+C$16</f>
        <v>1.1000000000000001</v>
      </c>
      <c r="C21" s="6">
        <f>C$16</f>
        <v>1</v>
      </c>
      <c r="D21">
        <f>D$20*(1/(1+C$17*C$16)^E21)</f>
        <v>0.90009000900090008</v>
      </c>
      <c r="E21">
        <v>1</v>
      </c>
      <c r="G21">
        <f>G20+H$16</f>
        <v>0.6</v>
      </c>
      <c r="H21" s="6">
        <f>H$16</f>
        <v>0.5</v>
      </c>
      <c r="I21">
        <f>I$20*(1/(1+H$17*H$16)^J21)</f>
        <v>0.94295143800094294</v>
      </c>
      <c r="J21">
        <v>1</v>
      </c>
      <c r="L21">
        <f>L20+M$16</f>
        <v>0.35</v>
      </c>
      <c r="M21" s="6">
        <f>M$16</f>
        <v>0.25</v>
      </c>
      <c r="N21">
        <f>N$20*(1/(1+M$17*M$16)^O21)</f>
        <v>0.96595025356194164</v>
      </c>
      <c r="O21">
        <v>1</v>
      </c>
      <c r="Q21" s="6">
        <f>Q20+R$16</f>
        <v>0.13333333333333314</v>
      </c>
      <c r="R21" s="6">
        <f>R$16</f>
        <v>8.3333333333333329E-2</v>
      </c>
      <c r="S21">
        <f>S$20*(1/(1+R$17*R$16)^T21)</f>
        <v>0.98680152954237099</v>
      </c>
      <c r="T21">
        <v>1</v>
      </c>
    </row>
    <row r="22" spans="2:20" x14ac:dyDescent="0.25">
      <c r="B22">
        <f t="shared" ref="B22:B25" si="0">B21+C$16</f>
        <v>2.1</v>
      </c>
      <c r="C22" s="6">
        <f t="shared" ref="C22:C25" si="1">C$16</f>
        <v>1</v>
      </c>
      <c r="D22">
        <f t="shared" ref="D22:D25" si="2">D$20*(1/(1+C$17*C$16)^E22)</f>
        <v>0.81826364454627276</v>
      </c>
      <c r="E22">
        <v>2</v>
      </c>
      <c r="G22">
        <f t="shared" ref="G22:G30" si="3">G21+H$16</f>
        <v>1.1000000000000001</v>
      </c>
      <c r="H22" s="6">
        <f t="shared" ref="H22:H30" si="4">H$16</f>
        <v>0.5</v>
      </c>
      <c r="I22">
        <f t="shared" ref="I22:I30" si="5">I$20*(1/(1+H$17*H$16)^J22)</f>
        <v>0.89804898857232651</v>
      </c>
      <c r="J22">
        <v>2</v>
      </c>
      <c r="L22">
        <f t="shared" ref="L22:L40" si="6">L21+M$16</f>
        <v>0.6</v>
      </c>
      <c r="M22" s="6">
        <f t="shared" ref="M22:M40" si="7">M$16</f>
        <v>0.25</v>
      </c>
      <c r="N22">
        <f t="shared" ref="N22:N40" si="8">N$20*(1/(1+M$17*M$16)^O22)</f>
        <v>0.94239049127994301</v>
      </c>
      <c r="O22">
        <f t="shared" ref="O22:O40" si="9">O21+1</f>
        <v>2</v>
      </c>
      <c r="Q22" s="6">
        <f t="shared" ref="Q22:Q52" si="10">Q21+R$16</f>
        <v>0.21666666666666645</v>
      </c>
      <c r="R22" s="6">
        <f t="shared" ref="R22:R80" si="11">R$16</f>
        <v>8.3333333333333329E-2</v>
      </c>
      <c r="S22">
        <f>S$20*(1/(1+R$17*R$16)^T22)</f>
        <v>0.97864614500069846</v>
      </c>
      <c r="T22">
        <f t="shared" ref="T22:T29" si="12">T21+1</f>
        <v>2</v>
      </c>
    </row>
    <row r="23" spans="2:20" x14ac:dyDescent="0.25">
      <c r="B23">
        <f t="shared" si="0"/>
        <v>3.1</v>
      </c>
      <c r="C23" s="6">
        <f t="shared" si="1"/>
        <v>1</v>
      </c>
      <c r="D23">
        <f t="shared" si="2"/>
        <v>0.74387604049661138</v>
      </c>
      <c r="E23">
        <v>3</v>
      </c>
      <c r="G23">
        <f t="shared" si="3"/>
        <v>1.6</v>
      </c>
      <c r="H23" s="6">
        <f t="shared" si="4"/>
        <v>0.5</v>
      </c>
      <c r="I23">
        <f t="shared" si="5"/>
        <v>0.85528475102126333</v>
      </c>
      <c r="J23">
        <v>3</v>
      </c>
      <c r="L23">
        <f t="shared" si="6"/>
        <v>0.85</v>
      </c>
      <c r="M23" s="6">
        <f t="shared" si="7"/>
        <v>0.25</v>
      </c>
      <c r="N23">
        <f t="shared" si="8"/>
        <v>0.91940535734628603</v>
      </c>
      <c r="O23">
        <f t="shared" si="9"/>
        <v>3</v>
      </c>
      <c r="Q23" s="6">
        <f t="shared" si="10"/>
        <v>0.29999999999999977</v>
      </c>
      <c r="R23" s="6">
        <f t="shared" si="11"/>
        <v>8.3333333333333329E-2</v>
      </c>
      <c r="S23">
        <f t="shared" ref="S23:S80" si="13">S$20*(1/(1+R$17*R$16)^T23)</f>
        <v>0.97055816033127129</v>
      </c>
      <c r="T23">
        <f t="shared" si="12"/>
        <v>3</v>
      </c>
    </row>
    <row r="24" spans="2:20" x14ac:dyDescent="0.25">
      <c r="B24">
        <f t="shared" si="0"/>
        <v>4.0999999999999996</v>
      </c>
      <c r="C24" s="6">
        <f t="shared" si="1"/>
        <v>1</v>
      </c>
      <c r="D24">
        <f t="shared" si="2"/>
        <v>0.67625094590601043</v>
      </c>
      <c r="E24">
        <v>4</v>
      </c>
      <c r="G24">
        <f t="shared" si="3"/>
        <v>2.1</v>
      </c>
      <c r="H24" s="6">
        <f t="shared" si="4"/>
        <v>0.5</v>
      </c>
      <c r="I24">
        <f t="shared" si="5"/>
        <v>0.81455690573453654</v>
      </c>
      <c r="J24">
        <v>4</v>
      </c>
      <c r="L24">
        <f t="shared" si="6"/>
        <v>1.1000000000000001</v>
      </c>
      <c r="M24" s="6">
        <f t="shared" si="7"/>
        <v>0.25</v>
      </c>
      <c r="N24">
        <f t="shared" si="8"/>
        <v>0.89698083643540105</v>
      </c>
      <c r="O24">
        <f t="shared" si="9"/>
        <v>4</v>
      </c>
      <c r="Q24" s="6">
        <f t="shared" si="10"/>
        <v>0.38333333333333308</v>
      </c>
      <c r="R24" s="6">
        <f t="shared" si="11"/>
        <v>8.3333333333333329E-2</v>
      </c>
      <c r="S24">
        <f t="shared" si="13"/>
        <v>0.96253701851035178</v>
      </c>
      <c r="T24">
        <f t="shared" si="12"/>
        <v>4</v>
      </c>
    </row>
    <row r="25" spans="2:20" x14ac:dyDescent="0.25">
      <c r="B25">
        <f t="shared" si="0"/>
        <v>5.0999999999999996</v>
      </c>
      <c r="C25" s="6">
        <f t="shared" si="1"/>
        <v>1</v>
      </c>
      <c r="D25">
        <f t="shared" si="2"/>
        <v>0.61477358718728214</v>
      </c>
      <c r="E25">
        <v>5</v>
      </c>
      <c r="G25">
        <f t="shared" si="3"/>
        <v>2.6</v>
      </c>
      <c r="H25" s="6">
        <f t="shared" si="4"/>
        <v>0.5</v>
      </c>
      <c r="I25">
        <f t="shared" si="5"/>
        <v>0.77576848165193957</v>
      </c>
      <c r="J25">
        <v>5</v>
      </c>
      <c r="L25">
        <f t="shared" si="6"/>
        <v>1.35</v>
      </c>
      <c r="M25" s="6">
        <f t="shared" si="7"/>
        <v>0.25</v>
      </c>
      <c r="N25">
        <f t="shared" si="8"/>
        <v>0.87510325505892783</v>
      </c>
      <c r="O25">
        <f t="shared" si="9"/>
        <v>5</v>
      </c>
      <c r="Q25" s="6">
        <f t="shared" si="10"/>
        <v>0.4666666666666664</v>
      </c>
      <c r="R25" s="6">
        <f t="shared" si="11"/>
        <v>8.3333333333333329E-2</v>
      </c>
      <c r="S25">
        <f t="shared" si="13"/>
        <v>0.95458216711770427</v>
      </c>
      <c r="T25">
        <f t="shared" si="12"/>
        <v>5</v>
      </c>
    </row>
    <row r="26" spans="2:20" x14ac:dyDescent="0.25">
      <c r="G26">
        <f t="shared" si="3"/>
        <v>3.1</v>
      </c>
      <c r="H26" s="6">
        <f t="shared" si="4"/>
        <v>0.5</v>
      </c>
      <c r="I26">
        <f t="shared" si="5"/>
        <v>0.7388271253827996</v>
      </c>
      <c r="J26">
        <v>6</v>
      </c>
      <c r="L26">
        <f t="shared" si="6"/>
        <v>1.6</v>
      </c>
      <c r="M26" s="6">
        <f t="shared" si="7"/>
        <v>0.25</v>
      </c>
      <c r="N26">
        <f t="shared" si="8"/>
        <v>0.85375927322822232</v>
      </c>
      <c r="O26">
        <f t="shared" si="9"/>
        <v>6</v>
      </c>
      <c r="Q26" s="6">
        <f t="shared" si="10"/>
        <v>0.54999999999999971</v>
      </c>
      <c r="R26" s="6">
        <f t="shared" si="11"/>
        <v>8.3333333333333329E-2</v>
      </c>
      <c r="S26">
        <f t="shared" si="13"/>
        <v>0.94669305829854966</v>
      </c>
      <c r="T26">
        <f t="shared" si="12"/>
        <v>6</v>
      </c>
    </row>
    <row r="27" spans="2:20" x14ac:dyDescent="0.25">
      <c r="G27">
        <f t="shared" si="3"/>
        <v>3.6</v>
      </c>
      <c r="H27" s="6">
        <f t="shared" si="4"/>
        <v>0.5</v>
      </c>
      <c r="I27">
        <f t="shared" si="5"/>
        <v>0.70364488131695191</v>
      </c>
      <c r="J27">
        <v>7</v>
      </c>
      <c r="L27">
        <f t="shared" si="6"/>
        <v>1.85</v>
      </c>
      <c r="M27" s="6">
        <f t="shared" si="7"/>
        <v>0.25</v>
      </c>
      <c r="N27">
        <f t="shared" si="8"/>
        <v>0.83293587632021693</v>
      </c>
      <c r="O27">
        <f t="shared" si="9"/>
        <v>7</v>
      </c>
      <c r="Q27" s="6">
        <f t="shared" si="10"/>
        <v>0.63333333333333308</v>
      </c>
      <c r="R27" s="6">
        <f t="shared" si="11"/>
        <v>8.3333333333333329E-2</v>
      </c>
      <c r="S27">
        <f t="shared" si="13"/>
        <v>0.93886914872583449</v>
      </c>
      <c r="T27">
        <f t="shared" si="12"/>
        <v>7</v>
      </c>
    </row>
    <row r="28" spans="2:20" x14ac:dyDescent="0.25">
      <c r="G28">
        <f t="shared" si="3"/>
        <v>4.0999999999999996</v>
      </c>
      <c r="H28" s="6">
        <f t="shared" si="4"/>
        <v>0.5</v>
      </c>
      <c r="I28">
        <f t="shared" si="5"/>
        <v>0.67013798220662102</v>
      </c>
      <c r="J28">
        <v>8</v>
      </c>
      <c r="L28">
        <f t="shared" si="6"/>
        <v>2.1</v>
      </c>
      <c r="M28" s="6">
        <f t="shared" si="7"/>
        <v>0.25</v>
      </c>
      <c r="N28">
        <f t="shared" si="8"/>
        <v>0.81262036714167507</v>
      </c>
      <c r="O28">
        <f t="shared" si="9"/>
        <v>8</v>
      </c>
      <c r="Q28" s="6">
        <f t="shared" si="10"/>
        <v>0.71666666666666645</v>
      </c>
      <c r="R28" s="6">
        <f t="shared" si="11"/>
        <v>8.3333333333333329E-2</v>
      </c>
      <c r="S28">
        <f t="shared" si="13"/>
        <v>0.93110989956281109</v>
      </c>
      <c r="T28">
        <f t="shared" si="12"/>
        <v>8</v>
      </c>
    </row>
    <row r="29" spans="2:20" x14ac:dyDescent="0.25">
      <c r="G29">
        <f t="shared" si="3"/>
        <v>4.5999999999999996</v>
      </c>
      <c r="H29" s="6">
        <f t="shared" si="4"/>
        <v>0.5</v>
      </c>
      <c r="I29">
        <f t="shared" si="5"/>
        <v>0.63822664972059129</v>
      </c>
      <c r="J29">
        <v>9</v>
      </c>
      <c r="L29">
        <f t="shared" si="6"/>
        <v>2.35</v>
      </c>
      <c r="M29" s="6">
        <f t="shared" si="7"/>
        <v>0.25</v>
      </c>
      <c r="N29">
        <f t="shared" si="8"/>
        <v>0.79280035818700034</v>
      </c>
      <c r="O29">
        <f t="shared" si="9"/>
        <v>9</v>
      </c>
      <c r="Q29" s="6">
        <f t="shared" si="10"/>
        <v>0.79999999999999982</v>
      </c>
      <c r="R29" s="6">
        <f t="shared" si="11"/>
        <v>8.3333333333333329E-2</v>
      </c>
      <c r="S29">
        <f t="shared" si="13"/>
        <v>0.9234147764259284</v>
      </c>
      <c r="T29">
        <f t="shared" si="12"/>
        <v>9</v>
      </c>
    </row>
    <row r="30" spans="2:20" x14ac:dyDescent="0.25">
      <c r="G30">
        <f t="shared" si="3"/>
        <v>5.0999999999999996</v>
      </c>
      <c r="H30" s="6">
        <f t="shared" si="4"/>
        <v>0.5</v>
      </c>
      <c r="I30">
        <f t="shared" si="5"/>
        <v>0.60783490449580135</v>
      </c>
      <c r="J30">
        <v>10</v>
      </c>
      <c r="L30">
        <f t="shared" si="6"/>
        <v>2.6</v>
      </c>
      <c r="M30" s="6">
        <f t="shared" si="7"/>
        <v>0.25</v>
      </c>
      <c r="N30">
        <f t="shared" si="8"/>
        <v>0.77346376408487827</v>
      </c>
      <c r="O30">
        <f t="shared" si="9"/>
        <v>10</v>
      </c>
      <c r="Q30" s="6">
        <f t="shared" si="10"/>
        <v>0.88333333333333319</v>
      </c>
      <c r="R30" s="6">
        <f t="shared" si="11"/>
        <v>8.3333333333333329E-2</v>
      </c>
      <c r="S30">
        <f t="shared" si="13"/>
        <v>0.91578324934802813</v>
      </c>
      <c r="T30">
        <f t="shared" ref="T30:T79" si="14">T29+1</f>
        <v>10</v>
      </c>
    </row>
    <row r="31" spans="2:20" x14ac:dyDescent="0.25">
      <c r="L31">
        <f t="shared" si="6"/>
        <v>2.85</v>
      </c>
      <c r="M31" s="6">
        <f t="shared" si="7"/>
        <v>0.25</v>
      </c>
      <c r="N31">
        <f t="shared" si="8"/>
        <v>0.75459879422914955</v>
      </c>
      <c r="O31">
        <f t="shared" si="9"/>
        <v>11</v>
      </c>
      <c r="Q31" s="6">
        <f t="shared" si="10"/>
        <v>0.96666666666666656</v>
      </c>
      <c r="R31" s="6">
        <f t="shared" si="11"/>
        <v>8.3333333333333329E-2</v>
      </c>
      <c r="S31">
        <f t="shared" si="13"/>
        <v>0.90821479274184624</v>
      </c>
      <c r="T31">
        <f t="shared" si="14"/>
        <v>11</v>
      </c>
    </row>
    <row r="32" spans="2:20" x14ac:dyDescent="0.25">
      <c r="L32">
        <f t="shared" si="6"/>
        <v>3.1</v>
      </c>
      <c r="M32" s="6">
        <f t="shared" si="7"/>
        <v>0.25</v>
      </c>
      <c r="N32">
        <f t="shared" si="8"/>
        <v>0.73619394558941431</v>
      </c>
      <c r="O32">
        <f t="shared" si="9"/>
        <v>12</v>
      </c>
      <c r="Q32" s="6">
        <f t="shared" si="10"/>
        <v>1.0499999999999998</v>
      </c>
      <c r="R32" s="6">
        <f t="shared" si="11"/>
        <v>8.3333333333333329E-2</v>
      </c>
      <c r="S32">
        <f t="shared" si="13"/>
        <v>0.90070888536381422</v>
      </c>
      <c r="T32">
        <f t="shared" si="14"/>
        <v>12</v>
      </c>
    </row>
    <row r="33" spans="12:20" x14ac:dyDescent="0.25">
      <c r="L33">
        <f t="shared" si="6"/>
        <v>3.35</v>
      </c>
      <c r="M33" s="6">
        <f t="shared" si="7"/>
        <v>0.25</v>
      </c>
      <c r="N33">
        <f t="shared" si="8"/>
        <v>0.71823799569698954</v>
      </c>
      <c r="O33">
        <f t="shared" si="9"/>
        <v>13</v>
      </c>
      <c r="Q33" s="6">
        <f t="shared" si="10"/>
        <v>1.1333333333333331</v>
      </c>
      <c r="R33" s="6">
        <f t="shared" si="11"/>
        <v>8.3333333333333329E-2</v>
      </c>
      <c r="S33">
        <f t="shared" si="13"/>
        <v>0.89326501027816319</v>
      </c>
      <c r="T33">
        <f t="shared" si="14"/>
        <v>13</v>
      </c>
    </row>
    <row r="34" spans="12:20" x14ac:dyDescent="0.25">
      <c r="L34">
        <f t="shared" si="6"/>
        <v>3.6</v>
      </c>
      <c r="M34" s="6">
        <f t="shared" si="7"/>
        <v>0.25</v>
      </c>
      <c r="N34">
        <f t="shared" si="8"/>
        <v>0.70071999580194111</v>
      </c>
      <c r="O34">
        <f t="shared" si="9"/>
        <v>14</v>
      </c>
      <c r="Q34" s="6">
        <f t="shared" si="10"/>
        <v>1.2166666666666663</v>
      </c>
      <c r="R34" s="6">
        <f t="shared" si="11"/>
        <v>8.3333333333333329E-2</v>
      </c>
      <c r="S34">
        <f t="shared" si="13"/>
        <v>0.88588265482131878</v>
      </c>
      <c r="T34">
        <f t="shared" si="14"/>
        <v>14</v>
      </c>
    </row>
    <row r="35" spans="12:20" x14ac:dyDescent="0.25">
      <c r="L35">
        <f t="shared" si="6"/>
        <v>3.85</v>
      </c>
      <c r="M35" s="6">
        <f t="shared" si="7"/>
        <v>0.25</v>
      </c>
      <c r="N35">
        <f t="shared" si="8"/>
        <v>0.68362926419701564</v>
      </c>
      <c r="O35">
        <f t="shared" si="9"/>
        <v>15</v>
      </c>
      <c r="Q35" s="6">
        <f t="shared" si="10"/>
        <v>1.2999999999999996</v>
      </c>
      <c r="R35" s="6">
        <f t="shared" si="11"/>
        <v>8.3333333333333329E-2</v>
      </c>
      <c r="S35">
        <f t="shared" si="13"/>
        <v>0.87856131056659714</v>
      </c>
      <c r="T35">
        <f t="shared" si="14"/>
        <v>15</v>
      </c>
    </row>
    <row r="36" spans="12:20" x14ac:dyDescent="0.25">
      <c r="L36">
        <f t="shared" si="6"/>
        <v>4.0999999999999996</v>
      </c>
      <c r="M36" s="6">
        <f t="shared" si="7"/>
        <v>0.25</v>
      </c>
      <c r="N36">
        <f t="shared" si="8"/>
        <v>0.66695537970440555</v>
      </c>
      <c r="O36">
        <f t="shared" si="9"/>
        <v>16</v>
      </c>
      <c r="Q36" s="6">
        <f t="shared" si="10"/>
        <v>1.3833333333333329</v>
      </c>
      <c r="R36" s="6">
        <f t="shared" si="11"/>
        <v>8.3333333333333329E-2</v>
      </c>
      <c r="S36">
        <f t="shared" si="13"/>
        <v>0.87130047328918725</v>
      </c>
      <c r="T36">
        <f t="shared" si="14"/>
        <v>16</v>
      </c>
    </row>
    <row r="37" spans="12:20" x14ac:dyDescent="0.25">
      <c r="L37">
        <f t="shared" si="6"/>
        <v>4.3499999999999996</v>
      </c>
      <c r="M37" s="6">
        <f t="shared" si="7"/>
        <v>0.25</v>
      </c>
      <c r="N37">
        <f t="shared" si="8"/>
        <v>0.65068817532137135</v>
      </c>
      <c r="O37">
        <f t="shared" si="9"/>
        <v>17</v>
      </c>
      <c r="Q37" s="6">
        <f t="shared" si="10"/>
        <v>1.4666666666666661</v>
      </c>
      <c r="R37" s="6">
        <f t="shared" si="11"/>
        <v>8.3333333333333329E-2</v>
      </c>
      <c r="S37">
        <f t="shared" si="13"/>
        <v>0.86409964293142549</v>
      </c>
      <c r="T37">
        <f t="shared" si="14"/>
        <v>17</v>
      </c>
    </row>
    <row r="38" spans="12:20" x14ac:dyDescent="0.25">
      <c r="L38">
        <f t="shared" si="6"/>
        <v>4.5999999999999996</v>
      </c>
      <c r="M38" s="6">
        <f t="shared" si="7"/>
        <v>0.25</v>
      </c>
      <c r="N38">
        <f t="shared" si="8"/>
        <v>0.63481773202085001</v>
      </c>
      <c r="O38">
        <f t="shared" si="9"/>
        <v>18</v>
      </c>
      <c r="Q38" s="6">
        <f t="shared" si="10"/>
        <v>1.5499999999999994</v>
      </c>
      <c r="R38" s="6">
        <f t="shared" si="11"/>
        <v>8.3333333333333329E-2</v>
      </c>
      <c r="S38">
        <f t="shared" si="13"/>
        <v>0.85695832356835577</v>
      </c>
      <c r="T38">
        <f t="shared" si="14"/>
        <v>18</v>
      </c>
    </row>
    <row r="39" spans="12:20" x14ac:dyDescent="0.25">
      <c r="L39">
        <f t="shared" si="6"/>
        <v>4.8499999999999996</v>
      </c>
      <c r="M39" s="6">
        <f t="shared" si="7"/>
        <v>0.25</v>
      </c>
      <c r="N39">
        <f t="shared" si="8"/>
        <v>0.6193343727032683</v>
      </c>
      <c r="O39">
        <f t="shared" si="9"/>
        <v>19</v>
      </c>
      <c r="Q39" s="6">
        <f t="shared" si="10"/>
        <v>1.6333333333333326</v>
      </c>
      <c r="R39" s="6">
        <f t="shared" si="11"/>
        <v>8.3333333333333329E-2</v>
      </c>
      <c r="S39">
        <f t="shared" si="13"/>
        <v>0.84987602337357593</v>
      </c>
      <c r="T39">
        <f t="shared" si="14"/>
        <v>19</v>
      </c>
    </row>
    <row r="40" spans="12:20" x14ac:dyDescent="0.25">
      <c r="L40">
        <f t="shared" si="6"/>
        <v>5.0999999999999996</v>
      </c>
      <c r="M40" s="6">
        <f t="shared" si="7"/>
        <v>0.25</v>
      </c>
      <c r="N40">
        <f t="shared" si="8"/>
        <v>0.60422865629587164</v>
      </c>
      <c r="O40">
        <f t="shared" si="9"/>
        <v>20</v>
      </c>
      <c r="Q40" s="6">
        <f t="shared" si="10"/>
        <v>1.7166666666666659</v>
      </c>
      <c r="R40" s="6">
        <f t="shared" si="11"/>
        <v>8.3333333333333329E-2</v>
      </c>
      <c r="S40">
        <f t="shared" si="13"/>
        <v>0.84285225458536484</v>
      </c>
      <c r="T40">
        <f t="shared" si="14"/>
        <v>20</v>
      </c>
    </row>
    <row r="41" spans="12:20" x14ac:dyDescent="0.25">
      <c r="L41" s="6"/>
      <c r="Q41" s="6">
        <f t="shared" si="10"/>
        <v>1.7999999999999992</v>
      </c>
      <c r="R41" s="6">
        <f t="shared" si="11"/>
        <v>8.3333333333333329E-2</v>
      </c>
      <c r="S41">
        <f t="shared" si="13"/>
        <v>0.83588653347308917</v>
      </c>
      <c r="T41">
        <f t="shared" si="14"/>
        <v>21</v>
      </c>
    </row>
    <row r="42" spans="12:20" x14ac:dyDescent="0.25">
      <c r="L42" s="6"/>
      <c r="Q42" s="6">
        <f t="shared" si="10"/>
        <v>1.8833333333333324</v>
      </c>
      <c r="R42" s="6">
        <f t="shared" si="11"/>
        <v>8.3333333333333329E-2</v>
      </c>
      <c r="S42">
        <f t="shared" si="13"/>
        <v>0.82897838030388982</v>
      </c>
      <c r="T42">
        <f t="shared" si="14"/>
        <v>22</v>
      </c>
    </row>
    <row r="43" spans="12:20" x14ac:dyDescent="0.25">
      <c r="Q43" s="6">
        <f t="shared" si="10"/>
        <v>1.9666666666666657</v>
      </c>
      <c r="R43" s="6">
        <f t="shared" si="11"/>
        <v>8.3333333333333329E-2</v>
      </c>
      <c r="S43">
        <f t="shared" si="13"/>
        <v>0.822127319309643</v>
      </c>
      <c r="T43">
        <f t="shared" si="14"/>
        <v>23</v>
      </c>
    </row>
    <row r="44" spans="12:20" x14ac:dyDescent="0.25">
      <c r="Q44" s="6">
        <f t="shared" si="10"/>
        <v>2.0499999999999989</v>
      </c>
      <c r="R44" s="6">
        <f t="shared" si="11"/>
        <v>8.3333333333333329E-2</v>
      </c>
      <c r="S44">
        <f t="shared" si="13"/>
        <v>0.81533287865419146</v>
      </c>
      <c r="T44">
        <f t="shared" si="14"/>
        <v>24</v>
      </c>
    </row>
    <row r="45" spans="12:20" x14ac:dyDescent="0.25">
      <c r="Q45" s="6">
        <f t="shared" si="10"/>
        <v>2.1333333333333324</v>
      </c>
      <c r="R45" s="6">
        <f t="shared" si="11"/>
        <v>8.3333333333333329E-2</v>
      </c>
      <c r="S45">
        <f t="shared" si="13"/>
        <v>0.80859459040085113</v>
      </c>
      <c r="T45">
        <f t="shared" si="14"/>
        <v>25</v>
      </c>
    </row>
    <row r="46" spans="12:20" x14ac:dyDescent="0.25">
      <c r="Q46" s="6">
        <f t="shared" si="10"/>
        <v>2.2166666666666659</v>
      </c>
      <c r="R46" s="6">
        <f t="shared" si="11"/>
        <v>8.3333333333333329E-2</v>
      </c>
      <c r="S46">
        <f t="shared" si="13"/>
        <v>0.80191199048018291</v>
      </c>
      <c r="T46">
        <f t="shared" si="14"/>
        <v>26</v>
      </c>
    </row>
    <row r="47" spans="12:20" x14ac:dyDescent="0.25">
      <c r="Q47" s="6">
        <f t="shared" si="10"/>
        <v>2.2999999999999994</v>
      </c>
      <c r="R47" s="6">
        <f t="shared" si="11"/>
        <v>8.3333333333333329E-2</v>
      </c>
      <c r="S47">
        <f t="shared" si="13"/>
        <v>0.79528461865803257</v>
      </c>
      <c r="T47">
        <f t="shared" si="14"/>
        <v>27</v>
      </c>
    </row>
    <row r="48" spans="12:20" x14ac:dyDescent="0.25">
      <c r="Q48" s="6">
        <f t="shared" si="10"/>
        <v>2.3833333333333329</v>
      </c>
      <c r="R48" s="6">
        <f t="shared" si="11"/>
        <v>8.3333333333333329E-2</v>
      </c>
      <c r="S48">
        <f t="shared" si="13"/>
        <v>0.78871201850383399</v>
      </c>
      <c r="T48">
        <f t="shared" si="14"/>
        <v>28</v>
      </c>
    </row>
    <row r="49" spans="17:20" x14ac:dyDescent="0.25">
      <c r="Q49" s="6">
        <f t="shared" si="10"/>
        <v>2.4666666666666663</v>
      </c>
      <c r="R49" s="6">
        <f t="shared" si="11"/>
        <v>8.3333333333333329E-2</v>
      </c>
      <c r="S49">
        <f t="shared" si="13"/>
        <v>0.78219373735917441</v>
      </c>
      <c r="T49">
        <f t="shared" si="14"/>
        <v>29</v>
      </c>
    </row>
    <row r="50" spans="17:20" x14ac:dyDescent="0.25">
      <c r="Q50" s="6">
        <f t="shared" si="10"/>
        <v>2.5499999999999998</v>
      </c>
      <c r="R50" s="6">
        <f t="shared" si="11"/>
        <v>8.3333333333333329E-2</v>
      </c>
      <c r="S50">
        <f t="shared" si="13"/>
        <v>0.77572932630661906</v>
      </c>
      <c r="T50">
        <f t="shared" si="14"/>
        <v>30</v>
      </c>
    </row>
    <row r="51" spans="17:20" x14ac:dyDescent="0.25">
      <c r="Q51" s="6">
        <f t="shared" si="10"/>
        <v>2.6333333333333333</v>
      </c>
      <c r="R51" s="6">
        <f t="shared" si="11"/>
        <v>8.3333333333333329E-2</v>
      </c>
      <c r="S51">
        <f t="shared" si="13"/>
        <v>0.76931834013879585</v>
      </c>
      <c r="T51">
        <f t="shared" si="14"/>
        <v>31</v>
      </c>
    </row>
    <row r="52" spans="17:20" x14ac:dyDescent="0.25">
      <c r="Q52" s="6">
        <f t="shared" si="10"/>
        <v>2.7166666666666668</v>
      </c>
      <c r="R52" s="6">
        <f t="shared" si="11"/>
        <v>8.3333333333333329E-2</v>
      </c>
      <c r="S52">
        <f t="shared" si="13"/>
        <v>0.7629603373277315</v>
      </c>
      <c r="T52">
        <f t="shared" si="14"/>
        <v>32</v>
      </c>
    </row>
    <row r="53" spans="17:20" x14ac:dyDescent="0.25">
      <c r="Q53" s="6">
        <f t="shared" ref="Q53:Q79" si="15">Q52+R$16</f>
        <v>2.8000000000000003</v>
      </c>
      <c r="R53" s="6">
        <f t="shared" si="11"/>
        <v>8.3333333333333329E-2</v>
      </c>
      <c r="S53">
        <f t="shared" si="13"/>
        <v>0.75665487999444447</v>
      </c>
      <c r="T53">
        <f t="shared" si="14"/>
        <v>33</v>
      </c>
    </row>
    <row r="54" spans="17:20" x14ac:dyDescent="0.25">
      <c r="Q54" s="6">
        <f t="shared" si="15"/>
        <v>2.8833333333333337</v>
      </c>
      <c r="R54" s="6">
        <f t="shared" si="11"/>
        <v>8.3333333333333329E-2</v>
      </c>
      <c r="S54">
        <f t="shared" si="13"/>
        <v>0.75040153387878783</v>
      </c>
      <c r="T54">
        <f t="shared" si="14"/>
        <v>34</v>
      </c>
    </row>
    <row r="55" spans="17:20" x14ac:dyDescent="0.25">
      <c r="Q55" s="6">
        <f t="shared" si="15"/>
        <v>2.9666666666666672</v>
      </c>
      <c r="R55" s="6">
        <f t="shared" si="11"/>
        <v>8.3333333333333329E-2</v>
      </c>
      <c r="S55">
        <f t="shared" si="13"/>
        <v>0.74419986830954188</v>
      </c>
      <c r="T55">
        <f t="shared" si="14"/>
        <v>35</v>
      </c>
    </row>
    <row r="56" spans="17:20" x14ac:dyDescent="0.25">
      <c r="Q56" s="6">
        <f t="shared" si="15"/>
        <v>3.0500000000000007</v>
      </c>
      <c r="R56" s="6">
        <f t="shared" si="11"/>
        <v>8.3333333333333329E-2</v>
      </c>
      <c r="S56">
        <f t="shared" si="13"/>
        <v>0.73804945617475226</v>
      </c>
      <c r="T56">
        <f t="shared" si="14"/>
        <v>36</v>
      </c>
    </row>
    <row r="57" spans="17:20" x14ac:dyDescent="0.25">
      <c r="Q57" s="6">
        <f t="shared" si="15"/>
        <v>3.1333333333333342</v>
      </c>
      <c r="R57" s="6">
        <f t="shared" si="11"/>
        <v>8.3333333333333329E-2</v>
      </c>
      <c r="S57">
        <f t="shared" si="13"/>
        <v>0.73194987389231636</v>
      </c>
      <c r="T57">
        <f t="shared" si="14"/>
        <v>37</v>
      </c>
    </row>
    <row r="58" spans="17:20" x14ac:dyDescent="0.25">
      <c r="Q58" s="6">
        <f t="shared" si="15"/>
        <v>3.2166666666666677</v>
      </c>
      <c r="R58" s="6">
        <f t="shared" si="11"/>
        <v>8.3333333333333329E-2</v>
      </c>
      <c r="S58">
        <f t="shared" si="13"/>
        <v>0.72590070138080953</v>
      </c>
      <c r="T58">
        <f t="shared" si="14"/>
        <v>38</v>
      </c>
    </row>
    <row r="59" spans="17:20" x14ac:dyDescent="0.25">
      <c r="Q59" s="6">
        <f t="shared" si="15"/>
        <v>3.3000000000000012</v>
      </c>
      <c r="R59" s="6">
        <f t="shared" si="11"/>
        <v>8.3333333333333329E-2</v>
      </c>
      <c r="S59">
        <f t="shared" si="13"/>
        <v>0.71990152203055502</v>
      </c>
      <c r="T59">
        <f t="shared" si="14"/>
        <v>39</v>
      </c>
    </row>
    <row r="60" spans="17:20" x14ac:dyDescent="0.25">
      <c r="Q60" s="6">
        <f t="shared" si="15"/>
        <v>3.3833333333333346</v>
      </c>
      <c r="R60" s="6">
        <f t="shared" si="11"/>
        <v>8.3333333333333329E-2</v>
      </c>
      <c r="S60">
        <f t="shared" si="13"/>
        <v>0.71395192267493057</v>
      </c>
      <c r="T60">
        <f t="shared" si="14"/>
        <v>40</v>
      </c>
    </row>
    <row r="61" spans="17:20" x14ac:dyDescent="0.25">
      <c r="Q61" s="6">
        <f t="shared" si="15"/>
        <v>3.4666666666666681</v>
      </c>
      <c r="R61" s="6">
        <f t="shared" si="11"/>
        <v>8.3333333333333329E-2</v>
      </c>
      <c r="S61">
        <f t="shared" si="13"/>
        <v>0.70805149356191466</v>
      </c>
      <c r="T61">
        <f t="shared" si="14"/>
        <v>41</v>
      </c>
    </row>
    <row r="62" spans="17:20" x14ac:dyDescent="0.25">
      <c r="Q62" s="6">
        <f t="shared" si="15"/>
        <v>3.5500000000000016</v>
      </c>
      <c r="R62" s="6">
        <f t="shared" si="11"/>
        <v>8.3333333333333329E-2</v>
      </c>
      <c r="S62">
        <f t="shared" si="13"/>
        <v>0.70219982832586569</v>
      </c>
      <c r="T62">
        <f t="shared" si="14"/>
        <v>42</v>
      </c>
    </row>
    <row r="63" spans="17:20" x14ac:dyDescent="0.25">
      <c r="Q63" s="6">
        <f t="shared" si="15"/>
        <v>3.6333333333333351</v>
      </c>
      <c r="R63" s="6">
        <f t="shared" si="11"/>
        <v>8.3333333333333329E-2</v>
      </c>
      <c r="S63">
        <f t="shared" si="13"/>
        <v>0.69639652395953633</v>
      </c>
      <c r="T63">
        <f t="shared" si="14"/>
        <v>43</v>
      </c>
    </row>
    <row r="64" spans="17:20" x14ac:dyDescent="0.25">
      <c r="Q64" s="6">
        <f t="shared" si="15"/>
        <v>3.7166666666666686</v>
      </c>
      <c r="R64" s="6">
        <f t="shared" si="11"/>
        <v>8.3333333333333329E-2</v>
      </c>
      <c r="S64">
        <f t="shared" si="13"/>
        <v>0.69064118078631698</v>
      </c>
      <c r="T64">
        <f t="shared" si="14"/>
        <v>44</v>
      </c>
    </row>
    <row r="65" spans="17:20" x14ac:dyDescent="0.25">
      <c r="Q65" s="6">
        <f t="shared" si="15"/>
        <v>3.800000000000002</v>
      </c>
      <c r="R65" s="6">
        <f t="shared" si="11"/>
        <v>8.3333333333333329E-2</v>
      </c>
      <c r="S65">
        <f t="shared" si="13"/>
        <v>0.68493340243271128</v>
      </c>
      <c r="T65">
        <f t="shared" si="14"/>
        <v>45</v>
      </c>
    </row>
    <row r="66" spans="17:20" x14ac:dyDescent="0.25">
      <c r="Q66" s="6">
        <f t="shared" si="15"/>
        <v>3.8833333333333355</v>
      </c>
      <c r="R66" s="6">
        <f t="shared" si="11"/>
        <v>8.3333333333333329E-2</v>
      </c>
      <c r="S66">
        <f t="shared" si="13"/>
        <v>0.67927279580103583</v>
      </c>
      <c r="T66">
        <f t="shared" si="14"/>
        <v>46</v>
      </c>
    </row>
    <row r="67" spans="17:20" x14ac:dyDescent="0.25">
      <c r="Q67" s="6">
        <f t="shared" si="15"/>
        <v>3.966666666666669</v>
      </c>
      <c r="R67" s="6">
        <f t="shared" si="11"/>
        <v>8.3333333333333329E-2</v>
      </c>
      <c r="S67">
        <f t="shared" si="13"/>
        <v>0.67365897104234973</v>
      </c>
      <c r="T67">
        <f t="shared" si="14"/>
        <v>47</v>
      </c>
    </row>
    <row r="68" spans="17:20" x14ac:dyDescent="0.25">
      <c r="Q68" s="6">
        <f t="shared" si="15"/>
        <v>4.0500000000000025</v>
      </c>
      <c r="R68" s="6">
        <f t="shared" si="11"/>
        <v>8.3333333333333329E-2</v>
      </c>
      <c r="S68">
        <f t="shared" si="13"/>
        <v>0.66809154152960304</v>
      </c>
      <c r="T68">
        <f t="shared" si="14"/>
        <v>48</v>
      </c>
    </row>
    <row r="69" spans="17:20" x14ac:dyDescent="0.25">
      <c r="Q69" s="6">
        <f t="shared" si="15"/>
        <v>4.1333333333333355</v>
      </c>
      <c r="R69" s="6">
        <f t="shared" si="11"/>
        <v>8.3333333333333329E-2</v>
      </c>
      <c r="S69">
        <f t="shared" si="13"/>
        <v>0.66257012383101122</v>
      </c>
      <c r="T69">
        <f t="shared" si="14"/>
        <v>49</v>
      </c>
    </row>
    <row r="70" spans="17:20" x14ac:dyDescent="0.25">
      <c r="Q70" s="6">
        <f t="shared" si="15"/>
        <v>4.2166666666666686</v>
      </c>
      <c r="R70" s="6">
        <f t="shared" si="11"/>
        <v>8.3333333333333329E-2</v>
      </c>
      <c r="S70">
        <f t="shared" si="13"/>
        <v>0.65709433768364744</v>
      </c>
      <c r="T70">
        <f t="shared" si="14"/>
        <v>50</v>
      </c>
    </row>
    <row r="71" spans="17:20" x14ac:dyDescent="0.25">
      <c r="Q71" s="6">
        <f t="shared" si="15"/>
        <v>4.3000000000000016</v>
      </c>
      <c r="R71" s="6">
        <f t="shared" si="11"/>
        <v>8.3333333333333329E-2</v>
      </c>
      <c r="S71">
        <f t="shared" si="13"/>
        <v>0.65166380596725371</v>
      </c>
      <c r="T71">
        <f t="shared" si="14"/>
        <v>51</v>
      </c>
    </row>
    <row r="72" spans="17:20" x14ac:dyDescent="0.25">
      <c r="Q72" s="6">
        <f t="shared" si="15"/>
        <v>4.3833333333333346</v>
      </c>
      <c r="R72" s="6">
        <f t="shared" si="11"/>
        <v>8.3333333333333329E-2</v>
      </c>
      <c r="S72">
        <f t="shared" si="13"/>
        <v>0.64627815467826821</v>
      </c>
      <c r="T72">
        <f t="shared" si="14"/>
        <v>52</v>
      </c>
    </row>
    <row r="73" spans="17:20" x14ac:dyDescent="0.25">
      <c r="Q73" s="6">
        <f t="shared" si="15"/>
        <v>4.4666666666666677</v>
      </c>
      <c r="R73" s="6">
        <f t="shared" si="11"/>
        <v>8.3333333333333329E-2</v>
      </c>
      <c r="S73">
        <f t="shared" si="13"/>
        <v>0.64093701290406779</v>
      </c>
      <c r="T73">
        <f t="shared" si="14"/>
        <v>53</v>
      </c>
    </row>
    <row r="74" spans="17:20" x14ac:dyDescent="0.25">
      <c r="Q74" s="6">
        <f t="shared" si="15"/>
        <v>4.5500000000000007</v>
      </c>
      <c r="R74" s="6">
        <f t="shared" si="11"/>
        <v>8.3333333333333329E-2</v>
      </c>
      <c r="S74">
        <f t="shared" si="13"/>
        <v>0.63564001279742244</v>
      </c>
      <c r="T74">
        <f t="shared" si="14"/>
        <v>54</v>
      </c>
    </row>
    <row r="75" spans="17:20" x14ac:dyDescent="0.25">
      <c r="Q75" s="6">
        <f t="shared" si="15"/>
        <v>4.6333333333333337</v>
      </c>
      <c r="R75" s="6">
        <f t="shared" si="11"/>
        <v>8.3333333333333329E-2</v>
      </c>
      <c r="S75">
        <f t="shared" si="13"/>
        <v>0.6303867895511629</v>
      </c>
      <c r="T75">
        <f t="shared" si="14"/>
        <v>55</v>
      </c>
    </row>
    <row r="76" spans="17:20" x14ac:dyDescent="0.25">
      <c r="Q76" s="6">
        <f t="shared" si="15"/>
        <v>4.7166666666666668</v>
      </c>
      <c r="R76" s="6">
        <f t="shared" si="11"/>
        <v>8.3333333333333329E-2</v>
      </c>
      <c r="S76">
        <f t="shared" si="13"/>
        <v>0.62517698137305411</v>
      </c>
      <c r="T76">
        <f t="shared" si="14"/>
        <v>56</v>
      </c>
    </row>
    <row r="77" spans="17:20" x14ac:dyDescent="0.25">
      <c r="Q77" s="6">
        <f t="shared" si="15"/>
        <v>4.8</v>
      </c>
      <c r="R77" s="6">
        <f t="shared" si="11"/>
        <v>8.3333333333333329E-2</v>
      </c>
      <c r="S77">
        <f t="shared" si="13"/>
        <v>0.62001022946088025</v>
      </c>
      <c r="T77">
        <f t="shared" si="14"/>
        <v>57</v>
      </c>
    </row>
    <row r="78" spans="17:20" x14ac:dyDescent="0.25">
      <c r="Q78" s="6">
        <f t="shared" si="15"/>
        <v>4.8833333333333329</v>
      </c>
      <c r="R78" s="6">
        <f t="shared" si="11"/>
        <v>8.3333333333333329E-2</v>
      </c>
      <c r="S78">
        <f t="shared" si="13"/>
        <v>0.61488617797773248</v>
      </c>
      <c r="T78">
        <f t="shared" si="14"/>
        <v>58</v>
      </c>
    </row>
    <row r="79" spans="17:20" x14ac:dyDescent="0.25">
      <c r="Q79" s="6">
        <f t="shared" si="15"/>
        <v>4.9666666666666659</v>
      </c>
      <c r="R79" s="6">
        <f t="shared" si="11"/>
        <v>8.3333333333333329E-2</v>
      </c>
      <c r="S79">
        <f t="shared" si="13"/>
        <v>0.60980447402750315</v>
      </c>
      <c r="T79">
        <f t="shared" si="14"/>
        <v>59</v>
      </c>
    </row>
    <row r="80" spans="17:20" x14ac:dyDescent="0.25">
      <c r="Q80" s="6">
        <f>Q79+R$16</f>
        <v>5.0499999999999989</v>
      </c>
      <c r="R80" s="6">
        <f t="shared" si="11"/>
        <v>8.3333333333333329E-2</v>
      </c>
      <c r="S80">
        <f t="shared" si="13"/>
        <v>0.60476476763058173</v>
      </c>
      <c r="T80">
        <f t="shared" ref="T80" si="16">T79+1</f>
        <v>60</v>
      </c>
    </row>
    <row r="81" spans="17:18" x14ac:dyDescent="0.25">
      <c r="Q81" s="6"/>
      <c r="R81" s="6"/>
    </row>
    <row r="82" spans="17:18" x14ac:dyDescent="0.25">
      <c r="Q82" s="6"/>
    </row>
    <row r="83" spans="17:18" x14ac:dyDescent="0.25">
      <c r="Q83" s="6"/>
    </row>
    <row r="84" spans="17:18" x14ac:dyDescent="0.25">
      <c r="Q84" s="6"/>
    </row>
    <row r="85" spans="17:18" x14ac:dyDescent="0.25">
      <c r="Q85" s="6"/>
    </row>
    <row r="86" spans="17:18" x14ac:dyDescent="0.25">
      <c r="Q86" s="6"/>
    </row>
    <row r="87" spans="17:18" x14ac:dyDescent="0.25">
      <c r="Q87" s="6"/>
    </row>
    <row r="88" spans="17:18" x14ac:dyDescent="0.25">
      <c r="Q88" s="6"/>
    </row>
    <row r="89" spans="17:18" x14ac:dyDescent="0.25">
      <c r="Q89" s="6"/>
    </row>
  </sheetData>
  <dataValidations count="1">
    <dataValidation type="list" allowBlank="1" showInputMessage="1" showErrorMessage="1" sqref="H7 M7 R7 C7">
      <formula1>"SHORT_START,LONG_START,SHORT_END,LONG_END,NONE"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8"/>
  <sheetViews>
    <sheetView workbookViewId="0"/>
  </sheetViews>
  <sheetFormatPr defaultRowHeight="15" x14ac:dyDescent="0.25"/>
  <cols>
    <col min="2" max="2" width="17.7109375" bestFit="1" customWidth="1"/>
    <col min="3" max="3" width="13.42578125" bestFit="1" customWidth="1"/>
    <col min="7" max="7" width="23" bestFit="1" customWidth="1"/>
    <col min="8" max="8" width="13.42578125" bestFit="1" customWidth="1"/>
    <col min="12" max="12" width="19.85546875" bestFit="1" customWidth="1"/>
    <col min="13" max="13" width="13.42578125" bestFit="1" customWidth="1"/>
    <col min="17" max="17" width="18.85546875" bestFit="1" customWidth="1"/>
    <col min="18" max="18" width="13.42578125" bestFit="1" customWidth="1"/>
  </cols>
  <sheetData>
    <row r="3" spans="2:20" x14ac:dyDescent="0.25">
      <c r="B3" t="s">
        <v>0</v>
      </c>
      <c r="C3" s="1">
        <v>1</v>
      </c>
      <c r="G3" t="s">
        <v>0</v>
      </c>
      <c r="H3" s="1">
        <v>1</v>
      </c>
      <c r="L3" t="s">
        <v>0</v>
      </c>
      <c r="M3" s="1">
        <v>1</v>
      </c>
      <c r="Q3" t="s">
        <v>0</v>
      </c>
      <c r="R3" s="1">
        <v>1</v>
      </c>
    </row>
    <row r="4" spans="2:20" x14ac:dyDescent="0.25">
      <c r="B4" t="s">
        <v>1</v>
      </c>
      <c r="C4" s="2">
        <v>0.1</v>
      </c>
      <c r="G4" t="s">
        <v>1</v>
      </c>
      <c r="H4" s="2">
        <v>0.1</v>
      </c>
      <c r="L4" t="s">
        <v>1</v>
      </c>
      <c r="M4" s="2">
        <v>0.1</v>
      </c>
      <c r="Q4" t="s">
        <v>1</v>
      </c>
      <c r="R4" s="2">
        <v>0.1</v>
      </c>
    </row>
    <row r="5" spans="2:20" x14ac:dyDescent="0.25">
      <c r="B5" t="s">
        <v>2</v>
      </c>
      <c r="C5" s="1">
        <v>1</v>
      </c>
      <c r="G5" t="s">
        <v>2</v>
      </c>
      <c r="H5" s="1">
        <v>2</v>
      </c>
      <c r="L5" t="s">
        <v>2</v>
      </c>
      <c r="M5" s="1">
        <v>4</v>
      </c>
      <c r="Q5" t="s">
        <v>2</v>
      </c>
      <c r="R5" s="1">
        <v>12</v>
      </c>
    </row>
    <row r="6" spans="2:20" x14ac:dyDescent="0.25">
      <c r="B6" t="s">
        <v>4</v>
      </c>
      <c r="C6" s="3">
        <v>5.0999999999999996</v>
      </c>
      <c r="G6" t="s">
        <v>4</v>
      </c>
      <c r="H6" s="3">
        <v>5.0999999999999996</v>
      </c>
      <c r="L6" t="s">
        <v>4</v>
      </c>
      <c r="M6" s="3">
        <v>5.0999999999999996</v>
      </c>
      <c r="Q6" t="s">
        <v>4</v>
      </c>
      <c r="R6" s="16">
        <v>5.05</v>
      </c>
    </row>
    <row r="7" spans="2:20" x14ac:dyDescent="0.25">
      <c r="B7" t="s">
        <v>5</v>
      </c>
      <c r="C7" s="12" t="s">
        <v>7</v>
      </c>
      <c r="G7" t="s">
        <v>5</v>
      </c>
      <c r="H7" s="12" t="s">
        <v>7</v>
      </c>
      <c r="L7" t="s">
        <v>5</v>
      </c>
      <c r="M7" s="12" t="s">
        <v>7</v>
      </c>
      <c r="Q7" t="s">
        <v>5</v>
      </c>
      <c r="R7" s="12" t="s">
        <v>7</v>
      </c>
    </row>
    <row r="8" spans="2:20" x14ac:dyDescent="0.25">
      <c r="T8" s="8"/>
    </row>
    <row r="9" spans="2:20" x14ac:dyDescent="0.25">
      <c r="B9" t="s">
        <v>3</v>
      </c>
      <c r="C9" s="13">
        <f ca="1">_xll.meMathEuropeanIRSwaptionCashAnnuity(C3,C4,C5,C6,C7)</f>
        <v>3.8467256273417054</v>
      </c>
      <c r="G9" t="s">
        <v>3</v>
      </c>
      <c r="H9" s="13">
        <f ca="1">_xll.meMathEuropeanIRSwaptionCashAnnuity(H3,H4,H5,H6,H7)</f>
        <v>3.9187838092660616</v>
      </c>
      <c r="L9" t="s">
        <v>3</v>
      </c>
      <c r="M9" s="13">
        <f ca="1">_xll.meMathEuropeanIRSwaptionCashAnnuity(M3,M4,M5,M6,M7)</f>
        <v>3.956253947533332</v>
      </c>
      <c r="Q9" t="s">
        <v>3</v>
      </c>
      <c r="R9" s="13">
        <f ca="1">_xll.meMathEuropeanIRSwaptionCashAnnuity(R3,R4,R5,R6,R7)</f>
        <v>3.952103653970668</v>
      </c>
    </row>
    <row r="10" spans="2:20" x14ac:dyDescent="0.25">
      <c r="B10" t="s">
        <v>18</v>
      </c>
      <c r="C10" s="14">
        <f>SUMPRODUCT(C20:C24,D20:D24)</f>
        <v>3.846725627341705</v>
      </c>
      <c r="G10" t="s">
        <v>18</v>
      </c>
      <c r="H10" s="14">
        <f>SUMPRODUCT(H20:H29,I20:I29)</f>
        <v>3.9187838092660625</v>
      </c>
      <c r="L10" t="s">
        <v>18</v>
      </c>
      <c r="M10" s="14">
        <f>SUMPRODUCT(M20:M39,N20:N39)</f>
        <v>3.9562539475333307</v>
      </c>
      <c r="Q10" t="s">
        <v>18</v>
      </c>
      <c r="R10" s="14">
        <f>SUMPRODUCT(R20:R80,S20:S80)</f>
        <v>3.9521036539706689</v>
      </c>
    </row>
    <row r="11" spans="2:20" x14ac:dyDescent="0.25">
      <c r="B11" s="9" t="s">
        <v>19</v>
      </c>
      <c r="C11" s="15">
        <f ca="1">C9-C10</f>
        <v>0</v>
      </c>
      <c r="G11" s="9" t="s">
        <v>19</v>
      </c>
      <c r="H11" s="15">
        <f ca="1">H9-H10</f>
        <v>0</v>
      </c>
      <c r="L11" s="9" t="s">
        <v>19</v>
      </c>
      <c r="M11" s="15">
        <f ca="1">M9-M10</f>
        <v>0</v>
      </c>
      <c r="Q11" s="9" t="s">
        <v>19</v>
      </c>
      <c r="R11" s="15">
        <f ca="1">R9-R10</f>
        <v>0</v>
      </c>
    </row>
    <row r="14" spans="2:20" x14ac:dyDescent="0.25">
      <c r="B14" t="s">
        <v>10</v>
      </c>
      <c r="G14" t="s">
        <v>11</v>
      </c>
      <c r="L14" t="s">
        <v>12</v>
      </c>
      <c r="Q14" t="s">
        <v>13</v>
      </c>
    </row>
    <row r="15" spans="2:20" x14ac:dyDescent="0.25">
      <c r="B15" t="s">
        <v>0</v>
      </c>
      <c r="C15">
        <v>1</v>
      </c>
      <c r="G15" t="s">
        <v>0</v>
      </c>
      <c r="H15">
        <v>1</v>
      </c>
      <c r="L15" t="s">
        <v>0</v>
      </c>
      <c r="M15">
        <v>1</v>
      </c>
      <c r="Q15" t="s">
        <v>0</v>
      </c>
      <c r="R15">
        <v>1</v>
      </c>
    </row>
    <row r="16" spans="2:20" x14ac:dyDescent="0.25">
      <c r="B16" t="s">
        <v>15</v>
      </c>
      <c r="C16">
        <v>1</v>
      </c>
      <c r="G16" t="s">
        <v>15</v>
      </c>
      <c r="H16">
        <v>0.5</v>
      </c>
      <c r="L16" t="s">
        <v>15</v>
      </c>
      <c r="M16">
        <v>0.25</v>
      </c>
      <c r="Q16" t="s">
        <v>15</v>
      </c>
      <c r="R16">
        <f>1/12</f>
        <v>8.3333333333333329E-2</v>
      </c>
    </row>
    <row r="17" spans="2:20" x14ac:dyDescent="0.25">
      <c r="B17" t="s">
        <v>1</v>
      </c>
      <c r="C17" s="7">
        <v>0.1</v>
      </c>
      <c r="G17" t="s">
        <v>1</v>
      </c>
      <c r="H17" s="7">
        <v>0.1</v>
      </c>
      <c r="L17" t="s">
        <v>1</v>
      </c>
      <c r="M17" s="7">
        <v>0.1</v>
      </c>
      <c r="Q17" t="s">
        <v>1</v>
      </c>
      <c r="R17" s="7">
        <v>0.1</v>
      </c>
    </row>
    <row r="19" spans="2:20" x14ac:dyDescent="0.25">
      <c r="B19" s="4" t="s">
        <v>14</v>
      </c>
      <c r="C19" s="4" t="s">
        <v>6</v>
      </c>
      <c r="D19" s="4" t="s">
        <v>8</v>
      </c>
      <c r="E19" s="4" t="s">
        <v>17</v>
      </c>
      <c r="F19" s="4"/>
      <c r="G19" s="4" t="s">
        <v>14</v>
      </c>
      <c r="H19" s="4" t="s">
        <v>6</v>
      </c>
      <c r="I19" s="4" t="s">
        <v>8</v>
      </c>
      <c r="J19" s="4" t="s">
        <v>17</v>
      </c>
      <c r="K19" s="4"/>
      <c r="L19" s="4" t="s">
        <v>14</v>
      </c>
      <c r="M19" s="4" t="s">
        <v>6</v>
      </c>
      <c r="N19" s="4" t="s">
        <v>8</v>
      </c>
      <c r="O19" s="4" t="s">
        <v>17</v>
      </c>
      <c r="P19" s="4"/>
      <c r="Q19" s="4" t="s">
        <v>14</v>
      </c>
      <c r="R19" s="4" t="s">
        <v>6</v>
      </c>
      <c r="S19" s="4" t="s">
        <v>8</v>
      </c>
      <c r="T19" s="4" t="s">
        <v>17</v>
      </c>
    </row>
    <row r="20" spans="2:20" x14ac:dyDescent="0.25">
      <c r="B20" s="21">
        <v>1.1000000000000001</v>
      </c>
      <c r="C20" s="22">
        <f>B20</f>
        <v>1.1000000000000001</v>
      </c>
      <c r="D20" s="21">
        <f>(1/(1+C$17*B$20)^E20)</f>
        <v>0.9009009009009008</v>
      </c>
      <c r="E20" s="21">
        <v>1</v>
      </c>
      <c r="F20" s="4"/>
      <c r="G20" s="21">
        <v>0.6</v>
      </c>
      <c r="H20" s="22">
        <f>G20</f>
        <v>0.6</v>
      </c>
      <c r="I20" s="21">
        <f>(1/(1+H$17*G$20)^J20)</f>
        <v>0.94339622641509424</v>
      </c>
      <c r="J20" s="21">
        <v>1</v>
      </c>
      <c r="K20" s="4"/>
      <c r="L20" s="21">
        <v>0.35</v>
      </c>
      <c r="M20" s="22">
        <f>L20</f>
        <v>0.35</v>
      </c>
      <c r="N20" s="21">
        <f>(1/(1+M$17*L$20)^O20)</f>
        <v>0.96618357487922713</v>
      </c>
      <c r="O20" s="21">
        <v>1</v>
      </c>
      <c r="P20" s="4"/>
      <c r="Q20" s="23">
        <f>R16+0.05</f>
        <v>0.13333333333333333</v>
      </c>
      <c r="R20" s="22">
        <f>Q20</f>
        <v>0.13333333333333333</v>
      </c>
      <c r="S20" s="21">
        <f>(1/(1+R$17*Q$20)^T20)</f>
        <v>0.98684210526315785</v>
      </c>
      <c r="T20" s="21">
        <v>1</v>
      </c>
    </row>
    <row r="21" spans="2:20" x14ac:dyDescent="0.25">
      <c r="B21" s="4">
        <f t="shared" ref="B21:B24" si="0">B20+C$16</f>
        <v>2.1</v>
      </c>
      <c r="C21" s="5">
        <f>C$16</f>
        <v>1</v>
      </c>
      <c r="D21" s="4">
        <f>D$20*(1/(1+C$17*C$16)^E21)</f>
        <v>0.81900081900081889</v>
      </c>
      <c r="E21" s="4">
        <v>1</v>
      </c>
      <c r="F21" s="4"/>
      <c r="G21" s="4">
        <f t="shared" ref="G21:G29" si="1">G20+H$16</f>
        <v>1.1000000000000001</v>
      </c>
      <c r="H21" s="5">
        <f t="shared" ref="H21:H29" si="2">H$16</f>
        <v>0.5</v>
      </c>
      <c r="I21" s="4">
        <f>I$20*(1/(1+H$17*H$16)^J21)</f>
        <v>0.89847259658580403</v>
      </c>
      <c r="J21" s="4">
        <v>1</v>
      </c>
      <c r="K21" s="4"/>
      <c r="L21" s="4">
        <f t="shared" ref="L21:L39" si="3">L20+M$16</f>
        <v>0.6</v>
      </c>
      <c r="M21" s="5">
        <f t="shared" ref="M21:M39" si="4">M$16</f>
        <v>0.25</v>
      </c>
      <c r="N21" s="4">
        <f>N$20*(1/(1+M$17*M$16)^O21)</f>
        <v>0.94261812183339244</v>
      </c>
      <c r="O21" s="4">
        <v>1</v>
      </c>
      <c r="P21" s="4"/>
      <c r="Q21" s="5">
        <f>Q20+R$16</f>
        <v>0.21666666666666667</v>
      </c>
      <c r="R21" s="5">
        <f t="shared" ref="R21:R79" si="5">R$16</f>
        <v>8.3333333333333329E-2</v>
      </c>
      <c r="S21" s="4">
        <f>S$20*(1/(1+R$17*R$16)^T21)</f>
        <v>0.97868638538495001</v>
      </c>
      <c r="T21" s="4">
        <v>1</v>
      </c>
    </row>
    <row r="22" spans="2:20" x14ac:dyDescent="0.25">
      <c r="B22" s="4">
        <f t="shared" si="0"/>
        <v>3.1</v>
      </c>
      <c r="C22" s="5">
        <f t="shared" ref="C22:C24" si="6">C$16</f>
        <v>1</v>
      </c>
      <c r="D22" s="4">
        <f t="shared" ref="D22:D24" si="7">D$20*(1/(1+C$17*C$16)^E22)</f>
        <v>0.74454619909165343</v>
      </c>
      <c r="E22" s="4">
        <v>2</v>
      </c>
      <c r="F22" s="4"/>
      <c r="G22" s="4">
        <f t="shared" si="1"/>
        <v>1.6</v>
      </c>
      <c r="H22" s="5">
        <f t="shared" si="2"/>
        <v>0.5</v>
      </c>
      <c r="I22" s="4">
        <f t="shared" ref="I22:I29" si="8">I$20*(1/(1+H$17*H$16)^J22)</f>
        <v>0.85568818722457518</v>
      </c>
      <c r="J22" s="4">
        <f>J21+1</f>
        <v>2</v>
      </c>
      <c r="K22" s="4"/>
      <c r="L22" s="4">
        <f t="shared" si="3"/>
        <v>0.85</v>
      </c>
      <c r="M22" s="5">
        <f t="shared" si="4"/>
        <v>0.25</v>
      </c>
      <c r="N22" s="4">
        <f t="shared" ref="N22:N39" si="9">N$20*(1/(1+M$17*M$16)^O22)</f>
        <v>0.91962743593501695</v>
      </c>
      <c r="O22" s="4">
        <f t="shared" ref="O22:O39" si="10">O21+1</f>
        <v>2</v>
      </c>
      <c r="P22" s="4"/>
      <c r="Q22" s="5">
        <f t="shared" ref="Q22:Q79" si="11">Q21+R$16</f>
        <v>0.3</v>
      </c>
      <c r="R22" s="5">
        <f t="shared" si="5"/>
        <v>8.3333333333333329E-2</v>
      </c>
      <c r="S22" s="4">
        <f t="shared" ref="S22:S79" si="12">S$20*(1/(1+R$17*R$16)^T22)</f>
        <v>0.97059806815036365</v>
      </c>
      <c r="T22" s="4">
        <f t="shared" ref="T22:T28" si="13">T21+1</f>
        <v>2</v>
      </c>
    </row>
    <row r="23" spans="2:20" x14ac:dyDescent="0.25">
      <c r="B23" s="4">
        <f t="shared" si="0"/>
        <v>4.0999999999999996</v>
      </c>
      <c r="C23" s="5">
        <f t="shared" si="6"/>
        <v>1</v>
      </c>
      <c r="D23" s="4">
        <f t="shared" si="7"/>
        <v>0.67686018099241207</v>
      </c>
      <c r="E23" s="4">
        <v>3</v>
      </c>
      <c r="F23" s="4"/>
      <c r="G23" s="4">
        <f t="shared" si="1"/>
        <v>2.1</v>
      </c>
      <c r="H23" s="5">
        <f t="shared" si="2"/>
        <v>0.5</v>
      </c>
      <c r="I23" s="4">
        <f t="shared" si="8"/>
        <v>0.81494113069007168</v>
      </c>
      <c r="J23" s="4">
        <f t="shared" ref="J23:J29" si="14">J22+1</f>
        <v>3</v>
      </c>
      <c r="K23" s="4"/>
      <c r="L23" s="4">
        <f t="shared" si="3"/>
        <v>1.1000000000000001</v>
      </c>
      <c r="M23" s="5">
        <f t="shared" si="4"/>
        <v>0.25</v>
      </c>
      <c r="N23" s="4">
        <f t="shared" si="9"/>
        <v>0.8971974984731873</v>
      </c>
      <c r="O23" s="4">
        <f t="shared" si="10"/>
        <v>3</v>
      </c>
      <c r="P23" s="4"/>
      <c r="Q23" s="5">
        <f t="shared" si="11"/>
        <v>0.3833333333333333</v>
      </c>
      <c r="R23" s="5">
        <f t="shared" si="5"/>
        <v>8.3333333333333329E-2</v>
      </c>
      <c r="S23" s="4">
        <f t="shared" si="12"/>
        <v>0.9625765965127574</v>
      </c>
      <c r="T23" s="4">
        <f t="shared" si="13"/>
        <v>3</v>
      </c>
    </row>
    <row r="24" spans="2:20" x14ac:dyDescent="0.25">
      <c r="B24" s="4">
        <f t="shared" si="0"/>
        <v>5.0999999999999996</v>
      </c>
      <c r="C24" s="5">
        <f t="shared" si="6"/>
        <v>1</v>
      </c>
      <c r="D24" s="4">
        <f t="shared" si="7"/>
        <v>0.61532743726582928</v>
      </c>
      <c r="E24" s="4">
        <v>4</v>
      </c>
      <c r="F24" s="4"/>
      <c r="G24" s="4">
        <f t="shared" si="1"/>
        <v>2.6</v>
      </c>
      <c r="H24" s="5">
        <f t="shared" si="2"/>
        <v>0.5</v>
      </c>
      <c r="I24" s="4">
        <f t="shared" si="8"/>
        <v>0.7761344101810207</v>
      </c>
      <c r="J24" s="4">
        <f t="shared" si="14"/>
        <v>4</v>
      </c>
      <c r="K24" s="4"/>
      <c r="L24" s="4">
        <f t="shared" si="3"/>
        <v>1.35</v>
      </c>
      <c r="M24" s="5">
        <f t="shared" si="4"/>
        <v>0.25</v>
      </c>
      <c r="N24" s="4">
        <f t="shared" si="9"/>
        <v>0.87531463265676823</v>
      </c>
      <c r="O24" s="4">
        <f t="shared" si="10"/>
        <v>4</v>
      </c>
      <c r="P24" s="4"/>
      <c r="Q24" s="5">
        <f t="shared" si="11"/>
        <v>0.46666666666666662</v>
      </c>
      <c r="R24" s="5">
        <f t="shared" si="5"/>
        <v>8.3333333333333329E-2</v>
      </c>
      <c r="S24" s="4">
        <f t="shared" si="12"/>
        <v>0.95462141802918099</v>
      </c>
      <c r="T24" s="4">
        <f t="shared" si="13"/>
        <v>4</v>
      </c>
    </row>
    <row r="25" spans="2:20" x14ac:dyDescent="0.25">
      <c r="B25" s="4"/>
      <c r="C25" s="4"/>
      <c r="D25" s="4"/>
      <c r="E25" s="4"/>
      <c r="F25" s="4"/>
      <c r="G25" s="4">
        <f t="shared" si="1"/>
        <v>3.1</v>
      </c>
      <c r="H25" s="5">
        <f t="shared" si="2"/>
        <v>0.5</v>
      </c>
      <c r="I25" s="4">
        <f t="shared" si="8"/>
        <v>0.73917562874382914</v>
      </c>
      <c r="J25" s="4">
        <f t="shared" si="14"/>
        <v>5</v>
      </c>
      <c r="K25" s="4"/>
      <c r="L25" s="4">
        <f t="shared" si="3"/>
        <v>1.6</v>
      </c>
      <c r="M25" s="5">
        <f t="shared" si="4"/>
        <v>0.25</v>
      </c>
      <c r="N25" s="4">
        <f t="shared" si="9"/>
        <v>0.85396549527489585</v>
      </c>
      <c r="O25" s="4">
        <f t="shared" si="10"/>
        <v>5</v>
      </c>
      <c r="P25" s="4"/>
      <c r="Q25" s="5">
        <f t="shared" si="11"/>
        <v>0.54999999999999993</v>
      </c>
      <c r="R25" s="5">
        <f t="shared" si="5"/>
        <v>8.3333333333333329E-2</v>
      </c>
      <c r="S25" s="4">
        <f t="shared" si="12"/>
        <v>0.94673198482232823</v>
      </c>
      <c r="T25" s="4">
        <f t="shared" si="13"/>
        <v>5</v>
      </c>
    </row>
    <row r="26" spans="2:20" x14ac:dyDescent="0.25">
      <c r="B26" s="4"/>
      <c r="C26" s="4"/>
      <c r="D26" s="4"/>
      <c r="E26" s="4"/>
      <c r="F26" s="4"/>
      <c r="G26" s="4">
        <f t="shared" si="1"/>
        <v>3.6</v>
      </c>
      <c r="H26" s="5">
        <f t="shared" si="2"/>
        <v>0.5</v>
      </c>
      <c r="I26" s="4">
        <f t="shared" si="8"/>
        <v>0.70397678927983731</v>
      </c>
      <c r="J26" s="4">
        <f t="shared" si="14"/>
        <v>6</v>
      </c>
      <c r="K26" s="4"/>
      <c r="L26" s="4">
        <f t="shared" si="3"/>
        <v>1.85</v>
      </c>
      <c r="M26" s="5">
        <f t="shared" si="4"/>
        <v>0.25</v>
      </c>
      <c r="N26" s="4">
        <f t="shared" si="9"/>
        <v>0.83313706856087411</v>
      </c>
      <c r="O26" s="4">
        <f t="shared" si="10"/>
        <v>6</v>
      </c>
      <c r="P26" s="4"/>
      <c r="Q26" s="5">
        <f t="shared" si="11"/>
        <v>0.6333333333333333</v>
      </c>
      <c r="R26" s="5">
        <f t="shared" si="5"/>
        <v>8.3333333333333329E-2</v>
      </c>
      <c r="S26" s="4">
        <f t="shared" si="12"/>
        <v>0.93890775354280487</v>
      </c>
      <c r="T26" s="4">
        <f t="shared" si="13"/>
        <v>6</v>
      </c>
    </row>
    <row r="27" spans="2:20" x14ac:dyDescent="0.25">
      <c r="B27" s="4"/>
      <c r="C27" s="4"/>
      <c r="D27" s="4"/>
      <c r="E27" s="4"/>
      <c r="F27" s="4"/>
      <c r="G27" s="4">
        <f t="shared" si="1"/>
        <v>4.0999999999999996</v>
      </c>
      <c r="H27" s="5">
        <f t="shared" si="2"/>
        <v>0.5</v>
      </c>
      <c r="I27" s="4">
        <f t="shared" si="8"/>
        <v>0.67045408502841641</v>
      </c>
      <c r="J27" s="4">
        <f t="shared" si="14"/>
        <v>7</v>
      </c>
      <c r="K27" s="4"/>
      <c r="L27" s="4">
        <f t="shared" si="3"/>
        <v>2.1</v>
      </c>
      <c r="M27" s="5">
        <f t="shared" si="4"/>
        <v>0.25</v>
      </c>
      <c r="N27" s="4">
        <f t="shared" si="9"/>
        <v>0.81281665225451127</v>
      </c>
      <c r="O27" s="4">
        <f t="shared" si="10"/>
        <v>7</v>
      </c>
      <c r="P27" s="4"/>
      <c r="Q27" s="5">
        <f t="shared" si="11"/>
        <v>0.71666666666666667</v>
      </c>
      <c r="R27" s="5">
        <f t="shared" si="5"/>
        <v>8.3333333333333329E-2</v>
      </c>
      <c r="S27" s="4">
        <f t="shared" si="12"/>
        <v>0.9311481853317074</v>
      </c>
      <c r="T27" s="4">
        <f t="shared" si="13"/>
        <v>7</v>
      </c>
    </row>
    <row r="28" spans="2:20" x14ac:dyDescent="0.25">
      <c r="B28" s="4"/>
      <c r="C28" s="4"/>
      <c r="D28" s="4"/>
      <c r="E28" s="4"/>
      <c r="F28" s="4"/>
      <c r="G28" s="4">
        <f t="shared" si="1"/>
        <v>4.5999999999999996</v>
      </c>
      <c r="H28" s="5">
        <f t="shared" si="2"/>
        <v>0.5</v>
      </c>
      <c r="I28" s="4">
        <f t="shared" si="8"/>
        <v>0.63852770002706338</v>
      </c>
      <c r="J28" s="4">
        <f t="shared" si="14"/>
        <v>8</v>
      </c>
      <c r="K28" s="4"/>
      <c r="L28" s="4">
        <f t="shared" si="3"/>
        <v>2.35</v>
      </c>
      <c r="M28" s="5">
        <f t="shared" si="4"/>
        <v>0.25</v>
      </c>
      <c r="N28" s="4">
        <f t="shared" si="9"/>
        <v>0.79299185585805987</v>
      </c>
      <c r="O28" s="4">
        <f t="shared" si="10"/>
        <v>8</v>
      </c>
      <c r="P28" s="4"/>
      <c r="Q28" s="5">
        <f t="shared" si="11"/>
        <v>0.8</v>
      </c>
      <c r="R28" s="5">
        <f t="shared" si="5"/>
        <v>8.3333333333333329E-2</v>
      </c>
      <c r="S28" s="4">
        <f t="shared" si="12"/>
        <v>0.92345274578351144</v>
      </c>
      <c r="T28" s="4">
        <f t="shared" si="13"/>
        <v>8</v>
      </c>
    </row>
    <row r="29" spans="2:20" x14ac:dyDescent="0.25">
      <c r="B29" s="4"/>
      <c r="C29" s="4"/>
      <c r="D29" s="4"/>
      <c r="E29" s="4"/>
      <c r="F29" s="4"/>
      <c r="G29" s="4">
        <f t="shared" si="1"/>
        <v>5.0999999999999996</v>
      </c>
      <c r="H29" s="5">
        <f t="shared" si="2"/>
        <v>0.5</v>
      </c>
      <c r="I29" s="4">
        <f t="shared" si="8"/>
        <v>0.60812161907339357</v>
      </c>
      <c r="J29" s="4">
        <f t="shared" si="14"/>
        <v>9</v>
      </c>
      <c r="K29" s="4"/>
      <c r="L29" s="4">
        <f t="shared" si="3"/>
        <v>2.6</v>
      </c>
      <c r="M29" s="5">
        <f t="shared" si="4"/>
        <v>0.25</v>
      </c>
      <c r="N29" s="4">
        <f t="shared" si="9"/>
        <v>0.77365059108103418</v>
      </c>
      <c r="O29" s="4">
        <f t="shared" si="10"/>
        <v>9</v>
      </c>
      <c r="P29" s="4"/>
      <c r="Q29" s="5">
        <f t="shared" si="11"/>
        <v>0.88333333333333341</v>
      </c>
      <c r="R29" s="5">
        <f t="shared" si="5"/>
        <v>8.3333333333333329E-2</v>
      </c>
      <c r="S29" s="4">
        <f t="shared" si="12"/>
        <v>0.9158209049092676</v>
      </c>
      <c r="T29" s="4">
        <f t="shared" ref="T29:T79" si="15">T28+1</f>
        <v>9</v>
      </c>
    </row>
    <row r="30" spans="2:20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>
        <f t="shared" si="3"/>
        <v>2.85</v>
      </c>
      <c r="M30" s="5">
        <f t="shared" si="4"/>
        <v>0.25</v>
      </c>
      <c r="N30" s="4">
        <f t="shared" si="9"/>
        <v>0.7547810644693016</v>
      </c>
      <c r="O30" s="4">
        <f t="shared" si="10"/>
        <v>10</v>
      </c>
      <c r="P30" s="4"/>
      <c r="Q30" s="5">
        <f t="shared" si="11"/>
        <v>0.96666666666666679</v>
      </c>
      <c r="R30" s="5">
        <f t="shared" si="5"/>
        <v>8.3333333333333329E-2</v>
      </c>
      <c r="S30" s="4">
        <f t="shared" si="12"/>
        <v>0.90825213710010011</v>
      </c>
      <c r="T30" s="4">
        <f t="shared" si="15"/>
        <v>10</v>
      </c>
    </row>
    <row r="31" spans="2:20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>
        <f t="shared" si="3"/>
        <v>3.1</v>
      </c>
      <c r="M31" s="5">
        <f t="shared" si="4"/>
        <v>0.25</v>
      </c>
      <c r="N31" s="4">
        <f t="shared" si="9"/>
        <v>0.73637177021395284</v>
      </c>
      <c r="O31" s="4">
        <f t="shared" si="10"/>
        <v>11</v>
      </c>
      <c r="P31" s="4"/>
      <c r="Q31" s="5">
        <f t="shared" si="11"/>
        <v>1.05</v>
      </c>
      <c r="R31" s="5">
        <f t="shared" si="5"/>
        <v>8.3333333333333329E-2</v>
      </c>
      <c r="S31" s="4">
        <f t="shared" si="12"/>
        <v>0.90074592109100848</v>
      </c>
      <c r="T31" s="4">
        <f t="shared" si="15"/>
        <v>11</v>
      </c>
    </row>
    <row r="32" spans="2:20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>
        <f t="shared" si="3"/>
        <v>3.35</v>
      </c>
      <c r="M32" s="5">
        <f t="shared" si="4"/>
        <v>0.25</v>
      </c>
      <c r="N32" s="4">
        <f t="shared" si="9"/>
        <v>0.7184114831355638</v>
      </c>
      <c r="O32" s="4">
        <f t="shared" si="10"/>
        <v>12</v>
      </c>
      <c r="P32" s="4"/>
      <c r="Q32" s="5">
        <f t="shared" si="11"/>
        <v>1.1333333333333333</v>
      </c>
      <c r="R32" s="5">
        <f t="shared" si="5"/>
        <v>8.3333333333333329E-2</v>
      </c>
      <c r="S32" s="4">
        <f t="shared" si="12"/>
        <v>0.89330173992496698</v>
      </c>
      <c r="T32" s="4">
        <f t="shared" si="15"/>
        <v>12</v>
      </c>
    </row>
    <row r="33" spans="2:20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>
        <f t="shared" si="3"/>
        <v>3.6</v>
      </c>
      <c r="M33" s="5">
        <f t="shared" si="4"/>
        <v>0.25</v>
      </c>
      <c r="N33" s="4">
        <f t="shared" si="9"/>
        <v>0.7008892518395744</v>
      </c>
      <c r="O33" s="4">
        <f t="shared" si="10"/>
        <v>13</v>
      </c>
      <c r="P33" s="4"/>
      <c r="Q33" s="5">
        <f t="shared" si="11"/>
        <v>1.2166666666666666</v>
      </c>
      <c r="R33" s="5">
        <f t="shared" si="5"/>
        <v>8.3333333333333329E-2</v>
      </c>
      <c r="S33" s="4">
        <f t="shared" si="12"/>
        <v>0.88591908091732285</v>
      </c>
      <c r="T33" s="4">
        <f t="shared" si="15"/>
        <v>13</v>
      </c>
    </row>
    <row r="34" spans="2:20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>
        <f t="shared" si="3"/>
        <v>3.85</v>
      </c>
      <c r="M34" s="5">
        <f t="shared" si="4"/>
        <v>0.25</v>
      </c>
      <c r="N34" s="4">
        <f t="shared" si="9"/>
        <v>0.68379439203860926</v>
      </c>
      <c r="O34" s="4">
        <f t="shared" si="10"/>
        <v>14</v>
      </c>
      <c r="P34" s="4"/>
      <c r="Q34" s="5">
        <f t="shared" si="11"/>
        <v>1.2999999999999998</v>
      </c>
      <c r="R34" s="5">
        <f t="shared" si="5"/>
        <v>8.3333333333333329E-2</v>
      </c>
      <c r="S34" s="4">
        <f t="shared" si="12"/>
        <v>0.87859743562048542</v>
      </c>
      <c r="T34" s="4">
        <f t="shared" si="15"/>
        <v>14</v>
      </c>
    </row>
    <row r="35" spans="2:20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>
        <f t="shared" si="3"/>
        <v>4.0999999999999996</v>
      </c>
      <c r="M35" s="5">
        <f t="shared" si="4"/>
        <v>0.25</v>
      </c>
      <c r="N35" s="4">
        <f t="shared" si="9"/>
        <v>0.66711648003766755</v>
      </c>
      <c r="O35" s="4">
        <f t="shared" si="10"/>
        <v>15</v>
      </c>
      <c r="P35" s="4"/>
      <c r="Q35" s="5">
        <f t="shared" si="11"/>
        <v>1.3833333333333331</v>
      </c>
      <c r="R35" s="5">
        <f t="shared" si="5"/>
        <v>8.3333333333333329E-2</v>
      </c>
      <c r="S35" s="4">
        <f t="shared" si="12"/>
        <v>0.87133629978891125</v>
      </c>
      <c r="T35" s="4">
        <f t="shared" si="15"/>
        <v>15</v>
      </c>
    </row>
    <row r="36" spans="2:20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>
        <f t="shared" si="3"/>
        <v>4.3499999999999996</v>
      </c>
      <c r="M36" s="5">
        <f t="shared" si="4"/>
        <v>0.25</v>
      </c>
      <c r="N36" s="4">
        <f t="shared" si="9"/>
        <v>0.65084534637821223</v>
      </c>
      <c r="O36" s="4">
        <f t="shared" si="10"/>
        <v>16</v>
      </c>
      <c r="P36" s="4"/>
      <c r="Q36" s="5">
        <f t="shared" si="11"/>
        <v>1.4666666666666663</v>
      </c>
      <c r="R36" s="5">
        <f t="shared" si="5"/>
        <v>8.3333333333333329E-2</v>
      </c>
      <c r="S36" s="4">
        <f t="shared" si="12"/>
        <v>0.86413517334437473</v>
      </c>
      <c r="T36" s="4">
        <f t="shared" si="15"/>
        <v>16</v>
      </c>
    </row>
    <row r="37" spans="2:20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>
        <f t="shared" si="3"/>
        <v>4.5999999999999996</v>
      </c>
      <c r="M37" s="5">
        <f t="shared" si="4"/>
        <v>0.25</v>
      </c>
      <c r="N37" s="4">
        <f t="shared" si="9"/>
        <v>0.63497106963728023</v>
      </c>
      <c r="O37" s="4">
        <f t="shared" si="10"/>
        <v>17</v>
      </c>
      <c r="P37" s="4"/>
      <c r="Q37" s="5">
        <f t="shared" si="11"/>
        <v>1.5499999999999996</v>
      </c>
      <c r="R37" s="5">
        <f t="shared" si="5"/>
        <v>8.3333333333333329E-2</v>
      </c>
      <c r="S37" s="4">
        <f t="shared" si="12"/>
        <v>0.85699356034152874</v>
      </c>
      <c r="T37" s="4">
        <f t="shared" si="15"/>
        <v>17</v>
      </c>
    </row>
    <row r="38" spans="2:20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>
        <f t="shared" si="3"/>
        <v>4.8499999999999996</v>
      </c>
      <c r="M38" s="5">
        <f t="shared" si="4"/>
        <v>0.25</v>
      </c>
      <c r="N38" s="4">
        <f t="shared" si="9"/>
        <v>0.61948397037783443</v>
      </c>
      <c r="O38" s="4">
        <f t="shared" si="10"/>
        <v>18</v>
      </c>
      <c r="P38" s="4"/>
      <c r="Q38" s="5">
        <f t="shared" si="11"/>
        <v>1.6333333333333329</v>
      </c>
      <c r="R38" s="5">
        <f t="shared" si="5"/>
        <v>8.3333333333333329E-2</v>
      </c>
      <c r="S38" s="4">
        <f t="shared" si="12"/>
        <v>0.8499109689337474</v>
      </c>
      <c r="T38" s="4">
        <f t="shared" si="15"/>
        <v>18</v>
      </c>
    </row>
    <row r="39" spans="2:20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>
        <f t="shared" si="3"/>
        <v>5.0999999999999996</v>
      </c>
      <c r="M39" s="5">
        <f t="shared" si="4"/>
        <v>0.25</v>
      </c>
      <c r="N39" s="4">
        <f t="shared" si="9"/>
        <v>0.60437460524666775</v>
      </c>
      <c r="O39" s="4">
        <f t="shared" si="10"/>
        <v>19</v>
      </c>
      <c r="P39" s="4"/>
      <c r="Q39" s="5">
        <f t="shared" si="11"/>
        <v>1.7166666666666661</v>
      </c>
      <c r="R39" s="5">
        <f t="shared" si="5"/>
        <v>8.3333333333333329E-2</v>
      </c>
      <c r="S39" s="4">
        <f t="shared" si="12"/>
        <v>0.84288691133925364</v>
      </c>
      <c r="T39" s="4">
        <f t="shared" si="15"/>
        <v>19</v>
      </c>
    </row>
    <row r="40" spans="2:20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5">
        <f t="shared" si="11"/>
        <v>1.7999999999999994</v>
      </c>
      <c r="R40" s="5">
        <f t="shared" si="5"/>
        <v>8.3333333333333329E-2</v>
      </c>
      <c r="S40" s="4">
        <f t="shared" si="12"/>
        <v>0.83592090380752448</v>
      </c>
      <c r="T40" s="4">
        <f t="shared" si="15"/>
        <v>20</v>
      </c>
    </row>
    <row r="41" spans="2:20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5">
        <f t="shared" si="11"/>
        <v>1.8833333333333326</v>
      </c>
      <c r="R41" s="5">
        <f t="shared" si="5"/>
        <v>8.3333333333333329E-2</v>
      </c>
      <c r="S41" s="4">
        <f t="shared" si="12"/>
        <v>0.82901246658597483</v>
      </c>
      <c r="T41" s="4">
        <f t="shared" si="15"/>
        <v>21</v>
      </c>
    </row>
    <row r="42" spans="2:20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5">
        <f t="shared" si="11"/>
        <v>1.9666666666666659</v>
      </c>
      <c r="R42" s="5">
        <f t="shared" si="5"/>
        <v>8.3333333333333329E-2</v>
      </c>
      <c r="S42" s="4">
        <f t="shared" si="12"/>
        <v>0.82216112388691687</v>
      </c>
      <c r="T42" s="4">
        <f t="shared" si="15"/>
        <v>22</v>
      </c>
    </row>
    <row r="43" spans="2:20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5">
        <f t="shared" si="11"/>
        <v>2.0499999999999994</v>
      </c>
      <c r="R43" s="5">
        <f t="shared" si="5"/>
        <v>8.3333333333333329E-2</v>
      </c>
      <c r="S43" s="4">
        <f t="shared" si="12"/>
        <v>0.81536640385479375</v>
      </c>
      <c r="T43" s="4">
        <f t="shared" si="15"/>
        <v>23</v>
      </c>
    </row>
    <row r="44" spans="2:20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>
        <f t="shared" si="11"/>
        <v>2.1333333333333329</v>
      </c>
      <c r="R44" s="5">
        <f t="shared" si="5"/>
        <v>8.3333333333333329E-2</v>
      </c>
      <c r="S44" s="4">
        <f t="shared" si="12"/>
        <v>0.80862783853367981</v>
      </c>
      <c r="T44" s="4">
        <f t="shared" si="15"/>
        <v>24</v>
      </c>
    </row>
    <row r="45" spans="2:20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>
        <f t="shared" si="11"/>
        <v>2.2166666666666663</v>
      </c>
      <c r="R45" s="5">
        <f t="shared" si="5"/>
        <v>8.3333333333333329E-2</v>
      </c>
      <c r="S45" s="4">
        <f t="shared" si="12"/>
        <v>0.80194496383505454</v>
      </c>
      <c r="T45" s="4">
        <f t="shared" si="15"/>
        <v>25</v>
      </c>
    </row>
    <row r="46" spans="2:20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5">
        <f t="shared" si="11"/>
        <v>2.2999999999999998</v>
      </c>
      <c r="R46" s="5">
        <f t="shared" si="5"/>
        <v>8.3333333333333329E-2</v>
      </c>
      <c r="S46" s="4">
        <f t="shared" si="12"/>
        <v>0.79531731950583917</v>
      </c>
      <c r="T46" s="4">
        <f t="shared" si="15"/>
        <v>26</v>
      </c>
    </row>
    <row r="47" spans="2:20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5">
        <f t="shared" si="11"/>
        <v>2.3833333333333333</v>
      </c>
      <c r="R47" s="5">
        <f t="shared" si="5"/>
        <v>8.3333333333333329E-2</v>
      </c>
      <c r="S47" s="4">
        <f t="shared" si="12"/>
        <v>0.78874444909669994</v>
      </c>
      <c r="T47" s="4">
        <f t="shared" si="15"/>
        <v>27</v>
      </c>
    </row>
    <row r="48" spans="2:20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">
        <f t="shared" si="11"/>
        <v>2.4666666666666668</v>
      </c>
      <c r="R48" s="5">
        <f t="shared" si="5"/>
        <v>8.3333333333333329E-2</v>
      </c>
      <c r="S48" s="4">
        <f t="shared" si="12"/>
        <v>0.78222589993061153</v>
      </c>
      <c r="T48" s="4">
        <f t="shared" si="15"/>
        <v>28</v>
      </c>
    </row>
    <row r="49" spans="2:20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>
        <f t="shared" si="11"/>
        <v>2.5500000000000003</v>
      </c>
      <c r="R49" s="5">
        <f t="shared" si="5"/>
        <v>8.3333333333333329E-2</v>
      </c>
      <c r="S49" s="4">
        <f t="shared" si="12"/>
        <v>0.77576122307168105</v>
      </c>
      <c r="T49" s="4">
        <f t="shared" si="15"/>
        <v>29</v>
      </c>
    </row>
    <row r="50" spans="2:20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">
        <f t="shared" si="11"/>
        <v>2.6333333333333337</v>
      </c>
      <c r="R50" s="5">
        <f t="shared" si="5"/>
        <v>8.3333333333333329E-2</v>
      </c>
      <c r="S50" s="4">
        <f t="shared" si="12"/>
        <v>0.76934997329422905</v>
      </c>
      <c r="T50" s="4">
        <f t="shared" si="15"/>
        <v>30</v>
      </c>
    </row>
    <row r="51" spans="2:20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>
        <f t="shared" si="11"/>
        <v>2.7166666666666672</v>
      </c>
      <c r="R51" s="5">
        <f t="shared" si="5"/>
        <v>8.3333333333333329E-2</v>
      </c>
      <c r="S51" s="4">
        <f t="shared" si="12"/>
        <v>0.76299170905212799</v>
      </c>
      <c r="T51" s="4">
        <f t="shared" si="15"/>
        <v>31</v>
      </c>
    </row>
    <row r="52" spans="2:20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>
        <f t="shared" si="11"/>
        <v>2.8000000000000007</v>
      </c>
      <c r="R52" s="5">
        <f t="shared" si="5"/>
        <v>8.3333333333333329E-2</v>
      </c>
      <c r="S52" s="4">
        <f t="shared" si="12"/>
        <v>0.75668599244839141</v>
      </c>
      <c r="T52" s="4">
        <f t="shared" si="15"/>
        <v>32</v>
      </c>
    </row>
    <row r="53" spans="2:20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>
        <f t="shared" si="11"/>
        <v>2.8833333333333342</v>
      </c>
      <c r="R53" s="5">
        <f t="shared" si="5"/>
        <v>8.3333333333333329E-2</v>
      </c>
      <c r="S53" s="4">
        <f t="shared" si="12"/>
        <v>0.75043238920501643</v>
      </c>
      <c r="T53" s="4">
        <f t="shared" si="15"/>
        <v>33</v>
      </c>
    </row>
    <row r="54" spans="2:20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>
        <f t="shared" si="11"/>
        <v>2.9666666666666677</v>
      </c>
      <c r="R54" s="5">
        <f t="shared" si="5"/>
        <v>8.3333333333333329E-2</v>
      </c>
      <c r="S54" s="4">
        <f t="shared" si="12"/>
        <v>0.74423046863307407</v>
      </c>
      <c r="T54" s="4">
        <f t="shared" si="15"/>
        <v>34</v>
      </c>
    </row>
    <row r="55" spans="2:20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5">
        <f t="shared" si="11"/>
        <v>3.0500000000000012</v>
      </c>
      <c r="R55" s="5">
        <f t="shared" si="5"/>
        <v>8.3333333333333329E-2</v>
      </c>
      <c r="S55" s="4">
        <f t="shared" si="12"/>
        <v>0.73807980360304881</v>
      </c>
      <c r="T55" s="4">
        <f t="shared" si="15"/>
        <v>35</v>
      </c>
    </row>
    <row r="56" spans="2:20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">
        <f t="shared" si="11"/>
        <v>3.1333333333333346</v>
      </c>
      <c r="R56" s="5">
        <f t="shared" si="5"/>
        <v>8.3333333333333329E-2</v>
      </c>
      <c r="S56" s="4">
        <f t="shared" si="12"/>
        <v>0.7319799705154203</v>
      </c>
      <c r="T56" s="4">
        <f t="shared" si="15"/>
        <v>36</v>
      </c>
    </row>
    <row r="57" spans="2:20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">
        <f t="shared" si="11"/>
        <v>3.2166666666666681</v>
      </c>
      <c r="R57" s="5">
        <f t="shared" si="5"/>
        <v>8.3333333333333329E-2</v>
      </c>
      <c r="S57" s="4">
        <f t="shared" si="12"/>
        <v>0.72593054927149125</v>
      </c>
      <c r="T57" s="4">
        <f t="shared" si="15"/>
        <v>37</v>
      </c>
    </row>
    <row r="58" spans="2:20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">
        <f t="shared" si="11"/>
        <v>3.3000000000000016</v>
      </c>
      <c r="R58" s="5">
        <f t="shared" si="5"/>
        <v>8.3333333333333329E-2</v>
      </c>
      <c r="S58" s="4">
        <f t="shared" si="12"/>
        <v>0.71993112324445407</v>
      </c>
      <c r="T58" s="4">
        <f t="shared" si="15"/>
        <v>38</v>
      </c>
    </row>
    <row r="59" spans="2:20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>
        <f t="shared" si="11"/>
        <v>3.3833333333333351</v>
      </c>
      <c r="R59" s="5">
        <f t="shared" si="5"/>
        <v>8.3333333333333329E-2</v>
      </c>
      <c r="S59" s="4">
        <f t="shared" si="12"/>
        <v>0.71398127925069843</v>
      </c>
      <c r="T59" s="4">
        <f t="shared" si="15"/>
        <v>39</v>
      </c>
    </row>
    <row r="60" spans="2:20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">
        <f t="shared" si="11"/>
        <v>3.4666666666666686</v>
      </c>
      <c r="R60" s="5">
        <f t="shared" si="5"/>
        <v>8.3333333333333329E-2</v>
      </c>
      <c r="S60" s="4">
        <f t="shared" si="12"/>
        <v>0.70808060752135371</v>
      </c>
      <c r="T60" s="4">
        <f t="shared" si="15"/>
        <v>40</v>
      </c>
    </row>
    <row r="61" spans="2:20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">
        <f t="shared" si="11"/>
        <v>3.550000000000002</v>
      </c>
      <c r="R61" s="5">
        <f t="shared" si="5"/>
        <v>8.3333333333333329E-2</v>
      </c>
      <c r="S61" s="4">
        <f t="shared" si="12"/>
        <v>0.70222870167406992</v>
      </c>
      <c r="T61" s="4">
        <f t="shared" si="15"/>
        <v>41</v>
      </c>
    </row>
    <row r="62" spans="2:20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>
        <f t="shared" si="11"/>
        <v>3.6333333333333355</v>
      </c>
      <c r="R62" s="5">
        <f t="shared" si="5"/>
        <v>8.3333333333333329E-2</v>
      </c>
      <c r="S62" s="4">
        <f t="shared" si="12"/>
        <v>0.69642515868502786</v>
      </c>
      <c r="T62" s="4">
        <f t="shared" si="15"/>
        <v>42</v>
      </c>
    </row>
    <row r="63" spans="2:20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5">
        <f t="shared" si="11"/>
        <v>3.716666666666669</v>
      </c>
      <c r="R63" s="5">
        <f t="shared" si="5"/>
        <v>8.3333333333333329E-2</v>
      </c>
      <c r="S63" s="4">
        <f t="shared" si="12"/>
        <v>0.69066957886118474</v>
      </c>
      <c r="T63" s="4">
        <f t="shared" si="15"/>
        <v>43</v>
      </c>
    </row>
    <row r="64" spans="2:20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>
        <f t="shared" si="11"/>
        <v>3.8000000000000025</v>
      </c>
      <c r="R64" s="5">
        <f t="shared" si="5"/>
        <v>8.3333333333333329E-2</v>
      </c>
      <c r="S64" s="4">
        <f t="shared" si="12"/>
        <v>0.68496156581274514</v>
      </c>
      <c r="T64" s="4">
        <f t="shared" si="15"/>
        <v>44</v>
      </c>
    </row>
    <row r="65" spans="2:20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5">
        <f t="shared" si="11"/>
        <v>3.883333333333336</v>
      </c>
      <c r="R65" s="5">
        <f t="shared" si="5"/>
        <v>8.3333333333333329E-2</v>
      </c>
      <c r="S65" s="4">
        <f t="shared" si="12"/>
        <v>0.67930072642586325</v>
      </c>
      <c r="T65" s="4">
        <f t="shared" si="15"/>
        <v>45</v>
      </c>
    </row>
    <row r="66" spans="2:20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5">
        <f t="shared" si="11"/>
        <v>3.9666666666666694</v>
      </c>
      <c r="R66" s="5">
        <f t="shared" si="5"/>
        <v>8.3333333333333329E-2</v>
      </c>
      <c r="S66" s="4">
        <f t="shared" si="12"/>
        <v>0.67368667083556666</v>
      </c>
      <c r="T66" s="4">
        <f t="shared" si="15"/>
        <v>46</v>
      </c>
    </row>
    <row r="67" spans="2:20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5">
        <f t="shared" si="11"/>
        <v>4.0500000000000025</v>
      </c>
      <c r="R67" s="5">
        <f t="shared" si="5"/>
        <v>8.3333333333333329E-2</v>
      </c>
      <c r="S67" s="4">
        <f t="shared" si="12"/>
        <v>0.66811901239890925</v>
      </c>
      <c r="T67" s="4">
        <f t="shared" si="15"/>
        <v>47</v>
      </c>
    </row>
    <row r="68" spans="2:20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>
        <f t="shared" si="11"/>
        <v>4.1333333333333355</v>
      </c>
      <c r="R68" s="5">
        <f t="shared" si="5"/>
        <v>8.3333333333333329E-2</v>
      </c>
      <c r="S68" s="4">
        <f t="shared" si="12"/>
        <v>0.66259736766833977</v>
      </c>
      <c r="T68" s="4">
        <f t="shared" si="15"/>
        <v>48</v>
      </c>
    </row>
    <row r="69" spans="2:20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5">
        <f t="shared" si="11"/>
        <v>4.2166666666666686</v>
      </c>
      <c r="R69" s="5">
        <f t="shared" si="5"/>
        <v>8.3333333333333329E-2</v>
      </c>
      <c r="S69" s="4">
        <f t="shared" si="12"/>
        <v>0.65712135636529556</v>
      </c>
      <c r="T69" s="4">
        <f t="shared" si="15"/>
        <v>49</v>
      </c>
    </row>
    <row r="70" spans="2:20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>
        <f t="shared" si="11"/>
        <v>4.3000000000000016</v>
      </c>
      <c r="R70" s="5">
        <f t="shared" si="5"/>
        <v>8.3333333333333329E-2</v>
      </c>
      <c r="S70" s="4">
        <f t="shared" si="12"/>
        <v>0.65169060135401213</v>
      </c>
      <c r="T70" s="4">
        <f t="shared" si="15"/>
        <v>50</v>
      </c>
    </row>
    <row r="71" spans="2:20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5">
        <f t="shared" si="11"/>
        <v>4.3833333333333346</v>
      </c>
      <c r="R71" s="5">
        <f t="shared" si="5"/>
        <v>8.3333333333333329E-2</v>
      </c>
      <c r="S71" s="4">
        <f t="shared" si="12"/>
        <v>0.64630472861554922</v>
      </c>
      <c r="T71" s="4">
        <f t="shared" si="15"/>
        <v>51</v>
      </c>
    </row>
    <row r="72" spans="2:20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5">
        <f t="shared" si="11"/>
        <v>4.4666666666666677</v>
      </c>
      <c r="R72" s="5">
        <f t="shared" si="5"/>
        <v>8.3333333333333329E-2</v>
      </c>
      <c r="S72" s="4">
        <f t="shared" si="12"/>
        <v>0.6409633672220324</v>
      </c>
      <c r="T72" s="4">
        <f t="shared" si="15"/>
        <v>52</v>
      </c>
    </row>
    <row r="73" spans="2:20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>
        <f t="shared" si="11"/>
        <v>4.5500000000000007</v>
      </c>
      <c r="R73" s="5">
        <f t="shared" si="5"/>
        <v>8.3333333333333329E-2</v>
      </c>
      <c r="S73" s="4">
        <f t="shared" si="12"/>
        <v>0.63566614931110654</v>
      </c>
      <c r="T73" s="4">
        <f t="shared" si="15"/>
        <v>53</v>
      </c>
    </row>
    <row r="74" spans="2:20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5">
        <f t="shared" si="11"/>
        <v>4.6333333333333337</v>
      </c>
      <c r="R74" s="5">
        <f t="shared" si="5"/>
        <v>8.3333333333333329E-2</v>
      </c>
      <c r="S74" s="4">
        <f t="shared" si="12"/>
        <v>0.6304127100606014</v>
      </c>
      <c r="T74" s="4">
        <f t="shared" si="15"/>
        <v>54</v>
      </c>
    </row>
    <row r="75" spans="2:20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5">
        <f t="shared" si="11"/>
        <v>4.7166666666666668</v>
      </c>
      <c r="R75" s="5">
        <f t="shared" si="5"/>
        <v>8.3333333333333329E-2</v>
      </c>
      <c r="S75" s="4">
        <f t="shared" si="12"/>
        <v>0.62520268766340648</v>
      </c>
      <c r="T75" s="4">
        <f t="shared" si="15"/>
        <v>55</v>
      </c>
    </row>
    <row r="76" spans="2:20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5">
        <f t="shared" si="11"/>
        <v>4.8</v>
      </c>
      <c r="R76" s="5">
        <f t="shared" si="5"/>
        <v>8.3333333333333329E-2</v>
      </c>
      <c r="S76" s="4">
        <f t="shared" si="12"/>
        <v>0.62003572330255186</v>
      </c>
      <c r="T76" s="4">
        <f t="shared" si="15"/>
        <v>56</v>
      </c>
    </row>
    <row r="77" spans="2:20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>
        <f t="shared" si="11"/>
        <v>4.8833333333333329</v>
      </c>
      <c r="R77" s="5">
        <f t="shared" si="5"/>
        <v>8.3333333333333329E-2</v>
      </c>
      <c r="S77" s="4">
        <f t="shared" si="12"/>
        <v>0.61491146112649786</v>
      </c>
      <c r="T77" s="4">
        <f t="shared" si="15"/>
        <v>57</v>
      </c>
    </row>
    <row r="78" spans="2:20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>
        <f t="shared" si="11"/>
        <v>4.9666666666666659</v>
      </c>
      <c r="R78" s="5">
        <f t="shared" si="5"/>
        <v>8.3333333333333329E-2</v>
      </c>
      <c r="S78" s="4">
        <f t="shared" si="12"/>
        <v>0.60982954822462598</v>
      </c>
      <c r="T78" s="4">
        <f t="shared" si="15"/>
        <v>58</v>
      </c>
    </row>
    <row r="79" spans="2:20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5">
        <f t="shared" si="11"/>
        <v>5.0499999999999989</v>
      </c>
      <c r="R79" s="5">
        <f t="shared" si="5"/>
        <v>8.3333333333333329E-2</v>
      </c>
      <c r="S79" s="4">
        <f t="shared" si="12"/>
        <v>0.60478963460293478</v>
      </c>
      <c r="T79" s="4">
        <f t="shared" si="15"/>
        <v>59</v>
      </c>
    </row>
    <row r="80" spans="2:20" x14ac:dyDescent="0.25">
      <c r="Q80" s="6"/>
      <c r="R80" s="6"/>
    </row>
    <row r="81" spans="17:17" x14ac:dyDescent="0.25">
      <c r="Q81" s="6"/>
    </row>
    <row r="82" spans="17:17" x14ac:dyDescent="0.25">
      <c r="Q82" s="6"/>
    </row>
    <row r="83" spans="17:17" x14ac:dyDescent="0.25">
      <c r="Q83" s="6"/>
    </row>
    <row r="84" spans="17:17" x14ac:dyDescent="0.25">
      <c r="Q84" s="6"/>
    </row>
    <row r="85" spans="17:17" x14ac:dyDescent="0.25">
      <c r="Q85" s="6"/>
    </row>
    <row r="86" spans="17:17" x14ac:dyDescent="0.25">
      <c r="Q86" s="6"/>
    </row>
    <row r="87" spans="17:17" x14ac:dyDescent="0.25">
      <c r="Q87" s="6"/>
    </row>
    <row r="88" spans="17:17" x14ac:dyDescent="0.25">
      <c r="Q88" s="6"/>
    </row>
  </sheetData>
  <dataValidations count="1">
    <dataValidation type="list" allowBlank="1" showInputMessage="1" showErrorMessage="1" sqref="C7 H7 M7 R7">
      <formula1>"SHORT_START,LONG_START,SHORT_END,LONG_END,NONE"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9"/>
  <sheetViews>
    <sheetView workbookViewId="0"/>
  </sheetViews>
  <sheetFormatPr defaultRowHeight="15" x14ac:dyDescent="0.25"/>
  <cols>
    <col min="2" max="2" width="17.7109375" bestFit="1" customWidth="1"/>
    <col min="3" max="3" width="13.42578125" bestFit="1" customWidth="1"/>
    <col min="7" max="7" width="23" bestFit="1" customWidth="1"/>
    <col min="8" max="8" width="13.42578125" bestFit="1" customWidth="1"/>
    <col min="12" max="12" width="19.85546875" bestFit="1" customWidth="1"/>
    <col min="13" max="13" width="13.42578125" bestFit="1" customWidth="1"/>
    <col min="17" max="17" width="18.85546875" bestFit="1" customWidth="1"/>
    <col min="18" max="18" width="13.42578125" bestFit="1" customWidth="1"/>
  </cols>
  <sheetData>
    <row r="3" spans="2:20" x14ac:dyDescent="0.25">
      <c r="B3" t="s">
        <v>0</v>
      </c>
      <c r="C3" s="1">
        <v>1</v>
      </c>
      <c r="G3" t="s">
        <v>0</v>
      </c>
      <c r="H3" s="1">
        <v>1</v>
      </c>
      <c r="L3" t="s">
        <v>0</v>
      </c>
      <c r="M3" s="1">
        <v>1</v>
      </c>
      <c r="Q3" t="s">
        <v>0</v>
      </c>
      <c r="R3" s="1">
        <v>1</v>
      </c>
    </row>
    <row r="4" spans="2:20" x14ac:dyDescent="0.25">
      <c r="B4" t="s">
        <v>1</v>
      </c>
      <c r="C4" s="2">
        <v>0.1</v>
      </c>
      <c r="G4" t="s">
        <v>1</v>
      </c>
      <c r="H4" s="2">
        <v>0.1</v>
      </c>
      <c r="L4" t="s">
        <v>1</v>
      </c>
      <c r="M4" s="2">
        <v>0.1</v>
      </c>
      <c r="Q4" t="s">
        <v>1</v>
      </c>
      <c r="R4" s="2">
        <v>0.1</v>
      </c>
    </row>
    <row r="5" spans="2:20" x14ac:dyDescent="0.25">
      <c r="B5" t="s">
        <v>2</v>
      </c>
      <c r="C5" s="1">
        <v>1</v>
      </c>
      <c r="G5" t="s">
        <v>2</v>
      </c>
      <c r="H5" s="1">
        <v>2</v>
      </c>
      <c r="L5" t="s">
        <v>2</v>
      </c>
      <c r="M5" s="1">
        <v>4</v>
      </c>
      <c r="Q5" t="s">
        <v>2</v>
      </c>
      <c r="R5" s="1">
        <v>12</v>
      </c>
    </row>
    <row r="6" spans="2:20" x14ac:dyDescent="0.25">
      <c r="B6" t="s">
        <v>4</v>
      </c>
      <c r="C6" s="3">
        <v>5.0999999999999996</v>
      </c>
      <c r="G6" t="s">
        <v>4</v>
      </c>
      <c r="H6" s="3">
        <v>5.0999999999999996</v>
      </c>
      <c r="L6" t="s">
        <v>4</v>
      </c>
      <c r="M6" s="3">
        <v>5.0999999999999996</v>
      </c>
      <c r="Q6" t="s">
        <v>4</v>
      </c>
      <c r="R6" s="16">
        <v>5.05</v>
      </c>
      <c r="S6" s="6">
        <f>R6-5</f>
        <v>4.9999999999999822E-2</v>
      </c>
    </row>
    <row r="7" spans="2:20" x14ac:dyDescent="0.25">
      <c r="B7" t="s">
        <v>5</v>
      </c>
      <c r="C7" s="12" t="s">
        <v>20</v>
      </c>
      <c r="G7" t="s">
        <v>5</v>
      </c>
      <c r="H7" s="12" t="s">
        <v>20</v>
      </c>
      <c r="L7" t="s">
        <v>5</v>
      </c>
      <c r="M7" s="12" t="s">
        <v>20</v>
      </c>
      <c r="Q7" t="s">
        <v>5</v>
      </c>
      <c r="R7" s="12" t="s">
        <v>20</v>
      </c>
    </row>
    <row r="8" spans="2:20" x14ac:dyDescent="0.25">
      <c r="T8" s="8"/>
    </row>
    <row r="9" spans="2:20" x14ac:dyDescent="0.25">
      <c r="B9" t="s">
        <v>3</v>
      </c>
      <c r="C9" s="13">
        <f ca="1">_xll.meMathEuropeanIRSwaptionCashAnnuity(C3,C4,C5,C6,C7)</f>
        <v>3.8522641281271754</v>
      </c>
      <c r="G9" t="s">
        <v>3</v>
      </c>
      <c r="H9" s="13">
        <f ca="1">_xll.meMathEuropeanIRSwaptionCashAnnuity(H3,H4,H5,H6,H7)</f>
        <v>3.9216509550419856</v>
      </c>
      <c r="L9" t="s">
        <v>3</v>
      </c>
      <c r="M9" s="13">
        <f ca="1">_xll.meMathEuropeanIRSwaptionCashAnnuity(M3,M4,M5,M6,M7)</f>
        <v>3.957713437041293</v>
      </c>
      <c r="Q9" t="s">
        <v>3</v>
      </c>
      <c r="R9" s="13">
        <f ca="1">_xll.meMathEuropeanIRSwaptionCashAnnuity(R3,R4,R5,R6,R7)</f>
        <v>3.9523523236942006</v>
      </c>
    </row>
    <row r="10" spans="2:20" x14ac:dyDescent="0.25">
      <c r="B10" t="s">
        <v>18</v>
      </c>
      <c r="C10" s="14">
        <f>SUMPRODUCT(C20:C25,D20:D25)</f>
        <v>3.8522641281271759</v>
      </c>
      <c r="G10" t="s">
        <v>18</v>
      </c>
      <c r="H10" s="14">
        <f>SUMPRODUCT(H20:H30,I20:I30)</f>
        <v>3.9216509550419865</v>
      </c>
      <c r="L10" t="s">
        <v>18</v>
      </c>
      <c r="M10" s="14">
        <f>SUMPRODUCT(M20:M40,N20:N40)</f>
        <v>3.9577134370412916</v>
      </c>
      <c r="Q10" t="s">
        <v>18</v>
      </c>
      <c r="R10" s="14">
        <f>SUMPRODUCT(R20:R80,S20:S80)</f>
        <v>3.9523523236942011</v>
      </c>
    </row>
    <row r="11" spans="2:20" x14ac:dyDescent="0.25">
      <c r="B11" s="9" t="s">
        <v>19</v>
      </c>
      <c r="C11" s="15">
        <f ca="1">C9-C10</f>
        <v>0</v>
      </c>
      <c r="G11" s="9" t="s">
        <v>19</v>
      </c>
      <c r="H11" s="15">
        <f ca="1">H9-H10</f>
        <v>0</v>
      </c>
      <c r="L11" s="9" t="s">
        <v>19</v>
      </c>
      <c r="M11" s="15">
        <f ca="1">M9-M10</f>
        <v>0</v>
      </c>
      <c r="Q11" s="9" t="s">
        <v>19</v>
      </c>
      <c r="R11" s="15">
        <f ca="1">R9-R10</f>
        <v>0</v>
      </c>
    </row>
    <row r="14" spans="2:20" x14ac:dyDescent="0.25">
      <c r="B14" t="s">
        <v>10</v>
      </c>
      <c r="G14" t="s">
        <v>11</v>
      </c>
      <c r="L14" t="s">
        <v>12</v>
      </c>
      <c r="Q14" t="s">
        <v>13</v>
      </c>
    </row>
    <row r="15" spans="2:20" x14ac:dyDescent="0.25">
      <c r="B15" t="s">
        <v>0</v>
      </c>
      <c r="C15">
        <v>1</v>
      </c>
      <c r="G15" t="s">
        <v>0</v>
      </c>
      <c r="H15">
        <v>1</v>
      </c>
      <c r="L15" t="s">
        <v>0</v>
      </c>
      <c r="M15">
        <v>1</v>
      </c>
      <c r="Q15" t="s">
        <v>0</v>
      </c>
      <c r="R15">
        <v>1</v>
      </c>
    </row>
    <row r="16" spans="2:20" x14ac:dyDescent="0.25">
      <c r="B16" t="s">
        <v>15</v>
      </c>
      <c r="C16">
        <v>1</v>
      </c>
      <c r="G16" t="s">
        <v>15</v>
      </c>
      <c r="H16">
        <v>0.5</v>
      </c>
      <c r="L16" t="s">
        <v>15</v>
      </c>
      <c r="M16">
        <v>0.25</v>
      </c>
      <c r="Q16" t="s">
        <v>15</v>
      </c>
      <c r="R16">
        <f>1/12</f>
        <v>8.3333333333333329E-2</v>
      </c>
    </row>
    <row r="17" spans="2:20" x14ac:dyDescent="0.25">
      <c r="B17" t="s">
        <v>1</v>
      </c>
      <c r="C17" s="7">
        <v>0.1</v>
      </c>
      <c r="G17" t="s">
        <v>1</v>
      </c>
      <c r="H17" s="7">
        <v>0.1</v>
      </c>
      <c r="L17" t="s">
        <v>1</v>
      </c>
      <c r="M17" s="7">
        <v>0.1</v>
      </c>
      <c r="Q17" t="s">
        <v>1</v>
      </c>
      <c r="R17" s="7">
        <v>0.1</v>
      </c>
    </row>
    <row r="19" spans="2:20" x14ac:dyDescent="0.25">
      <c r="B19" t="s">
        <v>14</v>
      </c>
      <c r="C19" t="s">
        <v>6</v>
      </c>
      <c r="D19" t="s">
        <v>8</v>
      </c>
      <c r="E19" t="s">
        <v>17</v>
      </c>
      <c r="G19" t="s">
        <v>14</v>
      </c>
      <c r="H19" t="s">
        <v>6</v>
      </c>
      <c r="I19" t="s">
        <v>8</v>
      </c>
      <c r="J19" t="s">
        <v>17</v>
      </c>
      <c r="L19" t="s">
        <v>14</v>
      </c>
      <c r="M19" t="s">
        <v>6</v>
      </c>
      <c r="N19" t="s">
        <v>8</v>
      </c>
      <c r="O19" t="s">
        <v>17</v>
      </c>
      <c r="Q19" t="s">
        <v>14</v>
      </c>
      <c r="R19" t="s">
        <v>6</v>
      </c>
      <c r="S19" t="s">
        <v>8</v>
      </c>
      <c r="T19" t="s">
        <v>17</v>
      </c>
    </row>
    <row r="20" spans="2:20" x14ac:dyDescent="0.25">
      <c r="B20" s="6">
        <f>C$16</f>
        <v>1</v>
      </c>
      <c r="C20" s="6">
        <f>C$15*C$16</f>
        <v>1</v>
      </c>
      <c r="D20">
        <f>(1/(1+C$17*C$16)^E20)</f>
        <v>0.90909090909090906</v>
      </c>
      <c r="E20">
        <v>1</v>
      </c>
      <c r="G20" s="6">
        <f>H$16</f>
        <v>0.5</v>
      </c>
      <c r="H20" s="6">
        <f>H$15*H$16</f>
        <v>0.5</v>
      </c>
      <c r="I20">
        <f>(1/(1+H$17*H$16)^J20)</f>
        <v>0.95238095238095233</v>
      </c>
      <c r="J20">
        <v>1</v>
      </c>
      <c r="L20" s="6">
        <f>M$16</f>
        <v>0.25</v>
      </c>
      <c r="M20" s="6">
        <f>M$15*M$16</f>
        <v>0.25</v>
      </c>
      <c r="N20">
        <f>(1/(1+M$17*M$16)^O20)</f>
        <v>0.97560975609756106</v>
      </c>
      <c r="O20">
        <v>1</v>
      </c>
      <c r="Q20" s="6">
        <f>R$16</f>
        <v>8.3333333333333329E-2</v>
      </c>
      <c r="R20" s="6">
        <f>R$15*R$16</f>
        <v>8.3333333333333329E-2</v>
      </c>
      <c r="S20">
        <f>(1/(1+R$17*R$16)^T20)</f>
        <v>0.99173553719008267</v>
      </c>
      <c r="T20">
        <v>1</v>
      </c>
    </row>
    <row r="21" spans="2:20" x14ac:dyDescent="0.25">
      <c r="B21" s="6">
        <f>B20+C$16</f>
        <v>2</v>
      </c>
      <c r="C21" s="6">
        <f>C$15*C$16</f>
        <v>1</v>
      </c>
      <c r="D21">
        <f>(1/(1+C$17*C$16)^E21)</f>
        <v>0.82644628099173545</v>
      </c>
      <c r="E21">
        <f>E20+1</f>
        <v>2</v>
      </c>
      <c r="G21" s="6">
        <f t="shared" ref="G21:G29" si="0">G20+H$16</f>
        <v>1</v>
      </c>
      <c r="H21" s="6">
        <f>H$15*H$16</f>
        <v>0.5</v>
      </c>
      <c r="I21">
        <f>(1/(1+H$17*H$16)^J21)</f>
        <v>0.90702947845804982</v>
      </c>
      <c r="J21">
        <f>J20+1</f>
        <v>2</v>
      </c>
      <c r="L21" s="6">
        <f>L20+M$16</f>
        <v>0.5</v>
      </c>
      <c r="M21" s="6">
        <f>M$15*M$16</f>
        <v>0.25</v>
      </c>
      <c r="N21">
        <f>(1/(1+M$17*M$16)^O21)</f>
        <v>0.95181439619274244</v>
      </c>
      <c r="O21">
        <f>O20+1</f>
        <v>2</v>
      </c>
      <c r="Q21" s="6">
        <f>Q20+R$16</f>
        <v>0.16666666666666666</v>
      </c>
      <c r="R21" s="6">
        <f>R$15*R$16</f>
        <v>8.3333333333333329E-2</v>
      </c>
      <c r="S21">
        <f>(1/(1+R$17*R$16)^T21)</f>
        <v>0.98353937572570183</v>
      </c>
      <c r="T21">
        <f>T20+1</f>
        <v>2</v>
      </c>
    </row>
    <row r="22" spans="2:20" x14ac:dyDescent="0.25">
      <c r="B22" s="6">
        <f t="shared" ref="B22:B24" si="1">B21+C$16</f>
        <v>3</v>
      </c>
      <c r="C22" s="6">
        <f>C$15*C$16</f>
        <v>1</v>
      </c>
      <c r="D22">
        <f>(1/(1+C$17*C$16)^E22)</f>
        <v>0.75131480090157754</v>
      </c>
      <c r="E22">
        <f t="shared" ref="E22:E24" si="2">E21+1</f>
        <v>3</v>
      </c>
      <c r="G22" s="6">
        <f t="shared" si="0"/>
        <v>1.5</v>
      </c>
      <c r="H22" s="6">
        <f t="shared" ref="H22:H29" si="3">H$16</f>
        <v>0.5</v>
      </c>
      <c r="I22">
        <f t="shared" ref="I22:I29" si="4">(1/(1+H$17*H$16)^J22)</f>
        <v>0.86383759853147601</v>
      </c>
      <c r="J22">
        <f t="shared" ref="J22:J29" si="5">J21+1</f>
        <v>3</v>
      </c>
      <c r="L22" s="6">
        <f t="shared" ref="L22:L39" si="6">L21+M$16</f>
        <v>0.75</v>
      </c>
      <c r="M22" s="6">
        <f t="shared" ref="M22:M39" si="7">M$15*M$16</f>
        <v>0.25</v>
      </c>
      <c r="N22">
        <f>(1/(1+M$17*M$16)^O22)</f>
        <v>0.92859941091974885</v>
      </c>
      <c r="O22">
        <f t="shared" ref="O22:O39" si="8">O21+1</f>
        <v>3</v>
      </c>
      <c r="Q22" s="6">
        <f t="shared" ref="Q22:Q79" si="9">Q21+R$16</f>
        <v>0.25</v>
      </c>
      <c r="R22" s="6">
        <f t="shared" ref="R22:R79" si="10">R$15*R$16</f>
        <v>8.3333333333333329E-2</v>
      </c>
      <c r="S22">
        <f>(1/(1+R$17*R$16)^T22)</f>
        <v>0.97541095113292753</v>
      </c>
      <c r="T22">
        <f t="shared" ref="T22:T79" si="11">T21+1</f>
        <v>3</v>
      </c>
    </row>
    <row r="23" spans="2:20" x14ac:dyDescent="0.25">
      <c r="B23" s="6">
        <f t="shared" si="1"/>
        <v>4</v>
      </c>
      <c r="C23" s="6">
        <f>C$15*C$16</f>
        <v>1</v>
      </c>
      <c r="D23">
        <f>(1/(1+C$17*C$16)^E23)</f>
        <v>0.68301345536507052</v>
      </c>
      <c r="E23">
        <f t="shared" si="2"/>
        <v>4</v>
      </c>
      <c r="G23" s="6">
        <f t="shared" si="0"/>
        <v>2</v>
      </c>
      <c r="H23" s="6">
        <f t="shared" si="3"/>
        <v>0.5</v>
      </c>
      <c r="I23">
        <f t="shared" si="4"/>
        <v>0.82270247479188197</v>
      </c>
      <c r="J23">
        <f t="shared" si="5"/>
        <v>4</v>
      </c>
      <c r="L23" s="6">
        <f t="shared" si="6"/>
        <v>1</v>
      </c>
      <c r="M23" s="6">
        <f t="shared" si="7"/>
        <v>0.25</v>
      </c>
      <c r="N23">
        <f t="shared" ref="N23:N39" si="12">(1/(1+M$17*M$16)^O23)</f>
        <v>0.90595064479975507</v>
      </c>
      <c r="O23">
        <f t="shared" si="8"/>
        <v>4</v>
      </c>
      <c r="Q23" s="6">
        <f t="shared" si="9"/>
        <v>0.33333333333333331</v>
      </c>
      <c r="R23" s="6">
        <f t="shared" si="10"/>
        <v>8.3333333333333329E-2</v>
      </c>
      <c r="S23">
        <f t="shared" ref="S23:S79" si="13">(1/(1+R$17*R$16)^T23)</f>
        <v>0.9673497036029034</v>
      </c>
      <c r="T23">
        <f t="shared" si="11"/>
        <v>4</v>
      </c>
    </row>
    <row r="24" spans="2:20" x14ac:dyDescent="0.25">
      <c r="B24" s="6">
        <f t="shared" si="1"/>
        <v>5</v>
      </c>
      <c r="C24" s="6">
        <f>C$15*C$16</f>
        <v>1</v>
      </c>
      <c r="D24">
        <f>(1/(1+C$17*C$16)^E24)</f>
        <v>0.62092132305915493</v>
      </c>
      <c r="E24">
        <f t="shared" si="2"/>
        <v>5</v>
      </c>
      <c r="G24" s="6">
        <f t="shared" si="0"/>
        <v>2.5</v>
      </c>
      <c r="H24" s="6">
        <f t="shared" si="3"/>
        <v>0.5</v>
      </c>
      <c r="I24">
        <f t="shared" si="4"/>
        <v>0.78352616646845896</v>
      </c>
      <c r="J24">
        <f t="shared" si="5"/>
        <v>5</v>
      </c>
      <c r="L24" s="6">
        <f t="shared" si="6"/>
        <v>1.25</v>
      </c>
      <c r="M24" s="6">
        <f t="shared" si="7"/>
        <v>0.25</v>
      </c>
      <c r="N24">
        <f t="shared" si="12"/>
        <v>0.88385428760951712</v>
      </c>
      <c r="O24">
        <f t="shared" si="8"/>
        <v>5</v>
      </c>
      <c r="Q24" s="6">
        <f t="shared" si="9"/>
        <v>0.41666666666666663</v>
      </c>
      <c r="R24" s="6">
        <f t="shared" si="10"/>
        <v>8.3333333333333329E-2</v>
      </c>
      <c r="S24">
        <f t="shared" si="13"/>
        <v>0.95935507795329267</v>
      </c>
      <c r="T24">
        <f t="shared" si="11"/>
        <v>5</v>
      </c>
    </row>
    <row r="25" spans="2:20" x14ac:dyDescent="0.25">
      <c r="B25" s="18">
        <f>C$6</f>
        <v>5.0999999999999996</v>
      </c>
      <c r="C25" s="18">
        <v>0.1</v>
      </c>
      <c r="D25" s="19">
        <f>D24*(1/(1+C$17*C$25)^E25)</f>
        <v>0.61477358718728214</v>
      </c>
      <c r="E25" s="19">
        <v>1</v>
      </c>
      <c r="G25" s="6">
        <f t="shared" si="0"/>
        <v>3</v>
      </c>
      <c r="H25" s="6">
        <f t="shared" si="3"/>
        <v>0.5</v>
      </c>
      <c r="I25">
        <f t="shared" si="4"/>
        <v>0.74621539663662761</v>
      </c>
      <c r="J25">
        <f t="shared" si="5"/>
        <v>6</v>
      </c>
      <c r="L25" s="6">
        <f t="shared" si="6"/>
        <v>1.5</v>
      </c>
      <c r="M25" s="6">
        <f t="shared" si="7"/>
        <v>0.25</v>
      </c>
      <c r="N25">
        <f t="shared" si="12"/>
        <v>0.86229686596050459</v>
      </c>
      <c r="O25">
        <f t="shared" si="8"/>
        <v>6</v>
      </c>
      <c r="Q25" s="6">
        <f t="shared" si="9"/>
        <v>0.49999999999999994</v>
      </c>
      <c r="R25" s="6">
        <f t="shared" si="10"/>
        <v>8.3333333333333329E-2</v>
      </c>
      <c r="S25">
        <f t="shared" si="13"/>
        <v>0.95142652359004232</v>
      </c>
      <c r="T25">
        <f t="shared" si="11"/>
        <v>6</v>
      </c>
    </row>
    <row r="26" spans="2:20" x14ac:dyDescent="0.25">
      <c r="G26" s="6">
        <f t="shared" si="0"/>
        <v>3.5</v>
      </c>
      <c r="H26" s="6">
        <f t="shared" si="3"/>
        <v>0.5</v>
      </c>
      <c r="I26">
        <f t="shared" si="4"/>
        <v>0.71068133013012147</v>
      </c>
      <c r="J26">
        <f t="shared" si="5"/>
        <v>7</v>
      </c>
      <c r="L26" s="6">
        <f t="shared" si="6"/>
        <v>1.75</v>
      </c>
      <c r="M26" s="6">
        <f t="shared" si="7"/>
        <v>0.25</v>
      </c>
      <c r="N26">
        <f t="shared" si="12"/>
        <v>0.84126523508341911</v>
      </c>
      <c r="O26">
        <f t="shared" si="8"/>
        <v>7</v>
      </c>
      <c r="Q26" s="6">
        <f t="shared" si="9"/>
        <v>0.58333333333333326</v>
      </c>
      <c r="R26" s="6">
        <f t="shared" si="10"/>
        <v>8.3333333333333329E-2</v>
      </c>
      <c r="S26">
        <f t="shared" si="13"/>
        <v>0.94356349446946353</v>
      </c>
      <c r="T26">
        <f t="shared" si="11"/>
        <v>7</v>
      </c>
    </row>
    <row r="27" spans="2:20" x14ac:dyDescent="0.25">
      <c r="G27" s="6">
        <f t="shared" si="0"/>
        <v>4</v>
      </c>
      <c r="H27" s="6">
        <f t="shared" si="3"/>
        <v>0.5</v>
      </c>
      <c r="I27">
        <f t="shared" si="4"/>
        <v>0.67683936202868722</v>
      </c>
      <c r="J27">
        <f t="shared" si="5"/>
        <v>8</v>
      </c>
      <c r="L27" s="6">
        <f t="shared" si="6"/>
        <v>2</v>
      </c>
      <c r="M27" s="6">
        <f t="shared" si="7"/>
        <v>0.25</v>
      </c>
      <c r="N27">
        <f t="shared" si="12"/>
        <v>0.82074657081309188</v>
      </c>
      <c r="O27">
        <f t="shared" si="8"/>
        <v>8</v>
      </c>
      <c r="Q27" s="6">
        <f t="shared" si="9"/>
        <v>0.66666666666666663</v>
      </c>
      <c r="R27" s="6">
        <f t="shared" si="10"/>
        <v>8.3333333333333329E-2</v>
      </c>
      <c r="S27">
        <f t="shared" si="13"/>
        <v>0.93576544906062498</v>
      </c>
      <c r="T27">
        <f t="shared" si="11"/>
        <v>8</v>
      </c>
    </row>
    <row r="28" spans="2:20" x14ac:dyDescent="0.25">
      <c r="G28" s="6">
        <f t="shared" si="0"/>
        <v>4.5</v>
      </c>
      <c r="H28" s="6">
        <f t="shared" si="3"/>
        <v>0.5</v>
      </c>
      <c r="I28">
        <f t="shared" si="4"/>
        <v>0.64460891621779726</v>
      </c>
      <c r="J28">
        <f t="shared" si="5"/>
        <v>9</v>
      </c>
      <c r="L28" s="6">
        <f t="shared" si="6"/>
        <v>2.25</v>
      </c>
      <c r="M28" s="6">
        <f t="shared" si="7"/>
        <v>0.25</v>
      </c>
      <c r="N28">
        <f t="shared" si="12"/>
        <v>0.8007283617688703</v>
      </c>
      <c r="O28">
        <f t="shared" si="8"/>
        <v>9</v>
      </c>
      <c r="Q28" s="6">
        <f t="shared" si="9"/>
        <v>0.75</v>
      </c>
      <c r="R28" s="6">
        <f t="shared" si="10"/>
        <v>8.3333333333333329E-2</v>
      </c>
      <c r="S28">
        <f t="shared" si="13"/>
        <v>0.9280318503080579</v>
      </c>
      <c r="T28">
        <f t="shared" si="11"/>
        <v>9</v>
      </c>
    </row>
    <row r="29" spans="2:20" x14ac:dyDescent="0.25">
      <c r="G29" s="6">
        <f t="shared" si="0"/>
        <v>5</v>
      </c>
      <c r="H29" s="6">
        <f t="shared" si="3"/>
        <v>0.5</v>
      </c>
      <c r="I29">
        <f t="shared" si="4"/>
        <v>0.61391325354075932</v>
      </c>
      <c r="J29">
        <f t="shared" si="5"/>
        <v>10</v>
      </c>
      <c r="L29" s="6">
        <f t="shared" si="6"/>
        <v>2.5</v>
      </c>
      <c r="M29" s="6">
        <f t="shared" si="7"/>
        <v>0.25</v>
      </c>
      <c r="N29">
        <f t="shared" si="12"/>
        <v>0.78119840172572708</v>
      </c>
      <c r="O29">
        <f t="shared" si="8"/>
        <v>10</v>
      </c>
      <c r="Q29" s="6">
        <f t="shared" si="9"/>
        <v>0.83333333333333337</v>
      </c>
      <c r="R29" s="6">
        <f t="shared" si="10"/>
        <v>8.3333333333333329E-2</v>
      </c>
      <c r="S29">
        <f t="shared" si="13"/>
        <v>0.92036216559476813</v>
      </c>
      <c r="T29">
        <f t="shared" si="11"/>
        <v>10</v>
      </c>
    </row>
    <row r="30" spans="2:20" x14ac:dyDescent="0.25">
      <c r="G30" s="18">
        <f>H$6</f>
        <v>5.0999999999999996</v>
      </c>
      <c r="H30" s="18">
        <v>0.1</v>
      </c>
      <c r="I30" s="19">
        <f>I29*(1/(1+H$17*H$30)^J30)</f>
        <v>0.60783490449580135</v>
      </c>
      <c r="J30" s="19">
        <v>1</v>
      </c>
      <c r="L30" s="6">
        <f t="shared" si="6"/>
        <v>2.75</v>
      </c>
      <c r="M30" s="6">
        <f t="shared" si="7"/>
        <v>0.25</v>
      </c>
      <c r="N30">
        <f t="shared" si="12"/>
        <v>0.7621447821714411</v>
      </c>
      <c r="O30">
        <f t="shared" si="8"/>
        <v>11</v>
      </c>
      <c r="Q30" s="6">
        <f t="shared" si="9"/>
        <v>0.91666666666666674</v>
      </c>
      <c r="R30" s="6">
        <f t="shared" si="10"/>
        <v>8.3333333333333329E-2</v>
      </c>
      <c r="S30">
        <f t="shared" si="13"/>
        <v>0.91275586670555531</v>
      </c>
      <c r="T30">
        <f t="shared" si="11"/>
        <v>11</v>
      </c>
    </row>
    <row r="31" spans="2:20" x14ac:dyDescent="0.25">
      <c r="L31" s="6">
        <f t="shared" si="6"/>
        <v>3</v>
      </c>
      <c r="M31" s="6">
        <f t="shared" si="7"/>
        <v>0.25</v>
      </c>
      <c r="N31">
        <f t="shared" si="12"/>
        <v>0.74355588504530845</v>
      </c>
      <c r="O31">
        <f t="shared" si="8"/>
        <v>12</v>
      </c>
      <c r="Q31" s="6">
        <f t="shared" si="9"/>
        <v>1</v>
      </c>
      <c r="R31" s="6">
        <f t="shared" si="10"/>
        <v>8.3333333333333329E-2</v>
      </c>
      <c r="S31">
        <f t="shared" si="13"/>
        <v>0.90521242979063321</v>
      </c>
      <c r="T31">
        <f t="shared" si="11"/>
        <v>12</v>
      </c>
    </row>
    <row r="32" spans="2:20" x14ac:dyDescent="0.25">
      <c r="L32" s="6">
        <f t="shared" si="6"/>
        <v>3.25</v>
      </c>
      <c r="M32" s="6">
        <f t="shared" si="7"/>
        <v>0.25</v>
      </c>
      <c r="N32">
        <f t="shared" si="12"/>
        <v>0.72542037565395945</v>
      </c>
      <c r="O32">
        <f t="shared" si="8"/>
        <v>13</v>
      </c>
      <c r="Q32" s="6">
        <f t="shared" si="9"/>
        <v>1.0833333333333333</v>
      </c>
      <c r="R32" s="6">
        <f t="shared" si="10"/>
        <v>8.3333333333333329E-2</v>
      </c>
      <c r="S32">
        <f t="shared" si="13"/>
        <v>0.89773133532955385</v>
      </c>
      <c r="T32">
        <f t="shared" si="11"/>
        <v>13</v>
      </c>
    </row>
    <row r="33" spans="12:20" x14ac:dyDescent="0.25">
      <c r="L33" s="6">
        <f t="shared" si="6"/>
        <v>3.5</v>
      </c>
      <c r="M33" s="6">
        <f t="shared" si="7"/>
        <v>0.25</v>
      </c>
      <c r="N33">
        <f t="shared" si="12"/>
        <v>0.70772719575996057</v>
      </c>
      <c r="O33">
        <f t="shared" si="8"/>
        <v>14</v>
      </c>
      <c r="Q33" s="6">
        <f t="shared" si="9"/>
        <v>1.1666666666666665</v>
      </c>
      <c r="R33" s="6">
        <f t="shared" si="10"/>
        <v>8.3333333333333329E-2</v>
      </c>
      <c r="S33">
        <f t="shared" si="13"/>
        <v>0.89031206809542529</v>
      </c>
      <c r="T33">
        <f t="shared" si="11"/>
        <v>14</v>
      </c>
    </row>
    <row r="34" spans="12:20" x14ac:dyDescent="0.25">
      <c r="L34" s="6">
        <f t="shared" si="6"/>
        <v>3.75</v>
      </c>
      <c r="M34" s="6">
        <f t="shared" si="7"/>
        <v>0.25</v>
      </c>
      <c r="N34">
        <f t="shared" si="12"/>
        <v>0.69046555683898581</v>
      </c>
      <c r="O34">
        <f t="shared" si="8"/>
        <v>15</v>
      </c>
      <c r="Q34" s="6">
        <f t="shared" si="9"/>
        <v>1.2499999999999998</v>
      </c>
      <c r="R34" s="6">
        <f t="shared" si="10"/>
        <v>8.3333333333333329E-2</v>
      </c>
      <c r="S34">
        <f t="shared" si="13"/>
        <v>0.88295411711943006</v>
      </c>
      <c r="T34">
        <f t="shared" si="11"/>
        <v>15</v>
      </c>
    </row>
    <row r="35" spans="12:20" x14ac:dyDescent="0.25">
      <c r="L35" s="6">
        <f t="shared" si="6"/>
        <v>4</v>
      </c>
      <c r="M35" s="6">
        <f t="shared" si="7"/>
        <v>0.25</v>
      </c>
      <c r="N35">
        <f t="shared" si="12"/>
        <v>0.67362493350144959</v>
      </c>
      <c r="O35">
        <f t="shared" si="8"/>
        <v>16</v>
      </c>
      <c r="Q35" s="6">
        <f t="shared" si="9"/>
        <v>1.333333333333333</v>
      </c>
      <c r="R35" s="6">
        <f t="shared" si="10"/>
        <v>8.3333333333333329E-2</v>
      </c>
      <c r="S35">
        <f t="shared" si="13"/>
        <v>0.87565697565563305</v>
      </c>
      <c r="T35">
        <f t="shared" si="11"/>
        <v>16</v>
      </c>
    </row>
    <row r="36" spans="12:20" x14ac:dyDescent="0.25">
      <c r="L36" s="6">
        <f t="shared" si="6"/>
        <v>4.25</v>
      </c>
      <c r="M36" s="6">
        <f t="shared" si="7"/>
        <v>0.25</v>
      </c>
      <c r="N36">
        <f t="shared" si="12"/>
        <v>0.65719505707458503</v>
      </c>
      <c r="O36">
        <f t="shared" si="8"/>
        <v>17</v>
      </c>
      <c r="Q36" s="6">
        <f t="shared" si="9"/>
        <v>1.4166666666666663</v>
      </c>
      <c r="R36" s="6">
        <f t="shared" si="10"/>
        <v>8.3333333333333329E-2</v>
      </c>
      <c r="S36">
        <f t="shared" si="13"/>
        <v>0.86842014114608246</v>
      </c>
      <c r="T36">
        <f t="shared" si="11"/>
        <v>17</v>
      </c>
    </row>
    <row r="37" spans="12:20" x14ac:dyDescent="0.25">
      <c r="L37" s="6">
        <f t="shared" si="6"/>
        <v>4.5</v>
      </c>
      <c r="M37" s="6">
        <f t="shared" si="7"/>
        <v>0.25</v>
      </c>
      <c r="N37">
        <f t="shared" si="12"/>
        <v>0.64116590934105855</v>
      </c>
      <c r="O37">
        <f t="shared" si="8"/>
        <v>18</v>
      </c>
      <c r="Q37" s="6">
        <f t="shared" si="9"/>
        <v>1.4999999999999996</v>
      </c>
      <c r="R37" s="6">
        <f t="shared" si="10"/>
        <v>8.3333333333333329E-2</v>
      </c>
      <c r="S37">
        <f t="shared" si="13"/>
        <v>0.86124311518619745</v>
      </c>
      <c r="T37">
        <f t="shared" si="11"/>
        <v>18</v>
      </c>
    </row>
    <row r="38" spans="12:20" x14ac:dyDescent="0.25">
      <c r="L38" s="6">
        <f t="shared" si="6"/>
        <v>4.75</v>
      </c>
      <c r="M38" s="6">
        <f t="shared" si="7"/>
        <v>0.25</v>
      </c>
      <c r="N38">
        <f t="shared" si="12"/>
        <v>0.62552771643030103</v>
      </c>
      <c r="O38">
        <f t="shared" si="8"/>
        <v>19</v>
      </c>
      <c r="Q38" s="6">
        <f t="shared" si="9"/>
        <v>1.5833333333333328</v>
      </c>
      <c r="R38" s="6">
        <f t="shared" si="10"/>
        <v>8.3333333333333329E-2</v>
      </c>
      <c r="S38">
        <f t="shared" si="13"/>
        <v>0.85412540349044375</v>
      </c>
      <c r="T38">
        <f t="shared" si="11"/>
        <v>19</v>
      </c>
    </row>
    <row r="39" spans="12:20" x14ac:dyDescent="0.25">
      <c r="L39" s="6">
        <f t="shared" si="6"/>
        <v>5</v>
      </c>
      <c r="M39" s="6">
        <f t="shared" si="7"/>
        <v>0.25</v>
      </c>
      <c r="N39">
        <f t="shared" si="12"/>
        <v>0.61027094285883032</v>
      </c>
      <c r="O39">
        <f t="shared" si="8"/>
        <v>20</v>
      </c>
      <c r="Q39" s="6">
        <f t="shared" si="9"/>
        <v>1.6666666666666661</v>
      </c>
      <c r="R39" s="6">
        <f t="shared" si="10"/>
        <v>8.3333333333333329E-2</v>
      </c>
      <c r="S39">
        <f t="shared" si="13"/>
        <v>0.84706651585829151</v>
      </c>
      <c r="T39">
        <f t="shared" si="11"/>
        <v>20</v>
      </c>
    </row>
    <row r="40" spans="12:20" x14ac:dyDescent="0.25">
      <c r="L40" s="18">
        <f>M$6</f>
        <v>5.0999999999999996</v>
      </c>
      <c r="M40" s="18">
        <v>0.1</v>
      </c>
      <c r="N40" s="19">
        <f>N39*(1/(1+M$17*M$40)^O40)</f>
        <v>0.60422865629587164</v>
      </c>
      <c r="O40" s="19">
        <v>1</v>
      </c>
      <c r="Q40" s="6">
        <f t="shared" si="9"/>
        <v>1.7499999999999993</v>
      </c>
      <c r="R40" s="6">
        <f t="shared" si="10"/>
        <v>8.3333333333333329E-2</v>
      </c>
      <c r="S40">
        <f t="shared" si="13"/>
        <v>0.84006596614045448</v>
      </c>
      <c r="T40">
        <f t="shared" si="11"/>
        <v>21</v>
      </c>
    </row>
    <row r="41" spans="12:20" x14ac:dyDescent="0.25">
      <c r="L41" s="6"/>
      <c r="Q41" s="6">
        <f t="shared" si="9"/>
        <v>1.8333333333333326</v>
      </c>
      <c r="R41" s="6">
        <f t="shared" si="10"/>
        <v>8.3333333333333329E-2</v>
      </c>
      <c r="S41">
        <f t="shared" si="13"/>
        <v>0.83312327220540916</v>
      </c>
      <c r="T41">
        <f t="shared" si="11"/>
        <v>22</v>
      </c>
    </row>
    <row r="42" spans="12:20" x14ac:dyDescent="0.25">
      <c r="L42" s="6"/>
      <c r="Q42" s="6">
        <f t="shared" si="9"/>
        <v>1.9166666666666659</v>
      </c>
      <c r="R42" s="6">
        <f t="shared" si="10"/>
        <v>8.3333333333333329E-2</v>
      </c>
      <c r="S42">
        <f t="shared" si="13"/>
        <v>0.82623795590619109</v>
      </c>
      <c r="T42">
        <f t="shared" si="11"/>
        <v>23</v>
      </c>
    </row>
    <row r="43" spans="12:20" x14ac:dyDescent="0.25">
      <c r="Q43" s="6">
        <f t="shared" si="9"/>
        <v>1.9999999999999991</v>
      </c>
      <c r="R43" s="6">
        <f t="shared" si="10"/>
        <v>8.3333333333333329E-2</v>
      </c>
      <c r="S43">
        <f t="shared" si="13"/>
        <v>0.81940954304746227</v>
      </c>
      <c r="T43">
        <f t="shared" si="11"/>
        <v>24</v>
      </c>
    </row>
    <row r="44" spans="12:20" x14ac:dyDescent="0.25">
      <c r="Q44" s="6">
        <f t="shared" si="9"/>
        <v>2.0833333333333326</v>
      </c>
      <c r="R44" s="6">
        <f t="shared" si="10"/>
        <v>8.3333333333333329E-2</v>
      </c>
      <c r="S44">
        <f t="shared" si="13"/>
        <v>0.81263756335285531</v>
      </c>
      <c r="T44">
        <f t="shared" si="11"/>
        <v>25</v>
      </c>
    </row>
    <row r="45" spans="12:20" x14ac:dyDescent="0.25">
      <c r="Q45" s="6">
        <f t="shared" si="9"/>
        <v>2.1666666666666661</v>
      </c>
      <c r="R45" s="6">
        <f t="shared" si="10"/>
        <v>8.3333333333333329E-2</v>
      </c>
      <c r="S45">
        <f t="shared" si="13"/>
        <v>0.80592155043258373</v>
      </c>
      <c r="T45">
        <f t="shared" si="11"/>
        <v>26</v>
      </c>
    </row>
    <row r="46" spans="12:20" x14ac:dyDescent="0.25">
      <c r="Q46" s="6">
        <f t="shared" si="9"/>
        <v>2.2499999999999996</v>
      </c>
      <c r="R46" s="6">
        <f t="shared" si="10"/>
        <v>8.3333333333333329E-2</v>
      </c>
      <c r="S46">
        <f t="shared" si="13"/>
        <v>0.79926104175132262</v>
      </c>
      <c r="T46">
        <f t="shared" si="11"/>
        <v>27</v>
      </c>
    </row>
    <row r="47" spans="12:20" x14ac:dyDescent="0.25">
      <c r="Q47" s="6">
        <f t="shared" si="9"/>
        <v>2.333333333333333</v>
      </c>
      <c r="R47" s="6">
        <f t="shared" si="10"/>
        <v>8.3333333333333329E-2</v>
      </c>
      <c r="S47">
        <f t="shared" si="13"/>
        <v>0.79265557859635305</v>
      </c>
      <c r="T47">
        <f t="shared" si="11"/>
        <v>28</v>
      </c>
    </row>
    <row r="48" spans="12:20" x14ac:dyDescent="0.25">
      <c r="Q48" s="6">
        <f t="shared" si="9"/>
        <v>2.4166666666666665</v>
      </c>
      <c r="R48" s="6">
        <f t="shared" si="10"/>
        <v>8.3333333333333329E-2</v>
      </c>
      <c r="S48">
        <f t="shared" si="13"/>
        <v>0.78610470604597016</v>
      </c>
      <c r="T48">
        <f t="shared" si="11"/>
        <v>29</v>
      </c>
    </row>
    <row r="49" spans="17:20" x14ac:dyDescent="0.25">
      <c r="Q49" s="6">
        <f t="shared" si="9"/>
        <v>2.5</v>
      </c>
      <c r="R49" s="6">
        <f t="shared" si="10"/>
        <v>8.3333333333333329E-2</v>
      </c>
      <c r="S49">
        <f t="shared" si="13"/>
        <v>0.77960797293815209</v>
      </c>
      <c r="T49">
        <f t="shared" si="11"/>
        <v>30</v>
      </c>
    </row>
    <row r="50" spans="17:20" x14ac:dyDescent="0.25">
      <c r="Q50" s="6">
        <f t="shared" si="9"/>
        <v>2.5833333333333335</v>
      </c>
      <c r="R50" s="6">
        <f t="shared" si="10"/>
        <v>8.3333333333333329E-2</v>
      </c>
      <c r="S50">
        <f t="shared" si="13"/>
        <v>0.77316493183948976</v>
      </c>
      <c r="T50">
        <f t="shared" si="11"/>
        <v>31</v>
      </c>
    </row>
    <row r="51" spans="17:20" x14ac:dyDescent="0.25">
      <c r="Q51" s="6">
        <f t="shared" si="9"/>
        <v>2.666666666666667</v>
      </c>
      <c r="R51" s="6">
        <f t="shared" si="10"/>
        <v>8.3333333333333329E-2</v>
      </c>
      <c r="S51">
        <f t="shared" si="13"/>
        <v>0.76677513901437</v>
      </c>
      <c r="T51">
        <f t="shared" si="11"/>
        <v>32</v>
      </c>
    </row>
    <row r="52" spans="17:20" x14ac:dyDescent="0.25">
      <c r="Q52" s="6">
        <f t="shared" si="9"/>
        <v>2.7500000000000004</v>
      </c>
      <c r="R52" s="6">
        <f t="shared" si="10"/>
        <v>8.3333333333333329E-2</v>
      </c>
      <c r="S52">
        <f t="shared" si="13"/>
        <v>0.76043815439441664</v>
      </c>
      <c r="T52">
        <f t="shared" si="11"/>
        <v>33</v>
      </c>
    </row>
    <row r="53" spans="17:20" x14ac:dyDescent="0.25">
      <c r="Q53" s="6">
        <f t="shared" si="9"/>
        <v>2.8333333333333339</v>
      </c>
      <c r="R53" s="6">
        <f t="shared" si="10"/>
        <v>8.3333333333333329E-2</v>
      </c>
      <c r="S53">
        <f t="shared" si="13"/>
        <v>0.75415354154818171</v>
      </c>
      <c r="T53">
        <f t="shared" si="11"/>
        <v>34</v>
      </c>
    </row>
    <row r="54" spans="17:20" x14ac:dyDescent="0.25">
      <c r="Q54" s="6">
        <f t="shared" si="9"/>
        <v>2.9166666666666674</v>
      </c>
      <c r="R54" s="6">
        <f t="shared" si="10"/>
        <v>8.3333333333333329E-2</v>
      </c>
      <c r="S54">
        <f t="shared" si="13"/>
        <v>0.74792086765108945</v>
      </c>
      <c r="T54">
        <f t="shared" si="11"/>
        <v>35</v>
      </c>
    </row>
    <row r="55" spans="17:20" x14ac:dyDescent="0.25">
      <c r="Q55" s="6">
        <f t="shared" si="9"/>
        <v>3.0000000000000009</v>
      </c>
      <c r="R55" s="6">
        <f t="shared" si="10"/>
        <v>8.3333333333333329E-2</v>
      </c>
      <c r="S55">
        <f t="shared" si="13"/>
        <v>0.7417397034556259</v>
      </c>
      <c r="T55">
        <f t="shared" si="11"/>
        <v>36</v>
      </c>
    </row>
    <row r="56" spans="17:20" x14ac:dyDescent="0.25">
      <c r="Q56" s="6">
        <f t="shared" si="9"/>
        <v>3.0833333333333344</v>
      </c>
      <c r="R56" s="6">
        <f t="shared" si="10"/>
        <v>8.3333333333333329E-2</v>
      </c>
      <c r="S56">
        <f t="shared" si="13"/>
        <v>0.73560962326177781</v>
      </c>
      <c r="T56">
        <f t="shared" si="11"/>
        <v>37</v>
      </c>
    </row>
    <row r="57" spans="17:20" x14ac:dyDescent="0.25">
      <c r="Q57" s="6">
        <f t="shared" si="9"/>
        <v>3.1666666666666679</v>
      </c>
      <c r="R57" s="6">
        <f t="shared" si="10"/>
        <v>8.3333333333333329E-2</v>
      </c>
      <c r="S57">
        <f t="shared" si="13"/>
        <v>0.72953020488771347</v>
      </c>
      <c r="T57">
        <f t="shared" si="11"/>
        <v>38</v>
      </c>
    </row>
    <row r="58" spans="17:20" x14ac:dyDescent="0.25">
      <c r="Q58" s="6">
        <f t="shared" si="9"/>
        <v>3.2500000000000013</v>
      </c>
      <c r="R58" s="6">
        <f t="shared" si="10"/>
        <v>8.3333333333333329E-2</v>
      </c>
      <c r="S58">
        <f t="shared" si="13"/>
        <v>0.72350102964070773</v>
      </c>
      <c r="T58">
        <f t="shared" si="11"/>
        <v>39</v>
      </c>
    </row>
    <row r="59" spans="17:20" x14ac:dyDescent="0.25">
      <c r="Q59" s="6">
        <f t="shared" si="9"/>
        <v>3.3333333333333348</v>
      </c>
      <c r="R59" s="6">
        <f t="shared" si="10"/>
        <v>8.3333333333333329E-2</v>
      </c>
      <c r="S59">
        <f t="shared" si="13"/>
        <v>0.71752168228830515</v>
      </c>
      <c r="T59">
        <f t="shared" si="11"/>
        <v>40</v>
      </c>
    </row>
    <row r="60" spans="17:20" x14ac:dyDescent="0.25">
      <c r="Q60" s="6">
        <f t="shared" si="9"/>
        <v>3.4166666666666683</v>
      </c>
      <c r="R60" s="6">
        <f t="shared" si="10"/>
        <v>8.3333333333333329E-2</v>
      </c>
      <c r="S60">
        <f t="shared" si="13"/>
        <v>0.71159175102972416</v>
      </c>
      <c r="T60">
        <f t="shared" si="11"/>
        <v>41</v>
      </c>
    </row>
    <row r="61" spans="17:20" x14ac:dyDescent="0.25">
      <c r="Q61" s="6">
        <f t="shared" si="9"/>
        <v>3.5000000000000018</v>
      </c>
      <c r="R61" s="6">
        <f t="shared" si="10"/>
        <v>8.3333333333333329E-2</v>
      </c>
      <c r="S61">
        <f t="shared" si="13"/>
        <v>0.70571082746749492</v>
      </c>
      <c r="T61">
        <f t="shared" si="11"/>
        <v>42</v>
      </c>
    </row>
    <row r="62" spans="17:20" x14ac:dyDescent="0.25">
      <c r="Q62" s="6">
        <f t="shared" si="9"/>
        <v>3.5833333333333353</v>
      </c>
      <c r="R62" s="6">
        <f t="shared" si="10"/>
        <v>8.3333333333333329E-2</v>
      </c>
      <c r="S62">
        <f t="shared" si="13"/>
        <v>0.69987850657933393</v>
      </c>
      <c r="T62">
        <f t="shared" si="11"/>
        <v>43</v>
      </c>
    </row>
    <row r="63" spans="17:20" x14ac:dyDescent="0.25">
      <c r="Q63" s="6">
        <f t="shared" si="9"/>
        <v>3.6666666666666687</v>
      </c>
      <c r="R63" s="6">
        <f t="shared" si="10"/>
        <v>8.3333333333333329E-2</v>
      </c>
      <c r="S63">
        <f t="shared" si="13"/>
        <v>0.69409438669024848</v>
      </c>
      <c r="T63">
        <f t="shared" si="11"/>
        <v>44</v>
      </c>
    </row>
    <row r="64" spans="17:20" x14ac:dyDescent="0.25">
      <c r="Q64" s="6">
        <f t="shared" si="9"/>
        <v>3.7500000000000022</v>
      </c>
      <c r="R64" s="6">
        <f t="shared" si="10"/>
        <v>8.3333333333333329E-2</v>
      </c>
      <c r="S64">
        <f t="shared" si="13"/>
        <v>0.68835806944487476</v>
      </c>
      <c r="T64">
        <f t="shared" si="11"/>
        <v>45</v>
      </c>
    </row>
    <row r="65" spans="17:20" x14ac:dyDescent="0.25">
      <c r="Q65" s="6">
        <f t="shared" si="9"/>
        <v>3.8333333333333357</v>
      </c>
      <c r="R65" s="6">
        <f t="shared" si="10"/>
        <v>8.3333333333333329E-2</v>
      </c>
      <c r="S65">
        <f t="shared" si="13"/>
        <v>0.68266915978004095</v>
      </c>
      <c r="T65">
        <f t="shared" si="11"/>
        <v>46</v>
      </c>
    </row>
    <row r="66" spans="17:20" x14ac:dyDescent="0.25">
      <c r="Q66" s="6">
        <f t="shared" si="9"/>
        <v>3.9166666666666692</v>
      </c>
      <c r="R66" s="6">
        <f t="shared" si="10"/>
        <v>8.3333333333333329E-2</v>
      </c>
      <c r="S66">
        <f t="shared" si="13"/>
        <v>0.67702726589756135</v>
      </c>
      <c r="T66">
        <f t="shared" si="11"/>
        <v>47</v>
      </c>
    </row>
    <row r="67" spans="17:20" x14ac:dyDescent="0.25">
      <c r="Q67" s="6">
        <f t="shared" si="9"/>
        <v>4.0000000000000027</v>
      </c>
      <c r="R67" s="6">
        <f t="shared" si="10"/>
        <v>8.3333333333333329E-2</v>
      </c>
      <c r="S67">
        <f t="shared" si="13"/>
        <v>0.67143199923725094</v>
      </c>
      <c r="T67">
        <f t="shared" si="11"/>
        <v>48</v>
      </c>
    </row>
    <row r="68" spans="17:20" x14ac:dyDescent="0.25">
      <c r="Q68" s="6">
        <f t="shared" si="9"/>
        <v>4.0833333333333357</v>
      </c>
      <c r="R68" s="6">
        <f t="shared" si="10"/>
        <v>8.3333333333333329E-2</v>
      </c>
      <c r="S68">
        <f t="shared" si="13"/>
        <v>0.6658829744501662</v>
      </c>
      <c r="T68">
        <f t="shared" si="11"/>
        <v>49</v>
      </c>
    </row>
    <row r="69" spans="17:20" x14ac:dyDescent="0.25">
      <c r="Q69" s="6">
        <f t="shared" si="9"/>
        <v>4.1666666666666687</v>
      </c>
      <c r="R69" s="6">
        <f t="shared" si="10"/>
        <v>8.3333333333333329E-2</v>
      </c>
      <c r="S69">
        <f t="shared" si="13"/>
        <v>0.66037980937206564</v>
      </c>
      <c r="T69">
        <f t="shared" si="11"/>
        <v>50</v>
      </c>
    </row>
    <row r="70" spans="17:20" x14ac:dyDescent="0.25">
      <c r="Q70" s="6">
        <f t="shared" si="9"/>
        <v>4.2500000000000018</v>
      </c>
      <c r="R70" s="6">
        <f t="shared" si="10"/>
        <v>8.3333333333333329E-2</v>
      </c>
      <c r="S70">
        <f t="shared" si="13"/>
        <v>0.65492212499708991</v>
      </c>
      <c r="T70">
        <f t="shared" si="11"/>
        <v>51</v>
      </c>
    </row>
    <row r="71" spans="17:20" x14ac:dyDescent="0.25">
      <c r="Q71" s="6">
        <f t="shared" si="9"/>
        <v>4.3333333333333348</v>
      </c>
      <c r="R71" s="6">
        <f t="shared" si="10"/>
        <v>8.3333333333333329E-2</v>
      </c>
      <c r="S71">
        <f t="shared" si="13"/>
        <v>0.64950954545165951</v>
      </c>
      <c r="T71">
        <f t="shared" si="11"/>
        <v>52</v>
      </c>
    </row>
    <row r="72" spans="17:20" x14ac:dyDescent="0.25">
      <c r="Q72" s="6">
        <f t="shared" si="9"/>
        <v>4.4166666666666679</v>
      </c>
      <c r="R72" s="6">
        <f t="shared" si="10"/>
        <v>8.3333333333333329E-2</v>
      </c>
      <c r="S72">
        <f t="shared" si="13"/>
        <v>0.644141697968588</v>
      </c>
      <c r="T72">
        <f t="shared" si="11"/>
        <v>53</v>
      </c>
    </row>
    <row r="73" spans="17:20" x14ac:dyDescent="0.25">
      <c r="Q73" s="6">
        <f t="shared" si="9"/>
        <v>4.5000000000000009</v>
      </c>
      <c r="R73" s="6">
        <f t="shared" si="10"/>
        <v>8.3333333333333329E-2</v>
      </c>
      <c r="S73">
        <f t="shared" si="13"/>
        <v>0.6388182128614095</v>
      </c>
      <c r="T73">
        <f t="shared" si="11"/>
        <v>54</v>
      </c>
    </row>
    <row r="74" spans="17:20" x14ac:dyDescent="0.25">
      <c r="Q74" s="6">
        <f t="shared" si="9"/>
        <v>4.5833333333333339</v>
      </c>
      <c r="R74" s="6">
        <f t="shared" si="10"/>
        <v>8.3333333333333329E-2</v>
      </c>
      <c r="S74">
        <f t="shared" si="13"/>
        <v>0.6335387234989186</v>
      </c>
      <c r="T74">
        <f t="shared" si="11"/>
        <v>55</v>
      </c>
    </row>
    <row r="75" spans="17:20" x14ac:dyDescent="0.25">
      <c r="Q75" s="6">
        <f t="shared" si="9"/>
        <v>4.666666666666667</v>
      </c>
      <c r="R75" s="6">
        <f t="shared" si="10"/>
        <v>8.3333333333333329E-2</v>
      </c>
      <c r="S75">
        <f t="shared" si="13"/>
        <v>0.62830286627991927</v>
      </c>
      <c r="T75">
        <f t="shared" si="11"/>
        <v>56</v>
      </c>
    </row>
    <row r="76" spans="17:20" x14ac:dyDescent="0.25">
      <c r="Q76" s="6">
        <f t="shared" si="9"/>
        <v>4.75</v>
      </c>
      <c r="R76" s="6">
        <f t="shared" si="10"/>
        <v>8.3333333333333329E-2</v>
      </c>
      <c r="S76">
        <f t="shared" si="13"/>
        <v>0.62311028060818452</v>
      </c>
      <c r="T76">
        <f t="shared" si="11"/>
        <v>57</v>
      </c>
    </row>
    <row r="77" spans="17:20" x14ac:dyDescent="0.25">
      <c r="Q77" s="6">
        <f t="shared" si="9"/>
        <v>4.833333333333333</v>
      </c>
      <c r="R77" s="6">
        <f t="shared" si="10"/>
        <v>8.3333333333333329E-2</v>
      </c>
      <c r="S77">
        <f t="shared" si="13"/>
        <v>0.61796060886762105</v>
      </c>
      <c r="T77">
        <f t="shared" si="11"/>
        <v>58</v>
      </c>
    </row>
    <row r="78" spans="17:20" x14ac:dyDescent="0.25">
      <c r="Q78" s="6">
        <f t="shared" si="9"/>
        <v>4.9166666666666661</v>
      </c>
      <c r="R78" s="6">
        <f t="shared" si="10"/>
        <v>8.3333333333333329E-2</v>
      </c>
      <c r="S78">
        <f t="shared" si="13"/>
        <v>0.61285349639764064</v>
      </c>
      <c r="T78">
        <f t="shared" si="11"/>
        <v>59</v>
      </c>
    </row>
    <row r="79" spans="17:20" x14ac:dyDescent="0.25">
      <c r="Q79" s="6">
        <f t="shared" si="9"/>
        <v>4.9999999999999991</v>
      </c>
      <c r="R79" s="6">
        <f t="shared" si="10"/>
        <v>8.3333333333333329E-2</v>
      </c>
      <c r="S79">
        <f t="shared" si="13"/>
        <v>0.60778859146873454</v>
      </c>
      <c r="T79">
        <f t="shared" si="11"/>
        <v>60</v>
      </c>
    </row>
    <row r="80" spans="17:20" x14ac:dyDescent="0.25">
      <c r="Q80" s="18">
        <f>R$6</f>
        <v>5.05</v>
      </c>
      <c r="R80" s="18">
        <f>S$6</f>
        <v>4.9999999999999822E-2</v>
      </c>
      <c r="S80" s="19">
        <f>S79*(1/(1+R$17*R$80)^T80)</f>
        <v>0.60476476763058173</v>
      </c>
      <c r="T80" s="19">
        <v>1</v>
      </c>
    </row>
    <row r="82" spans="17:17" x14ac:dyDescent="0.25">
      <c r="Q82" s="6"/>
    </row>
    <row r="83" spans="17:17" x14ac:dyDescent="0.25">
      <c r="Q83" s="6"/>
    </row>
    <row r="84" spans="17:17" x14ac:dyDescent="0.25">
      <c r="Q84" s="6"/>
    </row>
    <row r="85" spans="17:17" x14ac:dyDescent="0.25">
      <c r="Q85" s="6"/>
    </row>
    <row r="86" spans="17:17" x14ac:dyDescent="0.25">
      <c r="Q86" s="6"/>
    </row>
    <row r="87" spans="17:17" x14ac:dyDescent="0.25">
      <c r="Q87" s="6"/>
    </row>
    <row r="88" spans="17:17" x14ac:dyDescent="0.25">
      <c r="Q88" s="6"/>
    </row>
    <row r="89" spans="17:17" x14ac:dyDescent="0.25">
      <c r="Q89" s="6"/>
    </row>
  </sheetData>
  <dataValidations count="1">
    <dataValidation type="list" allowBlank="1" showInputMessage="1" showErrorMessage="1" sqref="C7 H7 M7 R7">
      <formula1>"SHORT_START,LONG_START,SHORT_END,LONG_END,NONE"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8"/>
  <sheetViews>
    <sheetView workbookViewId="0"/>
  </sheetViews>
  <sheetFormatPr defaultRowHeight="15" x14ac:dyDescent="0.25"/>
  <cols>
    <col min="2" max="2" width="17.7109375" bestFit="1" customWidth="1"/>
    <col min="3" max="3" width="13.42578125" bestFit="1" customWidth="1"/>
    <col min="7" max="7" width="23" bestFit="1" customWidth="1"/>
    <col min="8" max="8" width="13.42578125" bestFit="1" customWidth="1"/>
    <col min="12" max="12" width="19.85546875" bestFit="1" customWidth="1"/>
    <col min="13" max="13" width="13.42578125" bestFit="1" customWidth="1"/>
    <col min="17" max="17" width="18.85546875" bestFit="1" customWidth="1"/>
    <col min="18" max="18" width="13.42578125" bestFit="1" customWidth="1"/>
  </cols>
  <sheetData>
    <row r="3" spans="2:20" x14ac:dyDescent="0.25">
      <c r="B3" t="s">
        <v>0</v>
      </c>
      <c r="C3" s="1">
        <v>1</v>
      </c>
      <c r="G3" t="s">
        <v>0</v>
      </c>
      <c r="H3" s="1">
        <v>1</v>
      </c>
      <c r="L3" t="s">
        <v>0</v>
      </c>
      <c r="M3" s="1">
        <v>1</v>
      </c>
      <c r="Q3" t="s">
        <v>0</v>
      </c>
      <c r="R3" s="1">
        <v>1</v>
      </c>
    </row>
    <row r="4" spans="2:20" x14ac:dyDescent="0.25">
      <c r="B4" t="s">
        <v>1</v>
      </c>
      <c r="C4" s="2">
        <v>0.1</v>
      </c>
      <c r="G4" t="s">
        <v>1</v>
      </c>
      <c r="H4" s="2">
        <v>0.1</v>
      </c>
      <c r="L4" t="s">
        <v>1</v>
      </c>
      <c r="M4" s="2">
        <v>0.1</v>
      </c>
      <c r="Q4" t="s">
        <v>1</v>
      </c>
      <c r="R4" s="2">
        <v>0.1</v>
      </c>
    </row>
    <row r="5" spans="2:20" x14ac:dyDescent="0.25">
      <c r="B5" t="s">
        <v>2</v>
      </c>
      <c r="C5" s="1">
        <v>1</v>
      </c>
      <c r="G5" t="s">
        <v>2</v>
      </c>
      <c r="H5" s="1">
        <v>2</v>
      </c>
      <c r="L5" t="s">
        <v>2</v>
      </c>
      <c r="M5" s="1">
        <v>4</v>
      </c>
      <c r="Q5" t="s">
        <v>2</v>
      </c>
      <c r="R5" s="1">
        <v>12</v>
      </c>
    </row>
    <row r="6" spans="2:20" x14ac:dyDescent="0.25">
      <c r="B6" t="s">
        <v>4</v>
      </c>
      <c r="C6" s="3">
        <v>5.0999999999999996</v>
      </c>
      <c r="G6" t="s">
        <v>4</v>
      </c>
      <c r="H6" s="3">
        <v>5.0999999999999996</v>
      </c>
      <c r="L6" t="s">
        <v>4</v>
      </c>
      <c r="M6" s="3">
        <v>5.0999999999999996</v>
      </c>
      <c r="Q6" t="s">
        <v>4</v>
      </c>
      <c r="R6" s="16">
        <v>5.05</v>
      </c>
    </row>
    <row r="7" spans="2:20" x14ac:dyDescent="0.25">
      <c r="B7" t="s">
        <v>5</v>
      </c>
      <c r="C7" s="12" t="s">
        <v>21</v>
      </c>
      <c r="G7" t="s">
        <v>5</v>
      </c>
      <c r="H7" s="12" t="s">
        <v>21</v>
      </c>
      <c r="L7" t="s">
        <v>5</v>
      </c>
      <c r="M7" s="12" t="s">
        <v>21</v>
      </c>
      <c r="Q7" t="s">
        <v>5</v>
      </c>
      <c r="R7" s="12" t="s">
        <v>21</v>
      </c>
    </row>
    <row r="8" spans="2:20" x14ac:dyDescent="0.25">
      <c r="T8" s="8"/>
    </row>
    <row r="9" spans="2:20" x14ac:dyDescent="0.25">
      <c r="B9" t="s">
        <v>3</v>
      </c>
      <c r="C9" s="13">
        <f ca="1">_xll.meMathEuropeanIRSwaptionCashAnnuity(C3,C4,C5,C6,C7)</f>
        <v>3.846725627341705</v>
      </c>
      <c r="G9" t="s">
        <v>3</v>
      </c>
      <c r="H9" s="13">
        <f ca="1">_xll.meMathEuropeanIRSwaptionCashAnnuity(H3,H4,H5,H6,H7)</f>
        <v>3.9187838092660625</v>
      </c>
      <c r="L9" t="s">
        <v>3</v>
      </c>
      <c r="M9" s="13">
        <f ca="1">_xll.meMathEuropeanIRSwaptionCashAnnuity(M3,M4,M5,M6,M7)</f>
        <v>3.956253947533332</v>
      </c>
      <c r="Q9" t="s">
        <v>3</v>
      </c>
      <c r="R9" s="13">
        <f ca="1">_xll.meMathEuropeanIRSwaptionCashAnnuity(R3,R4,R5,R6,R7)</f>
        <v>3.952103653970668</v>
      </c>
    </row>
    <row r="10" spans="2:20" x14ac:dyDescent="0.25">
      <c r="B10" t="s">
        <v>18</v>
      </c>
      <c r="C10" s="14">
        <f>SUMPRODUCT(C20:C24,D20:D24)</f>
        <v>3.846725627341705</v>
      </c>
      <c r="G10" t="s">
        <v>18</v>
      </c>
      <c r="H10" s="14">
        <f>SUMPRODUCT(H20:H29,I20:I29)</f>
        <v>3.9187838092660625</v>
      </c>
      <c r="L10" t="s">
        <v>18</v>
      </c>
      <c r="M10" s="14">
        <f>SUMPRODUCT(M20:M39,N20:N39)</f>
        <v>3.9562539475333303</v>
      </c>
      <c r="Q10" t="s">
        <v>18</v>
      </c>
      <c r="R10" s="14">
        <f>SUMPRODUCT(R20:R79,S20:S79)</f>
        <v>3.9521036539706693</v>
      </c>
    </row>
    <row r="11" spans="2:20" x14ac:dyDescent="0.25">
      <c r="B11" s="9" t="s">
        <v>19</v>
      </c>
      <c r="C11" s="15">
        <f ca="1">C9-C10</f>
        <v>0</v>
      </c>
      <c r="G11" s="9" t="s">
        <v>19</v>
      </c>
      <c r="H11" s="15">
        <f ca="1">H9-H10</f>
        <v>0</v>
      </c>
      <c r="L11" s="9" t="s">
        <v>19</v>
      </c>
      <c r="M11" s="15">
        <f ca="1">M9-M10</f>
        <v>0</v>
      </c>
      <c r="Q11" s="9" t="s">
        <v>19</v>
      </c>
      <c r="R11" s="15">
        <f ca="1">R9-R10</f>
        <v>0</v>
      </c>
    </row>
    <row r="14" spans="2:20" x14ac:dyDescent="0.25">
      <c r="B14" t="s">
        <v>10</v>
      </c>
      <c r="G14" t="s">
        <v>11</v>
      </c>
      <c r="L14" t="s">
        <v>12</v>
      </c>
      <c r="Q14" t="s">
        <v>13</v>
      </c>
    </row>
    <row r="15" spans="2:20" x14ac:dyDescent="0.25">
      <c r="B15" t="s">
        <v>0</v>
      </c>
      <c r="C15">
        <v>1</v>
      </c>
      <c r="G15" t="s">
        <v>0</v>
      </c>
      <c r="H15">
        <v>1</v>
      </c>
      <c r="L15" t="s">
        <v>0</v>
      </c>
      <c r="M15">
        <v>1</v>
      </c>
      <c r="Q15" t="s">
        <v>0</v>
      </c>
      <c r="R15">
        <v>1</v>
      </c>
    </row>
    <row r="16" spans="2:20" x14ac:dyDescent="0.25">
      <c r="B16" t="s">
        <v>15</v>
      </c>
      <c r="C16">
        <v>1</v>
      </c>
      <c r="G16" t="s">
        <v>15</v>
      </c>
      <c r="H16">
        <v>0.5</v>
      </c>
      <c r="L16" t="s">
        <v>15</v>
      </c>
      <c r="M16">
        <v>0.25</v>
      </c>
      <c r="Q16" t="s">
        <v>15</v>
      </c>
      <c r="R16">
        <f>1/12</f>
        <v>8.3333333333333329E-2</v>
      </c>
    </row>
    <row r="17" spans="2:20" x14ac:dyDescent="0.25">
      <c r="B17" t="s">
        <v>1</v>
      </c>
      <c r="C17" s="7">
        <v>0.1</v>
      </c>
      <c r="G17" t="s">
        <v>1</v>
      </c>
      <c r="H17" s="7">
        <v>0.1</v>
      </c>
      <c r="L17" t="s">
        <v>1</v>
      </c>
      <c r="M17" s="7">
        <v>0.1</v>
      </c>
      <c r="Q17" t="s">
        <v>1</v>
      </c>
      <c r="R17" s="7">
        <v>0.1</v>
      </c>
    </row>
    <row r="19" spans="2:20" x14ac:dyDescent="0.25">
      <c r="B19" s="4" t="s">
        <v>14</v>
      </c>
      <c r="C19" s="4" t="s">
        <v>6</v>
      </c>
      <c r="D19" s="4" t="s">
        <v>8</v>
      </c>
      <c r="E19" s="4" t="s">
        <v>17</v>
      </c>
      <c r="F19" s="4"/>
      <c r="G19" s="4" t="s">
        <v>14</v>
      </c>
      <c r="H19" s="4" t="s">
        <v>6</v>
      </c>
      <c r="I19" s="4" t="s">
        <v>8</v>
      </c>
      <c r="J19" s="4" t="s">
        <v>17</v>
      </c>
      <c r="K19" s="4"/>
      <c r="L19" s="4" t="s">
        <v>14</v>
      </c>
      <c r="M19" s="4" t="s">
        <v>6</v>
      </c>
      <c r="N19" s="4" t="s">
        <v>8</v>
      </c>
      <c r="O19" s="4" t="s">
        <v>17</v>
      </c>
      <c r="P19" s="4"/>
      <c r="Q19" s="4" t="s">
        <v>14</v>
      </c>
      <c r="R19" s="4" t="s">
        <v>6</v>
      </c>
      <c r="S19" s="4" t="s">
        <v>8</v>
      </c>
      <c r="T19" s="4" t="s">
        <v>17</v>
      </c>
    </row>
    <row r="20" spans="2:20" x14ac:dyDescent="0.25">
      <c r="B20" s="5">
        <f>C$16</f>
        <v>1</v>
      </c>
      <c r="C20" s="5">
        <f>C$16</f>
        <v>1</v>
      </c>
      <c r="D20" s="4">
        <f>1/(1+C$17*C$16)^E20</f>
        <v>0.90909090909090906</v>
      </c>
      <c r="E20" s="4">
        <v>1</v>
      </c>
      <c r="F20" s="4"/>
      <c r="G20" s="5">
        <f>H$16</f>
        <v>0.5</v>
      </c>
      <c r="H20" s="5">
        <f>H$16</f>
        <v>0.5</v>
      </c>
      <c r="I20" s="4">
        <f>1/(1+H$17*H$16)^J20</f>
        <v>0.95238095238095233</v>
      </c>
      <c r="J20" s="4">
        <v>1</v>
      </c>
      <c r="K20" s="4"/>
      <c r="L20" s="5">
        <f>M$16</f>
        <v>0.25</v>
      </c>
      <c r="M20" s="5">
        <f>M$16</f>
        <v>0.25</v>
      </c>
      <c r="N20" s="4">
        <f>1/(1+M$17*M$16)^O20</f>
        <v>0.97560975609756106</v>
      </c>
      <c r="O20" s="4">
        <v>1</v>
      </c>
      <c r="P20" s="4"/>
      <c r="Q20" s="5">
        <f>R$16</f>
        <v>8.3333333333333329E-2</v>
      </c>
      <c r="R20" s="5">
        <f>R$16</f>
        <v>8.3333333333333329E-2</v>
      </c>
      <c r="S20" s="4">
        <f>1/(1+R$17*R$16)^T20</f>
        <v>0.99173553719008267</v>
      </c>
      <c r="T20" s="4">
        <v>1</v>
      </c>
    </row>
    <row r="21" spans="2:20" x14ac:dyDescent="0.25">
      <c r="B21" s="5">
        <f>B20+C$16</f>
        <v>2</v>
      </c>
      <c r="C21" s="5">
        <f t="shared" ref="C21:C23" si="0">C$16</f>
        <v>1</v>
      </c>
      <c r="D21" s="4">
        <f>1/(1+C$17*C$16)^E21</f>
        <v>0.82644628099173545</v>
      </c>
      <c r="E21" s="4">
        <f>E20+1</f>
        <v>2</v>
      </c>
      <c r="F21" s="4"/>
      <c r="G21" s="5">
        <f>G20+H$16</f>
        <v>1</v>
      </c>
      <c r="H21" s="5">
        <f t="shared" ref="H21:H28" si="1">H$16</f>
        <v>0.5</v>
      </c>
      <c r="I21" s="4">
        <f>1/(1+H$17*H$16)^J21</f>
        <v>0.90702947845804982</v>
      </c>
      <c r="J21" s="4">
        <f>J20+1</f>
        <v>2</v>
      </c>
      <c r="K21" s="4"/>
      <c r="L21" s="5">
        <f>L20+M$16</f>
        <v>0.5</v>
      </c>
      <c r="M21" s="5">
        <f t="shared" ref="M21:M38" si="2">M$16</f>
        <v>0.25</v>
      </c>
      <c r="N21" s="4">
        <f>1/(1+M$17*M$16)^O21</f>
        <v>0.95181439619274244</v>
      </c>
      <c r="O21" s="4">
        <f>O20+1</f>
        <v>2</v>
      </c>
      <c r="P21" s="4"/>
      <c r="Q21" s="5">
        <f>Q20+R$16</f>
        <v>0.16666666666666666</v>
      </c>
      <c r="R21" s="5">
        <f t="shared" ref="R21:R78" si="3">R$16</f>
        <v>8.3333333333333329E-2</v>
      </c>
      <c r="S21" s="4">
        <f>1/(1+R$17*R$16)^T21</f>
        <v>0.98353937572570183</v>
      </c>
      <c r="T21" s="4">
        <f>T20+1</f>
        <v>2</v>
      </c>
    </row>
    <row r="22" spans="2:20" x14ac:dyDescent="0.25">
      <c r="B22" s="5">
        <f t="shared" ref="B22:B23" si="4">B21+C$16</f>
        <v>3</v>
      </c>
      <c r="C22" s="5">
        <f t="shared" si="0"/>
        <v>1</v>
      </c>
      <c r="D22" s="4">
        <f>1/(1+C$17*C$16)^E22</f>
        <v>0.75131480090157754</v>
      </c>
      <c r="E22" s="4">
        <f t="shared" ref="E22:E23" si="5">E21+1</f>
        <v>3</v>
      </c>
      <c r="F22" s="4"/>
      <c r="G22" s="5">
        <f t="shared" ref="G22:G28" si="6">G21+H$16</f>
        <v>1.5</v>
      </c>
      <c r="H22" s="5">
        <f t="shared" si="1"/>
        <v>0.5</v>
      </c>
      <c r="I22" s="4">
        <f t="shared" ref="I22:I28" si="7">1/(1+H$17*H$16)^J22</f>
        <v>0.86383759853147601</v>
      </c>
      <c r="J22" s="4">
        <f t="shared" ref="J22:J28" si="8">J21+1</f>
        <v>3</v>
      </c>
      <c r="K22" s="4"/>
      <c r="L22" s="5">
        <f t="shared" ref="L22" si="9">L21+M$16</f>
        <v>0.75</v>
      </c>
      <c r="M22" s="5">
        <f t="shared" si="2"/>
        <v>0.25</v>
      </c>
      <c r="N22" s="4">
        <f t="shared" ref="N22:N38" si="10">1/(1+M$17*M$16)^O22</f>
        <v>0.92859941091974885</v>
      </c>
      <c r="O22" s="4">
        <f t="shared" ref="O22" si="11">O21+1</f>
        <v>3</v>
      </c>
      <c r="P22" s="4"/>
      <c r="Q22" s="5">
        <f t="shared" ref="Q22" si="12">Q21+R$16</f>
        <v>0.25</v>
      </c>
      <c r="R22" s="5">
        <f t="shared" si="3"/>
        <v>8.3333333333333329E-2</v>
      </c>
      <c r="S22" s="4">
        <f t="shared" ref="S22:S78" si="13">1/(1+R$17*R$16)^T22</f>
        <v>0.97541095113292753</v>
      </c>
      <c r="T22" s="4">
        <f t="shared" ref="T22" si="14">T21+1</f>
        <v>3</v>
      </c>
    </row>
    <row r="23" spans="2:20" x14ac:dyDescent="0.25">
      <c r="B23" s="5">
        <f t="shared" si="4"/>
        <v>4</v>
      </c>
      <c r="C23" s="5">
        <f t="shared" si="0"/>
        <v>1</v>
      </c>
      <c r="D23" s="4">
        <f>1/(1+C$17*C$16)^E23</f>
        <v>0.68301345536507052</v>
      </c>
      <c r="E23" s="4">
        <f t="shared" si="5"/>
        <v>4</v>
      </c>
      <c r="F23" s="4"/>
      <c r="G23" s="5">
        <f t="shared" si="6"/>
        <v>2</v>
      </c>
      <c r="H23" s="5">
        <f t="shared" si="1"/>
        <v>0.5</v>
      </c>
      <c r="I23" s="4">
        <f t="shared" si="7"/>
        <v>0.82270247479188197</v>
      </c>
      <c r="J23" s="4">
        <f t="shared" si="8"/>
        <v>4</v>
      </c>
      <c r="K23" s="4"/>
      <c r="L23" s="5">
        <f t="shared" ref="L23:L38" si="15">L22+M$16</f>
        <v>1</v>
      </c>
      <c r="M23" s="5">
        <f t="shared" si="2"/>
        <v>0.25</v>
      </c>
      <c r="N23" s="4">
        <f t="shared" si="10"/>
        <v>0.90595064479975507</v>
      </c>
      <c r="O23" s="4">
        <f t="shared" ref="O23:O38" si="16">O22+1</f>
        <v>4</v>
      </c>
      <c r="P23" s="4"/>
      <c r="Q23" s="5">
        <f t="shared" ref="Q23:Q78" si="17">Q22+R$16</f>
        <v>0.33333333333333331</v>
      </c>
      <c r="R23" s="5">
        <f t="shared" si="3"/>
        <v>8.3333333333333329E-2</v>
      </c>
      <c r="S23" s="4">
        <f t="shared" si="13"/>
        <v>0.9673497036029034</v>
      </c>
      <c r="T23" s="4">
        <f t="shared" ref="T23:T78" si="18">T22+1</f>
        <v>4</v>
      </c>
    </row>
    <row r="24" spans="2:20" x14ac:dyDescent="0.25">
      <c r="B24" s="22">
        <f>C$6</f>
        <v>5.0999999999999996</v>
      </c>
      <c r="C24" s="22">
        <f>B24-SUM(C$20:C23)</f>
        <v>1.0999999999999996</v>
      </c>
      <c r="D24" s="21">
        <f>D23*(1/(1+C$17*(B24-B23))^E24)</f>
        <v>0.61532743726582939</v>
      </c>
      <c r="E24" s="21">
        <v>1</v>
      </c>
      <c r="F24" s="4"/>
      <c r="G24" s="5">
        <f t="shared" si="6"/>
        <v>2.5</v>
      </c>
      <c r="H24" s="5">
        <f t="shared" si="1"/>
        <v>0.5</v>
      </c>
      <c r="I24" s="4">
        <f t="shared" si="7"/>
        <v>0.78352616646845896</v>
      </c>
      <c r="J24" s="4">
        <f t="shared" si="8"/>
        <v>5</v>
      </c>
      <c r="K24" s="4"/>
      <c r="L24" s="5">
        <f t="shared" si="15"/>
        <v>1.25</v>
      </c>
      <c r="M24" s="5">
        <f t="shared" si="2"/>
        <v>0.25</v>
      </c>
      <c r="N24" s="4">
        <f t="shared" si="10"/>
        <v>0.88385428760951712</v>
      </c>
      <c r="O24" s="4">
        <f t="shared" si="16"/>
        <v>5</v>
      </c>
      <c r="P24" s="4"/>
      <c r="Q24" s="5">
        <f t="shared" si="17"/>
        <v>0.41666666666666663</v>
      </c>
      <c r="R24" s="5">
        <f t="shared" si="3"/>
        <v>8.3333333333333329E-2</v>
      </c>
      <c r="S24" s="4">
        <f t="shared" si="13"/>
        <v>0.95935507795329267</v>
      </c>
      <c r="T24" s="4">
        <f t="shared" si="18"/>
        <v>5</v>
      </c>
    </row>
    <row r="25" spans="2:20" x14ac:dyDescent="0.25">
      <c r="F25" s="4"/>
      <c r="G25" s="5">
        <f t="shared" si="6"/>
        <v>3</v>
      </c>
      <c r="H25" s="5">
        <f t="shared" si="1"/>
        <v>0.5</v>
      </c>
      <c r="I25" s="4">
        <f t="shared" si="7"/>
        <v>0.74621539663662761</v>
      </c>
      <c r="J25" s="4">
        <f t="shared" si="8"/>
        <v>6</v>
      </c>
      <c r="K25" s="4"/>
      <c r="L25" s="5">
        <f t="shared" si="15"/>
        <v>1.5</v>
      </c>
      <c r="M25" s="5">
        <f t="shared" si="2"/>
        <v>0.25</v>
      </c>
      <c r="N25" s="4">
        <f t="shared" si="10"/>
        <v>0.86229686596050459</v>
      </c>
      <c r="O25" s="4">
        <f t="shared" si="16"/>
        <v>6</v>
      </c>
      <c r="P25" s="4"/>
      <c r="Q25" s="5">
        <f t="shared" si="17"/>
        <v>0.49999999999999994</v>
      </c>
      <c r="R25" s="5">
        <f t="shared" si="3"/>
        <v>8.3333333333333329E-2</v>
      </c>
      <c r="S25" s="4">
        <f t="shared" si="13"/>
        <v>0.95142652359004232</v>
      </c>
      <c r="T25" s="4">
        <f t="shared" si="18"/>
        <v>6</v>
      </c>
    </row>
    <row r="26" spans="2:20" x14ac:dyDescent="0.25">
      <c r="B26" s="4"/>
      <c r="C26" s="4"/>
      <c r="D26" s="4"/>
      <c r="E26" s="4"/>
      <c r="F26" s="4"/>
      <c r="G26" s="5">
        <f t="shared" si="6"/>
        <v>3.5</v>
      </c>
      <c r="H26" s="5">
        <f t="shared" si="1"/>
        <v>0.5</v>
      </c>
      <c r="I26" s="4">
        <f t="shared" si="7"/>
        <v>0.71068133013012147</v>
      </c>
      <c r="J26" s="4">
        <f t="shared" si="8"/>
        <v>7</v>
      </c>
      <c r="K26" s="4"/>
      <c r="L26" s="5">
        <f t="shared" si="15"/>
        <v>1.75</v>
      </c>
      <c r="M26" s="5">
        <f t="shared" si="2"/>
        <v>0.25</v>
      </c>
      <c r="N26" s="4">
        <f t="shared" si="10"/>
        <v>0.84126523508341911</v>
      </c>
      <c r="O26" s="4">
        <f t="shared" si="16"/>
        <v>7</v>
      </c>
      <c r="P26" s="4"/>
      <c r="Q26" s="5">
        <f t="shared" si="17"/>
        <v>0.58333333333333326</v>
      </c>
      <c r="R26" s="5">
        <f t="shared" si="3"/>
        <v>8.3333333333333329E-2</v>
      </c>
      <c r="S26" s="4">
        <f t="shared" si="13"/>
        <v>0.94356349446946353</v>
      </c>
      <c r="T26" s="4">
        <f t="shared" si="18"/>
        <v>7</v>
      </c>
    </row>
    <row r="27" spans="2:20" x14ac:dyDescent="0.25">
      <c r="B27" s="4"/>
      <c r="C27" s="4"/>
      <c r="D27" s="4"/>
      <c r="E27" s="4"/>
      <c r="F27" s="4"/>
      <c r="G27" s="5">
        <f t="shared" si="6"/>
        <v>4</v>
      </c>
      <c r="H27" s="5">
        <f t="shared" si="1"/>
        <v>0.5</v>
      </c>
      <c r="I27" s="4">
        <f t="shared" si="7"/>
        <v>0.67683936202868722</v>
      </c>
      <c r="J27" s="4">
        <f t="shared" si="8"/>
        <v>8</v>
      </c>
      <c r="K27" s="4"/>
      <c r="L27" s="5">
        <f t="shared" si="15"/>
        <v>2</v>
      </c>
      <c r="M27" s="5">
        <f t="shared" si="2"/>
        <v>0.25</v>
      </c>
      <c r="N27" s="4">
        <f t="shared" si="10"/>
        <v>0.82074657081309188</v>
      </c>
      <c r="O27" s="4">
        <f t="shared" si="16"/>
        <v>8</v>
      </c>
      <c r="P27" s="4"/>
      <c r="Q27" s="5">
        <f t="shared" si="17"/>
        <v>0.66666666666666663</v>
      </c>
      <c r="R27" s="5">
        <f t="shared" si="3"/>
        <v>8.3333333333333329E-2</v>
      </c>
      <c r="S27" s="4">
        <f t="shared" si="13"/>
        <v>0.93576544906062498</v>
      </c>
      <c r="T27" s="4">
        <f t="shared" si="18"/>
        <v>8</v>
      </c>
    </row>
    <row r="28" spans="2:20" x14ac:dyDescent="0.25">
      <c r="B28" s="4"/>
      <c r="C28" s="4"/>
      <c r="D28" s="4"/>
      <c r="E28" s="4"/>
      <c r="F28" s="4"/>
      <c r="G28" s="5">
        <f t="shared" si="6"/>
        <v>4.5</v>
      </c>
      <c r="H28" s="5">
        <f t="shared" si="1"/>
        <v>0.5</v>
      </c>
      <c r="I28" s="4">
        <f t="shared" si="7"/>
        <v>0.64460891621779726</v>
      </c>
      <c r="J28" s="4">
        <f t="shared" si="8"/>
        <v>9</v>
      </c>
      <c r="K28" s="4"/>
      <c r="L28" s="5">
        <f t="shared" si="15"/>
        <v>2.25</v>
      </c>
      <c r="M28" s="5">
        <f t="shared" si="2"/>
        <v>0.25</v>
      </c>
      <c r="N28" s="4">
        <f t="shared" si="10"/>
        <v>0.8007283617688703</v>
      </c>
      <c r="O28" s="4">
        <f t="shared" si="16"/>
        <v>9</v>
      </c>
      <c r="P28" s="4"/>
      <c r="Q28" s="5">
        <f t="shared" si="17"/>
        <v>0.75</v>
      </c>
      <c r="R28" s="5">
        <f t="shared" si="3"/>
        <v>8.3333333333333329E-2</v>
      </c>
      <c r="S28" s="4">
        <f t="shared" si="13"/>
        <v>0.9280318503080579</v>
      </c>
      <c r="T28" s="4">
        <f t="shared" si="18"/>
        <v>9</v>
      </c>
    </row>
    <row r="29" spans="2:20" x14ac:dyDescent="0.25">
      <c r="B29" s="4"/>
      <c r="C29" s="4"/>
      <c r="D29" s="4"/>
      <c r="E29" s="4"/>
      <c r="F29" s="4"/>
      <c r="G29" s="22">
        <f>H$6</f>
        <v>5.0999999999999996</v>
      </c>
      <c r="H29" s="22">
        <f>G29-SUM(H$20:H28)</f>
        <v>0.59999999999999964</v>
      </c>
      <c r="I29" s="21">
        <f>I28*(1/(1+H$17*(G29-G28))^J29)</f>
        <v>0.60812161907339357</v>
      </c>
      <c r="J29" s="21">
        <v>1</v>
      </c>
      <c r="K29" s="4"/>
      <c r="L29" s="5">
        <f t="shared" si="15"/>
        <v>2.5</v>
      </c>
      <c r="M29" s="5">
        <f t="shared" si="2"/>
        <v>0.25</v>
      </c>
      <c r="N29" s="4">
        <f t="shared" si="10"/>
        <v>0.78119840172572708</v>
      </c>
      <c r="O29" s="4">
        <f t="shared" si="16"/>
        <v>10</v>
      </c>
      <c r="P29" s="4"/>
      <c r="Q29" s="5">
        <f t="shared" si="17"/>
        <v>0.83333333333333337</v>
      </c>
      <c r="R29" s="5">
        <f t="shared" si="3"/>
        <v>8.3333333333333329E-2</v>
      </c>
      <c r="S29" s="4">
        <f t="shared" si="13"/>
        <v>0.92036216559476813</v>
      </c>
      <c r="T29" s="4">
        <f t="shared" si="18"/>
        <v>10</v>
      </c>
    </row>
    <row r="30" spans="2:20" x14ac:dyDescent="0.25">
      <c r="B30" s="4"/>
      <c r="C30" s="4"/>
      <c r="D30" s="4"/>
      <c r="E30" s="4"/>
      <c r="F30" s="4"/>
      <c r="K30" s="4"/>
      <c r="L30" s="5">
        <f t="shared" si="15"/>
        <v>2.75</v>
      </c>
      <c r="M30" s="5">
        <f t="shared" si="2"/>
        <v>0.25</v>
      </c>
      <c r="N30" s="4">
        <f t="shared" si="10"/>
        <v>0.7621447821714411</v>
      </c>
      <c r="O30" s="4">
        <f t="shared" si="16"/>
        <v>11</v>
      </c>
      <c r="P30" s="4"/>
      <c r="Q30" s="5">
        <f t="shared" si="17"/>
        <v>0.91666666666666674</v>
      </c>
      <c r="R30" s="5">
        <f t="shared" si="3"/>
        <v>8.3333333333333329E-2</v>
      </c>
      <c r="S30" s="4">
        <f t="shared" si="13"/>
        <v>0.91275586670555531</v>
      </c>
      <c r="T30" s="4">
        <f t="shared" si="18"/>
        <v>11</v>
      </c>
    </row>
    <row r="31" spans="2:20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5">
        <f t="shared" si="15"/>
        <v>3</v>
      </c>
      <c r="M31" s="5">
        <f t="shared" si="2"/>
        <v>0.25</v>
      </c>
      <c r="N31" s="4">
        <f t="shared" si="10"/>
        <v>0.74355588504530845</v>
      </c>
      <c r="O31" s="4">
        <f t="shared" si="16"/>
        <v>12</v>
      </c>
      <c r="P31" s="4"/>
      <c r="Q31" s="5">
        <f t="shared" si="17"/>
        <v>1</v>
      </c>
      <c r="R31" s="5">
        <f t="shared" si="3"/>
        <v>8.3333333333333329E-2</v>
      </c>
      <c r="S31" s="4">
        <f t="shared" si="13"/>
        <v>0.90521242979063321</v>
      </c>
      <c r="T31" s="4">
        <f t="shared" si="18"/>
        <v>12</v>
      </c>
    </row>
    <row r="32" spans="2:20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5">
        <f t="shared" si="15"/>
        <v>3.25</v>
      </c>
      <c r="M32" s="5">
        <f t="shared" si="2"/>
        <v>0.25</v>
      </c>
      <c r="N32" s="4">
        <f t="shared" si="10"/>
        <v>0.72542037565395945</v>
      </c>
      <c r="O32" s="4">
        <f t="shared" si="16"/>
        <v>13</v>
      </c>
      <c r="P32" s="4"/>
      <c r="Q32" s="5">
        <f t="shared" si="17"/>
        <v>1.0833333333333333</v>
      </c>
      <c r="R32" s="5">
        <f t="shared" si="3"/>
        <v>8.3333333333333329E-2</v>
      </c>
      <c r="S32" s="4">
        <f t="shared" si="13"/>
        <v>0.89773133532955385</v>
      </c>
      <c r="T32" s="4">
        <f t="shared" si="18"/>
        <v>13</v>
      </c>
    </row>
    <row r="33" spans="2:20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f t="shared" si="15"/>
        <v>3.5</v>
      </c>
      <c r="M33" s="5">
        <f t="shared" si="2"/>
        <v>0.25</v>
      </c>
      <c r="N33" s="4">
        <f t="shared" si="10"/>
        <v>0.70772719575996057</v>
      </c>
      <c r="O33" s="4">
        <f t="shared" si="16"/>
        <v>14</v>
      </c>
      <c r="P33" s="4"/>
      <c r="Q33" s="5">
        <f t="shared" si="17"/>
        <v>1.1666666666666665</v>
      </c>
      <c r="R33" s="5">
        <f t="shared" si="3"/>
        <v>8.3333333333333329E-2</v>
      </c>
      <c r="S33" s="4">
        <f t="shared" si="13"/>
        <v>0.89031206809542529</v>
      </c>
      <c r="T33" s="4">
        <f t="shared" si="18"/>
        <v>14</v>
      </c>
    </row>
    <row r="34" spans="2:20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5">
        <f t="shared" si="15"/>
        <v>3.75</v>
      </c>
      <c r="M34" s="5">
        <f t="shared" si="2"/>
        <v>0.25</v>
      </c>
      <c r="N34" s="4">
        <f t="shared" si="10"/>
        <v>0.69046555683898581</v>
      </c>
      <c r="O34" s="4">
        <f t="shared" si="16"/>
        <v>15</v>
      </c>
      <c r="P34" s="4"/>
      <c r="Q34" s="5">
        <f t="shared" si="17"/>
        <v>1.2499999999999998</v>
      </c>
      <c r="R34" s="5">
        <f t="shared" si="3"/>
        <v>8.3333333333333329E-2</v>
      </c>
      <c r="S34" s="4">
        <f t="shared" si="13"/>
        <v>0.88295411711943006</v>
      </c>
      <c r="T34" s="4">
        <f t="shared" si="18"/>
        <v>15</v>
      </c>
    </row>
    <row r="35" spans="2:20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5">
        <f t="shared" si="15"/>
        <v>4</v>
      </c>
      <c r="M35" s="5">
        <f t="shared" si="2"/>
        <v>0.25</v>
      </c>
      <c r="N35" s="4">
        <f t="shared" si="10"/>
        <v>0.67362493350144959</v>
      </c>
      <c r="O35" s="4">
        <f t="shared" si="16"/>
        <v>16</v>
      </c>
      <c r="P35" s="4"/>
      <c r="Q35" s="5">
        <f t="shared" si="17"/>
        <v>1.333333333333333</v>
      </c>
      <c r="R35" s="5">
        <f t="shared" si="3"/>
        <v>8.3333333333333329E-2</v>
      </c>
      <c r="S35" s="4">
        <f t="shared" si="13"/>
        <v>0.87565697565563305</v>
      </c>
      <c r="T35" s="4">
        <f t="shared" si="18"/>
        <v>16</v>
      </c>
    </row>
    <row r="36" spans="2:20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5">
        <f t="shared" si="15"/>
        <v>4.25</v>
      </c>
      <c r="M36" s="5">
        <f t="shared" si="2"/>
        <v>0.25</v>
      </c>
      <c r="N36" s="4">
        <f t="shared" si="10"/>
        <v>0.65719505707458503</v>
      </c>
      <c r="O36" s="4">
        <f t="shared" si="16"/>
        <v>17</v>
      </c>
      <c r="P36" s="4"/>
      <c r="Q36" s="5">
        <f t="shared" si="17"/>
        <v>1.4166666666666663</v>
      </c>
      <c r="R36" s="5">
        <f t="shared" si="3"/>
        <v>8.3333333333333329E-2</v>
      </c>
      <c r="S36" s="4">
        <f t="shared" si="13"/>
        <v>0.86842014114608246</v>
      </c>
      <c r="T36" s="4">
        <f t="shared" si="18"/>
        <v>17</v>
      </c>
    </row>
    <row r="37" spans="2:20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5">
        <f t="shared" si="15"/>
        <v>4.5</v>
      </c>
      <c r="M37" s="5">
        <f t="shared" si="2"/>
        <v>0.25</v>
      </c>
      <c r="N37" s="4">
        <f t="shared" si="10"/>
        <v>0.64116590934105855</v>
      </c>
      <c r="O37" s="4">
        <f t="shared" si="16"/>
        <v>18</v>
      </c>
      <c r="P37" s="4"/>
      <c r="Q37" s="5">
        <f t="shared" si="17"/>
        <v>1.4999999999999996</v>
      </c>
      <c r="R37" s="5">
        <f t="shared" si="3"/>
        <v>8.3333333333333329E-2</v>
      </c>
      <c r="S37" s="4">
        <f t="shared" si="13"/>
        <v>0.86124311518619745</v>
      </c>
      <c r="T37" s="4">
        <f t="shared" si="18"/>
        <v>18</v>
      </c>
    </row>
    <row r="38" spans="2:20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5">
        <f t="shared" si="15"/>
        <v>4.75</v>
      </c>
      <c r="M38" s="5">
        <f t="shared" si="2"/>
        <v>0.25</v>
      </c>
      <c r="N38" s="4">
        <f t="shared" si="10"/>
        <v>0.62552771643030103</v>
      </c>
      <c r="O38" s="4">
        <f t="shared" si="16"/>
        <v>19</v>
      </c>
      <c r="P38" s="4"/>
      <c r="Q38" s="5">
        <f t="shared" si="17"/>
        <v>1.5833333333333328</v>
      </c>
      <c r="R38" s="5">
        <f t="shared" si="3"/>
        <v>8.3333333333333329E-2</v>
      </c>
      <c r="S38" s="4">
        <f t="shared" si="13"/>
        <v>0.85412540349044375</v>
      </c>
      <c r="T38" s="4">
        <f t="shared" si="18"/>
        <v>19</v>
      </c>
    </row>
    <row r="39" spans="2:20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22">
        <f>M$6</f>
        <v>5.0999999999999996</v>
      </c>
      <c r="M39" s="22">
        <f>L39-SUM(M$20:M38)</f>
        <v>0.34999999999999964</v>
      </c>
      <c r="N39" s="21">
        <f>N38*(1/(1+M$17*(L39-L38))^O39)</f>
        <v>0.60437460524666775</v>
      </c>
      <c r="O39" s="21">
        <v>1</v>
      </c>
      <c r="P39" s="4"/>
      <c r="Q39" s="5">
        <f t="shared" si="17"/>
        <v>1.6666666666666661</v>
      </c>
      <c r="R39" s="5">
        <f t="shared" si="3"/>
        <v>8.3333333333333329E-2</v>
      </c>
      <c r="S39" s="4">
        <f t="shared" si="13"/>
        <v>0.84706651585829151</v>
      </c>
      <c r="T39" s="4">
        <f t="shared" si="18"/>
        <v>20</v>
      </c>
    </row>
    <row r="40" spans="2:20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P40" s="4"/>
      <c r="Q40" s="5">
        <f t="shared" si="17"/>
        <v>1.7499999999999993</v>
      </c>
      <c r="R40" s="5">
        <f t="shared" si="3"/>
        <v>8.3333333333333329E-2</v>
      </c>
      <c r="S40" s="4">
        <f t="shared" si="13"/>
        <v>0.84006596614045448</v>
      </c>
      <c r="T40" s="4">
        <f t="shared" si="18"/>
        <v>21</v>
      </c>
    </row>
    <row r="41" spans="2:20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5">
        <f t="shared" si="17"/>
        <v>1.8333333333333326</v>
      </c>
      <c r="R41" s="5">
        <f t="shared" si="3"/>
        <v>8.3333333333333329E-2</v>
      </c>
      <c r="S41" s="4">
        <f t="shared" si="13"/>
        <v>0.83312327220540916</v>
      </c>
      <c r="T41" s="4">
        <f t="shared" si="18"/>
        <v>22</v>
      </c>
    </row>
    <row r="42" spans="2:20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5">
        <f t="shared" si="17"/>
        <v>1.9166666666666659</v>
      </c>
      <c r="R42" s="5">
        <f t="shared" si="3"/>
        <v>8.3333333333333329E-2</v>
      </c>
      <c r="S42" s="4">
        <f t="shared" si="13"/>
        <v>0.82623795590619109</v>
      </c>
      <c r="T42" s="4">
        <f t="shared" si="18"/>
        <v>23</v>
      </c>
    </row>
    <row r="43" spans="2:20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5">
        <f t="shared" si="17"/>
        <v>1.9999999999999991</v>
      </c>
      <c r="R43" s="5">
        <f t="shared" si="3"/>
        <v>8.3333333333333329E-2</v>
      </c>
      <c r="S43" s="4">
        <f t="shared" si="13"/>
        <v>0.81940954304746227</v>
      </c>
      <c r="T43" s="4">
        <f t="shared" si="18"/>
        <v>24</v>
      </c>
    </row>
    <row r="44" spans="2:20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>
        <f t="shared" si="17"/>
        <v>2.0833333333333326</v>
      </c>
      <c r="R44" s="5">
        <f t="shared" si="3"/>
        <v>8.3333333333333329E-2</v>
      </c>
      <c r="S44" s="4">
        <f t="shared" si="13"/>
        <v>0.81263756335285531</v>
      </c>
      <c r="T44" s="4">
        <f t="shared" si="18"/>
        <v>25</v>
      </c>
    </row>
    <row r="45" spans="2:20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>
        <f t="shared" si="17"/>
        <v>2.1666666666666661</v>
      </c>
      <c r="R45" s="5">
        <f t="shared" si="3"/>
        <v>8.3333333333333329E-2</v>
      </c>
      <c r="S45" s="4">
        <f t="shared" si="13"/>
        <v>0.80592155043258373</v>
      </c>
      <c r="T45" s="4">
        <f t="shared" si="18"/>
        <v>26</v>
      </c>
    </row>
    <row r="46" spans="2:20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5">
        <f t="shared" si="17"/>
        <v>2.2499999999999996</v>
      </c>
      <c r="R46" s="5">
        <f t="shared" si="3"/>
        <v>8.3333333333333329E-2</v>
      </c>
      <c r="S46" s="4">
        <f t="shared" si="13"/>
        <v>0.79926104175132262</v>
      </c>
      <c r="T46" s="4">
        <f t="shared" si="18"/>
        <v>27</v>
      </c>
    </row>
    <row r="47" spans="2:20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5">
        <f t="shared" si="17"/>
        <v>2.333333333333333</v>
      </c>
      <c r="R47" s="5">
        <f t="shared" si="3"/>
        <v>8.3333333333333329E-2</v>
      </c>
      <c r="S47" s="4">
        <f t="shared" si="13"/>
        <v>0.79265557859635305</v>
      </c>
      <c r="T47" s="4">
        <f t="shared" si="18"/>
        <v>28</v>
      </c>
    </row>
    <row r="48" spans="2:20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">
        <f t="shared" si="17"/>
        <v>2.4166666666666665</v>
      </c>
      <c r="R48" s="5">
        <f t="shared" si="3"/>
        <v>8.3333333333333329E-2</v>
      </c>
      <c r="S48" s="4">
        <f t="shared" si="13"/>
        <v>0.78610470604597016</v>
      </c>
      <c r="T48" s="4">
        <f t="shared" si="18"/>
        <v>29</v>
      </c>
    </row>
    <row r="49" spans="2:20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>
        <f t="shared" si="17"/>
        <v>2.5</v>
      </c>
      <c r="R49" s="5">
        <f t="shared" si="3"/>
        <v>8.3333333333333329E-2</v>
      </c>
      <c r="S49" s="4">
        <f t="shared" si="13"/>
        <v>0.77960797293815209</v>
      </c>
      <c r="T49" s="4">
        <f t="shared" si="18"/>
        <v>30</v>
      </c>
    </row>
    <row r="50" spans="2:20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">
        <f t="shared" si="17"/>
        <v>2.5833333333333335</v>
      </c>
      <c r="R50" s="5">
        <f t="shared" si="3"/>
        <v>8.3333333333333329E-2</v>
      </c>
      <c r="S50" s="4">
        <f t="shared" si="13"/>
        <v>0.77316493183948976</v>
      </c>
      <c r="T50" s="4">
        <f t="shared" si="18"/>
        <v>31</v>
      </c>
    </row>
    <row r="51" spans="2:20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>
        <f t="shared" si="17"/>
        <v>2.666666666666667</v>
      </c>
      <c r="R51" s="5">
        <f t="shared" si="3"/>
        <v>8.3333333333333329E-2</v>
      </c>
      <c r="S51" s="4">
        <f t="shared" si="13"/>
        <v>0.76677513901437</v>
      </c>
      <c r="T51" s="4">
        <f t="shared" si="18"/>
        <v>32</v>
      </c>
    </row>
    <row r="52" spans="2:20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>
        <f t="shared" si="17"/>
        <v>2.7500000000000004</v>
      </c>
      <c r="R52" s="5">
        <f t="shared" si="3"/>
        <v>8.3333333333333329E-2</v>
      </c>
      <c r="S52" s="4">
        <f t="shared" si="13"/>
        <v>0.76043815439441664</v>
      </c>
      <c r="T52" s="4">
        <f t="shared" si="18"/>
        <v>33</v>
      </c>
    </row>
    <row r="53" spans="2:20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>
        <f t="shared" si="17"/>
        <v>2.8333333333333339</v>
      </c>
      <c r="R53" s="5">
        <f t="shared" si="3"/>
        <v>8.3333333333333329E-2</v>
      </c>
      <c r="S53" s="4">
        <f t="shared" si="13"/>
        <v>0.75415354154818171</v>
      </c>
      <c r="T53" s="4">
        <f t="shared" si="18"/>
        <v>34</v>
      </c>
    </row>
    <row r="54" spans="2:20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>
        <f t="shared" si="17"/>
        <v>2.9166666666666674</v>
      </c>
      <c r="R54" s="5">
        <f t="shared" si="3"/>
        <v>8.3333333333333329E-2</v>
      </c>
      <c r="S54" s="4">
        <f t="shared" si="13"/>
        <v>0.74792086765108945</v>
      </c>
      <c r="T54" s="4">
        <f t="shared" si="18"/>
        <v>35</v>
      </c>
    </row>
    <row r="55" spans="2:20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5">
        <f t="shared" si="17"/>
        <v>3.0000000000000009</v>
      </c>
      <c r="R55" s="5">
        <f t="shared" si="3"/>
        <v>8.3333333333333329E-2</v>
      </c>
      <c r="S55" s="4">
        <f t="shared" si="13"/>
        <v>0.7417397034556259</v>
      </c>
      <c r="T55" s="4">
        <f t="shared" si="18"/>
        <v>36</v>
      </c>
    </row>
    <row r="56" spans="2:20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">
        <f t="shared" si="17"/>
        <v>3.0833333333333344</v>
      </c>
      <c r="R56" s="5">
        <f t="shared" si="3"/>
        <v>8.3333333333333329E-2</v>
      </c>
      <c r="S56" s="4">
        <f t="shared" si="13"/>
        <v>0.73560962326177781</v>
      </c>
      <c r="T56" s="4">
        <f t="shared" si="18"/>
        <v>37</v>
      </c>
    </row>
    <row r="57" spans="2:20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">
        <f t="shared" si="17"/>
        <v>3.1666666666666679</v>
      </c>
      <c r="R57" s="5">
        <f t="shared" si="3"/>
        <v>8.3333333333333329E-2</v>
      </c>
      <c r="S57" s="4">
        <f t="shared" si="13"/>
        <v>0.72953020488771347</v>
      </c>
      <c r="T57" s="4">
        <f t="shared" si="18"/>
        <v>38</v>
      </c>
    </row>
    <row r="58" spans="2:20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">
        <f t="shared" si="17"/>
        <v>3.2500000000000013</v>
      </c>
      <c r="R58" s="5">
        <f t="shared" si="3"/>
        <v>8.3333333333333329E-2</v>
      </c>
      <c r="S58" s="4">
        <f t="shared" si="13"/>
        <v>0.72350102964070773</v>
      </c>
      <c r="T58" s="4">
        <f t="shared" si="18"/>
        <v>39</v>
      </c>
    </row>
    <row r="59" spans="2:20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>
        <f t="shared" si="17"/>
        <v>3.3333333333333348</v>
      </c>
      <c r="R59" s="5">
        <f t="shared" si="3"/>
        <v>8.3333333333333329E-2</v>
      </c>
      <c r="S59" s="4">
        <f t="shared" si="13"/>
        <v>0.71752168228830515</v>
      </c>
      <c r="T59" s="4">
        <f t="shared" si="18"/>
        <v>40</v>
      </c>
    </row>
    <row r="60" spans="2:20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">
        <f t="shared" si="17"/>
        <v>3.4166666666666683</v>
      </c>
      <c r="R60" s="5">
        <f t="shared" si="3"/>
        <v>8.3333333333333329E-2</v>
      </c>
      <c r="S60" s="4">
        <f t="shared" si="13"/>
        <v>0.71159175102972416</v>
      </c>
      <c r="T60" s="4">
        <f t="shared" si="18"/>
        <v>41</v>
      </c>
    </row>
    <row r="61" spans="2:20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">
        <f t="shared" si="17"/>
        <v>3.5000000000000018</v>
      </c>
      <c r="R61" s="5">
        <f t="shared" si="3"/>
        <v>8.3333333333333329E-2</v>
      </c>
      <c r="S61" s="4">
        <f t="shared" si="13"/>
        <v>0.70571082746749492</v>
      </c>
      <c r="T61" s="4">
        <f t="shared" si="18"/>
        <v>42</v>
      </c>
    </row>
    <row r="62" spans="2:20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>
        <f t="shared" si="17"/>
        <v>3.5833333333333353</v>
      </c>
      <c r="R62" s="5">
        <f t="shared" si="3"/>
        <v>8.3333333333333329E-2</v>
      </c>
      <c r="S62" s="4">
        <f t="shared" si="13"/>
        <v>0.69987850657933393</v>
      </c>
      <c r="T62" s="4">
        <f t="shared" si="18"/>
        <v>43</v>
      </c>
    </row>
    <row r="63" spans="2:20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5">
        <f t="shared" si="17"/>
        <v>3.6666666666666687</v>
      </c>
      <c r="R63" s="5">
        <f t="shared" si="3"/>
        <v>8.3333333333333329E-2</v>
      </c>
      <c r="S63" s="4">
        <f t="shared" si="13"/>
        <v>0.69409438669024848</v>
      </c>
      <c r="T63" s="4">
        <f t="shared" si="18"/>
        <v>44</v>
      </c>
    </row>
    <row r="64" spans="2:20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>
        <f t="shared" si="17"/>
        <v>3.7500000000000022</v>
      </c>
      <c r="R64" s="5">
        <f t="shared" si="3"/>
        <v>8.3333333333333329E-2</v>
      </c>
      <c r="S64" s="4">
        <f t="shared" si="13"/>
        <v>0.68835806944487476</v>
      </c>
      <c r="T64" s="4">
        <f t="shared" si="18"/>
        <v>45</v>
      </c>
    </row>
    <row r="65" spans="2:20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5">
        <f t="shared" si="17"/>
        <v>3.8333333333333357</v>
      </c>
      <c r="R65" s="5">
        <f t="shared" si="3"/>
        <v>8.3333333333333329E-2</v>
      </c>
      <c r="S65" s="4">
        <f t="shared" si="13"/>
        <v>0.68266915978004095</v>
      </c>
      <c r="T65" s="4">
        <f t="shared" si="18"/>
        <v>46</v>
      </c>
    </row>
    <row r="66" spans="2:20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5">
        <f t="shared" si="17"/>
        <v>3.9166666666666692</v>
      </c>
      <c r="R66" s="5">
        <f t="shared" si="3"/>
        <v>8.3333333333333329E-2</v>
      </c>
      <c r="S66" s="4">
        <f t="shared" si="13"/>
        <v>0.67702726589756135</v>
      </c>
      <c r="T66" s="4">
        <f t="shared" si="18"/>
        <v>47</v>
      </c>
    </row>
    <row r="67" spans="2:20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5">
        <f t="shared" si="17"/>
        <v>4.0000000000000027</v>
      </c>
      <c r="R67" s="5">
        <f t="shared" si="3"/>
        <v>8.3333333333333329E-2</v>
      </c>
      <c r="S67" s="4">
        <f t="shared" si="13"/>
        <v>0.67143199923725094</v>
      </c>
      <c r="T67" s="4">
        <f t="shared" si="18"/>
        <v>48</v>
      </c>
    </row>
    <row r="68" spans="2:20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>
        <f t="shared" si="17"/>
        <v>4.0833333333333357</v>
      </c>
      <c r="R68" s="5">
        <f t="shared" si="3"/>
        <v>8.3333333333333329E-2</v>
      </c>
      <c r="S68" s="4">
        <f t="shared" si="13"/>
        <v>0.6658829744501662</v>
      </c>
      <c r="T68" s="4">
        <f t="shared" si="18"/>
        <v>49</v>
      </c>
    </row>
    <row r="69" spans="2:20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5">
        <f t="shared" si="17"/>
        <v>4.1666666666666687</v>
      </c>
      <c r="R69" s="5">
        <f t="shared" si="3"/>
        <v>8.3333333333333329E-2</v>
      </c>
      <c r="S69" s="4">
        <f t="shared" si="13"/>
        <v>0.66037980937206564</v>
      </c>
      <c r="T69" s="4">
        <f t="shared" si="18"/>
        <v>50</v>
      </c>
    </row>
    <row r="70" spans="2:20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>
        <f t="shared" si="17"/>
        <v>4.2500000000000018</v>
      </c>
      <c r="R70" s="5">
        <f t="shared" si="3"/>
        <v>8.3333333333333329E-2</v>
      </c>
      <c r="S70" s="4">
        <f t="shared" si="13"/>
        <v>0.65492212499708991</v>
      </c>
      <c r="T70" s="4">
        <f t="shared" si="18"/>
        <v>51</v>
      </c>
    </row>
    <row r="71" spans="2:20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5">
        <f t="shared" si="17"/>
        <v>4.3333333333333348</v>
      </c>
      <c r="R71" s="5">
        <f t="shared" si="3"/>
        <v>8.3333333333333329E-2</v>
      </c>
      <c r="S71" s="4">
        <f t="shared" si="13"/>
        <v>0.64950954545165951</v>
      </c>
      <c r="T71" s="4">
        <f t="shared" si="18"/>
        <v>52</v>
      </c>
    </row>
    <row r="72" spans="2:20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5">
        <f t="shared" si="17"/>
        <v>4.4166666666666679</v>
      </c>
      <c r="R72" s="5">
        <f t="shared" si="3"/>
        <v>8.3333333333333329E-2</v>
      </c>
      <c r="S72" s="4">
        <f t="shared" si="13"/>
        <v>0.644141697968588</v>
      </c>
      <c r="T72" s="4">
        <f t="shared" si="18"/>
        <v>53</v>
      </c>
    </row>
    <row r="73" spans="2:20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>
        <f t="shared" si="17"/>
        <v>4.5000000000000009</v>
      </c>
      <c r="R73" s="5">
        <f t="shared" si="3"/>
        <v>8.3333333333333329E-2</v>
      </c>
      <c r="S73" s="4">
        <f t="shared" si="13"/>
        <v>0.6388182128614095</v>
      </c>
      <c r="T73" s="4">
        <f t="shared" si="18"/>
        <v>54</v>
      </c>
    </row>
    <row r="74" spans="2:20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5">
        <f t="shared" si="17"/>
        <v>4.5833333333333339</v>
      </c>
      <c r="R74" s="5">
        <f t="shared" si="3"/>
        <v>8.3333333333333329E-2</v>
      </c>
      <c r="S74" s="4">
        <f t="shared" si="13"/>
        <v>0.6335387234989186</v>
      </c>
      <c r="T74" s="4">
        <f t="shared" si="18"/>
        <v>55</v>
      </c>
    </row>
    <row r="75" spans="2:20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5">
        <f t="shared" si="17"/>
        <v>4.666666666666667</v>
      </c>
      <c r="R75" s="5">
        <f t="shared" si="3"/>
        <v>8.3333333333333329E-2</v>
      </c>
      <c r="S75" s="4">
        <f t="shared" si="13"/>
        <v>0.62830286627991927</v>
      </c>
      <c r="T75" s="4">
        <f t="shared" si="18"/>
        <v>56</v>
      </c>
    </row>
    <row r="76" spans="2:20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5">
        <f t="shared" si="17"/>
        <v>4.75</v>
      </c>
      <c r="R76" s="5">
        <f t="shared" si="3"/>
        <v>8.3333333333333329E-2</v>
      </c>
      <c r="S76" s="4">
        <f t="shared" si="13"/>
        <v>0.62311028060818452</v>
      </c>
      <c r="T76" s="4">
        <f t="shared" si="18"/>
        <v>57</v>
      </c>
    </row>
    <row r="77" spans="2:20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>
        <f t="shared" si="17"/>
        <v>4.833333333333333</v>
      </c>
      <c r="R77" s="5">
        <f t="shared" si="3"/>
        <v>8.3333333333333329E-2</v>
      </c>
      <c r="S77" s="4">
        <f t="shared" si="13"/>
        <v>0.61796060886762105</v>
      </c>
      <c r="T77" s="4">
        <f t="shared" si="18"/>
        <v>58</v>
      </c>
    </row>
    <row r="78" spans="2:20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>
        <f t="shared" si="17"/>
        <v>4.9166666666666661</v>
      </c>
      <c r="R78" s="5">
        <f t="shared" si="3"/>
        <v>8.3333333333333329E-2</v>
      </c>
      <c r="S78" s="4">
        <f t="shared" si="13"/>
        <v>0.61285349639764064</v>
      </c>
      <c r="T78" s="4">
        <f t="shared" si="18"/>
        <v>59</v>
      </c>
    </row>
    <row r="79" spans="2:20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22">
        <f>R$6</f>
        <v>5.05</v>
      </c>
      <c r="R79" s="22">
        <f>Q79-SUM(R$20:R78)</f>
        <v>0.13333333333333375</v>
      </c>
      <c r="S79" s="21">
        <f>S78*(1/(1+R$17*(Q79-Q78))^T79)</f>
        <v>0.60478963460293478</v>
      </c>
      <c r="T79" s="21">
        <v>1</v>
      </c>
    </row>
    <row r="81" spans="17:17" x14ac:dyDescent="0.25">
      <c r="Q81" s="6"/>
    </row>
    <row r="82" spans="17:17" x14ac:dyDescent="0.25">
      <c r="Q82" s="6"/>
    </row>
    <row r="83" spans="17:17" x14ac:dyDescent="0.25">
      <c r="Q83" s="6"/>
    </row>
    <row r="84" spans="17:17" x14ac:dyDescent="0.25">
      <c r="Q84" s="6"/>
    </row>
    <row r="85" spans="17:17" x14ac:dyDescent="0.25">
      <c r="Q85" s="6"/>
    </row>
    <row r="86" spans="17:17" x14ac:dyDescent="0.25">
      <c r="Q86" s="6"/>
    </row>
    <row r="87" spans="17:17" x14ac:dyDescent="0.25">
      <c r="Q87" s="6"/>
    </row>
    <row r="88" spans="17:17" x14ac:dyDescent="0.25">
      <c r="Q88" s="6"/>
    </row>
  </sheetData>
  <dataValidations count="1">
    <dataValidation type="list" allowBlank="1" showInputMessage="1" showErrorMessage="1" sqref="C7 M7 H7 R7">
      <formula1>"SHORT_START,LONG_START,SHORT_END,LONG_END,NONE"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Regular Coupons</vt:lpstr>
      <vt:lpstr>Stub ShortStart</vt:lpstr>
      <vt:lpstr>Stub LongStart</vt:lpstr>
      <vt:lpstr>Stub ShortEnd</vt:lpstr>
      <vt:lpstr>Stub LongEnd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2018-01-10T13:50:31Z</dcterms:created>
  <dcterms:modified xsi:type="dcterms:W3CDTF">2018-01-12T12:30:47Z</dcterms:modified>
</cp:coreProperties>
</file>