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Math\"/>
    </mc:Choice>
  </mc:AlternateContent>
  <bookViews>
    <workbookView xWindow="0" yWindow="0" windowWidth="28800" windowHeight="13575"/>
  </bookViews>
  <sheets>
    <sheet name="EURYC_EUROIS" sheetId="1" r:id="rId1"/>
  </sheet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 a="1"/>
  <c r="D29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K8" i="1" a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M5" i="1"/>
  <c r="M4" i="1"/>
  <c r="H8" i="1" a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I4" i="1"/>
  <c r="I5" i="1"/>
  <c r="P8" i="1" a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</calcChain>
</file>

<file path=xl/sharedStrings.xml><?xml version="1.0" encoding="utf-8"?>
<sst xmlns="http://schemas.openxmlformats.org/spreadsheetml/2006/main" count="45" uniqueCount="21">
  <si>
    <t>+/-</t>
  </si>
  <si>
    <t>InterpolatedFwd</t>
  </si>
  <si>
    <t>PoynomialDegree</t>
  </si>
  <si>
    <t>IntegratedDF</t>
  </si>
  <si>
    <t>AsOfDate</t>
  </si>
  <si>
    <t xml:space="preserve"> </t>
  </si>
  <si>
    <t>EURYC</t>
  </si>
  <si>
    <t>Integrands</t>
  </si>
  <si>
    <t>CurveCollection</t>
  </si>
  <si>
    <t>CurveIndex</t>
  </si>
  <si>
    <t>EUROIS</t>
  </si>
  <si>
    <t>FixingDate</t>
  </si>
  <si>
    <t>Total RMSE</t>
  </si>
  <si>
    <t>Term</t>
  </si>
  <si>
    <t>SpotTerm</t>
  </si>
  <si>
    <t>Avg RMSE</t>
  </si>
  <si>
    <t>Forwards</t>
  </si>
  <si>
    <t>Off-Pillar Points</t>
  </si>
  <si>
    <t>Increment</t>
  </si>
  <si>
    <t>CurveFwd</t>
  </si>
  <si>
    <t>CurveDF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</si>
</sst>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d\,\ d\-mmm\-yy"/>
    <numFmt numFmtId="165" formatCode="0.00000%"/>
    <numFmt numFmtId="166" formatCode="#,##0.000000"/>
    <numFmt numFmtId="167" formatCode="#,##0.0000"/>
    <numFmt numFmtId="168" formatCode="0.000000%"/>
  </numFmts>
  <fonts count="6" x14ac:knownFonts="1">
    <font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38">
    <xf numFmtId="0" fontId="0" fillId="0" borderId="0" xfId="0"/>
    <xf numFmtId="166" fontId="1" fillId="2" borderId="0" xfId="0" applyNumberFormat="1" applyFont="1" applyFill="1" applyBorder="1" applyAlignment="1">
      <alignment horizontal="center" vertical="center"/>
    </xf>
    <xf numFmtId="166" fontId="1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3" borderId="0" xfId="0" applyFill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165" fontId="3" fillId="2" borderId="0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1" fontId="1" fillId="2" borderId="0" xfId="0" applyNumberFormat="1" applyFont="1" applyFill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166" fontId="3" fillId="2" borderId="7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167" fontId="3" fillId="2" borderId="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Border="1" applyAlignment="1">
      <alignment horizontal="center" vertical="center"/>
    </xf>
    <xf numFmtId="167" fontId="3" fillId="2" borderId="3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1" fontId="1" fillId="2" borderId="6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1" fontId="1" fillId="2" borderId="7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1" fontId="1" fillId="2" borderId="8" xfId="0" applyNumberFormat="1" applyFont="1" applyFill="1" applyBorder="1" applyAlignment="1">
      <alignment horizontal="center" vertical="center"/>
    </xf>
    <xf numFmtId="167" fontId="1" fillId="2" borderId="4" xfId="0" applyNumberFormat="1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7" fontId="1" fillId="2" borderId="2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8" fontId="1" fillId="2" borderId="6" xfId="0" applyNumberFormat="1" applyFont="1" applyFill="1" applyBorder="1" applyAlignment="1">
      <alignment horizontal="center" vertical="center"/>
    </xf>
    <xf numFmtId="168" fontId="1" fillId="2" borderId="7" xfId="0" applyNumberFormat="1" applyFont="1" applyFill="1" applyBorder="1" applyAlignment="1">
      <alignment horizontal="center" vertical="center"/>
    </xf>
    <xf numFmtId="168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98583745106978"/>
          <c:y val="0.11746632066724755"/>
          <c:w val="0.83672536238134554"/>
          <c:h val="0.84769599997606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EURYC_EUROIS!$E$7</c:f>
              <c:strCache>
                <c:ptCount val="1"/>
                <c:pt idx="0">
                  <c:v>CurveFwd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EURYC_EUROIS!$D$8:$D$297</c:f>
              <c:numCache>
                <c:formatCode>#,##0.0000</c:formatCode>
                <c:ptCount val="290"/>
                <c:pt idx="0">
                  <c:v>0</c:v>
                </c:pt>
                <c:pt idx="1">
                  <c:v>9.0410958904109592E-2</c:v>
                </c:pt>
                <c:pt idx="2">
                  <c:v>0.16712328767123288</c:v>
                </c:pt>
                <c:pt idx="3">
                  <c:v>0.24931506849315069</c:v>
                </c:pt>
                <c:pt idx="4">
                  <c:v>0.33150684931506852</c:v>
                </c:pt>
                <c:pt idx="5">
                  <c:v>0.41643835616438357</c:v>
                </c:pt>
                <c:pt idx="6">
                  <c:v>0.49863013698630138</c:v>
                </c:pt>
                <c:pt idx="7">
                  <c:v>0.58904109589041098</c:v>
                </c:pt>
                <c:pt idx="8">
                  <c:v>0.66849315068493154</c:v>
                </c:pt>
                <c:pt idx="9">
                  <c:v>0.75068493150684934</c:v>
                </c:pt>
                <c:pt idx="10">
                  <c:v>0.83835616438356164</c:v>
                </c:pt>
                <c:pt idx="11">
                  <c:v>0.9178082191780822</c:v>
                </c:pt>
                <c:pt idx="12">
                  <c:v>1.0027397260273974</c:v>
                </c:pt>
                <c:pt idx="13">
                  <c:v>1.0876712328767124</c:v>
                </c:pt>
                <c:pt idx="14">
                  <c:v>1.1643835616438356</c:v>
                </c:pt>
                <c:pt idx="15">
                  <c:v>1.2493150684931507</c:v>
                </c:pt>
                <c:pt idx="16">
                  <c:v>1.3369863013698631</c:v>
                </c:pt>
                <c:pt idx="17">
                  <c:v>1.4164383561643836</c:v>
                </c:pt>
                <c:pt idx="18">
                  <c:v>1.4986301369863013</c:v>
                </c:pt>
                <c:pt idx="19">
                  <c:v>1.5863013698630137</c:v>
                </c:pt>
                <c:pt idx="20">
                  <c:v>1.6684931506849314</c:v>
                </c:pt>
                <c:pt idx="21">
                  <c:v>1.7506849315068493</c:v>
                </c:pt>
                <c:pt idx="22">
                  <c:v>1.8356164383561644</c:v>
                </c:pt>
                <c:pt idx="23">
                  <c:v>1.9178082191780821</c:v>
                </c:pt>
                <c:pt idx="24">
                  <c:v>2.0082191780821916</c:v>
                </c:pt>
                <c:pt idx="25">
                  <c:v>2.0876712328767124</c:v>
                </c:pt>
                <c:pt idx="26">
                  <c:v>2.1643835616438358</c:v>
                </c:pt>
                <c:pt idx="27">
                  <c:v>2.2493150684931509</c:v>
                </c:pt>
                <c:pt idx="28">
                  <c:v>2.3342465753424659</c:v>
                </c:pt>
                <c:pt idx="29">
                  <c:v>2.4164383561643836</c:v>
                </c:pt>
                <c:pt idx="30">
                  <c:v>2.4986301369863013</c:v>
                </c:pt>
                <c:pt idx="31">
                  <c:v>2.5835616438356164</c:v>
                </c:pt>
                <c:pt idx="32">
                  <c:v>2.6684931506849314</c:v>
                </c:pt>
                <c:pt idx="33">
                  <c:v>2.7561643835616438</c:v>
                </c:pt>
                <c:pt idx="34">
                  <c:v>2.8356164383561642</c:v>
                </c:pt>
                <c:pt idx="35">
                  <c:v>2.9178082191780823</c:v>
                </c:pt>
                <c:pt idx="36">
                  <c:v>3.0054794520547947</c:v>
                </c:pt>
                <c:pt idx="37">
                  <c:v>3.0876712328767124</c:v>
                </c:pt>
                <c:pt idx="38">
                  <c:v>3.1643835616438358</c:v>
                </c:pt>
                <c:pt idx="39">
                  <c:v>3.2547945205479452</c:v>
                </c:pt>
                <c:pt idx="40">
                  <c:v>3.3315068493150686</c:v>
                </c:pt>
                <c:pt idx="41">
                  <c:v>3.4164383561643836</c:v>
                </c:pt>
                <c:pt idx="42">
                  <c:v>3.504109589041096</c:v>
                </c:pt>
                <c:pt idx="43">
                  <c:v>3.5835616438356164</c:v>
                </c:pt>
                <c:pt idx="44">
                  <c:v>3.6684931506849314</c:v>
                </c:pt>
                <c:pt idx="45">
                  <c:v>3.7534246575342465</c:v>
                </c:pt>
                <c:pt idx="46">
                  <c:v>3.8356164383561642</c:v>
                </c:pt>
                <c:pt idx="47">
                  <c:v>3.9178082191780823</c:v>
                </c:pt>
                <c:pt idx="48">
                  <c:v>4.0027397260273974</c:v>
                </c:pt>
                <c:pt idx="49">
                  <c:v>4.087671232876712</c:v>
                </c:pt>
                <c:pt idx="50">
                  <c:v>4.1671232876712327</c:v>
                </c:pt>
                <c:pt idx="51">
                  <c:v>4.2520547945205482</c:v>
                </c:pt>
                <c:pt idx="52">
                  <c:v>4.3342465753424655</c:v>
                </c:pt>
                <c:pt idx="53">
                  <c:v>4.4246575342465757</c:v>
                </c:pt>
                <c:pt idx="54">
                  <c:v>4.5013698630136982</c:v>
                </c:pt>
                <c:pt idx="55">
                  <c:v>4.5863013698630137</c:v>
                </c:pt>
                <c:pt idx="56">
                  <c:v>4.6739726027397257</c:v>
                </c:pt>
                <c:pt idx="57">
                  <c:v>4.7534246575342465</c:v>
                </c:pt>
                <c:pt idx="58">
                  <c:v>4.838356164383562</c:v>
                </c:pt>
                <c:pt idx="59">
                  <c:v>4.9232876712328766</c:v>
                </c:pt>
                <c:pt idx="60">
                  <c:v>5.0054794520547947</c:v>
                </c:pt>
                <c:pt idx="61">
                  <c:v>5.095890410958904</c:v>
                </c:pt>
                <c:pt idx="62">
                  <c:v>5.1726027397260275</c:v>
                </c:pt>
                <c:pt idx="63">
                  <c:v>5.2520547945205482</c:v>
                </c:pt>
                <c:pt idx="64">
                  <c:v>5.3342465753424655</c:v>
                </c:pt>
                <c:pt idx="65">
                  <c:v>5.4219178082191783</c:v>
                </c:pt>
                <c:pt idx="66">
                  <c:v>5.5013698630136982</c:v>
                </c:pt>
                <c:pt idx="67">
                  <c:v>5.5863013698630137</c:v>
                </c:pt>
                <c:pt idx="68">
                  <c:v>5.6712328767123283</c:v>
                </c:pt>
                <c:pt idx="69">
                  <c:v>5.7534246575342465</c:v>
                </c:pt>
                <c:pt idx="70">
                  <c:v>5.8438356164383558</c:v>
                </c:pt>
                <c:pt idx="71">
                  <c:v>5.9205479452054792</c:v>
                </c:pt>
                <c:pt idx="72">
                  <c:v>6.0054794520547947</c:v>
                </c:pt>
                <c:pt idx="73">
                  <c:v>6.0931506849315067</c:v>
                </c:pt>
                <c:pt idx="74">
                  <c:v>6.1698630136986301</c:v>
                </c:pt>
                <c:pt idx="75">
                  <c:v>6.2520547945205482</c:v>
                </c:pt>
                <c:pt idx="76">
                  <c:v>6.3342465753424655</c:v>
                </c:pt>
                <c:pt idx="77">
                  <c:v>6.419178082191781</c:v>
                </c:pt>
                <c:pt idx="78">
                  <c:v>6.5013698630136982</c:v>
                </c:pt>
                <c:pt idx="79">
                  <c:v>6.5917808219178085</c:v>
                </c:pt>
                <c:pt idx="80">
                  <c:v>6.6712328767123283</c:v>
                </c:pt>
                <c:pt idx="81">
                  <c:v>6.7534246575342465</c:v>
                </c:pt>
                <c:pt idx="82">
                  <c:v>6.8410958904109593</c:v>
                </c:pt>
                <c:pt idx="83">
                  <c:v>6.9205479452054792</c:v>
                </c:pt>
                <c:pt idx="84">
                  <c:v>7.0054794520547947</c:v>
                </c:pt>
                <c:pt idx="85">
                  <c:v>7.0904109589041093</c:v>
                </c:pt>
                <c:pt idx="86">
                  <c:v>7.1671232876712327</c:v>
                </c:pt>
                <c:pt idx="87">
                  <c:v>7.2520547945205482</c:v>
                </c:pt>
                <c:pt idx="88">
                  <c:v>7.3397260273972602</c:v>
                </c:pt>
                <c:pt idx="89">
                  <c:v>7.419178082191781</c:v>
                </c:pt>
                <c:pt idx="90">
                  <c:v>7.5013698630136982</c:v>
                </c:pt>
                <c:pt idx="91">
                  <c:v>7.5890410958904111</c:v>
                </c:pt>
                <c:pt idx="92">
                  <c:v>7.6712328767123283</c:v>
                </c:pt>
                <c:pt idx="93">
                  <c:v>7.7534246575342465</c:v>
                </c:pt>
                <c:pt idx="94">
                  <c:v>7.838356164383562</c:v>
                </c:pt>
                <c:pt idx="95">
                  <c:v>7.9205479452054792</c:v>
                </c:pt>
                <c:pt idx="96">
                  <c:v>8.0109589041095894</c:v>
                </c:pt>
                <c:pt idx="97">
                  <c:v>8.0904109589041102</c:v>
                </c:pt>
                <c:pt idx="98">
                  <c:v>8.169863013698631</c:v>
                </c:pt>
                <c:pt idx="99">
                  <c:v>8.2602739726027394</c:v>
                </c:pt>
                <c:pt idx="100">
                  <c:v>8.3369863013698637</c:v>
                </c:pt>
                <c:pt idx="101">
                  <c:v>8.4219178082191775</c:v>
                </c:pt>
                <c:pt idx="102">
                  <c:v>8.5095890410958912</c:v>
                </c:pt>
                <c:pt idx="103">
                  <c:v>8.5890410958904102</c:v>
                </c:pt>
                <c:pt idx="104">
                  <c:v>8.6739726027397257</c:v>
                </c:pt>
                <c:pt idx="105">
                  <c:v>8.7589041095890412</c:v>
                </c:pt>
                <c:pt idx="106">
                  <c:v>8.8410958904109584</c:v>
                </c:pt>
                <c:pt idx="107">
                  <c:v>8.9232876712328775</c:v>
                </c:pt>
                <c:pt idx="108">
                  <c:v>9.0082191780821912</c:v>
                </c:pt>
                <c:pt idx="109">
                  <c:v>9.0931506849315067</c:v>
                </c:pt>
                <c:pt idx="110">
                  <c:v>9.169863013698631</c:v>
                </c:pt>
                <c:pt idx="111">
                  <c:v>9.257534246575343</c:v>
                </c:pt>
                <c:pt idx="112">
                  <c:v>9.3369863013698637</c:v>
                </c:pt>
                <c:pt idx="113">
                  <c:v>9.4219178082191775</c:v>
                </c:pt>
                <c:pt idx="114">
                  <c:v>9.506849315068493</c:v>
                </c:pt>
                <c:pt idx="115">
                  <c:v>9.5890410958904102</c:v>
                </c:pt>
                <c:pt idx="116">
                  <c:v>9.6794520547945204</c:v>
                </c:pt>
                <c:pt idx="117">
                  <c:v>9.7561643835616429</c:v>
                </c:pt>
                <c:pt idx="118">
                  <c:v>9.8410958904109584</c:v>
                </c:pt>
                <c:pt idx="119">
                  <c:v>9.9287671232876704</c:v>
                </c:pt>
                <c:pt idx="120">
                  <c:v>10.008219178082191</c:v>
                </c:pt>
                <c:pt idx="121">
                  <c:v>10.093150684931507</c:v>
                </c:pt>
                <c:pt idx="122">
                  <c:v>10.169863013698631</c:v>
                </c:pt>
                <c:pt idx="123">
                  <c:v>10.254794520547945</c:v>
                </c:pt>
                <c:pt idx="124">
                  <c:v>10.336986301369864</c:v>
                </c:pt>
                <c:pt idx="125">
                  <c:v>10.427397260273972</c:v>
                </c:pt>
                <c:pt idx="126">
                  <c:v>10.504109589041096</c:v>
                </c:pt>
                <c:pt idx="127">
                  <c:v>10.58904109589041</c:v>
                </c:pt>
                <c:pt idx="128">
                  <c:v>10.676712328767124</c:v>
                </c:pt>
                <c:pt idx="129">
                  <c:v>10.756164383561643</c:v>
                </c:pt>
                <c:pt idx="130">
                  <c:v>10.841095890410958</c:v>
                </c:pt>
                <c:pt idx="131">
                  <c:v>10.926027397260274</c:v>
                </c:pt>
                <c:pt idx="132">
                  <c:v>11.008219178082191</c:v>
                </c:pt>
                <c:pt idx="133">
                  <c:v>11.098630136986301</c:v>
                </c:pt>
                <c:pt idx="134">
                  <c:v>11.175342465753424</c:v>
                </c:pt>
                <c:pt idx="135">
                  <c:v>11.254794520547945</c:v>
                </c:pt>
                <c:pt idx="136">
                  <c:v>11.336986301369864</c:v>
                </c:pt>
                <c:pt idx="137">
                  <c:v>11.424657534246576</c:v>
                </c:pt>
                <c:pt idx="138">
                  <c:v>11.504109589041096</c:v>
                </c:pt>
                <c:pt idx="139">
                  <c:v>11.58904109589041</c:v>
                </c:pt>
                <c:pt idx="140">
                  <c:v>11.673972602739726</c:v>
                </c:pt>
                <c:pt idx="141">
                  <c:v>11.756164383561643</c:v>
                </c:pt>
                <c:pt idx="142">
                  <c:v>11.846575342465753</c:v>
                </c:pt>
                <c:pt idx="143">
                  <c:v>11.923287671232877</c:v>
                </c:pt>
                <c:pt idx="144">
                  <c:v>12.008219178082191</c:v>
                </c:pt>
                <c:pt idx="145">
                  <c:v>12.095890410958905</c:v>
                </c:pt>
                <c:pt idx="146">
                  <c:v>12.172602739726027</c:v>
                </c:pt>
                <c:pt idx="147">
                  <c:v>12.257534246575343</c:v>
                </c:pt>
                <c:pt idx="148">
                  <c:v>12.345205479452055</c:v>
                </c:pt>
                <c:pt idx="149">
                  <c:v>12.424657534246576</c:v>
                </c:pt>
                <c:pt idx="150">
                  <c:v>12.506849315068493</c:v>
                </c:pt>
                <c:pt idx="151">
                  <c:v>12.594520547945205</c:v>
                </c:pt>
                <c:pt idx="152">
                  <c:v>12.676712328767124</c:v>
                </c:pt>
                <c:pt idx="153">
                  <c:v>12.758904109589041</c:v>
                </c:pt>
                <c:pt idx="154">
                  <c:v>12.843835616438357</c:v>
                </c:pt>
                <c:pt idx="155">
                  <c:v>12.926027397260274</c:v>
                </c:pt>
                <c:pt idx="156">
                  <c:v>13.016438356164384</c:v>
                </c:pt>
                <c:pt idx="157">
                  <c:v>13.095890410958905</c:v>
                </c:pt>
                <c:pt idx="158">
                  <c:v>13.172602739726027</c:v>
                </c:pt>
                <c:pt idx="159">
                  <c:v>13.257534246575343</c:v>
                </c:pt>
                <c:pt idx="160">
                  <c:v>13.342465753424657</c:v>
                </c:pt>
                <c:pt idx="161">
                  <c:v>13.424657534246576</c:v>
                </c:pt>
                <c:pt idx="162">
                  <c:v>13.506849315068493</c:v>
                </c:pt>
                <c:pt idx="163">
                  <c:v>13.591780821917808</c:v>
                </c:pt>
                <c:pt idx="164">
                  <c:v>13.676712328767124</c:v>
                </c:pt>
                <c:pt idx="165">
                  <c:v>13.764383561643836</c:v>
                </c:pt>
                <c:pt idx="166">
                  <c:v>13.843835616438357</c:v>
                </c:pt>
                <c:pt idx="167">
                  <c:v>13.926027397260274</c:v>
                </c:pt>
                <c:pt idx="168">
                  <c:v>14.013698630136986</c:v>
                </c:pt>
                <c:pt idx="169">
                  <c:v>14.095890410958905</c:v>
                </c:pt>
                <c:pt idx="170">
                  <c:v>14.172602739726027</c:v>
                </c:pt>
                <c:pt idx="171">
                  <c:v>14.263013698630138</c:v>
                </c:pt>
                <c:pt idx="172">
                  <c:v>14.33972602739726</c:v>
                </c:pt>
                <c:pt idx="173">
                  <c:v>14.424657534246576</c:v>
                </c:pt>
                <c:pt idx="174">
                  <c:v>14.512328767123288</c:v>
                </c:pt>
                <c:pt idx="175">
                  <c:v>14.591780821917808</c:v>
                </c:pt>
                <c:pt idx="176">
                  <c:v>14.676712328767124</c:v>
                </c:pt>
                <c:pt idx="177">
                  <c:v>14.761643835616438</c:v>
                </c:pt>
                <c:pt idx="178">
                  <c:v>14.843835616438357</c:v>
                </c:pt>
                <c:pt idx="179">
                  <c:v>14.926027397260274</c:v>
                </c:pt>
                <c:pt idx="180">
                  <c:v>15.010958904109589</c:v>
                </c:pt>
                <c:pt idx="181">
                  <c:v>15.095890410958905</c:v>
                </c:pt>
                <c:pt idx="182">
                  <c:v>15.172602739726027</c:v>
                </c:pt>
                <c:pt idx="183">
                  <c:v>15.260273972602739</c:v>
                </c:pt>
                <c:pt idx="184">
                  <c:v>15.33972602739726</c:v>
                </c:pt>
                <c:pt idx="185">
                  <c:v>15.424657534246576</c:v>
                </c:pt>
                <c:pt idx="186">
                  <c:v>15.509589041095891</c:v>
                </c:pt>
                <c:pt idx="187">
                  <c:v>15.591780821917808</c:v>
                </c:pt>
                <c:pt idx="188">
                  <c:v>15.682191780821919</c:v>
                </c:pt>
                <c:pt idx="189">
                  <c:v>15.758904109589041</c:v>
                </c:pt>
                <c:pt idx="190">
                  <c:v>15.843835616438357</c:v>
                </c:pt>
                <c:pt idx="191">
                  <c:v>15.931506849315069</c:v>
                </c:pt>
                <c:pt idx="192">
                  <c:v>16.010958904109589</c:v>
                </c:pt>
                <c:pt idx="193">
                  <c:v>16.095890410958905</c:v>
                </c:pt>
                <c:pt idx="194">
                  <c:v>16.18082191780822</c:v>
                </c:pt>
                <c:pt idx="195">
                  <c:v>16.260273972602739</c:v>
                </c:pt>
                <c:pt idx="196">
                  <c:v>16.342465753424658</c:v>
                </c:pt>
                <c:pt idx="197">
                  <c:v>16.43013698630137</c:v>
                </c:pt>
                <c:pt idx="198">
                  <c:v>16.509589041095889</c:v>
                </c:pt>
                <c:pt idx="199">
                  <c:v>16.594520547945205</c:v>
                </c:pt>
                <c:pt idx="200">
                  <c:v>16.67945205479452</c:v>
                </c:pt>
                <c:pt idx="201">
                  <c:v>16.761643835616439</c:v>
                </c:pt>
                <c:pt idx="202">
                  <c:v>16.852054794520548</c:v>
                </c:pt>
                <c:pt idx="203">
                  <c:v>16.92876712328767</c:v>
                </c:pt>
                <c:pt idx="204">
                  <c:v>17.013698630136986</c:v>
                </c:pt>
                <c:pt idx="205">
                  <c:v>17.101369863013698</c:v>
                </c:pt>
                <c:pt idx="206">
                  <c:v>17.17808219178082</c:v>
                </c:pt>
                <c:pt idx="207">
                  <c:v>17.260273972602739</c:v>
                </c:pt>
                <c:pt idx="208">
                  <c:v>17.342465753424658</c:v>
                </c:pt>
                <c:pt idx="209">
                  <c:v>17.427397260273974</c:v>
                </c:pt>
                <c:pt idx="210">
                  <c:v>17.509589041095889</c:v>
                </c:pt>
                <c:pt idx="211">
                  <c:v>17.600000000000001</c:v>
                </c:pt>
                <c:pt idx="212">
                  <c:v>17.67945205479452</c:v>
                </c:pt>
                <c:pt idx="213">
                  <c:v>17.761643835616439</c:v>
                </c:pt>
                <c:pt idx="214">
                  <c:v>17.849315068493151</c:v>
                </c:pt>
                <c:pt idx="215">
                  <c:v>17.92876712328767</c:v>
                </c:pt>
                <c:pt idx="216">
                  <c:v>18.013698630136986</c:v>
                </c:pt>
                <c:pt idx="217">
                  <c:v>18.098630136986301</c:v>
                </c:pt>
                <c:pt idx="218">
                  <c:v>18.175342465753424</c:v>
                </c:pt>
                <c:pt idx="219">
                  <c:v>18.260273972602739</c:v>
                </c:pt>
                <c:pt idx="220">
                  <c:v>18.347945205479451</c:v>
                </c:pt>
                <c:pt idx="221">
                  <c:v>18.427397260273974</c:v>
                </c:pt>
                <c:pt idx="222">
                  <c:v>18.509589041095889</c:v>
                </c:pt>
                <c:pt idx="223">
                  <c:v>18.597260273972601</c:v>
                </c:pt>
                <c:pt idx="224">
                  <c:v>18.67945205479452</c:v>
                </c:pt>
                <c:pt idx="225">
                  <c:v>18.761643835616439</c:v>
                </c:pt>
                <c:pt idx="226">
                  <c:v>18.846575342465755</c:v>
                </c:pt>
                <c:pt idx="227">
                  <c:v>18.92876712328767</c:v>
                </c:pt>
                <c:pt idx="228">
                  <c:v>19.019178082191782</c:v>
                </c:pt>
                <c:pt idx="229">
                  <c:v>19.098630136986301</c:v>
                </c:pt>
                <c:pt idx="230">
                  <c:v>19.175342465753424</c:v>
                </c:pt>
                <c:pt idx="231">
                  <c:v>19.260273972602739</c:v>
                </c:pt>
                <c:pt idx="232">
                  <c:v>19.345205479452055</c:v>
                </c:pt>
                <c:pt idx="233">
                  <c:v>19.427397260273974</c:v>
                </c:pt>
                <c:pt idx="234">
                  <c:v>19.509589041095889</c:v>
                </c:pt>
                <c:pt idx="235">
                  <c:v>19.594520547945205</c:v>
                </c:pt>
                <c:pt idx="236">
                  <c:v>19.67945205479452</c:v>
                </c:pt>
                <c:pt idx="237">
                  <c:v>19.767123287671232</c:v>
                </c:pt>
                <c:pt idx="238">
                  <c:v>19.846575342465755</c:v>
                </c:pt>
                <c:pt idx="239">
                  <c:v>19.92876712328767</c:v>
                </c:pt>
                <c:pt idx="240">
                  <c:v>20.016438356164382</c:v>
                </c:pt>
                <c:pt idx="241">
                  <c:v>20.098630136986301</c:v>
                </c:pt>
                <c:pt idx="242">
                  <c:v>20.17808219178082</c:v>
                </c:pt>
                <c:pt idx="243">
                  <c:v>20.265753424657536</c:v>
                </c:pt>
                <c:pt idx="244">
                  <c:v>20.345205479452055</c:v>
                </c:pt>
                <c:pt idx="245">
                  <c:v>20.43013698630137</c:v>
                </c:pt>
                <c:pt idx="246">
                  <c:v>20.515068493150686</c:v>
                </c:pt>
                <c:pt idx="247">
                  <c:v>20.597260273972601</c:v>
                </c:pt>
                <c:pt idx="248">
                  <c:v>20.687671232876713</c:v>
                </c:pt>
                <c:pt idx="249">
                  <c:v>20.764383561643836</c:v>
                </c:pt>
                <c:pt idx="250">
                  <c:v>20.849315068493151</c:v>
                </c:pt>
                <c:pt idx="251">
                  <c:v>20.936986301369863</c:v>
                </c:pt>
                <c:pt idx="252">
                  <c:v>21.016438356164382</c:v>
                </c:pt>
                <c:pt idx="253">
                  <c:v>21.101369863013698</c:v>
                </c:pt>
                <c:pt idx="254">
                  <c:v>21.17808219178082</c:v>
                </c:pt>
                <c:pt idx="255">
                  <c:v>21.263013698630136</c:v>
                </c:pt>
                <c:pt idx="256">
                  <c:v>21.345205479452055</c:v>
                </c:pt>
                <c:pt idx="257">
                  <c:v>21.435616438356163</c:v>
                </c:pt>
                <c:pt idx="258">
                  <c:v>21.512328767123286</c:v>
                </c:pt>
                <c:pt idx="259">
                  <c:v>21.597260273972601</c:v>
                </c:pt>
                <c:pt idx="260">
                  <c:v>21.684931506849313</c:v>
                </c:pt>
                <c:pt idx="261">
                  <c:v>21.764383561643836</c:v>
                </c:pt>
                <c:pt idx="262">
                  <c:v>21.849315068493151</c:v>
                </c:pt>
                <c:pt idx="263">
                  <c:v>21.934246575342467</c:v>
                </c:pt>
                <c:pt idx="264">
                  <c:v>22.016438356164382</c:v>
                </c:pt>
                <c:pt idx="265">
                  <c:v>22.106849315068494</c:v>
                </c:pt>
                <c:pt idx="266">
                  <c:v>22.183561643835617</c:v>
                </c:pt>
                <c:pt idx="267">
                  <c:v>22.263013698630136</c:v>
                </c:pt>
                <c:pt idx="268">
                  <c:v>22.345205479452055</c:v>
                </c:pt>
                <c:pt idx="269">
                  <c:v>22.432876712328767</c:v>
                </c:pt>
                <c:pt idx="270">
                  <c:v>22.512328767123286</c:v>
                </c:pt>
                <c:pt idx="271">
                  <c:v>22.597260273972601</c:v>
                </c:pt>
                <c:pt idx="272">
                  <c:v>22.682191780821917</c:v>
                </c:pt>
                <c:pt idx="273">
                  <c:v>22.764383561643836</c:v>
                </c:pt>
                <c:pt idx="274">
                  <c:v>22.854794520547944</c:v>
                </c:pt>
                <c:pt idx="275">
                  <c:v>22.931506849315067</c:v>
                </c:pt>
                <c:pt idx="276">
                  <c:v>23.016438356164382</c:v>
                </c:pt>
                <c:pt idx="277">
                  <c:v>23.104109589041094</c:v>
                </c:pt>
                <c:pt idx="278">
                  <c:v>23.18082191780822</c:v>
                </c:pt>
                <c:pt idx="279">
                  <c:v>23.263013698630136</c:v>
                </c:pt>
                <c:pt idx="280">
                  <c:v>23.345205479452055</c:v>
                </c:pt>
                <c:pt idx="281">
                  <c:v>23.43013698630137</c:v>
                </c:pt>
                <c:pt idx="282">
                  <c:v>23.512328767123286</c:v>
                </c:pt>
                <c:pt idx="283">
                  <c:v>23.602739726027398</c:v>
                </c:pt>
                <c:pt idx="284">
                  <c:v>23.682191780821917</c:v>
                </c:pt>
                <c:pt idx="285">
                  <c:v>23.764383561643836</c:v>
                </c:pt>
                <c:pt idx="286">
                  <c:v>23.852054794520548</c:v>
                </c:pt>
                <c:pt idx="287">
                  <c:v>23.931506849315067</c:v>
                </c:pt>
                <c:pt idx="288">
                  <c:v>24.016438356164382</c:v>
                </c:pt>
                <c:pt idx="289">
                  <c:v>24.101369863013698</c:v>
                </c:pt>
              </c:numCache>
            </c:numRef>
          </c:xVal>
          <c:yVal>
            <c:numRef>
              <c:f>EURYC_EUROIS!$E$8:$E$297</c:f>
              <c:numCache>
                <c:formatCode>0.00000%</c:formatCode>
                <c:ptCount val="290"/>
                <c:pt idx="0">
                  <c:v>-4.5499999999698559E-3</c:v>
                </c:pt>
                <c:pt idx="1">
                  <c:v>-4.5400000000217419E-3</c:v>
                </c:pt>
                <c:pt idx="2">
                  <c:v>-4.5400000000217653E-3</c:v>
                </c:pt>
                <c:pt idx="3">
                  <c:v>-4.5499999999299044E-3</c:v>
                </c:pt>
                <c:pt idx="4">
                  <c:v>-4.5600000000245609E-3</c:v>
                </c:pt>
                <c:pt idx="5">
                  <c:v>-4.5599999999979155E-3</c:v>
                </c:pt>
                <c:pt idx="6">
                  <c:v>-4.600000000030152E-3</c:v>
                </c:pt>
                <c:pt idx="7">
                  <c:v>-4.6052955644970859E-3</c:v>
                </c:pt>
                <c:pt idx="8">
                  <c:v>-4.6109043767517286E-3</c:v>
                </c:pt>
                <c:pt idx="9">
                  <c:v>-4.6145183914792108E-3</c:v>
                </c:pt>
                <c:pt idx="10">
                  <c:v>-4.6159077021457216E-3</c:v>
                </c:pt>
                <c:pt idx="11">
                  <c:v>-4.6149505326020966E-3</c:v>
                </c:pt>
                <c:pt idx="12">
                  <c:v>-4.6113925762991835E-3</c:v>
                </c:pt>
                <c:pt idx="13">
                  <c:v>-4.605194785591865E-3</c:v>
                </c:pt>
                <c:pt idx="14">
                  <c:v>-4.5960222954244566E-3</c:v>
                </c:pt>
                <c:pt idx="15">
                  <c:v>-4.5821181558247824E-3</c:v>
                </c:pt>
                <c:pt idx="16">
                  <c:v>-4.5631552956626629E-3</c:v>
                </c:pt>
                <c:pt idx="17">
                  <c:v>-4.5413082707934814E-3</c:v>
                </c:pt>
                <c:pt idx="18">
                  <c:v>-4.5140437126623013E-3</c:v>
                </c:pt>
                <c:pt idx="19">
                  <c:v>-4.4793084015948437E-3</c:v>
                </c:pt>
                <c:pt idx="20">
                  <c:v>-4.4408733335466067E-3</c:v>
                </c:pt>
                <c:pt idx="21">
                  <c:v>-4.3951353132020239E-3</c:v>
                </c:pt>
                <c:pt idx="22">
                  <c:v>-4.3447010787867214E-3</c:v>
                </c:pt>
                <c:pt idx="23">
                  <c:v>-4.2874072557808219E-3</c:v>
                </c:pt>
                <c:pt idx="24">
                  <c:v>-4.2165353387258056E-3</c:v>
                </c:pt>
                <c:pt idx="25">
                  <c:v>-4.1492713244872951E-3</c:v>
                </c:pt>
                <c:pt idx="26">
                  <c:v>-4.0816109075381283E-3</c:v>
                </c:pt>
                <c:pt idx="27">
                  <c:v>-4.0009750187852827E-3</c:v>
                </c:pt>
                <c:pt idx="28">
                  <c:v>-3.9227689875609567E-3</c:v>
                </c:pt>
                <c:pt idx="29">
                  <c:v>-3.8424820156901652E-3</c:v>
                </c:pt>
                <c:pt idx="30">
                  <c:v>-3.7573431291626626E-3</c:v>
                </c:pt>
                <c:pt idx="31">
                  <c:v>-3.6733469454608555E-3</c:v>
                </c:pt>
                <c:pt idx="32">
                  <c:v>-3.5852666170299711E-3</c:v>
                </c:pt>
                <c:pt idx="33">
                  <c:v>-3.493020848965868E-3</c:v>
                </c:pt>
                <c:pt idx="34">
                  <c:v>-3.4087225760837236E-3</c:v>
                </c:pt>
                <c:pt idx="35">
                  <c:v>-3.321293255860181E-3</c:v>
                </c:pt>
                <c:pt idx="36">
                  <c:v>-3.2277821971238409E-3</c:v>
                </c:pt>
                <c:pt idx="37">
                  <c:v>-3.1392898691384842E-3</c:v>
                </c:pt>
                <c:pt idx="38">
                  <c:v>-3.0553930309818009E-3</c:v>
                </c:pt>
                <c:pt idx="39">
                  <c:v>-2.9548974465676385E-3</c:v>
                </c:pt>
                <c:pt idx="40">
                  <c:v>-2.8683622003988873E-3</c:v>
                </c:pt>
                <c:pt idx="41">
                  <c:v>-2.7713418225472452E-3</c:v>
                </c:pt>
                <c:pt idx="42">
                  <c:v>-2.6698531066760107E-3</c:v>
                </c:pt>
                <c:pt idx="43">
                  <c:v>-2.5768492602118533E-3</c:v>
                </c:pt>
                <c:pt idx="44">
                  <c:v>-2.4732359496804166E-3</c:v>
                </c:pt>
                <c:pt idx="45">
                  <c:v>-2.375205099482977E-3</c:v>
                </c:pt>
                <c:pt idx="46">
                  <c:v>-2.276415127639994E-3</c:v>
                </c:pt>
                <c:pt idx="47">
                  <c:v>-2.1737135527155694E-3</c:v>
                </c:pt>
                <c:pt idx="48">
                  <c:v>-2.0737634229032243E-3</c:v>
                </c:pt>
                <c:pt idx="49">
                  <c:v>-1.9692314771239004E-3</c:v>
                </c:pt>
                <c:pt idx="50">
                  <c:v>-1.8661533175555927E-3</c:v>
                </c:pt>
                <c:pt idx="51">
                  <c:v>-1.7612162764987804E-3</c:v>
                </c:pt>
                <c:pt idx="52">
                  <c:v>-1.6543505162183653E-3</c:v>
                </c:pt>
                <c:pt idx="53">
                  <c:v>-1.5345283860399394E-3</c:v>
                </c:pt>
                <c:pt idx="54">
                  <c:v>-1.4309944495762956E-3</c:v>
                </c:pt>
                <c:pt idx="55">
                  <c:v>-1.3143481246571315E-3</c:v>
                </c:pt>
                <c:pt idx="56">
                  <c:v>-1.1916882391284915E-3</c:v>
                </c:pt>
                <c:pt idx="57">
                  <c:v>-1.0785501934364547E-3</c:v>
                </c:pt>
                <c:pt idx="58">
                  <c:v>-9.5147385058785697E-4</c:v>
                </c:pt>
                <c:pt idx="59">
                  <c:v>-8.3016925945576315E-4</c:v>
                </c:pt>
                <c:pt idx="60">
                  <c:v>-7.0675147194621424E-4</c:v>
                </c:pt>
                <c:pt idx="61">
                  <c:v>-5.7017481943875557E-4</c:v>
                </c:pt>
                <c:pt idx="62">
                  <c:v>-4.5507426203358014E-4</c:v>
                </c:pt>
                <c:pt idx="63">
                  <c:v>-3.3661994383932199E-4</c:v>
                </c:pt>
                <c:pt idx="64">
                  <c:v>-2.1512786392282568E-4</c:v>
                </c:pt>
                <c:pt idx="65">
                  <c:v>-8.7021923347294354E-5</c:v>
                </c:pt>
                <c:pt idx="66">
                  <c:v>2.7752459850201132E-5</c:v>
                </c:pt>
                <c:pt idx="67">
                  <c:v>1.5270036256786264E-4</c:v>
                </c:pt>
                <c:pt idx="68">
                  <c:v>2.679692280870974E-4</c:v>
                </c:pt>
                <c:pt idx="69">
                  <c:v>3.8142958407754867E-4</c:v>
                </c:pt>
                <c:pt idx="70">
                  <c:v>5.0384700044140318E-4</c:v>
                </c:pt>
                <c:pt idx="71">
                  <c:v>6.0548303866713078E-4</c:v>
                </c:pt>
                <c:pt idx="72">
                  <c:v>7.1561913275164282E-4</c:v>
                </c:pt>
                <c:pt idx="73">
                  <c:v>8.2856889085838545E-4</c:v>
                </c:pt>
                <c:pt idx="74">
                  <c:v>9.2909789086256149E-4</c:v>
                </c:pt>
                <c:pt idx="75">
                  <c:v>1.0385954908896419E-3</c:v>
                </c:pt>
                <c:pt idx="76">
                  <c:v>1.1538273134537691E-3</c:v>
                </c:pt>
                <c:pt idx="77">
                  <c:v>1.2675003703412752E-3</c:v>
                </c:pt>
                <c:pt idx="78">
                  <c:v>1.3833140776855532E-3</c:v>
                </c:pt>
                <c:pt idx="79">
                  <c:v>1.5132963903588235E-3</c:v>
                </c:pt>
                <c:pt idx="80">
                  <c:v>1.6298740111156283E-3</c:v>
                </c:pt>
                <c:pt idx="81">
                  <c:v>1.7527907952266753E-3</c:v>
                </c:pt>
                <c:pt idx="82">
                  <c:v>1.8866238415512875E-3</c:v>
                </c:pt>
                <c:pt idx="83">
                  <c:v>2.0104904958448042E-3</c:v>
                </c:pt>
                <c:pt idx="84">
                  <c:v>2.1500404236719619E-3</c:v>
                </c:pt>
                <c:pt idx="85">
                  <c:v>2.2821455106484655E-3</c:v>
                </c:pt>
                <c:pt idx="86">
                  <c:v>2.4049999475913146E-3</c:v>
                </c:pt>
                <c:pt idx="87">
                  <c:v>2.540502813479921E-3</c:v>
                </c:pt>
                <c:pt idx="88">
                  <c:v>2.679700708449609E-3</c:v>
                </c:pt>
                <c:pt idx="89">
                  <c:v>2.8051136006008782E-3</c:v>
                </c:pt>
                <c:pt idx="90">
                  <c:v>2.9341173653913829E-3</c:v>
                </c:pt>
                <c:pt idx="91">
                  <c:v>3.0708056655908722E-3</c:v>
                </c:pt>
                <c:pt idx="92">
                  <c:v>3.1979659261511246E-3</c:v>
                </c:pt>
                <c:pt idx="93">
                  <c:v>3.3283956917261057E-3</c:v>
                </c:pt>
                <c:pt idx="94">
                  <c:v>3.4534971699956714E-3</c:v>
                </c:pt>
                <c:pt idx="95">
                  <c:v>3.5774693020756937E-3</c:v>
                </c:pt>
                <c:pt idx="96">
                  <c:v>3.7125014592914478E-3</c:v>
                </c:pt>
                <c:pt idx="97">
                  <c:v>3.8294357167683712E-3</c:v>
                </c:pt>
                <c:pt idx="98">
                  <c:v>3.9441767586361693E-3</c:v>
                </c:pt>
                <c:pt idx="99">
                  <c:v>4.072076699034784E-3</c:v>
                </c:pt>
                <c:pt idx="100">
                  <c:v>4.1782203866340814E-3</c:v>
                </c:pt>
                <c:pt idx="101">
                  <c:v>4.2930119024496482E-3</c:v>
                </c:pt>
                <c:pt idx="102">
                  <c:v>4.4085021238331233E-3</c:v>
                </c:pt>
                <c:pt idx="103">
                  <c:v>4.5103765224329831E-3</c:v>
                </c:pt>
                <c:pt idx="104">
                  <c:v>4.6195961110043057E-3</c:v>
                </c:pt>
                <c:pt idx="105">
                  <c:v>4.7187761953116402E-3</c:v>
                </c:pt>
                <c:pt idx="106">
                  <c:v>4.8148415042962543E-3</c:v>
                </c:pt>
                <c:pt idx="107">
                  <c:v>4.9106475241347831E-3</c:v>
                </c:pt>
                <c:pt idx="108">
                  <c:v>4.9998166963397496E-3</c:v>
                </c:pt>
                <c:pt idx="109">
                  <c:v>5.0905021397376245E-3</c:v>
                </c:pt>
                <c:pt idx="110">
                  <c:v>5.1731360193932562E-3</c:v>
                </c:pt>
                <c:pt idx="111">
                  <c:v>5.2684258461424644E-3</c:v>
                </c:pt>
                <c:pt idx="112">
                  <c:v>5.3556446511207568E-3</c:v>
                </c:pt>
                <c:pt idx="113">
                  <c:v>5.4530221053275341E-3</c:v>
                </c:pt>
                <c:pt idx="114">
                  <c:v>5.545160086385636E-3</c:v>
                </c:pt>
                <c:pt idx="115">
                  <c:v>5.6384169303926937E-3</c:v>
                </c:pt>
                <c:pt idx="116">
                  <c:v>5.7422712483381393E-3</c:v>
                </c:pt>
                <c:pt idx="117">
                  <c:v>5.8314389439690223E-3</c:v>
                </c:pt>
                <c:pt idx="118">
                  <c:v>5.9313664910023043E-3</c:v>
                </c:pt>
                <c:pt idx="119">
                  <c:v>6.0359473312300849E-3</c:v>
                </c:pt>
                <c:pt idx="120">
                  <c:v>6.1319833809027465E-3</c:v>
                </c:pt>
                <c:pt idx="121">
                  <c:v>6.2370509199451106E-3</c:v>
                </c:pt>
                <c:pt idx="122">
                  <c:v>6.3257558216371071E-3</c:v>
                </c:pt>
                <c:pt idx="123">
                  <c:v>6.4174223870140336E-3</c:v>
                </c:pt>
                <c:pt idx="124">
                  <c:v>6.5056745971978983E-3</c:v>
                </c:pt>
                <c:pt idx="125">
                  <c:v>6.5984705404474563E-3</c:v>
                </c:pt>
                <c:pt idx="126">
                  <c:v>6.6736824540204022E-3</c:v>
                </c:pt>
                <c:pt idx="127">
                  <c:v>6.7530386740955453E-3</c:v>
                </c:pt>
                <c:pt idx="128">
                  <c:v>6.830470456921132E-3</c:v>
                </c:pt>
                <c:pt idx="129">
                  <c:v>6.8966998593633965E-3</c:v>
                </c:pt>
                <c:pt idx="130">
                  <c:v>6.9653889019253915E-3</c:v>
                </c:pt>
                <c:pt idx="131">
                  <c:v>7.0250341603894772E-3</c:v>
                </c:pt>
                <c:pt idx="132">
                  <c:v>7.0804548087000131E-3</c:v>
                </c:pt>
                <c:pt idx="133">
                  <c:v>7.1391938126008575E-3</c:v>
                </c:pt>
                <c:pt idx="134">
                  <c:v>7.1897364122264079E-3</c:v>
                </c:pt>
                <c:pt idx="135">
                  <c:v>7.242772548908794E-3</c:v>
                </c:pt>
                <c:pt idx="136">
                  <c:v>7.2984583667856347E-3</c:v>
                </c:pt>
                <c:pt idx="137">
                  <c:v>7.3588870040044467E-3</c:v>
                </c:pt>
                <c:pt idx="138">
                  <c:v>7.4145723921450763E-3</c:v>
                </c:pt>
                <c:pt idx="139">
                  <c:v>7.4772660610116035E-3</c:v>
                </c:pt>
                <c:pt idx="140">
                  <c:v>7.5368581800360646E-3</c:v>
                </c:pt>
                <c:pt idx="141">
                  <c:v>7.597692098178988E-3</c:v>
                </c:pt>
                <c:pt idx="142">
                  <c:v>7.6659598199745552E-3</c:v>
                </c:pt>
                <c:pt idx="143">
                  <c:v>7.7250794468485401E-3</c:v>
                </c:pt>
                <c:pt idx="144">
                  <c:v>7.7918179518958637E-3</c:v>
                </c:pt>
                <c:pt idx="145">
                  <c:v>7.8609294658425963E-3</c:v>
                </c:pt>
                <c:pt idx="146">
                  <c:v>7.920119174097278E-3</c:v>
                </c:pt>
                <c:pt idx="147">
                  <c:v>7.9842337470280317E-3</c:v>
                </c:pt>
                <c:pt idx="148">
                  <c:v>8.0488193334321591E-3</c:v>
                </c:pt>
                <c:pt idx="149">
                  <c:v>8.1059040347928983E-3</c:v>
                </c:pt>
                <c:pt idx="150">
                  <c:v>8.1635066939154677E-3</c:v>
                </c:pt>
                <c:pt idx="151">
                  <c:v>8.2232966691262923E-3</c:v>
                </c:pt>
                <c:pt idx="152">
                  <c:v>8.2777653488528662E-3</c:v>
                </c:pt>
                <c:pt idx="153">
                  <c:v>8.3326268316246416E-3</c:v>
                </c:pt>
                <c:pt idx="154">
                  <c:v>8.3837483808833161E-3</c:v>
                </c:pt>
                <c:pt idx="155">
                  <c:v>8.4334618163369405E-3</c:v>
                </c:pt>
                <c:pt idx="156">
                  <c:v>8.4862932386139331E-3</c:v>
                </c:pt>
                <c:pt idx="157">
                  <c:v>8.5310882502339785E-3</c:v>
                </c:pt>
                <c:pt idx="158">
                  <c:v>8.5728614112442827E-3</c:v>
                </c:pt>
                <c:pt idx="159">
                  <c:v>8.6190261854839807E-3</c:v>
                </c:pt>
                <c:pt idx="160">
                  <c:v>8.6601528683469473E-3</c:v>
                </c:pt>
                <c:pt idx="161">
                  <c:v>8.6997536009545129E-3</c:v>
                </c:pt>
                <c:pt idx="162">
                  <c:v>8.7390615108700574E-3</c:v>
                </c:pt>
                <c:pt idx="163">
                  <c:v>8.774891848338533E-3</c:v>
                </c:pt>
                <c:pt idx="164">
                  <c:v>8.8102468399185278E-3</c:v>
                </c:pt>
                <c:pt idx="165">
                  <c:v>8.8447232956831486E-3</c:v>
                </c:pt>
                <c:pt idx="166">
                  <c:v>8.8741664233790707E-3</c:v>
                </c:pt>
                <c:pt idx="167">
                  <c:v>8.9027921882575654E-3</c:v>
                </c:pt>
                <c:pt idx="168">
                  <c:v>8.9312660835049046E-3</c:v>
                </c:pt>
                <c:pt idx="169">
                  <c:v>8.9559991909812665E-3</c:v>
                </c:pt>
                <c:pt idx="170">
                  <c:v>8.9773423025793341E-3</c:v>
                </c:pt>
                <c:pt idx="171">
                  <c:v>9.0003320299011733E-3</c:v>
                </c:pt>
                <c:pt idx="172">
                  <c:v>9.0179761838848072E-3</c:v>
                </c:pt>
                <c:pt idx="173">
                  <c:v>9.0354832433611511E-3</c:v>
                </c:pt>
                <c:pt idx="174">
                  <c:v>9.051313398627775E-3</c:v>
                </c:pt>
                <c:pt idx="175">
                  <c:v>9.0636641787863719E-3</c:v>
                </c:pt>
                <c:pt idx="176">
                  <c:v>9.0752866390891463E-3</c:v>
                </c:pt>
                <c:pt idx="177">
                  <c:v>9.0836057132900553E-3</c:v>
                </c:pt>
                <c:pt idx="178">
                  <c:v>9.0900547613114793E-3</c:v>
                </c:pt>
                <c:pt idx="179">
                  <c:v>9.0947084836731293E-3</c:v>
                </c:pt>
                <c:pt idx="180">
                  <c:v>9.0965878689663431E-3</c:v>
                </c:pt>
                <c:pt idx="181">
                  <c:v>9.0971441291184604E-3</c:v>
                </c:pt>
                <c:pt idx="182">
                  <c:v>9.0968702840918056E-3</c:v>
                </c:pt>
                <c:pt idx="183">
                  <c:v>9.0956541253181186E-3</c:v>
                </c:pt>
                <c:pt idx="184">
                  <c:v>9.0937326095716035E-3</c:v>
                </c:pt>
                <c:pt idx="185">
                  <c:v>9.0909544858691245E-3</c:v>
                </c:pt>
                <c:pt idx="186">
                  <c:v>9.0870579596987969E-3</c:v>
                </c:pt>
                <c:pt idx="187">
                  <c:v>9.082580952293997E-3</c:v>
                </c:pt>
                <c:pt idx="188">
                  <c:v>9.0767344981731689E-3</c:v>
                </c:pt>
                <c:pt idx="189">
                  <c:v>9.0710143227998013E-3</c:v>
                </c:pt>
                <c:pt idx="190">
                  <c:v>9.0638795234942397E-3</c:v>
                </c:pt>
                <c:pt idx="191">
                  <c:v>9.0556452774891889E-3</c:v>
                </c:pt>
                <c:pt idx="192">
                  <c:v>9.0474179268484195E-3</c:v>
                </c:pt>
                <c:pt idx="193">
                  <c:v>9.0377338493807715E-3</c:v>
                </c:pt>
                <c:pt idx="194">
                  <c:v>9.027435848524867E-3</c:v>
                </c:pt>
                <c:pt idx="195">
                  <c:v>9.0169804240901857E-3</c:v>
                </c:pt>
                <c:pt idx="196">
                  <c:v>9.0054303249615334E-3</c:v>
                </c:pt>
                <c:pt idx="197">
                  <c:v>8.9923014791225709E-3</c:v>
                </c:pt>
                <c:pt idx="198">
                  <c:v>8.9796802902970142E-3</c:v>
                </c:pt>
                <c:pt idx="199">
                  <c:v>8.9651903482584443E-3</c:v>
                </c:pt>
                <c:pt idx="200">
                  <c:v>8.9504376619097218E-3</c:v>
                </c:pt>
                <c:pt idx="201">
                  <c:v>8.9351933562404843E-3</c:v>
                </c:pt>
                <c:pt idx="202">
                  <c:v>8.9176123578348157E-3</c:v>
                </c:pt>
                <c:pt idx="203">
                  <c:v>8.9020398858714808E-3</c:v>
                </c:pt>
                <c:pt idx="204">
                  <c:v>8.8840952862366436E-3</c:v>
                </c:pt>
                <c:pt idx="205">
                  <c:v>8.8648062435535222E-3</c:v>
                </c:pt>
                <c:pt idx="206">
                  <c:v>8.8473034592915778E-3</c:v>
                </c:pt>
                <c:pt idx="207">
                  <c:v>8.8279016899004883E-3</c:v>
                </c:pt>
                <c:pt idx="208">
                  <c:v>8.8073739174814886E-3</c:v>
                </c:pt>
                <c:pt idx="209">
                  <c:v>8.7864250492184753E-3</c:v>
                </c:pt>
                <c:pt idx="210">
                  <c:v>8.7650407252956222E-3</c:v>
                </c:pt>
                <c:pt idx="211">
                  <c:v>8.7407793207414704E-3</c:v>
                </c:pt>
                <c:pt idx="212">
                  <c:v>8.7188323014195587E-3</c:v>
                </c:pt>
                <c:pt idx="213">
                  <c:v>8.6955102507177608E-3</c:v>
                </c:pt>
                <c:pt idx="214">
                  <c:v>8.6699505916884977E-3</c:v>
                </c:pt>
                <c:pt idx="215">
                  <c:v>8.6461920294509421E-3</c:v>
                </c:pt>
                <c:pt idx="216">
                  <c:v>8.6195236246405134E-3</c:v>
                </c:pt>
                <c:pt idx="217">
                  <c:v>8.5935053776206478E-3</c:v>
                </c:pt>
                <c:pt idx="218">
                  <c:v>8.5688868426390761E-3</c:v>
                </c:pt>
                <c:pt idx="219">
                  <c:v>8.5410354265965851E-3</c:v>
                </c:pt>
                <c:pt idx="220">
                  <c:v>8.5116394350356391E-3</c:v>
                </c:pt>
                <c:pt idx="221">
                  <c:v>8.4844457522100705E-3</c:v>
                </c:pt>
                <c:pt idx="222">
                  <c:v>8.4557593316802338E-3</c:v>
                </c:pt>
                <c:pt idx="223">
                  <c:v>8.424548231655794E-3</c:v>
                </c:pt>
                <c:pt idx="224">
                  <c:v>8.3947276774006298E-3</c:v>
                </c:pt>
                <c:pt idx="225">
                  <c:v>8.3635365665828722E-3</c:v>
                </c:pt>
                <c:pt idx="226">
                  <c:v>8.3324273995839821E-3</c:v>
                </c:pt>
                <c:pt idx="227">
                  <c:v>8.3009914804361845E-3</c:v>
                </c:pt>
                <c:pt idx="228">
                  <c:v>8.265809117173447E-3</c:v>
                </c:pt>
                <c:pt idx="229">
                  <c:v>8.2343807211971952E-3</c:v>
                </c:pt>
                <c:pt idx="230">
                  <c:v>8.2035932435204576E-3</c:v>
                </c:pt>
                <c:pt idx="231">
                  <c:v>8.1680589158499503E-3</c:v>
                </c:pt>
                <c:pt idx="232">
                  <c:v>8.1338788117626074E-3</c:v>
                </c:pt>
                <c:pt idx="233">
                  <c:v>8.0994055204314519E-3</c:v>
                </c:pt>
                <c:pt idx="234">
                  <c:v>8.0634601749278861E-3</c:v>
                </c:pt>
                <c:pt idx="235">
                  <c:v>8.0278420061169406E-3</c:v>
                </c:pt>
                <c:pt idx="236">
                  <c:v>7.9907427250297293E-3</c:v>
                </c:pt>
                <c:pt idx="237">
                  <c:v>7.9519337776140075E-3</c:v>
                </c:pt>
                <c:pt idx="238">
                  <c:v>7.9163234837003552E-3</c:v>
                </c:pt>
                <c:pt idx="239">
                  <c:v>7.879056153438568E-3</c:v>
                </c:pt>
                <c:pt idx="240">
                  <c:v>7.8388225765684393E-3</c:v>
                </c:pt>
                <c:pt idx="241">
                  <c:v>7.8007734413558889E-3</c:v>
                </c:pt>
                <c:pt idx="242">
                  <c:v>7.7638164510878517E-3</c:v>
                </c:pt>
                <c:pt idx="243">
                  <c:v>7.7228353849472953E-3</c:v>
                </c:pt>
                <c:pt idx="244">
                  <c:v>7.6855290363769709E-3</c:v>
                </c:pt>
                <c:pt idx="245">
                  <c:v>7.6443604613811627E-3</c:v>
                </c:pt>
                <c:pt idx="246">
                  <c:v>7.6052932124018981E-3</c:v>
                </c:pt>
                <c:pt idx="247">
                  <c:v>7.566251560161082E-3</c:v>
                </c:pt>
                <c:pt idx="248">
                  <c:v>7.5231671880207898E-3</c:v>
                </c:pt>
                <c:pt idx="249">
                  <c:v>7.4864970964878914E-3</c:v>
                </c:pt>
                <c:pt idx="250">
                  <c:v>7.44579217850121E-3</c:v>
                </c:pt>
                <c:pt idx="251">
                  <c:v>7.4036766860477131E-3</c:v>
                </c:pt>
                <c:pt idx="252">
                  <c:v>7.3654242621792381E-3</c:v>
                </c:pt>
                <c:pt idx="253">
                  <c:v>7.3232861275145111E-3</c:v>
                </c:pt>
                <c:pt idx="254">
                  <c:v>7.2862323488558072E-3</c:v>
                </c:pt>
                <c:pt idx="255">
                  <c:v>7.2463335125174154E-3</c:v>
                </c:pt>
                <c:pt idx="256">
                  <c:v>7.2065421089760155E-3</c:v>
                </c:pt>
                <c:pt idx="257">
                  <c:v>7.1627454185509056E-3</c:v>
                </c:pt>
                <c:pt idx="258">
                  <c:v>7.125563558550865E-3</c:v>
                </c:pt>
                <c:pt idx="259">
                  <c:v>7.0843909653052015E-3</c:v>
                </c:pt>
                <c:pt idx="260">
                  <c:v>7.0419013995193956E-3</c:v>
                </c:pt>
                <c:pt idx="261">
                  <c:v>7.0034055809065606E-3</c:v>
                </c:pt>
                <c:pt idx="262">
                  <c:v>6.9610902068454952E-3</c:v>
                </c:pt>
                <c:pt idx="263">
                  <c:v>6.9212030180610274E-3</c:v>
                </c:pt>
                <c:pt idx="264">
                  <c:v>6.8814939287731242E-3</c:v>
                </c:pt>
                <c:pt idx="265">
                  <c:v>6.8378816932613811E-3</c:v>
                </c:pt>
                <c:pt idx="266">
                  <c:v>6.8009487615971588E-3</c:v>
                </c:pt>
                <c:pt idx="267">
                  <c:v>6.7627665086377664E-3</c:v>
                </c:pt>
                <c:pt idx="268">
                  <c:v>6.7233564928983252E-3</c:v>
                </c:pt>
                <c:pt idx="269">
                  <c:v>6.6814374588943914E-3</c:v>
                </c:pt>
                <c:pt idx="270">
                  <c:v>6.6435545635137741E-3</c:v>
                </c:pt>
                <c:pt idx="271">
                  <c:v>6.6020075387122493E-3</c:v>
                </c:pt>
                <c:pt idx="272">
                  <c:v>6.5629670288767719E-3</c:v>
                </c:pt>
                <c:pt idx="273">
                  <c:v>6.5241882890574743E-3</c:v>
                </c:pt>
                <c:pt idx="274">
                  <c:v>6.4817121346953431E-3</c:v>
                </c:pt>
                <c:pt idx="275">
                  <c:v>6.4458361377304268E-3</c:v>
                </c:pt>
                <c:pt idx="276">
                  <c:v>6.4062931845785135E-3</c:v>
                </c:pt>
                <c:pt idx="277">
                  <c:v>6.3656840679490959E-3</c:v>
                </c:pt>
                <c:pt idx="278">
                  <c:v>6.3303429037858266E-3</c:v>
                </c:pt>
                <c:pt idx="279">
                  <c:v>6.2926770507973221E-3</c:v>
                </c:pt>
                <c:pt idx="280">
                  <c:v>6.2540962367577894E-3</c:v>
                </c:pt>
                <c:pt idx="281">
                  <c:v>6.2167870534709574E-3</c:v>
                </c:pt>
                <c:pt idx="282">
                  <c:v>6.1798246477747674E-3</c:v>
                </c:pt>
                <c:pt idx="283">
                  <c:v>6.1394588160575657E-3</c:v>
                </c:pt>
                <c:pt idx="284">
                  <c:v>6.1042558799713834E-3</c:v>
                </c:pt>
                <c:pt idx="285">
                  <c:v>6.0681058922480886E-3</c:v>
                </c:pt>
                <c:pt idx="286">
                  <c:v>6.0298596434400767E-3</c:v>
                </c:pt>
                <c:pt idx="287">
                  <c:v>5.995496968814306E-3</c:v>
                </c:pt>
                <c:pt idx="288">
                  <c:v>5.9580083687474968E-3</c:v>
                </c:pt>
                <c:pt idx="289">
                  <c:v>5.9230003245988646E-3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6-4F95-9422-FBAECE889ED1}"/>
            </c:ext>
          </c:extLst>
        </c:ser>
        <c:ser>
          <c:idx val="1"/>
          <c:order val="1"/>
          <c:tx>
            <c:strRef>
              <c:f>EURYC_EUROIS!$H$7</c:f>
              <c:strCache>
                <c:ptCount val="1"/>
                <c:pt idx="0">
                  <c:v>InterpolatedFwd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EURYC_EUROIS!$D$8:$D$297</c:f>
              <c:numCache>
                <c:formatCode>#,##0.0000</c:formatCode>
                <c:ptCount val="290"/>
                <c:pt idx="0">
                  <c:v>0</c:v>
                </c:pt>
                <c:pt idx="1">
                  <c:v>9.0410958904109592E-2</c:v>
                </c:pt>
                <c:pt idx="2">
                  <c:v>0.16712328767123288</c:v>
                </c:pt>
                <c:pt idx="3">
                  <c:v>0.24931506849315069</c:v>
                </c:pt>
                <c:pt idx="4">
                  <c:v>0.33150684931506852</c:v>
                </c:pt>
                <c:pt idx="5">
                  <c:v>0.41643835616438357</c:v>
                </c:pt>
                <c:pt idx="6">
                  <c:v>0.49863013698630138</c:v>
                </c:pt>
                <c:pt idx="7">
                  <c:v>0.58904109589041098</c:v>
                </c:pt>
                <c:pt idx="8">
                  <c:v>0.66849315068493154</c:v>
                </c:pt>
                <c:pt idx="9">
                  <c:v>0.75068493150684934</c:v>
                </c:pt>
                <c:pt idx="10">
                  <c:v>0.83835616438356164</c:v>
                </c:pt>
                <c:pt idx="11">
                  <c:v>0.9178082191780822</c:v>
                </c:pt>
                <c:pt idx="12">
                  <c:v>1.0027397260273974</c:v>
                </c:pt>
                <c:pt idx="13">
                  <c:v>1.0876712328767124</c:v>
                </c:pt>
                <c:pt idx="14">
                  <c:v>1.1643835616438356</c:v>
                </c:pt>
                <c:pt idx="15">
                  <c:v>1.2493150684931507</c:v>
                </c:pt>
                <c:pt idx="16">
                  <c:v>1.3369863013698631</c:v>
                </c:pt>
                <c:pt idx="17">
                  <c:v>1.4164383561643836</c:v>
                </c:pt>
                <c:pt idx="18">
                  <c:v>1.4986301369863013</c:v>
                </c:pt>
                <c:pt idx="19">
                  <c:v>1.5863013698630137</c:v>
                </c:pt>
                <c:pt idx="20">
                  <c:v>1.6684931506849314</c:v>
                </c:pt>
                <c:pt idx="21">
                  <c:v>1.7506849315068493</c:v>
                </c:pt>
                <c:pt idx="22">
                  <c:v>1.8356164383561644</c:v>
                </c:pt>
                <c:pt idx="23">
                  <c:v>1.9178082191780821</c:v>
                </c:pt>
                <c:pt idx="24">
                  <c:v>2.0082191780821916</c:v>
                </c:pt>
                <c:pt idx="25">
                  <c:v>2.0876712328767124</c:v>
                </c:pt>
                <c:pt idx="26">
                  <c:v>2.1643835616438358</c:v>
                </c:pt>
                <c:pt idx="27">
                  <c:v>2.2493150684931509</c:v>
                </c:pt>
                <c:pt idx="28">
                  <c:v>2.3342465753424659</c:v>
                </c:pt>
                <c:pt idx="29">
                  <c:v>2.4164383561643836</c:v>
                </c:pt>
                <c:pt idx="30">
                  <c:v>2.4986301369863013</c:v>
                </c:pt>
                <c:pt idx="31">
                  <c:v>2.5835616438356164</c:v>
                </c:pt>
                <c:pt idx="32">
                  <c:v>2.6684931506849314</c:v>
                </c:pt>
                <c:pt idx="33">
                  <c:v>2.7561643835616438</c:v>
                </c:pt>
                <c:pt idx="34">
                  <c:v>2.8356164383561642</c:v>
                </c:pt>
                <c:pt idx="35">
                  <c:v>2.9178082191780823</c:v>
                </c:pt>
                <c:pt idx="36">
                  <c:v>3.0054794520547947</c:v>
                </c:pt>
                <c:pt idx="37">
                  <c:v>3.0876712328767124</c:v>
                </c:pt>
                <c:pt idx="38">
                  <c:v>3.1643835616438358</c:v>
                </c:pt>
                <c:pt idx="39">
                  <c:v>3.2547945205479452</c:v>
                </c:pt>
                <c:pt idx="40">
                  <c:v>3.3315068493150686</c:v>
                </c:pt>
                <c:pt idx="41">
                  <c:v>3.4164383561643836</c:v>
                </c:pt>
                <c:pt idx="42">
                  <c:v>3.504109589041096</c:v>
                </c:pt>
                <c:pt idx="43">
                  <c:v>3.5835616438356164</c:v>
                </c:pt>
                <c:pt idx="44">
                  <c:v>3.6684931506849314</c:v>
                </c:pt>
                <c:pt idx="45">
                  <c:v>3.7534246575342465</c:v>
                </c:pt>
                <c:pt idx="46">
                  <c:v>3.8356164383561642</c:v>
                </c:pt>
                <c:pt idx="47">
                  <c:v>3.9178082191780823</c:v>
                </c:pt>
                <c:pt idx="48">
                  <c:v>4.0027397260273974</c:v>
                </c:pt>
                <c:pt idx="49">
                  <c:v>4.087671232876712</c:v>
                </c:pt>
                <c:pt idx="50">
                  <c:v>4.1671232876712327</c:v>
                </c:pt>
                <c:pt idx="51">
                  <c:v>4.2520547945205482</c:v>
                </c:pt>
                <c:pt idx="52">
                  <c:v>4.3342465753424655</c:v>
                </c:pt>
                <c:pt idx="53">
                  <c:v>4.4246575342465757</c:v>
                </c:pt>
                <c:pt idx="54">
                  <c:v>4.5013698630136982</c:v>
                </c:pt>
                <c:pt idx="55">
                  <c:v>4.5863013698630137</c:v>
                </c:pt>
                <c:pt idx="56">
                  <c:v>4.6739726027397257</c:v>
                </c:pt>
                <c:pt idx="57">
                  <c:v>4.7534246575342465</c:v>
                </c:pt>
                <c:pt idx="58">
                  <c:v>4.838356164383562</c:v>
                </c:pt>
                <c:pt idx="59">
                  <c:v>4.9232876712328766</c:v>
                </c:pt>
                <c:pt idx="60">
                  <c:v>5.0054794520547947</c:v>
                </c:pt>
                <c:pt idx="61">
                  <c:v>5.095890410958904</c:v>
                </c:pt>
                <c:pt idx="62">
                  <c:v>5.1726027397260275</c:v>
                </c:pt>
                <c:pt idx="63">
                  <c:v>5.2520547945205482</c:v>
                </c:pt>
                <c:pt idx="64">
                  <c:v>5.3342465753424655</c:v>
                </c:pt>
                <c:pt idx="65">
                  <c:v>5.4219178082191783</c:v>
                </c:pt>
                <c:pt idx="66">
                  <c:v>5.5013698630136982</c:v>
                </c:pt>
                <c:pt idx="67">
                  <c:v>5.5863013698630137</c:v>
                </c:pt>
                <c:pt idx="68">
                  <c:v>5.6712328767123283</c:v>
                </c:pt>
                <c:pt idx="69">
                  <c:v>5.7534246575342465</c:v>
                </c:pt>
                <c:pt idx="70">
                  <c:v>5.8438356164383558</c:v>
                </c:pt>
                <c:pt idx="71">
                  <c:v>5.9205479452054792</c:v>
                </c:pt>
                <c:pt idx="72">
                  <c:v>6.0054794520547947</c:v>
                </c:pt>
                <c:pt idx="73">
                  <c:v>6.0931506849315067</c:v>
                </c:pt>
                <c:pt idx="74">
                  <c:v>6.1698630136986301</c:v>
                </c:pt>
                <c:pt idx="75">
                  <c:v>6.2520547945205482</c:v>
                </c:pt>
                <c:pt idx="76">
                  <c:v>6.3342465753424655</c:v>
                </c:pt>
                <c:pt idx="77">
                  <c:v>6.419178082191781</c:v>
                </c:pt>
                <c:pt idx="78">
                  <c:v>6.5013698630136982</c:v>
                </c:pt>
                <c:pt idx="79">
                  <c:v>6.5917808219178085</c:v>
                </c:pt>
                <c:pt idx="80">
                  <c:v>6.6712328767123283</c:v>
                </c:pt>
                <c:pt idx="81">
                  <c:v>6.7534246575342465</c:v>
                </c:pt>
                <c:pt idx="82">
                  <c:v>6.8410958904109593</c:v>
                </c:pt>
                <c:pt idx="83">
                  <c:v>6.9205479452054792</c:v>
                </c:pt>
                <c:pt idx="84">
                  <c:v>7.0054794520547947</c:v>
                </c:pt>
                <c:pt idx="85">
                  <c:v>7.0904109589041093</c:v>
                </c:pt>
                <c:pt idx="86">
                  <c:v>7.1671232876712327</c:v>
                </c:pt>
                <c:pt idx="87">
                  <c:v>7.2520547945205482</c:v>
                </c:pt>
                <c:pt idx="88">
                  <c:v>7.3397260273972602</c:v>
                </c:pt>
                <c:pt idx="89">
                  <c:v>7.419178082191781</c:v>
                </c:pt>
                <c:pt idx="90">
                  <c:v>7.5013698630136982</c:v>
                </c:pt>
                <c:pt idx="91">
                  <c:v>7.5890410958904111</c:v>
                </c:pt>
                <c:pt idx="92">
                  <c:v>7.6712328767123283</c:v>
                </c:pt>
                <c:pt idx="93">
                  <c:v>7.7534246575342465</c:v>
                </c:pt>
                <c:pt idx="94">
                  <c:v>7.838356164383562</c:v>
                </c:pt>
                <c:pt idx="95">
                  <c:v>7.9205479452054792</c:v>
                </c:pt>
                <c:pt idx="96">
                  <c:v>8.0109589041095894</c:v>
                </c:pt>
                <c:pt idx="97">
                  <c:v>8.0904109589041102</c:v>
                </c:pt>
                <c:pt idx="98">
                  <c:v>8.169863013698631</c:v>
                </c:pt>
                <c:pt idx="99">
                  <c:v>8.2602739726027394</c:v>
                </c:pt>
                <c:pt idx="100">
                  <c:v>8.3369863013698637</c:v>
                </c:pt>
                <c:pt idx="101">
                  <c:v>8.4219178082191775</c:v>
                </c:pt>
                <c:pt idx="102">
                  <c:v>8.5095890410958912</c:v>
                </c:pt>
                <c:pt idx="103">
                  <c:v>8.5890410958904102</c:v>
                </c:pt>
                <c:pt idx="104">
                  <c:v>8.6739726027397257</c:v>
                </c:pt>
                <c:pt idx="105">
                  <c:v>8.7589041095890412</c:v>
                </c:pt>
                <c:pt idx="106">
                  <c:v>8.8410958904109584</c:v>
                </c:pt>
                <c:pt idx="107">
                  <c:v>8.9232876712328775</c:v>
                </c:pt>
                <c:pt idx="108">
                  <c:v>9.0082191780821912</c:v>
                </c:pt>
                <c:pt idx="109">
                  <c:v>9.0931506849315067</c:v>
                </c:pt>
                <c:pt idx="110">
                  <c:v>9.169863013698631</c:v>
                </c:pt>
                <c:pt idx="111">
                  <c:v>9.257534246575343</c:v>
                </c:pt>
                <c:pt idx="112">
                  <c:v>9.3369863013698637</c:v>
                </c:pt>
                <c:pt idx="113">
                  <c:v>9.4219178082191775</c:v>
                </c:pt>
                <c:pt idx="114">
                  <c:v>9.506849315068493</c:v>
                </c:pt>
                <c:pt idx="115">
                  <c:v>9.5890410958904102</c:v>
                </c:pt>
                <c:pt idx="116">
                  <c:v>9.6794520547945204</c:v>
                </c:pt>
                <c:pt idx="117">
                  <c:v>9.7561643835616429</c:v>
                </c:pt>
                <c:pt idx="118">
                  <c:v>9.8410958904109584</c:v>
                </c:pt>
                <c:pt idx="119">
                  <c:v>9.9287671232876704</c:v>
                </c:pt>
                <c:pt idx="120">
                  <c:v>10.008219178082191</c:v>
                </c:pt>
                <c:pt idx="121">
                  <c:v>10.093150684931507</c:v>
                </c:pt>
                <c:pt idx="122">
                  <c:v>10.169863013698631</c:v>
                </c:pt>
                <c:pt idx="123">
                  <c:v>10.254794520547945</c:v>
                </c:pt>
                <c:pt idx="124">
                  <c:v>10.336986301369864</c:v>
                </c:pt>
                <c:pt idx="125">
                  <c:v>10.427397260273972</c:v>
                </c:pt>
                <c:pt idx="126">
                  <c:v>10.504109589041096</c:v>
                </c:pt>
                <c:pt idx="127">
                  <c:v>10.58904109589041</c:v>
                </c:pt>
                <c:pt idx="128">
                  <c:v>10.676712328767124</c:v>
                </c:pt>
                <c:pt idx="129">
                  <c:v>10.756164383561643</c:v>
                </c:pt>
                <c:pt idx="130">
                  <c:v>10.841095890410958</c:v>
                </c:pt>
                <c:pt idx="131">
                  <c:v>10.926027397260274</c:v>
                </c:pt>
                <c:pt idx="132">
                  <c:v>11.008219178082191</c:v>
                </c:pt>
                <c:pt idx="133">
                  <c:v>11.098630136986301</c:v>
                </c:pt>
                <c:pt idx="134">
                  <c:v>11.175342465753424</c:v>
                </c:pt>
                <c:pt idx="135">
                  <c:v>11.254794520547945</c:v>
                </c:pt>
                <c:pt idx="136">
                  <c:v>11.336986301369864</c:v>
                </c:pt>
                <c:pt idx="137">
                  <c:v>11.424657534246576</c:v>
                </c:pt>
                <c:pt idx="138">
                  <c:v>11.504109589041096</c:v>
                </c:pt>
                <c:pt idx="139">
                  <c:v>11.58904109589041</c:v>
                </c:pt>
                <c:pt idx="140">
                  <c:v>11.673972602739726</c:v>
                </c:pt>
                <c:pt idx="141">
                  <c:v>11.756164383561643</c:v>
                </c:pt>
                <c:pt idx="142">
                  <c:v>11.846575342465753</c:v>
                </c:pt>
                <c:pt idx="143">
                  <c:v>11.923287671232877</c:v>
                </c:pt>
                <c:pt idx="144">
                  <c:v>12.008219178082191</c:v>
                </c:pt>
                <c:pt idx="145">
                  <c:v>12.095890410958905</c:v>
                </c:pt>
                <c:pt idx="146">
                  <c:v>12.172602739726027</c:v>
                </c:pt>
                <c:pt idx="147">
                  <c:v>12.257534246575343</c:v>
                </c:pt>
                <c:pt idx="148">
                  <c:v>12.345205479452055</c:v>
                </c:pt>
                <c:pt idx="149">
                  <c:v>12.424657534246576</c:v>
                </c:pt>
                <c:pt idx="150">
                  <c:v>12.506849315068493</c:v>
                </c:pt>
                <c:pt idx="151">
                  <c:v>12.594520547945205</c:v>
                </c:pt>
                <c:pt idx="152">
                  <c:v>12.676712328767124</c:v>
                </c:pt>
                <c:pt idx="153">
                  <c:v>12.758904109589041</c:v>
                </c:pt>
                <c:pt idx="154">
                  <c:v>12.843835616438357</c:v>
                </c:pt>
                <c:pt idx="155">
                  <c:v>12.926027397260274</c:v>
                </c:pt>
                <c:pt idx="156">
                  <c:v>13.016438356164384</c:v>
                </c:pt>
                <c:pt idx="157">
                  <c:v>13.095890410958905</c:v>
                </c:pt>
                <c:pt idx="158">
                  <c:v>13.172602739726027</c:v>
                </c:pt>
                <c:pt idx="159">
                  <c:v>13.257534246575343</c:v>
                </c:pt>
                <c:pt idx="160">
                  <c:v>13.342465753424657</c:v>
                </c:pt>
                <c:pt idx="161">
                  <c:v>13.424657534246576</c:v>
                </c:pt>
                <c:pt idx="162">
                  <c:v>13.506849315068493</c:v>
                </c:pt>
                <c:pt idx="163">
                  <c:v>13.591780821917808</c:v>
                </c:pt>
                <c:pt idx="164">
                  <c:v>13.676712328767124</c:v>
                </c:pt>
                <c:pt idx="165">
                  <c:v>13.764383561643836</c:v>
                </c:pt>
                <c:pt idx="166">
                  <c:v>13.843835616438357</c:v>
                </c:pt>
                <c:pt idx="167">
                  <c:v>13.926027397260274</c:v>
                </c:pt>
                <c:pt idx="168">
                  <c:v>14.013698630136986</c:v>
                </c:pt>
                <c:pt idx="169">
                  <c:v>14.095890410958905</c:v>
                </c:pt>
                <c:pt idx="170">
                  <c:v>14.172602739726027</c:v>
                </c:pt>
                <c:pt idx="171">
                  <c:v>14.263013698630138</c:v>
                </c:pt>
                <c:pt idx="172">
                  <c:v>14.33972602739726</c:v>
                </c:pt>
                <c:pt idx="173">
                  <c:v>14.424657534246576</c:v>
                </c:pt>
                <c:pt idx="174">
                  <c:v>14.512328767123288</c:v>
                </c:pt>
                <c:pt idx="175">
                  <c:v>14.591780821917808</c:v>
                </c:pt>
                <c:pt idx="176">
                  <c:v>14.676712328767124</c:v>
                </c:pt>
                <c:pt idx="177">
                  <c:v>14.761643835616438</c:v>
                </c:pt>
                <c:pt idx="178">
                  <c:v>14.843835616438357</c:v>
                </c:pt>
                <c:pt idx="179">
                  <c:v>14.926027397260274</c:v>
                </c:pt>
                <c:pt idx="180">
                  <c:v>15.010958904109589</c:v>
                </c:pt>
                <c:pt idx="181">
                  <c:v>15.095890410958905</c:v>
                </c:pt>
                <c:pt idx="182">
                  <c:v>15.172602739726027</c:v>
                </c:pt>
                <c:pt idx="183">
                  <c:v>15.260273972602739</c:v>
                </c:pt>
                <c:pt idx="184">
                  <c:v>15.33972602739726</c:v>
                </c:pt>
                <c:pt idx="185">
                  <c:v>15.424657534246576</c:v>
                </c:pt>
                <c:pt idx="186">
                  <c:v>15.509589041095891</c:v>
                </c:pt>
                <c:pt idx="187">
                  <c:v>15.591780821917808</c:v>
                </c:pt>
                <c:pt idx="188">
                  <c:v>15.682191780821919</c:v>
                </c:pt>
                <c:pt idx="189">
                  <c:v>15.758904109589041</c:v>
                </c:pt>
                <c:pt idx="190">
                  <c:v>15.843835616438357</c:v>
                </c:pt>
                <c:pt idx="191">
                  <c:v>15.931506849315069</c:v>
                </c:pt>
                <c:pt idx="192">
                  <c:v>16.010958904109589</c:v>
                </c:pt>
                <c:pt idx="193">
                  <c:v>16.095890410958905</c:v>
                </c:pt>
                <c:pt idx="194">
                  <c:v>16.18082191780822</c:v>
                </c:pt>
                <c:pt idx="195">
                  <c:v>16.260273972602739</c:v>
                </c:pt>
                <c:pt idx="196">
                  <c:v>16.342465753424658</c:v>
                </c:pt>
                <c:pt idx="197">
                  <c:v>16.43013698630137</c:v>
                </c:pt>
                <c:pt idx="198">
                  <c:v>16.509589041095889</c:v>
                </c:pt>
                <c:pt idx="199">
                  <c:v>16.594520547945205</c:v>
                </c:pt>
                <c:pt idx="200">
                  <c:v>16.67945205479452</c:v>
                </c:pt>
                <c:pt idx="201">
                  <c:v>16.761643835616439</c:v>
                </c:pt>
                <c:pt idx="202">
                  <c:v>16.852054794520548</c:v>
                </c:pt>
                <c:pt idx="203">
                  <c:v>16.92876712328767</c:v>
                </c:pt>
                <c:pt idx="204">
                  <c:v>17.013698630136986</c:v>
                </c:pt>
                <c:pt idx="205">
                  <c:v>17.101369863013698</c:v>
                </c:pt>
                <c:pt idx="206">
                  <c:v>17.17808219178082</c:v>
                </c:pt>
                <c:pt idx="207">
                  <c:v>17.260273972602739</c:v>
                </c:pt>
                <c:pt idx="208">
                  <c:v>17.342465753424658</c:v>
                </c:pt>
                <c:pt idx="209">
                  <c:v>17.427397260273974</c:v>
                </c:pt>
                <c:pt idx="210">
                  <c:v>17.509589041095889</c:v>
                </c:pt>
                <c:pt idx="211">
                  <c:v>17.600000000000001</c:v>
                </c:pt>
                <c:pt idx="212">
                  <c:v>17.67945205479452</c:v>
                </c:pt>
                <c:pt idx="213">
                  <c:v>17.761643835616439</c:v>
                </c:pt>
                <c:pt idx="214">
                  <c:v>17.849315068493151</c:v>
                </c:pt>
                <c:pt idx="215">
                  <c:v>17.92876712328767</c:v>
                </c:pt>
                <c:pt idx="216">
                  <c:v>18.013698630136986</c:v>
                </c:pt>
                <c:pt idx="217">
                  <c:v>18.098630136986301</c:v>
                </c:pt>
                <c:pt idx="218">
                  <c:v>18.175342465753424</c:v>
                </c:pt>
                <c:pt idx="219">
                  <c:v>18.260273972602739</c:v>
                </c:pt>
                <c:pt idx="220">
                  <c:v>18.347945205479451</c:v>
                </c:pt>
                <c:pt idx="221">
                  <c:v>18.427397260273974</c:v>
                </c:pt>
                <c:pt idx="222">
                  <c:v>18.509589041095889</c:v>
                </c:pt>
                <c:pt idx="223">
                  <c:v>18.597260273972601</c:v>
                </c:pt>
                <c:pt idx="224">
                  <c:v>18.67945205479452</c:v>
                </c:pt>
                <c:pt idx="225">
                  <c:v>18.761643835616439</c:v>
                </c:pt>
                <c:pt idx="226">
                  <c:v>18.846575342465755</c:v>
                </c:pt>
                <c:pt idx="227">
                  <c:v>18.92876712328767</c:v>
                </c:pt>
                <c:pt idx="228">
                  <c:v>19.019178082191782</c:v>
                </c:pt>
                <c:pt idx="229">
                  <c:v>19.098630136986301</c:v>
                </c:pt>
                <c:pt idx="230">
                  <c:v>19.175342465753424</c:v>
                </c:pt>
                <c:pt idx="231">
                  <c:v>19.260273972602739</c:v>
                </c:pt>
                <c:pt idx="232">
                  <c:v>19.345205479452055</c:v>
                </c:pt>
                <c:pt idx="233">
                  <c:v>19.427397260273974</c:v>
                </c:pt>
                <c:pt idx="234">
                  <c:v>19.509589041095889</c:v>
                </c:pt>
                <c:pt idx="235">
                  <c:v>19.594520547945205</c:v>
                </c:pt>
                <c:pt idx="236">
                  <c:v>19.67945205479452</c:v>
                </c:pt>
                <c:pt idx="237">
                  <c:v>19.767123287671232</c:v>
                </c:pt>
                <c:pt idx="238">
                  <c:v>19.846575342465755</c:v>
                </c:pt>
                <c:pt idx="239">
                  <c:v>19.92876712328767</c:v>
                </c:pt>
                <c:pt idx="240">
                  <c:v>20.016438356164382</c:v>
                </c:pt>
                <c:pt idx="241">
                  <c:v>20.098630136986301</c:v>
                </c:pt>
                <c:pt idx="242">
                  <c:v>20.17808219178082</c:v>
                </c:pt>
                <c:pt idx="243">
                  <c:v>20.265753424657536</c:v>
                </c:pt>
                <c:pt idx="244">
                  <c:v>20.345205479452055</c:v>
                </c:pt>
                <c:pt idx="245">
                  <c:v>20.43013698630137</c:v>
                </c:pt>
                <c:pt idx="246">
                  <c:v>20.515068493150686</c:v>
                </c:pt>
                <c:pt idx="247">
                  <c:v>20.597260273972601</c:v>
                </c:pt>
                <c:pt idx="248">
                  <c:v>20.687671232876713</c:v>
                </c:pt>
                <c:pt idx="249">
                  <c:v>20.764383561643836</c:v>
                </c:pt>
                <c:pt idx="250">
                  <c:v>20.849315068493151</c:v>
                </c:pt>
                <c:pt idx="251">
                  <c:v>20.936986301369863</c:v>
                </c:pt>
                <c:pt idx="252">
                  <c:v>21.016438356164382</c:v>
                </c:pt>
                <c:pt idx="253">
                  <c:v>21.101369863013698</c:v>
                </c:pt>
                <c:pt idx="254">
                  <c:v>21.17808219178082</c:v>
                </c:pt>
                <c:pt idx="255">
                  <c:v>21.263013698630136</c:v>
                </c:pt>
                <c:pt idx="256">
                  <c:v>21.345205479452055</c:v>
                </c:pt>
                <c:pt idx="257">
                  <c:v>21.435616438356163</c:v>
                </c:pt>
                <c:pt idx="258">
                  <c:v>21.512328767123286</c:v>
                </c:pt>
                <c:pt idx="259">
                  <c:v>21.597260273972601</c:v>
                </c:pt>
                <c:pt idx="260">
                  <c:v>21.684931506849313</c:v>
                </c:pt>
                <c:pt idx="261">
                  <c:v>21.764383561643836</c:v>
                </c:pt>
                <c:pt idx="262">
                  <c:v>21.849315068493151</c:v>
                </c:pt>
                <c:pt idx="263">
                  <c:v>21.934246575342467</c:v>
                </c:pt>
                <c:pt idx="264">
                  <c:v>22.016438356164382</c:v>
                </c:pt>
                <c:pt idx="265">
                  <c:v>22.106849315068494</c:v>
                </c:pt>
                <c:pt idx="266">
                  <c:v>22.183561643835617</c:v>
                </c:pt>
                <c:pt idx="267">
                  <c:v>22.263013698630136</c:v>
                </c:pt>
                <c:pt idx="268">
                  <c:v>22.345205479452055</c:v>
                </c:pt>
                <c:pt idx="269">
                  <c:v>22.432876712328767</c:v>
                </c:pt>
                <c:pt idx="270">
                  <c:v>22.512328767123286</c:v>
                </c:pt>
                <c:pt idx="271">
                  <c:v>22.597260273972601</c:v>
                </c:pt>
                <c:pt idx="272">
                  <c:v>22.682191780821917</c:v>
                </c:pt>
                <c:pt idx="273">
                  <c:v>22.764383561643836</c:v>
                </c:pt>
                <c:pt idx="274">
                  <c:v>22.854794520547944</c:v>
                </c:pt>
                <c:pt idx="275">
                  <c:v>22.931506849315067</c:v>
                </c:pt>
                <c:pt idx="276">
                  <c:v>23.016438356164382</c:v>
                </c:pt>
                <c:pt idx="277">
                  <c:v>23.104109589041094</c:v>
                </c:pt>
                <c:pt idx="278">
                  <c:v>23.18082191780822</c:v>
                </c:pt>
                <c:pt idx="279">
                  <c:v>23.263013698630136</c:v>
                </c:pt>
                <c:pt idx="280">
                  <c:v>23.345205479452055</c:v>
                </c:pt>
                <c:pt idx="281">
                  <c:v>23.43013698630137</c:v>
                </c:pt>
                <c:pt idx="282">
                  <c:v>23.512328767123286</c:v>
                </c:pt>
                <c:pt idx="283">
                  <c:v>23.602739726027398</c:v>
                </c:pt>
                <c:pt idx="284">
                  <c:v>23.682191780821917</c:v>
                </c:pt>
                <c:pt idx="285">
                  <c:v>23.764383561643836</c:v>
                </c:pt>
                <c:pt idx="286">
                  <c:v>23.852054794520548</c:v>
                </c:pt>
                <c:pt idx="287">
                  <c:v>23.931506849315067</c:v>
                </c:pt>
                <c:pt idx="288">
                  <c:v>24.016438356164382</c:v>
                </c:pt>
                <c:pt idx="289">
                  <c:v>24.101369863013698</c:v>
                </c:pt>
              </c:numCache>
            </c:numRef>
          </c:xVal>
          <c:yVal>
            <c:numRef>
              <c:f>EURYC_EUROIS!$H$8:$H$297</c:f>
              <c:numCache>
                <c:formatCode>0.00000%</c:formatCode>
                <c:ptCount val="290"/>
                <c:pt idx="0">
                  <c:v>-4.4750297386810557E-3</c:v>
                </c:pt>
                <c:pt idx="1">
                  <c:v>-4.5164953990251572E-3</c:v>
                </c:pt>
                <c:pt idx="2">
                  <c:v>-4.5469060726466932E-3</c:v>
                </c:pt>
                <c:pt idx="3">
                  <c:v>-4.5747251624999336E-3</c:v>
                </c:pt>
                <c:pt idx="4">
                  <c:v>-4.5977132382316131E-3</c:v>
                </c:pt>
                <c:pt idx="5">
                  <c:v>-4.6164967268475156E-3</c:v>
                </c:pt>
                <c:pt idx="6">
                  <c:v>-4.6299638190003744E-3</c:v>
                </c:pt>
                <c:pt idx="7">
                  <c:v>-4.639542401449954E-3</c:v>
                </c:pt>
                <c:pt idx="8">
                  <c:v>-4.6435296750285751E-3</c:v>
                </c:pt>
                <c:pt idx="9">
                  <c:v>-4.6433880305738213E-3</c:v>
                </c:pt>
                <c:pt idx="10">
                  <c:v>-4.6385587992598225E-3</c:v>
                </c:pt>
                <c:pt idx="11">
                  <c:v>-4.6301029978078334E-3</c:v>
                </c:pt>
                <c:pt idx="12">
                  <c:v>-4.6168715403384552E-3</c:v>
                </c:pt>
                <c:pt idx="13">
                  <c:v>-4.5994055989326058E-3</c:v>
                </c:pt>
                <c:pt idx="14">
                  <c:v>-4.580072541656416E-3</c:v>
                </c:pt>
                <c:pt idx="15">
                  <c:v>-4.5548196978101715E-3</c:v>
                </c:pt>
                <c:pt idx="16">
                  <c:v>-4.5246097789260493E-3</c:v>
                </c:pt>
                <c:pt idx="17">
                  <c:v>-4.4936843539089494E-3</c:v>
                </c:pt>
                <c:pt idx="18">
                  <c:v>-4.4582282681189644E-3</c:v>
                </c:pt>
                <c:pt idx="19">
                  <c:v>-4.416620047991573E-3</c:v>
                </c:pt>
                <c:pt idx="20">
                  <c:v>-4.3741495289031087E-3</c:v>
                </c:pt>
                <c:pt idx="21">
                  <c:v>-4.3284129080679787E-3</c:v>
                </c:pt>
                <c:pt idx="22">
                  <c:v>-4.2778078701794682E-3</c:v>
                </c:pt>
                <c:pt idx="23">
                  <c:v>-4.2256828718346025E-3</c:v>
                </c:pt>
                <c:pt idx="24">
                  <c:v>-4.1648610792019381E-3</c:v>
                </c:pt>
                <c:pt idx="25">
                  <c:v>-4.1084794654817139E-3</c:v>
                </c:pt>
                <c:pt idx="26">
                  <c:v>-4.0515090299257147E-3</c:v>
                </c:pt>
                <c:pt idx="27">
                  <c:v>-3.9856090593744743E-3</c:v>
                </c:pt>
                <c:pt idx="28">
                  <c:v>-3.9168219566491436E-3</c:v>
                </c:pt>
                <c:pt idx="29">
                  <c:v>-3.8475838635735385E-3</c:v>
                </c:pt>
                <c:pt idx="30">
                  <c:v>-3.7757955878517709E-3</c:v>
                </c:pt>
                <c:pt idx="31">
                  <c:v>-3.6990141505727145E-3</c:v>
                </c:pt>
                <c:pt idx="32">
                  <c:v>-3.6196699818260396E-3</c:v>
                </c:pt>
                <c:pt idx="33">
                  <c:v>-3.5351630852116602E-3</c:v>
                </c:pt>
                <c:pt idx="34">
                  <c:v>-3.4563663994075866E-3</c:v>
                </c:pt>
                <c:pt idx="35">
                  <c:v>-3.3727094096421945E-3</c:v>
                </c:pt>
                <c:pt idx="36">
                  <c:v>-3.2811509269730674E-3</c:v>
                </c:pt>
                <c:pt idx="37">
                  <c:v>-3.1932087389645166E-3</c:v>
                </c:pt>
                <c:pt idx="38">
                  <c:v>-3.1093520622595219E-3</c:v>
                </c:pt>
                <c:pt idx="39">
                  <c:v>-3.0083941796006548E-3</c:v>
                </c:pt>
                <c:pt idx="40">
                  <c:v>-2.9209908746623625E-3</c:v>
                </c:pt>
                <c:pt idx="41">
                  <c:v>-2.8224257619436678E-3</c:v>
                </c:pt>
                <c:pt idx="42">
                  <c:v>-2.718773745107198E-3</c:v>
                </c:pt>
                <c:pt idx="43">
                  <c:v>-2.6232298271337659E-3</c:v>
                </c:pt>
                <c:pt idx="44">
                  <c:v>-2.5194714657529272E-3</c:v>
                </c:pt>
                <c:pt idx="45">
                  <c:v>-2.4141011654597055E-3</c:v>
                </c:pt>
                <c:pt idx="46">
                  <c:v>-2.3106592088746524E-3</c:v>
                </c:pt>
                <c:pt idx="47">
                  <c:v>-2.2058321931384857E-3</c:v>
                </c:pt>
                <c:pt idx="48">
                  <c:v>-2.0961196475846743E-3</c:v>
                </c:pt>
                <c:pt idx="49">
                  <c:v>-1.9850576683365247E-3</c:v>
                </c:pt>
                <c:pt idx="50">
                  <c:v>-1.8799964648590513E-3</c:v>
                </c:pt>
                <c:pt idx="51">
                  <c:v>-1.7665050883732677E-3</c:v>
                </c:pt>
                <c:pt idx="52">
                  <c:v>-1.6555670913788901E-3</c:v>
                </c:pt>
                <c:pt idx="53">
                  <c:v>-1.5323446217637893E-3</c:v>
                </c:pt>
                <c:pt idx="54">
                  <c:v>-1.4268670996865334E-3</c:v>
                </c:pt>
                <c:pt idx="55">
                  <c:v>-1.3091544035368136E-3</c:v>
                </c:pt>
                <c:pt idx="56">
                  <c:v>-1.1866758947232216E-3</c:v>
                </c:pt>
                <c:pt idx="57">
                  <c:v>-1.0748830407347912E-3</c:v>
                </c:pt>
                <c:pt idx="58">
                  <c:v>-9.5459781947170139E-4</c:v>
                </c:pt>
                <c:pt idx="59">
                  <c:v>-8.3355956631639351E-4</c:v>
                </c:pt>
                <c:pt idx="60">
                  <c:v>-7.1576149716059989E-4</c:v>
                </c:pt>
                <c:pt idx="61">
                  <c:v>-5.8548921738665752E-4</c:v>
                </c:pt>
                <c:pt idx="62">
                  <c:v>-4.7443188340826563E-4</c:v>
                </c:pt>
                <c:pt idx="63">
                  <c:v>-3.5894630332927209E-4</c:v>
                </c:pt>
                <c:pt idx="64">
                  <c:v>-2.3902924180416442E-4</c:v>
                </c:pt>
                <c:pt idx="65">
                  <c:v>-1.1066659246826595E-4</c:v>
                </c:pt>
                <c:pt idx="66">
                  <c:v>6.0182676251160675E-6</c:v>
                </c:pt>
                <c:pt idx="67">
                  <c:v>1.310767385411301E-4</c:v>
                </c:pt>
                <c:pt idx="68">
                  <c:v>2.5642403542451287E-4</c:v>
                </c:pt>
                <c:pt idx="69">
                  <c:v>3.7795699089480424E-4</c:v>
                </c:pt>
                <c:pt idx="70">
                  <c:v>5.1185116207333589E-4</c:v>
                </c:pt>
                <c:pt idx="71">
                  <c:v>6.2558817957611369E-4</c:v>
                </c:pt>
                <c:pt idx="72">
                  <c:v>7.5160671955486354E-4</c:v>
                </c:pt>
                <c:pt idx="73">
                  <c:v>8.8174878477665307E-4</c:v>
                </c:pt>
                <c:pt idx="74">
                  <c:v>9.9563344467250032E-4</c:v>
                </c:pt>
                <c:pt idx="75">
                  <c:v>1.1176248545923355E-3</c:v>
                </c:pt>
                <c:pt idx="76">
                  <c:v>1.2395490629007564E-3</c:v>
                </c:pt>
                <c:pt idx="77">
                  <c:v>1.3654258357743807E-3</c:v>
                </c:pt>
                <c:pt idx="78">
                  <c:v>1.487095130373797E-3</c:v>
                </c:pt>
                <c:pt idx="79">
                  <c:v>1.6207195326797461E-3</c:v>
                </c:pt>
                <c:pt idx="80">
                  <c:v>1.7379265405682574E-3</c:v>
                </c:pt>
                <c:pt idx="81">
                  <c:v>1.8589220533493408E-3</c:v>
                </c:pt>
                <c:pt idx="82">
                  <c:v>1.987660994915116E-3</c:v>
                </c:pt>
                <c:pt idx="83">
                  <c:v>2.1040083932428854E-3</c:v>
                </c:pt>
                <c:pt idx="84">
                  <c:v>2.2280051107038679E-3</c:v>
                </c:pt>
                <c:pt idx="85">
                  <c:v>2.3515788252758078E-3</c:v>
                </c:pt>
                <c:pt idx="86">
                  <c:v>2.4628002962316996E-3</c:v>
                </c:pt>
                <c:pt idx="87">
                  <c:v>2.5854702222144273E-3</c:v>
                </c:pt>
                <c:pt idx="88">
                  <c:v>2.7115457816403706E-3</c:v>
                </c:pt>
                <c:pt idx="89">
                  <c:v>2.8252870254572688E-3</c:v>
                </c:pt>
                <c:pt idx="90">
                  <c:v>2.9424054681111865E-3</c:v>
                </c:pt>
                <c:pt idx="91">
                  <c:v>3.0666882126222888E-3</c:v>
                </c:pt>
                <c:pt idx="92">
                  <c:v>3.1825694816269554E-3</c:v>
                </c:pt>
                <c:pt idx="93">
                  <c:v>3.2978085722033218E-3</c:v>
                </c:pt>
                <c:pt idx="94">
                  <c:v>3.416185032564798E-3</c:v>
                </c:pt>
                <c:pt idx="95">
                  <c:v>3.5300339501147136E-3</c:v>
                </c:pt>
                <c:pt idx="96">
                  <c:v>3.6544305607318518E-3</c:v>
                </c:pt>
                <c:pt idx="97">
                  <c:v>3.7629984659394247E-3</c:v>
                </c:pt>
                <c:pt idx="98">
                  <c:v>3.8708406885523162E-3</c:v>
                </c:pt>
                <c:pt idx="99">
                  <c:v>3.9926467627832531E-3</c:v>
                </c:pt>
                <c:pt idx="100">
                  <c:v>4.0952141753219781E-3</c:v>
                </c:pt>
                <c:pt idx="101">
                  <c:v>4.2079079791944489E-3</c:v>
                </c:pt>
                <c:pt idx="102">
                  <c:v>4.323260043381085E-3</c:v>
                </c:pt>
                <c:pt idx="103">
                  <c:v>4.4269182002888664E-3</c:v>
                </c:pt>
                <c:pt idx="104">
                  <c:v>4.5367774235076912E-3</c:v>
                </c:pt>
                <c:pt idx="105">
                  <c:v>4.6456345263818444E-3</c:v>
                </c:pt>
                <c:pt idx="106">
                  <c:v>4.7500046358009999E-3</c:v>
                </c:pt>
                <c:pt idx="107">
                  <c:v>4.8533950856286439E-3</c:v>
                </c:pt>
                <c:pt idx="108">
                  <c:v>4.9591820917319679E-3</c:v>
                </c:pt>
                <c:pt idx="109">
                  <c:v>5.0638815265053152E-3</c:v>
                </c:pt>
                <c:pt idx="110">
                  <c:v>5.157497167051008E-3</c:v>
                </c:pt>
                <c:pt idx="111">
                  <c:v>5.2633613504626323E-3</c:v>
                </c:pt>
                <c:pt idx="112">
                  <c:v>5.3582473889428736E-3</c:v>
                </c:pt>
                <c:pt idx="113">
                  <c:v>5.4585520862312021E-3</c:v>
                </c:pt>
                <c:pt idx="114">
                  <c:v>5.5576766196845807E-3</c:v>
                </c:pt>
                <c:pt idx="115">
                  <c:v>5.6524636607251724E-3</c:v>
                </c:pt>
                <c:pt idx="116">
                  <c:v>5.7554161555976868E-3</c:v>
                </c:pt>
                <c:pt idx="117">
                  <c:v>5.8416768975828922E-3</c:v>
                </c:pt>
                <c:pt idx="118">
                  <c:v>5.9359949375246404E-3</c:v>
                </c:pt>
                <c:pt idx="119">
                  <c:v>6.0320340815107924E-3</c:v>
                </c:pt>
                <c:pt idx="120">
                  <c:v>6.1178969346267573E-3</c:v>
                </c:pt>
                <c:pt idx="121">
                  <c:v>6.2084351762603986E-3</c:v>
                </c:pt>
                <c:pt idx="122">
                  <c:v>6.2890940121040307E-3</c:v>
                </c:pt>
                <c:pt idx="123">
                  <c:v>6.3771457274893065E-3</c:v>
                </c:pt>
                <c:pt idx="124">
                  <c:v>6.4610961026298512E-3</c:v>
                </c:pt>
                <c:pt idx="125">
                  <c:v>6.5519961994671555E-3</c:v>
                </c:pt>
                <c:pt idx="126">
                  <c:v>6.6279264561925561E-3</c:v>
                </c:pt>
                <c:pt idx="127">
                  <c:v>6.710700188812588E-3</c:v>
                </c:pt>
                <c:pt idx="128">
                  <c:v>6.7947096853196963E-3</c:v>
                </c:pt>
                <c:pt idx="129">
                  <c:v>6.8695759459463622E-3</c:v>
                </c:pt>
                <c:pt idx="130">
                  <c:v>6.9482641791167804E-3</c:v>
                </c:pt>
                <c:pt idx="131">
                  <c:v>7.0255581206892905E-3</c:v>
                </c:pt>
                <c:pt idx="132">
                  <c:v>7.0990235768857816E-3</c:v>
                </c:pt>
                <c:pt idx="133">
                  <c:v>7.1783105422282946E-3</c:v>
                </c:pt>
                <c:pt idx="134">
                  <c:v>7.2443253185641918E-3</c:v>
                </c:pt>
                <c:pt idx="135">
                  <c:v>7.31147383950379E-3</c:v>
                </c:pt>
                <c:pt idx="136">
                  <c:v>7.3796220369726278E-3</c:v>
                </c:pt>
                <c:pt idx="137">
                  <c:v>7.4508329133572233E-3</c:v>
                </c:pt>
                <c:pt idx="138">
                  <c:v>7.5140430538181268E-3</c:v>
                </c:pt>
                <c:pt idx="139">
                  <c:v>7.5802151923618933E-3</c:v>
                </c:pt>
                <c:pt idx="140">
                  <c:v>7.6449393358997593E-3</c:v>
                </c:pt>
                <c:pt idx="141">
                  <c:v>7.7061934116457644E-3</c:v>
                </c:pt>
                <c:pt idx="142">
                  <c:v>7.7719990776803725E-3</c:v>
                </c:pt>
                <c:pt idx="143">
                  <c:v>7.8265387884373164E-3</c:v>
                </c:pt>
                <c:pt idx="144">
                  <c:v>7.8855326614974061E-3</c:v>
                </c:pt>
                <c:pt idx="145">
                  <c:v>7.9448961907010729E-3</c:v>
                </c:pt>
                <c:pt idx="146">
                  <c:v>7.9955602196235907E-3</c:v>
                </c:pt>
                <c:pt idx="147">
                  <c:v>8.0502590854817924E-3</c:v>
                </c:pt>
                <c:pt idx="148">
                  <c:v>8.1051859085196163E-3</c:v>
                </c:pt>
                <c:pt idx="149">
                  <c:v>8.1536149240371801E-3</c:v>
                </c:pt>
                <c:pt idx="150">
                  <c:v>8.2023649591765856E-3</c:v>
                </c:pt>
                <c:pt idx="151">
                  <c:v>8.2528536463331737E-3</c:v>
                </c:pt>
                <c:pt idx="152">
                  <c:v>8.2987709466259205E-3</c:v>
                </c:pt>
                <c:pt idx="153">
                  <c:v>8.3433194688108999E-3</c:v>
                </c:pt>
                <c:pt idx="154">
                  <c:v>8.3879168061183496E-3</c:v>
                </c:pt>
                <c:pt idx="155">
                  <c:v>8.4296878641413331E-3</c:v>
                </c:pt>
                <c:pt idx="156">
                  <c:v>8.4740625278560654E-3</c:v>
                </c:pt>
                <c:pt idx="157">
                  <c:v>8.5117004980400108E-3</c:v>
                </c:pt>
                <c:pt idx="158">
                  <c:v>8.54683802719668E-3</c:v>
                </c:pt>
                <c:pt idx="159">
                  <c:v>8.5843656323430217E-3</c:v>
                </c:pt>
                <c:pt idx="160">
                  <c:v>8.6204527833736288E-3</c:v>
                </c:pt>
                <c:pt idx="161">
                  <c:v>8.6540086686415687E-3</c:v>
                </c:pt>
                <c:pt idx="162">
                  <c:v>8.686224363520418E-3</c:v>
                </c:pt>
                <c:pt idx="163">
                  <c:v>8.7181111136456751E-3</c:v>
                </c:pt>
                <c:pt idx="164">
                  <c:v>8.7485777073312322E-3</c:v>
                </c:pt>
                <c:pt idx="165">
                  <c:v>8.7785439113494852E-3</c:v>
                </c:pt>
                <c:pt idx="166">
                  <c:v>8.8044051643324621E-3</c:v>
                </c:pt>
                <c:pt idx="167">
                  <c:v>8.8298679292883007E-3</c:v>
                </c:pt>
                <c:pt idx="168">
                  <c:v>8.8555891414872773E-3</c:v>
                </c:pt>
                <c:pt idx="169">
                  <c:v>8.8783607769645674E-3</c:v>
                </c:pt>
                <c:pt idx="170">
                  <c:v>8.898448933679956E-3</c:v>
                </c:pt>
                <c:pt idx="171">
                  <c:v>8.9206880534085497E-3</c:v>
                </c:pt>
                <c:pt idx="172">
                  <c:v>8.9383461697763351E-3</c:v>
                </c:pt>
                <c:pt idx="173">
                  <c:v>8.9566071877667311E-3</c:v>
                </c:pt>
                <c:pt idx="174">
                  <c:v>8.9740457311880545E-3</c:v>
                </c:pt>
                <c:pt idx="175">
                  <c:v>8.9886193354378197E-3</c:v>
                </c:pt>
                <c:pt idx="176">
                  <c:v>9.0029139192118121E-3</c:v>
                </c:pt>
                <c:pt idx="177">
                  <c:v>9.0158913610242294E-3</c:v>
                </c:pt>
                <c:pt idx="178">
                  <c:v>9.027205751259381E-3</c:v>
                </c:pt>
                <c:pt idx="179">
                  <c:v>9.0373057935627821E-3</c:v>
                </c:pt>
                <c:pt idx="180">
                  <c:v>9.046477206234093E-3</c:v>
                </c:pt>
                <c:pt idx="181">
                  <c:v>9.0543735887881633E-3</c:v>
                </c:pt>
                <c:pt idx="182">
                  <c:v>9.0604193754552156E-3</c:v>
                </c:pt>
                <c:pt idx="183">
                  <c:v>9.0660775822480298E-3</c:v>
                </c:pt>
                <c:pt idx="184">
                  <c:v>9.0700629949023621E-3</c:v>
                </c:pt>
                <c:pt idx="185">
                  <c:v>9.0731338462135668E-3</c:v>
                </c:pt>
                <c:pt idx="186">
                  <c:v>9.0749878316045383E-3</c:v>
                </c:pt>
                <c:pt idx="187">
                  <c:v>9.0756353742062965E-3</c:v>
                </c:pt>
                <c:pt idx="188">
                  <c:v>9.0750592059624224E-3</c:v>
                </c:pt>
                <c:pt idx="189">
                  <c:v>9.073523298945169E-3</c:v>
                </c:pt>
                <c:pt idx="190">
                  <c:v>9.0707142962614604E-3</c:v>
                </c:pt>
                <c:pt idx="191">
                  <c:v>9.0666068784569006E-3</c:v>
                </c:pt>
                <c:pt idx="192">
                  <c:v>9.0618373996849098E-3</c:v>
                </c:pt>
                <c:pt idx="193">
                  <c:v>9.0556515585018035E-3</c:v>
                </c:pt>
                <c:pt idx="194">
                  <c:v>9.0483561220854065E-3</c:v>
                </c:pt>
                <c:pt idx="195">
                  <c:v>9.0405397775306963E-3</c:v>
                </c:pt>
                <c:pt idx="196">
                  <c:v>9.0314584375501567E-3</c:v>
                </c:pt>
                <c:pt idx="197">
                  <c:v>9.0206710386045788E-3</c:v>
                </c:pt>
                <c:pt idx="198">
                  <c:v>9.0099273172150364E-3</c:v>
                </c:pt>
                <c:pt idx="199">
                  <c:v>8.9974400114709811E-3</c:v>
                </c:pt>
                <c:pt idx="200">
                  <c:v>8.9839319472396015E-3</c:v>
                </c:pt>
                <c:pt idx="201">
                  <c:v>8.9699026371575091E-3</c:v>
                </c:pt>
                <c:pt idx="202">
                  <c:v>8.9534007079792918E-3</c:v>
                </c:pt>
                <c:pt idx="203">
                  <c:v>8.9385343596787552E-3</c:v>
                </c:pt>
                <c:pt idx="204">
                  <c:v>8.9211646397249194E-3</c:v>
                </c:pt>
                <c:pt idx="205">
                  <c:v>8.9022479566999557E-3</c:v>
                </c:pt>
                <c:pt idx="206">
                  <c:v>8.8848879550682131E-3</c:v>
                </c:pt>
                <c:pt idx="207">
                  <c:v>8.8654659910050969E-3</c:v>
                </c:pt>
                <c:pt idx="208">
                  <c:v>8.8452088264420487E-3</c:v>
                </c:pt>
                <c:pt idx="209">
                  <c:v>8.8234155550069963E-3</c:v>
                </c:pt>
                <c:pt idx="210">
                  <c:v>8.8015083566328894E-3</c:v>
                </c:pt>
                <c:pt idx="211">
                  <c:v>8.7765014760912453E-3</c:v>
                </c:pt>
                <c:pt idx="212">
                  <c:v>8.7537559519963656E-3</c:v>
                </c:pt>
                <c:pt idx="213">
                  <c:v>8.7294845032574349E-3</c:v>
                </c:pt>
                <c:pt idx="214">
                  <c:v>8.7027817941370857E-3</c:v>
                </c:pt>
                <c:pt idx="215">
                  <c:v>8.6778736677450667E-3</c:v>
                </c:pt>
                <c:pt idx="216">
                  <c:v>8.6505198715899553E-3</c:v>
                </c:pt>
                <c:pt idx="217">
                  <c:v>8.6224318373756305E-3</c:v>
                </c:pt>
                <c:pt idx="218">
                  <c:v>8.59644620979165E-3</c:v>
                </c:pt>
                <c:pt idx="219">
                  <c:v>8.567011683736539E-3</c:v>
                </c:pt>
                <c:pt idx="220">
                  <c:v>8.5359140740502437E-3</c:v>
                </c:pt>
                <c:pt idx="221">
                  <c:v>8.5071227488554106E-3</c:v>
                </c:pt>
                <c:pt idx="222">
                  <c:v>8.4767461086925518E-3</c:v>
                </c:pt>
                <c:pt idx="223">
                  <c:v>8.4436993052173573E-3</c:v>
                </c:pt>
                <c:pt idx="224">
                  <c:v>8.4121313692217432E-3</c:v>
                </c:pt>
                <c:pt idx="225">
                  <c:v>8.3800134678359735E-3</c:v>
                </c:pt>
                <c:pt idx="226">
                  <c:v>8.346265639741203E-3</c:v>
                </c:pt>
                <c:pt idx="227">
                  <c:v>8.313083077149383E-3</c:v>
                </c:pt>
                <c:pt idx="228">
                  <c:v>8.2760087695787563E-3</c:v>
                </c:pt>
                <c:pt idx="229">
                  <c:v>8.2429502614997999E-3</c:v>
                </c:pt>
                <c:pt idx="230">
                  <c:v>8.210622962440961E-3</c:v>
                </c:pt>
                <c:pt idx="231">
                  <c:v>8.1743811522698717E-3</c:v>
                </c:pt>
                <c:pt idx="232">
                  <c:v>8.1376844433233148E-3</c:v>
                </c:pt>
                <c:pt idx="233">
                  <c:v>8.1017568126533213E-3</c:v>
                </c:pt>
                <c:pt idx="234">
                  <c:v>8.0654392709410029E-3</c:v>
                </c:pt>
                <c:pt idx="235">
                  <c:v>8.0275204441020709E-3</c:v>
                </c:pt>
                <c:pt idx="236">
                  <c:v>7.9892239894058178E-3</c:v>
                </c:pt>
                <c:pt idx="237">
                  <c:v>7.9493169738490896E-3</c:v>
                </c:pt>
                <c:pt idx="238">
                  <c:v>7.9128399940183898E-3</c:v>
                </c:pt>
                <c:pt idx="239">
                  <c:v>7.874811572793735E-3</c:v>
                </c:pt>
                <c:pt idx="240">
                  <c:v>7.8339387867719587E-3</c:v>
                </c:pt>
                <c:pt idx="241">
                  <c:v>7.7953496784268494E-3</c:v>
                </c:pt>
                <c:pt idx="242">
                  <c:v>7.7578149435708413E-3</c:v>
                </c:pt>
                <c:pt idx="243">
                  <c:v>7.7161523795327563E-3</c:v>
                </c:pt>
                <c:pt idx="244">
                  <c:v>7.6781913468677646E-3</c:v>
                </c:pt>
                <c:pt idx="245">
                  <c:v>7.6374164081824403E-3</c:v>
                </c:pt>
                <c:pt idx="246">
                  <c:v>7.5964583838237648E-3</c:v>
                </c:pt>
                <c:pt idx="247">
                  <c:v>7.5566658730997563E-3</c:v>
                </c:pt>
                <c:pt idx="248">
                  <c:v>7.5127387880169622E-3</c:v>
                </c:pt>
                <c:pt idx="249">
                  <c:v>7.4753568544897661E-3</c:v>
                </c:pt>
                <c:pt idx="250">
                  <c:v>7.4338699460407068E-3</c:v>
                </c:pt>
                <c:pt idx="251">
                  <c:v>7.3909549431932856E-3</c:v>
                </c:pt>
                <c:pt idx="252">
                  <c:v>7.3520022679978148E-3</c:v>
                </c:pt>
                <c:pt idx="253">
                  <c:v>7.3103178377429343E-3</c:v>
                </c:pt>
                <c:pt idx="254">
                  <c:v>7.27264296361671E-3</c:v>
                </c:pt>
                <c:pt idx="255">
                  <c:v>7.2309223800563066E-3</c:v>
                </c:pt>
                <c:pt idx="256">
                  <c:v>7.1905561817928593E-3</c:v>
                </c:pt>
                <c:pt idx="257">
                  <c:v>7.1461842355833236E-3</c:v>
                </c:pt>
                <c:pt idx="258">
                  <c:v>7.1085774353614184E-3</c:v>
                </c:pt>
                <c:pt idx="259">
                  <c:v>7.067004521918524E-3</c:v>
                </c:pt>
                <c:pt idx="260">
                  <c:v>7.0241798255009438E-3</c:v>
                </c:pt>
                <c:pt idx="261">
                  <c:v>6.9854656284788347E-3</c:v>
                </c:pt>
                <c:pt idx="262">
                  <c:v>6.9442002472169667E-3</c:v>
                </c:pt>
                <c:pt idx="263">
                  <c:v>6.9030760522271264E-3</c:v>
                </c:pt>
                <c:pt idx="264">
                  <c:v>6.8634305610209764E-3</c:v>
                </c:pt>
                <c:pt idx="265">
                  <c:v>6.820013757426753E-3</c:v>
                </c:pt>
                <c:pt idx="266">
                  <c:v>6.7833501633929524E-3</c:v>
                </c:pt>
                <c:pt idx="267">
                  <c:v>6.7455618016139668E-3</c:v>
                </c:pt>
                <c:pt idx="268">
                  <c:v>6.7066839255146837E-3</c:v>
                </c:pt>
                <c:pt idx="269">
                  <c:v>6.6654719701311482E-3</c:v>
                </c:pt>
                <c:pt idx="270">
                  <c:v>6.628369805122325E-3</c:v>
                </c:pt>
                <c:pt idx="271">
                  <c:v>6.5889849363937047E-3</c:v>
                </c:pt>
                <c:pt idx="272">
                  <c:v>6.5499028220718791E-3</c:v>
                </c:pt>
                <c:pt idx="273">
                  <c:v>6.5123863896961731E-3</c:v>
                </c:pt>
                <c:pt idx="274">
                  <c:v>6.4714840141396196E-3</c:v>
                </c:pt>
                <c:pt idx="275">
                  <c:v>6.4370945823368081E-3</c:v>
                </c:pt>
                <c:pt idx="276">
                  <c:v>6.3993748292262703E-3</c:v>
                </c:pt>
                <c:pt idx="277">
                  <c:v>6.360846388727949E-3</c:v>
                </c:pt>
                <c:pt idx="278">
                  <c:v>6.3274886025341259E-3</c:v>
                </c:pt>
                <c:pt idx="279">
                  <c:v>6.2921301272501201E-3</c:v>
                </c:pt>
                <c:pt idx="280">
                  <c:v>6.2571816054370205E-3</c:v>
                </c:pt>
                <c:pt idx="281">
                  <c:v>6.2215146977537411E-3</c:v>
                </c:pt>
                <c:pt idx="282">
                  <c:v>6.1874457064036437E-3</c:v>
                </c:pt>
                <c:pt idx="283">
                  <c:v>6.1504957093807405E-3</c:v>
                </c:pt>
                <c:pt idx="284">
                  <c:v>6.1184940810003474E-3</c:v>
                </c:pt>
                <c:pt idx="285">
                  <c:v>6.0858655822846885E-3</c:v>
                </c:pt>
                <c:pt idx="286">
                  <c:v>6.0516118399469854E-3</c:v>
                </c:pt>
                <c:pt idx="287">
                  <c:v>6.0210736233106826E-3</c:v>
                </c:pt>
                <c:pt idx="288">
                  <c:v>5.9889740254592122E-3</c:v>
                </c:pt>
                <c:pt idx="289">
                  <c:v>5.9574519300978068E-3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36-4F95-9422-FBAECE889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100335"/>
        <c:axId val="320103663"/>
      </c:scatterChart>
      <c:valAx>
        <c:axId val="32010033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03663"/>
        <c:crosses val="autoZero"/>
        <c:crossBetween val="midCat"/>
      </c:valAx>
      <c:valAx>
        <c:axId val="32010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0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11174366115037"/>
          <c:y val="0.81407701595949766"/>
          <c:w val="0.11383394148902119"/>
          <c:h val="9.7826771653543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Discount Factors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45713803318445"/>
          <c:y val="0.16375275938189846"/>
          <c:w val="0.8405861255647139"/>
          <c:h val="0.69177382628495943"/>
        </c:manualLayout>
      </c:layout>
      <c:lineChart>
        <c:grouping val="standard"/>
        <c:varyColors val="0"/>
        <c:ser>
          <c:idx val="0"/>
          <c:order val="0"/>
          <c:tx>
            <c:strRef>
              <c:f>EURYC_EUROIS!$F$7</c:f>
              <c:strCache>
                <c:ptCount val="1"/>
                <c:pt idx="0">
                  <c:v>CurveDF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EURYC_EUROIS!$D$8:$D$297</c:f>
              <c:numCache>
                <c:formatCode>#,##0.0000</c:formatCode>
                <c:ptCount val="290"/>
                <c:pt idx="0">
                  <c:v>0</c:v>
                </c:pt>
                <c:pt idx="1">
                  <c:v>9.0410958904109592E-2</c:v>
                </c:pt>
                <c:pt idx="2">
                  <c:v>0.16712328767123288</c:v>
                </c:pt>
                <c:pt idx="3">
                  <c:v>0.24931506849315069</c:v>
                </c:pt>
                <c:pt idx="4">
                  <c:v>0.33150684931506852</c:v>
                </c:pt>
                <c:pt idx="5">
                  <c:v>0.41643835616438357</c:v>
                </c:pt>
                <c:pt idx="6">
                  <c:v>0.49863013698630138</c:v>
                </c:pt>
                <c:pt idx="7">
                  <c:v>0.58904109589041098</c:v>
                </c:pt>
                <c:pt idx="8">
                  <c:v>0.66849315068493154</c:v>
                </c:pt>
                <c:pt idx="9">
                  <c:v>0.75068493150684934</c:v>
                </c:pt>
                <c:pt idx="10">
                  <c:v>0.83835616438356164</c:v>
                </c:pt>
                <c:pt idx="11">
                  <c:v>0.9178082191780822</c:v>
                </c:pt>
                <c:pt idx="12">
                  <c:v>1.0027397260273974</c:v>
                </c:pt>
                <c:pt idx="13">
                  <c:v>1.0876712328767124</c:v>
                </c:pt>
                <c:pt idx="14">
                  <c:v>1.1643835616438356</c:v>
                </c:pt>
                <c:pt idx="15">
                  <c:v>1.2493150684931507</c:v>
                </c:pt>
                <c:pt idx="16">
                  <c:v>1.3369863013698631</c:v>
                </c:pt>
                <c:pt idx="17">
                  <c:v>1.4164383561643836</c:v>
                </c:pt>
                <c:pt idx="18">
                  <c:v>1.4986301369863013</c:v>
                </c:pt>
                <c:pt idx="19">
                  <c:v>1.5863013698630137</c:v>
                </c:pt>
                <c:pt idx="20">
                  <c:v>1.6684931506849314</c:v>
                </c:pt>
                <c:pt idx="21">
                  <c:v>1.7506849315068493</c:v>
                </c:pt>
                <c:pt idx="22">
                  <c:v>1.8356164383561644</c:v>
                </c:pt>
                <c:pt idx="23">
                  <c:v>1.9178082191780821</c:v>
                </c:pt>
                <c:pt idx="24">
                  <c:v>2.0082191780821916</c:v>
                </c:pt>
                <c:pt idx="25">
                  <c:v>2.0876712328767124</c:v>
                </c:pt>
                <c:pt idx="26">
                  <c:v>2.1643835616438358</c:v>
                </c:pt>
                <c:pt idx="27">
                  <c:v>2.2493150684931509</c:v>
                </c:pt>
                <c:pt idx="28">
                  <c:v>2.3342465753424659</c:v>
                </c:pt>
                <c:pt idx="29">
                  <c:v>2.4164383561643836</c:v>
                </c:pt>
                <c:pt idx="30">
                  <c:v>2.4986301369863013</c:v>
                </c:pt>
                <c:pt idx="31">
                  <c:v>2.5835616438356164</c:v>
                </c:pt>
                <c:pt idx="32">
                  <c:v>2.6684931506849314</c:v>
                </c:pt>
                <c:pt idx="33">
                  <c:v>2.7561643835616438</c:v>
                </c:pt>
                <c:pt idx="34">
                  <c:v>2.8356164383561642</c:v>
                </c:pt>
                <c:pt idx="35">
                  <c:v>2.9178082191780823</c:v>
                </c:pt>
                <c:pt idx="36">
                  <c:v>3.0054794520547947</c:v>
                </c:pt>
                <c:pt idx="37">
                  <c:v>3.0876712328767124</c:v>
                </c:pt>
                <c:pt idx="38">
                  <c:v>3.1643835616438358</c:v>
                </c:pt>
                <c:pt idx="39">
                  <c:v>3.2547945205479452</c:v>
                </c:pt>
                <c:pt idx="40">
                  <c:v>3.3315068493150686</c:v>
                </c:pt>
                <c:pt idx="41">
                  <c:v>3.4164383561643836</c:v>
                </c:pt>
                <c:pt idx="42">
                  <c:v>3.504109589041096</c:v>
                </c:pt>
                <c:pt idx="43">
                  <c:v>3.5835616438356164</c:v>
                </c:pt>
                <c:pt idx="44">
                  <c:v>3.6684931506849314</c:v>
                </c:pt>
                <c:pt idx="45">
                  <c:v>3.7534246575342465</c:v>
                </c:pt>
                <c:pt idx="46">
                  <c:v>3.8356164383561642</c:v>
                </c:pt>
                <c:pt idx="47">
                  <c:v>3.9178082191780823</c:v>
                </c:pt>
                <c:pt idx="48">
                  <c:v>4.0027397260273974</c:v>
                </c:pt>
                <c:pt idx="49">
                  <c:v>4.087671232876712</c:v>
                </c:pt>
                <c:pt idx="50">
                  <c:v>4.1671232876712327</c:v>
                </c:pt>
                <c:pt idx="51">
                  <c:v>4.2520547945205482</c:v>
                </c:pt>
                <c:pt idx="52">
                  <c:v>4.3342465753424655</c:v>
                </c:pt>
                <c:pt idx="53">
                  <c:v>4.4246575342465757</c:v>
                </c:pt>
                <c:pt idx="54">
                  <c:v>4.5013698630136982</c:v>
                </c:pt>
                <c:pt idx="55">
                  <c:v>4.5863013698630137</c:v>
                </c:pt>
                <c:pt idx="56">
                  <c:v>4.6739726027397257</c:v>
                </c:pt>
                <c:pt idx="57">
                  <c:v>4.7534246575342465</c:v>
                </c:pt>
                <c:pt idx="58">
                  <c:v>4.838356164383562</c:v>
                </c:pt>
                <c:pt idx="59">
                  <c:v>4.9232876712328766</c:v>
                </c:pt>
                <c:pt idx="60">
                  <c:v>5.0054794520547947</c:v>
                </c:pt>
                <c:pt idx="61">
                  <c:v>5.095890410958904</c:v>
                </c:pt>
                <c:pt idx="62">
                  <c:v>5.1726027397260275</c:v>
                </c:pt>
                <c:pt idx="63">
                  <c:v>5.2520547945205482</c:v>
                </c:pt>
                <c:pt idx="64">
                  <c:v>5.3342465753424655</c:v>
                </c:pt>
                <c:pt idx="65">
                  <c:v>5.4219178082191783</c:v>
                </c:pt>
                <c:pt idx="66">
                  <c:v>5.5013698630136982</c:v>
                </c:pt>
                <c:pt idx="67">
                  <c:v>5.5863013698630137</c:v>
                </c:pt>
                <c:pt idx="68">
                  <c:v>5.6712328767123283</c:v>
                </c:pt>
                <c:pt idx="69">
                  <c:v>5.7534246575342465</c:v>
                </c:pt>
                <c:pt idx="70">
                  <c:v>5.8438356164383558</c:v>
                </c:pt>
                <c:pt idx="71">
                  <c:v>5.9205479452054792</c:v>
                </c:pt>
                <c:pt idx="72">
                  <c:v>6.0054794520547947</c:v>
                </c:pt>
                <c:pt idx="73">
                  <c:v>6.0931506849315067</c:v>
                </c:pt>
                <c:pt idx="74">
                  <c:v>6.1698630136986301</c:v>
                </c:pt>
                <c:pt idx="75">
                  <c:v>6.2520547945205482</c:v>
                </c:pt>
                <c:pt idx="76">
                  <c:v>6.3342465753424655</c:v>
                </c:pt>
                <c:pt idx="77">
                  <c:v>6.419178082191781</c:v>
                </c:pt>
                <c:pt idx="78">
                  <c:v>6.5013698630136982</c:v>
                </c:pt>
                <c:pt idx="79">
                  <c:v>6.5917808219178085</c:v>
                </c:pt>
                <c:pt idx="80">
                  <c:v>6.6712328767123283</c:v>
                </c:pt>
                <c:pt idx="81">
                  <c:v>6.7534246575342465</c:v>
                </c:pt>
                <c:pt idx="82">
                  <c:v>6.8410958904109593</c:v>
                </c:pt>
                <c:pt idx="83">
                  <c:v>6.9205479452054792</c:v>
                </c:pt>
                <c:pt idx="84">
                  <c:v>7.0054794520547947</c:v>
                </c:pt>
                <c:pt idx="85">
                  <c:v>7.0904109589041093</c:v>
                </c:pt>
                <c:pt idx="86">
                  <c:v>7.1671232876712327</c:v>
                </c:pt>
                <c:pt idx="87">
                  <c:v>7.2520547945205482</c:v>
                </c:pt>
                <c:pt idx="88">
                  <c:v>7.3397260273972602</c:v>
                </c:pt>
                <c:pt idx="89">
                  <c:v>7.419178082191781</c:v>
                </c:pt>
                <c:pt idx="90">
                  <c:v>7.5013698630136982</c:v>
                </c:pt>
                <c:pt idx="91">
                  <c:v>7.5890410958904111</c:v>
                </c:pt>
                <c:pt idx="92">
                  <c:v>7.6712328767123283</c:v>
                </c:pt>
                <c:pt idx="93">
                  <c:v>7.7534246575342465</c:v>
                </c:pt>
                <c:pt idx="94">
                  <c:v>7.838356164383562</c:v>
                </c:pt>
                <c:pt idx="95">
                  <c:v>7.9205479452054792</c:v>
                </c:pt>
                <c:pt idx="96">
                  <c:v>8.0109589041095894</c:v>
                </c:pt>
                <c:pt idx="97">
                  <c:v>8.0904109589041102</c:v>
                </c:pt>
                <c:pt idx="98">
                  <c:v>8.169863013698631</c:v>
                </c:pt>
                <c:pt idx="99">
                  <c:v>8.2602739726027394</c:v>
                </c:pt>
                <c:pt idx="100">
                  <c:v>8.3369863013698637</c:v>
                </c:pt>
                <c:pt idx="101">
                  <c:v>8.4219178082191775</c:v>
                </c:pt>
                <c:pt idx="102">
                  <c:v>8.5095890410958912</c:v>
                </c:pt>
                <c:pt idx="103">
                  <c:v>8.5890410958904102</c:v>
                </c:pt>
                <c:pt idx="104">
                  <c:v>8.6739726027397257</c:v>
                </c:pt>
                <c:pt idx="105">
                  <c:v>8.7589041095890412</c:v>
                </c:pt>
                <c:pt idx="106">
                  <c:v>8.8410958904109584</c:v>
                </c:pt>
                <c:pt idx="107">
                  <c:v>8.9232876712328775</c:v>
                </c:pt>
                <c:pt idx="108">
                  <c:v>9.0082191780821912</c:v>
                </c:pt>
                <c:pt idx="109">
                  <c:v>9.0931506849315067</c:v>
                </c:pt>
                <c:pt idx="110">
                  <c:v>9.169863013698631</c:v>
                </c:pt>
                <c:pt idx="111">
                  <c:v>9.257534246575343</c:v>
                </c:pt>
                <c:pt idx="112">
                  <c:v>9.3369863013698637</c:v>
                </c:pt>
                <c:pt idx="113">
                  <c:v>9.4219178082191775</c:v>
                </c:pt>
                <c:pt idx="114">
                  <c:v>9.506849315068493</c:v>
                </c:pt>
                <c:pt idx="115">
                  <c:v>9.5890410958904102</c:v>
                </c:pt>
                <c:pt idx="116">
                  <c:v>9.6794520547945204</c:v>
                </c:pt>
                <c:pt idx="117">
                  <c:v>9.7561643835616429</c:v>
                </c:pt>
                <c:pt idx="118">
                  <c:v>9.8410958904109584</c:v>
                </c:pt>
                <c:pt idx="119">
                  <c:v>9.9287671232876704</c:v>
                </c:pt>
                <c:pt idx="120">
                  <c:v>10.008219178082191</c:v>
                </c:pt>
                <c:pt idx="121">
                  <c:v>10.093150684931507</c:v>
                </c:pt>
                <c:pt idx="122">
                  <c:v>10.169863013698631</c:v>
                </c:pt>
                <c:pt idx="123">
                  <c:v>10.254794520547945</c:v>
                </c:pt>
                <c:pt idx="124">
                  <c:v>10.336986301369864</c:v>
                </c:pt>
                <c:pt idx="125">
                  <c:v>10.427397260273972</c:v>
                </c:pt>
                <c:pt idx="126">
                  <c:v>10.504109589041096</c:v>
                </c:pt>
                <c:pt idx="127">
                  <c:v>10.58904109589041</c:v>
                </c:pt>
                <c:pt idx="128">
                  <c:v>10.676712328767124</c:v>
                </c:pt>
                <c:pt idx="129">
                  <c:v>10.756164383561643</c:v>
                </c:pt>
                <c:pt idx="130">
                  <c:v>10.841095890410958</c:v>
                </c:pt>
                <c:pt idx="131">
                  <c:v>10.926027397260274</c:v>
                </c:pt>
                <c:pt idx="132">
                  <c:v>11.008219178082191</c:v>
                </c:pt>
                <c:pt idx="133">
                  <c:v>11.098630136986301</c:v>
                </c:pt>
                <c:pt idx="134">
                  <c:v>11.175342465753424</c:v>
                </c:pt>
                <c:pt idx="135">
                  <c:v>11.254794520547945</c:v>
                </c:pt>
                <c:pt idx="136">
                  <c:v>11.336986301369864</c:v>
                </c:pt>
                <c:pt idx="137">
                  <c:v>11.424657534246576</c:v>
                </c:pt>
                <c:pt idx="138">
                  <c:v>11.504109589041096</c:v>
                </c:pt>
                <c:pt idx="139">
                  <c:v>11.58904109589041</c:v>
                </c:pt>
                <c:pt idx="140">
                  <c:v>11.673972602739726</c:v>
                </c:pt>
                <c:pt idx="141">
                  <c:v>11.756164383561643</c:v>
                </c:pt>
                <c:pt idx="142">
                  <c:v>11.846575342465753</c:v>
                </c:pt>
                <c:pt idx="143">
                  <c:v>11.923287671232877</c:v>
                </c:pt>
                <c:pt idx="144">
                  <c:v>12.008219178082191</c:v>
                </c:pt>
                <c:pt idx="145">
                  <c:v>12.095890410958905</c:v>
                </c:pt>
                <c:pt idx="146">
                  <c:v>12.172602739726027</c:v>
                </c:pt>
                <c:pt idx="147">
                  <c:v>12.257534246575343</c:v>
                </c:pt>
                <c:pt idx="148">
                  <c:v>12.345205479452055</c:v>
                </c:pt>
                <c:pt idx="149">
                  <c:v>12.424657534246576</c:v>
                </c:pt>
                <c:pt idx="150">
                  <c:v>12.506849315068493</c:v>
                </c:pt>
                <c:pt idx="151">
                  <c:v>12.594520547945205</c:v>
                </c:pt>
                <c:pt idx="152">
                  <c:v>12.676712328767124</c:v>
                </c:pt>
                <c:pt idx="153">
                  <c:v>12.758904109589041</c:v>
                </c:pt>
                <c:pt idx="154">
                  <c:v>12.843835616438357</c:v>
                </c:pt>
                <c:pt idx="155">
                  <c:v>12.926027397260274</c:v>
                </c:pt>
                <c:pt idx="156">
                  <c:v>13.016438356164384</c:v>
                </c:pt>
                <c:pt idx="157">
                  <c:v>13.095890410958905</c:v>
                </c:pt>
                <c:pt idx="158">
                  <c:v>13.172602739726027</c:v>
                </c:pt>
                <c:pt idx="159">
                  <c:v>13.257534246575343</c:v>
                </c:pt>
                <c:pt idx="160">
                  <c:v>13.342465753424657</c:v>
                </c:pt>
                <c:pt idx="161">
                  <c:v>13.424657534246576</c:v>
                </c:pt>
                <c:pt idx="162">
                  <c:v>13.506849315068493</c:v>
                </c:pt>
                <c:pt idx="163">
                  <c:v>13.591780821917808</c:v>
                </c:pt>
                <c:pt idx="164">
                  <c:v>13.676712328767124</c:v>
                </c:pt>
                <c:pt idx="165">
                  <c:v>13.764383561643836</c:v>
                </c:pt>
                <c:pt idx="166">
                  <c:v>13.843835616438357</c:v>
                </c:pt>
                <c:pt idx="167">
                  <c:v>13.926027397260274</c:v>
                </c:pt>
                <c:pt idx="168">
                  <c:v>14.013698630136986</c:v>
                </c:pt>
                <c:pt idx="169">
                  <c:v>14.095890410958905</c:v>
                </c:pt>
                <c:pt idx="170">
                  <c:v>14.172602739726027</c:v>
                </c:pt>
                <c:pt idx="171">
                  <c:v>14.263013698630138</c:v>
                </c:pt>
                <c:pt idx="172">
                  <c:v>14.33972602739726</c:v>
                </c:pt>
                <c:pt idx="173">
                  <c:v>14.424657534246576</c:v>
                </c:pt>
                <c:pt idx="174">
                  <c:v>14.512328767123288</c:v>
                </c:pt>
                <c:pt idx="175">
                  <c:v>14.591780821917808</c:v>
                </c:pt>
                <c:pt idx="176">
                  <c:v>14.676712328767124</c:v>
                </c:pt>
                <c:pt idx="177">
                  <c:v>14.761643835616438</c:v>
                </c:pt>
                <c:pt idx="178">
                  <c:v>14.843835616438357</c:v>
                </c:pt>
                <c:pt idx="179">
                  <c:v>14.926027397260274</c:v>
                </c:pt>
                <c:pt idx="180">
                  <c:v>15.010958904109589</c:v>
                </c:pt>
                <c:pt idx="181">
                  <c:v>15.095890410958905</c:v>
                </c:pt>
                <c:pt idx="182">
                  <c:v>15.172602739726027</c:v>
                </c:pt>
                <c:pt idx="183">
                  <c:v>15.260273972602739</c:v>
                </c:pt>
                <c:pt idx="184">
                  <c:v>15.33972602739726</c:v>
                </c:pt>
                <c:pt idx="185">
                  <c:v>15.424657534246576</c:v>
                </c:pt>
                <c:pt idx="186">
                  <c:v>15.509589041095891</c:v>
                </c:pt>
                <c:pt idx="187">
                  <c:v>15.591780821917808</c:v>
                </c:pt>
                <c:pt idx="188">
                  <c:v>15.682191780821919</c:v>
                </c:pt>
                <c:pt idx="189">
                  <c:v>15.758904109589041</c:v>
                </c:pt>
                <c:pt idx="190">
                  <c:v>15.843835616438357</c:v>
                </c:pt>
                <c:pt idx="191">
                  <c:v>15.931506849315069</c:v>
                </c:pt>
                <c:pt idx="192">
                  <c:v>16.010958904109589</c:v>
                </c:pt>
                <c:pt idx="193">
                  <c:v>16.095890410958905</c:v>
                </c:pt>
                <c:pt idx="194">
                  <c:v>16.18082191780822</c:v>
                </c:pt>
                <c:pt idx="195">
                  <c:v>16.260273972602739</c:v>
                </c:pt>
                <c:pt idx="196">
                  <c:v>16.342465753424658</c:v>
                </c:pt>
                <c:pt idx="197">
                  <c:v>16.43013698630137</c:v>
                </c:pt>
                <c:pt idx="198">
                  <c:v>16.509589041095889</c:v>
                </c:pt>
                <c:pt idx="199">
                  <c:v>16.594520547945205</c:v>
                </c:pt>
                <c:pt idx="200">
                  <c:v>16.67945205479452</c:v>
                </c:pt>
                <c:pt idx="201">
                  <c:v>16.761643835616439</c:v>
                </c:pt>
                <c:pt idx="202">
                  <c:v>16.852054794520548</c:v>
                </c:pt>
                <c:pt idx="203">
                  <c:v>16.92876712328767</c:v>
                </c:pt>
                <c:pt idx="204">
                  <c:v>17.013698630136986</c:v>
                </c:pt>
                <c:pt idx="205">
                  <c:v>17.101369863013698</c:v>
                </c:pt>
                <c:pt idx="206">
                  <c:v>17.17808219178082</c:v>
                </c:pt>
                <c:pt idx="207">
                  <c:v>17.260273972602739</c:v>
                </c:pt>
                <c:pt idx="208">
                  <c:v>17.342465753424658</c:v>
                </c:pt>
                <c:pt idx="209">
                  <c:v>17.427397260273974</c:v>
                </c:pt>
                <c:pt idx="210">
                  <c:v>17.509589041095889</c:v>
                </c:pt>
                <c:pt idx="211">
                  <c:v>17.600000000000001</c:v>
                </c:pt>
                <c:pt idx="212">
                  <c:v>17.67945205479452</c:v>
                </c:pt>
                <c:pt idx="213">
                  <c:v>17.761643835616439</c:v>
                </c:pt>
                <c:pt idx="214">
                  <c:v>17.849315068493151</c:v>
                </c:pt>
                <c:pt idx="215">
                  <c:v>17.92876712328767</c:v>
                </c:pt>
                <c:pt idx="216">
                  <c:v>18.013698630136986</c:v>
                </c:pt>
                <c:pt idx="217">
                  <c:v>18.098630136986301</c:v>
                </c:pt>
                <c:pt idx="218">
                  <c:v>18.175342465753424</c:v>
                </c:pt>
                <c:pt idx="219">
                  <c:v>18.260273972602739</c:v>
                </c:pt>
                <c:pt idx="220">
                  <c:v>18.347945205479451</c:v>
                </c:pt>
                <c:pt idx="221">
                  <c:v>18.427397260273974</c:v>
                </c:pt>
                <c:pt idx="222">
                  <c:v>18.509589041095889</c:v>
                </c:pt>
                <c:pt idx="223">
                  <c:v>18.597260273972601</c:v>
                </c:pt>
                <c:pt idx="224">
                  <c:v>18.67945205479452</c:v>
                </c:pt>
                <c:pt idx="225">
                  <c:v>18.761643835616439</c:v>
                </c:pt>
                <c:pt idx="226">
                  <c:v>18.846575342465755</c:v>
                </c:pt>
                <c:pt idx="227">
                  <c:v>18.92876712328767</c:v>
                </c:pt>
                <c:pt idx="228">
                  <c:v>19.019178082191782</c:v>
                </c:pt>
                <c:pt idx="229">
                  <c:v>19.098630136986301</c:v>
                </c:pt>
                <c:pt idx="230">
                  <c:v>19.175342465753424</c:v>
                </c:pt>
                <c:pt idx="231">
                  <c:v>19.260273972602739</c:v>
                </c:pt>
                <c:pt idx="232">
                  <c:v>19.345205479452055</c:v>
                </c:pt>
                <c:pt idx="233">
                  <c:v>19.427397260273974</c:v>
                </c:pt>
                <c:pt idx="234">
                  <c:v>19.509589041095889</c:v>
                </c:pt>
                <c:pt idx="235">
                  <c:v>19.594520547945205</c:v>
                </c:pt>
                <c:pt idx="236">
                  <c:v>19.67945205479452</c:v>
                </c:pt>
                <c:pt idx="237">
                  <c:v>19.767123287671232</c:v>
                </c:pt>
                <c:pt idx="238">
                  <c:v>19.846575342465755</c:v>
                </c:pt>
                <c:pt idx="239">
                  <c:v>19.92876712328767</c:v>
                </c:pt>
                <c:pt idx="240">
                  <c:v>20.016438356164382</c:v>
                </c:pt>
                <c:pt idx="241">
                  <c:v>20.098630136986301</c:v>
                </c:pt>
                <c:pt idx="242">
                  <c:v>20.17808219178082</c:v>
                </c:pt>
                <c:pt idx="243">
                  <c:v>20.265753424657536</c:v>
                </c:pt>
                <c:pt idx="244">
                  <c:v>20.345205479452055</c:v>
                </c:pt>
                <c:pt idx="245">
                  <c:v>20.43013698630137</c:v>
                </c:pt>
                <c:pt idx="246">
                  <c:v>20.515068493150686</c:v>
                </c:pt>
                <c:pt idx="247">
                  <c:v>20.597260273972601</c:v>
                </c:pt>
                <c:pt idx="248">
                  <c:v>20.687671232876713</c:v>
                </c:pt>
                <c:pt idx="249">
                  <c:v>20.764383561643836</c:v>
                </c:pt>
                <c:pt idx="250">
                  <c:v>20.849315068493151</c:v>
                </c:pt>
                <c:pt idx="251">
                  <c:v>20.936986301369863</c:v>
                </c:pt>
                <c:pt idx="252">
                  <c:v>21.016438356164382</c:v>
                </c:pt>
                <c:pt idx="253">
                  <c:v>21.101369863013698</c:v>
                </c:pt>
                <c:pt idx="254">
                  <c:v>21.17808219178082</c:v>
                </c:pt>
                <c:pt idx="255">
                  <c:v>21.263013698630136</c:v>
                </c:pt>
                <c:pt idx="256">
                  <c:v>21.345205479452055</c:v>
                </c:pt>
                <c:pt idx="257">
                  <c:v>21.435616438356163</c:v>
                </c:pt>
                <c:pt idx="258">
                  <c:v>21.512328767123286</c:v>
                </c:pt>
                <c:pt idx="259">
                  <c:v>21.597260273972601</c:v>
                </c:pt>
                <c:pt idx="260">
                  <c:v>21.684931506849313</c:v>
                </c:pt>
                <c:pt idx="261">
                  <c:v>21.764383561643836</c:v>
                </c:pt>
                <c:pt idx="262">
                  <c:v>21.849315068493151</c:v>
                </c:pt>
                <c:pt idx="263">
                  <c:v>21.934246575342467</c:v>
                </c:pt>
                <c:pt idx="264">
                  <c:v>22.016438356164382</c:v>
                </c:pt>
                <c:pt idx="265">
                  <c:v>22.106849315068494</c:v>
                </c:pt>
                <c:pt idx="266">
                  <c:v>22.183561643835617</c:v>
                </c:pt>
                <c:pt idx="267">
                  <c:v>22.263013698630136</c:v>
                </c:pt>
                <c:pt idx="268">
                  <c:v>22.345205479452055</c:v>
                </c:pt>
                <c:pt idx="269">
                  <c:v>22.432876712328767</c:v>
                </c:pt>
                <c:pt idx="270">
                  <c:v>22.512328767123286</c:v>
                </c:pt>
                <c:pt idx="271">
                  <c:v>22.597260273972601</c:v>
                </c:pt>
                <c:pt idx="272">
                  <c:v>22.682191780821917</c:v>
                </c:pt>
                <c:pt idx="273">
                  <c:v>22.764383561643836</c:v>
                </c:pt>
                <c:pt idx="274">
                  <c:v>22.854794520547944</c:v>
                </c:pt>
                <c:pt idx="275">
                  <c:v>22.931506849315067</c:v>
                </c:pt>
                <c:pt idx="276">
                  <c:v>23.016438356164382</c:v>
                </c:pt>
                <c:pt idx="277">
                  <c:v>23.104109589041094</c:v>
                </c:pt>
                <c:pt idx="278">
                  <c:v>23.18082191780822</c:v>
                </c:pt>
                <c:pt idx="279">
                  <c:v>23.263013698630136</c:v>
                </c:pt>
                <c:pt idx="280">
                  <c:v>23.345205479452055</c:v>
                </c:pt>
                <c:pt idx="281">
                  <c:v>23.43013698630137</c:v>
                </c:pt>
                <c:pt idx="282">
                  <c:v>23.512328767123286</c:v>
                </c:pt>
                <c:pt idx="283">
                  <c:v>23.602739726027398</c:v>
                </c:pt>
                <c:pt idx="284">
                  <c:v>23.682191780821917</c:v>
                </c:pt>
                <c:pt idx="285">
                  <c:v>23.764383561643836</c:v>
                </c:pt>
                <c:pt idx="286">
                  <c:v>23.852054794520548</c:v>
                </c:pt>
                <c:pt idx="287">
                  <c:v>23.931506849315067</c:v>
                </c:pt>
                <c:pt idx="288">
                  <c:v>24.016438356164382</c:v>
                </c:pt>
                <c:pt idx="289">
                  <c:v>24.101369863013698</c:v>
                </c:pt>
              </c:numCache>
            </c:numRef>
          </c:cat>
          <c:val>
            <c:numRef>
              <c:f>EURYC_EUROIS!$F$8:$F$297</c:f>
              <c:numCache>
                <c:formatCode>#,##0.000000</c:formatCode>
                <c:ptCount val="290"/>
                <c:pt idx="0">
                  <c:v>1</c:v>
                </c:pt>
                <c:pt idx="1">
                  <c:v>1.0004163138673638</c:v>
                </c:pt>
                <c:pt idx="2">
                  <c:v>1.0007696384988609</c:v>
                </c:pt>
                <c:pt idx="3">
                  <c:v>1.0011487282880316</c:v>
                </c:pt>
                <c:pt idx="4">
                  <c:v>1.0015284640503415</c:v>
                </c:pt>
                <c:pt idx="5">
                  <c:v>1.0019218130184533</c:v>
                </c:pt>
                <c:pt idx="6">
                  <c:v>1.0023057383507257</c:v>
                </c:pt>
                <c:pt idx="7">
                  <c:v>1.0027286210550297</c:v>
                </c:pt>
                <c:pt idx="8">
                  <c:v>1.0031009196539189</c:v>
                </c:pt>
                <c:pt idx="9">
                  <c:v>1.0034865912701836</c:v>
                </c:pt>
                <c:pt idx="10">
                  <c:v>1.0038983669973784</c:v>
                </c:pt>
                <c:pt idx="11">
                  <c:v>1.0042717021643448</c:v>
                </c:pt>
                <c:pt idx="12">
                  <c:v>1.0046707571864368</c:v>
                </c:pt>
                <c:pt idx="13">
                  <c:v>1.0050695637978206</c:v>
                </c:pt>
                <c:pt idx="14">
                  <c:v>1.0054293033166504</c:v>
                </c:pt>
                <c:pt idx="15">
                  <c:v>1.0058267476057214</c:v>
                </c:pt>
                <c:pt idx="16">
                  <c:v>1.0062357246927343</c:v>
                </c:pt>
                <c:pt idx="17">
                  <c:v>1.0066048494200763</c:v>
                </c:pt>
                <c:pt idx="18">
                  <c:v>1.0069847930939004</c:v>
                </c:pt>
                <c:pt idx="19">
                  <c:v>1.0073874690555829</c:v>
                </c:pt>
                <c:pt idx="20">
                  <c:v>1.007762054461671</c:v>
                </c:pt>
                <c:pt idx="21">
                  <c:v>1.0081333194773463</c:v>
                </c:pt>
                <c:pt idx="22">
                  <c:v>1.0085129480748223</c:v>
                </c:pt>
                <c:pt idx="23">
                  <c:v>1.0088758764091266</c:v>
                </c:pt>
                <c:pt idx="24">
                  <c:v>1.0092693415218426</c:v>
                </c:pt>
                <c:pt idx="25">
                  <c:v>1.0096095939693275</c:v>
                </c:pt>
                <c:pt idx="26">
                  <c:v>1.0099329256846947</c:v>
                </c:pt>
                <c:pt idx="27">
                  <c:v>1.0102846926601461</c:v>
                </c:pt>
                <c:pt idx="28">
                  <c:v>1.0106296664942536</c:v>
                </c:pt>
                <c:pt idx="29">
                  <c:v>1.0109568395325457</c:v>
                </c:pt>
                <c:pt idx="30">
                  <c:v>1.0112772695453467</c:v>
                </c:pt>
                <c:pt idx="31">
                  <c:v>1.0116011174633615</c:v>
                </c:pt>
                <c:pt idx="32">
                  <c:v>1.0119174506777362</c:v>
                </c:pt>
                <c:pt idx="33">
                  <c:v>1.0122359817529005</c:v>
                </c:pt>
                <c:pt idx="34">
                  <c:v>1.0125175305363008</c:v>
                </c:pt>
                <c:pt idx="35">
                  <c:v>1.012801623727998</c:v>
                </c:pt>
                <c:pt idx="36">
                  <c:v>1.0130965977101065</c:v>
                </c:pt>
                <c:pt idx="37">
                  <c:v>1.0133655383812499</c:v>
                </c:pt>
                <c:pt idx="38">
                  <c:v>1.0136098193643808</c:v>
                </c:pt>
                <c:pt idx="39">
                  <c:v>1.0138892348175654</c:v>
                </c:pt>
                <c:pt idx="40">
                  <c:v>1.0141189959152315</c:v>
                </c:pt>
                <c:pt idx="41">
                  <c:v>1.0143654217157352</c:v>
                </c:pt>
                <c:pt idx="42">
                  <c:v>1.0146109104255796</c:v>
                </c:pt>
                <c:pt idx="43">
                  <c:v>1.0148254838107467</c:v>
                </c:pt>
                <c:pt idx="44">
                  <c:v>1.015046457711281</c:v>
                </c:pt>
                <c:pt idx="45">
                  <c:v>1.0152586666169869</c:v>
                </c:pt>
                <c:pt idx="46">
                  <c:v>1.0154556046125227</c:v>
                </c:pt>
                <c:pt idx="47">
                  <c:v>1.0156441958774929</c:v>
                </c:pt>
                <c:pt idx="48">
                  <c:v>1.0158302479748531</c:v>
                </c:pt>
                <c:pt idx="49">
                  <c:v>1.016007254918128</c:v>
                </c:pt>
                <c:pt idx="50">
                  <c:v>1.0161645158638573</c:v>
                </c:pt>
                <c:pt idx="51">
                  <c:v>1.0163235513947881</c:v>
                </c:pt>
                <c:pt idx="52">
                  <c:v>1.0164683651203732</c:v>
                </c:pt>
                <c:pt idx="53">
                  <c:v>1.0166171278676186</c:v>
                </c:pt>
                <c:pt idx="54">
                  <c:v>1.0167345346318586</c:v>
                </c:pt>
                <c:pt idx="55">
                  <c:v>1.0168549026439377</c:v>
                </c:pt>
                <c:pt idx="56">
                  <c:v>1.0169683563025063</c:v>
                </c:pt>
                <c:pt idx="57">
                  <c:v>1.0170615250977166</c:v>
                </c:pt>
                <c:pt idx="58">
                  <c:v>1.0171507900462169</c:v>
                </c:pt>
                <c:pt idx="59">
                  <c:v>1.0172291875176378</c:v>
                </c:pt>
                <c:pt idx="60">
                  <c:v>1.0172945206446069</c:v>
                </c:pt>
                <c:pt idx="61">
                  <c:v>1.0173542457571552</c:v>
                </c:pt>
                <c:pt idx="62">
                  <c:v>1.0173949672232678</c:v>
                </c:pt>
                <c:pt idx="63">
                  <c:v>1.0174275722713968</c:v>
                </c:pt>
                <c:pt idx="64">
                  <c:v>1.017451124872885</c:v>
                </c:pt>
                <c:pt idx="65">
                  <c:v>1.0174649576925483</c:v>
                </c:pt>
                <c:pt idx="66">
                  <c:v>1.0174675402633617</c:v>
                </c:pt>
                <c:pt idx="67">
                  <c:v>1.0174599617460405</c:v>
                </c:pt>
                <c:pt idx="68">
                  <c:v>1.0174418574419077</c:v>
                </c:pt>
                <c:pt idx="69">
                  <c:v>1.0174144751758121</c:v>
                </c:pt>
                <c:pt idx="70">
                  <c:v>1.0173733451463298</c:v>
                </c:pt>
                <c:pt idx="71">
                  <c:v>1.0173295861273657</c:v>
                </c:pt>
                <c:pt idx="72">
                  <c:v>1.0172718586243557</c:v>
                </c:pt>
                <c:pt idx="73">
                  <c:v>1.0172022193104082</c:v>
                </c:pt>
                <c:pt idx="74">
                  <c:v>1.0171328448419521</c:v>
                </c:pt>
                <c:pt idx="75">
                  <c:v>1.0170496242092006</c:v>
                </c:pt>
                <c:pt idx="76">
                  <c:v>1.016957051802355</c:v>
                </c:pt>
                <c:pt idx="77">
                  <c:v>1.0168513850380509</c:v>
                </c:pt>
                <c:pt idx="78">
                  <c:v>1.0167392582246446</c:v>
                </c:pt>
                <c:pt idx="79">
                  <c:v>1.016604489405847</c:v>
                </c:pt>
                <c:pt idx="80">
                  <c:v>1.0164759753728982</c:v>
                </c:pt>
                <c:pt idx="81">
                  <c:v>1.0163329093928235</c:v>
                </c:pt>
                <c:pt idx="82">
                  <c:v>1.016168740729481</c:v>
                </c:pt>
                <c:pt idx="83">
                  <c:v>1.0160094401470527</c:v>
                </c:pt>
                <c:pt idx="84">
                  <c:v>1.015827859621609</c:v>
                </c:pt>
                <c:pt idx="85">
                  <c:v>1.0156344103757915</c:v>
                </c:pt>
                <c:pt idx="86">
                  <c:v>1.0154494705191226</c:v>
                </c:pt>
                <c:pt idx="87">
                  <c:v>1.0152334603778999</c:v>
                </c:pt>
                <c:pt idx="88">
                  <c:v>1.0149981350861248</c:v>
                </c:pt>
                <c:pt idx="89">
                  <c:v>1.0147741032462221</c:v>
                </c:pt>
                <c:pt idx="90">
                  <c:v>1.0145316421378492</c:v>
                </c:pt>
                <c:pt idx="91">
                  <c:v>1.0142611000896256</c:v>
                </c:pt>
                <c:pt idx="92">
                  <c:v>1.0139963844185276</c:v>
                </c:pt>
                <c:pt idx="93">
                  <c:v>1.0137210346608192</c:v>
                </c:pt>
                <c:pt idx="94">
                  <c:v>1.013425431808471</c:v>
                </c:pt>
                <c:pt idx="95">
                  <c:v>1.0131287530303625</c:v>
                </c:pt>
                <c:pt idx="96">
                  <c:v>1.0127904801194252</c:v>
                </c:pt>
                <c:pt idx="97">
                  <c:v>1.0124830201330925</c:v>
                </c:pt>
                <c:pt idx="98">
                  <c:v>1.0121662055673475</c:v>
                </c:pt>
                <c:pt idx="99">
                  <c:v>1.0117945521277907</c:v>
                </c:pt>
                <c:pt idx="100">
                  <c:v>1.011470110769856</c:v>
                </c:pt>
                <c:pt idx="101">
                  <c:v>1.0111014035074664</c:v>
                </c:pt>
                <c:pt idx="102">
                  <c:v>1.01071059351148</c:v>
                </c:pt>
                <c:pt idx="103">
                  <c:v>1.010347704739847</c:v>
                </c:pt>
                <c:pt idx="104">
                  <c:v>1.0099508954609162</c:v>
                </c:pt>
                <c:pt idx="105">
                  <c:v>1.0095451791824452</c:v>
                </c:pt>
                <c:pt idx="106">
                  <c:v>1.0091443468888384</c:v>
                </c:pt>
                <c:pt idx="107">
                  <c:v>1.0087357348273622</c:v>
                </c:pt>
                <c:pt idx="108">
                  <c:v>1.00830563927873</c:v>
                </c:pt>
                <c:pt idx="109">
                  <c:v>1.0078678177026652</c:v>
                </c:pt>
                <c:pt idx="110">
                  <c:v>1.0074657391333386</c:v>
                </c:pt>
                <c:pt idx="111">
                  <c:v>1.0069984570018042</c:v>
                </c:pt>
                <c:pt idx="112">
                  <c:v>1.0065677717164587</c:v>
                </c:pt>
                <c:pt idx="113">
                  <c:v>1.0060997297928413</c:v>
                </c:pt>
                <c:pt idx="114">
                  <c:v>1.0056237014974876</c:v>
                </c:pt>
                <c:pt idx="115">
                  <c:v>1.0051553492274767</c:v>
                </c:pt>
                <c:pt idx="116">
                  <c:v>1.0046313412492482</c:v>
                </c:pt>
                <c:pt idx="117">
                  <c:v>1.0041794040127092</c:v>
                </c:pt>
                <c:pt idx="118">
                  <c:v>1.003671115204319</c:v>
                </c:pt>
                <c:pt idx="119">
                  <c:v>1.0031375848813737</c:v>
                </c:pt>
                <c:pt idx="120">
                  <c:v>1.0026462163592975</c:v>
                </c:pt>
                <c:pt idx="121">
                  <c:v>1.0021126578621449</c:v>
                </c:pt>
                <c:pt idx="122">
                  <c:v>1.0016235558412434</c:v>
                </c:pt>
                <c:pt idx="123">
                  <c:v>1.001074401195623</c:v>
                </c:pt>
                <c:pt idx="124">
                  <c:v>1.0005356071781966</c:v>
                </c:pt>
                <c:pt idx="125">
                  <c:v>0.99993495933625098</c:v>
                </c:pt>
                <c:pt idx="126">
                  <c:v>0.9994190749951859</c:v>
                </c:pt>
                <c:pt idx="127">
                  <c:v>0.99884156775905575</c:v>
                </c:pt>
                <c:pt idx="128">
                  <c:v>0.99823881693610361</c:v>
                </c:pt>
                <c:pt idx="129">
                  <c:v>0.99768711525373932</c:v>
                </c:pt>
                <c:pt idx="130">
                  <c:v>0.99709199255239189</c:v>
                </c:pt>
                <c:pt idx="131">
                  <c:v>0.99649171229989142</c:v>
                </c:pt>
                <c:pt idx="132">
                  <c:v>0.99590626983992048</c:v>
                </c:pt>
                <c:pt idx="133">
                  <c:v>0.9952575095956544</c:v>
                </c:pt>
                <c:pt idx="134">
                  <c:v>0.99470315013714272</c:v>
                </c:pt>
                <c:pt idx="135">
                  <c:v>0.99412517158523317</c:v>
                </c:pt>
                <c:pt idx="136">
                  <c:v>0.99352311820691419</c:v>
                </c:pt>
                <c:pt idx="137">
                  <c:v>0.99287620842659885</c:v>
                </c:pt>
                <c:pt idx="138">
                  <c:v>0.99228566965146692</c:v>
                </c:pt>
                <c:pt idx="139">
                  <c:v>0.99164983251156025</c:v>
                </c:pt>
                <c:pt idx="140">
                  <c:v>0.99100918677796612</c:v>
                </c:pt>
                <c:pt idx="141">
                  <c:v>0.99038454489727146</c:v>
                </c:pt>
                <c:pt idx="142">
                  <c:v>0.98969204263379895</c:v>
                </c:pt>
                <c:pt idx="143">
                  <c:v>0.98909994377159161</c:v>
                </c:pt>
                <c:pt idx="144">
                  <c:v>0.98843946634151114</c:v>
                </c:pt>
                <c:pt idx="145">
                  <c:v>0.98775216167043856</c:v>
                </c:pt>
                <c:pt idx="146">
                  <c:v>0.98714623682158087</c:v>
                </c:pt>
                <c:pt idx="147">
                  <c:v>0.9864705841036937</c:v>
                </c:pt>
                <c:pt idx="148">
                  <c:v>0.98576797921281833</c:v>
                </c:pt>
                <c:pt idx="149">
                  <c:v>0.98512684812632911</c:v>
                </c:pt>
                <c:pt idx="150">
                  <c:v>0.98445934091987253</c:v>
                </c:pt>
                <c:pt idx="151">
                  <c:v>0.98374269504390111</c:v>
                </c:pt>
                <c:pt idx="152">
                  <c:v>0.98306663251490944</c:v>
                </c:pt>
                <c:pt idx="153">
                  <c:v>0.98238663638771384</c:v>
                </c:pt>
                <c:pt idx="154">
                  <c:v>0.98167998497643438</c:v>
                </c:pt>
                <c:pt idx="155">
                  <c:v>0.9809924108367063</c:v>
                </c:pt>
                <c:pt idx="156">
                  <c:v>0.98023202344727556</c:v>
                </c:pt>
                <c:pt idx="157">
                  <c:v>0.97956043941971183</c:v>
                </c:pt>
                <c:pt idx="158">
                  <c:v>0.97890915323358019</c:v>
                </c:pt>
                <c:pt idx="159">
                  <c:v>0.97818495123350502</c:v>
                </c:pt>
                <c:pt idx="160">
                  <c:v>0.97745760854566355</c:v>
                </c:pt>
                <c:pt idx="161">
                  <c:v>0.97675089081785671</c:v>
                </c:pt>
                <c:pt idx="162">
                  <c:v>0.97604153136680372</c:v>
                </c:pt>
                <c:pt idx="163">
                  <c:v>0.97530590890572666</c:v>
                </c:pt>
                <c:pt idx="164">
                  <c:v>0.97456779074098088</c:v>
                </c:pt>
                <c:pt idx="165">
                  <c:v>0.97380342231083095</c:v>
                </c:pt>
                <c:pt idx="166">
                  <c:v>0.97310872564531614</c:v>
                </c:pt>
                <c:pt idx="167">
                  <c:v>0.97238823942368624</c:v>
                </c:pt>
                <c:pt idx="168">
                  <c:v>0.97161783839851834</c:v>
                </c:pt>
                <c:pt idx="169">
                  <c:v>0.97089398813037753</c:v>
                </c:pt>
                <c:pt idx="170">
                  <c:v>0.97021714183196406</c:v>
                </c:pt>
                <c:pt idx="171">
                  <c:v>0.96941805831437</c:v>
                </c:pt>
                <c:pt idx="172">
                  <c:v>0.96873903474609413</c:v>
                </c:pt>
                <c:pt idx="173">
                  <c:v>0.96798634296606068</c:v>
                </c:pt>
                <c:pt idx="174">
                  <c:v>0.96720854713177717</c:v>
                </c:pt>
                <c:pt idx="175">
                  <c:v>0.96650311213704687</c:v>
                </c:pt>
                <c:pt idx="176">
                  <c:v>0.96574861660557554</c:v>
                </c:pt>
                <c:pt idx="177">
                  <c:v>0.96499387854502239</c:v>
                </c:pt>
                <c:pt idx="178">
                  <c:v>0.96426343079639232</c:v>
                </c:pt>
                <c:pt idx="179">
                  <c:v>0.9635331008198641</c:v>
                </c:pt>
                <c:pt idx="180">
                  <c:v>0.96277873275878134</c:v>
                </c:pt>
                <c:pt idx="181">
                  <c:v>0.96202484777876573</c:v>
                </c:pt>
                <c:pt idx="182">
                  <c:v>0.96134441629608747</c:v>
                </c:pt>
                <c:pt idx="183">
                  <c:v>0.96056743037742487</c:v>
                </c:pt>
                <c:pt idx="184">
                  <c:v>0.95986395084379195</c:v>
                </c:pt>
                <c:pt idx="185">
                  <c:v>0.9591127223686583</c:v>
                </c:pt>
                <c:pt idx="186">
                  <c:v>0.95836235605852138</c:v>
                </c:pt>
                <c:pt idx="187">
                  <c:v>0.95763708278519077</c:v>
                </c:pt>
                <c:pt idx="188">
                  <c:v>0.95684036637532688</c:v>
                </c:pt>
                <c:pt idx="189">
                  <c:v>0.95616531513706737</c:v>
                </c:pt>
                <c:pt idx="190">
                  <c:v>0.95541901932861639</c:v>
                </c:pt>
                <c:pt idx="191">
                  <c:v>0.95464991095631235</c:v>
                </c:pt>
                <c:pt idx="192">
                  <c:v>0.95395407376698882</c:v>
                </c:pt>
                <c:pt idx="193">
                  <c:v>0.95321153822883176</c:v>
                </c:pt>
                <c:pt idx="194">
                  <c:v>0.95247039900832986</c:v>
                </c:pt>
                <c:pt idx="195">
                  <c:v>0.95177839583276092</c:v>
                </c:pt>
                <c:pt idx="196">
                  <c:v>0.95106393041813253</c:v>
                </c:pt>
                <c:pt idx="197">
                  <c:v>0.95030346562546186</c:v>
                </c:pt>
                <c:pt idx="198">
                  <c:v>0.94961580450513683</c:v>
                </c:pt>
                <c:pt idx="199">
                  <c:v>0.94888236467818121</c:v>
                </c:pt>
                <c:pt idx="200">
                  <c:v>0.94815068405674607</c:v>
                </c:pt>
                <c:pt idx="201">
                  <c:v>0.94744433656775828</c:v>
                </c:pt>
                <c:pt idx="202">
                  <c:v>0.9466693843804953</c:v>
                </c:pt>
                <c:pt idx="203">
                  <c:v>0.94601356652018942</c:v>
                </c:pt>
                <c:pt idx="204">
                  <c:v>0.94528937464728879</c:v>
                </c:pt>
                <c:pt idx="205">
                  <c:v>0.94454396510395033</c:v>
                </c:pt>
                <c:pt idx="206">
                  <c:v>0.94389356469428054</c:v>
                </c:pt>
                <c:pt idx="207">
                  <c:v>0.94319865297147254</c:v>
                </c:pt>
                <c:pt idx="208">
                  <c:v>0.94250580193240974</c:v>
                </c:pt>
                <c:pt idx="209">
                  <c:v>0.94179207114587782</c:v>
                </c:pt>
                <c:pt idx="210">
                  <c:v>0.9411035561409079</c:v>
                </c:pt>
                <c:pt idx="211">
                  <c:v>0.94034873651339623</c:v>
                </c:pt>
                <c:pt idx="212">
                  <c:v>0.93968765911169205</c:v>
                </c:pt>
                <c:pt idx="213">
                  <c:v>0.93900604502862561</c:v>
                </c:pt>
                <c:pt idx="214">
                  <c:v>0.93828157203701312</c:v>
                </c:pt>
                <c:pt idx="215">
                  <c:v>0.93762736368630129</c:v>
                </c:pt>
                <c:pt idx="216">
                  <c:v>0.93693054874396819</c:v>
                </c:pt>
                <c:pt idx="217">
                  <c:v>0.93623637474650923</c:v>
                </c:pt>
                <c:pt idx="218">
                  <c:v>0.93561168675331785</c:v>
                </c:pt>
                <c:pt idx="219">
                  <c:v>0.9349226645827452</c:v>
                </c:pt>
                <c:pt idx="220">
                  <c:v>0.9342143240757026</c:v>
                </c:pt>
                <c:pt idx="221">
                  <c:v>0.93357498191038624</c:v>
                </c:pt>
                <c:pt idx="222">
                  <c:v>0.93291622501730831</c:v>
                </c:pt>
                <c:pt idx="223">
                  <c:v>0.93221654379717378</c:v>
                </c:pt>
                <c:pt idx="224">
                  <c:v>0.93156343789593321</c:v>
                </c:pt>
                <c:pt idx="225">
                  <c:v>0.93091312321992203</c:v>
                </c:pt>
                <c:pt idx="226">
                  <c:v>0.93024410270745139</c:v>
                </c:pt>
                <c:pt idx="227">
                  <c:v>0.92959957540276716</c:v>
                </c:pt>
                <c:pt idx="228">
                  <c:v>0.9288939457325962</c:v>
                </c:pt>
                <c:pt idx="229">
                  <c:v>0.92827677993552704</c:v>
                </c:pt>
                <c:pt idx="230">
                  <c:v>0.92768352890205674</c:v>
                </c:pt>
                <c:pt idx="231">
                  <c:v>0.92702976576423013</c:v>
                </c:pt>
                <c:pt idx="232">
                  <c:v>0.9263792433793826</c:v>
                </c:pt>
                <c:pt idx="233">
                  <c:v>0.92575282416595317</c:v>
                </c:pt>
                <c:pt idx="234">
                  <c:v>0.92512950401033101</c:v>
                </c:pt>
                <c:pt idx="235">
                  <c:v>0.92448869520126442</c:v>
                </c:pt>
                <c:pt idx="236">
                  <c:v>0.92385126153368891</c:v>
                </c:pt>
                <c:pt idx="237">
                  <c:v>0.92319684012214098</c:v>
                </c:pt>
                <c:pt idx="238">
                  <c:v>0.9226069366804045</c:v>
                </c:pt>
                <c:pt idx="239">
                  <c:v>0.92199988730679805</c:v>
                </c:pt>
                <c:pt idx="240">
                  <c:v>0.92135598070866287</c:v>
                </c:pt>
                <c:pt idx="241">
                  <c:v>0.92075573149428214</c:v>
                </c:pt>
                <c:pt idx="242">
                  <c:v>0.9201786420277972</c:v>
                </c:pt>
                <c:pt idx="243">
                  <c:v>0.91954545803521326</c:v>
                </c:pt>
                <c:pt idx="244">
                  <c:v>0.91897490928734615</c:v>
                </c:pt>
                <c:pt idx="245">
                  <c:v>0.91836846161883445</c:v>
                </c:pt>
                <c:pt idx="246">
                  <c:v>0.91776558438749201</c:v>
                </c:pt>
                <c:pt idx="247">
                  <c:v>0.91718555993274475</c:v>
                </c:pt>
                <c:pt idx="248">
                  <c:v>0.91655140598550644</c:v>
                </c:pt>
                <c:pt idx="249">
                  <c:v>0.91601652094243746</c:v>
                </c:pt>
                <c:pt idx="250">
                  <c:v>0.91542774043577546</c:v>
                </c:pt>
                <c:pt idx="251">
                  <c:v>0.91482373110515192</c:v>
                </c:pt>
                <c:pt idx="252">
                  <c:v>0.91427965139303702</c:v>
                </c:pt>
                <c:pt idx="253">
                  <c:v>0.9137015231416471</c:v>
                </c:pt>
                <c:pt idx="254">
                  <c:v>0.91318242747713474</c:v>
                </c:pt>
                <c:pt idx="255">
                  <c:v>0.91261112801420996</c:v>
                </c:pt>
                <c:pt idx="256">
                  <c:v>0.91206167112460446</c:v>
                </c:pt>
                <c:pt idx="257">
                  <c:v>0.91146114240667186</c:v>
                </c:pt>
                <c:pt idx="258">
                  <c:v>0.91095478168493371</c:v>
                </c:pt>
                <c:pt idx="259">
                  <c:v>0.91039756758348878</c:v>
                </c:pt>
                <c:pt idx="260">
                  <c:v>0.90982611931271851</c:v>
                </c:pt>
                <c:pt idx="261">
                  <c:v>0.90931152018529704</c:v>
                </c:pt>
                <c:pt idx="262">
                  <c:v>0.90876486883589691</c:v>
                </c:pt>
                <c:pt idx="263">
                  <c:v>0.90822176056113058</c:v>
                </c:pt>
                <c:pt idx="264">
                  <c:v>0.90769953637898237</c:v>
                </c:pt>
                <c:pt idx="265">
                  <c:v>0.90712890115690414</c:v>
                </c:pt>
                <c:pt idx="266">
                  <c:v>0.90664784693963951</c:v>
                </c:pt>
                <c:pt idx="267">
                  <c:v>0.90615262275140906</c:v>
                </c:pt>
                <c:pt idx="268">
                  <c:v>0.90564353474723081</c:v>
                </c:pt>
                <c:pt idx="269">
                  <c:v>0.90510409458668983</c:v>
                </c:pt>
                <c:pt idx="270">
                  <c:v>0.90461841209781624</c:v>
                </c:pt>
                <c:pt idx="271">
                  <c:v>0.90410256892680263</c:v>
                </c:pt>
                <c:pt idx="272">
                  <c:v>0.90359015526172226</c:v>
                </c:pt>
                <c:pt idx="273">
                  <c:v>0.90309752026883106</c:v>
                </c:pt>
                <c:pt idx="274">
                  <c:v>0.90255929390737821</c:v>
                </c:pt>
                <c:pt idx="275">
                  <c:v>0.90210561710922066</c:v>
                </c:pt>
                <c:pt idx="276">
                  <c:v>0.90160652617187653</c:v>
                </c:pt>
                <c:pt idx="277">
                  <c:v>0.90109483564198667</c:v>
                </c:pt>
                <c:pt idx="278">
                  <c:v>0.90065000471341528</c:v>
                </c:pt>
                <c:pt idx="279">
                  <c:v>0.9001763824940533</c:v>
                </c:pt>
                <c:pt idx="280">
                  <c:v>0.89970582549573008</c:v>
                </c:pt>
                <c:pt idx="281">
                  <c:v>0.89922278024079783</c:v>
                </c:pt>
                <c:pt idx="282">
                  <c:v>0.89875838803563723</c:v>
                </c:pt>
                <c:pt idx="283">
                  <c:v>0.89825101810707719</c:v>
                </c:pt>
                <c:pt idx="284">
                  <c:v>0.8978081165595162</c:v>
                </c:pt>
                <c:pt idx="285">
                  <c:v>0.89735284061517362</c:v>
                </c:pt>
                <c:pt idx="286">
                  <c:v>0.89687043372084208</c:v>
                </c:pt>
                <c:pt idx="287">
                  <c:v>0.89643609809949742</c:v>
                </c:pt>
                <c:pt idx="288">
                  <c:v>0.8959747719858745</c:v>
                </c:pt>
                <c:pt idx="289">
                  <c:v>0.89551647910628185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0-48BC-AE02-B8FF59BACDB6}"/>
            </c:ext>
          </c:extLst>
        </c:ser>
        <c:ser>
          <c:idx val="1"/>
          <c:order val="1"/>
          <c:tx>
            <c:strRef>
              <c:f>EURYC_EUROIS!$L$7</c:f>
              <c:strCache>
                <c:ptCount val="1"/>
                <c:pt idx="0">
                  <c:v>IntegratedDF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EURYC_EUROIS!$L$8:$L$297</c:f>
              <c:numCache>
                <c:formatCode>#,##0.000000</c:formatCode>
                <c:ptCount val="290"/>
                <c:pt idx="0">
                  <c:v>1</c:v>
                </c:pt>
                <c:pt idx="1">
                  <c:v>1.0004065951466552</c:v>
                </c:pt>
                <c:pt idx="2">
                  <c:v>1.0007544620041902</c:v>
                </c:pt>
                <c:pt idx="3">
                  <c:v>1.0011297101685743</c:v>
                </c:pt>
                <c:pt idx="4">
                  <c:v>1.0015071894709699</c:v>
                </c:pt>
                <c:pt idx="5">
                  <c:v>1.0018991797164123</c:v>
                </c:pt>
                <c:pt idx="6">
                  <c:v>1.0022799967286751</c:v>
                </c:pt>
                <c:pt idx="7">
                  <c:v>1.0027001135822056</c:v>
                </c:pt>
                <c:pt idx="8">
                  <c:v>1.0030699843101456</c:v>
                </c:pt>
                <c:pt idx="9">
                  <c:v>1.003452912702353</c:v>
                </c:pt>
                <c:pt idx="10">
                  <c:v>1.0038613155778853</c:v>
                </c:pt>
                <c:pt idx="11">
                  <c:v>1.0042310380071811</c:v>
                </c:pt>
                <c:pt idx="12">
                  <c:v>1.004625487088382</c:v>
                </c:pt>
                <c:pt idx="13">
                  <c:v>1.0050187802656394</c:v>
                </c:pt>
                <c:pt idx="14">
                  <c:v>1.0053727206518404</c:v>
                </c:pt>
                <c:pt idx="15">
                  <c:v>1.0057628290381253</c:v>
                </c:pt>
                <c:pt idx="16">
                  <c:v>1.0061632352695156</c:v>
                </c:pt>
                <c:pt idx="17">
                  <c:v>1.006523791097093</c:v>
                </c:pt>
                <c:pt idx="18">
                  <c:v>1.0068941700627771</c:v>
                </c:pt>
                <c:pt idx="19">
                  <c:v>1.0072859912021583</c:v>
                </c:pt>
                <c:pt idx="20">
                  <c:v>1.007649976442178</c:v>
                </c:pt>
                <c:pt idx="21">
                  <c:v>1.0080104386431763</c:v>
                </c:pt>
                <c:pt idx="22">
                  <c:v>1.0083789271335597</c:v>
                </c:pt>
                <c:pt idx="23">
                  <c:v>1.0087313964620326</c:v>
                </c:pt>
                <c:pt idx="24">
                  <c:v>1.0091141067740419</c:v>
                </c:pt>
                <c:pt idx="25">
                  <c:v>1.0094458418147871</c:v>
                </c:pt>
                <c:pt idx="26">
                  <c:v>1.0097618493919527</c:v>
                </c:pt>
                <c:pt idx="27">
                  <c:v>1.0101065631698616</c:v>
                </c:pt>
                <c:pt idx="28">
                  <c:v>1.0104456146740675</c:v>
                </c:pt>
                <c:pt idx="29">
                  <c:v>1.0107681022444888</c:v>
                </c:pt>
                <c:pt idx="30">
                  <c:v>1.0110848323562205</c:v>
                </c:pt>
                <c:pt idx="31">
                  <c:v>1.0114058439451354</c:v>
                </c:pt>
                <c:pt idx="32">
                  <c:v>1.0117202491573869</c:v>
                </c:pt>
                <c:pt idx="33">
                  <c:v>1.0120376305765475</c:v>
                </c:pt>
                <c:pt idx="34">
                  <c:v>1.0123187725765321</c:v>
                </c:pt>
                <c:pt idx="35">
                  <c:v>1.0126029315017966</c:v>
                </c:pt>
                <c:pt idx="36">
                  <c:v>1.0128983440794879</c:v>
                </c:pt>
                <c:pt idx="37">
                  <c:v>1.0131678952634693</c:v>
                </c:pt>
                <c:pt idx="38">
                  <c:v>1.0134128610927005</c:v>
                </c:pt>
                <c:pt idx="39">
                  <c:v>1.013693182174322</c:v>
                </c:pt>
                <c:pt idx="40">
                  <c:v>1.0139237612507974</c:v>
                </c:pt>
                <c:pt idx="41">
                  <c:v>1.0141710992241912</c:v>
                </c:pt>
                <c:pt idx="42">
                  <c:v>1.0144174873052776</c:v>
                </c:pt>
                <c:pt idx="43">
                  <c:v>1.0146327964326194</c:v>
                </c:pt>
                <c:pt idx="44">
                  <c:v>1.0148544167769011</c:v>
                </c:pt>
                <c:pt idx="45">
                  <c:v>1.0150670703824816</c:v>
                </c:pt>
                <c:pt idx="46">
                  <c:v>1.0152641931414752</c:v>
                </c:pt>
                <c:pt idx="47">
                  <c:v>1.0154526624652527</c:v>
                </c:pt>
                <c:pt idx="48">
                  <c:v>1.0156381979505447</c:v>
                </c:pt>
                <c:pt idx="49">
                  <c:v>1.0158142432032231</c:v>
                </c:pt>
                <c:pt idx="50">
                  <c:v>1.015970233982739</c:v>
                </c:pt>
                <c:pt idx="51">
                  <c:v>1.0161275791998798</c:v>
                </c:pt>
                <c:pt idx="52">
                  <c:v>1.0162704978063806</c:v>
                </c:pt>
                <c:pt idx="53">
                  <c:v>1.0164169734823985</c:v>
                </c:pt>
                <c:pt idx="54">
                  <c:v>1.0165323527905266</c:v>
                </c:pt>
                <c:pt idx="55">
                  <c:v>1.0166504745763187</c:v>
                </c:pt>
                <c:pt idx="56">
                  <c:v>1.0167617156612667</c:v>
                </c:pt>
                <c:pt idx="57">
                  <c:v>1.0168530733652004</c:v>
                </c:pt>
                <c:pt idx="58">
                  <c:v>1.0169407186544759</c:v>
                </c:pt>
                <c:pt idx="59">
                  <c:v>1.0170179486560997</c:v>
                </c:pt>
                <c:pt idx="60">
                  <c:v>1.0170827093642627</c:v>
                </c:pt>
                <c:pt idx="61">
                  <c:v>1.0171425449918319</c:v>
                </c:pt>
                <c:pt idx="62">
                  <c:v>1.0171839002417009</c:v>
                </c:pt>
                <c:pt idx="63">
                  <c:v>1.0172175795307405</c:v>
                </c:pt>
                <c:pt idx="64">
                  <c:v>1.0172425803077798</c:v>
                </c:pt>
                <c:pt idx="65">
                  <c:v>1.0172581771331233</c:v>
                </c:pt>
                <c:pt idx="66">
                  <c:v>1.0172624082829831</c:v>
                </c:pt>
                <c:pt idx="67">
                  <c:v>1.0172564882151107</c:v>
                </c:pt>
                <c:pt idx="68">
                  <c:v>1.0172397507792199</c:v>
                </c:pt>
                <c:pt idx="69">
                  <c:v>1.0172132326382317</c:v>
                </c:pt>
                <c:pt idx="70">
                  <c:v>1.0171723183318642</c:v>
                </c:pt>
                <c:pt idx="71">
                  <c:v>1.0171279429489373</c:v>
                </c:pt>
                <c:pt idx="72">
                  <c:v>1.0170684599326394</c:v>
                </c:pt>
                <c:pt idx="73">
                  <c:v>1.0169956415675361</c:v>
                </c:pt>
                <c:pt idx="74">
                  <c:v>1.0169224111271156</c:v>
                </c:pt>
                <c:pt idx="75">
                  <c:v>1.0168340987506481</c:v>
                </c:pt>
                <c:pt idx="76">
                  <c:v>1.0167356020353568</c:v>
                </c:pt>
                <c:pt idx="77">
                  <c:v>1.016623133740808</c:v>
                </c:pt>
                <c:pt idx="78">
                  <c:v>1.0165039640189439</c:v>
                </c:pt>
                <c:pt idx="79">
                  <c:v>1.0163611632768137</c:v>
                </c:pt>
                <c:pt idx="80">
                  <c:v>1.0162255621505285</c:v>
                </c:pt>
                <c:pt idx="81">
                  <c:v>1.0160753572516026</c:v>
                </c:pt>
                <c:pt idx="82">
                  <c:v>1.0159040411478275</c:v>
                </c:pt>
                <c:pt idx="83">
                  <c:v>1.0157389214914034</c:v>
                </c:pt>
                <c:pt idx="84">
                  <c:v>1.0155520781839613</c:v>
                </c:pt>
                <c:pt idx="85">
                  <c:v>1.0153545942371003</c:v>
                </c:pt>
                <c:pt idx="86">
                  <c:v>1.0151671125193775</c:v>
                </c:pt>
                <c:pt idx="87">
                  <c:v>1.0149495020789716</c:v>
                </c:pt>
                <c:pt idx="88">
                  <c:v>1.0147138559427631</c:v>
                </c:pt>
                <c:pt idx="89">
                  <c:v>1.0144906843235333</c:v>
                </c:pt>
                <c:pt idx="90">
                  <c:v>1.0142502457059979</c:v>
                </c:pt>
                <c:pt idx="91">
                  <c:v>1.0139831098275074</c:v>
                </c:pt>
                <c:pt idx="92">
                  <c:v>1.0137227289669879</c:v>
                </c:pt>
                <c:pt idx="93">
                  <c:v>1.0134527888575997</c:v>
                </c:pt>
                <c:pt idx="94">
                  <c:v>1.0131638744238636</c:v>
                </c:pt>
                <c:pt idx="95">
                  <c:v>1.0128746919407854</c:v>
                </c:pt>
                <c:pt idx="96">
                  <c:v>1.0125457799706312</c:v>
                </c:pt>
                <c:pt idx="97">
                  <c:v>1.0122474573457034</c:v>
                </c:pt>
                <c:pt idx="98">
                  <c:v>1.0119405226579821</c:v>
                </c:pt>
                <c:pt idx="99">
                  <c:v>1.0115808618314084</c:v>
                </c:pt>
                <c:pt idx="100">
                  <c:v>1.0112670938533213</c:v>
                </c:pt>
                <c:pt idx="101">
                  <c:v>1.0109105790390844</c:v>
                </c:pt>
                <c:pt idx="102">
                  <c:v>1.0105325930658036</c:v>
                </c:pt>
                <c:pt idx="103">
                  <c:v>1.0101813773932264</c:v>
                </c:pt>
                <c:pt idx="104">
                  <c:v>1.0097969178586523</c:v>
                </c:pt>
                <c:pt idx="105">
                  <c:v>1.0094032291456616</c:v>
                </c:pt>
                <c:pt idx="106">
                  <c:v>1.0090135447273945</c:v>
                </c:pt>
                <c:pt idx="107">
                  <c:v>1.0086153989114086</c:v>
                </c:pt>
                <c:pt idx="108">
                  <c:v>1.0081951902723996</c:v>
                </c:pt>
                <c:pt idx="109">
                  <c:v>1.0077661486312679</c:v>
                </c:pt>
                <c:pt idx="110">
                  <c:v>1.0073711225815312</c:v>
                </c:pt>
                <c:pt idx="111">
                  <c:v>1.0069110468491524</c:v>
                </c:pt>
                <c:pt idx="112">
                  <c:v>1.0064862592798653</c:v>
                </c:pt>
                <c:pt idx="113">
                  <c:v>1.0060240341451663</c:v>
                </c:pt>
                <c:pt idx="114">
                  <c:v>1.0055535051800395</c:v>
                </c:pt>
                <c:pt idx="115">
                  <c:v>1.0050903549536536</c:v>
                </c:pt>
                <c:pt idx="116">
                  <c:v>1.0045721543314072</c:v>
                </c:pt>
                <c:pt idx="117">
                  <c:v>1.004125393426258</c:v>
                </c:pt>
                <c:pt idx="118">
                  <c:v>1.0036232990858505</c:v>
                </c:pt>
                <c:pt idx="119">
                  <c:v>1.0030969004748767</c:v>
                </c:pt>
                <c:pt idx="120">
                  <c:v>1.0026128465903914</c:v>
                </c:pt>
                <c:pt idx="121">
                  <c:v>1.0020881600772034</c:v>
                </c:pt>
                <c:pt idx="122">
                  <c:v>1.0016079101066484</c:v>
                </c:pt>
                <c:pt idx="123">
                  <c:v>1.001069299351339</c:v>
                </c:pt>
                <c:pt idx="124">
                  <c:v>1.0005412669779359</c:v>
                </c:pt>
                <c:pt idx="125">
                  <c:v>0.99995284712452837</c:v>
                </c:pt>
                <c:pt idx="126">
                  <c:v>0.99944746038519416</c:v>
                </c:pt>
                <c:pt idx="127">
                  <c:v>0.99888148920617736</c:v>
                </c:pt>
                <c:pt idx="128">
                  <c:v>0.9982902977638386</c:v>
                </c:pt>
                <c:pt idx="129">
                  <c:v>0.99774853711766121</c:v>
                </c:pt>
                <c:pt idx="130">
                  <c:v>0.99716323517704308</c:v>
                </c:pt>
                <c:pt idx="131">
                  <c:v>0.99657167531572899</c:v>
                </c:pt>
                <c:pt idx="132">
                  <c:v>0.99599336194224963</c:v>
                </c:pt>
                <c:pt idx="133">
                  <c:v>0.99535072953581627</c:v>
                </c:pt>
                <c:pt idx="134">
                  <c:v>0.99480024941232537</c:v>
                </c:pt>
                <c:pt idx="135">
                  <c:v>0.9942251701282816</c:v>
                </c:pt>
                <c:pt idx="136">
                  <c:v>0.99362508501932023</c:v>
                </c:pt>
                <c:pt idx="137">
                  <c:v>0.99297932604661887</c:v>
                </c:pt>
                <c:pt idx="138">
                  <c:v>0.99238917187679843</c:v>
                </c:pt>
                <c:pt idx="139">
                  <c:v>0.9917532549621314</c:v>
                </c:pt>
                <c:pt idx="140">
                  <c:v>0.99111223629043887</c:v>
                </c:pt>
                <c:pt idx="141">
                  <c:v>0.99048716278458115</c:v>
                </c:pt>
                <c:pt idx="142">
                  <c:v>0.98979434989215476</c:v>
                </c:pt>
                <c:pt idx="143">
                  <c:v>0.98920232544369868</c:v>
                </c:pt>
                <c:pt idx="144">
                  <c:v>0.98854251488984857</c:v>
                </c:pt>
                <c:pt idx="145">
                  <c:v>0.98785675576265053</c:v>
                </c:pt>
                <c:pt idx="146">
                  <c:v>0.98725294262445507</c:v>
                </c:pt>
                <c:pt idx="147">
                  <c:v>0.98658044954828938</c:v>
                </c:pt>
                <c:pt idx="148">
                  <c:v>0.9858820052621341</c:v>
                </c:pt>
                <c:pt idx="149">
                  <c:v>0.98524542371269108</c:v>
                </c:pt>
                <c:pt idx="150">
                  <c:v>0.98458339091376512</c:v>
                </c:pt>
                <c:pt idx="151">
                  <c:v>0.98387343151444628</c:v>
                </c:pt>
                <c:pt idx="152">
                  <c:v>0.98320441544990145</c:v>
                </c:pt>
                <c:pt idx="153">
                  <c:v>0.98253220147556886</c:v>
                </c:pt>
                <c:pt idx="154">
                  <c:v>0.98183434567642103</c:v>
                </c:pt>
                <c:pt idx="155">
                  <c:v>0.98115599142351051</c:v>
                </c:pt>
                <c:pt idx="156">
                  <c:v>0.98040652300168185</c:v>
                </c:pt>
                <c:pt idx="157">
                  <c:v>0.97974518226000751</c:v>
                </c:pt>
                <c:pt idx="158">
                  <c:v>0.97910433716835565</c:v>
                </c:pt>
                <c:pt idx="159">
                  <c:v>0.9783922981109604</c:v>
                </c:pt>
                <c:pt idx="160">
                  <c:v>0.97767772057491942</c:v>
                </c:pt>
                <c:pt idx="161">
                  <c:v>0.97698389531447016</c:v>
                </c:pt>
                <c:pt idx="162">
                  <c:v>0.97628792361707961</c:v>
                </c:pt>
                <c:pt idx="163">
                  <c:v>0.97556661747223983</c:v>
                </c:pt>
                <c:pt idx="164">
                  <c:v>0.97484326301407931</c:v>
                </c:pt>
                <c:pt idx="165">
                  <c:v>0.9740945560153017</c:v>
                </c:pt>
                <c:pt idx="166">
                  <c:v>0.97341437992557445</c:v>
                </c:pt>
                <c:pt idx="167">
                  <c:v>0.97270919709574777</c:v>
                </c:pt>
                <c:pt idx="168">
                  <c:v>0.97195538316825314</c:v>
                </c:pt>
                <c:pt idx="169">
                  <c:v>0.97124727885455386</c:v>
                </c:pt>
                <c:pt idx="170">
                  <c:v>0.97058525243120375</c:v>
                </c:pt>
                <c:pt idx="171">
                  <c:v>0.96980372752957211</c:v>
                </c:pt>
                <c:pt idx="172">
                  <c:v>0.96913962865685155</c:v>
                </c:pt>
                <c:pt idx="173">
                  <c:v>0.9684034279800634</c:v>
                </c:pt>
                <c:pt idx="174">
                  <c:v>0.96764255065883742</c:v>
                </c:pt>
                <c:pt idx="175">
                  <c:v>0.96695229397930238</c:v>
                </c:pt>
                <c:pt idx="176">
                  <c:v>0.9662137923126537</c:v>
                </c:pt>
                <c:pt idx="177">
                  <c:v>0.96547473659645922</c:v>
                </c:pt>
                <c:pt idx="178">
                  <c:v>0.96475909713481856</c:v>
                </c:pt>
                <c:pt idx="179">
                  <c:v>0.96404313978924905</c:v>
                </c:pt>
                <c:pt idx="180">
                  <c:v>0.96330308654396524</c:v>
                </c:pt>
                <c:pt idx="181">
                  <c:v>0.96256290381882881</c:v>
                </c:pt>
                <c:pt idx="182">
                  <c:v>0.9618943276397639</c:v>
                </c:pt>
                <c:pt idx="183">
                  <c:v>0.96113031395564374</c:v>
                </c:pt>
                <c:pt idx="184">
                  <c:v>0.96043808436779321</c:v>
                </c:pt>
                <c:pt idx="185">
                  <c:v>0.95969837758110965</c:v>
                </c:pt>
                <c:pt idx="186">
                  <c:v>0.95895904003089871</c:v>
                </c:pt>
                <c:pt idx="187">
                  <c:v>0.95824399646678105</c:v>
                </c:pt>
                <c:pt idx="188">
                  <c:v>0.95745805966130981</c:v>
                </c:pt>
                <c:pt idx="189">
                  <c:v>0.956791789596103</c:v>
                </c:pt>
                <c:pt idx="190">
                  <c:v>0.95605484928279005</c:v>
                </c:pt>
                <c:pt idx="191">
                  <c:v>0.95529502126878352</c:v>
                </c:pt>
                <c:pt idx="192">
                  <c:v>0.95460728684405971</c:v>
                </c:pt>
                <c:pt idx="193">
                  <c:v>0.95387311286511711</c:v>
                </c:pt>
                <c:pt idx="194">
                  <c:v>0.95314004929156104</c:v>
                </c:pt>
                <c:pt idx="195">
                  <c:v>0.95245536290708266</c:v>
                </c:pt>
                <c:pt idx="196">
                  <c:v>0.95174824478795339</c:v>
                </c:pt>
                <c:pt idx="197">
                  <c:v>0.95099539151775159</c:v>
                </c:pt>
                <c:pt idx="198">
                  <c:v>0.95031444684789057</c:v>
                </c:pt>
                <c:pt idx="199">
                  <c:v>0.94958801566104178</c:v>
                </c:pt>
                <c:pt idx="200">
                  <c:v>0.94886318733392305</c:v>
                </c:pt>
                <c:pt idx="201">
                  <c:v>0.94816334087732645</c:v>
                </c:pt>
                <c:pt idx="202">
                  <c:v>0.947395412256543</c:v>
                </c:pt>
                <c:pt idx="203">
                  <c:v>0.94674546527246617</c:v>
                </c:pt>
                <c:pt idx="204">
                  <c:v>0.94602769516414031</c:v>
                </c:pt>
                <c:pt idx="205">
                  <c:v>0.94528884526924406</c:v>
                </c:pt>
                <c:pt idx="206">
                  <c:v>0.9446441408782128</c:v>
                </c:pt>
                <c:pt idx="207">
                  <c:v>0.94395530034965303</c:v>
                </c:pt>
                <c:pt idx="208">
                  <c:v>0.94326850036694265</c:v>
                </c:pt>
                <c:pt idx="209">
                  <c:v>0.9425610148817658</c:v>
                </c:pt>
                <c:pt idx="210">
                  <c:v>0.94187854873847676</c:v>
                </c:pt>
                <c:pt idx="211">
                  <c:v>0.94113040158358729</c:v>
                </c:pt>
                <c:pt idx="212">
                  <c:v>0.94047521505439813</c:v>
                </c:pt>
                <c:pt idx="213">
                  <c:v>0.93979973153128604</c:v>
                </c:pt>
                <c:pt idx="214">
                  <c:v>0.93908184830211194</c:v>
                </c:pt>
                <c:pt idx="215">
                  <c:v>0.93843366538158768</c:v>
                </c:pt>
                <c:pt idx="216">
                  <c:v>0.93774335558187916</c:v>
                </c:pt>
                <c:pt idx="217">
                  <c:v>0.93705575987613321</c:v>
                </c:pt>
                <c:pt idx="218">
                  <c:v>0.93643708215897925</c:v>
                </c:pt>
                <c:pt idx="219">
                  <c:v>0.93575479550900209</c:v>
                </c:pt>
                <c:pt idx="220">
                  <c:v>0.93505350198983084</c:v>
                </c:pt>
                <c:pt idx="221">
                  <c:v>0.9344206327414426</c:v>
                </c:pt>
                <c:pt idx="222">
                  <c:v>0.93376866152848037</c:v>
                </c:pt>
                <c:pt idx="223">
                  <c:v>0.93307632067944246</c:v>
                </c:pt>
                <c:pt idx="224">
                  <c:v>0.93243019394599891</c:v>
                </c:pt>
                <c:pt idx="225">
                  <c:v>0.93178695344009455</c:v>
                </c:pt>
                <c:pt idx="226">
                  <c:v>0.93112534202775243</c:v>
                </c:pt>
                <c:pt idx="227">
                  <c:v>0.93048807991304938</c:v>
                </c:pt>
                <c:pt idx="228">
                  <c:v>0.92979054773721714</c:v>
                </c:pt>
                <c:pt idx="229">
                  <c:v>0.92918058631225875</c:v>
                </c:pt>
                <c:pt idx="230">
                  <c:v>0.92859436685765639</c:v>
                </c:pt>
                <c:pt idx="231">
                  <c:v>0.92794847114369527</c:v>
                </c:pt>
                <c:pt idx="232">
                  <c:v>0.92730589704189315</c:v>
                </c:pt>
                <c:pt idx="233">
                  <c:v>0.92668724084808385</c:v>
                </c:pt>
                <c:pt idx="234">
                  <c:v>0.92607174699048067</c:v>
                </c:pt>
                <c:pt idx="235">
                  <c:v>0.92543908354105675</c:v>
                </c:pt>
                <c:pt idx="236">
                  <c:v>0.92480984561523827</c:v>
                </c:pt>
                <c:pt idx="237">
                  <c:v>0.92416392655356283</c:v>
                </c:pt>
                <c:pt idx="238">
                  <c:v>0.92358175513795171</c:v>
                </c:pt>
                <c:pt idx="239">
                  <c:v>0.92298272079444676</c:v>
                </c:pt>
                <c:pt idx="240">
                  <c:v>0.92234736904643078</c:v>
                </c:pt>
                <c:pt idx="241">
                  <c:v>0.92175513438857515</c:v>
                </c:pt>
                <c:pt idx="242">
                  <c:v>0.92118578831059605</c:v>
                </c:pt>
                <c:pt idx="243">
                  <c:v>0.92056114816667978</c:v>
                </c:pt>
                <c:pt idx="244">
                  <c:v>0.91999834434164895</c:v>
                </c:pt>
                <c:pt idx="245">
                  <c:v>0.91940018098616394</c:v>
                </c:pt>
                <c:pt idx="246">
                  <c:v>0.9188055957048793</c:v>
                </c:pt>
                <c:pt idx="247">
                  <c:v>0.91823360406544119</c:v>
                </c:pt>
                <c:pt idx="248">
                  <c:v>0.91760829724110315</c:v>
                </c:pt>
                <c:pt idx="249">
                  <c:v>0.91708092826166521</c:v>
                </c:pt>
                <c:pt idx="250">
                  <c:v>0.91650047854222405</c:v>
                </c:pt>
                <c:pt idx="251">
                  <c:v>0.91590507875717575</c:v>
                </c:pt>
                <c:pt idx="252">
                  <c:v>0.91536880903163031</c:v>
                </c:pt>
                <c:pt idx="253">
                  <c:v>0.91479903503293636</c:v>
                </c:pt>
                <c:pt idx="254">
                  <c:v>0.91428748843648944</c:v>
                </c:pt>
                <c:pt idx="255">
                  <c:v>0.91372454773021727</c:v>
                </c:pt>
                <c:pt idx="256">
                  <c:v>0.91318317708936469</c:v>
                </c:pt>
                <c:pt idx="257">
                  <c:v>0.91259153582009711</c:v>
                </c:pt>
                <c:pt idx="258">
                  <c:v>0.91209270576754298</c:v>
                </c:pt>
                <c:pt idx="259">
                  <c:v>0.91154381286166719</c:v>
                </c:pt>
                <c:pt idx="260">
                  <c:v>0.91098093065559349</c:v>
                </c:pt>
                <c:pt idx="261">
                  <c:v>0.91047406810057629</c:v>
                </c:pt>
                <c:pt idx="262">
                  <c:v>0.90993565206517724</c:v>
                </c:pt>
                <c:pt idx="263">
                  <c:v>0.90940073629454887</c:v>
                </c:pt>
                <c:pt idx="264">
                  <c:v>0.90888639218891565</c:v>
                </c:pt>
                <c:pt idx="265">
                  <c:v>0.90832436067101796</c:v>
                </c:pt>
                <c:pt idx="266">
                  <c:v>0.90785054626799699</c:v>
                </c:pt>
                <c:pt idx="267">
                  <c:v>0.90736275432472691</c:v>
                </c:pt>
                <c:pt idx="268">
                  <c:v>0.90686127517301929</c:v>
                </c:pt>
                <c:pt idx="269">
                  <c:v>0.90632985182141546</c:v>
                </c:pt>
                <c:pt idx="270">
                  <c:v>0.90585133640086113</c:v>
                </c:pt>
                <c:pt idx="271">
                  <c:v>0.90534304024550183</c:v>
                </c:pt>
                <c:pt idx="272">
                  <c:v>0.90483804448174021</c:v>
                </c:pt>
                <c:pt idx="273">
                  <c:v>0.90435245387805563</c:v>
                </c:pt>
                <c:pt idx="274">
                  <c:v>0.90382180978270599</c:v>
                </c:pt>
                <c:pt idx="275">
                  <c:v>0.90337441878935854</c:v>
                </c:pt>
                <c:pt idx="276">
                  <c:v>0.90288211667107732</c:v>
                </c:pt>
                <c:pt idx="277">
                  <c:v>0.90237723161799688</c:v>
                </c:pt>
                <c:pt idx="278">
                  <c:v>0.90193817519610542</c:v>
                </c:pt>
                <c:pt idx="279">
                  <c:v>0.90147054076577582</c:v>
                </c:pt>
                <c:pt idx="280">
                  <c:v>0.90100575218400814</c:v>
                </c:pt>
                <c:pt idx="281">
                  <c:v>0.90052842313073955</c:v>
                </c:pt>
                <c:pt idx="282">
                  <c:v>0.90006931194159268</c:v>
                </c:pt>
                <c:pt idx="283">
                  <c:v>0.89956744874678185</c:v>
                </c:pt>
                <c:pt idx="284">
                  <c:v>0.89912911065859769</c:v>
                </c:pt>
                <c:pt idx="285">
                  <c:v>0.89867826942370688</c:v>
                </c:pt>
                <c:pt idx="286">
                  <c:v>0.89820025518708224</c:v>
                </c:pt>
                <c:pt idx="287">
                  <c:v>0.8977695846674838</c:v>
                </c:pt>
                <c:pt idx="288">
                  <c:v>0.89731182842713331</c:v>
                </c:pt>
                <c:pt idx="289">
                  <c:v>0.89685672875586442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0-48BC-AE02-B8FF59BAC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905263"/>
        <c:axId val="733917327"/>
      </c:lineChart>
      <c:catAx>
        <c:axId val="733905263"/>
        <c:scaling>
          <c:orientation val="minMax"/>
        </c:scaling>
        <c:delete val="0"/>
        <c:axPos val="b"/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17327"/>
        <c:crosses val="autoZero"/>
        <c:auto val="1"/>
        <c:lblAlgn val="ctr"/>
        <c:lblOffset val="100"/>
        <c:noMultiLvlLbl val="0"/>
      </c:catAx>
      <c:valAx>
        <c:axId val="7339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0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532071648938624"/>
          <c:y val="0.66410526498757194"/>
          <c:w val="0.19641555065308758"/>
          <c:h val="0.12500087489063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Forward Rates</a:t>
            </a:r>
            <a:br>
              <a:rPr lang="en-GB" baseline="0"/>
            </a:br>
            <a:r>
              <a:rPr lang="en-GB" baseline="0"/>
              <a:t>(Off-Pillar Points)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EURYC_EUROIS!$O$8:$O$297</c:f>
              <c:numCache>
                <c:formatCode>#,##0.0000</c:formatCode>
                <c:ptCount val="29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</c:numCache>
            </c:numRef>
          </c:xVal>
          <c:yVal>
            <c:numRef>
              <c:f>EURYC_EUROIS!$P$8:$P$297</c:f>
              <c:numCache>
                <c:formatCode>0.000000%</c:formatCode>
                <c:ptCount val="290"/>
                <c:pt idx="0">
                  <c:v>-4.4750297386810557E-3</c:v>
                </c:pt>
                <c:pt idx="1">
                  <c:v>-4.4987208007233083E-3</c:v>
                </c:pt>
                <c:pt idx="2">
                  <c:v>-4.5205343820804373E-3</c:v>
                </c:pt>
                <c:pt idx="3">
                  <c:v>-4.5404931805177037E-3</c:v>
                </c:pt>
                <c:pt idx="4">
                  <c:v>-4.5586197606183407E-3</c:v>
                </c:pt>
                <c:pt idx="5">
                  <c:v>-4.5749365541160863E-3</c:v>
                </c:pt>
                <c:pt idx="6">
                  <c:v>-4.5894658602277155E-3</c:v>
                </c:pt>
                <c:pt idx="7">
                  <c:v>-4.60222984598557E-3</c:v>
                </c:pt>
                <c:pt idx="8">
                  <c:v>-4.6132505465700914E-3</c:v>
                </c:pt>
                <c:pt idx="9">
                  <c:v>-4.6225498656423513E-3</c:v>
                </c:pt>
                <c:pt idx="10">
                  <c:v>-4.6301495756765881E-3</c:v>
                </c:pt>
                <c:pt idx="11">
                  <c:v>-4.6360713182927371E-3</c:v>
                </c:pt>
                <c:pt idx="12">
                  <c:v>-4.6403366045889563E-3</c:v>
                </c:pt>
                <c:pt idx="13">
                  <c:v>-4.6429668154741692E-3</c:v>
                </c:pt>
                <c:pt idx="14">
                  <c:v>-4.6439832020005872E-3</c:v>
                </c:pt>
                <c:pt idx="15">
                  <c:v>-4.6434068856962499E-3</c:v>
                </c:pt>
                <c:pt idx="16">
                  <c:v>-4.6412588588975465E-3</c:v>
                </c:pt>
                <c:pt idx="17">
                  <c:v>-4.6375599850817613E-3</c:v>
                </c:pt>
                <c:pt idx="18">
                  <c:v>-4.6323309991995933E-3</c:v>
                </c:pt>
                <c:pt idx="19">
                  <c:v>-4.6255925080076962E-3</c:v>
                </c:pt>
                <c:pt idx="20">
                  <c:v>-4.6173649904012069E-3</c:v>
                </c:pt>
                <c:pt idx="21">
                  <c:v>-4.6076687977462776E-3</c:v>
                </c:pt>
                <c:pt idx="22">
                  <c:v>-4.5965241542126082E-3</c:v>
                </c:pt>
                <c:pt idx="23">
                  <c:v>-4.5839511571059812E-3</c:v>
                </c:pt>
                <c:pt idx="24">
                  <c:v>-4.56996977720079E-3</c:v>
                </c:pt>
                <c:pt idx="25">
                  <c:v>-4.5545998590725669E-3</c:v>
                </c:pt>
                <c:pt idx="26">
                  <c:v>-4.5378611214305269E-3</c:v>
                </c:pt>
                <c:pt idx="27">
                  <c:v>-4.5197731574500941E-3</c:v>
                </c:pt>
                <c:pt idx="28">
                  <c:v>-4.5003554351054249E-3</c:v>
                </c:pt>
                <c:pt idx="29">
                  <c:v>-4.4796272975019544E-3</c:v>
                </c:pt>
                <c:pt idx="30">
                  <c:v>-4.4576079632089177E-3</c:v>
                </c:pt>
                <c:pt idx="31">
                  <c:v>-4.4343165265918871E-3</c:v>
                </c:pt>
                <c:pt idx="32">
                  <c:v>-4.4097719581453077E-3</c:v>
                </c:pt>
                <c:pt idx="33">
                  <c:v>-4.3839931048250151E-3</c:v>
                </c:pt>
                <c:pt idx="34">
                  <c:v>-4.3569986903807846E-3</c:v>
                </c:pt>
                <c:pt idx="35">
                  <c:v>-4.3288073156888523E-3</c:v>
                </c:pt>
                <c:pt idx="36">
                  <c:v>-4.2994374590844507E-3</c:v>
                </c:pt>
                <c:pt idx="37">
                  <c:v>-4.2689074766943435E-3</c:v>
                </c:pt>
                <c:pt idx="38">
                  <c:v>-4.237235602769349E-3</c:v>
                </c:pt>
                <c:pt idx="39">
                  <c:v>-4.2044399500168811E-3</c:v>
                </c:pt>
                <c:pt idx="40">
                  <c:v>-4.1705385099334779E-3</c:v>
                </c:pt>
                <c:pt idx="41">
                  <c:v>-4.1355491531373332E-3</c:v>
                </c:pt>
                <c:pt idx="42">
                  <c:v>-4.0994896297008258E-3</c:v>
                </c:pt>
                <c:pt idx="43">
                  <c:v>-4.0623775694830595E-3</c:v>
                </c:pt>
                <c:pt idx="44">
                  <c:v>-4.0242304824623853E-3</c:v>
                </c:pt>
                <c:pt idx="45">
                  <c:v>-3.9850657590689434E-3</c:v>
                </c:pt>
                <c:pt idx="46">
                  <c:v>-3.9449006705171872E-3</c:v>
                </c:pt>
                <c:pt idx="47">
                  <c:v>-3.9037523691384172E-3</c:v>
                </c:pt>
                <c:pt idx="48">
                  <c:v>-3.861637888713318E-3</c:v>
                </c:pt>
                <c:pt idx="49">
                  <c:v>-3.8185741448044813E-3</c:v>
                </c:pt>
                <c:pt idx="50">
                  <c:v>-3.7745779350889463E-3</c:v>
                </c:pt>
                <c:pt idx="51">
                  <c:v>-3.7296659396907268E-3</c:v>
                </c:pt>
                <c:pt idx="52">
                  <c:v>-3.6838547215133455E-3</c:v>
                </c:pt>
                <c:pt idx="53">
                  <c:v>-3.6371607265723656E-3</c:v>
                </c:pt>
                <c:pt idx="54">
                  <c:v>-3.5896002843279211E-3</c:v>
                </c:pt>
                <c:pt idx="55">
                  <c:v>-3.5411896080172534E-3</c:v>
                </c:pt>
                <c:pt idx="56">
                  <c:v>-3.4919447949872348E-3</c:v>
                </c:pt>
                <c:pt idx="57">
                  <c:v>-3.4418818270269087E-3</c:v>
                </c:pt>
                <c:pt idx="58">
                  <c:v>-3.39101657070002E-3</c:v>
                </c:pt>
                <c:pt idx="59">
                  <c:v>-3.3393647776775452E-3</c:v>
                </c:pt>
                <c:pt idx="60">
                  <c:v>-3.2869420850702214E-3</c:v>
                </c:pt>
                <c:pt idx="61">
                  <c:v>-3.2337640157610865E-3</c:v>
                </c:pt>
                <c:pt idx="62">
                  <c:v>-3.1798459787380036E-3</c:v>
                </c:pt>
                <c:pt idx="63">
                  <c:v>-3.1252032694261988E-3</c:v>
                </c:pt>
                <c:pt idx="64">
                  <c:v>-3.0698510700207871E-3</c:v>
                </c:pt>
                <c:pt idx="65">
                  <c:v>-3.0138044498193108E-3</c:v>
                </c:pt>
                <c:pt idx="66">
                  <c:v>-2.9570783655542662E-3</c:v>
                </c:pt>
                <c:pt idx="67">
                  <c:v>-2.8996876617256389E-3</c:v>
                </c:pt>
                <c:pt idx="68">
                  <c:v>-2.8416470709334328E-3</c:v>
                </c:pt>
                <c:pt idx="69">
                  <c:v>-2.7829712142102068E-3</c:v>
                </c:pt>
                <c:pt idx="70">
                  <c:v>-2.7236746013536038E-3</c:v>
                </c:pt>
                <c:pt idx="71">
                  <c:v>-2.6637716312588803E-3</c:v>
                </c:pt>
                <c:pt idx="72">
                  <c:v>-2.6032765922514448E-3</c:v>
                </c:pt>
                <c:pt idx="73">
                  <c:v>-2.5422036624193831E-3</c:v>
                </c:pt>
                <c:pt idx="74">
                  <c:v>-2.4805669099460066E-3</c:v>
                </c:pt>
                <c:pt idx="75">
                  <c:v>-2.4183802934423329E-3</c:v>
                </c:pt>
                <c:pt idx="76">
                  <c:v>-2.3556576622796939E-3</c:v>
                </c:pt>
                <c:pt idx="77">
                  <c:v>-2.2924127569222195E-3</c:v>
                </c:pt>
                <c:pt idx="78">
                  <c:v>-2.2286592092593755E-3</c:v>
                </c:pt>
                <c:pt idx="79">
                  <c:v>-2.164410542938503E-3</c:v>
                </c:pt>
                <c:pt idx="80">
                  <c:v>-2.0996801736973482E-3</c:v>
                </c:pt>
                <c:pt idx="81">
                  <c:v>-2.0344814096965903E-3</c:v>
                </c:pt>
                <c:pt idx="82">
                  <c:v>-1.9688274518523787E-3</c:v>
                </c:pt>
                <c:pt idx="83">
                  <c:v>-1.902731394168864E-3</c:v>
                </c:pt>
                <c:pt idx="84">
                  <c:v>-1.8362062240707259E-3</c:v>
                </c:pt>
                <c:pt idx="85">
                  <c:v>-1.7692648227357125E-3</c:v>
                </c:pt>
                <c:pt idx="86">
                  <c:v>-1.7019199654271678E-3</c:v>
                </c:pt>
                <c:pt idx="87">
                  <c:v>-1.6341843218265584E-3</c:v>
                </c:pt>
                <c:pt idx="88">
                  <c:v>-1.5660704563660189E-3</c:v>
                </c:pt>
                <c:pt idx="89">
                  <c:v>-1.4975908285608723E-3</c:v>
                </c:pt>
                <c:pt idx="90">
                  <c:v>-1.4287577933421664E-3</c:v>
                </c:pt>
                <c:pt idx="91">
                  <c:v>-1.3595836013892044E-3</c:v>
                </c:pt>
                <c:pt idx="92">
                  <c:v>-1.2900803994620805E-3</c:v>
                </c:pt>
                <c:pt idx="93">
                  <c:v>-1.2202602307342058E-3</c:v>
                </c:pt>
                <c:pt idx="94">
                  <c:v>-1.1501350351248458E-3</c:v>
                </c:pt>
                <c:pt idx="95">
                  <c:v>-1.079716649631652E-3</c:v>
                </c:pt>
                <c:pt idx="96">
                  <c:v>-1.0090168086631904E-3</c:v>
                </c:pt>
                <c:pt idx="97">
                  <c:v>-9.3804714437147475E-4</c:v>
                </c:pt>
                <c:pt idx="98">
                  <c:v>-8.6681918698450038E-4</c:v>
                </c:pt>
                <c:pt idx="99">
                  <c:v>-7.9534436513877254E-4</c:v>
                </c:pt>
                <c:pt idx="100">
                  <c:v>-7.2363400621184475E-4</c:v>
                </c:pt>
                <c:pt idx="101">
                  <c:v>-6.5169933665484619E-4</c:v>
                </c:pt>
                <c:pt idx="102">
                  <c:v>-5.7955148232501216E-4</c:v>
                </c:pt>
                <c:pt idx="103">
                  <c:v>-5.0720146881821698E-4</c:v>
                </c:pt>
                <c:pt idx="104">
                  <c:v>-4.3466022180151337E-4</c:v>
                </c:pt>
                <c:pt idx="105">
                  <c:v>-3.6193856734565485E-4</c:v>
                </c:pt>
                <c:pt idx="106">
                  <c:v>-2.8904723225763176E-4</c:v>
                </c:pt>
                <c:pt idx="107">
                  <c:v>-2.1599684441320064E-4</c:v>
                </c:pt>
                <c:pt idx="108">
                  <c:v>-1.4279793308942198E-4</c:v>
                </c:pt>
                <c:pt idx="109">
                  <c:v>-6.946092929718749E-5</c:v>
                </c:pt>
                <c:pt idx="110">
                  <c:v>4.0038338862464603E-6</c:v>
                </c:pt>
                <c:pt idx="111">
                  <c:v>7.7586120984727105E-5</c:v>
                </c:pt>
                <c:pt idx="112">
                  <c:v>1.5127579379067553E-4</c:v>
                </c:pt>
                <c:pt idx="113">
                  <c:v>2.2506281103254841E-4</c:v>
                </c:pt>
                <c:pt idx="114">
                  <c:v>2.9893722804231397E-4</c:v>
                </c:pt>
                <c:pt idx="115">
                  <c:v>3.7288919642291174E-4</c:v>
                </c:pt>
                <c:pt idx="116">
                  <c:v>4.4690896371572759E-4</c:v>
                </c:pt>
                <c:pt idx="117">
                  <c:v>5.2098687306805684E-4</c:v>
                </c:pt>
                <c:pt idx="118">
                  <c:v>5.9511336290057849E-4</c:v>
                </c:pt>
                <c:pt idx="119">
                  <c:v>6.6927896657481101E-4</c:v>
                </c:pt>
                <c:pt idx="120">
                  <c:v>7.4347431206060147E-4</c:v>
                </c:pt>
                <c:pt idx="121">
                  <c:v>8.1769012160356461E-4</c:v>
                </c:pt>
                <c:pt idx="122">
                  <c:v>8.9191721139257813E-4</c:v>
                </c:pt>
                <c:pt idx="123">
                  <c:v>9.6614649122723616E-4</c:v>
                </c:pt>
                <c:pt idx="124">
                  <c:v>1.0403689641853208E-3</c:v>
                </c:pt>
                <c:pt idx="125">
                  <c:v>1.1145757262902647E-3</c:v>
                </c:pt>
                <c:pt idx="126">
                  <c:v>1.1887579661786288E-3</c:v>
                </c:pt>
                <c:pt idx="127">
                  <c:v>1.2629069647675639E-3</c:v>
                </c:pt>
                <c:pt idx="128">
                  <c:v>1.3370140949222839E-3</c:v>
                </c:pt>
                <c:pt idx="129">
                  <c:v>1.4110708211235274E-3</c:v>
                </c:pt>
                <c:pt idx="130">
                  <c:v>1.4850686991350098E-3</c:v>
                </c:pt>
                <c:pt idx="131">
                  <c:v>1.5589993756709569E-3</c:v>
                </c:pt>
                <c:pt idx="132">
                  <c:v>1.6328545880634859E-3</c:v>
                </c:pt>
                <c:pt idx="133">
                  <c:v>1.7066261639301242E-3</c:v>
                </c:pt>
                <c:pt idx="134">
                  <c:v>1.7803060208412679E-3</c:v>
                </c:pt>
                <c:pt idx="135">
                  <c:v>1.8538861659876393E-3</c:v>
                </c:pt>
                <c:pt idx="136">
                  <c:v>1.9273586958477886E-3</c:v>
                </c:pt>
                <c:pt idx="137">
                  <c:v>2.0007157958555092E-3</c:v>
                </c:pt>
                <c:pt idx="138">
                  <c:v>2.0739497400673462E-3</c:v>
                </c:pt>
                <c:pt idx="139">
                  <c:v>2.1470528908300564E-3</c:v>
                </c:pt>
                <c:pt idx="140">
                  <c:v>2.2200176984480684E-3</c:v>
                </c:pt>
                <c:pt idx="141">
                  <c:v>2.2928367008509514E-3</c:v>
                </c:pt>
                <c:pt idx="142">
                  <c:v>2.3655025232608828E-3</c:v>
                </c:pt>
                <c:pt idx="143">
                  <c:v>2.4380078778601291E-3</c:v>
                </c:pt>
                <c:pt idx="144">
                  <c:v>2.5103455634584992E-3</c:v>
                </c:pt>
                <c:pt idx="145">
                  <c:v>2.5825084651608194E-3</c:v>
                </c:pt>
                <c:pt idx="146">
                  <c:v>2.6544895540344003E-3</c:v>
                </c:pt>
                <c:pt idx="147">
                  <c:v>2.7262818867764931E-3</c:v>
                </c:pt>
                <c:pt idx="148">
                  <c:v>2.7978786053817744E-3</c:v>
                </c:pt>
                <c:pt idx="149">
                  <c:v>2.8692729368098207E-3</c:v>
                </c:pt>
                <c:pt idx="150">
                  <c:v>2.9404581926525475E-3</c:v>
                </c:pt>
                <c:pt idx="151">
                  <c:v>3.0114277688016978E-3</c:v>
                </c:pt>
                <c:pt idx="152">
                  <c:v>3.0821751451163134E-3</c:v>
                </c:pt>
                <c:pt idx="153">
                  <c:v>3.1526938850901815E-3</c:v>
                </c:pt>
                <c:pt idx="154">
                  <c:v>3.2229776355193274E-3</c:v>
                </c:pt>
                <c:pt idx="155">
                  <c:v>3.2930201261694709E-3</c:v>
                </c:pt>
                <c:pt idx="156">
                  <c:v>3.3628151694434956E-3</c:v>
                </c:pt>
                <c:pt idx="157">
                  <c:v>3.4323566600489076E-3</c:v>
                </c:pt>
                <c:pt idx="158">
                  <c:v>3.5016385746653197E-3</c:v>
                </c:pt>
                <c:pt idx="159">
                  <c:v>3.5706549716119111E-3</c:v>
                </c:pt>
                <c:pt idx="160">
                  <c:v>3.6393999905148982E-3</c:v>
                </c:pt>
                <c:pt idx="161">
                  <c:v>3.7078678519749941E-3</c:v>
                </c:pt>
                <c:pt idx="162">
                  <c:v>3.7760528572348918E-3</c:v>
                </c:pt>
                <c:pt idx="163">
                  <c:v>3.8439493878467236E-3</c:v>
                </c:pt>
                <c:pt idx="164">
                  <c:v>3.9115519053395057E-3</c:v>
                </c:pt>
                <c:pt idx="165">
                  <c:v>3.9788549508866719E-3</c:v>
                </c:pt>
                <c:pt idx="166">
                  <c:v>4.0458531449734597E-3</c:v>
                </c:pt>
                <c:pt idx="167">
                  <c:v>4.1125411870644437E-3</c:v>
                </c:pt>
                <c:pt idx="168">
                  <c:v>4.1789138552709593E-3</c:v>
                </c:pt>
                <c:pt idx="169">
                  <c:v>4.2449660060186129E-3</c:v>
                </c:pt>
                <c:pt idx="170">
                  <c:v>4.3106925737146935E-3</c:v>
                </c:pt>
                <c:pt idx="171">
                  <c:v>4.3760885704156966E-3</c:v>
                </c:pt>
                <c:pt idx="172">
                  <c:v>4.4411490854947572E-3</c:v>
                </c:pt>
                <c:pt idx="173">
                  <c:v>4.5058692853091487E-3</c:v>
                </c:pt>
                <c:pt idx="174">
                  <c:v>4.5702444128677125E-3</c:v>
                </c:pt>
                <c:pt idx="175">
                  <c:v>4.6342697874983503E-3</c:v>
                </c:pt>
                <c:pt idx="176">
                  <c:v>4.6979408045154779E-3</c:v>
                </c:pt>
                <c:pt idx="177">
                  <c:v>4.7612529348875308E-3</c:v>
                </c:pt>
                <c:pt idx="178">
                  <c:v>4.8242017249043789E-3</c:v>
                </c:pt>
                <c:pt idx="179">
                  <c:v>4.8867827958448129E-3</c:v>
                </c:pt>
                <c:pt idx="180">
                  <c:v>4.9489918436440511E-3</c:v>
                </c:pt>
                <c:pt idx="181">
                  <c:v>5.0108246385611325E-3</c:v>
                </c:pt>
                <c:pt idx="182">
                  <c:v>5.072277024846473E-3</c:v>
                </c:pt>
                <c:pt idx="183">
                  <c:v>5.1333449204092616E-3</c:v>
                </c:pt>
                <c:pt idx="184">
                  <c:v>5.1940243164849296E-3</c:v>
                </c:pt>
                <c:pt idx="185">
                  <c:v>5.254311277302701E-3</c:v>
                </c:pt>
                <c:pt idx="186">
                  <c:v>5.3142019397529588E-3</c:v>
                </c:pt>
                <c:pt idx="187">
                  <c:v>5.3736925130547725E-3</c:v>
                </c:pt>
                <c:pt idx="188">
                  <c:v>5.432779278423356E-3</c:v>
                </c:pt>
                <c:pt idx="189">
                  <c:v>5.4914585887375087E-3</c:v>
                </c:pt>
                <c:pt idx="190">
                  <c:v>5.549726868207136E-3</c:v>
                </c:pt>
                <c:pt idx="191">
                  <c:v>5.6075806120406664E-3</c:v>
                </c:pt>
                <c:pt idx="192">
                  <c:v>5.6650163861125492E-3</c:v>
                </c:pt>
                <c:pt idx="193">
                  <c:v>5.722030826630687E-3</c:v>
                </c:pt>
                <c:pt idx="194">
                  <c:v>5.7786206398039728E-3</c:v>
                </c:pt>
                <c:pt idx="195">
                  <c:v>5.8347826015096773E-3</c:v>
                </c:pt>
                <c:pt idx="196">
                  <c:v>5.8905135569609817E-3</c:v>
                </c:pt>
                <c:pt idx="197">
                  <c:v>5.9458104203743848E-3</c:v>
                </c:pt>
                <c:pt idx="198">
                  <c:v>6.0006701746372574E-3</c:v>
                </c:pt>
                <c:pt idx="199">
                  <c:v>6.0550898709751874E-3</c:v>
                </c:pt>
                <c:pt idx="200">
                  <c:v>6.1090666286195668E-3</c:v>
                </c:pt>
                <c:pt idx="201">
                  <c:v>6.1625976344750113E-3</c:v>
                </c:pt>
                <c:pt idx="202">
                  <c:v>6.2156801427868001E-3</c:v>
                </c:pt>
                <c:pt idx="203">
                  <c:v>6.2683114748084126E-3</c:v>
                </c:pt>
                <c:pt idx="204">
                  <c:v>6.3204890184689021E-3</c:v>
                </c:pt>
                <c:pt idx="205">
                  <c:v>6.3722102280404595E-3</c:v>
                </c:pt>
                <c:pt idx="206">
                  <c:v>6.4234726238058025E-3</c:v>
                </c:pt>
                <c:pt idx="207">
                  <c:v>6.4742737917257241E-3</c:v>
                </c:pt>
                <c:pt idx="208">
                  <c:v>6.5246113831064836E-3</c:v>
                </c:pt>
                <c:pt idx="209">
                  <c:v>6.5744831142673151E-3</c:v>
                </c:pt>
                <c:pt idx="210">
                  <c:v>6.6238867662078982E-3</c:v>
                </c:pt>
                <c:pt idx="211">
                  <c:v>6.6728201842757877E-3</c:v>
                </c:pt>
                <c:pt idx="212">
                  <c:v>6.7212812778339398E-3</c:v>
                </c:pt>
                <c:pt idx="213">
                  <c:v>6.76926801992814E-3</c:v>
                </c:pt>
                <c:pt idx="214">
                  <c:v>6.8167784469544889E-3</c:v>
                </c:pt>
                <c:pt idx="215">
                  <c:v>6.8638106583268329E-3</c:v>
                </c:pt>
                <c:pt idx="216">
                  <c:v>6.9103628161442726E-3</c:v>
                </c:pt>
                <c:pt idx="217">
                  <c:v>6.9564331448586534E-3</c:v>
                </c:pt>
                <c:pt idx="218">
                  <c:v>7.0020199309419476E-3</c:v>
                </c:pt>
                <c:pt idx="219">
                  <c:v>7.0471215225538352E-3</c:v>
                </c:pt>
                <c:pt idx="220">
                  <c:v>7.0917363292090363E-3</c:v>
                </c:pt>
                <c:pt idx="221">
                  <c:v>7.1358628214449353E-3</c:v>
                </c:pt>
                <c:pt idx="222">
                  <c:v>7.1794995304888731E-3</c:v>
                </c:pt>
                <c:pt idx="223">
                  <c:v>7.2226450479258193E-3</c:v>
                </c:pt>
                <c:pt idx="224">
                  <c:v>7.2652980253656383E-3</c:v>
                </c:pt>
                <c:pt idx="225">
                  <c:v>7.3074571741106927E-3</c:v>
                </c:pt>
                <c:pt idx="226">
                  <c:v>7.3491212648232589E-3</c:v>
                </c:pt>
                <c:pt idx="227">
                  <c:v>7.3902891271930204E-3</c:v>
                </c:pt>
                <c:pt idx="228">
                  <c:v>7.4309596496044891E-3</c:v>
                </c:pt>
                <c:pt idx="229">
                  <c:v>7.4711317788045111E-3</c:v>
                </c:pt>
                <c:pt idx="230">
                  <c:v>7.5108045195697495E-3</c:v>
                </c:pt>
                <c:pt idx="231">
                  <c:v>7.5499769343741214E-3</c:v>
                </c:pt>
                <c:pt idx="232">
                  <c:v>7.5886481430562681E-3</c:v>
                </c:pt>
                <c:pt idx="233">
                  <c:v>7.6268173224870095E-3</c:v>
                </c:pt>
                <c:pt idx="234">
                  <c:v>7.6644837062368881E-3</c:v>
                </c:pt>
                <c:pt idx="235">
                  <c:v>7.7016465842435159E-3</c:v>
                </c:pt>
                <c:pt idx="236">
                  <c:v>7.7383053024791581E-3</c:v>
                </c:pt>
                <c:pt idx="237">
                  <c:v>7.7744592626181348E-3</c:v>
                </c:pt>
                <c:pt idx="238">
                  <c:v>7.810107921704279E-3</c:v>
                </c:pt>
                <c:pt idx="239">
                  <c:v>7.8452507918184804E-3</c:v>
                </c:pt>
                <c:pt idx="240">
                  <c:v>7.8798874397460611E-3</c:v>
                </c:pt>
                <c:pt idx="241">
                  <c:v>7.9140174866442967E-3</c:v>
                </c:pt>
                <c:pt idx="242">
                  <c:v>7.9476406077099073E-3</c:v>
                </c:pt>
                <c:pt idx="243">
                  <c:v>7.9807565318464318E-3</c:v>
                </c:pt>
                <c:pt idx="244">
                  <c:v>8.0133650413318023E-3</c:v>
                </c:pt>
                <c:pt idx="245">
                  <c:v>8.0454659714857407E-3</c:v>
                </c:pt>
                <c:pt idx="246">
                  <c:v>8.0770592103372833E-3</c:v>
                </c:pt>
                <c:pt idx="247">
                  <c:v>8.10814469829217E-3</c:v>
                </c:pt>
                <c:pt idx="248">
                  <c:v>8.1387224278003916E-3</c:v>
                </c:pt>
                <c:pt idx="249">
                  <c:v>8.1687924430236258E-3</c:v>
                </c:pt>
                <c:pt idx="250">
                  <c:v>8.1983548395027084E-3</c:v>
                </c:pt>
                <c:pt idx="251">
                  <c:v>8.2274097638250707E-3</c:v>
                </c:pt>
                <c:pt idx="252">
                  <c:v>8.255957413292242E-3</c:v>
                </c:pt>
                <c:pt idx="253">
                  <c:v>8.2839980355873411E-3</c:v>
                </c:pt>
                <c:pt idx="254">
                  <c:v>8.3115319284424848E-3</c:v>
                </c:pt>
                <c:pt idx="255">
                  <c:v>8.338559439306302E-3</c:v>
                </c:pt>
                <c:pt idx="256">
                  <c:v>8.3650809650113577E-3</c:v>
                </c:pt>
                <c:pt idx="257">
                  <c:v>8.3910969514416883E-3</c:v>
                </c:pt>
                <c:pt idx="258">
                  <c:v>8.4166078932001644E-3</c:v>
                </c:pt>
                <c:pt idx="259">
                  <c:v>8.441614333276122E-3</c:v>
                </c:pt>
                <c:pt idx="260">
                  <c:v>8.4661168627126193E-3</c:v>
                </c:pt>
                <c:pt idx="261">
                  <c:v>8.4901161202741611E-3</c:v>
                </c:pt>
                <c:pt idx="262">
                  <c:v>8.513612792113821E-3</c:v>
                </c:pt>
                <c:pt idx="263">
                  <c:v>8.536607611441047E-3</c:v>
                </c:pt>
                <c:pt idx="264">
                  <c:v>8.5591013581890179E-3</c:v>
                </c:pt>
                <c:pt idx="265">
                  <c:v>8.5810948586820257E-3</c:v>
                </c:pt>
                <c:pt idx="266">
                  <c:v>8.602588985302995E-3</c:v>
                </c:pt>
                <c:pt idx="267">
                  <c:v>8.6235846561610197E-3</c:v>
                </c:pt>
                <c:pt idx="268">
                  <c:v>8.6440828347587057E-3</c:v>
                </c:pt>
                <c:pt idx="269">
                  <c:v>8.6640845296597734E-3</c:v>
                </c:pt>
                <c:pt idx="270">
                  <c:v>8.6835907941564018E-3</c:v>
                </c:pt>
                <c:pt idx="271">
                  <c:v>8.7026027259367762E-3</c:v>
                </c:pt>
                <c:pt idx="272">
                  <c:v>8.7211214667525169E-3</c:v>
                </c:pt>
                <c:pt idx="273">
                  <c:v>8.7391482020862075E-3</c:v>
                </c:pt>
                <c:pt idx="274">
                  <c:v>8.7566841608187722E-3</c:v>
                </c:pt>
                <c:pt idx="275">
                  <c:v>8.7737306148969723E-3</c:v>
                </c:pt>
                <c:pt idx="276">
                  <c:v>8.790288879000973E-3</c:v>
                </c:pt>
                <c:pt idx="277">
                  <c:v>8.8063603102116663E-3</c:v>
                </c:pt>
                <c:pt idx="278">
                  <c:v>8.821946307678203E-3</c:v>
                </c:pt>
                <c:pt idx="279">
                  <c:v>8.8370483122854893E-3</c:v>
                </c:pt>
                <c:pt idx="280">
                  <c:v>8.8516678063216073E-3</c:v>
                </c:pt>
                <c:pt idx="281">
                  <c:v>8.8658063131452879E-3</c:v>
                </c:pt>
                <c:pt idx="282">
                  <c:v>8.8794653968534351E-3</c:v>
                </c:pt>
                <c:pt idx="283">
                  <c:v>8.8926466619485382E-3</c:v>
                </c:pt>
                <c:pt idx="284">
                  <c:v>8.9053517530061077E-3</c:v>
                </c:pt>
                <c:pt idx="285">
                  <c:v>8.9175823543422399E-3</c:v>
                </c:pt>
                <c:pt idx="286">
                  <c:v>8.929340189681001E-3</c:v>
                </c:pt>
                <c:pt idx="287">
                  <c:v>8.9406270218219657E-3</c:v>
                </c:pt>
                <c:pt idx="288">
                  <c:v>8.9514446523076309E-3</c:v>
                </c:pt>
                <c:pt idx="289">
                  <c:v>8.9617949210908585E-3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0-4EF3-B9FB-9030E41E7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946447"/>
        <c:axId val="733954351"/>
      </c:scatterChart>
      <c:valAx>
        <c:axId val="73394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54351"/>
        <c:crosses val="autoZero"/>
        <c:crossBetween val="midCat"/>
      </c:valAx>
      <c:valAx>
        <c:axId val="7339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4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17</xdr:row>
      <xdr:rowOff>114300</xdr:rowOff>
    </xdr:from>
    <xdr:to>
      <xdr:col>15</xdr:col>
      <xdr:colOff>466725</xdr:colOff>
      <xdr:row>40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600074</xdr:colOff>
      <xdr:row>26</xdr:row>
      <xdr:rowOff>114300</xdr:rowOff>
    </xdr:from>
    <xdr:to>
      <xdr:col>25</xdr:col>
      <xdr:colOff>161925</xdr:colOff>
      <xdr:row>44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581024</xdr:colOff>
      <xdr:row>7</xdr:row>
      <xdr:rowOff>38100</xdr:rowOff>
    </xdr:from>
    <xdr:to>
      <xdr:col>25</xdr:col>
      <xdr:colOff>171449</xdr:colOff>
      <xdr:row>26</xdr:row>
      <xdr:rowOff>66674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98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5" x14ac:dyDescent="0.25"/>
  <cols>
    <col min="1" max="1" width="4.7109375" customWidth="1"/>
    <col min="3" max="3" width="17" bestFit="1" customWidth="1"/>
    <col min="4" max="4" width="17" customWidth="1"/>
    <col min="5" max="6" width="10.7109375" customWidth="1"/>
    <col min="7" max="7" width="4.7109375" customWidth="1"/>
    <col min="8" max="8" width="15.7109375" customWidth="1"/>
    <col min="9" max="9" width="12.7109375" style="3" customWidth="1"/>
    <col min="10" max="10" width="4.7109375" customWidth="1"/>
    <col min="11" max="12" width="12.7109375" customWidth="1"/>
    <col min="13" max="13" width="12.7109375" style="3" customWidth="1"/>
    <col min="14" max="14" width="4.7109375" customWidth="1"/>
    <col min="15" max="16" width="12.7109375" customWidth="1"/>
  </cols>
  <sheetData>
    <row r="1" spans="2:16" x14ac:dyDescent="0.25">
      <c r="K1" s="8"/>
    </row>
    <row r="2" spans="2:16" x14ac:dyDescent="0.25">
      <c r="C2" t="s">
        <v>4</v>
      </c>
      <c r="D2" s="6">
        <v>43838</v>
      </c>
      <c r="K2" s="8"/>
    </row>
    <row r="3" spans="2:16" x14ac:dyDescent="0.25">
      <c r="C3" t="s">
        <v>8</v>
      </c>
      <c r="D3" s="7" t="s">
        <v>6</v>
      </c>
    </row>
    <row r="4" spans="2:16" x14ac:dyDescent="0.25">
      <c r="C4" t="s">
        <v>9</v>
      </c>
      <c r="D4" s="7" t="s">
        <v>10</v>
      </c>
      <c r="H4" t="s">
        <v>15</v>
      </c>
      <c r="I4" s="11">
        <f ca="1">AVERAGE(I8:I297)</f>
        <v>3.4365259297714438E-5</v>
      </c>
      <c r="L4" t="s">
        <v>15</v>
      </c>
      <c r="M4" s="11">
        <f ca="1">AVERAGE(M8:M297)</f>
        <v>4.7049389224088366E-4</v>
      </c>
      <c r="O4" s="34" t="s">
        <v>17</v>
      </c>
    </row>
    <row r="5" spans="2:16" x14ac:dyDescent="0.25">
      <c r="C5" t="s">
        <v>2</v>
      </c>
      <c r="D5" s="5">
        <v>5</v>
      </c>
      <c r="H5" t="s">
        <v>12</v>
      </c>
      <c r="I5" s="11">
        <f ca="1">SUM(I8:I297)</f>
        <v>9.9659251963371866E-3</v>
      </c>
      <c r="L5" t="s">
        <v>12</v>
      </c>
      <c r="M5" s="11">
        <f ca="1">SUM(M8:M297)</f>
        <v>0.13644322874985626</v>
      </c>
      <c r="O5" t="s">
        <v>18</v>
      </c>
      <c r="P5" s="5">
        <v>0.05</v>
      </c>
    </row>
    <row r="7" spans="2:16" x14ac:dyDescent="0.25">
      <c r="B7" s="33" t="s">
        <v>14</v>
      </c>
      <c r="C7" s="3" t="s">
        <v>11</v>
      </c>
      <c r="D7" s="3" t="s">
        <v>13</v>
      </c>
      <c r="E7" s="3" t="s">
        <v>19</v>
      </c>
      <c r="F7" s="3" t="s">
        <v>20</v>
      </c>
      <c r="H7" s="3" t="s">
        <v>1</v>
      </c>
      <c r="I7" s="4" t="s">
        <v>0</v>
      </c>
      <c r="K7" t="s">
        <v>7</v>
      </c>
      <c r="L7" s="3" t="s">
        <v>3</v>
      </c>
      <c r="M7" s="4" t="s">
        <v>0</v>
      </c>
      <c r="O7" s="3" t="s">
        <v>13</v>
      </c>
      <c r="P7" s="3" t="s">
        <v>16</v>
      </c>
    </row>
    <row r="8" spans="2:16" x14ac:dyDescent="0.25">
      <c r="B8" s="32">
        <v>0</v>
      </c>
      <c r="C8" s="12">
        <v>43838</v>
      </c>
      <c r="D8" s="19">
        <f t="array" aca="1" ref="D8:D297" ca="1">_xll.meUtilityDatesToTerms($D$2,C8:C297)</f>
        <v>0</v>
      </c>
      <c r="E8" s="15">
        <v>-4.5499999999698559E-3</v>
      </c>
      <c r="F8" s="16">
        <v>1</v>
      </c>
      <c r="H8" s="22">
        <f t="array" aca="1" ref="H8:H297" ca="1">_xll.meMathPolynomialInterpolations(D8:D297,E8:E297,$D$5,D8:D297)</f>
        <v>-4.4750297386810557E-3</v>
      </c>
      <c r="I8" s="23">
        <f t="shared" ref="I8:I71" ca="1" si="0">SQRT((H8-E8)^2)</f>
        <v>7.4970261288800216E-5</v>
      </c>
      <c r="K8" s="28">
        <f t="array" aca="1" ref="K8:K297" ca="1">_xll.meMathPolynomialIntegrations(D8:D297,E8:E297,$D$5,B8:B297,D8:D297)</f>
        <v>0</v>
      </c>
      <c r="L8" s="29">
        <f t="shared" ref="L8:L71" ca="1" si="1">EXP(-K8)</f>
        <v>1</v>
      </c>
      <c r="M8" s="23">
        <f t="shared" ref="M8:M71" ca="1" si="2">SQRT((L8-F8)^2)</f>
        <v>0</v>
      </c>
      <c r="O8" s="28">
        <v>0</v>
      </c>
      <c r="P8" s="35">
        <f t="array" aca="1" ref="P8:P297" ca="1">_xll.meMathPolynomialInterpolations(D8:D297,E8:E297,D5,O8:O297)</f>
        <v>-4.4750297386810557E-3</v>
      </c>
    </row>
    <row r="9" spans="2:16" x14ac:dyDescent="0.25">
      <c r="B9" s="32">
        <v>0</v>
      </c>
      <c r="C9" s="13">
        <v>43871</v>
      </c>
      <c r="D9" s="20">
        <f ca="1"/>
        <v>9.0410958904109592E-2</v>
      </c>
      <c r="E9" s="9">
        <v>-4.5400000000217419E-3</v>
      </c>
      <c r="F9" s="17">
        <v>1.0004163138673638</v>
      </c>
      <c r="H9" s="24">
        <f ca="1"/>
        <v>-4.5164953990251572E-3</v>
      </c>
      <c r="I9" s="25">
        <f t="shared" ca="1" si="0"/>
        <v>2.3504600996584676E-5</v>
      </c>
      <c r="K9" s="30">
        <f ca="1"/>
        <v>-4.0651250924771484E-4</v>
      </c>
      <c r="L9" s="1">
        <f t="shared" ca="1" si="1"/>
        <v>1.0004065951466552</v>
      </c>
      <c r="M9" s="25">
        <f t="shared" ca="1" si="2"/>
        <v>9.7187207086513183E-6</v>
      </c>
      <c r="O9" s="30">
        <f t="shared" ref="O9:O72" ca="1" si="3">MIN(O8+$P$5,$D$297)</f>
        <v>0.05</v>
      </c>
      <c r="P9" s="36">
        <f ca="1"/>
        <v>-4.4987208007233083E-3</v>
      </c>
    </row>
    <row r="10" spans="2:16" x14ac:dyDescent="0.25">
      <c r="B10" s="32">
        <v>0</v>
      </c>
      <c r="C10" s="13">
        <v>43899</v>
      </c>
      <c r="D10" s="20">
        <f ca="1"/>
        <v>0.16712328767123288</v>
      </c>
      <c r="E10" s="9">
        <v>-4.5400000000217653E-3</v>
      </c>
      <c r="F10" s="17">
        <v>1.0007696384988609</v>
      </c>
      <c r="H10" s="24">
        <f ca="1"/>
        <v>-4.5469060726466932E-3</v>
      </c>
      <c r="I10" s="25">
        <f t="shared" ca="1" si="0"/>
        <v>6.9060726249278725E-6</v>
      </c>
      <c r="K10" s="30">
        <f ca="1"/>
        <v>-7.5417754080113952E-4</v>
      </c>
      <c r="L10" s="1">
        <f t="shared" ca="1" si="1"/>
        <v>1.0007544620041902</v>
      </c>
      <c r="M10" s="25">
        <f t="shared" ca="1" si="2"/>
        <v>1.5176494670754437E-5</v>
      </c>
      <c r="O10" s="30">
        <f t="shared" ca="1" si="3"/>
        <v>0.1</v>
      </c>
      <c r="P10" s="36">
        <f ca="1"/>
        <v>-4.5205343820804373E-3</v>
      </c>
    </row>
    <row r="11" spans="2:16" x14ac:dyDescent="0.25">
      <c r="B11" s="32">
        <v>0</v>
      </c>
      <c r="C11" s="13">
        <v>43929</v>
      </c>
      <c r="D11" s="20">
        <f ca="1"/>
        <v>0.24931506849315069</v>
      </c>
      <c r="E11" s="9">
        <v>-4.5499999999299044E-3</v>
      </c>
      <c r="F11" s="17">
        <v>1.0011487282880316</v>
      </c>
      <c r="H11" s="24">
        <f ca="1"/>
        <v>-4.5747251624999336E-3</v>
      </c>
      <c r="I11" s="25">
        <f t="shared" ca="1" si="0"/>
        <v>2.4725162570029234E-5</v>
      </c>
      <c r="K11" s="30">
        <f ca="1"/>
        <v>-1.1290725262306147E-3</v>
      </c>
      <c r="L11" s="1">
        <f t="shared" ca="1" si="1"/>
        <v>1.0011297101685743</v>
      </c>
      <c r="M11" s="25">
        <f t="shared" ca="1" si="2"/>
        <v>1.9018119457259175E-5</v>
      </c>
      <c r="O11" s="30">
        <f t="shared" ca="1" si="3"/>
        <v>0.15000000000000002</v>
      </c>
      <c r="P11" s="36">
        <f ca="1"/>
        <v>-4.5404931805177037E-3</v>
      </c>
    </row>
    <row r="12" spans="2:16" x14ac:dyDescent="0.25">
      <c r="B12" s="32">
        <v>0</v>
      </c>
      <c r="C12" s="13">
        <v>43959</v>
      </c>
      <c r="D12" s="20">
        <f ca="1"/>
        <v>0.33150684931506852</v>
      </c>
      <c r="E12" s="9">
        <v>-4.5600000000245609E-3</v>
      </c>
      <c r="F12" s="17">
        <v>1.0015284640503415</v>
      </c>
      <c r="H12" s="24">
        <f ca="1"/>
        <v>-4.5977132382316131E-3</v>
      </c>
      <c r="I12" s="25">
        <f t="shared" ca="1" si="0"/>
        <v>3.7713238207052156E-5</v>
      </c>
      <c r="K12" s="30">
        <f ca="1"/>
        <v>-1.5060548008847643E-3</v>
      </c>
      <c r="L12" s="1">
        <f t="shared" ca="1" si="1"/>
        <v>1.0015071894709699</v>
      </c>
      <c r="M12" s="25">
        <f t="shared" ca="1" si="2"/>
        <v>2.1274579371510782E-5</v>
      </c>
      <c r="O12" s="30">
        <f t="shared" ca="1" si="3"/>
        <v>0.2</v>
      </c>
      <c r="P12" s="36">
        <f ca="1"/>
        <v>-4.5586197606183407E-3</v>
      </c>
    </row>
    <row r="13" spans="2:16" x14ac:dyDescent="0.25">
      <c r="B13" s="32">
        <v>0</v>
      </c>
      <c r="C13" s="13">
        <v>43990</v>
      </c>
      <c r="D13" s="20">
        <f ca="1"/>
        <v>0.41643835616438357</v>
      </c>
      <c r="E13" s="9">
        <v>-4.5599999999979155E-3</v>
      </c>
      <c r="F13" s="17">
        <v>1.0019218130184533</v>
      </c>
      <c r="H13" s="24">
        <f ca="1"/>
        <v>-4.6164967268475156E-3</v>
      </c>
      <c r="I13" s="25">
        <f t="shared" ca="1" si="0"/>
        <v>5.6496726849600103E-5</v>
      </c>
      <c r="K13" s="30">
        <f ca="1"/>
        <v>-1.8973785547406403E-3</v>
      </c>
      <c r="L13" s="1">
        <f t="shared" ca="1" si="1"/>
        <v>1.0018991797164123</v>
      </c>
      <c r="M13" s="25">
        <f t="shared" ca="1" si="2"/>
        <v>2.2633302040997449E-5</v>
      </c>
      <c r="O13" s="30">
        <f t="shared" ca="1" si="3"/>
        <v>0.25</v>
      </c>
      <c r="P13" s="36">
        <f ca="1"/>
        <v>-4.5749365541160863E-3</v>
      </c>
    </row>
    <row r="14" spans="2:16" x14ac:dyDescent="0.25">
      <c r="B14" s="32">
        <v>0</v>
      </c>
      <c r="C14" s="13">
        <v>44020</v>
      </c>
      <c r="D14" s="20">
        <f ca="1"/>
        <v>0.49863013698630138</v>
      </c>
      <c r="E14" s="9">
        <v>-4.600000000030152E-3</v>
      </c>
      <c r="F14" s="17">
        <v>1.0023057383507257</v>
      </c>
      <c r="H14" s="24">
        <f ca="1"/>
        <v>-4.6299638190003744E-3</v>
      </c>
      <c r="I14" s="25">
        <f t="shared" ca="1" si="0"/>
        <v>2.9963818970222406E-5</v>
      </c>
      <c r="K14" s="30">
        <f ca="1"/>
        <v>-2.2774014801572114E-3</v>
      </c>
      <c r="L14" s="1">
        <f t="shared" ca="1" si="1"/>
        <v>1.0022799967286751</v>
      </c>
      <c r="M14" s="25">
        <f t="shared" ca="1" si="2"/>
        <v>2.5741622050601265E-5</v>
      </c>
      <c r="O14" s="30">
        <f t="shared" ca="1" si="3"/>
        <v>0.3</v>
      </c>
      <c r="P14" s="36">
        <f ca="1"/>
        <v>-4.5894658602277155E-3</v>
      </c>
    </row>
    <row r="15" spans="2:16" x14ac:dyDescent="0.25">
      <c r="B15" s="32">
        <v>0</v>
      </c>
      <c r="C15" s="13">
        <v>44053</v>
      </c>
      <c r="D15" s="20">
        <f ca="1"/>
        <v>0.58904109589041098</v>
      </c>
      <c r="E15" s="9">
        <v>-4.6052955644970859E-3</v>
      </c>
      <c r="F15" s="17">
        <v>1.0027286210550297</v>
      </c>
      <c r="H15" s="24">
        <f ca="1"/>
        <v>-4.639542401449954E-3</v>
      </c>
      <c r="I15" s="25">
        <f t="shared" ca="1" si="0"/>
        <v>3.4246836952868051E-5</v>
      </c>
      <c r="K15" s="30">
        <f ca="1"/>
        <v>-2.6964748240955413E-3</v>
      </c>
      <c r="L15" s="1">
        <f t="shared" ca="1" si="1"/>
        <v>1.0027001135822056</v>
      </c>
      <c r="M15" s="25">
        <f t="shared" ca="1" si="2"/>
        <v>2.8507472824124136E-5</v>
      </c>
      <c r="O15" s="30">
        <f t="shared" ca="1" si="3"/>
        <v>0.35</v>
      </c>
      <c r="P15" s="36">
        <f ca="1"/>
        <v>-4.60222984598557E-3</v>
      </c>
    </row>
    <row r="16" spans="2:16" x14ac:dyDescent="0.25">
      <c r="B16" s="32">
        <v>0</v>
      </c>
      <c r="C16" s="13">
        <v>44082</v>
      </c>
      <c r="D16" s="20">
        <f ca="1"/>
        <v>0.66849315068493154</v>
      </c>
      <c r="E16" s="9">
        <v>-4.6109043767517286E-3</v>
      </c>
      <c r="F16" s="17">
        <v>1.0031009196539189</v>
      </c>
      <c r="H16" s="24">
        <f ca="1"/>
        <v>-4.6435296750285751E-3</v>
      </c>
      <c r="I16" s="25">
        <f t="shared" ca="1" si="0"/>
        <v>3.2625298276846466E-5</v>
      </c>
      <c r="K16" s="30">
        <f ca="1"/>
        <v>-3.065281530827451E-3</v>
      </c>
      <c r="L16" s="1">
        <f t="shared" ca="1" si="1"/>
        <v>1.0030699843101456</v>
      </c>
      <c r="M16" s="25">
        <f t="shared" ca="1" si="2"/>
        <v>3.0935343773297319E-5</v>
      </c>
      <c r="O16" s="30">
        <f t="shared" ca="1" si="3"/>
        <v>0.39999999999999997</v>
      </c>
      <c r="P16" s="36">
        <f ca="1"/>
        <v>-4.6132505465700914E-3</v>
      </c>
    </row>
    <row r="17" spans="2:16" x14ac:dyDescent="0.25">
      <c r="B17" s="32">
        <v>0</v>
      </c>
      <c r="C17" s="13">
        <v>44112</v>
      </c>
      <c r="D17" s="20">
        <f ca="1"/>
        <v>0.75068493150684934</v>
      </c>
      <c r="E17" s="9">
        <v>-4.6145183914792108E-3</v>
      </c>
      <c r="F17" s="17">
        <v>1.0034865912701836</v>
      </c>
      <c r="H17" s="24">
        <f ca="1"/>
        <v>-4.6433880305738213E-3</v>
      </c>
      <c r="I17" s="25">
        <f t="shared" ca="1" si="0"/>
        <v>2.8869639094610509E-5</v>
      </c>
      <c r="K17" s="30">
        <f ca="1"/>
        <v>-3.4469650864213768E-3</v>
      </c>
      <c r="L17" s="1">
        <f t="shared" ca="1" si="1"/>
        <v>1.003452912702353</v>
      </c>
      <c r="M17" s="25">
        <f t="shared" ca="1" si="2"/>
        <v>3.3678567830541795E-5</v>
      </c>
      <c r="O17" s="30">
        <f t="shared" ca="1" si="3"/>
        <v>0.44999999999999996</v>
      </c>
      <c r="P17" s="36">
        <f ca="1"/>
        <v>-4.6225498656423513E-3</v>
      </c>
    </row>
    <row r="18" spans="2:16" x14ac:dyDescent="0.25">
      <c r="B18" s="32">
        <v>0</v>
      </c>
      <c r="C18" s="13">
        <v>44144</v>
      </c>
      <c r="D18" s="20">
        <f ca="1"/>
        <v>0.83835616438356164</v>
      </c>
      <c r="E18" s="9">
        <v>-4.6159077021457216E-3</v>
      </c>
      <c r="F18" s="17">
        <v>1.0038983669973784</v>
      </c>
      <c r="H18" s="24">
        <f ca="1"/>
        <v>-4.6385587992598225E-3</v>
      </c>
      <c r="I18" s="25">
        <f t="shared" ca="1" si="0"/>
        <v>2.2651097114100884E-5</v>
      </c>
      <c r="K18" s="30">
        <f ca="1"/>
        <v>-3.8538798339121773E-3</v>
      </c>
      <c r="L18" s="1">
        <f t="shared" ca="1" si="1"/>
        <v>1.0038613155778853</v>
      </c>
      <c r="M18" s="25">
        <f t="shared" ca="1" si="2"/>
        <v>3.7051419493172588E-5</v>
      </c>
      <c r="O18" s="30">
        <f t="shared" ca="1" si="3"/>
        <v>0.49999999999999994</v>
      </c>
      <c r="P18" s="36">
        <f ca="1"/>
        <v>-4.6301495756765881E-3</v>
      </c>
    </row>
    <row r="19" spans="2:16" x14ac:dyDescent="0.25">
      <c r="B19" s="32">
        <v>0</v>
      </c>
      <c r="C19" s="13">
        <v>44173</v>
      </c>
      <c r="D19" s="20">
        <f ca="1"/>
        <v>0.9178082191780822</v>
      </c>
      <c r="E19" s="9">
        <v>-4.6149505326020966E-3</v>
      </c>
      <c r="F19" s="17">
        <v>1.0042717021643448</v>
      </c>
      <c r="H19" s="24">
        <f ca="1"/>
        <v>-4.6301029978078334E-3</v>
      </c>
      <c r="I19" s="25">
        <f t="shared" ca="1" si="0"/>
        <v>1.5152465205736827E-5</v>
      </c>
      <c r="K19" s="30">
        <f ca="1"/>
        <v>-4.2221123335911374E-3</v>
      </c>
      <c r="L19" s="1">
        <f t="shared" ca="1" si="1"/>
        <v>1.0042310380071811</v>
      </c>
      <c r="M19" s="25">
        <f t="shared" ca="1" si="2"/>
        <v>4.0664157163750048E-5</v>
      </c>
      <c r="O19" s="30">
        <f t="shared" ca="1" si="3"/>
        <v>0.54999999999999993</v>
      </c>
      <c r="P19" s="36">
        <f ca="1"/>
        <v>-4.6360713182927371E-3</v>
      </c>
    </row>
    <row r="20" spans="2:16" x14ac:dyDescent="0.25">
      <c r="B20" s="32">
        <v>0</v>
      </c>
      <c r="C20" s="13">
        <v>44204</v>
      </c>
      <c r="D20" s="20">
        <f ca="1"/>
        <v>1.0027397260273974</v>
      </c>
      <c r="E20" s="9">
        <v>-4.6113925762991835E-3</v>
      </c>
      <c r="F20" s="17">
        <v>1.0046707571864368</v>
      </c>
      <c r="H20" s="24">
        <f ca="1"/>
        <v>-4.6168715403384552E-3</v>
      </c>
      <c r="I20" s="25">
        <f t="shared" ca="1" si="0"/>
        <v>5.4789640392717553E-6</v>
      </c>
      <c r="K20" s="30">
        <f ca="1"/>
        <v>-4.6148223965972526E-3</v>
      </c>
      <c r="L20" s="1">
        <f t="shared" ca="1" si="1"/>
        <v>1.004625487088382</v>
      </c>
      <c r="M20" s="25">
        <f t="shared" ca="1" si="2"/>
        <v>4.527009805488369E-5</v>
      </c>
      <c r="O20" s="30">
        <f t="shared" ca="1" si="3"/>
        <v>0.6</v>
      </c>
      <c r="P20" s="36">
        <f ca="1"/>
        <v>-4.6403366045889563E-3</v>
      </c>
    </row>
    <row r="21" spans="2:16" x14ac:dyDescent="0.25">
      <c r="B21" s="32">
        <v>0</v>
      </c>
      <c r="C21" s="13">
        <v>44235</v>
      </c>
      <c r="D21" s="20">
        <f ca="1"/>
        <v>1.0876712328767124</v>
      </c>
      <c r="E21" s="9">
        <v>-4.605194785591865E-3</v>
      </c>
      <c r="F21" s="17">
        <v>1.0050695637978206</v>
      </c>
      <c r="H21" s="24">
        <f ca="1"/>
        <v>-4.5994055989326058E-3</v>
      </c>
      <c r="I21" s="25">
        <f t="shared" ca="1" si="0"/>
        <v>5.7891866592591976E-6</v>
      </c>
      <c r="K21" s="30">
        <f ca="1"/>
        <v>-5.0062281679244614E-3</v>
      </c>
      <c r="L21" s="1">
        <f t="shared" ca="1" si="1"/>
        <v>1.0050187802656394</v>
      </c>
      <c r="M21" s="25">
        <f t="shared" ca="1" si="2"/>
        <v>5.0783532181242208E-5</v>
      </c>
      <c r="O21" s="30">
        <f t="shared" ca="1" si="3"/>
        <v>0.65</v>
      </c>
      <c r="P21" s="36">
        <f ca="1"/>
        <v>-4.6429668154741692E-3</v>
      </c>
    </row>
    <row r="22" spans="2:16" x14ac:dyDescent="0.25">
      <c r="B22" s="32">
        <v>0</v>
      </c>
      <c r="C22" s="13">
        <v>44263</v>
      </c>
      <c r="D22" s="20">
        <f ca="1"/>
        <v>1.1643835616438356</v>
      </c>
      <c r="E22" s="9">
        <v>-4.5960222954244566E-3</v>
      </c>
      <c r="F22" s="17">
        <v>1.0054293033166504</v>
      </c>
      <c r="H22" s="24">
        <f ca="1"/>
        <v>-4.580072541656416E-3</v>
      </c>
      <c r="I22" s="25">
        <f t="shared" ca="1" si="0"/>
        <v>1.5949753768040517E-5</v>
      </c>
      <c r="K22" s="30">
        <f ca="1"/>
        <v>-5.3583390773628923E-3</v>
      </c>
      <c r="L22" s="1">
        <f t="shared" ca="1" si="1"/>
        <v>1.0053727206518404</v>
      </c>
      <c r="M22" s="25">
        <f t="shared" ca="1" si="2"/>
        <v>5.6582664810012062E-5</v>
      </c>
      <c r="O22" s="30">
        <f t="shared" ca="1" si="3"/>
        <v>0.70000000000000007</v>
      </c>
      <c r="P22" s="36">
        <f ca="1"/>
        <v>-4.6439832020005872E-3</v>
      </c>
    </row>
    <row r="23" spans="2:16" x14ac:dyDescent="0.25">
      <c r="B23" s="32">
        <v>0</v>
      </c>
      <c r="C23" s="13">
        <v>44294</v>
      </c>
      <c r="D23" s="20">
        <f ca="1"/>
        <v>1.2493150684931507</v>
      </c>
      <c r="E23" s="9">
        <v>-4.5821181558247824E-3</v>
      </c>
      <c r="F23" s="17">
        <v>1.0058267476057214</v>
      </c>
      <c r="H23" s="24">
        <f ca="1"/>
        <v>-4.5548196978101715E-3</v>
      </c>
      <c r="I23" s="25">
        <f t="shared" ca="1" si="0"/>
        <v>2.7298458014610866E-5</v>
      </c>
      <c r="K23" s="30">
        <f ca="1"/>
        <v>-5.7462874592984813E-3</v>
      </c>
      <c r="L23" s="1">
        <f t="shared" ca="1" si="1"/>
        <v>1.0057628290381253</v>
      </c>
      <c r="M23" s="25">
        <f t="shared" ca="1" si="2"/>
        <v>6.3918567596132903E-5</v>
      </c>
      <c r="O23" s="30">
        <f t="shared" ca="1" si="3"/>
        <v>0.75000000000000011</v>
      </c>
      <c r="P23" s="36">
        <f ca="1"/>
        <v>-4.6434068856962499E-3</v>
      </c>
    </row>
    <row r="24" spans="2:16" x14ac:dyDescent="0.25">
      <c r="B24" s="32">
        <v>0</v>
      </c>
      <c r="C24" s="13">
        <v>44326</v>
      </c>
      <c r="D24" s="20">
        <f ca="1"/>
        <v>1.3369863013698631</v>
      </c>
      <c r="E24" s="9">
        <v>-4.5631552956626629E-3</v>
      </c>
      <c r="F24" s="17">
        <v>1.0062357246927343</v>
      </c>
      <c r="H24" s="24">
        <f ca="1"/>
        <v>-4.5246097789260493E-3</v>
      </c>
      <c r="I24" s="25">
        <f t="shared" ca="1" si="0"/>
        <v>3.854551673661364E-5</v>
      </c>
      <c r="K24" s="30">
        <f ca="1"/>
        <v>-6.1443202138614685E-3</v>
      </c>
      <c r="L24" s="1">
        <f t="shared" ca="1" si="1"/>
        <v>1.0061632352695156</v>
      </c>
      <c r="M24" s="25">
        <f t="shared" ca="1" si="2"/>
        <v>7.2489423218691229E-5</v>
      </c>
      <c r="O24" s="30">
        <f t="shared" ca="1" si="3"/>
        <v>0.80000000000000016</v>
      </c>
      <c r="P24" s="36">
        <f ca="1"/>
        <v>-4.6412588588975465E-3</v>
      </c>
    </row>
    <row r="25" spans="2:16" x14ac:dyDescent="0.25">
      <c r="B25" s="32">
        <v>0</v>
      </c>
      <c r="C25" s="13">
        <v>44355</v>
      </c>
      <c r="D25" s="20">
        <f ca="1"/>
        <v>1.4164383561643836</v>
      </c>
      <c r="E25" s="9">
        <v>-4.5413082707934814E-3</v>
      </c>
      <c r="F25" s="17">
        <v>1.0066048494200763</v>
      </c>
      <c r="H25" s="24">
        <f ca="1"/>
        <v>-4.4936843539089494E-3</v>
      </c>
      <c r="I25" s="25">
        <f t="shared" ca="1" si="0"/>
        <v>4.762391688453195E-5</v>
      </c>
      <c r="K25" s="30">
        <f ca="1"/>
        <v>-6.5026032719932613E-3</v>
      </c>
      <c r="L25" s="1">
        <f t="shared" ca="1" si="1"/>
        <v>1.006523791097093</v>
      </c>
      <c r="M25" s="25">
        <f t="shared" ca="1" si="2"/>
        <v>8.1058322983329489E-5</v>
      </c>
      <c r="O25" s="30">
        <f t="shared" ca="1" si="3"/>
        <v>0.8500000000000002</v>
      </c>
      <c r="P25" s="36">
        <f ca="1"/>
        <v>-4.6375599850817613E-3</v>
      </c>
    </row>
    <row r="26" spans="2:16" x14ac:dyDescent="0.25">
      <c r="B26" s="32">
        <v>0</v>
      </c>
      <c r="C26" s="13">
        <v>44385</v>
      </c>
      <c r="D26" s="20">
        <f ca="1"/>
        <v>1.4986301369863013</v>
      </c>
      <c r="E26" s="9">
        <v>-4.5140437126623013E-3</v>
      </c>
      <c r="F26" s="17">
        <v>1.0069847930939004</v>
      </c>
      <c r="H26" s="24">
        <f ca="1"/>
        <v>-4.4582282681189644E-3</v>
      </c>
      <c r="I26" s="25">
        <f t="shared" ca="1" si="0"/>
        <v>5.5815444543336895E-5</v>
      </c>
      <c r="K26" s="30">
        <f ca="1"/>
        <v>-6.8705139363528659E-3</v>
      </c>
      <c r="L26" s="1">
        <f t="shared" ca="1" si="1"/>
        <v>1.0068941700627771</v>
      </c>
      <c r="M26" s="25">
        <f t="shared" ca="1" si="2"/>
        <v>9.0623031123282516E-5</v>
      </c>
      <c r="O26" s="30">
        <f t="shared" ca="1" si="3"/>
        <v>0.90000000000000024</v>
      </c>
      <c r="P26" s="36">
        <f ca="1"/>
        <v>-4.6323309991995933E-3</v>
      </c>
    </row>
    <row r="27" spans="2:16" x14ac:dyDescent="0.25">
      <c r="B27" s="32">
        <v>0</v>
      </c>
      <c r="C27" s="13">
        <v>44417</v>
      </c>
      <c r="D27" s="20">
        <f ca="1"/>
        <v>1.5863013698630137</v>
      </c>
      <c r="E27" s="9">
        <v>-4.4793084015948437E-3</v>
      </c>
      <c r="F27" s="17">
        <v>1.0073874690555829</v>
      </c>
      <c r="H27" s="24">
        <f ca="1"/>
        <v>-4.416620047991573E-3</v>
      </c>
      <c r="I27" s="25">
        <f t="shared" ca="1" si="0"/>
        <v>6.2688353603270776E-5</v>
      </c>
      <c r="K27" s="30">
        <f ca="1"/>
        <v>-7.2595765950551477E-3</v>
      </c>
      <c r="L27" s="1">
        <f t="shared" ca="1" si="1"/>
        <v>1.0072859912021583</v>
      </c>
      <c r="M27" s="25">
        <f t="shared" ca="1" si="2"/>
        <v>1.0147785342451421E-4</v>
      </c>
      <c r="O27" s="30">
        <f t="shared" ca="1" si="3"/>
        <v>0.95000000000000029</v>
      </c>
      <c r="P27" s="36">
        <f ca="1"/>
        <v>-4.6255925080076962E-3</v>
      </c>
    </row>
    <row r="28" spans="2:16" x14ac:dyDescent="0.25">
      <c r="B28" s="32">
        <v>0</v>
      </c>
      <c r="C28" s="13">
        <v>44447</v>
      </c>
      <c r="D28" s="20">
        <f ca="1"/>
        <v>1.6684931506849314</v>
      </c>
      <c r="E28" s="9">
        <v>-4.4408733335466067E-3</v>
      </c>
      <c r="F28" s="17">
        <v>1.007762054461671</v>
      </c>
      <c r="H28" s="24">
        <f ca="1"/>
        <v>-4.3741495289031087E-3</v>
      </c>
      <c r="I28" s="25">
        <f t="shared" ca="1" si="0"/>
        <v>6.6723804643497968E-5</v>
      </c>
      <c r="K28" s="30">
        <f ca="1"/>
        <v>-7.6208637523880697E-3</v>
      </c>
      <c r="L28" s="1">
        <f t="shared" ca="1" si="1"/>
        <v>1.007649976442178</v>
      </c>
      <c r="M28" s="25">
        <f t="shared" ca="1" si="2"/>
        <v>1.1207801949297824E-4</v>
      </c>
      <c r="O28" s="30">
        <f t="shared" ca="1" si="3"/>
        <v>1.0000000000000002</v>
      </c>
      <c r="P28" s="36">
        <f ca="1"/>
        <v>-4.6173649904012069E-3</v>
      </c>
    </row>
    <row r="29" spans="2:16" x14ac:dyDescent="0.25">
      <c r="B29" s="32">
        <v>0</v>
      </c>
      <c r="C29" s="13">
        <v>44477</v>
      </c>
      <c r="D29" s="20">
        <f ca="1"/>
        <v>1.7506849315068493</v>
      </c>
      <c r="E29" s="9">
        <v>-4.3951353132020239E-3</v>
      </c>
      <c r="F29" s="17">
        <v>1.0081333194773463</v>
      </c>
      <c r="H29" s="24">
        <f ca="1"/>
        <v>-4.3284129080679787E-3</v>
      </c>
      <c r="I29" s="25">
        <f t="shared" ca="1" si="0"/>
        <v>6.6722405134045197E-5</v>
      </c>
      <c r="K29" s="30">
        <f ca="1"/>
        <v>-7.9785253923578773E-3</v>
      </c>
      <c r="L29" s="1">
        <f t="shared" ca="1" si="1"/>
        <v>1.0080104386431763</v>
      </c>
      <c r="M29" s="25">
        <f t="shared" ca="1" si="2"/>
        <v>1.2288083417000273E-4</v>
      </c>
      <c r="O29" s="30">
        <f t="shared" ca="1" si="3"/>
        <v>1.0500000000000003</v>
      </c>
      <c r="P29" s="36">
        <f ca="1"/>
        <v>-4.6076687977462776E-3</v>
      </c>
    </row>
    <row r="30" spans="2:16" x14ac:dyDescent="0.25">
      <c r="B30" s="32">
        <v>0</v>
      </c>
      <c r="C30" s="13">
        <v>44508</v>
      </c>
      <c r="D30" s="20">
        <f ca="1"/>
        <v>1.8356164383561644</v>
      </c>
      <c r="E30" s="9">
        <v>-4.3447010787867214E-3</v>
      </c>
      <c r="F30" s="17">
        <v>1.0085129480748223</v>
      </c>
      <c r="H30" s="24">
        <f ca="1"/>
        <v>-4.2778078701794682E-3</v>
      </c>
      <c r="I30" s="25">
        <f t="shared" ca="1" si="0"/>
        <v>6.689320860725316E-5</v>
      </c>
      <c r="K30" s="30">
        <f ca="1"/>
        <v>-8.3440187843977897E-3</v>
      </c>
      <c r="L30" s="1">
        <f t="shared" ca="1" si="1"/>
        <v>1.0083789271335597</v>
      </c>
      <c r="M30" s="25">
        <f t="shared" ca="1" si="2"/>
        <v>1.3402094126258035E-4</v>
      </c>
      <c r="O30" s="30">
        <f t="shared" ca="1" si="3"/>
        <v>1.1000000000000003</v>
      </c>
      <c r="P30" s="36">
        <f ca="1"/>
        <v>-4.5965241542126082E-3</v>
      </c>
    </row>
    <row r="31" spans="2:16" x14ac:dyDescent="0.25">
      <c r="B31" s="32">
        <v>0</v>
      </c>
      <c r="C31" s="13">
        <v>44538</v>
      </c>
      <c r="D31" s="20">
        <f ca="1"/>
        <v>1.9178082191780821</v>
      </c>
      <c r="E31" s="9">
        <v>-4.2874072557808219E-3</v>
      </c>
      <c r="F31" s="17">
        <v>1.0088758764091266</v>
      </c>
      <c r="H31" s="24">
        <f ca="1"/>
        <v>-4.2256828718346025E-3</v>
      </c>
      <c r="I31" s="25">
        <f t="shared" ca="1" si="0"/>
        <v>6.1724383946219416E-5</v>
      </c>
      <c r="K31" s="30">
        <f ca="1"/>
        <v>-8.6934982629738658E-3</v>
      </c>
      <c r="L31" s="1">
        <f t="shared" ca="1" si="1"/>
        <v>1.0087313964620326</v>
      </c>
      <c r="M31" s="25">
        <f t="shared" ca="1" si="2"/>
        <v>1.4447994709398948E-4</v>
      </c>
      <c r="O31" s="30">
        <f t="shared" ca="1" si="3"/>
        <v>1.1500000000000004</v>
      </c>
      <c r="P31" s="36">
        <f ca="1"/>
        <v>-4.5839511571059812E-3</v>
      </c>
    </row>
    <row r="32" spans="2:16" x14ac:dyDescent="0.25">
      <c r="B32" s="32">
        <v>0</v>
      </c>
      <c r="C32" s="13">
        <v>44571</v>
      </c>
      <c r="D32" s="20">
        <f ca="1"/>
        <v>2.0082191780821916</v>
      </c>
      <c r="E32" s="9">
        <v>-4.2165353387258056E-3</v>
      </c>
      <c r="F32" s="17">
        <v>1.0092693415218426</v>
      </c>
      <c r="H32" s="24">
        <f ca="1"/>
        <v>-4.1648610792019381E-3</v>
      </c>
      <c r="I32" s="25">
        <f t="shared" ca="1" si="0"/>
        <v>5.1674259523867491E-5</v>
      </c>
      <c r="K32" s="30">
        <f ca="1"/>
        <v>-9.0728239506783648E-3</v>
      </c>
      <c r="L32" s="1">
        <f t="shared" ca="1" si="1"/>
        <v>1.0091141067740419</v>
      </c>
      <c r="M32" s="25">
        <f t="shared" ca="1" si="2"/>
        <v>1.5523474780065882E-4</v>
      </c>
      <c r="O32" s="30">
        <f t="shared" ca="1" si="3"/>
        <v>1.2000000000000004</v>
      </c>
      <c r="P32" s="36">
        <f ca="1"/>
        <v>-4.56996977720079E-3</v>
      </c>
    </row>
    <row r="33" spans="2:16" x14ac:dyDescent="0.25">
      <c r="B33" s="32">
        <v>0</v>
      </c>
      <c r="C33" s="13">
        <v>44600</v>
      </c>
      <c r="D33" s="20">
        <f ca="1"/>
        <v>2.0876712328767124</v>
      </c>
      <c r="E33" s="9">
        <v>-4.1492713244872951E-3</v>
      </c>
      <c r="F33" s="17">
        <v>1.0096095939693275</v>
      </c>
      <c r="H33" s="24">
        <f ca="1"/>
        <v>-4.1084794654817139E-3</v>
      </c>
      <c r="I33" s="25">
        <f t="shared" ca="1" si="0"/>
        <v>4.0791859005581167E-5</v>
      </c>
      <c r="K33" s="30">
        <f ca="1"/>
        <v>-9.4015088073890161E-3</v>
      </c>
      <c r="L33" s="1">
        <f t="shared" ca="1" si="1"/>
        <v>1.0094458418147871</v>
      </c>
      <c r="M33" s="25">
        <f t="shared" ca="1" si="2"/>
        <v>1.6375215454034198E-4</v>
      </c>
      <c r="O33" s="30">
        <f t="shared" ca="1" si="3"/>
        <v>1.2500000000000004</v>
      </c>
      <c r="P33" s="36">
        <f ca="1"/>
        <v>-4.5545998590725669E-3</v>
      </c>
    </row>
    <row r="34" spans="2:16" x14ac:dyDescent="0.25">
      <c r="B34" s="32">
        <v>0</v>
      </c>
      <c r="C34" s="13">
        <v>44628</v>
      </c>
      <c r="D34" s="20">
        <f ca="1"/>
        <v>2.1643835616438358</v>
      </c>
      <c r="E34" s="9">
        <v>-4.0816109075381283E-3</v>
      </c>
      <c r="F34" s="17">
        <v>1.0099329256846947</v>
      </c>
      <c r="H34" s="24">
        <f ca="1"/>
        <v>-4.0515090299257147E-3</v>
      </c>
      <c r="I34" s="25">
        <f t="shared" ca="1" si="0"/>
        <v>3.0101877612413556E-5</v>
      </c>
      <c r="K34" s="30">
        <f ca="1"/>
        <v>-9.71451036846817E-3</v>
      </c>
      <c r="L34" s="1">
        <f t="shared" ca="1" si="1"/>
        <v>1.0097618493919527</v>
      </c>
      <c r="M34" s="25">
        <f t="shared" ca="1" si="2"/>
        <v>1.7107629274204506E-4</v>
      </c>
      <c r="O34" s="30">
        <f t="shared" ca="1" si="3"/>
        <v>1.3000000000000005</v>
      </c>
      <c r="P34" s="36">
        <f ca="1"/>
        <v>-4.5378611214305269E-3</v>
      </c>
    </row>
    <row r="35" spans="2:16" x14ac:dyDescent="0.25">
      <c r="B35" s="32">
        <v>0</v>
      </c>
      <c r="C35" s="13">
        <v>44659</v>
      </c>
      <c r="D35" s="20">
        <f ca="1"/>
        <v>2.2493150684931509</v>
      </c>
      <c r="E35" s="9">
        <v>-4.0009750187852827E-3</v>
      </c>
      <c r="F35" s="17">
        <v>1.0102846926601461</v>
      </c>
      <c r="H35" s="24">
        <f ca="1"/>
        <v>-3.9856090593744743E-3</v>
      </c>
      <c r="I35" s="25">
        <f t="shared" ca="1" si="0"/>
        <v>1.5365959410808434E-5</v>
      </c>
      <c r="K35" s="30">
        <f ca="1"/>
        <v>-1.0055833376552942E-2</v>
      </c>
      <c r="L35" s="1">
        <f t="shared" ca="1" si="1"/>
        <v>1.0101065631698616</v>
      </c>
      <c r="M35" s="25">
        <f t="shared" ca="1" si="2"/>
        <v>1.7812949028450653E-4</v>
      </c>
      <c r="O35" s="30">
        <f t="shared" ca="1" si="3"/>
        <v>1.3500000000000005</v>
      </c>
      <c r="P35" s="36">
        <f ca="1"/>
        <v>-4.5197731574500941E-3</v>
      </c>
    </row>
    <row r="36" spans="2:16" x14ac:dyDescent="0.25">
      <c r="B36" s="32">
        <v>0</v>
      </c>
      <c r="C36" s="13">
        <v>44690</v>
      </c>
      <c r="D36" s="20">
        <f ca="1"/>
        <v>2.3342465753424659</v>
      </c>
      <c r="E36" s="9">
        <v>-3.9227689875609567E-3</v>
      </c>
      <c r="F36" s="17">
        <v>1.0106296664942536</v>
      </c>
      <c r="H36" s="24">
        <f ca="1"/>
        <v>-3.9168219566491436E-3</v>
      </c>
      <c r="I36" s="25">
        <f t="shared" ca="1" si="0"/>
        <v>5.9470309118131101E-6</v>
      </c>
      <c r="K36" s="30">
        <f ca="1"/>
        <v>-1.0391436199490098E-2</v>
      </c>
      <c r="L36" s="1">
        <f t="shared" ca="1" si="1"/>
        <v>1.0104456146740675</v>
      </c>
      <c r="M36" s="25">
        <f t="shared" ca="1" si="2"/>
        <v>1.8405182018610411E-4</v>
      </c>
      <c r="O36" s="30">
        <f t="shared" ca="1" si="3"/>
        <v>1.4000000000000006</v>
      </c>
      <c r="P36" s="36">
        <f ca="1"/>
        <v>-4.5003554351054249E-3</v>
      </c>
    </row>
    <row r="37" spans="2:16" x14ac:dyDescent="0.25">
      <c r="B37" s="32">
        <v>0</v>
      </c>
      <c r="C37" s="13">
        <v>44720</v>
      </c>
      <c r="D37" s="20">
        <f ca="1"/>
        <v>2.4164383561643836</v>
      </c>
      <c r="E37" s="9">
        <v>-3.8424820156901652E-3</v>
      </c>
      <c r="F37" s="17">
        <v>1.0109568395325457</v>
      </c>
      <c r="H37" s="24">
        <f ca="1"/>
        <v>-3.8475838635735385E-3</v>
      </c>
      <c r="I37" s="25">
        <f t="shared" ca="1" si="0"/>
        <v>5.1018478833732978E-6</v>
      </c>
      <c r="K37" s="30">
        <f ca="1"/>
        <v>-1.0710539093418044E-2</v>
      </c>
      <c r="L37" s="1">
        <f t="shared" ca="1" si="1"/>
        <v>1.0107681022444888</v>
      </c>
      <c r="M37" s="25">
        <f t="shared" ca="1" si="2"/>
        <v>1.8873728805690604E-4</v>
      </c>
      <c r="O37" s="30">
        <f t="shared" ca="1" si="3"/>
        <v>1.4500000000000006</v>
      </c>
      <c r="P37" s="36">
        <f ca="1"/>
        <v>-4.4796272975019544E-3</v>
      </c>
    </row>
    <row r="38" spans="2:16" x14ac:dyDescent="0.25">
      <c r="B38" s="32">
        <v>0</v>
      </c>
      <c r="C38" s="13">
        <v>44750</v>
      </c>
      <c r="D38" s="20">
        <f ca="1"/>
        <v>2.4986301369863013</v>
      </c>
      <c r="E38" s="9">
        <v>-3.7573431291626626E-3</v>
      </c>
      <c r="F38" s="17">
        <v>1.0112772695453467</v>
      </c>
      <c r="H38" s="24">
        <f ca="1"/>
        <v>-3.7757955878517709E-3</v>
      </c>
      <c r="I38" s="25">
        <f t="shared" ca="1" si="0"/>
        <v>1.8452458689108362E-5</v>
      </c>
      <c r="K38" s="30">
        <f ca="1"/>
        <v>-1.1023845871475318E-2</v>
      </c>
      <c r="L38" s="1">
        <f t="shared" ca="1" si="1"/>
        <v>1.0110848323562205</v>
      </c>
      <c r="M38" s="25">
        <f t="shared" ca="1" si="2"/>
        <v>1.9243718912620444E-4</v>
      </c>
      <c r="O38" s="30">
        <f t="shared" ca="1" si="3"/>
        <v>1.5000000000000007</v>
      </c>
      <c r="P38" s="36">
        <f ca="1"/>
        <v>-4.4576079632089177E-3</v>
      </c>
    </row>
    <row r="39" spans="2:16" x14ac:dyDescent="0.25">
      <c r="B39" s="32">
        <v>0</v>
      </c>
      <c r="C39" s="13">
        <v>44781</v>
      </c>
      <c r="D39" s="20">
        <f ca="1"/>
        <v>2.5835616438356164</v>
      </c>
      <c r="E39" s="9">
        <v>-3.6733469454608555E-3</v>
      </c>
      <c r="F39" s="17">
        <v>1.0116011174633615</v>
      </c>
      <c r="H39" s="24">
        <f ca="1"/>
        <v>-3.6990141505727145E-3</v>
      </c>
      <c r="I39" s="25">
        <f t="shared" ca="1" si="0"/>
        <v>2.5667205111858972E-5</v>
      </c>
      <c r="K39" s="30">
        <f ca="1"/>
        <v>-1.1341287722132212E-2</v>
      </c>
      <c r="L39" s="1">
        <f t="shared" ca="1" si="1"/>
        <v>1.0114058439451354</v>
      </c>
      <c r="M39" s="25">
        <f t="shared" ca="1" si="2"/>
        <v>1.9527351822601346E-4</v>
      </c>
      <c r="O39" s="30">
        <f t="shared" ca="1" si="3"/>
        <v>1.5500000000000007</v>
      </c>
      <c r="P39" s="36">
        <f ca="1"/>
        <v>-4.4343165265918871E-3</v>
      </c>
    </row>
    <row r="40" spans="2:16" x14ac:dyDescent="0.25">
      <c r="B40" s="32">
        <v>0</v>
      </c>
      <c r="C40" s="13">
        <v>44812</v>
      </c>
      <c r="D40" s="20">
        <f ca="1"/>
        <v>2.6684931506849314</v>
      </c>
      <c r="E40" s="9">
        <v>-3.5852666170299711E-3</v>
      </c>
      <c r="F40" s="17">
        <v>1.0119174506777362</v>
      </c>
      <c r="H40" s="24">
        <f ca="1"/>
        <v>-3.6196699818260396E-3</v>
      </c>
      <c r="I40" s="25">
        <f t="shared" ca="1" si="0"/>
        <v>3.4403364796068477E-5</v>
      </c>
      <c r="K40" s="30">
        <f ca="1"/>
        <v>-1.165209901150697E-2</v>
      </c>
      <c r="L40" s="1">
        <f t="shared" ca="1" si="1"/>
        <v>1.0117202491573869</v>
      </c>
      <c r="M40" s="25">
        <f t="shared" ca="1" si="2"/>
        <v>1.9720152034929939E-4</v>
      </c>
      <c r="O40" s="30">
        <f t="shared" ca="1" si="3"/>
        <v>1.6000000000000008</v>
      </c>
      <c r="P40" s="36">
        <f ca="1"/>
        <v>-4.4097719581453077E-3</v>
      </c>
    </row>
    <row r="41" spans="2:16" x14ac:dyDescent="0.25">
      <c r="B41" s="32">
        <v>0</v>
      </c>
      <c r="C41" s="13">
        <v>44844</v>
      </c>
      <c r="D41" s="20">
        <f ca="1"/>
        <v>2.7561643835616438</v>
      </c>
      <c r="E41" s="9">
        <v>-3.493020848965868E-3</v>
      </c>
      <c r="F41" s="17">
        <v>1.0122359817529005</v>
      </c>
      <c r="H41" s="24">
        <f ca="1"/>
        <v>-3.5351630852116602E-3</v>
      </c>
      <c r="I41" s="25">
        <f t="shared" ca="1" si="0"/>
        <v>4.2142236245792247E-5</v>
      </c>
      <c r="K41" s="30">
        <f ca="1"/>
        <v>-1.196575453812981E-2</v>
      </c>
      <c r="L41" s="1">
        <f t="shared" ca="1" si="1"/>
        <v>1.0120376305765475</v>
      </c>
      <c r="M41" s="25">
        <f t="shared" ca="1" si="2"/>
        <v>1.9835117635302879E-4</v>
      </c>
      <c r="O41" s="30">
        <f t="shared" ca="1" si="3"/>
        <v>1.6500000000000008</v>
      </c>
      <c r="P41" s="36">
        <f ca="1"/>
        <v>-4.3839931048250151E-3</v>
      </c>
    </row>
    <row r="42" spans="2:16" x14ac:dyDescent="0.25">
      <c r="B42" s="32">
        <v>0</v>
      </c>
      <c r="C42" s="13">
        <v>44873</v>
      </c>
      <c r="D42" s="20">
        <f ca="1"/>
        <v>2.8356164383561642</v>
      </c>
      <c r="E42" s="9">
        <v>-3.4087225760837236E-3</v>
      </c>
      <c r="F42" s="17">
        <v>1.0125175305363008</v>
      </c>
      <c r="H42" s="24">
        <f ca="1"/>
        <v>-3.4563663994075866E-3</v>
      </c>
      <c r="I42" s="25">
        <f t="shared" ca="1" si="0"/>
        <v>4.764382332386307E-5</v>
      </c>
      <c r="K42" s="30">
        <f ca="1"/>
        <v>-1.2243513930057218E-2</v>
      </c>
      <c r="L42" s="1">
        <f t="shared" ca="1" si="1"/>
        <v>1.0123187725765321</v>
      </c>
      <c r="M42" s="25">
        <f t="shared" ca="1" si="2"/>
        <v>1.987579597686473E-4</v>
      </c>
      <c r="O42" s="30">
        <f t="shared" ca="1" si="3"/>
        <v>1.7000000000000008</v>
      </c>
      <c r="P42" s="36">
        <f ca="1"/>
        <v>-4.3569986903807846E-3</v>
      </c>
    </row>
    <row r="43" spans="2:16" x14ac:dyDescent="0.25">
      <c r="B43" s="32">
        <v>0</v>
      </c>
      <c r="C43" s="13">
        <v>44903</v>
      </c>
      <c r="D43" s="20">
        <f ca="1"/>
        <v>2.9178082191780823</v>
      </c>
      <c r="E43" s="9">
        <v>-3.321293255860181E-3</v>
      </c>
      <c r="F43" s="17">
        <v>1.012801623727998</v>
      </c>
      <c r="H43" s="24">
        <f ca="1"/>
        <v>-3.3727094096421945E-3</v>
      </c>
      <c r="I43" s="25">
        <f t="shared" ca="1" si="0"/>
        <v>5.1416153782013474E-5</v>
      </c>
      <c r="K43" s="30">
        <f ca="1"/>
        <v>-1.2524175573969265E-2</v>
      </c>
      <c r="L43" s="1">
        <f t="shared" ca="1" si="1"/>
        <v>1.0126029315017966</v>
      </c>
      <c r="M43" s="25">
        <f t="shared" ca="1" si="2"/>
        <v>1.9869222620139126E-4</v>
      </c>
      <c r="O43" s="30">
        <f t="shared" ca="1" si="3"/>
        <v>1.7500000000000009</v>
      </c>
      <c r="P43" s="36">
        <f ca="1"/>
        <v>-4.3288073156888523E-3</v>
      </c>
    </row>
    <row r="44" spans="2:16" x14ac:dyDescent="0.25">
      <c r="B44" s="32">
        <v>0</v>
      </c>
      <c r="C44" s="13">
        <v>44935</v>
      </c>
      <c r="D44" s="20">
        <f ca="1"/>
        <v>3.0054794520547947</v>
      </c>
      <c r="E44" s="9">
        <v>-3.2277821971238409E-3</v>
      </c>
      <c r="F44" s="17">
        <v>1.0130965977101065</v>
      </c>
      <c r="H44" s="24">
        <f ca="1"/>
        <v>-3.2811509269730674E-3</v>
      </c>
      <c r="I44" s="25">
        <f t="shared" ca="1" si="0"/>
        <v>5.3368729849226446E-5</v>
      </c>
      <c r="K44" s="30">
        <f ca="1"/>
        <v>-1.2815868878088235E-2</v>
      </c>
      <c r="L44" s="1">
        <f t="shared" ca="1" si="1"/>
        <v>1.0128983440794879</v>
      </c>
      <c r="M44" s="25">
        <f t="shared" ca="1" si="2"/>
        <v>1.9825363061864998E-4</v>
      </c>
      <c r="O44" s="30">
        <f t="shared" ca="1" si="3"/>
        <v>1.8000000000000009</v>
      </c>
      <c r="P44" s="36">
        <f ca="1"/>
        <v>-4.2994374590844507E-3</v>
      </c>
    </row>
    <row r="45" spans="2:16" x14ac:dyDescent="0.25">
      <c r="B45" s="32">
        <v>0</v>
      </c>
      <c r="C45" s="13">
        <v>44965</v>
      </c>
      <c r="D45" s="20">
        <f ca="1"/>
        <v>3.0876712328767124</v>
      </c>
      <c r="E45" s="9">
        <v>-3.1392898691384842E-3</v>
      </c>
      <c r="F45" s="17">
        <v>1.0133655383812499</v>
      </c>
      <c r="H45" s="24">
        <f ca="1"/>
        <v>-3.1932087389645166E-3</v>
      </c>
      <c r="I45" s="25">
        <f t="shared" ca="1" si="0"/>
        <v>5.3918869826032403E-5</v>
      </c>
      <c r="K45" s="30">
        <f ca="1"/>
        <v>-1.3081952168296185E-2</v>
      </c>
      <c r="L45" s="1">
        <f t="shared" ca="1" si="1"/>
        <v>1.0131678952634693</v>
      </c>
      <c r="M45" s="25">
        <f t="shared" ca="1" si="2"/>
        <v>1.9764311778058818E-4</v>
      </c>
      <c r="O45" s="30">
        <f t="shared" ca="1" si="3"/>
        <v>1.850000000000001</v>
      </c>
      <c r="P45" s="36">
        <f ca="1"/>
        <v>-4.2689074766943435E-3</v>
      </c>
    </row>
    <row r="46" spans="2:16" x14ac:dyDescent="0.25">
      <c r="B46" s="32">
        <v>0</v>
      </c>
      <c r="C46" s="13">
        <v>44993</v>
      </c>
      <c r="D46" s="20">
        <f ca="1"/>
        <v>3.1643835616438358</v>
      </c>
      <c r="E46" s="9">
        <v>-3.0553930309818009E-3</v>
      </c>
      <c r="F46" s="17">
        <v>1.0136098193643808</v>
      </c>
      <c r="H46" s="24">
        <f ca="1"/>
        <v>-3.1093520622595219E-3</v>
      </c>
      <c r="I46" s="25">
        <f t="shared" ca="1" si="0"/>
        <v>5.395903127772099E-5</v>
      </c>
      <c r="K46" s="30">
        <f ca="1"/>
        <v>-1.3323705012002061E-2</v>
      </c>
      <c r="L46" s="1">
        <f t="shared" ca="1" si="1"/>
        <v>1.0134128610927005</v>
      </c>
      <c r="M46" s="25">
        <f t="shared" ca="1" si="2"/>
        <v>1.9695827168031421E-4</v>
      </c>
      <c r="O46" s="30">
        <f t="shared" ca="1" si="3"/>
        <v>1.900000000000001</v>
      </c>
      <c r="P46" s="36">
        <f ca="1"/>
        <v>-4.237235602769349E-3</v>
      </c>
    </row>
    <row r="47" spans="2:16" x14ac:dyDescent="0.25">
      <c r="B47" s="32">
        <v>0</v>
      </c>
      <c r="C47" s="13">
        <v>45026</v>
      </c>
      <c r="D47" s="20">
        <f ca="1"/>
        <v>3.2547945205479452</v>
      </c>
      <c r="E47" s="9">
        <v>-2.9548974465676385E-3</v>
      </c>
      <c r="F47" s="17">
        <v>1.0138892348175654</v>
      </c>
      <c r="H47" s="24">
        <f ca="1"/>
        <v>-3.0083941796006548E-3</v>
      </c>
      <c r="I47" s="25">
        <f t="shared" ca="1" si="0"/>
        <v>5.349673303301633E-5</v>
      </c>
      <c r="K47" s="30">
        <f ca="1"/>
        <v>-1.3600277699789599E-2</v>
      </c>
      <c r="L47" s="1">
        <f t="shared" ca="1" si="1"/>
        <v>1.013693182174322</v>
      </c>
      <c r="M47" s="25">
        <f t="shared" ca="1" si="2"/>
        <v>1.960526432434051E-4</v>
      </c>
      <c r="O47" s="30">
        <f t="shared" ca="1" si="3"/>
        <v>1.9500000000000011</v>
      </c>
      <c r="P47" s="36">
        <f ca="1"/>
        <v>-4.2044399500168811E-3</v>
      </c>
    </row>
    <row r="48" spans="2:16" x14ac:dyDescent="0.25">
      <c r="B48" s="32">
        <v>0</v>
      </c>
      <c r="C48" s="13">
        <v>45054</v>
      </c>
      <c r="D48" s="20">
        <f ca="1"/>
        <v>3.3315068493150686</v>
      </c>
      <c r="E48" s="9">
        <v>-2.8683622003988873E-3</v>
      </c>
      <c r="F48" s="17">
        <v>1.0141189959152315</v>
      </c>
      <c r="H48" s="24">
        <f ca="1"/>
        <v>-2.9209908746623625E-3</v>
      </c>
      <c r="I48" s="25">
        <f t="shared" ca="1" si="0"/>
        <v>5.2628674263475225E-5</v>
      </c>
      <c r="K48" s="30">
        <f ca="1"/>
        <v>-1.3827716199173848E-2</v>
      </c>
      <c r="L48" s="1">
        <f t="shared" ca="1" si="1"/>
        <v>1.0139237612507974</v>
      </c>
      <c r="M48" s="25">
        <f t="shared" ca="1" si="2"/>
        <v>1.9523466443405191E-4</v>
      </c>
      <c r="O48" s="30">
        <f t="shared" ca="1" si="3"/>
        <v>2.0000000000000009</v>
      </c>
      <c r="P48" s="36">
        <f ca="1"/>
        <v>-4.1705385099334779E-3</v>
      </c>
    </row>
    <row r="49" spans="2:16" x14ac:dyDescent="0.25">
      <c r="B49" s="32">
        <v>0</v>
      </c>
      <c r="C49" s="13">
        <v>45085</v>
      </c>
      <c r="D49" s="20">
        <f ca="1"/>
        <v>3.4164383561643836</v>
      </c>
      <c r="E49" s="9">
        <v>-2.7713418225472452E-3</v>
      </c>
      <c r="F49" s="17">
        <v>1.0143654217157352</v>
      </c>
      <c r="H49" s="24">
        <f ca="1"/>
        <v>-2.8224257619436678E-3</v>
      </c>
      <c r="I49" s="25">
        <f t="shared" ca="1" si="0"/>
        <v>5.1083939396422574E-5</v>
      </c>
      <c r="K49" s="30">
        <f ca="1"/>
        <v>-1.4071627842007125E-2</v>
      </c>
      <c r="L49" s="1">
        <f t="shared" ca="1" si="1"/>
        <v>1.0141710992241912</v>
      </c>
      <c r="M49" s="25">
        <f t="shared" ca="1" si="2"/>
        <v>1.9432249154394121E-4</v>
      </c>
      <c r="O49" s="30">
        <f t="shared" ca="1" si="3"/>
        <v>2.0500000000000007</v>
      </c>
      <c r="P49" s="36">
        <f ca="1"/>
        <v>-4.1355491531373332E-3</v>
      </c>
    </row>
    <row r="50" spans="2:16" x14ac:dyDescent="0.25">
      <c r="B50" s="32">
        <v>0</v>
      </c>
      <c r="C50" s="13">
        <v>45117</v>
      </c>
      <c r="D50" s="20">
        <f ca="1"/>
        <v>3.504109589041096</v>
      </c>
      <c r="E50" s="9">
        <v>-2.6698531066760107E-3</v>
      </c>
      <c r="F50" s="17">
        <v>1.0146109104255796</v>
      </c>
      <c r="H50" s="24">
        <f ca="1"/>
        <v>-2.718773745107198E-3</v>
      </c>
      <c r="I50" s="25">
        <f t="shared" ca="1" si="0"/>
        <v>4.8920638431187297E-5</v>
      </c>
      <c r="K50" s="30">
        <f ca="1"/>
        <v>-1.4314543615007058E-2</v>
      </c>
      <c r="L50" s="1">
        <f t="shared" ca="1" si="1"/>
        <v>1.0144174873052776</v>
      </c>
      <c r="M50" s="25">
        <f t="shared" ca="1" si="2"/>
        <v>1.9342312030201647E-4</v>
      </c>
      <c r="O50" s="30">
        <f t="shared" ca="1" si="3"/>
        <v>2.1000000000000005</v>
      </c>
      <c r="P50" s="36">
        <f ca="1"/>
        <v>-4.0994896297008258E-3</v>
      </c>
    </row>
    <row r="51" spans="2:16" x14ac:dyDescent="0.25">
      <c r="B51" s="32">
        <v>0</v>
      </c>
      <c r="C51" s="13">
        <v>45146</v>
      </c>
      <c r="D51" s="20">
        <f ca="1"/>
        <v>3.5835616438356164</v>
      </c>
      <c r="E51" s="9">
        <v>-2.5768492602118533E-3</v>
      </c>
      <c r="F51" s="17">
        <v>1.0148254838107467</v>
      </c>
      <c r="H51" s="24">
        <f ca="1"/>
        <v>-2.6232298271337659E-3</v>
      </c>
      <c r="I51" s="25">
        <f t="shared" ca="1" si="0"/>
        <v>4.6380566921912572E-5</v>
      </c>
      <c r="K51" s="30">
        <f ca="1"/>
        <v>-1.4526770123019863E-2</v>
      </c>
      <c r="L51" s="1">
        <f t="shared" ca="1" si="1"/>
        <v>1.0146327964326194</v>
      </c>
      <c r="M51" s="25">
        <f t="shared" ca="1" si="2"/>
        <v>1.9268737812727643E-4</v>
      </c>
      <c r="O51" s="30">
        <f t="shared" ca="1" si="3"/>
        <v>2.1500000000000004</v>
      </c>
      <c r="P51" s="36">
        <f ca="1"/>
        <v>-4.0623775694830595E-3</v>
      </c>
    </row>
    <row r="52" spans="2:16" x14ac:dyDescent="0.25">
      <c r="B52" s="32">
        <v>0</v>
      </c>
      <c r="C52" s="13">
        <v>45177</v>
      </c>
      <c r="D52" s="20">
        <f ca="1"/>
        <v>3.6684931506849314</v>
      </c>
      <c r="E52" s="9">
        <v>-2.4732359496804166E-3</v>
      </c>
      <c r="F52" s="17">
        <v>1.015046457711281</v>
      </c>
      <c r="H52" s="24">
        <f ca="1"/>
        <v>-2.5194714657529272E-3</v>
      </c>
      <c r="I52" s="25">
        <f t="shared" ca="1" si="0"/>
        <v>4.623551607251062E-5</v>
      </c>
      <c r="K52" s="30">
        <f ca="1"/>
        <v>-1.4745170459538454E-2</v>
      </c>
      <c r="L52" s="1">
        <f t="shared" ca="1" si="1"/>
        <v>1.0148544167769011</v>
      </c>
      <c r="M52" s="25">
        <f t="shared" ca="1" si="2"/>
        <v>1.920409343798557E-4</v>
      </c>
      <c r="O52" s="30">
        <f t="shared" ca="1" si="3"/>
        <v>2.2000000000000002</v>
      </c>
      <c r="P52" s="36">
        <f ca="1"/>
        <v>-4.0242304824623853E-3</v>
      </c>
    </row>
    <row r="53" spans="2:16" x14ac:dyDescent="0.25">
      <c r="B53" s="32">
        <v>0</v>
      </c>
      <c r="C53" s="13">
        <v>45208</v>
      </c>
      <c r="D53" s="20">
        <f ca="1"/>
        <v>3.7534246575342465</v>
      </c>
      <c r="E53" s="9">
        <v>-2.375205099482977E-3</v>
      </c>
      <c r="F53" s="17">
        <v>1.0152586666169869</v>
      </c>
      <c r="H53" s="24">
        <f ca="1"/>
        <v>-2.4141011654597055E-3</v>
      </c>
      <c r="I53" s="25">
        <f t="shared" ca="1" si="0"/>
        <v>3.889606597672849E-5</v>
      </c>
      <c r="K53" s="30">
        <f ca="1"/>
        <v>-1.4954689505179976E-2</v>
      </c>
      <c r="L53" s="1">
        <f t="shared" ca="1" si="1"/>
        <v>1.0150670703824816</v>
      </c>
      <c r="M53" s="25">
        <f t="shared" ca="1" si="2"/>
        <v>1.9159623450537566E-4</v>
      </c>
      <c r="O53" s="30">
        <f t="shared" ca="1" si="3"/>
        <v>2.25</v>
      </c>
      <c r="P53" s="36">
        <f ca="1"/>
        <v>-3.9850657590689434E-3</v>
      </c>
    </row>
    <row r="54" spans="2:16" x14ac:dyDescent="0.25">
      <c r="B54" s="32">
        <v>0</v>
      </c>
      <c r="C54" s="13">
        <v>45238</v>
      </c>
      <c r="D54" s="20">
        <f ca="1"/>
        <v>3.8356164383561642</v>
      </c>
      <c r="E54" s="9">
        <v>-2.276415127639994E-3</v>
      </c>
      <c r="F54" s="17">
        <v>1.0154556046125227</v>
      </c>
      <c r="H54" s="24">
        <f ca="1"/>
        <v>-2.3106592088746524E-3</v>
      </c>
      <c r="I54" s="25">
        <f t="shared" ca="1" si="0"/>
        <v>3.4244081234658438E-5</v>
      </c>
      <c r="K54" s="30">
        <f ca="1"/>
        <v>-1.5148867433830773E-2</v>
      </c>
      <c r="L54" s="1">
        <f t="shared" ca="1" si="1"/>
        <v>1.0152641931414752</v>
      </c>
      <c r="M54" s="25">
        <f t="shared" ca="1" si="2"/>
        <v>1.91411471047509E-4</v>
      </c>
      <c r="O54" s="30">
        <f t="shared" ca="1" si="3"/>
        <v>2.2999999999999998</v>
      </c>
      <c r="P54" s="36">
        <f ca="1"/>
        <v>-3.9449006705171872E-3</v>
      </c>
    </row>
    <row r="55" spans="2:16" x14ac:dyDescent="0.25">
      <c r="B55" s="32">
        <v>0</v>
      </c>
      <c r="C55" s="13">
        <v>45268</v>
      </c>
      <c r="D55" s="20">
        <f ca="1"/>
        <v>3.9178082191780823</v>
      </c>
      <c r="E55" s="9">
        <v>-2.1737135527155694E-3</v>
      </c>
      <c r="F55" s="17">
        <v>1.0156441958774929</v>
      </c>
      <c r="H55" s="24">
        <f ca="1"/>
        <v>-2.2058321931384857E-3</v>
      </c>
      <c r="I55" s="25">
        <f t="shared" ca="1" si="0"/>
        <v>3.2118640422916338E-5</v>
      </c>
      <c r="K55" s="30">
        <f ca="1"/>
        <v>-1.5334485949576282E-2</v>
      </c>
      <c r="L55" s="1">
        <f t="shared" ca="1" si="1"/>
        <v>1.0154526624652527</v>
      </c>
      <c r="M55" s="25">
        <f t="shared" ca="1" si="2"/>
        <v>1.9153341224020792E-4</v>
      </c>
      <c r="O55" s="30">
        <f t="shared" ca="1" si="3"/>
        <v>2.3499999999999996</v>
      </c>
      <c r="P55" s="36">
        <f ca="1"/>
        <v>-3.9037523691384172E-3</v>
      </c>
    </row>
    <row r="56" spans="2:16" x14ac:dyDescent="0.25">
      <c r="B56" s="32">
        <v>0</v>
      </c>
      <c r="C56" s="13">
        <v>45299</v>
      </c>
      <c r="D56" s="20">
        <f ca="1"/>
        <v>4.0027397260273974</v>
      </c>
      <c r="E56" s="9">
        <v>-2.0737634229032243E-3</v>
      </c>
      <c r="F56" s="17">
        <v>1.0158302479748531</v>
      </c>
      <c r="H56" s="24">
        <f ca="1"/>
        <v>-2.0961196475846743E-3</v>
      </c>
      <c r="I56" s="25">
        <f t="shared" ca="1" si="0"/>
        <v>2.2356224681449946E-5</v>
      </c>
      <c r="K56" s="30">
        <f ca="1"/>
        <v>-1.5517181356683828E-2</v>
      </c>
      <c r="L56" s="1">
        <f t="shared" ca="1" si="1"/>
        <v>1.0156381979505447</v>
      </c>
      <c r="M56" s="25">
        <f t="shared" ca="1" si="2"/>
        <v>1.9205002430844331E-4</v>
      </c>
      <c r="O56" s="30">
        <f t="shared" ca="1" si="3"/>
        <v>2.3999999999999995</v>
      </c>
      <c r="P56" s="36">
        <f ca="1"/>
        <v>-3.861637888713318E-3</v>
      </c>
    </row>
    <row r="57" spans="2:16" x14ac:dyDescent="0.25">
      <c r="B57" s="32">
        <v>0</v>
      </c>
      <c r="C57" s="13">
        <v>45330</v>
      </c>
      <c r="D57" s="20">
        <f ca="1"/>
        <v>4.087671232876712</v>
      </c>
      <c r="E57" s="9">
        <v>-1.9692314771239004E-3</v>
      </c>
      <c r="F57" s="17">
        <v>1.016007254918128</v>
      </c>
      <c r="H57" s="24">
        <f ca="1"/>
        <v>-1.9850576683365247E-3</v>
      </c>
      <c r="I57" s="25">
        <f t="shared" ca="1" si="0"/>
        <v>1.5826191212624328E-5</v>
      </c>
      <c r="K57" s="30">
        <f ca="1"/>
        <v>-1.5690500947684649E-2</v>
      </c>
      <c r="L57" s="1">
        <f t="shared" ca="1" si="1"/>
        <v>1.0158142432032231</v>
      </c>
      <c r="M57" s="25">
        <f t="shared" ca="1" si="2"/>
        <v>1.9301171490493374E-4</v>
      </c>
      <c r="O57" s="30">
        <f t="shared" ca="1" si="3"/>
        <v>2.4499999999999993</v>
      </c>
      <c r="P57" s="36">
        <f ca="1"/>
        <v>-3.8185741448044813E-3</v>
      </c>
    </row>
    <row r="58" spans="2:16" x14ac:dyDescent="0.25">
      <c r="B58" s="32">
        <v>0</v>
      </c>
      <c r="C58" s="13">
        <v>45359</v>
      </c>
      <c r="D58" s="20">
        <f ca="1"/>
        <v>4.1671232876712327</v>
      </c>
      <c r="E58" s="9">
        <v>-1.8661533175555927E-3</v>
      </c>
      <c r="F58" s="17">
        <v>1.0161645158638573</v>
      </c>
      <c r="H58" s="24">
        <f ca="1"/>
        <v>-1.8799964648590513E-3</v>
      </c>
      <c r="I58" s="25">
        <f t="shared" ca="1" si="0"/>
        <v>1.3843147303458639E-5</v>
      </c>
      <c r="K58" s="30">
        <f ca="1"/>
        <v>-1.5844051466033304E-2</v>
      </c>
      <c r="L58" s="1">
        <f t="shared" ca="1" si="1"/>
        <v>1.015970233982739</v>
      </c>
      <c r="M58" s="25">
        <f t="shared" ca="1" si="2"/>
        <v>1.9428188111825229E-4</v>
      </c>
      <c r="O58" s="30">
        <f t="shared" ca="1" si="3"/>
        <v>2.4999999999999991</v>
      </c>
      <c r="P58" s="36">
        <f ca="1"/>
        <v>-3.7745779350889463E-3</v>
      </c>
    </row>
    <row r="59" spans="2:16" x14ac:dyDescent="0.25">
      <c r="B59" s="32">
        <v>0</v>
      </c>
      <c r="C59" s="13">
        <v>45390</v>
      </c>
      <c r="D59" s="20">
        <f ca="1"/>
        <v>4.2520547945205482</v>
      </c>
      <c r="E59" s="9">
        <v>-1.7612162764987804E-3</v>
      </c>
      <c r="F59" s="17">
        <v>1.0163235513947881</v>
      </c>
      <c r="H59" s="24">
        <f ca="1"/>
        <v>-1.7665050883732677E-3</v>
      </c>
      <c r="I59" s="25">
        <f t="shared" ca="1" si="0"/>
        <v>5.2888118744873376E-6</v>
      </c>
      <c r="K59" s="30">
        <f ca="1"/>
        <v>-1.5998911351649572E-2</v>
      </c>
      <c r="L59" s="1">
        <f t="shared" ca="1" si="1"/>
        <v>1.0161275791998798</v>
      </c>
      <c r="M59" s="25">
        <f t="shared" ca="1" si="2"/>
        <v>1.9597219490830042E-4</v>
      </c>
      <c r="O59" s="30">
        <f t="shared" ca="1" si="3"/>
        <v>2.5499999999999989</v>
      </c>
      <c r="P59" s="36">
        <f ca="1"/>
        <v>-3.7296659396907268E-3</v>
      </c>
    </row>
    <row r="60" spans="2:16" x14ac:dyDescent="0.25">
      <c r="B60" s="32">
        <v>0</v>
      </c>
      <c r="C60" s="13">
        <v>45420</v>
      </c>
      <c r="D60" s="20">
        <f ca="1"/>
        <v>4.3342465753424655</v>
      </c>
      <c r="E60" s="9">
        <v>-1.6543505162183653E-3</v>
      </c>
      <c r="F60" s="17">
        <v>1.0164683651203732</v>
      </c>
      <c r="H60" s="24">
        <f ca="1"/>
        <v>-1.6555670913788901E-3</v>
      </c>
      <c r="I60" s="25">
        <f t="shared" ca="1" si="0"/>
        <v>1.2165751605247403E-6</v>
      </c>
      <c r="K60" s="30">
        <f ca="1"/>
        <v>-1.6139551719649727E-2</v>
      </c>
      <c r="L60" s="1">
        <f t="shared" ca="1" si="1"/>
        <v>1.0162704978063806</v>
      </c>
      <c r="M60" s="25">
        <f t="shared" ca="1" si="2"/>
        <v>1.9786731399262791E-4</v>
      </c>
      <c r="O60" s="30">
        <f t="shared" ca="1" si="3"/>
        <v>2.5999999999999988</v>
      </c>
      <c r="P60" s="36">
        <f ca="1"/>
        <v>-3.6838547215133455E-3</v>
      </c>
    </row>
    <row r="61" spans="2:16" x14ac:dyDescent="0.25">
      <c r="B61" s="32">
        <v>0</v>
      </c>
      <c r="C61" s="13">
        <v>45453</v>
      </c>
      <c r="D61" s="20">
        <f ca="1"/>
        <v>4.4246575342465757</v>
      </c>
      <c r="E61" s="9">
        <v>-1.5345283860399394E-3</v>
      </c>
      <c r="F61" s="17">
        <v>1.0166171278676186</v>
      </c>
      <c r="H61" s="24">
        <f ca="1"/>
        <v>-1.5323446217637893E-3</v>
      </c>
      <c r="I61" s="25">
        <f t="shared" ca="1" si="0"/>
        <v>2.1837642761501821E-6</v>
      </c>
      <c r="K61" s="30">
        <f ca="1"/>
        <v>-1.6283671933249019E-2</v>
      </c>
      <c r="L61" s="1">
        <f t="shared" ca="1" si="1"/>
        <v>1.0164169734823985</v>
      </c>
      <c r="M61" s="25">
        <f t="shared" ca="1" si="2"/>
        <v>2.0015438522014151E-4</v>
      </c>
      <c r="O61" s="30">
        <f t="shared" ca="1" si="3"/>
        <v>2.6499999999999986</v>
      </c>
      <c r="P61" s="36">
        <f ca="1"/>
        <v>-3.6371607265723656E-3</v>
      </c>
    </row>
    <row r="62" spans="2:16" x14ac:dyDescent="0.25">
      <c r="B62" s="32">
        <v>0</v>
      </c>
      <c r="C62" s="13">
        <v>45481</v>
      </c>
      <c r="D62" s="20">
        <f ca="1"/>
        <v>4.5013698630136982</v>
      </c>
      <c r="E62" s="9">
        <v>-1.4309944495762956E-3</v>
      </c>
      <c r="F62" s="17">
        <v>1.0167345346318586</v>
      </c>
      <c r="H62" s="24">
        <f ca="1"/>
        <v>-1.4268670996865334E-3</v>
      </c>
      <c r="I62" s="25">
        <f t="shared" ca="1" si="0"/>
        <v>4.1273498897621656E-6</v>
      </c>
      <c r="K62" s="30">
        <f ca="1"/>
        <v>-1.6397181214332188E-2</v>
      </c>
      <c r="L62" s="1">
        <f t="shared" ca="1" si="1"/>
        <v>1.0165323527905266</v>
      </c>
      <c r="M62" s="25">
        <f t="shared" ca="1" si="2"/>
        <v>2.0218184133202755E-4</v>
      </c>
      <c r="O62" s="30">
        <f t="shared" ca="1" si="3"/>
        <v>2.6999999999999984</v>
      </c>
      <c r="P62" s="36">
        <f ca="1"/>
        <v>-3.5896002843279211E-3</v>
      </c>
    </row>
    <row r="63" spans="2:16" x14ac:dyDescent="0.25">
      <c r="B63" s="32">
        <v>0</v>
      </c>
      <c r="C63" s="13">
        <v>45512</v>
      </c>
      <c r="D63" s="20">
        <f ca="1"/>
        <v>4.5863013698630137</v>
      </c>
      <c r="E63" s="9">
        <v>-1.3143481246571315E-3</v>
      </c>
      <c r="F63" s="17">
        <v>1.0168549026439377</v>
      </c>
      <c r="H63" s="24">
        <f ca="1"/>
        <v>-1.3091544035368136E-3</v>
      </c>
      <c r="I63" s="25">
        <f t="shared" ca="1" si="0"/>
        <v>5.1937211203178808E-6</v>
      </c>
      <c r="K63" s="30">
        <f ca="1"/>
        <v>-1.6513375178136402E-2</v>
      </c>
      <c r="L63" s="1">
        <f t="shared" ca="1" si="1"/>
        <v>1.0166504745763187</v>
      </c>
      <c r="M63" s="25">
        <f t="shared" ca="1" si="2"/>
        <v>2.0442806761900023E-4</v>
      </c>
      <c r="O63" s="30">
        <f t="shared" ca="1" si="3"/>
        <v>2.7499999999999982</v>
      </c>
      <c r="P63" s="36">
        <f ca="1"/>
        <v>-3.5411896080172534E-3</v>
      </c>
    </row>
    <row r="64" spans="2:16" x14ac:dyDescent="0.25">
      <c r="B64" s="32">
        <v>0</v>
      </c>
      <c r="C64" s="13">
        <v>45544</v>
      </c>
      <c r="D64" s="20">
        <f ca="1"/>
        <v>4.6739726027397257</v>
      </c>
      <c r="E64" s="9">
        <v>-1.1916882391284915E-3</v>
      </c>
      <c r="F64" s="17">
        <v>1.0169683563025063</v>
      </c>
      <c r="H64" s="24">
        <f ca="1"/>
        <v>-1.1866758947232216E-3</v>
      </c>
      <c r="I64" s="25">
        <f t="shared" ca="1" si="0"/>
        <v>5.0123444052699133E-6</v>
      </c>
      <c r="K64" s="30">
        <f ca="1"/>
        <v>-1.662278839557747E-2</v>
      </c>
      <c r="L64" s="1">
        <f t="shared" ca="1" si="1"/>
        <v>1.0167617156612667</v>
      </c>
      <c r="M64" s="25">
        <f t="shared" ca="1" si="2"/>
        <v>2.0664064123954162E-4</v>
      </c>
      <c r="O64" s="30">
        <f t="shared" ca="1" si="3"/>
        <v>2.799999999999998</v>
      </c>
      <c r="P64" s="36">
        <f ca="1"/>
        <v>-3.4919447949872348E-3</v>
      </c>
    </row>
    <row r="65" spans="2:16" x14ac:dyDescent="0.25">
      <c r="B65" s="32">
        <v>0</v>
      </c>
      <c r="C65" s="13">
        <v>45573</v>
      </c>
      <c r="D65" s="20">
        <f ca="1"/>
        <v>4.7534246575342465</v>
      </c>
      <c r="E65" s="9">
        <v>-1.0785501934364547E-3</v>
      </c>
      <c r="F65" s="17">
        <v>1.0170615250977166</v>
      </c>
      <c r="H65" s="24">
        <f ca="1"/>
        <v>-1.0748830407347912E-3</v>
      </c>
      <c r="I65" s="25">
        <f t="shared" ca="1" si="0"/>
        <v>3.6671527016635466E-6</v>
      </c>
      <c r="K65" s="30">
        <f ca="1"/>
        <v>-1.6712635995514365E-2</v>
      </c>
      <c r="L65" s="1">
        <f t="shared" ca="1" si="1"/>
        <v>1.0168530733652004</v>
      </c>
      <c r="M65" s="25">
        <f t="shared" ca="1" si="2"/>
        <v>2.0845173251626825E-4</v>
      </c>
      <c r="O65" s="30">
        <f t="shared" ca="1" si="3"/>
        <v>2.8499999999999979</v>
      </c>
      <c r="P65" s="36">
        <f ca="1"/>
        <v>-3.4418818270269087E-3</v>
      </c>
    </row>
    <row r="66" spans="2:16" x14ac:dyDescent="0.25">
      <c r="B66" s="32">
        <v>0</v>
      </c>
      <c r="C66" s="13">
        <v>45604</v>
      </c>
      <c r="D66" s="20">
        <f ca="1"/>
        <v>4.838356164383562</v>
      </c>
      <c r="E66" s="9">
        <v>-9.5147385058785697E-4</v>
      </c>
      <c r="F66" s="17">
        <v>1.0171507900462169</v>
      </c>
      <c r="H66" s="24">
        <f ca="1"/>
        <v>-9.5459781947170139E-4</v>
      </c>
      <c r="I66" s="25">
        <f t="shared" ca="1" si="0"/>
        <v>3.1239688838444147E-6</v>
      </c>
      <c r="K66" s="30">
        <f ca="1"/>
        <v>-1.679882495889273E-2</v>
      </c>
      <c r="L66" s="1">
        <f t="shared" ca="1" si="1"/>
        <v>1.0169407186544759</v>
      </c>
      <c r="M66" s="25">
        <f t="shared" ca="1" si="2"/>
        <v>2.1007139174100686E-4</v>
      </c>
      <c r="O66" s="30">
        <f t="shared" ca="1" si="3"/>
        <v>2.8999999999999977</v>
      </c>
      <c r="P66" s="36">
        <f ca="1"/>
        <v>-3.39101657070002E-3</v>
      </c>
    </row>
    <row r="67" spans="2:16" x14ac:dyDescent="0.25">
      <c r="B67" s="32">
        <v>0</v>
      </c>
      <c r="C67" s="13">
        <v>45635</v>
      </c>
      <c r="D67" s="20">
        <f ca="1"/>
        <v>4.9232876712328766</v>
      </c>
      <c r="E67" s="9">
        <v>-8.3016925945576315E-4</v>
      </c>
      <c r="F67" s="17">
        <v>1.0172291875176378</v>
      </c>
      <c r="H67" s="24">
        <f ca="1"/>
        <v>-8.3355956631639351E-4</v>
      </c>
      <c r="I67" s="25">
        <f t="shared" ca="1" si="0"/>
        <v>3.3903068606303639E-6</v>
      </c>
      <c r="K67" s="30">
        <f ca="1"/>
        <v>-1.6874765540087613E-2</v>
      </c>
      <c r="L67" s="1">
        <f t="shared" ca="1" si="1"/>
        <v>1.0170179486560997</v>
      </c>
      <c r="M67" s="25">
        <f t="shared" ca="1" si="2"/>
        <v>2.1123886153806559E-4</v>
      </c>
      <c r="O67" s="30">
        <f t="shared" ca="1" si="3"/>
        <v>2.9499999999999975</v>
      </c>
      <c r="P67" s="36">
        <f ca="1"/>
        <v>-3.3393647776775452E-3</v>
      </c>
    </row>
    <row r="68" spans="2:16" x14ac:dyDescent="0.25">
      <c r="B68" s="32">
        <v>0</v>
      </c>
      <c r="C68" s="13">
        <v>45665</v>
      </c>
      <c r="D68" s="20">
        <f ca="1"/>
        <v>5.0054794520547947</v>
      </c>
      <c r="E68" s="9">
        <v>-7.0675147194621424E-4</v>
      </c>
      <c r="F68" s="17">
        <v>1.0172945206446069</v>
      </c>
      <c r="H68" s="24">
        <f ca="1"/>
        <v>-7.1576149716059989E-4</v>
      </c>
      <c r="I68" s="25">
        <f t="shared" ca="1" si="0"/>
        <v>9.0100252143856434E-6</v>
      </c>
      <c r="K68" s="30">
        <f ca="1"/>
        <v>-1.6938440568095108E-2</v>
      </c>
      <c r="L68" s="1">
        <f t="shared" ca="1" si="1"/>
        <v>1.0170827093642627</v>
      </c>
      <c r="M68" s="25">
        <f t="shared" ca="1" si="2"/>
        <v>2.1181128034419849E-4</v>
      </c>
      <c r="O68" s="30">
        <f t="shared" ca="1" si="3"/>
        <v>2.9999999999999973</v>
      </c>
      <c r="P68" s="36">
        <f ca="1"/>
        <v>-3.2869420850702214E-3</v>
      </c>
    </row>
    <row r="69" spans="2:16" x14ac:dyDescent="0.25">
      <c r="B69" s="32">
        <v>0</v>
      </c>
      <c r="C69" s="13">
        <v>45698</v>
      </c>
      <c r="D69" s="20">
        <f ca="1"/>
        <v>5.095890410958904</v>
      </c>
      <c r="E69" s="9">
        <v>-5.7017481943875557E-4</v>
      </c>
      <c r="F69" s="17">
        <v>1.0173542457571552</v>
      </c>
      <c r="H69" s="24">
        <f ca="1"/>
        <v>-5.8548921738665752E-4</v>
      </c>
      <c r="I69" s="25">
        <f t="shared" ca="1" si="0"/>
        <v>1.5314397947901949E-5</v>
      </c>
      <c r="K69" s="30">
        <f ca="1"/>
        <v>-1.6997269478471036E-2</v>
      </c>
      <c r="L69" s="1">
        <f t="shared" ca="1" si="1"/>
        <v>1.0171425449918319</v>
      </c>
      <c r="M69" s="25">
        <f t="shared" ca="1" si="2"/>
        <v>2.1170076532328608E-4</v>
      </c>
      <c r="O69" s="30">
        <f t="shared" ca="1" si="3"/>
        <v>3.0499999999999972</v>
      </c>
      <c r="P69" s="36">
        <f ca="1"/>
        <v>-3.2337640157610865E-3</v>
      </c>
    </row>
    <row r="70" spans="2:16" x14ac:dyDescent="0.25">
      <c r="B70" s="32">
        <v>0</v>
      </c>
      <c r="C70" s="13">
        <v>45726</v>
      </c>
      <c r="D70" s="20">
        <f ca="1"/>
        <v>5.1726027397260275</v>
      </c>
      <c r="E70" s="9">
        <v>-4.5507426203358014E-4</v>
      </c>
      <c r="F70" s="17">
        <v>1.0173949672232678</v>
      </c>
      <c r="H70" s="24">
        <f ca="1"/>
        <v>-4.7443188340826563E-4</v>
      </c>
      <c r="I70" s="25">
        <f t="shared" ca="1" si="0"/>
        <v>1.9357621374685495E-5</v>
      </c>
      <c r="K70" s="30">
        <f ca="1"/>
        <v>-1.7037926915699535E-2</v>
      </c>
      <c r="L70" s="1">
        <f t="shared" ca="1" si="1"/>
        <v>1.0171839002417009</v>
      </c>
      <c r="M70" s="25">
        <f t="shared" ca="1" si="2"/>
        <v>2.1106698156692083E-4</v>
      </c>
      <c r="O70" s="30">
        <f t="shared" ca="1" si="3"/>
        <v>3.099999999999997</v>
      </c>
      <c r="P70" s="36">
        <f ca="1"/>
        <v>-3.1798459787380036E-3</v>
      </c>
    </row>
    <row r="71" spans="2:16" x14ac:dyDescent="0.25">
      <c r="B71" s="32">
        <v>0</v>
      </c>
      <c r="C71" s="13">
        <v>45755</v>
      </c>
      <c r="D71" s="20">
        <f ca="1"/>
        <v>5.2520547945205482</v>
      </c>
      <c r="E71" s="9">
        <v>-3.3661994383932199E-4</v>
      </c>
      <c r="F71" s="17">
        <v>1.0174275722713968</v>
      </c>
      <c r="H71" s="24">
        <f ca="1"/>
        <v>-3.5894630332927209E-4</v>
      </c>
      <c r="I71" s="25">
        <f t="shared" ca="1" si="0"/>
        <v>2.2326359489950099E-5</v>
      </c>
      <c r="K71" s="30">
        <f ca="1"/>
        <v>-1.7071036692090966E-2</v>
      </c>
      <c r="L71" s="1">
        <f t="shared" ca="1" si="1"/>
        <v>1.0172175795307405</v>
      </c>
      <c r="M71" s="25">
        <f t="shared" ca="1" si="2"/>
        <v>2.0999274065625073E-4</v>
      </c>
      <c r="O71" s="30">
        <f t="shared" ca="1" si="3"/>
        <v>3.1499999999999968</v>
      </c>
      <c r="P71" s="36">
        <f ca="1"/>
        <v>-3.1252032694261988E-3</v>
      </c>
    </row>
    <row r="72" spans="2:16" x14ac:dyDescent="0.25">
      <c r="B72" s="32">
        <v>0</v>
      </c>
      <c r="C72" s="13">
        <v>45785</v>
      </c>
      <c r="D72" s="20">
        <f ca="1"/>
        <v>5.3342465753424655</v>
      </c>
      <c r="E72" s="9">
        <v>-2.1512786392282568E-4</v>
      </c>
      <c r="F72" s="17">
        <v>1.017451124872885</v>
      </c>
      <c r="H72" s="24">
        <f ca="1"/>
        <v>-2.3902924180416442E-4</v>
      </c>
      <c r="I72" s="25">
        <f t="shared" ref="I72:I135" ca="1" si="4">SQRT((H72-E72)^2)</f>
        <v>2.3901377881338742E-5</v>
      </c>
      <c r="K72" s="30">
        <f ca="1"/>
        <v>-1.7095614000149376E-2</v>
      </c>
      <c r="L72" s="1">
        <f t="shared" ref="L72:L135" ca="1" si="5">EXP(-K72)</f>
        <v>1.0172425803077798</v>
      </c>
      <c r="M72" s="25">
        <f t="shared" ref="M72:M135" ca="1" si="6">SQRT((L72-F72)^2)</f>
        <v>2.0854456510521757E-4</v>
      </c>
      <c r="O72" s="30">
        <f t="shared" ca="1" si="3"/>
        <v>3.1999999999999966</v>
      </c>
      <c r="P72" s="36">
        <f ca="1"/>
        <v>-3.0698510700207871E-3</v>
      </c>
    </row>
    <row r="73" spans="2:16" x14ac:dyDescent="0.25">
      <c r="B73" s="32">
        <v>0</v>
      </c>
      <c r="C73" s="13">
        <v>45817</v>
      </c>
      <c r="D73" s="20">
        <f ca="1"/>
        <v>5.4219178082191783</v>
      </c>
      <c r="E73" s="9">
        <v>-8.7021923347294354E-5</v>
      </c>
      <c r="F73" s="17">
        <v>1.0174649576925483</v>
      </c>
      <c r="H73" s="24">
        <f ca="1"/>
        <v>-1.1066659246826595E-4</v>
      </c>
      <c r="I73" s="25">
        <f t="shared" ca="1" si="4"/>
        <v>2.3644669120971595E-5</v>
      </c>
      <c r="K73" s="30">
        <f ca="1"/>
        <v>-1.7110946336877902E-2</v>
      </c>
      <c r="L73" s="1">
        <f t="shared" ca="1" si="5"/>
        <v>1.0172581771331233</v>
      </c>
      <c r="M73" s="25">
        <f t="shared" ca="1" si="6"/>
        <v>2.0678055942502382E-4</v>
      </c>
      <c r="O73" s="30">
        <f t="shared" ref="O73:O136" ca="1" si="7">MIN(O72+$P$5,$D$297)</f>
        <v>3.2499999999999964</v>
      </c>
      <c r="P73" s="36">
        <f ca="1"/>
        <v>-3.0138044498193108E-3</v>
      </c>
    </row>
    <row r="74" spans="2:16" x14ac:dyDescent="0.25">
      <c r="B74" s="32">
        <v>0</v>
      </c>
      <c r="C74" s="13">
        <v>45846</v>
      </c>
      <c r="D74" s="20">
        <f ca="1"/>
        <v>5.5013698630136982</v>
      </c>
      <c r="E74" s="9">
        <v>2.7752459850201132E-5</v>
      </c>
      <c r="F74" s="17">
        <v>1.0174675402633617</v>
      </c>
      <c r="H74" s="24">
        <f ca="1"/>
        <v>6.0182676251160675E-6</v>
      </c>
      <c r="I74" s="25">
        <f t="shared" ca="1" si="4"/>
        <v>2.1734192225085064E-5</v>
      </c>
      <c r="K74" s="30">
        <f ca="1"/>
        <v>-1.7115105694999026E-2</v>
      </c>
      <c r="L74" s="1">
        <f t="shared" ca="1" si="5"/>
        <v>1.0172624082829831</v>
      </c>
      <c r="M74" s="25">
        <f t="shared" ca="1" si="6"/>
        <v>2.0513198037863667E-4</v>
      </c>
      <c r="O74" s="30">
        <f t="shared" ca="1" si="7"/>
        <v>3.2999999999999963</v>
      </c>
      <c r="P74" s="36">
        <f ca="1"/>
        <v>-2.9570783655542662E-3</v>
      </c>
    </row>
    <row r="75" spans="2:16" x14ac:dyDescent="0.25">
      <c r="B75" s="32">
        <v>0</v>
      </c>
      <c r="C75" s="13">
        <v>45877</v>
      </c>
      <c r="D75" s="20">
        <f ca="1"/>
        <v>5.5863013698630137</v>
      </c>
      <c r="E75" s="9">
        <v>1.5270036256786264E-4</v>
      </c>
      <c r="F75" s="17">
        <v>1.0174599617460405</v>
      </c>
      <c r="H75" s="24">
        <f ca="1"/>
        <v>1.310767385411301E-4</v>
      </c>
      <c r="I75" s="25">
        <f t="shared" ca="1" si="4"/>
        <v>2.1623624026732543E-5</v>
      </c>
      <c r="K75" s="30">
        <f ca="1"/>
        <v>-1.7109286070632213E-2</v>
      </c>
      <c r="L75" s="1">
        <f t="shared" ca="1" si="5"/>
        <v>1.0172564882151107</v>
      </c>
      <c r="M75" s="25">
        <f t="shared" ca="1" si="6"/>
        <v>2.0347353092975418E-4</v>
      </c>
      <c r="O75" s="30">
        <f t="shared" ca="1" si="7"/>
        <v>3.3499999999999961</v>
      </c>
      <c r="P75" s="36">
        <f ca="1"/>
        <v>-2.8996876617256389E-3</v>
      </c>
    </row>
    <row r="76" spans="2:16" x14ac:dyDescent="0.25">
      <c r="B76" s="32">
        <v>0</v>
      </c>
      <c r="C76" s="13">
        <v>45908</v>
      </c>
      <c r="D76" s="20">
        <f ca="1"/>
        <v>5.6712328767123283</v>
      </c>
      <c r="E76" s="9">
        <v>2.679692280870974E-4</v>
      </c>
      <c r="F76" s="17">
        <v>1.0174418574419077</v>
      </c>
      <c r="H76" s="24">
        <f ca="1"/>
        <v>2.5642403542451287E-4</v>
      </c>
      <c r="I76" s="25">
        <f t="shared" ca="1" si="4"/>
        <v>1.154519266258452E-5</v>
      </c>
      <c r="K76" s="30">
        <f ca="1"/>
        <v>-1.7092832429116109E-2</v>
      </c>
      <c r="L76" s="1">
        <f t="shared" ca="1" si="5"/>
        <v>1.0172397507792199</v>
      </c>
      <c r="M76" s="25">
        <f t="shared" ca="1" si="6"/>
        <v>2.0210666268782873E-4</v>
      </c>
      <c r="O76" s="30">
        <f t="shared" ca="1" si="7"/>
        <v>3.3999999999999959</v>
      </c>
      <c r="P76" s="36">
        <f ca="1"/>
        <v>-2.8416470709334328E-3</v>
      </c>
    </row>
    <row r="77" spans="2:16" x14ac:dyDescent="0.25">
      <c r="B77" s="32">
        <v>0</v>
      </c>
      <c r="C77" s="13">
        <v>45938</v>
      </c>
      <c r="D77" s="20">
        <f ca="1"/>
        <v>5.7534246575342465</v>
      </c>
      <c r="E77" s="9">
        <v>3.8142958407754867E-4</v>
      </c>
      <c r="F77" s="17">
        <v>1.0174144751758121</v>
      </c>
      <c r="H77" s="24">
        <f ca="1"/>
        <v>3.7795699089480424E-4</v>
      </c>
      <c r="I77" s="25">
        <f t="shared" ca="1" si="4"/>
        <v>3.4725931827444298E-6</v>
      </c>
      <c r="K77" s="30">
        <f ca="1"/>
        <v>-1.7066763366615466E-2</v>
      </c>
      <c r="L77" s="1">
        <f t="shared" ca="1" si="5"/>
        <v>1.0172132326382317</v>
      </c>
      <c r="M77" s="25">
        <f t="shared" ca="1" si="6"/>
        <v>2.0124253758035948E-4</v>
      </c>
      <c r="O77" s="30">
        <f t="shared" ca="1" si="7"/>
        <v>3.4499999999999957</v>
      </c>
      <c r="P77" s="36">
        <f ca="1"/>
        <v>-2.7829712142102068E-3</v>
      </c>
    </row>
    <row r="78" spans="2:16" x14ac:dyDescent="0.25">
      <c r="B78" s="32">
        <v>0</v>
      </c>
      <c r="C78" s="13">
        <v>45971</v>
      </c>
      <c r="D78" s="20">
        <f ca="1"/>
        <v>5.8438356164383558</v>
      </c>
      <c r="E78" s="9">
        <v>5.0384700044140318E-4</v>
      </c>
      <c r="F78" s="17">
        <v>1.0173733451463298</v>
      </c>
      <c r="H78" s="24">
        <f ca="1"/>
        <v>5.1185116207333589E-4</v>
      </c>
      <c r="I78" s="25">
        <f t="shared" ca="1" si="4"/>
        <v>8.004161631932705E-6</v>
      </c>
      <c r="K78" s="30">
        <f ca="1"/>
        <v>-1.7026540601217395E-2</v>
      </c>
      <c r="L78" s="1">
        <f t="shared" ca="1" si="5"/>
        <v>1.0171723183318642</v>
      </c>
      <c r="M78" s="25">
        <f t="shared" ca="1" si="6"/>
        <v>2.0102681446565462E-4</v>
      </c>
      <c r="O78" s="30">
        <f t="shared" ca="1" si="7"/>
        <v>3.4999999999999956</v>
      </c>
      <c r="P78" s="36">
        <f ca="1"/>
        <v>-2.7236746013536038E-3</v>
      </c>
    </row>
    <row r="79" spans="2:16" x14ac:dyDescent="0.25">
      <c r="B79" s="32">
        <v>0</v>
      </c>
      <c r="C79" s="13">
        <v>45999</v>
      </c>
      <c r="D79" s="20">
        <f ca="1"/>
        <v>5.9205479452054792</v>
      </c>
      <c r="E79" s="9">
        <v>6.0548303866713078E-4</v>
      </c>
      <c r="F79" s="17">
        <v>1.0173295861273657</v>
      </c>
      <c r="H79" s="24">
        <f ca="1"/>
        <v>6.2558817957611369E-4</v>
      </c>
      <c r="I79" s="25">
        <f t="shared" ca="1" si="4"/>
        <v>2.0105140908982912E-5</v>
      </c>
      <c r="K79" s="30">
        <f ca="1"/>
        <v>-1.6982913429969812E-2</v>
      </c>
      <c r="L79" s="1">
        <f t="shared" ca="1" si="5"/>
        <v>1.0171279429489373</v>
      </c>
      <c r="M79" s="25">
        <f t="shared" ca="1" si="6"/>
        <v>2.0164317842841228E-4</v>
      </c>
      <c r="O79" s="30">
        <f t="shared" ca="1" si="7"/>
        <v>3.5499999999999954</v>
      </c>
      <c r="P79" s="36">
        <f ca="1"/>
        <v>-2.6637716312588803E-3</v>
      </c>
    </row>
    <row r="80" spans="2:16" x14ac:dyDescent="0.25">
      <c r="B80" s="32">
        <v>0</v>
      </c>
      <c r="C80" s="13">
        <v>46030</v>
      </c>
      <c r="D80" s="20">
        <f ca="1"/>
        <v>6.0054794520547947</v>
      </c>
      <c r="E80" s="9">
        <v>7.1561913275164282E-4</v>
      </c>
      <c r="F80" s="17">
        <v>1.0172718586243557</v>
      </c>
      <c r="H80" s="24">
        <f ca="1"/>
        <v>7.5160671955486354E-4</v>
      </c>
      <c r="I80" s="25">
        <f t="shared" ca="1" si="4"/>
        <v>3.5987586803220726E-5</v>
      </c>
      <c r="K80" s="30">
        <f ca="1"/>
        <v>-1.6924430368815361E-2</v>
      </c>
      <c r="L80" s="1">
        <f t="shared" ca="1" si="5"/>
        <v>1.0170684599326394</v>
      </c>
      <c r="M80" s="25">
        <f t="shared" ca="1" si="6"/>
        <v>2.0339869171626113E-4</v>
      </c>
      <c r="O80" s="30">
        <f t="shared" ca="1" si="7"/>
        <v>3.5999999999999952</v>
      </c>
      <c r="P80" s="36">
        <f ca="1"/>
        <v>-2.6032765922514448E-3</v>
      </c>
    </row>
    <row r="81" spans="2:16" x14ac:dyDescent="0.25">
      <c r="B81" s="32">
        <v>0</v>
      </c>
      <c r="C81" s="13">
        <v>46062</v>
      </c>
      <c r="D81" s="20">
        <f ca="1"/>
        <v>6.0931506849315067</v>
      </c>
      <c r="E81" s="9">
        <v>8.2856889085838545E-4</v>
      </c>
      <c r="F81" s="17">
        <v>1.0172022193104082</v>
      </c>
      <c r="H81" s="24">
        <f ca="1"/>
        <v>8.8174878477665307E-4</v>
      </c>
      <c r="I81" s="25">
        <f t="shared" ca="1" si="4"/>
        <v>5.3179893918267628E-5</v>
      </c>
      <c r="K81" s="30">
        <f ca="1"/>
        <v>-1.6852831479595879E-2</v>
      </c>
      <c r="L81" s="1">
        <f t="shared" ca="1" si="5"/>
        <v>1.0169956415675361</v>
      </c>
      <c r="M81" s="25">
        <f t="shared" ca="1" si="6"/>
        <v>2.0657774287213826E-4</v>
      </c>
      <c r="O81" s="30">
        <f t="shared" ca="1" si="7"/>
        <v>3.649999999999995</v>
      </c>
      <c r="P81" s="36">
        <f ca="1"/>
        <v>-2.5422036624193831E-3</v>
      </c>
    </row>
    <row r="82" spans="2:16" x14ac:dyDescent="0.25">
      <c r="B82" s="32">
        <v>0</v>
      </c>
      <c r="C82" s="13">
        <v>46090</v>
      </c>
      <c r="D82" s="20">
        <f ca="1"/>
        <v>6.1698630136986301</v>
      </c>
      <c r="E82" s="9">
        <v>9.2909789086256149E-4</v>
      </c>
      <c r="F82" s="17">
        <v>1.0171328448419521</v>
      </c>
      <c r="H82" s="24">
        <f ca="1"/>
        <v>9.9563344467250032E-4</v>
      </c>
      <c r="I82" s="25">
        <f t="shared" ca="1" si="4"/>
        <v>6.6535553809938825E-5</v>
      </c>
      <c r="K82" s="30">
        <f ca="1"/>
        <v>-1.6780822245639634E-2</v>
      </c>
      <c r="L82" s="1">
        <f t="shared" ca="1" si="5"/>
        <v>1.0169224111271156</v>
      </c>
      <c r="M82" s="25">
        <f t="shared" ca="1" si="6"/>
        <v>2.1043371483653317E-4</v>
      </c>
      <c r="O82" s="30">
        <f t="shared" ca="1" si="7"/>
        <v>3.6999999999999948</v>
      </c>
      <c r="P82" s="36">
        <f ca="1"/>
        <v>-2.4805669099460066E-3</v>
      </c>
    </row>
    <row r="83" spans="2:16" x14ac:dyDescent="0.25">
      <c r="B83" s="32">
        <v>0</v>
      </c>
      <c r="C83" s="13">
        <v>46120</v>
      </c>
      <c r="D83" s="20">
        <f ca="1"/>
        <v>6.2520547945205482</v>
      </c>
      <c r="E83" s="9">
        <v>1.0385954908896419E-3</v>
      </c>
      <c r="F83" s="17">
        <v>1.0170496242092006</v>
      </c>
      <c r="H83" s="24">
        <f ca="1"/>
        <v>1.1176248545923355E-3</v>
      </c>
      <c r="I83" s="25">
        <f t="shared" ca="1" si="4"/>
        <v>7.9029363702693605E-5</v>
      </c>
      <c r="K83" s="30">
        <f ca="1"/>
        <v>-1.6693975687465997E-2</v>
      </c>
      <c r="L83" s="1">
        <f t="shared" ca="1" si="5"/>
        <v>1.0168340987506481</v>
      </c>
      <c r="M83" s="25">
        <f t="shared" ca="1" si="6"/>
        <v>2.1552545855252347E-4</v>
      </c>
      <c r="O83" s="30">
        <f t="shared" ca="1" si="7"/>
        <v>3.7499999999999947</v>
      </c>
      <c r="P83" s="36">
        <f ca="1"/>
        <v>-2.4183802934423329E-3</v>
      </c>
    </row>
    <row r="84" spans="2:16" x14ac:dyDescent="0.25">
      <c r="B84" s="32">
        <v>0</v>
      </c>
      <c r="C84" s="13">
        <v>46150</v>
      </c>
      <c r="D84" s="20">
        <f ca="1"/>
        <v>6.3342465753424655</v>
      </c>
      <c r="E84" s="9">
        <v>1.1538273134537691E-3</v>
      </c>
      <c r="F84" s="17">
        <v>1.016957051802355</v>
      </c>
      <c r="H84" s="24">
        <f ca="1"/>
        <v>1.2395490629007564E-3</v>
      </c>
      <c r="I84" s="25">
        <f t="shared" ca="1" si="4"/>
        <v>8.5721749446987299E-5</v>
      </c>
      <c r="K84" s="30">
        <f ca="1"/>
        <v>-1.6597104933215385E-2</v>
      </c>
      <c r="L84" s="1">
        <f t="shared" ca="1" si="5"/>
        <v>1.0167356020353568</v>
      </c>
      <c r="M84" s="25">
        <f t="shared" ca="1" si="6"/>
        <v>2.2144976699811636E-4</v>
      </c>
      <c r="O84" s="30">
        <f t="shared" ca="1" si="7"/>
        <v>3.7999999999999945</v>
      </c>
      <c r="P84" s="36">
        <f ca="1"/>
        <v>-2.3556576622796939E-3</v>
      </c>
    </row>
    <row r="85" spans="2:16" x14ac:dyDescent="0.25">
      <c r="B85" s="32">
        <v>0</v>
      </c>
      <c r="C85" s="13">
        <v>46181</v>
      </c>
      <c r="D85" s="20">
        <f ca="1"/>
        <v>6.419178082191781</v>
      </c>
      <c r="E85" s="9">
        <v>1.2675003703412752E-3</v>
      </c>
      <c r="F85" s="17">
        <v>1.0168513850380509</v>
      </c>
      <c r="H85" s="24">
        <f ca="1"/>
        <v>1.3654258357743807E-3</v>
      </c>
      <c r="I85" s="25">
        <f t="shared" ca="1" si="4"/>
        <v>9.7925465433105477E-5</v>
      </c>
      <c r="K85" s="30">
        <f ca="1"/>
        <v>-1.6486481763103092E-2</v>
      </c>
      <c r="L85" s="1">
        <f t="shared" ca="1" si="5"/>
        <v>1.016623133740808</v>
      </c>
      <c r="M85" s="25">
        <f t="shared" ca="1" si="6"/>
        <v>2.282512972429096E-4</v>
      </c>
      <c r="O85" s="30">
        <f t="shared" ca="1" si="7"/>
        <v>3.8499999999999943</v>
      </c>
      <c r="P85" s="36">
        <f ca="1"/>
        <v>-2.2924127569222195E-3</v>
      </c>
    </row>
    <row r="86" spans="2:16" x14ac:dyDescent="0.25">
      <c r="B86" s="32">
        <v>0</v>
      </c>
      <c r="C86" s="13">
        <v>46211</v>
      </c>
      <c r="D86" s="20">
        <f ca="1"/>
        <v>6.5013698630136982</v>
      </c>
      <c r="E86" s="9">
        <v>1.3833140776855532E-3</v>
      </c>
      <c r="F86" s="17">
        <v>1.0167392582246446</v>
      </c>
      <c r="H86" s="24">
        <f ca="1"/>
        <v>1.487095130373797E-3</v>
      </c>
      <c r="I86" s="25">
        <f t="shared" ca="1" si="4"/>
        <v>1.037810526882438E-4</v>
      </c>
      <c r="K86" s="30">
        <f ca="1"/>
        <v>-1.636925375297818E-2</v>
      </c>
      <c r="L86" s="1">
        <f t="shared" ca="1" si="5"/>
        <v>1.0165039640189439</v>
      </c>
      <c r="M86" s="25">
        <f t="shared" ca="1" si="6"/>
        <v>2.3529420570067572E-4</v>
      </c>
      <c r="O86" s="30">
        <f t="shared" ca="1" si="7"/>
        <v>3.8999999999999941</v>
      </c>
      <c r="P86" s="36">
        <f ca="1"/>
        <v>-2.2286592092593755E-3</v>
      </c>
    </row>
    <row r="87" spans="2:16" x14ac:dyDescent="0.25">
      <c r="B87" s="32">
        <v>0</v>
      </c>
      <c r="C87" s="13">
        <v>46244</v>
      </c>
      <c r="D87" s="20">
        <f ca="1"/>
        <v>6.5917808219178085</v>
      </c>
      <c r="E87" s="9">
        <v>1.5132963903588235E-3</v>
      </c>
      <c r="F87" s="17">
        <v>1.016604489405847</v>
      </c>
      <c r="H87" s="24">
        <f ca="1"/>
        <v>1.6207195326797461E-3</v>
      </c>
      <c r="I87" s="25">
        <f t="shared" ca="1" si="4"/>
        <v>1.0742314232092256E-4</v>
      </c>
      <c r="K87" s="30">
        <f ca="1"/>
        <v>-1.62287616559398E-2</v>
      </c>
      <c r="L87" s="1">
        <f t="shared" ca="1" si="5"/>
        <v>1.0163611632768137</v>
      </c>
      <c r="M87" s="25">
        <f t="shared" ca="1" si="6"/>
        <v>2.4332612903332773E-4</v>
      </c>
      <c r="O87" s="30">
        <f t="shared" ca="1" si="7"/>
        <v>3.949999999999994</v>
      </c>
      <c r="P87" s="36">
        <f ca="1"/>
        <v>-2.164410542938503E-3</v>
      </c>
    </row>
    <row r="88" spans="2:16" x14ac:dyDescent="0.25">
      <c r="B88" s="32">
        <v>0</v>
      </c>
      <c r="C88" s="13">
        <v>46273</v>
      </c>
      <c r="D88" s="20">
        <f ca="1"/>
        <v>6.6712328767123283</v>
      </c>
      <c r="E88" s="9">
        <v>1.6298740111156283E-3</v>
      </c>
      <c r="F88" s="17">
        <v>1.0164759753728982</v>
      </c>
      <c r="H88" s="24">
        <f ca="1"/>
        <v>1.7379265405682574E-3</v>
      </c>
      <c r="I88" s="25">
        <f t="shared" ca="1" si="4"/>
        <v>1.0805252945262907E-4</v>
      </c>
      <c r="K88" s="30">
        <f ca="1"/>
        <v>-1.6095334506396636E-2</v>
      </c>
      <c r="L88" s="1">
        <f t="shared" ca="1" si="5"/>
        <v>1.0162255621505285</v>
      </c>
      <c r="M88" s="25">
        <f t="shared" ca="1" si="6"/>
        <v>2.5041322236973862E-4</v>
      </c>
      <c r="O88" s="30">
        <f t="shared" ca="1" si="7"/>
        <v>3.9999999999999938</v>
      </c>
      <c r="P88" s="36">
        <f ca="1"/>
        <v>-2.0996801736973482E-3</v>
      </c>
    </row>
    <row r="89" spans="2:16" x14ac:dyDescent="0.25">
      <c r="B89" s="32">
        <v>0</v>
      </c>
      <c r="C89" s="13">
        <v>46303</v>
      </c>
      <c r="D89" s="20">
        <f ca="1"/>
        <v>6.7534246575342465</v>
      </c>
      <c r="E89" s="9">
        <v>1.7527907952266753E-3</v>
      </c>
      <c r="F89" s="17">
        <v>1.0163329093928235</v>
      </c>
      <c r="H89" s="24">
        <f ca="1"/>
        <v>1.8589220533493408E-3</v>
      </c>
      <c r="I89" s="25">
        <f t="shared" ca="1" si="4"/>
        <v>1.0613125812266558E-4</v>
      </c>
      <c r="K89" s="30">
        <f ca="1"/>
        <v>-1.5947516929023714E-2</v>
      </c>
      <c r="L89" s="1">
        <f t="shared" ca="1" si="5"/>
        <v>1.0160753572516026</v>
      </c>
      <c r="M89" s="25">
        <f t="shared" ca="1" si="6"/>
        <v>2.5755214122091807E-4</v>
      </c>
      <c r="O89" s="30">
        <f t="shared" ca="1" si="7"/>
        <v>4.0499999999999936</v>
      </c>
      <c r="P89" s="36">
        <f ca="1"/>
        <v>-2.0344814096965903E-3</v>
      </c>
    </row>
    <row r="90" spans="2:16" x14ac:dyDescent="0.25">
      <c r="B90" s="32">
        <v>0</v>
      </c>
      <c r="C90" s="13">
        <v>46335</v>
      </c>
      <c r="D90" s="20">
        <f ca="1"/>
        <v>6.8410958904109593</v>
      </c>
      <c r="E90" s="9">
        <v>1.8866238415512875E-3</v>
      </c>
      <c r="F90" s="17">
        <v>1.016168740729481</v>
      </c>
      <c r="H90" s="24">
        <f ca="1"/>
        <v>1.987660994915116E-3</v>
      </c>
      <c r="I90" s="25">
        <f t="shared" ca="1" si="4"/>
        <v>1.0103715336382858E-4</v>
      </c>
      <c r="K90" s="30">
        <f ca="1"/>
        <v>-1.5778897006680087E-2</v>
      </c>
      <c r="L90" s="1">
        <f t="shared" ca="1" si="5"/>
        <v>1.0159040411478275</v>
      </c>
      <c r="M90" s="25">
        <f t="shared" ca="1" si="6"/>
        <v>2.6469958165353802E-4</v>
      </c>
      <c r="O90" s="30">
        <f t="shared" ca="1" si="7"/>
        <v>4.0999999999999934</v>
      </c>
      <c r="P90" s="36">
        <f ca="1"/>
        <v>-1.9688274518523787E-3</v>
      </c>
    </row>
    <row r="91" spans="2:16" x14ac:dyDescent="0.25">
      <c r="B91" s="32">
        <v>0</v>
      </c>
      <c r="C91" s="13">
        <v>46364</v>
      </c>
      <c r="D91" s="20">
        <f ca="1"/>
        <v>6.9205479452054792</v>
      </c>
      <c r="E91" s="9">
        <v>2.0104904958448042E-3</v>
      </c>
      <c r="F91" s="17">
        <v>1.0160094401470527</v>
      </c>
      <c r="H91" s="24">
        <f ca="1"/>
        <v>2.1040083932428854E-3</v>
      </c>
      <c r="I91" s="25">
        <f t="shared" ca="1" si="4"/>
        <v>9.3517897398081185E-5</v>
      </c>
      <c r="K91" s="30">
        <f ca="1"/>
        <v>-1.5616349098584004E-2</v>
      </c>
      <c r="L91" s="1">
        <f t="shared" ca="1" si="5"/>
        <v>1.0157389214914034</v>
      </c>
      <c r="M91" s="25">
        <f t="shared" ca="1" si="6"/>
        <v>2.7051865564930999E-4</v>
      </c>
      <c r="O91" s="30">
        <f t="shared" ca="1" si="7"/>
        <v>4.1499999999999932</v>
      </c>
      <c r="P91" s="36">
        <f ca="1"/>
        <v>-1.902731394168864E-3</v>
      </c>
    </row>
    <row r="92" spans="2:16" x14ac:dyDescent="0.25">
      <c r="B92" s="32">
        <v>0</v>
      </c>
      <c r="C92" s="13">
        <v>46395</v>
      </c>
      <c r="D92" s="20">
        <f ca="1"/>
        <v>7.0054794520547947</v>
      </c>
      <c r="E92" s="9">
        <v>2.1500404236719619E-3</v>
      </c>
      <c r="F92" s="17">
        <v>1.015827859621609</v>
      </c>
      <c r="H92" s="24">
        <f ca="1"/>
        <v>2.2280051107038679E-3</v>
      </c>
      <c r="I92" s="25">
        <f t="shared" ca="1" si="4"/>
        <v>7.7964687031906003E-5</v>
      </c>
      <c r="K92" s="30">
        <f ca="1"/>
        <v>-1.5432384016280176E-2</v>
      </c>
      <c r="L92" s="1">
        <f t="shared" ca="1" si="5"/>
        <v>1.0155520781839613</v>
      </c>
      <c r="M92" s="25">
        <f t="shared" ca="1" si="6"/>
        <v>2.7578143764772634E-4</v>
      </c>
      <c r="O92" s="30">
        <f t="shared" ca="1" si="7"/>
        <v>4.1999999999999931</v>
      </c>
      <c r="P92" s="36">
        <f ca="1"/>
        <v>-1.8362062240707259E-3</v>
      </c>
    </row>
    <row r="93" spans="2:16" x14ac:dyDescent="0.25">
      <c r="B93" s="32">
        <v>0</v>
      </c>
      <c r="C93" s="13">
        <v>46426</v>
      </c>
      <c r="D93" s="20">
        <f ca="1"/>
        <v>7.0904109589041093</v>
      </c>
      <c r="E93" s="9">
        <v>2.2821455106484655E-3</v>
      </c>
      <c r="F93" s="17">
        <v>1.0156344103757915</v>
      </c>
      <c r="H93" s="24">
        <f ca="1"/>
        <v>2.3515788252758078E-3</v>
      </c>
      <c r="I93" s="25">
        <f t="shared" ca="1" si="4"/>
        <v>6.943331462734223E-5</v>
      </c>
      <c r="K93" s="30">
        <f ca="1"/>
        <v>-1.5237905412053675E-2</v>
      </c>
      <c r="L93" s="1">
        <f t="shared" ca="1" si="5"/>
        <v>1.0153545942371003</v>
      </c>
      <c r="M93" s="25">
        <f t="shared" ca="1" si="6"/>
        <v>2.7981613869121347E-4</v>
      </c>
      <c r="O93" s="30">
        <f t="shared" ca="1" si="7"/>
        <v>4.2499999999999929</v>
      </c>
      <c r="P93" s="36">
        <f ca="1"/>
        <v>-1.7692648227357125E-3</v>
      </c>
    </row>
    <row r="94" spans="2:16" x14ac:dyDescent="0.25">
      <c r="B94" s="32">
        <v>0</v>
      </c>
      <c r="C94" s="13">
        <v>46454</v>
      </c>
      <c r="D94" s="20">
        <f ca="1"/>
        <v>7.1671232876712327</v>
      </c>
      <c r="E94" s="9">
        <v>2.4049999475913146E-3</v>
      </c>
      <c r="F94" s="17">
        <v>1.0154494705191226</v>
      </c>
      <c r="H94" s="24">
        <f ca="1"/>
        <v>2.4628002962316996E-3</v>
      </c>
      <c r="I94" s="25">
        <f t="shared" ca="1" si="4"/>
        <v>5.7800348640385003E-5</v>
      </c>
      <c r="K94" s="30">
        <f ca="1"/>
        <v>-1.5053241817833716E-2</v>
      </c>
      <c r="L94" s="1">
        <f t="shared" ca="1" si="5"/>
        <v>1.0151671125193775</v>
      </c>
      <c r="M94" s="25">
        <f t="shared" ca="1" si="6"/>
        <v>2.8235799974507536E-4</v>
      </c>
      <c r="O94" s="30">
        <f t="shared" ca="1" si="7"/>
        <v>4.2999999999999927</v>
      </c>
      <c r="P94" s="36">
        <f ca="1"/>
        <v>-1.7019199654271678E-3</v>
      </c>
    </row>
    <row r="95" spans="2:16" x14ac:dyDescent="0.25">
      <c r="B95" s="32">
        <v>0</v>
      </c>
      <c r="C95" s="13">
        <v>46485</v>
      </c>
      <c r="D95" s="20">
        <f ca="1"/>
        <v>7.2520547945205482</v>
      </c>
      <c r="E95" s="9">
        <v>2.540502813479921E-3</v>
      </c>
      <c r="F95" s="17">
        <v>1.0152334603778999</v>
      </c>
      <c r="H95" s="24">
        <f ca="1"/>
        <v>2.5854702222144273E-3</v>
      </c>
      <c r="I95" s="25">
        <f t="shared" ca="1" si="4"/>
        <v>4.4967408734506234E-5</v>
      </c>
      <c r="K95" s="30">
        <f ca="1"/>
        <v>-1.4838859609763024E-2</v>
      </c>
      <c r="L95" s="1">
        <f t="shared" ca="1" si="5"/>
        <v>1.0149495020789716</v>
      </c>
      <c r="M95" s="25">
        <f t="shared" ca="1" si="6"/>
        <v>2.8395829892824409E-4</v>
      </c>
      <c r="O95" s="30">
        <f t="shared" ca="1" si="7"/>
        <v>4.3499999999999925</v>
      </c>
      <c r="P95" s="36">
        <f ca="1"/>
        <v>-1.6341843218265584E-3</v>
      </c>
    </row>
    <row r="96" spans="2:16" x14ac:dyDescent="0.25">
      <c r="B96" s="32">
        <v>0</v>
      </c>
      <c r="C96" s="13">
        <v>46517</v>
      </c>
      <c r="D96" s="20">
        <f ca="1"/>
        <v>7.3397260273972602</v>
      </c>
      <c r="E96" s="9">
        <v>2.679700708449609E-3</v>
      </c>
      <c r="F96" s="17">
        <v>1.0149981350861248</v>
      </c>
      <c r="H96" s="24">
        <f ca="1"/>
        <v>2.7115457816403706E-3</v>
      </c>
      <c r="I96" s="25">
        <f t="shared" ca="1" si="4"/>
        <v>3.1845073190761575E-5</v>
      </c>
      <c r="K96" s="30">
        <f ca="1"/>
        <v>-1.4606657420827684E-2</v>
      </c>
      <c r="L96" s="1">
        <f t="shared" ca="1" si="5"/>
        <v>1.0147138559427631</v>
      </c>
      <c r="M96" s="25">
        <f t="shared" ca="1" si="6"/>
        <v>2.8427914336170979E-4</v>
      </c>
      <c r="O96" s="30">
        <f t="shared" ca="1" si="7"/>
        <v>4.3999999999999924</v>
      </c>
      <c r="P96" s="36">
        <f ca="1"/>
        <v>-1.5660704563660189E-3</v>
      </c>
    </row>
    <row r="97" spans="2:16" x14ac:dyDescent="0.25">
      <c r="B97" s="32">
        <v>0</v>
      </c>
      <c r="C97" s="13">
        <v>46546</v>
      </c>
      <c r="D97" s="20">
        <f ca="1"/>
        <v>7.419178082191781</v>
      </c>
      <c r="E97" s="9">
        <v>2.8051136006008782E-3</v>
      </c>
      <c r="F97" s="17">
        <v>1.0147741032462221</v>
      </c>
      <c r="H97" s="24">
        <f ca="1"/>
        <v>2.8252870254572688E-3</v>
      </c>
      <c r="I97" s="25">
        <f t="shared" ca="1" si="4"/>
        <v>2.0173424856390586E-5</v>
      </c>
      <c r="K97" s="30">
        <f ca="1"/>
        <v>-1.4386697711787921E-2</v>
      </c>
      <c r="L97" s="1">
        <f t="shared" ca="1" si="5"/>
        <v>1.0144906843235333</v>
      </c>
      <c r="M97" s="25">
        <f t="shared" ca="1" si="6"/>
        <v>2.8341892268879398E-4</v>
      </c>
      <c r="O97" s="30">
        <f t="shared" ca="1" si="7"/>
        <v>4.4499999999999922</v>
      </c>
      <c r="P97" s="36">
        <f ca="1"/>
        <v>-1.4975908285608723E-3</v>
      </c>
    </row>
    <row r="98" spans="2:16" x14ac:dyDescent="0.25">
      <c r="B98" s="32">
        <v>0</v>
      </c>
      <c r="C98" s="13">
        <v>46576</v>
      </c>
      <c r="D98" s="20">
        <f ca="1"/>
        <v>7.5013698630136982</v>
      </c>
      <c r="E98" s="9">
        <v>2.9341173653913829E-3</v>
      </c>
      <c r="F98" s="17">
        <v>1.0145316421378492</v>
      </c>
      <c r="H98" s="24">
        <f ca="1"/>
        <v>2.9424054681111865E-3</v>
      </c>
      <c r="I98" s="25">
        <f t="shared" ca="1" si="4"/>
        <v>8.2881027198035417E-6</v>
      </c>
      <c r="K98" s="30">
        <f ca="1"/>
        <v>-1.4149665358270221E-2</v>
      </c>
      <c r="L98" s="1">
        <f t="shared" ca="1" si="5"/>
        <v>1.0142502457059979</v>
      </c>
      <c r="M98" s="25">
        <f t="shared" ca="1" si="6"/>
        <v>2.8139643185132179E-4</v>
      </c>
      <c r="O98" s="30">
        <f t="shared" ca="1" si="7"/>
        <v>4.499999999999992</v>
      </c>
      <c r="P98" s="36">
        <f ca="1"/>
        <v>-1.4287577933421664E-3</v>
      </c>
    </row>
    <row r="99" spans="2:16" x14ac:dyDescent="0.25">
      <c r="B99" s="32">
        <v>0</v>
      </c>
      <c r="C99" s="13">
        <v>46608</v>
      </c>
      <c r="D99" s="20">
        <f ca="1"/>
        <v>7.5890410958904111</v>
      </c>
      <c r="E99" s="9">
        <v>3.0708056655908722E-3</v>
      </c>
      <c r="F99" s="17">
        <v>1.0142611000896256</v>
      </c>
      <c r="H99" s="24">
        <f ca="1"/>
        <v>3.0666882126222888E-3</v>
      </c>
      <c r="I99" s="25">
        <f t="shared" ca="1" si="4"/>
        <v>4.1174529685833114E-6</v>
      </c>
      <c r="K99" s="30">
        <f ca="1"/>
        <v>-1.3886248055417662E-2</v>
      </c>
      <c r="L99" s="1">
        <f t="shared" ca="1" si="5"/>
        <v>1.0139831098275074</v>
      </c>
      <c r="M99" s="25">
        <f t="shared" ca="1" si="6"/>
        <v>2.7799026211816624E-4</v>
      </c>
      <c r="O99" s="30">
        <f t="shared" ca="1" si="7"/>
        <v>4.5499999999999918</v>
      </c>
      <c r="P99" s="36">
        <f ca="1"/>
        <v>-1.3595836013892044E-3</v>
      </c>
    </row>
    <row r="100" spans="2:16" x14ac:dyDescent="0.25">
      <c r="B100" s="32">
        <v>0</v>
      </c>
      <c r="C100" s="13">
        <v>46638</v>
      </c>
      <c r="D100" s="20">
        <f ca="1"/>
        <v>7.6712328767123283</v>
      </c>
      <c r="E100" s="9">
        <v>3.1979659261511246E-3</v>
      </c>
      <c r="F100" s="17">
        <v>1.0139963844185276</v>
      </c>
      <c r="H100" s="24">
        <f ca="1"/>
        <v>3.1825694816269554E-3</v>
      </c>
      <c r="I100" s="25">
        <f t="shared" ca="1" si="4"/>
        <v>1.5396444524169196E-5</v>
      </c>
      <c r="K100" s="30">
        <f ca="1"/>
        <v>-1.3629424943338034E-2</v>
      </c>
      <c r="L100" s="1">
        <f t="shared" ca="1" si="5"/>
        <v>1.0137227289669879</v>
      </c>
      <c r="M100" s="25">
        <f t="shared" ca="1" si="6"/>
        <v>2.736554515396783E-4</v>
      </c>
      <c r="O100" s="30">
        <f t="shared" ca="1" si="7"/>
        <v>4.5999999999999917</v>
      </c>
      <c r="P100" s="36">
        <f ca="1"/>
        <v>-1.2900803994620805E-3</v>
      </c>
    </row>
    <row r="101" spans="2:16" x14ac:dyDescent="0.25">
      <c r="B101" s="32">
        <v>0</v>
      </c>
      <c r="C101" s="13">
        <v>46668</v>
      </c>
      <c r="D101" s="20">
        <f ca="1"/>
        <v>7.7534246575342465</v>
      </c>
      <c r="E101" s="9">
        <v>3.3283956917261057E-3</v>
      </c>
      <c r="F101" s="17">
        <v>1.0137210346608192</v>
      </c>
      <c r="H101" s="24">
        <f ca="1"/>
        <v>3.2978085722033218E-3</v>
      </c>
      <c r="I101" s="25">
        <f t="shared" ca="1" si="4"/>
        <v>3.058711952278392E-5</v>
      </c>
      <c r="K101" s="30">
        <f ca="1"/>
        <v>-1.3363103543330692E-2</v>
      </c>
      <c r="L101" s="1">
        <f t="shared" ca="1" si="5"/>
        <v>1.0134527888575997</v>
      </c>
      <c r="M101" s="25">
        <f t="shared" ca="1" si="6"/>
        <v>2.6824580321949121E-4</v>
      </c>
      <c r="O101" s="30">
        <f t="shared" ca="1" si="7"/>
        <v>4.6499999999999915</v>
      </c>
      <c r="P101" s="36">
        <f ca="1"/>
        <v>-1.2202602307342058E-3</v>
      </c>
    </row>
    <row r="102" spans="2:16" x14ac:dyDescent="0.25">
      <c r="B102" s="32">
        <v>0</v>
      </c>
      <c r="C102" s="13">
        <v>46699</v>
      </c>
      <c r="D102" s="20">
        <f ca="1"/>
        <v>7.838356164383562</v>
      </c>
      <c r="E102" s="9">
        <v>3.4534971699956714E-3</v>
      </c>
      <c r="F102" s="17">
        <v>1.013425431808471</v>
      </c>
      <c r="H102" s="24">
        <f ca="1"/>
        <v>3.416185032564798E-3</v>
      </c>
      <c r="I102" s="25">
        <f t="shared" ca="1" si="4"/>
        <v>3.7312137430873388E-5</v>
      </c>
      <c r="K102" s="30">
        <f ca="1"/>
        <v>-1.3077983578684331E-2</v>
      </c>
      <c r="L102" s="1">
        <f t="shared" ca="1" si="5"/>
        <v>1.0131638744238636</v>
      </c>
      <c r="M102" s="25">
        <f t="shared" ca="1" si="6"/>
        <v>2.6155738460742484E-4</v>
      </c>
      <c r="O102" s="30">
        <f t="shared" ca="1" si="7"/>
        <v>4.6999999999999913</v>
      </c>
      <c r="P102" s="36">
        <f ca="1"/>
        <v>-1.1501350351248458E-3</v>
      </c>
    </row>
    <row r="103" spans="2:16" x14ac:dyDescent="0.25">
      <c r="B103" s="32">
        <v>0</v>
      </c>
      <c r="C103" s="13">
        <v>46729</v>
      </c>
      <c r="D103" s="20">
        <f ca="1"/>
        <v>7.9205479452054792</v>
      </c>
      <c r="E103" s="9">
        <v>3.5774693020756937E-3</v>
      </c>
      <c r="F103" s="17">
        <v>1.0131287530303625</v>
      </c>
      <c r="H103" s="24">
        <f ca="1"/>
        <v>3.5300339501147136E-3</v>
      </c>
      <c r="I103" s="25">
        <f t="shared" ca="1" si="4"/>
        <v>4.7435351960980077E-5</v>
      </c>
      <c r="K103" s="30">
        <f ca="1"/>
        <v>-1.2792517655337276E-2</v>
      </c>
      <c r="L103" s="1">
        <f t="shared" ca="1" si="5"/>
        <v>1.0128746919407854</v>
      </c>
      <c r="M103" s="25">
        <f t="shared" ca="1" si="6"/>
        <v>2.5406108957715112E-4</v>
      </c>
      <c r="O103" s="30">
        <f t="shared" ca="1" si="7"/>
        <v>4.7499999999999911</v>
      </c>
      <c r="P103" s="36">
        <f ca="1"/>
        <v>-1.079716649631652E-3</v>
      </c>
    </row>
    <row r="104" spans="2:16" x14ac:dyDescent="0.25">
      <c r="B104" s="32">
        <v>0</v>
      </c>
      <c r="C104" s="13">
        <v>46762</v>
      </c>
      <c r="D104" s="20">
        <f ca="1"/>
        <v>8.0109589041095894</v>
      </c>
      <c r="E104" s="9">
        <v>3.7125014592914478E-3</v>
      </c>
      <c r="F104" s="17">
        <v>1.0127904801194252</v>
      </c>
      <c r="H104" s="24">
        <f ca="1"/>
        <v>3.6544305607318518E-3</v>
      </c>
      <c r="I104" s="25">
        <f t="shared" ca="1" si="4"/>
        <v>5.8070898559595997E-5</v>
      </c>
      <c r="K104" s="30">
        <f ca="1"/>
        <v>-1.246773376220821E-2</v>
      </c>
      <c r="L104" s="1">
        <f t="shared" ca="1" si="5"/>
        <v>1.0125457799706312</v>
      </c>
      <c r="M104" s="25">
        <f t="shared" ca="1" si="6"/>
        <v>2.4470014879396373E-4</v>
      </c>
      <c r="O104" s="30">
        <f t="shared" ca="1" si="7"/>
        <v>4.7999999999999909</v>
      </c>
      <c r="P104" s="36">
        <f ca="1"/>
        <v>-1.0090168086631904E-3</v>
      </c>
    </row>
    <row r="105" spans="2:16" x14ac:dyDescent="0.25">
      <c r="B105" s="32">
        <v>0</v>
      </c>
      <c r="C105" s="13">
        <v>46791</v>
      </c>
      <c r="D105" s="20">
        <f ca="1"/>
        <v>8.0904109589041102</v>
      </c>
      <c r="E105" s="9">
        <v>3.8294357167683712E-3</v>
      </c>
      <c r="F105" s="17">
        <v>1.0124830201330925</v>
      </c>
      <c r="H105" s="24">
        <f ca="1"/>
        <v>3.7629984659394247E-3</v>
      </c>
      <c r="I105" s="25">
        <f t="shared" ca="1" si="4"/>
        <v>6.6437250828946508E-5</v>
      </c>
      <c r="K105" s="30">
        <f ca="1"/>
        <v>-1.2173064043257575E-2</v>
      </c>
      <c r="L105" s="1">
        <f t="shared" ca="1" si="5"/>
        <v>1.0122474573457034</v>
      </c>
      <c r="M105" s="25">
        <f t="shared" ca="1" si="6"/>
        <v>2.3556278738912084E-4</v>
      </c>
      <c r="O105" s="30">
        <f t="shared" ca="1" si="7"/>
        <v>4.8499999999999908</v>
      </c>
      <c r="P105" s="36">
        <f ca="1"/>
        <v>-9.3804714437147475E-4</v>
      </c>
    </row>
    <row r="106" spans="2:16" x14ac:dyDescent="0.25">
      <c r="B106" s="32">
        <v>0</v>
      </c>
      <c r="C106" s="13">
        <v>46820</v>
      </c>
      <c r="D106" s="20">
        <f ca="1"/>
        <v>8.169863013698631</v>
      </c>
      <c r="E106" s="9">
        <v>3.9441767586361693E-3</v>
      </c>
      <c r="F106" s="17">
        <v>1.0121662055673475</v>
      </c>
      <c r="H106" s="24">
        <f ca="1"/>
        <v>3.8708406885523162E-3</v>
      </c>
      <c r="I106" s="25">
        <f t="shared" ca="1" si="4"/>
        <v>7.3336070083853018E-5</v>
      </c>
      <c r="K106" s="30">
        <f ca="1"/>
        <v>-1.186979706103479E-2</v>
      </c>
      <c r="L106" s="1">
        <f t="shared" ca="1" si="5"/>
        <v>1.0119405226579821</v>
      </c>
      <c r="M106" s="25">
        <f t="shared" ca="1" si="6"/>
        <v>2.2568290936542112E-4</v>
      </c>
      <c r="O106" s="30">
        <f t="shared" ca="1" si="7"/>
        <v>4.8999999999999906</v>
      </c>
      <c r="P106" s="36">
        <f ca="1"/>
        <v>-8.6681918698450038E-4</v>
      </c>
    </row>
    <row r="107" spans="2:16" x14ac:dyDescent="0.25">
      <c r="B107" s="32">
        <v>0</v>
      </c>
      <c r="C107" s="13">
        <v>46853</v>
      </c>
      <c r="D107" s="20">
        <f ca="1"/>
        <v>8.2602739726027394</v>
      </c>
      <c r="E107" s="9">
        <v>4.072076699034784E-3</v>
      </c>
      <c r="F107" s="17">
        <v>1.0117945521277907</v>
      </c>
      <c r="H107" s="24">
        <f ca="1"/>
        <v>3.9926467627832531E-3</v>
      </c>
      <c r="I107" s="25">
        <f t="shared" ca="1" si="4"/>
        <v>7.9429936251530948E-5</v>
      </c>
      <c r="K107" s="30">
        <f ca="1"/>
        <v>-1.1514316923174268E-2</v>
      </c>
      <c r="L107" s="1">
        <f t="shared" ca="1" si="5"/>
        <v>1.0115808618314084</v>
      </c>
      <c r="M107" s="25">
        <f t="shared" ca="1" si="6"/>
        <v>2.136902963822962E-4</v>
      </c>
      <c r="O107" s="30">
        <f t="shared" ca="1" si="7"/>
        <v>4.9499999999999904</v>
      </c>
      <c r="P107" s="36">
        <f ca="1"/>
        <v>-7.9534436513877254E-4</v>
      </c>
    </row>
    <row r="108" spans="2:16" x14ac:dyDescent="0.25">
      <c r="B108" s="32">
        <v>0</v>
      </c>
      <c r="C108" s="13">
        <v>46881</v>
      </c>
      <c r="D108" s="20">
        <f ca="1"/>
        <v>8.3369863013698637</v>
      </c>
      <c r="E108" s="9">
        <v>4.1782203866340814E-3</v>
      </c>
      <c r="F108" s="17">
        <v>1.011470110769856</v>
      </c>
      <c r="H108" s="24">
        <f ca="1"/>
        <v>4.0952141753219781E-3</v>
      </c>
      <c r="I108" s="25">
        <f t="shared" ca="1" si="4"/>
        <v>8.3006211312103284E-5</v>
      </c>
      <c r="K108" s="30">
        <f ca="1"/>
        <v>-1.1204092934542931E-2</v>
      </c>
      <c r="L108" s="1">
        <f t="shared" ca="1" si="5"/>
        <v>1.0112670938533213</v>
      </c>
      <c r="M108" s="25">
        <f t="shared" ca="1" si="6"/>
        <v>2.0301691653479281E-4</v>
      </c>
      <c r="O108" s="30">
        <f t="shared" ca="1" si="7"/>
        <v>4.9999999999999902</v>
      </c>
      <c r="P108" s="36">
        <f ca="1"/>
        <v>-7.2363400621184475E-4</v>
      </c>
    </row>
    <row r="109" spans="2:16" x14ac:dyDescent="0.25">
      <c r="B109" s="32">
        <v>0</v>
      </c>
      <c r="C109" s="13">
        <v>46912</v>
      </c>
      <c r="D109" s="20">
        <f ca="1"/>
        <v>8.4219178082191775</v>
      </c>
      <c r="E109" s="9">
        <v>4.2930119024496482E-3</v>
      </c>
      <c r="F109" s="17">
        <v>1.0111014035074664</v>
      </c>
      <c r="H109" s="24">
        <f ca="1"/>
        <v>4.2079079791944489E-3</v>
      </c>
      <c r="I109" s="25">
        <f t="shared" ca="1" si="4"/>
        <v>8.510392325519929E-5</v>
      </c>
      <c r="K109" s="30">
        <f ca="1"/>
        <v>-1.0851488094019059E-2</v>
      </c>
      <c r="L109" s="1">
        <f t="shared" ca="1" si="5"/>
        <v>1.0109105790390844</v>
      </c>
      <c r="M109" s="25">
        <f t="shared" ca="1" si="6"/>
        <v>1.9082446838192269E-4</v>
      </c>
      <c r="O109" s="30">
        <f t="shared" ca="1" si="7"/>
        <v>5.0499999999999901</v>
      </c>
      <c r="P109" s="36">
        <f ca="1"/>
        <v>-6.5169933665484619E-4</v>
      </c>
    </row>
    <row r="110" spans="2:16" x14ac:dyDescent="0.25">
      <c r="B110" s="32">
        <v>0</v>
      </c>
      <c r="C110" s="13">
        <v>46944</v>
      </c>
      <c r="D110" s="20">
        <f ca="1"/>
        <v>8.5095890410958912</v>
      </c>
      <c r="E110" s="9">
        <v>4.4085021238331233E-3</v>
      </c>
      <c r="F110" s="17">
        <v>1.01071059351148</v>
      </c>
      <c r="H110" s="24">
        <f ca="1"/>
        <v>4.323260043381085E-3</v>
      </c>
      <c r="I110" s="25">
        <f t="shared" ca="1" si="4"/>
        <v>8.5242080452038391E-5</v>
      </c>
      <c r="K110" s="30">
        <f ca="1"/>
        <v>-1.047751173603647E-2</v>
      </c>
      <c r="L110" s="1">
        <f t="shared" ca="1" si="5"/>
        <v>1.0105325930658036</v>
      </c>
      <c r="M110" s="25">
        <f t="shared" ca="1" si="6"/>
        <v>1.7800044567639617E-4</v>
      </c>
      <c r="O110" s="30">
        <f t="shared" ca="1" si="7"/>
        <v>5.0999999999999899</v>
      </c>
      <c r="P110" s="36">
        <f ca="1"/>
        <v>-5.7955148232501216E-4</v>
      </c>
    </row>
    <row r="111" spans="2:16" x14ac:dyDescent="0.25">
      <c r="B111" s="32">
        <v>0</v>
      </c>
      <c r="C111" s="13">
        <v>46973</v>
      </c>
      <c r="D111" s="20">
        <f ca="1"/>
        <v>8.5890410958904102</v>
      </c>
      <c r="E111" s="9">
        <v>4.5103765224329831E-3</v>
      </c>
      <c r="F111" s="17">
        <v>1.010347704739847</v>
      </c>
      <c r="H111" s="24">
        <f ca="1"/>
        <v>4.4269182002888664E-3</v>
      </c>
      <c r="I111" s="25">
        <f t="shared" ca="1" si="4"/>
        <v>8.3458322144116734E-5</v>
      </c>
      <c r="K111" s="30">
        <f ca="1"/>
        <v>-1.0129896307778807E-2</v>
      </c>
      <c r="L111" s="1">
        <f t="shared" ca="1" si="5"/>
        <v>1.0101813773932264</v>
      </c>
      <c r="M111" s="25">
        <f t="shared" ca="1" si="6"/>
        <v>1.6632734662058724E-4</v>
      </c>
      <c r="O111" s="30">
        <f t="shared" ca="1" si="7"/>
        <v>5.1499999999999897</v>
      </c>
      <c r="P111" s="36">
        <f ca="1"/>
        <v>-5.0720146881821698E-4</v>
      </c>
    </row>
    <row r="112" spans="2:16" x14ac:dyDescent="0.25">
      <c r="B112" s="32">
        <v>0</v>
      </c>
      <c r="C112" s="13">
        <v>47004</v>
      </c>
      <c r="D112" s="20">
        <f ca="1"/>
        <v>8.6739726027397257</v>
      </c>
      <c r="E112" s="9">
        <v>4.6195961110043057E-3</v>
      </c>
      <c r="F112" s="17">
        <v>1.0099508954609162</v>
      </c>
      <c r="H112" s="24">
        <f ca="1"/>
        <v>4.5367774235076912E-3</v>
      </c>
      <c r="I112" s="25">
        <f t="shared" ca="1" si="4"/>
        <v>8.2818687496614453E-5</v>
      </c>
      <c r="K112" s="30">
        <f ca="1"/>
        <v>-9.749239208521554E-3</v>
      </c>
      <c r="L112" s="1">
        <f t="shared" ca="1" si="5"/>
        <v>1.0097969178586523</v>
      </c>
      <c r="M112" s="25">
        <f t="shared" ca="1" si="6"/>
        <v>1.5397760226387724E-4</v>
      </c>
      <c r="O112" s="30">
        <f t="shared" ca="1" si="7"/>
        <v>5.1999999999999895</v>
      </c>
      <c r="P112" s="36">
        <f ca="1"/>
        <v>-4.3466022180151337E-4</v>
      </c>
    </row>
    <row r="113" spans="2:16" x14ac:dyDescent="0.25">
      <c r="B113" s="32">
        <v>0</v>
      </c>
      <c r="C113" s="13">
        <v>47035</v>
      </c>
      <c r="D113" s="20">
        <f ca="1"/>
        <v>8.7589041095890412</v>
      </c>
      <c r="E113" s="9">
        <v>4.7187761953116402E-3</v>
      </c>
      <c r="F113" s="17">
        <v>1.0095451791824452</v>
      </c>
      <c r="H113" s="24">
        <f ca="1"/>
        <v>4.6456345263818444E-3</v>
      </c>
      <c r="I113" s="25">
        <f t="shared" ca="1" si="4"/>
        <v>7.3141668929795761E-5</v>
      </c>
      <c r="K113" s="30">
        <f ca="1"/>
        <v>-9.3592939932705434E-3</v>
      </c>
      <c r="L113" s="1">
        <f t="shared" ca="1" si="5"/>
        <v>1.0094032291456616</v>
      </c>
      <c r="M113" s="25">
        <f t="shared" ca="1" si="6"/>
        <v>1.4195003678363349E-4</v>
      </c>
      <c r="O113" s="30">
        <f t="shared" ca="1" si="7"/>
        <v>5.2499999999999893</v>
      </c>
      <c r="P113" s="36">
        <f ca="1"/>
        <v>-3.6193856734565485E-4</v>
      </c>
    </row>
    <row r="114" spans="2:16" x14ac:dyDescent="0.25">
      <c r="B114" s="32">
        <v>0</v>
      </c>
      <c r="C114" s="13">
        <v>47065</v>
      </c>
      <c r="D114" s="20">
        <f ca="1"/>
        <v>8.8410958904109584</v>
      </c>
      <c r="E114" s="9">
        <v>4.8148415042962543E-3</v>
      </c>
      <c r="F114" s="17">
        <v>1.0091443468888384</v>
      </c>
      <c r="H114" s="24">
        <f ca="1"/>
        <v>4.7500046358009999E-3</v>
      </c>
      <c r="I114" s="25">
        <f t="shared" ca="1" si="4"/>
        <v>6.483686849525442E-5</v>
      </c>
      <c r="K114" s="30">
        <f ca="1"/>
        <v>-8.973165193556806E-3</v>
      </c>
      <c r="L114" s="1">
        <f t="shared" ca="1" si="5"/>
        <v>1.0090135447273945</v>
      </c>
      <c r="M114" s="25">
        <f t="shared" ca="1" si="6"/>
        <v>1.3080216144389922E-4</v>
      </c>
      <c r="O114" s="30">
        <f t="shared" ca="1" si="7"/>
        <v>5.2999999999999892</v>
      </c>
      <c r="P114" s="36">
        <f ca="1"/>
        <v>-2.8904723225763176E-4</v>
      </c>
    </row>
    <row r="115" spans="2:16" x14ac:dyDescent="0.25">
      <c r="B115" s="32">
        <v>0</v>
      </c>
      <c r="C115" s="13">
        <v>47095</v>
      </c>
      <c r="D115" s="20">
        <f ca="1"/>
        <v>8.9232876712328775</v>
      </c>
      <c r="E115" s="9">
        <v>4.9106475241347831E-3</v>
      </c>
      <c r="F115" s="17">
        <v>1.0087357348273622</v>
      </c>
      <c r="H115" s="24">
        <f ca="1"/>
        <v>4.8533950856286439E-3</v>
      </c>
      <c r="I115" s="25">
        <f t="shared" ca="1" si="4"/>
        <v>5.725243850613921E-5</v>
      </c>
      <c r="K115" s="30">
        <f ca="1"/>
        <v>-8.5784981539020685E-3</v>
      </c>
      <c r="L115" s="1">
        <f t="shared" ca="1" si="5"/>
        <v>1.0086153989114086</v>
      </c>
      <c r="M115" s="25">
        <f t="shared" ca="1" si="6"/>
        <v>1.203359159536177E-4</v>
      </c>
      <c r="O115" s="30">
        <f t="shared" ca="1" si="7"/>
        <v>5.349999999999989</v>
      </c>
      <c r="P115" s="36">
        <f ca="1"/>
        <v>-2.1599684441320064E-4</v>
      </c>
    </row>
    <row r="116" spans="2:16" x14ac:dyDescent="0.25">
      <c r="B116" s="32">
        <v>0</v>
      </c>
      <c r="C116" s="13">
        <v>47126</v>
      </c>
      <c r="D116" s="20">
        <f ca="1"/>
        <v>9.0082191780821912</v>
      </c>
      <c r="E116" s="9">
        <v>4.9998166963397496E-3</v>
      </c>
      <c r="F116" s="17">
        <v>1.00830563927873</v>
      </c>
      <c r="H116" s="24">
        <f ca="1"/>
        <v>4.9591820917319679E-3</v>
      </c>
      <c r="I116" s="25">
        <f t="shared" ca="1" si="4"/>
        <v>4.0634604607781705E-5</v>
      </c>
      <c r="K116" s="30">
        <f ca="1"/>
        <v>-8.1617920464042201E-3</v>
      </c>
      <c r="L116" s="1">
        <f t="shared" ca="1" si="5"/>
        <v>1.0081951902723996</v>
      </c>
      <c r="M116" s="25">
        <f t="shared" ca="1" si="6"/>
        <v>1.1044900633039312E-4</v>
      </c>
      <c r="O116" s="30">
        <f t="shared" ca="1" si="7"/>
        <v>5.3999999999999888</v>
      </c>
      <c r="P116" s="36">
        <f ca="1"/>
        <v>-1.4279793308942198E-4</v>
      </c>
    </row>
    <row r="117" spans="2:16" x14ac:dyDescent="0.25">
      <c r="B117" s="32">
        <v>0</v>
      </c>
      <c r="C117" s="13">
        <v>47157</v>
      </c>
      <c r="D117" s="20">
        <f ca="1"/>
        <v>9.0931506849315067</v>
      </c>
      <c r="E117" s="9">
        <v>5.0905021397376245E-3</v>
      </c>
      <c r="F117" s="17">
        <v>1.0078678177026652</v>
      </c>
      <c r="H117" s="24">
        <f ca="1"/>
        <v>5.0638815265053152E-3</v>
      </c>
      <c r="I117" s="25">
        <f t="shared" ca="1" si="4"/>
        <v>2.6620613232309319E-5</v>
      </c>
      <c r="K117" s="30">
        <f ca="1"/>
        <v>-7.7361473285916856E-3</v>
      </c>
      <c r="L117" s="1">
        <f t="shared" ca="1" si="5"/>
        <v>1.0077661486312679</v>
      </c>
      <c r="M117" s="25">
        <f t="shared" ca="1" si="6"/>
        <v>1.0166907139730341E-4</v>
      </c>
      <c r="O117" s="30">
        <f t="shared" ca="1" si="7"/>
        <v>5.4499999999999886</v>
      </c>
      <c r="P117" s="36">
        <f ca="1"/>
        <v>-6.946092929718749E-5</v>
      </c>
    </row>
    <row r="118" spans="2:16" x14ac:dyDescent="0.25">
      <c r="B118" s="32">
        <v>0</v>
      </c>
      <c r="C118" s="13">
        <v>47185</v>
      </c>
      <c r="D118" s="20">
        <f ca="1"/>
        <v>9.169863013698631</v>
      </c>
      <c r="E118" s="9">
        <v>5.1731360193932562E-3</v>
      </c>
      <c r="F118" s="17">
        <v>1.0074657391333386</v>
      </c>
      <c r="H118" s="24">
        <f ca="1"/>
        <v>5.157497167051008E-3</v>
      </c>
      <c r="I118" s="25">
        <f t="shared" ca="1" si="4"/>
        <v>1.5638852342248107E-5</v>
      </c>
      <c r="K118" s="30">
        <f ca="1"/>
        <v>-7.3440886232719518E-3</v>
      </c>
      <c r="L118" s="1">
        <f t="shared" ca="1" si="5"/>
        <v>1.0073711225815312</v>
      </c>
      <c r="M118" s="25">
        <f t="shared" ca="1" si="6"/>
        <v>9.4616551807424898E-5</v>
      </c>
      <c r="O118" s="30">
        <f t="shared" ca="1" si="7"/>
        <v>5.4999999999999885</v>
      </c>
      <c r="P118" s="36">
        <f ca="1"/>
        <v>4.0038338862464603E-6</v>
      </c>
    </row>
    <row r="119" spans="2:16" x14ac:dyDescent="0.25">
      <c r="B119" s="32">
        <v>0</v>
      </c>
      <c r="C119" s="13">
        <v>47217</v>
      </c>
      <c r="D119" s="20">
        <f ca="1"/>
        <v>9.257534246575343</v>
      </c>
      <c r="E119" s="9">
        <v>5.2684258461424644E-3</v>
      </c>
      <c r="F119" s="17">
        <v>1.0069984570018042</v>
      </c>
      <c r="H119" s="24">
        <f ca="1"/>
        <v>5.2633613504626323E-3</v>
      </c>
      <c r="I119" s="25">
        <f t="shared" ca="1" si="4"/>
        <v>5.0644956798321858E-6</v>
      </c>
      <c r="K119" s="30">
        <f ca="1"/>
        <v>-6.8872750274791986E-3</v>
      </c>
      <c r="L119" s="1">
        <f t="shared" ca="1" si="5"/>
        <v>1.0069110468491524</v>
      </c>
      <c r="M119" s="25">
        <f t="shared" ca="1" si="6"/>
        <v>8.7410152651790085E-5</v>
      </c>
      <c r="O119" s="30">
        <f t="shared" ca="1" si="7"/>
        <v>5.5499999999999883</v>
      </c>
      <c r="P119" s="36">
        <f ca="1"/>
        <v>7.7586120984727105E-5</v>
      </c>
    </row>
    <row r="120" spans="2:16" x14ac:dyDescent="0.25">
      <c r="B120" s="32">
        <v>0</v>
      </c>
      <c r="C120" s="13">
        <v>47246</v>
      </c>
      <c r="D120" s="20">
        <f ca="1"/>
        <v>9.3369863013698637</v>
      </c>
      <c r="E120" s="9">
        <v>5.3556446511207568E-3</v>
      </c>
      <c r="F120" s="17">
        <v>1.0065677717164587</v>
      </c>
      <c r="H120" s="24">
        <f ca="1"/>
        <v>5.3582473889428736E-3</v>
      </c>
      <c r="I120" s="25">
        <f t="shared" ca="1" si="4"/>
        <v>2.6027378221167574E-6</v>
      </c>
      <c r="K120" s="30">
        <f ca="1"/>
        <v>-6.4653140222699869E-3</v>
      </c>
      <c r="L120" s="1">
        <f t="shared" ca="1" si="5"/>
        <v>1.0064862592798653</v>
      </c>
      <c r="M120" s="25">
        <f t="shared" ca="1" si="6"/>
        <v>8.1512436593378368E-5</v>
      </c>
      <c r="O120" s="30">
        <f t="shared" ca="1" si="7"/>
        <v>5.5999999999999881</v>
      </c>
      <c r="P120" s="36">
        <f ca="1"/>
        <v>1.5127579379067553E-4</v>
      </c>
    </row>
    <row r="121" spans="2:16" x14ac:dyDescent="0.25">
      <c r="B121" s="32">
        <v>0</v>
      </c>
      <c r="C121" s="13">
        <v>47277</v>
      </c>
      <c r="D121" s="20">
        <f ca="1"/>
        <v>9.4219178082191775</v>
      </c>
      <c r="E121" s="9">
        <v>5.4530221053275341E-3</v>
      </c>
      <c r="F121" s="17">
        <v>1.0060997297928413</v>
      </c>
      <c r="H121" s="24">
        <f ca="1"/>
        <v>5.4585520862312021E-3</v>
      </c>
      <c r="I121" s="25">
        <f t="shared" ca="1" si="4"/>
        <v>5.5299809036679637E-6</v>
      </c>
      <c r="K121" s="30">
        <f ca="1"/>
        <v>-6.0059621925308334E-3</v>
      </c>
      <c r="L121" s="1">
        <f t="shared" ca="1" si="5"/>
        <v>1.0060240341451663</v>
      </c>
      <c r="M121" s="25">
        <f t="shared" ca="1" si="6"/>
        <v>7.5695647675066979E-5</v>
      </c>
      <c r="O121" s="30">
        <f t="shared" ca="1" si="7"/>
        <v>5.6499999999999879</v>
      </c>
      <c r="P121" s="36">
        <f ca="1"/>
        <v>2.2506281103254841E-4</v>
      </c>
    </row>
    <row r="122" spans="2:16" x14ac:dyDescent="0.25">
      <c r="B122" s="32">
        <v>0</v>
      </c>
      <c r="C122" s="13">
        <v>47308</v>
      </c>
      <c r="D122" s="20">
        <f ca="1"/>
        <v>9.506849315068493</v>
      </c>
      <c r="E122" s="9">
        <v>5.545160086385636E-3</v>
      </c>
      <c r="F122" s="17">
        <v>1.0056237014974876</v>
      </c>
      <c r="H122" s="24">
        <f ca="1"/>
        <v>5.5576766196845807E-3</v>
      </c>
      <c r="I122" s="25">
        <f t="shared" ca="1" si="4"/>
        <v>1.2516533298944678E-5</v>
      </c>
      <c r="K122" s="30">
        <f ca="1"/>
        <v>-5.5381413260620046E-3</v>
      </c>
      <c r="L122" s="1">
        <f t="shared" ca="1" si="5"/>
        <v>1.0055535051800395</v>
      </c>
      <c r="M122" s="25">
        <f t="shared" ca="1" si="6"/>
        <v>7.0196317448090184E-5</v>
      </c>
      <c r="O122" s="30">
        <f t="shared" ca="1" si="7"/>
        <v>5.6999999999999877</v>
      </c>
      <c r="P122" s="36">
        <f ca="1"/>
        <v>2.9893722804231397E-4</v>
      </c>
    </row>
    <row r="123" spans="2:16" x14ac:dyDescent="0.25">
      <c r="B123" s="32">
        <v>0</v>
      </c>
      <c r="C123" s="13">
        <v>47338</v>
      </c>
      <c r="D123" s="20">
        <f ca="1"/>
        <v>9.5890410958904102</v>
      </c>
      <c r="E123" s="9">
        <v>5.6384169303926937E-3</v>
      </c>
      <c r="F123" s="17">
        <v>1.0051553492274767</v>
      </c>
      <c r="H123" s="24">
        <f ca="1"/>
        <v>5.6524636607251724E-3</v>
      </c>
      <c r="I123" s="25">
        <f t="shared" ca="1" si="4"/>
        <v>1.4046730332478718E-5</v>
      </c>
      <c r="K123" s="30">
        <f ca="1"/>
        <v>-5.0774428963094404E-3</v>
      </c>
      <c r="L123" s="1">
        <f t="shared" ca="1" si="5"/>
        <v>1.0050903549536536</v>
      </c>
      <c r="M123" s="25">
        <f t="shared" ca="1" si="6"/>
        <v>6.4994273823115734E-5</v>
      </c>
      <c r="O123" s="30">
        <f t="shared" ca="1" si="7"/>
        <v>5.7499999999999876</v>
      </c>
      <c r="P123" s="36">
        <f ca="1"/>
        <v>3.7288919642291174E-4</v>
      </c>
    </row>
    <row r="124" spans="2:16" x14ac:dyDescent="0.25">
      <c r="B124" s="32">
        <v>0</v>
      </c>
      <c r="C124" s="13">
        <v>47371</v>
      </c>
      <c r="D124" s="20">
        <f ca="1"/>
        <v>9.6794520547945204</v>
      </c>
      <c r="E124" s="9">
        <v>5.7422712483381393E-3</v>
      </c>
      <c r="F124" s="17">
        <v>1.0046313412492482</v>
      </c>
      <c r="H124" s="24">
        <f ca="1"/>
        <v>5.7554161555976868E-3</v>
      </c>
      <c r="I124" s="25">
        <f t="shared" ca="1" si="4"/>
        <v>1.3144907259547527E-5</v>
      </c>
      <c r="K124" s="30">
        <f ca="1"/>
        <v>-4.5617337846182229E-3</v>
      </c>
      <c r="L124" s="1">
        <f t="shared" ca="1" si="5"/>
        <v>1.0045721543314072</v>
      </c>
      <c r="M124" s="25">
        <f t="shared" ca="1" si="6"/>
        <v>5.9186917841014264E-5</v>
      </c>
      <c r="O124" s="30">
        <f t="shared" ca="1" si="7"/>
        <v>5.7999999999999874</v>
      </c>
      <c r="P124" s="36">
        <f ca="1"/>
        <v>4.4690896371572759E-4</v>
      </c>
    </row>
    <row r="125" spans="2:16" x14ac:dyDescent="0.25">
      <c r="B125" s="32">
        <v>0</v>
      </c>
      <c r="C125" s="13">
        <v>47399</v>
      </c>
      <c r="D125" s="20">
        <f ca="1"/>
        <v>9.7561643835616429</v>
      </c>
      <c r="E125" s="9">
        <v>5.8314389439690223E-3</v>
      </c>
      <c r="F125" s="17">
        <v>1.0041794040127092</v>
      </c>
      <c r="H125" s="24">
        <f ca="1"/>
        <v>5.8416768975828922E-3</v>
      </c>
      <c r="I125" s="25">
        <f t="shared" ca="1" si="4"/>
        <v>1.0237953613869907E-5</v>
      </c>
      <c r="K125" s="30">
        <f ca="1"/>
        <v>-4.1169073218043934E-3</v>
      </c>
      <c r="L125" s="1">
        <f t="shared" ca="1" si="5"/>
        <v>1.004125393426258</v>
      </c>
      <c r="M125" s="25">
        <f t="shared" ca="1" si="6"/>
        <v>5.401058645126966E-5</v>
      </c>
      <c r="O125" s="30">
        <f t="shared" ca="1" si="7"/>
        <v>5.8499999999999872</v>
      </c>
      <c r="P125" s="36">
        <f ca="1"/>
        <v>5.2098687306805684E-4</v>
      </c>
    </row>
    <row r="126" spans="2:16" x14ac:dyDescent="0.25">
      <c r="B126" s="32">
        <v>0</v>
      </c>
      <c r="C126" s="13">
        <v>47430</v>
      </c>
      <c r="D126" s="20">
        <f ca="1"/>
        <v>9.8410958904109584</v>
      </c>
      <c r="E126" s="9">
        <v>5.9313664910023043E-3</v>
      </c>
      <c r="F126" s="17">
        <v>1.003671115204319</v>
      </c>
      <c r="H126" s="24">
        <f ca="1"/>
        <v>5.9359949375246404E-3</v>
      </c>
      <c r="I126" s="25">
        <f t="shared" ca="1" si="4"/>
        <v>4.6284465223360438E-6</v>
      </c>
      <c r="K126" s="30">
        <f ca="1"/>
        <v>-3.6167507506687313E-3</v>
      </c>
      <c r="L126" s="1">
        <f t="shared" ca="1" si="5"/>
        <v>1.0036232990858505</v>
      </c>
      <c r="M126" s="25">
        <f t="shared" ca="1" si="6"/>
        <v>4.7816118468491098E-5</v>
      </c>
      <c r="O126" s="30">
        <f t="shared" ca="1" si="7"/>
        <v>5.899999999999987</v>
      </c>
      <c r="P126" s="36">
        <f ca="1"/>
        <v>5.9511336290057849E-4</v>
      </c>
    </row>
    <row r="127" spans="2:16" x14ac:dyDescent="0.25">
      <c r="B127" s="32">
        <v>0</v>
      </c>
      <c r="C127" s="13">
        <v>47462</v>
      </c>
      <c r="D127" s="20">
        <f ca="1"/>
        <v>9.9287671232876704</v>
      </c>
      <c r="E127" s="9">
        <v>6.0359473312300849E-3</v>
      </c>
      <c r="F127" s="17">
        <v>1.0031375848813737</v>
      </c>
      <c r="H127" s="24">
        <f ca="1"/>
        <v>6.0320340815107924E-3</v>
      </c>
      <c r="I127" s="25">
        <f t="shared" ca="1" si="4"/>
        <v>3.9132497192924734E-6</v>
      </c>
      <c r="K127" s="30">
        <f ca="1"/>
        <v>-3.0921149562385761E-3</v>
      </c>
      <c r="L127" s="1">
        <f t="shared" ca="1" si="5"/>
        <v>1.0030969004748767</v>
      </c>
      <c r="M127" s="25">
        <f t="shared" ca="1" si="6"/>
        <v>4.0684406497071279E-5</v>
      </c>
      <c r="O127" s="30">
        <f t="shared" ca="1" si="7"/>
        <v>5.9499999999999869</v>
      </c>
      <c r="P127" s="36">
        <f ca="1"/>
        <v>6.6927896657481101E-4</v>
      </c>
    </row>
    <row r="128" spans="2:16" x14ac:dyDescent="0.25">
      <c r="B128" s="32">
        <v>0</v>
      </c>
      <c r="C128" s="13">
        <v>47491</v>
      </c>
      <c r="D128" s="20">
        <f ca="1"/>
        <v>10.008219178082191</v>
      </c>
      <c r="E128" s="9">
        <v>6.1319833809027465E-3</v>
      </c>
      <c r="F128" s="17">
        <v>1.0026462163592975</v>
      </c>
      <c r="H128" s="24">
        <f ca="1"/>
        <v>6.1178969346267573E-3</v>
      </c>
      <c r="I128" s="25">
        <f t="shared" ca="1" si="4"/>
        <v>1.4086446275989213E-5</v>
      </c>
      <c r="K128" s="30">
        <f ca="1"/>
        <v>-2.6094390410508553E-3</v>
      </c>
      <c r="L128" s="1">
        <f t="shared" ca="1" si="5"/>
        <v>1.0026128465903914</v>
      </c>
      <c r="M128" s="25">
        <f t="shared" ca="1" si="6"/>
        <v>3.3369768906110764E-5</v>
      </c>
      <c r="O128" s="30">
        <f t="shared" ca="1" si="7"/>
        <v>5.9999999999999867</v>
      </c>
      <c r="P128" s="36">
        <f ca="1"/>
        <v>7.4347431206060147E-4</v>
      </c>
    </row>
    <row r="129" spans="2:16" x14ac:dyDescent="0.25">
      <c r="B129" s="32">
        <v>0</v>
      </c>
      <c r="C129" s="13">
        <v>47522</v>
      </c>
      <c r="D129" s="20">
        <f ca="1"/>
        <v>10.093150684931507</v>
      </c>
      <c r="E129" s="9">
        <v>6.2370509199451106E-3</v>
      </c>
      <c r="F129" s="17">
        <v>1.0021126578621449</v>
      </c>
      <c r="H129" s="24">
        <f ca="1"/>
        <v>6.2084351762603986E-3</v>
      </c>
      <c r="I129" s="25">
        <f t="shared" ca="1" si="4"/>
        <v>2.8615743684711967E-5</v>
      </c>
      <c r="K129" s="30">
        <f ca="1"/>
        <v>-2.0859829012838263E-3</v>
      </c>
      <c r="L129" s="1">
        <f t="shared" ca="1" si="5"/>
        <v>1.0020881600772034</v>
      </c>
      <c r="M129" s="25">
        <f t="shared" ca="1" si="6"/>
        <v>2.449778494151289E-5</v>
      </c>
      <c r="O129" s="30">
        <f t="shared" ca="1" si="7"/>
        <v>6.0499999999999865</v>
      </c>
      <c r="P129" s="36">
        <f ca="1"/>
        <v>8.1769012160356461E-4</v>
      </c>
    </row>
    <row r="130" spans="2:16" x14ac:dyDescent="0.25">
      <c r="B130" s="32">
        <v>0</v>
      </c>
      <c r="C130" s="13">
        <v>47550</v>
      </c>
      <c r="D130" s="20">
        <f ca="1"/>
        <v>10.169863013698631</v>
      </c>
      <c r="E130" s="9">
        <v>6.3257558216371071E-3</v>
      </c>
      <c r="F130" s="17">
        <v>1.0016235558412434</v>
      </c>
      <c r="H130" s="24">
        <f ca="1"/>
        <v>6.2890940121040307E-3</v>
      </c>
      <c r="I130" s="25">
        <f t="shared" ca="1" si="4"/>
        <v>3.6661809533076323E-5</v>
      </c>
      <c r="K130" s="30">
        <f ca="1"/>
        <v>-1.6066188032075131E-3</v>
      </c>
      <c r="L130" s="1">
        <f t="shared" ca="1" si="5"/>
        <v>1.0016079101066484</v>
      </c>
      <c r="M130" s="25">
        <f t="shared" ca="1" si="6"/>
        <v>1.5645734595004512E-5</v>
      </c>
      <c r="O130" s="30">
        <f t="shared" ca="1" si="7"/>
        <v>6.0999999999999863</v>
      </c>
      <c r="P130" s="36">
        <f ca="1"/>
        <v>8.9191721139257813E-4</v>
      </c>
    </row>
    <row r="131" spans="2:16" x14ac:dyDescent="0.25">
      <c r="B131" s="32">
        <v>0</v>
      </c>
      <c r="C131" s="13">
        <v>47581</v>
      </c>
      <c r="D131" s="20">
        <f ca="1"/>
        <v>10.254794520547945</v>
      </c>
      <c r="E131" s="9">
        <v>6.4174223870140336E-3</v>
      </c>
      <c r="F131" s="17">
        <v>1.001074401195623</v>
      </c>
      <c r="H131" s="24">
        <f ca="1"/>
        <v>6.3771457274893065E-3</v>
      </c>
      <c r="I131" s="25">
        <f t="shared" ca="1" si="4"/>
        <v>4.0276659524727046E-5</v>
      </c>
      <c r="K131" s="30">
        <f ca="1"/>
        <v>-1.0687280580070218E-3</v>
      </c>
      <c r="L131" s="1">
        <f t="shared" ca="1" si="5"/>
        <v>1.001069299351339</v>
      </c>
      <c r="M131" s="25">
        <f t="shared" ca="1" si="6"/>
        <v>5.1018442839279032E-6</v>
      </c>
      <c r="O131" s="30">
        <f t="shared" ca="1" si="7"/>
        <v>6.1499999999999861</v>
      </c>
      <c r="P131" s="36">
        <f ca="1"/>
        <v>9.6614649122723616E-4</v>
      </c>
    </row>
    <row r="132" spans="2:16" x14ac:dyDescent="0.25">
      <c r="B132" s="32">
        <v>0</v>
      </c>
      <c r="C132" s="13">
        <v>47611</v>
      </c>
      <c r="D132" s="20">
        <f ca="1"/>
        <v>10.336986301369864</v>
      </c>
      <c r="E132" s="9">
        <v>6.5056745971978983E-3</v>
      </c>
      <c r="F132" s="17">
        <v>1.0005356071781966</v>
      </c>
      <c r="H132" s="24">
        <f ca="1"/>
        <v>6.4610961026298512E-3</v>
      </c>
      <c r="I132" s="25">
        <f t="shared" ca="1" si="4"/>
        <v>4.4578494568047085E-5</v>
      </c>
      <c r="K132" s="30">
        <f ca="1"/>
        <v>-5.4112054580210595E-4</v>
      </c>
      <c r="L132" s="1">
        <f t="shared" ca="1" si="5"/>
        <v>1.0005412669779359</v>
      </c>
      <c r="M132" s="25">
        <f t="shared" ca="1" si="6"/>
        <v>5.6597997393215138E-6</v>
      </c>
      <c r="O132" s="30">
        <f t="shared" ca="1" si="7"/>
        <v>6.199999999999986</v>
      </c>
      <c r="P132" s="36">
        <f ca="1"/>
        <v>1.0403689641853208E-3</v>
      </c>
    </row>
    <row r="133" spans="2:16" x14ac:dyDescent="0.25">
      <c r="B133" s="32">
        <v>0</v>
      </c>
      <c r="C133" s="13">
        <v>47644</v>
      </c>
      <c r="D133" s="20">
        <f ca="1"/>
        <v>10.427397260273972</v>
      </c>
      <c r="E133" s="9">
        <v>6.5984705404474563E-3</v>
      </c>
      <c r="F133" s="17">
        <v>0.99993495933625098</v>
      </c>
      <c r="H133" s="24">
        <f ca="1"/>
        <v>6.5519961994671555E-3</v>
      </c>
      <c r="I133" s="25">
        <f t="shared" ca="1" si="4"/>
        <v>4.647434098030076E-5</v>
      </c>
      <c r="K133" s="30">
        <f ca="1"/>
        <v>4.7153987203411981E-5</v>
      </c>
      <c r="L133" s="1">
        <f t="shared" ca="1" si="5"/>
        <v>0.99995284712452837</v>
      </c>
      <c r="M133" s="25">
        <f t="shared" ca="1" si="6"/>
        <v>1.7887788277382022E-5</v>
      </c>
      <c r="O133" s="30">
        <f t="shared" ca="1" si="7"/>
        <v>6.2499999999999858</v>
      </c>
      <c r="P133" s="36">
        <f ca="1"/>
        <v>1.1145757262902647E-3</v>
      </c>
    </row>
    <row r="134" spans="2:16" x14ac:dyDescent="0.25">
      <c r="B134" s="32">
        <v>0</v>
      </c>
      <c r="C134" s="13">
        <v>47672</v>
      </c>
      <c r="D134" s="20">
        <f ca="1"/>
        <v>10.504109589041096</v>
      </c>
      <c r="E134" s="9">
        <v>6.6736824540204022E-3</v>
      </c>
      <c r="F134" s="17">
        <v>0.9994190749951859</v>
      </c>
      <c r="H134" s="24">
        <f ca="1"/>
        <v>6.6279264561925561E-3</v>
      </c>
      <c r="I134" s="25">
        <f t="shared" ca="1" si="4"/>
        <v>4.5755997827846145E-5</v>
      </c>
      <c r="K134" s="30">
        <f ca="1"/>
        <v>5.5269232107224087E-4</v>
      </c>
      <c r="L134" s="1">
        <f t="shared" ca="1" si="5"/>
        <v>0.99944746038519416</v>
      </c>
      <c r="M134" s="25">
        <f t="shared" ca="1" si="6"/>
        <v>2.8385390008267564E-5</v>
      </c>
      <c r="O134" s="30">
        <f t="shared" ca="1" si="7"/>
        <v>6.2999999999999856</v>
      </c>
      <c r="P134" s="36">
        <f ca="1"/>
        <v>1.1887579661786288E-3</v>
      </c>
    </row>
    <row r="135" spans="2:16" x14ac:dyDescent="0.25">
      <c r="B135" s="32">
        <v>0</v>
      </c>
      <c r="C135" s="13">
        <v>47703</v>
      </c>
      <c r="D135" s="20">
        <f ca="1"/>
        <v>10.58904109589041</v>
      </c>
      <c r="E135" s="9">
        <v>6.7530386740955453E-3</v>
      </c>
      <c r="F135" s="17">
        <v>0.99884156775905575</v>
      </c>
      <c r="H135" s="24">
        <f ca="1"/>
        <v>6.710700188812588E-3</v>
      </c>
      <c r="I135" s="25">
        <f t="shared" ca="1" si="4"/>
        <v>4.2338485282957319E-5</v>
      </c>
      <c r="K135" s="30">
        <f ca="1"/>
        <v>1.1191367938559586E-3</v>
      </c>
      <c r="L135" s="1">
        <f t="shared" ca="1" si="5"/>
        <v>0.99888148920617736</v>
      </c>
      <c r="M135" s="25">
        <f t="shared" ca="1" si="6"/>
        <v>3.9921447121615827E-5</v>
      </c>
      <c r="O135" s="30">
        <f t="shared" ca="1" si="7"/>
        <v>6.3499999999999854</v>
      </c>
      <c r="P135" s="36">
        <f ca="1"/>
        <v>1.2629069647675639E-3</v>
      </c>
    </row>
    <row r="136" spans="2:16" x14ac:dyDescent="0.25">
      <c r="B136" s="32">
        <v>0</v>
      </c>
      <c r="C136" s="13">
        <v>47735</v>
      </c>
      <c r="D136" s="20">
        <f ca="1"/>
        <v>10.676712328767124</v>
      </c>
      <c r="E136" s="9">
        <v>6.830470456921132E-3</v>
      </c>
      <c r="F136" s="17">
        <v>0.99823881693610361</v>
      </c>
      <c r="H136" s="24">
        <f ca="1"/>
        <v>6.7947096853196963E-3</v>
      </c>
      <c r="I136" s="25">
        <f t="shared" ref="I136:I199" ca="1" si="8">SQRT((H136-E136)^2)</f>
        <v>3.5760771601435655E-5</v>
      </c>
      <c r="K136" s="30">
        <f ca="1"/>
        <v>1.7111654450350923E-3</v>
      </c>
      <c r="L136" s="1">
        <f t="shared" ref="L136:L199" ca="1" si="9">EXP(-K136)</f>
        <v>0.9982902977638386</v>
      </c>
      <c r="M136" s="25">
        <f t="shared" ref="M136:M199" ca="1" si="10">SQRT((L136-F136)^2)</f>
        <v>5.1480827734984302E-5</v>
      </c>
      <c r="O136" s="30">
        <f t="shared" ca="1" si="7"/>
        <v>6.3999999999999853</v>
      </c>
      <c r="P136" s="36">
        <f ca="1"/>
        <v>1.3370140949222839E-3</v>
      </c>
    </row>
    <row r="137" spans="2:16" x14ac:dyDescent="0.25">
      <c r="B137" s="32">
        <v>0</v>
      </c>
      <c r="C137" s="13">
        <v>47764</v>
      </c>
      <c r="D137" s="20">
        <f ca="1"/>
        <v>10.756164383561643</v>
      </c>
      <c r="E137" s="9">
        <v>6.8966998593633965E-3</v>
      </c>
      <c r="F137" s="17">
        <v>0.99768711525373932</v>
      </c>
      <c r="H137" s="24">
        <f ca="1"/>
        <v>6.8695759459463622E-3</v>
      </c>
      <c r="I137" s="25">
        <f t="shared" ca="1" si="8"/>
        <v>2.7123913417034275E-5</v>
      </c>
      <c r="K137" s="30">
        <f ca="1"/>
        <v>2.2540012356152459E-3</v>
      </c>
      <c r="L137" s="1">
        <f t="shared" ca="1" si="9"/>
        <v>0.99774853711766121</v>
      </c>
      <c r="M137" s="25">
        <f t="shared" ca="1" si="10"/>
        <v>6.1421863921884423E-5</v>
      </c>
      <c r="O137" s="30">
        <f t="shared" ref="O137:O200" ca="1" si="11">MIN(O136+$P$5,$D$297)</f>
        <v>6.4499999999999851</v>
      </c>
      <c r="P137" s="36">
        <f ca="1"/>
        <v>1.4110708211235274E-3</v>
      </c>
    </row>
    <row r="138" spans="2:16" x14ac:dyDescent="0.25">
      <c r="B138" s="32">
        <v>0</v>
      </c>
      <c r="C138" s="13">
        <v>47795</v>
      </c>
      <c r="D138" s="20">
        <f ca="1"/>
        <v>10.841095890410958</v>
      </c>
      <c r="E138" s="9">
        <v>6.9653889019253915E-3</v>
      </c>
      <c r="F138" s="17">
        <v>0.99709199255239189</v>
      </c>
      <c r="H138" s="24">
        <f ca="1"/>
        <v>6.9482641791167804E-3</v>
      </c>
      <c r="I138" s="25">
        <f t="shared" ca="1" si="8"/>
        <v>1.7124722808611013E-5</v>
      </c>
      <c r="K138" s="30">
        <f ca="1"/>
        <v>2.8407960658843041E-3</v>
      </c>
      <c r="L138" s="1">
        <f t="shared" ca="1" si="9"/>
        <v>0.99716323517704308</v>
      </c>
      <c r="M138" s="25">
        <f t="shared" ca="1" si="10"/>
        <v>7.1242624651191022E-5</v>
      </c>
      <c r="O138" s="30">
        <f t="shared" ca="1" si="11"/>
        <v>6.4999999999999849</v>
      </c>
      <c r="P138" s="36">
        <f ca="1"/>
        <v>1.4850686991350098E-3</v>
      </c>
    </row>
    <row r="139" spans="2:16" x14ac:dyDescent="0.25">
      <c r="B139" s="32">
        <v>0</v>
      </c>
      <c r="C139" s="13">
        <v>47826</v>
      </c>
      <c r="D139" s="20">
        <f ca="1"/>
        <v>10.926027397260274</v>
      </c>
      <c r="E139" s="9">
        <v>7.0250341603894772E-3</v>
      </c>
      <c r="F139" s="17">
        <v>0.99649171229989142</v>
      </c>
      <c r="H139" s="24">
        <f ca="1"/>
        <v>7.0255581206892905E-3</v>
      </c>
      <c r="I139" s="25">
        <f t="shared" ca="1" si="8"/>
        <v>5.2396029981329612E-7</v>
      </c>
      <c r="K139" s="30">
        <f ca="1"/>
        <v>3.4342148554741395E-3</v>
      </c>
      <c r="L139" s="1">
        <f t="shared" ca="1" si="9"/>
        <v>0.99657167531572899</v>
      </c>
      <c r="M139" s="25">
        <f t="shared" ca="1" si="10"/>
        <v>7.9963015837569706E-5</v>
      </c>
      <c r="O139" s="30">
        <f t="shared" ca="1" si="11"/>
        <v>6.5499999999999847</v>
      </c>
      <c r="P139" s="36">
        <f ca="1"/>
        <v>1.5589993756709569E-3</v>
      </c>
    </row>
    <row r="140" spans="2:16" x14ac:dyDescent="0.25">
      <c r="B140" s="32">
        <v>0</v>
      </c>
      <c r="C140" s="13">
        <v>47856</v>
      </c>
      <c r="D140" s="20">
        <f ca="1"/>
        <v>11.008219178082191</v>
      </c>
      <c r="E140" s="9">
        <v>7.0804548087000131E-3</v>
      </c>
      <c r="F140" s="17">
        <v>0.99590626983992048</v>
      </c>
      <c r="H140" s="24">
        <f ca="1"/>
        <v>7.0990235768857816E-3</v>
      </c>
      <c r="I140" s="25">
        <f t="shared" ca="1" si="8"/>
        <v>1.8568768185768525E-5</v>
      </c>
      <c r="K140" s="30">
        <f ca="1"/>
        <v>4.0146861363649783E-3</v>
      </c>
      <c r="L140" s="1">
        <f t="shared" ca="1" si="9"/>
        <v>0.99599336194224963</v>
      </c>
      <c r="M140" s="25">
        <f t="shared" ca="1" si="10"/>
        <v>8.7092102329155985E-5</v>
      </c>
      <c r="O140" s="30">
        <f t="shared" ca="1" si="11"/>
        <v>6.5999999999999845</v>
      </c>
      <c r="P140" s="36">
        <f ca="1"/>
        <v>1.6328545880634859E-3</v>
      </c>
    </row>
    <row r="141" spans="2:16" x14ac:dyDescent="0.25">
      <c r="B141" s="32">
        <v>0</v>
      </c>
      <c r="C141" s="13">
        <v>47889</v>
      </c>
      <c r="D141" s="20">
        <f ca="1"/>
        <v>11.098630136986301</v>
      </c>
      <c r="E141" s="9">
        <v>7.1391938126008575E-3</v>
      </c>
      <c r="F141" s="17">
        <v>0.9952575095956544</v>
      </c>
      <c r="H141" s="24">
        <f ca="1"/>
        <v>7.1783105422282946E-3</v>
      </c>
      <c r="I141" s="25">
        <f t="shared" ca="1" si="8"/>
        <v>3.9116729627437091E-5</v>
      </c>
      <c r="K141" s="30">
        <f ca="1"/>
        <v>4.6601119384573429E-3</v>
      </c>
      <c r="L141" s="1">
        <f t="shared" ca="1" si="9"/>
        <v>0.99535072953581627</v>
      </c>
      <c r="M141" s="25">
        <f t="shared" ca="1" si="10"/>
        <v>9.3219940161870518E-5</v>
      </c>
      <c r="O141" s="30">
        <f t="shared" ca="1" si="11"/>
        <v>6.6499999999999844</v>
      </c>
      <c r="P141" s="36">
        <f ca="1"/>
        <v>1.7066261639301242E-3</v>
      </c>
    </row>
    <row r="142" spans="2:16" x14ac:dyDescent="0.25">
      <c r="B142" s="32">
        <v>0</v>
      </c>
      <c r="C142" s="13">
        <v>47917</v>
      </c>
      <c r="D142" s="20">
        <f ca="1"/>
        <v>11.175342465753424</v>
      </c>
      <c r="E142" s="9">
        <v>7.1897364122264079E-3</v>
      </c>
      <c r="F142" s="17">
        <v>0.99470315013714272</v>
      </c>
      <c r="H142" s="24">
        <f ca="1"/>
        <v>7.2443253185641918E-3</v>
      </c>
      <c r="I142" s="25">
        <f t="shared" ca="1" si="8"/>
        <v>5.4588906337783849E-5</v>
      </c>
      <c r="K142" s="30">
        <f ca="1"/>
        <v>5.2133163368701021E-3</v>
      </c>
      <c r="L142" s="1">
        <f t="shared" ca="1" si="9"/>
        <v>0.99480024941232537</v>
      </c>
      <c r="M142" s="25">
        <f t="shared" ca="1" si="10"/>
        <v>9.7099275182643829E-5</v>
      </c>
      <c r="O142" s="30">
        <f t="shared" ca="1" si="11"/>
        <v>6.6999999999999842</v>
      </c>
      <c r="P142" s="36">
        <f ca="1"/>
        <v>1.7803060208412679E-3</v>
      </c>
    </row>
    <row r="143" spans="2:16" x14ac:dyDescent="0.25">
      <c r="B143" s="32">
        <v>0</v>
      </c>
      <c r="C143" s="13">
        <v>47946</v>
      </c>
      <c r="D143" s="20">
        <f ca="1"/>
        <v>11.254794520547945</v>
      </c>
      <c r="E143" s="9">
        <v>7.242772548908794E-3</v>
      </c>
      <c r="F143" s="17">
        <v>0.99412517158523317</v>
      </c>
      <c r="H143" s="24">
        <f ca="1"/>
        <v>7.31147383950379E-3</v>
      </c>
      <c r="I143" s="25">
        <f t="shared" ca="1" si="8"/>
        <v>6.8701290594995988E-5</v>
      </c>
      <c r="K143" s="30">
        <f ca="1"/>
        <v>5.7915686753454154E-3</v>
      </c>
      <c r="L143" s="1">
        <f t="shared" ca="1" si="9"/>
        <v>0.9942251701282816</v>
      </c>
      <c r="M143" s="25">
        <f t="shared" ca="1" si="10"/>
        <v>9.9998543048429589E-5</v>
      </c>
      <c r="O143" s="30">
        <f t="shared" ca="1" si="11"/>
        <v>6.749999999999984</v>
      </c>
      <c r="P143" s="36">
        <f ca="1"/>
        <v>1.8538861659876393E-3</v>
      </c>
    </row>
    <row r="144" spans="2:16" x14ac:dyDescent="0.25">
      <c r="B144" s="32">
        <v>0</v>
      </c>
      <c r="C144" s="13">
        <v>47976</v>
      </c>
      <c r="D144" s="20">
        <f ca="1"/>
        <v>11.336986301369864</v>
      </c>
      <c r="E144" s="9">
        <v>7.2984583667856347E-3</v>
      </c>
      <c r="F144" s="17">
        <v>0.99352311820691419</v>
      </c>
      <c r="H144" s="24">
        <f ca="1"/>
        <v>7.3796220369726278E-3</v>
      </c>
      <c r="I144" s="25">
        <f t="shared" ca="1" si="8"/>
        <v>8.1163670186993123E-5</v>
      </c>
      <c r="K144" s="30">
        <f ca="1"/>
        <v>6.3953215240682443E-3</v>
      </c>
      <c r="L144" s="1">
        <f t="shared" ca="1" si="9"/>
        <v>0.99362508501932023</v>
      </c>
      <c r="M144" s="25">
        <f t="shared" ca="1" si="10"/>
        <v>1.0196681240604022E-4</v>
      </c>
      <c r="O144" s="30">
        <f t="shared" ca="1" si="11"/>
        <v>6.7999999999999838</v>
      </c>
      <c r="P144" s="36">
        <f ca="1"/>
        <v>1.9273586958477886E-3</v>
      </c>
    </row>
    <row r="145" spans="2:16" x14ac:dyDescent="0.25">
      <c r="B145" s="32">
        <v>0</v>
      </c>
      <c r="C145" s="13">
        <v>48008</v>
      </c>
      <c r="D145" s="20">
        <f ca="1"/>
        <v>11.424657534246576</v>
      </c>
      <c r="E145" s="9">
        <v>7.3588870040044467E-3</v>
      </c>
      <c r="F145" s="17">
        <v>0.99287620842659885</v>
      </c>
      <c r="H145" s="24">
        <f ca="1"/>
        <v>7.4508329133572233E-3</v>
      </c>
      <c r="I145" s="25">
        <f t="shared" ca="1" si="8"/>
        <v>9.1945909352776634E-5</v>
      </c>
      <c r="K145" s="30">
        <f ca="1"/>
        <v>7.0454348449168792E-3</v>
      </c>
      <c r="L145" s="1">
        <f t="shared" ca="1" si="9"/>
        <v>0.99297932604661887</v>
      </c>
      <c r="M145" s="25">
        <f t="shared" ca="1" si="10"/>
        <v>1.0311762002002123E-4</v>
      </c>
      <c r="O145" s="30">
        <f t="shared" ca="1" si="11"/>
        <v>6.8499999999999837</v>
      </c>
      <c r="P145" s="36">
        <f ca="1"/>
        <v>2.0007157958555092E-3</v>
      </c>
    </row>
    <row r="146" spans="2:16" x14ac:dyDescent="0.25">
      <c r="B146" s="32">
        <v>0</v>
      </c>
      <c r="C146" s="13">
        <v>48037</v>
      </c>
      <c r="D146" s="20">
        <f ca="1"/>
        <v>11.504109589041096</v>
      </c>
      <c r="E146" s="9">
        <v>7.4145723921450763E-3</v>
      </c>
      <c r="F146" s="17">
        <v>0.99228566965146692</v>
      </c>
      <c r="H146" s="24">
        <f ca="1"/>
        <v>7.5140430538181268E-3</v>
      </c>
      <c r="I146" s="25">
        <f t="shared" ca="1" si="8"/>
        <v>9.9470661673050492E-5</v>
      </c>
      <c r="K146" s="30">
        <f ca="1"/>
        <v>7.639938271177019E-3</v>
      </c>
      <c r="L146" s="1">
        <f t="shared" ca="1" si="9"/>
        <v>0.99238917187679843</v>
      </c>
      <c r="M146" s="25">
        <f t="shared" ca="1" si="10"/>
        <v>1.0350222533150877E-4</v>
      </c>
      <c r="O146" s="30">
        <f t="shared" ca="1" si="11"/>
        <v>6.8999999999999835</v>
      </c>
      <c r="P146" s="36">
        <f ca="1"/>
        <v>2.0739497400673462E-3</v>
      </c>
    </row>
    <row r="147" spans="2:16" x14ac:dyDescent="0.25">
      <c r="B147" s="32">
        <v>0</v>
      </c>
      <c r="C147" s="13">
        <v>48068</v>
      </c>
      <c r="D147" s="20">
        <f ca="1"/>
        <v>11.58904109589041</v>
      </c>
      <c r="E147" s="9">
        <v>7.4772660610116035E-3</v>
      </c>
      <c r="F147" s="17">
        <v>0.99164983251156025</v>
      </c>
      <c r="H147" s="24">
        <f ca="1"/>
        <v>7.5802151923618933E-3</v>
      </c>
      <c r="I147" s="25">
        <f t="shared" ca="1" si="8"/>
        <v>1.0294913135028977E-4</v>
      </c>
      <c r="K147" s="30">
        <f ca="1"/>
        <v>8.2809375541306497E-3</v>
      </c>
      <c r="L147" s="1">
        <f t="shared" ca="1" si="9"/>
        <v>0.9917532549621314</v>
      </c>
      <c r="M147" s="25">
        <f t="shared" ca="1" si="10"/>
        <v>1.0342245057115562E-4</v>
      </c>
      <c r="O147" s="30">
        <f t="shared" ca="1" si="11"/>
        <v>6.9499999999999833</v>
      </c>
      <c r="P147" s="36">
        <f ca="1"/>
        <v>2.1470528908300564E-3</v>
      </c>
    </row>
    <row r="148" spans="2:16" x14ac:dyDescent="0.25">
      <c r="B148" s="32">
        <v>0</v>
      </c>
      <c r="C148" s="13">
        <v>48099</v>
      </c>
      <c r="D148" s="20">
        <f ca="1"/>
        <v>11.673972602739726</v>
      </c>
      <c r="E148" s="9">
        <v>7.5368581800360646E-3</v>
      </c>
      <c r="F148" s="17">
        <v>0.99100918677796612</v>
      </c>
      <c r="H148" s="24">
        <f ca="1"/>
        <v>7.6449393358997593E-3</v>
      </c>
      <c r="I148" s="25">
        <f t="shared" ca="1" si="8"/>
        <v>1.0808115586369467E-4</v>
      </c>
      <c r="K148" s="30">
        <f ca="1"/>
        <v>8.9274954743236209E-3</v>
      </c>
      <c r="L148" s="1">
        <f t="shared" ca="1" si="9"/>
        <v>0.99111223629043887</v>
      </c>
      <c r="M148" s="25">
        <f t="shared" ca="1" si="10"/>
        <v>1.0304951247275262E-4</v>
      </c>
      <c r="O148" s="30">
        <f t="shared" ca="1" si="11"/>
        <v>6.9999999999999831</v>
      </c>
      <c r="P148" s="36">
        <f ca="1"/>
        <v>2.2200176984480684E-3</v>
      </c>
    </row>
    <row r="149" spans="2:16" x14ac:dyDescent="0.25">
      <c r="B149" s="32">
        <v>0</v>
      </c>
      <c r="C149" s="13">
        <v>48129</v>
      </c>
      <c r="D149" s="20">
        <f ca="1"/>
        <v>11.756164383561643</v>
      </c>
      <c r="E149" s="9">
        <v>7.597692098178988E-3</v>
      </c>
      <c r="F149" s="17">
        <v>0.99038454489727146</v>
      </c>
      <c r="H149" s="24">
        <f ca="1"/>
        <v>7.7061934116457644E-3</v>
      </c>
      <c r="I149" s="25">
        <f t="shared" ca="1" si="8"/>
        <v>1.085013134667764E-4</v>
      </c>
      <c r="K149" s="30">
        <f ca="1"/>
        <v>9.5583732661531917E-3</v>
      </c>
      <c r="L149" s="1">
        <f t="shared" ca="1" si="9"/>
        <v>0.99048716278458115</v>
      </c>
      <c r="M149" s="25">
        <f t="shared" ca="1" si="10"/>
        <v>1.0261788730969723E-4</v>
      </c>
      <c r="O149" s="30">
        <f t="shared" ca="1" si="11"/>
        <v>7.0499999999999829</v>
      </c>
      <c r="P149" s="36">
        <f ca="1"/>
        <v>2.2928367008509514E-3</v>
      </c>
    </row>
    <row r="150" spans="2:16" x14ac:dyDescent="0.25">
      <c r="B150" s="32">
        <v>0</v>
      </c>
      <c r="C150" s="13">
        <v>48162</v>
      </c>
      <c r="D150" s="20">
        <f ca="1"/>
        <v>11.846575342465753</v>
      </c>
      <c r="E150" s="9">
        <v>7.6659598199745552E-3</v>
      </c>
      <c r="F150" s="17">
        <v>0.98969204263379895</v>
      </c>
      <c r="H150" s="24">
        <f ca="1"/>
        <v>7.7719990776803725E-3</v>
      </c>
      <c r="I150" s="25">
        <f t="shared" ca="1" si="8"/>
        <v>1.0603925770581724E-4</v>
      </c>
      <c r="K150" s="30">
        <f ca="1"/>
        <v>1.0258084813484199E-2</v>
      </c>
      <c r="L150" s="1">
        <f t="shared" ca="1" si="9"/>
        <v>0.98979434989215476</v>
      </c>
      <c r="M150" s="25">
        <f t="shared" ca="1" si="10"/>
        <v>1.023072583558049E-4</v>
      </c>
      <c r="O150" s="30">
        <f t="shared" ca="1" si="11"/>
        <v>7.0999999999999828</v>
      </c>
      <c r="P150" s="36">
        <f ca="1"/>
        <v>2.3655025232608828E-3</v>
      </c>
    </row>
    <row r="151" spans="2:16" x14ac:dyDescent="0.25">
      <c r="B151" s="32">
        <v>0</v>
      </c>
      <c r="C151" s="13">
        <v>48190</v>
      </c>
      <c r="D151" s="20">
        <f ca="1"/>
        <v>11.923287671232877</v>
      </c>
      <c r="E151" s="9">
        <v>7.7250794468485401E-3</v>
      </c>
      <c r="F151" s="17">
        <v>0.98909994377159161</v>
      </c>
      <c r="H151" s="24">
        <f ca="1"/>
        <v>7.8265387884373164E-3</v>
      </c>
      <c r="I151" s="25">
        <f t="shared" ca="1" si="8"/>
        <v>1.0145934158877629E-4</v>
      </c>
      <c r="K151" s="30">
        <f ca="1"/>
        <v>1.0856392504947366E-2</v>
      </c>
      <c r="L151" s="1">
        <f t="shared" ca="1" si="9"/>
        <v>0.98920232544369868</v>
      </c>
      <c r="M151" s="25">
        <f t="shared" ca="1" si="10"/>
        <v>1.0238167210707694E-4</v>
      </c>
      <c r="O151" s="30">
        <f t="shared" ca="1" si="11"/>
        <v>7.1499999999999826</v>
      </c>
      <c r="P151" s="36">
        <f ca="1"/>
        <v>2.4380078778601291E-3</v>
      </c>
    </row>
    <row r="152" spans="2:16" x14ac:dyDescent="0.25">
      <c r="B152" s="32">
        <v>0</v>
      </c>
      <c r="C152" s="13">
        <v>48221</v>
      </c>
      <c r="D152" s="20">
        <f ca="1"/>
        <v>12.008219178082191</v>
      </c>
      <c r="E152" s="9">
        <v>7.7918179518958637E-3</v>
      </c>
      <c r="F152" s="17">
        <v>0.98843946634151114</v>
      </c>
      <c r="H152" s="24">
        <f ca="1"/>
        <v>7.8855326614974061E-3</v>
      </c>
      <c r="I152" s="25">
        <f t="shared" ca="1" si="8"/>
        <v>9.3714709601542406E-5</v>
      </c>
      <c r="K152" s="30">
        <f ca="1"/>
        <v>1.152362779725935E-2</v>
      </c>
      <c r="L152" s="1">
        <f t="shared" ca="1" si="9"/>
        <v>0.98854251488984857</v>
      </c>
      <c r="M152" s="25">
        <f t="shared" ca="1" si="10"/>
        <v>1.0304854833742549E-4</v>
      </c>
      <c r="O152" s="30">
        <f t="shared" ca="1" si="11"/>
        <v>7.1999999999999824</v>
      </c>
      <c r="P152" s="36">
        <f ca="1"/>
        <v>2.5103455634584992E-3</v>
      </c>
    </row>
    <row r="153" spans="2:16" x14ac:dyDescent="0.25">
      <c r="B153" s="32">
        <v>0</v>
      </c>
      <c r="C153" s="13">
        <v>48253</v>
      </c>
      <c r="D153" s="20">
        <f ca="1"/>
        <v>12.095890410958905</v>
      </c>
      <c r="E153" s="9">
        <v>7.8609294658425963E-3</v>
      </c>
      <c r="F153" s="17">
        <v>0.98775216167043856</v>
      </c>
      <c r="H153" s="24">
        <f ca="1"/>
        <v>7.9448961907010729E-3</v>
      </c>
      <c r="I153" s="25">
        <f t="shared" ca="1" si="8"/>
        <v>8.3966724858476616E-5</v>
      </c>
      <c r="K153" s="30">
        <f ca="1"/>
        <v>1.221757579137233E-2</v>
      </c>
      <c r="L153" s="1">
        <f t="shared" ca="1" si="9"/>
        <v>0.98785675576265053</v>
      </c>
      <c r="M153" s="25">
        <f t="shared" ca="1" si="10"/>
        <v>1.0459409221197369E-4</v>
      </c>
      <c r="O153" s="30">
        <f t="shared" ca="1" si="11"/>
        <v>7.2499999999999822</v>
      </c>
      <c r="P153" s="36">
        <f ca="1"/>
        <v>2.5825084651608194E-3</v>
      </c>
    </row>
    <row r="154" spans="2:16" x14ac:dyDescent="0.25">
      <c r="B154" s="32">
        <v>0</v>
      </c>
      <c r="C154" s="13">
        <v>48281</v>
      </c>
      <c r="D154" s="20">
        <f ca="1"/>
        <v>12.172602739726027</v>
      </c>
      <c r="E154" s="9">
        <v>7.920119174097278E-3</v>
      </c>
      <c r="F154" s="17">
        <v>0.98714623682158087</v>
      </c>
      <c r="H154" s="24">
        <f ca="1"/>
        <v>7.9955602196235907E-3</v>
      </c>
      <c r="I154" s="25">
        <f t="shared" ca="1" si="8"/>
        <v>7.5441045526312631E-5</v>
      </c>
      <c r="K154" s="30">
        <f ca="1"/>
        <v>1.2828998192365181E-2</v>
      </c>
      <c r="L154" s="1">
        <f t="shared" ca="1" si="9"/>
        <v>0.98725294262445507</v>
      </c>
      <c r="M154" s="25">
        <f t="shared" ca="1" si="10"/>
        <v>1.0670580287419629E-4</v>
      </c>
      <c r="O154" s="30">
        <f t="shared" ca="1" si="11"/>
        <v>7.2999999999999821</v>
      </c>
      <c r="P154" s="36">
        <f ca="1"/>
        <v>2.6544895540344003E-3</v>
      </c>
    </row>
    <row r="155" spans="2:16" x14ac:dyDescent="0.25">
      <c r="B155" s="32">
        <v>0</v>
      </c>
      <c r="C155" s="13">
        <v>48312</v>
      </c>
      <c r="D155" s="20">
        <f ca="1"/>
        <v>12.257534246575343</v>
      </c>
      <c r="E155" s="9">
        <v>7.9842337470280317E-3</v>
      </c>
      <c r="F155" s="17">
        <v>0.9864705841036937</v>
      </c>
      <c r="H155" s="24">
        <f ca="1"/>
        <v>8.0502590854817924E-3</v>
      </c>
      <c r="I155" s="25">
        <f t="shared" ca="1" si="8"/>
        <v>6.6025338453760615E-5</v>
      </c>
      <c r="K155" s="30">
        <f ca="1"/>
        <v>1.3510406364760343E-2</v>
      </c>
      <c r="L155" s="1">
        <f t="shared" ca="1" si="9"/>
        <v>0.98658044954828938</v>
      </c>
      <c r="M155" s="25">
        <f t="shared" ca="1" si="10"/>
        <v>1.0986544459568037E-4</v>
      </c>
      <c r="O155" s="30">
        <f t="shared" ca="1" si="11"/>
        <v>7.3499999999999819</v>
      </c>
      <c r="P155" s="36">
        <f ca="1"/>
        <v>2.7262818867764931E-3</v>
      </c>
    </row>
    <row r="156" spans="2:16" x14ac:dyDescent="0.25">
      <c r="B156" s="32">
        <v>0</v>
      </c>
      <c r="C156" s="13">
        <v>48344</v>
      </c>
      <c r="D156" s="20">
        <f ca="1"/>
        <v>12.345205479452055</v>
      </c>
      <c r="E156" s="9">
        <v>8.0488193334321591E-3</v>
      </c>
      <c r="F156" s="17">
        <v>0.98576797921281833</v>
      </c>
      <c r="H156" s="24">
        <f ca="1"/>
        <v>8.1051859085196163E-3</v>
      </c>
      <c r="I156" s="25">
        <f t="shared" ca="1" si="8"/>
        <v>5.6366575087457224E-5</v>
      </c>
      <c r="K156" s="30">
        <f ca="1"/>
        <v>1.421860166008114E-2</v>
      </c>
      <c r="L156" s="1">
        <f t="shared" ca="1" si="9"/>
        <v>0.9858820052621341</v>
      </c>
      <c r="M156" s="25">
        <f t="shared" ca="1" si="10"/>
        <v>1.1402604931576299E-4</v>
      </c>
      <c r="O156" s="30">
        <f t="shared" ca="1" si="11"/>
        <v>7.3999999999999817</v>
      </c>
      <c r="P156" s="36">
        <f ca="1"/>
        <v>2.7978786053817744E-3</v>
      </c>
    </row>
    <row r="157" spans="2:16" x14ac:dyDescent="0.25">
      <c r="B157" s="32">
        <v>0</v>
      </c>
      <c r="C157" s="13">
        <v>48373</v>
      </c>
      <c r="D157" s="20">
        <f ca="1"/>
        <v>12.424657534246576</v>
      </c>
      <c r="E157" s="9">
        <v>8.1059040347928983E-3</v>
      </c>
      <c r="F157" s="17">
        <v>0.98512684812632911</v>
      </c>
      <c r="H157" s="24">
        <f ca="1"/>
        <v>8.1536149240371801E-3</v>
      </c>
      <c r="I157" s="25">
        <f t="shared" ca="1" si="8"/>
        <v>4.7710889244281796E-5</v>
      </c>
      <c r="K157" s="30">
        <f ca="1"/>
        <v>1.4864507715891755E-2</v>
      </c>
      <c r="L157" s="1">
        <f t="shared" ca="1" si="9"/>
        <v>0.98524542371269108</v>
      </c>
      <c r="M157" s="25">
        <f t="shared" ca="1" si="10"/>
        <v>1.1857558636196863E-4</v>
      </c>
      <c r="O157" s="30">
        <f t="shared" ca="1" si="11"/>
        <v>7.4499999999999815</v>
      </c>
      <c r="P157" s="36">
        <f ca="1"/>
        <v>2.8692729368098207E-3</v>
      </c>
    </row>
    <row r="158" spans="2:16" x14ac:dyDescent="0.25">
      <c r="B158" s="32">
        <v>0</v>
      </c>
      <c r="C158" s="13">
        <v>48403</v>
      </c>
      <c r="D158" s="20">
        <f ca="1"/>
        <v>12.506849315068493</v>
      </c>
      <c r="E158" s="9">
        <v>8.1635066939154677E-3</v>
      </c>
      <c r="F158" s="17">
        <v>0.98445934091987253</v>
      </c>
      <c r="H158" s="24">
        <f ca="1"/>
        <v>8.2023649591765856E-3</v>
      </c>
      <c r="I158" s="25">
        <f t="shared" ca="1" si="8"/>
        <v>3.885826526111788E-5</v>
      </c>
      <c r="K158" s="30">
        <f ca="1"/>
        <v>1.5536680667101139E-2</v>
      </c>
      <c r="L158" s="1">
        <f t="shared" ca="1" si="9"/>
        <v>0.98458339091376512</v>
      </c>
      <c r="M158" s="25">
        <f t="shared" ca="1" si="10"/>
        <v>1.240499938925943E-4</v>
      </c>
      <c r="O158" s="30">
        <f t="shared" ca="1" si="11"/>
        <v>7.4999999999999813</v>
      </c>
      <c r="P158" s="36">
        <f ca="1"/>
        <v>2.9404581926525475E-3</v>
      </c>
    </row>
    <row r="159" spans="2:16" x14ac:dyDescent="0.25">
      <c r="B159" s="32">
        <v>0</v>
      </c>
      <c r="C159" s="13">
        <v>48435</v>
      </c>
      <c r="D159" s="20">
        <f ca="1"/>
        <v>12.594520547945205</v>
      </c>
      <c r="E159" s="9">
        <v>8.2232966691262923E-3</v>
      </c>
      <c r="F159" s="17">
        <v>0.98374269504390111</v>
      </c>
      <c r="H159" s="24">
        <f ca="1"/>
        <v>8.2528536463331737E-3</v>
      </c>
      <c r="I159" s="25">
        <f t="shared" ca="1" si="8"/>
        <v>2.9556977206881413E-5</v>
      </c>
      <c r="K159" s="30">
        <f ca="1"/>
        <v>1.6258016712691638E-2</v>
      </c>
      <c r="L159" s="1">
        <f t="shared" ca="1" si="9"/>
        <v>0.98387343151444628</v>
      </c>
      <c r="M159" s="25">
        <f t="shared" ca="1" si="10"/>
        <v>1.3073647054517856E-4</v>
      </c>
      <c r="O159" s="30">
        <f t="shared" ca="1" si="11"/>
        <v>7.5499999999999812</v>
      </c>
      <c r="P159" s="36">
        <f ca="1"/>
        <v>3.0114277688016978E-3</v>
      </c>
    </row>
    <row r="160" spans="2:16" x14ac:dyDescent="0.25">
      <c r="B160" s="32">
        <v>0</v>
      </c>
      <c r="C160" s="13">
        <v>48465</v>
      </c>
      <c r="D160" s="20">
        <f ca="1"/>
        <v>12.676712328767124</v>
      </c>
      <c r="E160" s="9">
        <v>8.2777653488528662E-3</v>
      </c>
      <c r="F160" s="17">
        <v>0.98306663251490944</v>
      </c>
      <c r="H160" s="24">
        <f ca="1"/>
        <v>8.2987709466259205E-3</v>
      </c>
      <c r="I160" s="25">
        <f t="shared" ca="1" si="8"/>
        <v>2.1005597773054302E-5</v>
      </c>
      <c r="K160" s="30">
        <f ca="1"/>
        <v>1.6938229843425481E-2</v>
      </c>
      <c r="L160" s="1">
        <f t="shared" ca="1" si="9"/>
        <v>0.98320441544990145</v>
      </c>
      <c r="M160" s="25">
        <f t="shared" ca="1" si="10"/>
        <v>1.3778293499200345E-4</v>
      </c>
      <c r="O160" s="30">
        <f t="shared" ca="1" si="11"/>
        <v>7.599999999999981</v>
      </c>
      <c r="P160" s="36">
        <f ca="1"/>
        <v>3.0821751451163134E-3</v>
      </c>
    </row>
    <row r="161" spans="2:16" x14ac:dyDescent="0.25">
      <c r="B161" s="32">
        <v>0</v>
      </c>
      <c r="C161" s="13">
        <v>48495</v>
      </c>
      <c r="D161" s="20">
        <f ca="1"/>
        <v>12.758904109589041</v>
      </c>
      <c r="E161" s="9">
        <v>8.3326268316246416E-3</v>
      </c>
      <c r="F161" s="17">
        <v>0.98238663638771384</v>
      </c>
      <c r="H161" s="24">
        <f ca="1"/>
        <v>8.3433194688108999E-3</v>
      </c>
      <c r="I161" s="25">
        <f t="shared" ca="1" si="8"/>
        <v>1.0692637186258264E-5</v>
      </c>
      <c r="K161" s="30">
        <f ca="1"/>
        <v>1.762216073706372E-2</v>
      </c>
      <c r="L161" s="1">
        <f t="shared" ca="1" si="9"/>
        <v>0.98253220147556886</v>
      </c>
      <c r="M161" s="25">
        <f t="shared" ca="1" si="10"/>
        <v>1.4556508785501521E-4</v>
      </c>
      <c r="O161" s="30">
        <f t="shared" ca="1" si="11"/>
        <v>7.6499999999999808</v>
      </c>
      <c r="P161" s="36">
        <f ca="1"/>
        <v>3.1526938850901815E-3</v>
      </c>
    </row>
    <row r="162" spans="2:16" x14ac:dyDescent="0.25">
      <c r="B162" s="32">
        <v>0</v>
      </c>
      <c r="C162" s="13">
        <v>48526</v>
      </c>
      <c r="D162" s="20">
        <f ca="1"/>
        <v>12.843835616438357</v>
      </c>
      <c r="E162" s="9">
        <v>8.3837483808833161E-3</v>
      </c>
      <c r="F162" s="17">
        <v>0.98167998497643438</v>
      </c>
      <c r="H162" s="24">
        <f ca="1"/>
        <v>8.3879168061183496E-3</v>
      </c>
      <c r="I162" s="25">
        <f t="shared" ca="1" si="8"/>
        <v>4.1684252350335238E-6</v>
      </c>
      <c r="K162" s="30">
        <f ca="1"/>
        <v>1.8332675614765998E-2</v>
      </c>
      <c r="L162" s="1">
        <f t="shared" ca="1" si="9"/>
        <v>0.98183434567642103</v>
      </c>
      <c r="M162" s="25">
        <f t="shared" ca="1" si="10"/>
        <v>1.5436069998664426E-4</v>
      </c>
      <c r="O162" s="30">
        <f t="shared" ca="1" si="11"/>
        <v>7.6999999999999806</v>
      </c>
      <c r="P162" s="36">
        <f ca="1"/>
        <v>3.2229776355193274E-3</v>
      </c>
    </row>
    <row r="163" spans="2:16" x14ac:dyDescent="0.25">
      <c r="B163" s="32">
        <v>0</v>
      </c>
      <c r="C163" s="13">
        <v>48556</v>
      </c>
      <c r="D163" s="20">
        <f ca="1"/>
        <v>12.926027397260274</v>
      </c>
      <c r="E163" s="9">
        <v>8.4334618163369405E-3</v>
      </c>
      <c r="F163" s="17">
        <v>0.9809924108367063</v>
      </c>
      <c r="H163" s="24">
        <f ca="1"/>
        <v>8.4296878641413331E-3</v>
      </c>
      <c r="I163" s="25">
        <f t="shared" ca="1" si="8"/>
        <v>3.7739521956074024E-6</v>
      </c>
      <c r="K163" s="30">
        <f ca="1"/>
        <v>1.9023819393818593E-2</v>
      </c>
      <c r="L163" s="1">
        <f t="shared" ca="1" si="9"/>
        <v>0.98115599142351051</v>
      </c>
      <c r="M163" s="25">
        <f t="shared" ca="1" si="10"/>
        <v>1.6358058680421284E-4</v>
      </c>
      <c r="O163" s="30">
        <f t="shared" ca="1" si="11"/>
        <v>7.7499999999999805</v>
      </c>
      <c r="P163" s="36">
        <f ca="1"/>
        <v>3.2930201261694709E-3</v>
      </c>
    </row>
    <row r="164" spans="2:16" x14ac:dyDescent="0.25">
      <c r="B164" s="32">
        <v>0</v>
      </c>
      <c r="C164" s="13">
        <v>48589</v>
      </c>
      <c r="D164" s="20">
        <f ca="1"/>
        <v>13.016438356164384</v>
      </c>
      <c r="E164" s="9">
        <v>8.4862932386139331E-3</v>
      </c>
      <c r="F164" s="17">
        <v>0.98023202344727556</v>
      </c>
      <c r="H164" s="24">
        <f ca="1"/>
        <v>8.4740625278560654E-3</v>
      </c>
      <c r="I164" s="25">
        <f t="shared" ca="1" si="8"/>
        <v>1.2230710757867719E-5</v>
      </c>
      <c r="K164" s="30">
        <f ca="1"/>
        <v>1.9787973941825122E-2</v>
      </c>
      <c r="L164" s="1">
        <f t="shared" ca="1" si="9"/>
        <v>0.98040652300168185</v>
      </c>
      <c r="M164" s="25">
        <f t="shared" ca="1" si="10"/>
        <v>1.7449955440629328E-4</v>
      </c>
      <c r="O164" s="30">
        <f t="shared" ca="1" si="11"/>
        <v>7.7999999999999803</v>
      </c>
      <c r="P164" s="36">
        <f ca="1"/>
        <v>3.3628151694434956E-3</v>
      </c>
    </row>
    <row r="165" spans="2:16" x14ac:dyDescent="0.25">
      <c r="B165" s="32">
        <v>0</v>
      </c>
      <c r="C165" s="13">
        <v>48618</v>
      </c>
      <c r="D165" s="20">
        <f ca="1"/>
        <v>13.095890410958905</v>
      </c>
      <c r="E165" s="9">
        <v>8.5310882502339785E-3</v>
      </c>
      <c r="F165" s="17">
        <v>0.97956043941971183</v>
      </c>
      <c r="H165" s="24">
        <f ca="1"/>
        <v>8.5117004980400108E-3</v>
      </c>
      <c r="I165" s="25">
        <f t="shared" ca="1" si="8"/>
        <v>1.9387752193967753E-5</v>
      </c>
      <c r="K165" s="30">
        <f ca="1"/>
        <v>2.0462759230120319E-2</v>
      </c>
      <c r="L165" s="1">
        <f t="shared" ca="1" si="9"/>
        <v>0.97974518226000751</v>
      </c>
      <c r="M165" s="25">
        <f t="shared" ca="1" si="10"/>
        <v>1.8474284029568189E-4</v>
      </c>
      <c r="O165" s="30">
        <f t="shared" ca="1" si="11"/>
        <v>7.8499999999999801</v>
      </c>
      <c r="P165" s="36">
        <f ca="1"/>
        <v>3.4323566600489076E-3</v>
      </c>
    </row>
    <row r="166" spans="2:16" x14ac:dyDescent="0.25">
      <c r="B166" s="32">
        <v>0</v>
      </c>
      <c r="C166" s="13">
        <v>48646</v>
      </c>
      <c r="D166" s="20">
        <f ca="1"/>
        <v>13.172602739726027</v>
      </c>
      <c r="E166" s="9">
        <v>8.5728614112442827E-3</v>
      </c>
      <c r="F166" s="17">
        <v>0.97890915323358019</v>
      </c>
      <c r="H166" s="24">
        <f ca="1"/>
        <v>8.54683802719668E-3</v>
      </c>
      <c r="I166" s="25">
        <f t="shared" ca="1" si="8"/>
        <v>2.6023384047602766E-5</v>
      </c>
      <c r="K166" s="30">
        <f ca="1"/>
        <v>2.1117066881789243E-2</v>
      </c>
      <c r="L166" s="1">
        <f t="shared" ca="1" si="9"/>
        <v>0.97910433716835565</v>
      </c>
      <c r="M166" s="25">
        <f t="shared" ca="1" si="10"/>
        <v>1.9518393477546692E-4</v>
      </c>
      <c r="O166" s="30">
        <f t="shared" ca="1" si="11"/>
        <v>7.8999999999999799</v>
      </c>
      <c r="P166" s="36">
        <f ca="1"/>
        <v>3.5016385746653197E-3</v>
      </c>
    </row>
    <row r="167" spans="2:16" x14ac:dyDescent="0.25">
      <c r="B167" s="32">
        <v>0</v>
      </c>
      <c r="C167" s="13">
        <v>48677</v>
      </c>
      <c r="D167" s="20">
        <f ca="1"/>
        <v>13.257534246575343</v>
      </c>
      <c r="E167" s="9">
        <v>8.6190261854839807E-3</v>
      </c>
      <c r="F167" s="17">
        <v>0.97818495123350502</v>
      </c>
      <c r="H167" s="24">
        <f ca="1"/>
        <v>8.5843656323430217E-3</v>
      </c>
      <c r="I167" s="25">
        <f t="shared" ca="1" si="8"/>
        <v>3.4660553140958977E-5</v>
      </c>
      <c r="K167" s="30">
        <f ca="1"/>
        <v>2.1844566562725272E-2</v>
      </c>
      <c r="L167" s="1">
        <f t="shared" ca="1" si="9"/>
        <v>0.9783922981109604</v>
      </c>
      <c r="M167" s="25">
        <f t="shared" ca="1" si="10"/>
        <v>2.0734687745538327E-4</v>
      </c>
      <c r="O167" s="30">
        <f t="shared" ca="1" si="11"/>
        <v>7.9499999999999797</v>
      </c>
      <c r="P167" s="36">
        <f ca="1"/>
        <v>3.5706549716119111E-3</v>
      </c>
    </row>
    <row r="168" spans="2:16" x14ac:dyDescent="0.25">
      <c r="B168" s="32">
        <v>0</v>
      </c>
      <c r="C168" s="13">
        <v>48708</v>
      </c>
      <c r="D168" s="20">
        <f ca="1"/>
        <v>13.342465753424657</v>
      </c>
      <c r="E168" s="9">
        <v>8.6601528683469473E-3</v>
      </c>
      <c r="F168" s="17">
        <v>0.97745760854566355</v>
      </c>
      <c r="H168" s="24">
        <f ca="1"/>
        <v>8.6204527833736288E-3</v>
      </c>
      <c r="I168" s="25">
        <f t="shared" ca="1" si="8"/>
        <v>3.9700084973318464E-5</v>
      </c>
      <c r="K168" s="30">
        <f ca="1"/>
        <v>2.2575192318452252E-2</v>
      </c>
      <c r="L168" s="1">
        <f t="shared" ca="1" si="9"/>
        <v>0.97767772057491942</v>
      </c>
      <c r="M168" s="25">
        <f t="shared" ca="1" si="10"/>
        <v>2.2011202925587003E-4</v>
      </c>
      <c r="O168" s="30">
        <f t="shared" ca="1" si="11"/>
        <v>7.9999999999999796</v>
      </c>
      <c r="P168" s="36">
        <f ca="1"/>
        <v>3.6393999905148982E-3</v>
      </c>
    </row>
    <row r="169" spans="2:16" x14ac:dyDescent="0.25">
      <c r="B169" s="32">
        <v>0</v>
      </c>
      <c r="C169" s="13">
        <v>48738</v>
      </c>
      <c r="D169" s="20">
        <f ca="1"/>
        <v>13.424657534246576</v>
      </c>
      <c r="E169" s="9">
        <v>8.6997536009545129E-3</v>
      </c>
      <c r="F169" s="17">
        <v>0.97675089081785671</v>
      </c>
      <c r="H169" s="24">
        <f ca="1"/>
        <v>8.6540086686415687E-3</v>
      </c>
      <c r="I169" s="25">
        <f t="shared" ca="1" si="8"/>
        <v>4.57449323129442E-5</v>
      </c>
      <c r="K169" s="30">
        <f ca="1"/>
        <v>2.3285110888448035E-2</v>
      </c>
      <c r="L169" s="1">
        <f t="shared" ca="1" si="9"/>
        <v>0.97698389531447016</v>
      </c>
      <c r="M169" s="25">
        <f t="shared" ca="1" si="10"/>
        <v>2.3300449661345368E-4</v>
      </c>
      <c r="O169" s="30">
        <f t="shared" ca="1" si="11"/>
        <v>8.0499999999999794</v>
      </c>
      <c r="P169" s="36">
        <f ca="1"/>
        <v>3.7078678519749941E-3</v>
      </c>
    </row>
    <row r="170" spans="2:16" x14ac:dyDescent="0.25">
      <c r="B170" s="32">
        <v>0</v>
      </c>
      <c r="C170" s="13">
        <v>48768</v>
      </c>
      <c r="D170" s="20">
        <f ca="1"/>
        <v>13.506849315068493</v>
      </c>
      <c r="E170" s="9">
        <v>8.7390615108700574E-3</v>
      </c>
      <c r="F170" s="17">
        <v>0.97604153136680372</v>
      </c>
      <c r="H170" s="24">
        <f ca="1"/>
        <v>8.686224363520418E-3</v>
      </c>
      <c r="I170" s="25">
        <f t="shared" ca="1" si="8"/>
        <v>5.2837147349639457E-5</v>
      </c>
      <c r="K170" s="30">
        <f ca="1"/>
        <v>2.3997732368057752E-2</v>
      </c>
      <c r="L170" s="1">
        <f t="shared" ca="1" si="9"/>
        <v>0.97628792361707961</v>
      </c>
      <c r="M170" s="25">
        <f t="shared" ca="1" si="10"/>
        <v>2.4639225027589529E-4</v>
      </c>
      <c r="O170" s="30">
        <f t="shared" ca="1" si="11"/>
        <v>8.0999999999999801</v>
      </c>
      <c r="P170" s="36">
        <f ca="1"/>
        <v>3.7760528572348918E-3</v>
      </c>
    </row>
    <row r="171" spans="2:16" x14ac:dyDescent="0.25">
      <c r="B171" s="32">
        <v>0</v>
      </c>
      <c r="C171" s="13">
        <v>48799</v>
      </c>
      <c r="D171" s="20">
        <f ca="1"/>
        <v>13.591780821917808</v>
      </c>
      <c r="E171" s="9">
        <v>8.774891848338533E-3</v>
      </c>
      <c r="F171" s="17">
        <v>0.97530590890572666</v>
      </c>
      <c r="H171" s="24">
        <f ca="1"/>
        <v>8.7181111136456751E-3</v>
      </c>
      <c r="I171" s="25">
        <f t="shared" ca="1" si="8"/>
        <v>5.6780734692857965E-5</v>
      </c>
      <c r="K171" s="30">
        <f ca="1"/>
        <v>2.4736830658930009E-2</v>
      </c>
      <c r="L171" s="1">
        <f t="shared" ca="1" si="9"/>
        <v>0.97556661747223983</v>
      </c>
      <c r="M171" s="25">
        <f t="shared" ca="1" si="10"/>
        <v>2.6070856651316809E-4</v>
      </c>
      <c r="O171" s="30">
        <f t="shared" ca="1" si="11"/>
        <v>8.1499999999999808</v>
      </c>
      <c r="P171" s="36">
        <f ca="1"/>
        <v>3.8439493878467236E-3</v>
      </c>
    </row>
    <row r="172" spans="2:16" x14ac:dyDescent="0.25">
      <c r="B172" s="32">
        <v>0</v>
      </c>
      <c r="C172" s="13">
        <v>48830</v>
      </c>
      <c r="D172" s="20">
        <f ca="1"/>
        <v>13.676712328767124</v>
      </c>
      <c r="E172" s="9">
        <v>8.8102468399185278E-3</v>
      </c>
      <c r="F172" s="17">
        <v>0.97456779074098088</v>
      </c>
      <c r="H172" s="24">
        <f ca="1"/>
        <v>8.7485777073312322E-3</v>
      </c>
      <c r="I172" s="25">
        <f t="shared" ca="1" si="8"/>
        <v>6.1669132587295616E-5</v>
      </c>
      <c r="K172" s="30">
        <f ca="1"/>
        <v>2.5478576789897397E-2</v>
      </c>
      <c r="L172" s="1">
        <f t="shared" ca="1" si="9"/>
        <v>0.97484326301407931</v>
      </c>
      <c r="M172" s="25">
        <f t="shared" ca="1" si="10"/>
        <v>2.7547227309843159E-4</v>
      </c>
      <c r="O172" s="30">
        <f t="shared" ca="1" si="11"/>
        <v>8.1999999999999815</v>
      </c>
      <c r="P172" s="36">
        <f ca="1"/>
        <v>3.9115519053395057E-3</v>
      </c>
    </row>
    <row r="173" spans="2:16" x14ac:dyDescent="0.25">
      <c r="B173" s="32">
        <v>0</v>
      </c>
      <c r="C173" s="13">
        <v>48862</v>
      </c>
      <c r="D173" s="20">
        <f ca="1"/>
        <v>13.764383561643836</v>
      </c>
      <c r="E173" s="9">
        <v>8.8447232956831486E-3</v>
      </c>
      <c r="F173" s="17">
        <v>0.97380342231083095</v>
      </c>
      <c r="H173" s="24">
        <f ca="1"/>
        <v>8.7785439113494852E-3</v>
      </c>
      <c r="I173" s="25">
        <f t="shared" ca="1" si="8"/>
        <v>6.6179384333663396E-5</v>
      </c>
      <c r="K173" s="30">
        <f ca="1"/>
        <v>2.6246899953723951E-2</v>
      </c>
      <c r="L173" s="1">
        <f t="shared" ca="1" si="9"/>
        <v>0.9740945560153017</v>
      </c>
      <c r="M173" s="25">
        <f t="shared" ca="1" si="10"/>
        <v>2.9113370447075848E-4</v>
      </c>
      <c r="O173" s="30">
        <f t="shared" ca="1" si="11"/>
        <v>8.2499999999999822</v>
      </c>
      <c r="P173" s="36">
        <f ca="1"/>
        <v>3.9788549508866719E-3</v>
      </c>
    </row>
    <row r="174" spans="2:16" x14ac:dyDescent="0.25">
      <c r="B174" s="32">
        <v>0</v>
      </c>
      <c r="C174" s="13">
        <v>48891</v>
      </c>
      <c r="D174" s="20">
        <f ca="1"/>
        <v>13.843835616438357</v>
      </c>
      <c r="E174" s="9">
        <v>8.8741664233790707E-3</v>
      </c>
      <c r="F174" s="17">
        <v>0.97310872564531614</v>
      </c>
      <c r="H174" s="24">
        <f ca="1"/>
        <v>8.8044051643324621E-3</v>
      </c>
      <c r="I174" s="25">
        <f t="shared" ca="1" si="8"/>
        <v>6.9761259046608598E-5</v>
      </c>
      <c r="K174" s="30">
        <f ca="1"/>
        <v>2.6945408807604314E-2</v>
      </c>
      <c r="L174" s="1">
        <f t="shared" ca="1" si="9"/>
        <v>0.97341437992557445</v>
      </c>
      <c r="M174" s="25">
        <f t="shared" ca="1" si="10"/>
        <v>3.056542802583051E-4</v>
      </c>
      <c r="O174" s="30">
        <f t="shared" ca="1" si="11"/>
        <v>8.2999999999999829</v>
      </c>
      <c r="P174" s="36">
        <f ca="1"/>
        <v>4.0458531449734597E-3</v>
      </c>
    </row>
    <row r="175" spans="2:16" x14ac:dyDescent="0.25">
      <c r="B175" s="32">
        <v>0</v>
      </c>
      <c r="C175" s="13">
        <v>48921</v>
      </c>
      <c r="D175" s="20">
        <f ca="1"/>
        <v>13.926027397260274</v>
      </c>
      <c r="E175" s="9">
        <v>8.9027921882575654E-3</v>
      </c>
      <c r="F175" s="17">
        <v>0.97238823942368624</v>
      </c>
      <c r="H175" s="24">
        <f ca="1"/>
        <v>8.8298679292883007E-3</v>
      </c>
      <c r="I175" s="25">
        <f t="shared" ca="1" si="8"/>
        <v>7.2924258969264688E-5</v>
      </c>
      <c r="K175" s="30">
        <f ca="1"/>
        <v>2.7670113928097664E-2</v>
      </c>
      <c r="L175" s="1">
        <f t="shared" ca="1" si="9"/>
        <v>0.97270919709574777</v>
      </c>
      <c r="M175" s="25">
        <f t="shared" ca="1" si="10"/>
        <v>3.2095767206152814E-4</v>
      </c>
      <c r="O175" s="30">
        <f t="shared" ca="1" si="11"/>
        <v>8.3499999999999837</v>
      </c>
      <c r="P175" s="36">
        <f ca="1"/>
        <v>4.1125411870644437E-3</v>
      </c>
    </row>
    <row r="176" spans="2:16" x14ac:dyDescent="0.25">
      <c r="B176" s="32">
        <v>0</v>
      </c>
      <c r="C176" s="13">
        <v>48953</v>
      </c>
      <c r="D176" s="20">
        <f ca="1"/>
        <v>14.013698630136986</v>
      </c>
      <c r="E176" s="9">
        <v>8.9312660835049046E-3</v>
      </c>
      <c r="F176" s="17">
        <v>0.97161783839851834</v>
      </c>
      <c r="H176" s="24">
        <f ca="1"/>
        <v>8.8555891414872773E-3</v>
      </c>
      <c r="I176" s="25">
        <f t="shared" ca="1" si="8"/>
        <v>7.5676942017627313E-5</v>
      </c>
      <c r="K176" s="30">
        <f ca="1"/>
        <v>2.8445377665505686E-2</v>
      </c>
      <c r="L176" s="1">
        <f t="shared" ca="1" si="9"/>
        <v>0.97195538316825314</v>
      </c>
      <c r="M176" s="25">
        <f t="shared" ca="1" si="10"/>
        <v>3.3754476973479886E-4</v>
      </c>
      <c r="O176" s="30">
        <f t="shared" ca="1" si="11"/>
        <v>8.3999999999999844</v>
      </c>
      <c r="P176" s="36">
        <f ca="1"/>
        <v>4.1789138552709593E-3</v>
      </c>
    </row>
    <row r="177" spans="2:16" x14ac:dyDescent="0.25">
      <c r="B177" s="32">
        <v>0</v>
      </c>
      <c r="C177" s="13">
        <v>48983</v>
      </c>
      <c r="D177" s="20">
        <f ca="1"/>
        <v>14.095890410958905</v>
      </c>
      <c r="E177" s="9">
        <v>8.9559991909812665E-3</v>
      </c>
      <c r="F177" s="17">
        <v>0.97089398813037753</v>
      </c>
      <c r="H177" s="24">
        <f ca="1"/>
        <v>8.8783607769645674E-3</v>
      </c>
      <c r="I177" s="25">
        <f t="shared" ca="1" si="8"/>
        <v>7.7638414016699062E-5</v>
      </c>
      <c r="K177" s="30">
        <f ca="1"/>
        <v>2.9174178998357621E-2</v>
      </c>
      <c r="L177" s="1">
        <f t="shared" ca="1" si="9"/>
        <v>0.97124727885455386</v>
      </c>
      <c r="M177" s="25">
        <f t="shared" ca="1" si="10"/>
        <v>3.5329072417633611E-4</v>
      </c>
      <c r="O177" s="30">
        <f t="shared" ca="1" si="11"/>
        <v>8.4499999999999851</v>
      </c>
      <c r="P177" s="36">
        <f ca="1"/>
        <v>4.2449660060186129E-3</v>
      </c>
    </row>
    <row r="178" spans="2:16" x14ac:dyDescent="0.25">
      <c r="B178" s="32">
        <v>0</v>
      </c>
      <c r="C178" s="13">
        <v>49011</v>
      </c>
      <c r="D178" s="20">
        <f ca="1"/>
        <v>14.172602739726027</v>
      </c>
      <c r="E178" s="9">
        <v>8.9773423025793341E-3</v>
      </c>
      <c r="F178" s="17">
        <v>0.97021714183196406</v>
      </c>
      <c r="H178" s="24">
        <f ca="1"/>
        <v>8.898448933679956E-3</v>
      </c>
      <c r="I178" s="25">
        <f t="shared" ca="1" si="8"/>
        <v>7.8893368899378077E-5</v>
      </c>
      <c r="K178" s="30">
        <f ca="1"/>
        <v>2.9856036407102819E-2</v>
      </c>
      <c r="L178" s="1">
        <f t="shared" ca="1" si="9"/>
        <v>0.97058525243120375</v>
      </c>
      <c r="M178" s="25">
        <f t="shared" ca="1" si="10"/>
        <v>3.6811059923969047E-4</v>
      </c>
      <c r="O178" s="30">
        <f t="shared" ca="1" si="11"/>
        <v>8.4999999999999858</v>
      </c>
      <c r="P178" s="36">
        <f ca="1"/>
        <v>4.3106925737146935E-3</v>
      </c>
    </row>
    <row r="179" spans="2:16" x14ac:dyDescent="0.25">
      <c r="B179" s="32">
        <v>0</v>
      </c>
      <c r="C179" s="13">
        <v>49044</v>
      </c>
      <c r="D179" s="20">
        <f ca="1"/>
        <v>14.263013698630138</v>
      </c>
      <c r="E179" s="9">
        <v>9.0003320299011733E-3</v>
      </c>
      <c r="F179" s="17">
        <v>0.96941805831437</v>
      </c>
      <c r="H179" s="24">
        <f ca="1"/>
        <v>8.9206880534085497E-3</v>
      </c>
      <c r="I179" s="25">
        <f t="shared" ca="1" si="8"/>
        <v>7.9643976492623642E-5</v>
      </c>
      <c r="K179" s="30">
        <f ca="1"/>
        <v>3.0661570711783721E-2</v>
      </c>
      <c r="L179" s="1">
        <f t="shared" ca="1" si="9"/>
        <v>0.96980372752957211</v>
      </c>
      <c r="M179" s="25">
        <f t="shared" ca="1" si="10"/>
        <v>3.8566921520211128E-4</v>
      </c>
      <c r="O179" s="30">
        <f t="shared" ca="1" si="11"/>
        <v>8.5499999999999865</v>
      </c>
      <c r="P179" s="36">
        <f ca="1"/>
        <v>4.3760885704156966E-3</v>
      </c>
    </row>
    <row r="180" spans="2:16" x14ac:dyDescent="0.25">
      <c r="B180" s="32">
        <v>0</v>
      </c>
      <c r="C180" s="13">
        <v>49072</v>
      </c>
      <c r="D180" s="20">
        <f ca="1"/>
        <v>14.33972602739726</v>
      </c>
      <c r="E180" s="9">
        <v>9.0179761838848072E-3</v>
      </c>
      <c r="F180" s="17">
        <v>0.96873903474609413</v>
      </c>
      <c r="H180" s="24">
        <f ca="1"/>
        <v>8.9383461697763351E-3</v>
      </c>
      <c r="I180" s="25">
        <f t="shared" ca="1" si="8"/>
        <v>7.9630014108472008E-5</v>
      </c>
      <c r="K180" s="30">
        <f ca="1"/>
        <v>3.1346581851041853E-2</v>
      </c>
      <c r="L180" s="1">
        <f t="shared" ca="1" si="9"/>
        <v>0.96913962865685155</v>
      </c>
      <c r="M180" s="25">
        <f t="shared" ca="1" si="10"/>
        <v>4.0059391075741857E-4</v>
      </c>
      <c r="O180" s="30">
        <f t="shared" ca="1" si="11"/>
        <v>8.5999999999999872</v>
      </c>
      <c r="P180" s="36">
        <f ca="1"/>
        <v>4.4411490854947572E-3</v>
      </c>
    </row>
    <row r="181" spans="2:16" x14ac:dyDescent="0.25">
      <c r="B181" s="32">
        <v>0</v>
      </c>
      <c r="C181" s="13">
        <v>49103</v>
      </c>
      <c r="D181" s="20">
        <f ca="1"/>
        <v>14.424657534246576</v>
      </c>
      <c r="E181" s="9">
        <v>9.0354832433611511E-3</v>
      </c>
      <c r="F181" s="17">
        <v>0.96798634296606068</v>
      </c>
      <c r="H181" s="24">
        <f ca="1"/>
        <v>8.9566071877667311E-3</v>
      </c>
      <c r="I181" s="25">
        <f t="shared" ca="1" si="8"/>
        <v>7.8876055594419986E-5</v>
      </c>
      <c r="K181" s="30">
        <f ca="1"/>
        <v>3.2106514085523875E-2</v>
      </c>
      <c r="L181" s="1">
        <f t="shared" ca="1" si="9"/>
        <v>0.9684034279800634</v>
      </c>
      <c r="M181" s="25">
        <f t="shared" ca="1" si="10"/>
        <v>4.1708501400272713E-4</v>
      </c>
      <c r="O181" s="30">
        <f t="shared" ca="1" si="11"/>
        <v>8.6499999999999879</v>
      </c>
      <c r="P181" s="36">
        <f ca="1"/>
        <v>4.5058692853091487E-3</v>
      </c>
    </row>
    <row r="182" spans="2:16" x14ac:dyDescent="0.25">
      <c r="B182" s="32">
        <v>0</v>
      </c>
      <c r="C182" s="13">
        <v>49135</v>
      </c>
      <c r="D182" s="20">
        <f ca="1"/>
        <v>14.512328767123288</v>
      </c>
      <c r="E182" s="9">
        <v>9.051313398627775E-3</v>
      </c>
      <c r="F182" s="17">
        <v>0.96720854713177717</v>
      </c>
      <c r="H182" s="24">
        <f ca="1"/>
        <v>8.9740457311880545E-3</v>
      </c>
      <c r="I182" s="25">
        <f t="shared" ca="1" si="8"/>
        <v>7.7267667439720467E-5</v>
      </c>
      <c r="K182" s="30">
        <f ca="1"/>
        <v>3.2892525749290517E-2</v>
      </c>
      <c r="L182" s="1">
        <f t="shared" ca="1" si="9"/>
        <v>0.96764255065883742</v>
      </c>
      <c r="M182" s="25">
        <f t="shared" ca="1" si="10"/>
        <v>4.3400352706024492E-4</v>
      </c>
      <c r="O182" s="30">
        <f t="shared" ca="1" si="11"/>
        <v>8.6999999999999886</v>
      </c>
      <c r="P182" s="36">
        <f ca="1"/>
        <v>4.5702444128677125E-3</v>
      </c>
    </row>
    <row r="183" spans="2:16" x14ac:dyDescent="0.25">
      <c r="B183" s="32">
        <v>0</v>
      </c>
      <c r="C183" s="13">
        <v>49164</v>
      </c>
      <c r="D183" s="20">
        <f ca="1"/>
        <v>14.591780821917808</v>
      </c>
      <c r="E183" s="9">
        <v>9.0636641787863719E-3</v>
      </c>
      <c r="F183" s="17">
        <v>0.96650311213704687</v>
      </c>
      <c r="H183" s="24">
        <f ca="1"/>
        <v>8.9886193354378197E-3</v>
      </c>
      <c r="I183" s="25">
        <f t="shared" ca="1" si="8"/>
        <v>7.5044843348552256E-5</v>
      </c>
      <c r="K183" s="30">
        <f ca="1"/>
        <v>3.3606118789961385E-2</v>
      </c>
      <c r="L183" s="1">
        <f t="shared" ca="1" si="9"/>
        <v>0.96695229397930238</v>
      </c>
      <c r="M183" s="25">
        <f t="shared" ca="1" si="10"/>
        <v>4.4918184225550828E-4</v>
      </c>
      <c r="O183" s="30">
        <f t="shared" ca="1" si="11"/>
        <v>8.7499999999999893</v>
      </c>
      <c r="P183" s="36">
        <f ca="1"/>
        <v>4.6342697874983503E-3</v>
      </c>
    </row>
    <row r="184" spans="2:16" x14ac:dyDescent="0.25">
      <c r="B184" s="32">
        <v>0</v>
      </c>
      <c r="C184" s="13">
        <v>49195</v>
      </c>
      <c r="D184" s="20">
        <f ca="1"/>
        <v>14.676712328767124</v>
      </c>
      <c r="E184" s="9">
        <v>9.0752866390891463E-3</v>
      </c>
      <c r="F184" s="17">
        <v>0.96574861660557554</v>
      </c>
      <c r="H184" s="24">
        <f ca="1"/>
        <v>9.0029139192118121E-3</v>
      </c>
      <c r="I184" s="25">
        <f t="shared" ca="1" si="8"/>
        <v>7.2372719877334193E-5</v>
      </c>
      <c r="K184" s="30">
        <f ca="1"/>
        <v>3.4370152162789817E-2</v>
      </c>
      <c r="L184" s="1">
        <f t="shared" ca="1" si="9"/>
        <v>0.9662137923126537</v>
      </c>
      <c r="M184" s="25">
        <f t="shared" ca="1" si="10"/>
        <v>4.6517570707815814E-4</v>
      </c>
      <c r="O184" s="30">
        <f t="shared" ca="1" si="11"/>
        <v>8.7999999999999901</v>
      </c>
      <c r="P184" s="36">
        <f ca="1"/>
        <v>4.6979408045154779E-3</v>
      </c>
    </row>
    <row r="185" spans="2:16" x14ac:dyDescent="0.25">
      <c r="B185" s="32">
        <v>0</v>
      </c>
      <c r="C185" s="13">
        <v>49226</v>
      </c>
      <c r="D185" s="20">
        <f ca="1"/>
        <v>14.761643835616438</v>
      </c>
      <c r="E185" s="9">
        <v>9.0836057132900553E-3</v>
      </c>
      <c r="F185" s="17">
        <v>0.96499387854502239</v>
      </c>
      <c r="H185" s="24">
        <f ca="1"/>
        <v>9.0158913610242294E-3</v>
      </c>
      <c r="I185" s="25">
        <f t="shared" ca="1" si="8"/>
        <v>6.7714352265825853E-5</v>
      </c>
      <c r="K185" s="30">
        <f ca="1"/>
        <v>3.5135343591112624E-2</v>
      </c>
      <c r="L185" s="1">
        <f t="shared" ca="1" si="9"/>
        <v>0.96547473659645922</v>
      </c>
      <c r="M185" s="25">
        <f t="shared" ca="1" si="10"/>
        <v>4.8085805143682769E-4</v>
      </c>
      <c r="O185" s="30">
        <f t="shared" ca="1" si="11"/>
        <v>8.8499999999999908</v>
      </c>
      <c r="P185" s="36">
        <f ca="1"/>
        <v>4.7612529348875308E-3</v>
      </c>
    </row>
    <row r="186" spans="2:16" x14ac:dyDescent="0.25">
      <c r="B186" s="32">
        <v>0</v>
      </c>
      <c r="C186" s="13">
        <v>49256</v>
      </c>
      <c r="D186" s="20">
        <f ca="1"/>
        <v>14.843835616438357</v>
      </c>
      <c r="E186" s="9">
        <v>9.0900547613114793E-3</v>
      </c>
      <c r="F186" s="17">
        <v>0.96426343079639232</v>
      </c>
      <c r="H186" s="24">
        <f ca="1"/>
        <v>9.027205751259381E-3</v>
      </c>
      <c r="I186" s="25">
        <f t="shared" ca="1" si="8"/>
        <v>6.2849010052098281E-5</v>
      </c>
      <c r="K186" s="30">
        <f ca="1"/>
        <v>3.587684908327083E-2</v>
      </c>
      <c r="L186" s="1">
        <f t="shared" ca="1" si="9"/>
        <v>0.96475909713481856</v>
      </c>
      <c r="M186" s="25">
        <f t="shared" ca="1" si="10"/>
        <v>4.956663384262372E-4</v>
      </c>
      <c r="O186" s="30">
        <f t="shared" ca="1" si="11"/>
        <v>8.8999999999999915</v>
      </c>
      <c r="P186" s="36">
        <f ca="1"/>
        <v>4.8242017249043789E-3</v>
      </c>
    </row>
    <row r="187" spans="2:16" x14ac:dyDescent="0.25">
      <c r="B187" s="32">
        <v>0</v>
      </c>
      <c r="C187" s="13">
        <v>49286</v>
      </c>
      <c r="D187" s="20">
        <f ca="1"/>
        <v>14.926027397260274</v>
      </c>
      <c r="E187" s="9">
        <v>9.0947084836731293E-3</v>
      </c>
      <c r="F187" s="17">
        <v>0.9635331008198641</v>
      </c>
      <c r="H187" s="24">
        <f ca="1"/>
        <v>9.0373057935627821E-3</v>
      </c>
      <c r="I187" s="25">
        <f t="shared" ca="1" si="8"/>
        <v>5.740269011034714E-5</v>
      </c>
      <c r="K187" s="30">
        <f ca="1"/>
        <v>3.661923455415643E-2</v>
      </c>
      <c r="L187" s="1">
        <f t="shared" ca="1" si="9"/>
        <v>0.96404313978924905</v>
      </c>
      <c r="M187" s="25">
        <f t="shared" ca="1" si="10"/>
        <v>5.1003896938495163E-4</v>
      </c>
      <c r="O187" s="30">
        <f t="shared" ca="1" si="11"/>
        <v>8.9499999999999922</v>
      </c>
      <c r="P187" s="36">
        <f ca="1"/>
        <v>4.8867827958448129E-3</v>
      </c>
    </row>
    <row r="188" spans="2:16" x14ac:dyDescent="0.25">
      <c r="B188" s="32">
        <v>0</v>
      </c>
      <c r="C188" s="13">
        <v>49317</v>
      </c>
      <c r="D188" s="20">
        <f ca="1"/>
        <v>15.010958904109589</v>
      </c>
      <c r="E188" s="9">
        <v>9.0965878689663431E-3</v>
      </c>
      <c r="F188" s="17">
        <v>0.96277873275878134</v>
      </c>
      <c r="H188" s="24">
        <f ca="1"/>
        <v>9.046477206234093E-3</v>
      </c>
      <c r="I188" s="25">
        <f t="shared" ca="1" si="8"/>
        <v>5.0110662732250066E-5</v>
      </c>
      <c r="K188" s="30">
        <f ca="1"/>
        <v>3.7387185087945224E-2</v>
      </c>
      <c r="L188" s="1">
        <f t="shared" ca="1" si="9"/>
        <v>0.96330308654396524</v>
      </c>
      <c r="M188" s="25">
        <f t="shared" ca="1" si="10"/>
        <v>5.243537851838953E-4</v>
      </c>
      <c r="O188" s="30">
        <f t="shared" ca="1" si="11"/>
        <v>8.9999999999999929</v>
      </c>
      <c r="P188" s="36">
        <f ca="1"/>
        <v>4.9489918436440511E-3</v>
      </c>
    </row>
    <row r="189" spans="2:16" x14ac:dyDescent="0.25">
      <c r="B189" s="32">
        <v>0</v>
      </c>
      <c r="C189" s="13">
        <v>49348</v>
      </c>
      <c r="D189" s="20">
        <f ca="1"/>
        <v>15.095890410958905</v>
      </c>
      <c r="E189" s="9">
        <v>9.0971441291184604E-3</v>
      </c>
      <c r="F189" s="17">
        <v>0.96202484777876573</v>
      </c>
      <c r="H189" s="24">
        <f ca="1"/>
        <v>9.0543735887881633E-3</v>
      </c>
      <c r="I189" s="25">
        <f t="shared" ca="1" si="8"/>
        <v>4.2770540330297133E-5</v>
      </c>
      <c r="K189" s="30">
        <f ca="1"/>
        <v>3.8155860338752734E-2</v>
      </c>
      <c r="L189" s="1">
        <f t="shared" ca="1" si="9"/>
        <v>0.96256290381882881</v>
      </c>
      <c r="M189" s="25">
        <f t="shared" ca="1" si="10"/>
        <v>5.3805604006307295E-4</v>
      </c>
      <c r="O189" s="30">
        <f t="shared" ca="1" si="11"/>
        <v>9.0499999999999936</v>
      </c>
      <c r="P189" s="36">
        <f ca="1"/>
        <v>5.0108246385611325E-3</v>
      </c>
    </row>
    <row r="190" spans="2:16" x14ac:dyDescent="0.25">
      <c r="B190" s="32">
        <v>0</v>
      </c>
      <c r="C190" s="13">
        <v>49376</v>
      </c>
      <c r="D190" s="20">
        <f ca="1"/>
        <v>15.172602739726027</v>
      </c>
      <c r="E190" s="9">
        <v>9.0968702840918056E-3</v>
      </c>
      <c r="F190" s="17">
        <v>0.96134441629608747</v>
      </c>
      <c r="H190" s="24">
        <f ca="1"/>
        <v>9.0604193754552156E-3</v>
      </c>
      <c r="I190" s="25">
        <f t="shared" ca="1" si="8"/>
        <v>3.6450908636589952E-5</v>
      </c>
      <c r="K190" s="30">
        <f ca="1"/>
        <v>3.8850680878314274E-2</v>
      </c>
      <c r="L190" s="1">
        <f t="shared" ca="1" si="9"/>
        <v>0.9618943276397639</v>
      </c>
      <c r="M190" s="25">
        <f t="shared" ca="1" si="10"/>
        <v>5.4991134367643468E-4</v>
      </c>
      <c r="O190" s="30">
        <f t="shared" ca="1" si="11"/>
        <v>9.0999999999999943</v>
      </c>
      <c r="P190" s="36">
        <f ca="1"/>
        <v>5.072277024846473E-3</v>
      </c>
    </row>
    <row r="191" spans="2:16" x14ac:dyDescent="0.25">
      <c r="B191" s="32">
        <v>0</v>
      </c>
      <c r="C191" s="13">
        <v>49408</v>
      </c>
      <c r="D191" s="20">
        <f ca="1"/>
        <v>15.260273972602739</v>
      </c>
      <c r="E191" s="9">
        <v>9.0956541253181186E-3</v>
      </c>
      <c r="F191" s="17">
        <v>0.96056743037742487</v>
      </c>
      <c r="H191" s="24">
        <f ca="1"/>
        <v>9.0660775822480298E-3</v>
      </c>
      <c r="I191" s="25">
        <f t="shared" ca="1" si="8"/>
        <v>2.9576543070088807E-5</v>
      </c>
      <c r="K191" s="30">
        <f ca="1"/>
        <v>3.964527675378364E-2</v>
      </c>
      <c r="L191" s="1">
        <f t="shared" ca="1" si="9"/>
        <v>0.96113031395564374</v>
      </c>
      <c r="M191" s="25">
        <f t="shared" ca="1" si="10"/>
        <v>5.6288357821887569E-4</v>
      </c>
      <c r="O191" s="30">
        <f t="shared" ca="1" si="11"/>
        <v>9.149999999999995</v>
      </c>
      <c r="P191" s="36">
        <f ca="1"/>
        <v>5.1333449204092616E-3</v>
      </c>
    </row>
    <row r="192" spans="2:16" x14ac:dyDescent="0.25">
      <c r="B192" s="32">
        <v>0</v>
      </c>
      <c r="C192" s="13">
        <v>49437</v>
      </c>
      <c r="D192" s="20">
        <f ca="1"/>
        <v>15.33972602739726</v>
      </c>
      <c r="E192" s="9">
        <v>9.0937326095716035E-3</v>
      </c>
      <c r="F192" s="17">
        <v>0.95986395084379195</v>
      </c>
      <c r="H192" s="24">
        <f ca="1"/>
        <v>9.0700629949023621E-3</v>
      </c>
      <c r="I192" s="25">
        <f t="shared" ca="1" si="8"/>
        <v>2.3669614669241321E-5</v>
      </c>
      <c r="K192" s="30">
        <f ca="1"/>
        <v>4.0365760727603228E-2</v>
      </c>
      <c r="L192" s="1">
        <f t="shared" ca="1" si="9"/>
        <v>0.96043808436779321</v>
      </c>
      <c r="M192" s="25">
        <f t="shared" ca="1" si="10"/>
        <v>5.741335240012635E-4</v>
      </c>
      <c r="O192" s="30">
        <f t="shared" ca="1" si="11"/>
        <v>9.1999999999999957</v>
      </c>
      <c r="P192" s="36">
        <f ca="1"/>
        <v>5.1940243164849296E-3</v>
      </c>
    </row>
    <row r="193" spans="2:16" x14ac:dyDescent="0.25">
      <c r="B193" s="32">
        <v>0</v>
      </c>
      <c r="C193" s="13">
        <v>49468</v>
      </c>
      <c r="D193" s="20">
        <f ca="1"/>
        <v>15.424657534246576</v>
      </c>
      <c r="E193" s="9">
        <v>9.0909544858691245E-3</v>
      </c>
      <c r="F193" s="17">
        <v>0.9591127223686583</v>
      </c>
      <c r="H193" s="24">
        <f ca="1"/>
        <v>9.0731338462135668E-3</v>
      </c>
      <c r="I193" s="25">
        <f t="shared" ca="1" si="8"/>
        <v>1.7820639655557677E-5</v>
      </c>
      <c r="K193" s="30">
        <f ca="1"/>
        <v>4.1136233907957717E-2</v>
      </c>
      <c r="L193" s="1">
        <f t="shared" ca="1" si="9"/>
        <v>0.95969837758110965</v>
      </c>
      <c r="M193" s="25">
        <f t="shared" ca="1" si="10"/>
        <v>5.8565521245135255E-4</v>
      </c>
      <c r="O193" s="30">
        <f t="shared" ca="1" si="11"/>
        <v>9.2499999999999964</v>
      </c>
      <c r="P193" s="36">
        <f ca="1"/>
        <v>5.254311277302701E-3</v>
      </c>
    </row>
    <row r="194" spans="2:16" x14ac:dyDescent="0.25">
      <c r="B194" s="32">
        <v>0</v>
      </c>
      <c r="C194" s="13">
        <v>49499</v>
      </c>
      <c r="D194" s="20">
        <f ca="1"/>
        <v>15.509589041095891</v>
      </c>
      <c r="E194" s="9">
        <v>9.0870579596987969E-3</v>
      </c>
      <c r="F194" s="17">
        <v>0.95836235605852138</v>
      </c>
      <c r="H194" s="24">
        <f ca="1"/>
        <v>9.0749878316045383E-3</v>
      </c>
      <c r="I194" s="25">
        <f t="shared" ca="1" si="8"/>
        <v>1.20701280942586E-5</v>
      </c>
      <c r="K194" s="30">
        <f ca="1"/>
        <v>4.1906916136080857E-2</v>
      </c>
      <c r="L194" s="1">
        <f t="shared" ca="1" si="9"/>
        <v>0.95895904003089871</v>
      </c>
      <c r="M194" s="25">
        <f t="shared" ca="1" si="10"/>
        <v>5.9668397237733206E-4</v>
      </c>
      <c r="O194" s="30">
        <f t="shared" ca="1" si="11"/>
        <v>9.2999999999999972</v>
      </c>
      <c r="P194" s="36">
        <f ca="1"/>
        <v>5.3142019397529588E-3</v>
      </c>
    </row>
    <row r="195" spans="2:16" x14ac:dyDescent="0.25">
      <c r="B195" s="32">
        <v>0</v>
      </c>
      <c r="C195" s="13">
        <v>49529</v>
      </c>
      <c r="D195" s="20">
        <f ca="1"/>
        <v>15.591780821917808</v>
      </c>
      <c r="E195" s="9">
        <v>9.082580952293997E-3</v>
      </c>
      <c r="F195" s="17">
        <v>0.95763708278519077</v>
      </c>
      <c r="H195" s="24">
        <f ca="1"/>
        <v>9.0756353742062965E-3</v>
      </c>
      <c r="I195" s="25">
        <f t="shared" ca="1" si="8"/>
        <v>6.9455780877004936E-6</v>
      </c>
      <c r="K195" s="30">
        <f ca="1"/>
        <v>4.265283984229222E-2</v>
      </c>
      <c r="L195" s="1">
        <f t="shared" ca="1" si="9"/>
        <v>0.95824399646678105</v>
      </c>
      <c r="M195" s="25">
        <f t="shared" ca="1" si="10"/>
        <v>6.0691368159027093E-4</v>
      </c>
      <c r="O195" s="30">
        <f t="shared" ca="1" si="11"/>
        <v>9.3499999999999979</v>
      </c>
      <c r="P195" s="36">
        <f ca="1"/>
        <v>5.3736925130547725E-3</v>
      </c>
    </row>
    <row r="196" spans="2:16" x14ac:dyDescent="0.25">
      <c r="B196" s="32">
        <v>0</v>
      </c>
      <c r="C196" s="13">
        <v>49562</v>
      </c>
      <c r="D196" s="20">
        <f ca="1"/>
        <v>15.682191780821919</v>
      </c>
      <c r="E196" s="9">
        <v>9.0767344981731689E-3</v>
      </c>
      <c r="F196" s="17">
        <v>0.95684036637532688</v>
      </c>
      <c r="H196" s="24">
        <f ca="1"/>
        <v>9.0750592059624224E-3</v>
      </c>
      <c r="I196" s="25">
        <f t="shared" ca="1" si="8"/>
        <v>1.6752922107465124E-6</v>
      </c>
      <c r="K196" s="30">
        <f ca="1"/>
        <v>4.3473360806971201E-2</v>
      </c>
      <c r="L196" s="1">
        <f t="shared" ca="1" si="9"/>
        <v>0.95745805966130981</v>
      </c>
      <c r="M196" s="25">
        <f t="shared" ca="1" si="10"/>
        <v>6.1769328598293427E-4</v>
      </c>
      <c r="O196" s="30">
        <f t="shared" ca="1" si="11"/>
        <v>9.3999999999999986</v>
      </c>
      <c r="P196" s="36">
        <f ca="1"/>
        <v>5.432779278423356E-3</v>
      </c>
    </row>
    <row r="197" spans="2:16" x14ac:dyDescent="0.25">
      <c r="B197" s="32">
        <v>0</v>
      </c>
      <c r="C197" s="13">
        <v>49590</v>
      </c>
      <c r="D197" s="20">
        <f ca="1"/>
        <v>15.758904109589041</v>
      </c>
      <c r="E197" s="9">
        <v>9.0710143227998013E-3</v>
      </c>
      <c r="F197" s="17">
        <v>0.95616531513706737</v>
      </c>
      <c r="H197" s="24">
        <f ca="1"/>
        <v>9.073523298945169E-3</v>
      </c>
      <c r="I197" s="25">
        <f t="shared" ca="1" si="8"/>
        <v>2.5089761453676862E-6</v>
      </c>
      <c r="K197" s="30">
        <f ca="1"/>
        <v>4.4169476930339582E-2</v>
      </c>
      <c r="L197" s="1">
        <f t="shared" ca="1" si="9"/>
        <v>0.956791789596103</v>
      </c>
      <c r="M197" s="25">
        <f t="shared" ca="1" si="10"/>
        <v>6.2647445903563082E-4</v>
      </c>
      <c r="O197" s="30">
        <f t="shared" ca="1" si="11"/>
        <v>9.4499999999999993</v>
      </c>
      <c r="P197" s="36">
        <f ca="1"/>
        <v>5.4914585887375087E-3</v>
      </c>
    </row>
    <row r="198" spans="2:16" x14ac:dyDescent="0.25">
      <c r="B198" s="32">
        <v>0</v>
      </c>
      <c r="C198" s="13">
        <v>49621</v>
      </c>
      <c r="D198" s="20">
        <f ca="1"/>
        <v>15.843835616438357</v>
      </c>
      <c r="E198" s="9">
        <v>9.0638795234942397E-3</v>
      </c>
      <c r="F198" s="17">
        <v>0.95541901932861639</v>
      </c>
      <c r="H198" s="24">
        <f ca="1"/>
        <v>9.0707142962614604E-3</v>
      </c>
      <c r="I198" s="25">
        <f t="shared" ca="1" si="8"/>
        <v>6.8347727672207065E-6</v>
      </c>
      <c r="K198" s="30">
        <f ca="1"/>
        <v>4.4939993849777274E-2</v>
      </c>
      <c r="L198" s="1">
        <f t="shared" ca="1" si="9"/>
        <v>0.95605484928279005</v>
      </c>
      <c r="M198" s="25">
        <f t="shared" ca="1" si="10"/>
        <v>6.3582995417366117E-4</v>
      </c>
      <c r="O198" s="30">
        <f t="shared" ca="1" si="11"/>
        <v>9.5</v>
      </c>
      <c r="P198" s="36">
        <f ca="1"/>
        <v>5.549726868207136E-3</v>
      </c>
    </row>
    <row r="199" spans="2:16" x14ac:dyDescent="0.25">
      <c r="B199" s="32">
        <v>0</v>
      </c>
      <c r="C199" s="13">
        <v>49653</v>
      </c>
      <c r="D199" s="20">
        <f ca="1"/>
        <v>15.931506849315069</v>
      </c>
      <c r="E199" s="9">
        <v>9.0556452774891889E-3</v>
      </c>
      <c r="F199" s="17">
        <v>0.95464991095631235</v>
      </c>
      <c r="H199" s="24">
        <f ca="1"/>
        <v>9.0666068784569006E-3</v>
      </c>
      <c r="I199" s="25">
        <f t="shared" ca="1" si="8"/>
        <v>1.0961600967711663E-5</v>
      </c>
      <c r="K199" s="30">
        <f ca="1"/>
        <v>4.5735063413690644E-2</v>
      </c>
      <c r="L199" s="1">
        <f t="shared" ca="1" si="9"/>
        <v>0.95529502126878352</v>
      </c>
      <c r="M199" s="25">
        <f t="shared" ca="1" si="10"/>
        <v>6.4511031247116435E-4</v>
      </c>
      <c r="O199" s="30">
        <f t="shared" ca="1" si="11"/>
        <v>9.5500000000000007</v>
      </c>
      <c r="P199" s="36">
        <f ca="1"/>
        <v>5.6075806120406664E-3</v>
      </c>
    </row>
    <row r="200" spans="2:16" x14ac:dyDescent="0.25">
      <c r="B200" s="32">
        <v>0</v>
      </c>
      <c r="C200" s="13">
        <v>49682</v>
      </c>
      <c r="D200" s="20">
        <f ca="1"/>
        <v>16.010958904109589</v>
      </c>
      <c r="E200" s="9">
        <v>9.0474179268484195E-3</v>
      </c>
      <c r="F200" s="17">
        <v>0.95395407376698882</v>
      </c>
      <c r="H200" s="24">
        <f ca="1"/>
        <v>9.0618373996849098E-3</v>
      </c>
      <c r="I200" s="25">
        <f t="shared" ref="I200:I263" ca="1" si="12">SQRT((H200-E200)^2)</f>
        <v>1.4419472836490338E-5</v>
      </c>
      <c r="K200" s="30">
        <f ca="1"/>
        <v>4.6455241039035394E-2</v>
      </c>
      <c r="L200" s="1">
        <f t="shared" ref="L200:L263" ca="1" si="13">EXP(-K200)</f>
        <v>0.95460728684405971</v>
      </c>
      <c r="M200" s="25">
        <f t="shared" ref="M200:M263" ca="1" si="14">SQRT((L200-F200)^2)</f>
        <v>6.5321307707089105E-4</v>
      </c>
      <c r="O200" s="30">
        <f t="shared" ca="1" si="11"/>
        <v>9.6000000000000014</v>
      </c>
      <c r="P200" s="36">
        <f ca="1"/>
        <v>5.6650163861125492E-3</v>
      </c>
    </row>
    <row r="201" spans="2:16" x14ac:dyDescent="0.25">
      <c r="B201" s="32">
        <v>0</v>
      </c>
      <c r="C201" s="13">
        <v>49713</v>
      </c>
      <c r="D201" s="20">
        <f ca="1"/>
        <v>16.095890410958905</v>
      </c>
      <c r="E201" s="9">
        <v>9.0377338493807715E-3</v>
      </c>
      <c r="F201" s="17">
        <v>0.95321153822883176</v>
      </c>
      <c r="H201" s="24">
        <f ca="1"/>
        <v>9.0556515585018035E-3</v>
      </c>
      <c r="I201" s="25">
        <f t="shared" ca="1" si="12"/>
        <v>1.7917709121031966E-5</v>
      </c>
      <c r="K201" s="30">
        <f ca="1"/>
        <v>4.7224621762327584E-2</v>
      </c>
      <c r="L201" s="1">
        <f t="shared" ca="1" si="13"/>
        <v>0.95387311286511711</v>
      </c>
      <c r="M201" s="25">
        <f t="shared" ca="1" si="14"/>
        <v>6.6157463628535584E-4</v>
      </c>
      <c r="O201" s="30">
        <f t="shared" ref="O201:O264" ca="1" si="15">MIN(O200+$P$5,$D$297)</f>
        <v>9.6500000000000021</v>
      </c>
      <c r="P201" s="36">
        <f ca="1"/>
        <v>5.722030826630687E-3</v>
      </c>
    </row>
    <row r="202" spans="2:16" x14ac:dyDescent="0.25">
      <c r="B202" s="32">
        <v>0</v>
      </c>
      <c r="C202" s="13">
        <v>49744</v>
      </c>
      <c r="D202" s="20">
        <f ca="1"/>
        <v>16.18082191780822</v>
      </c>
      <c r="E202" s="9">
        <v>9.027435848524867E-3</v>
      </c>
      <c r="F202" s="17">
        <v>0.95247039900832986</v>
      </c>
      <c r="H202" s="24">
        <f ca="1"/>
        <v>9.0483561220854065E-3</v>
      </c>
      <c r="I202" s="25">
        <f t="shared" ca="1" si="12"/>
        <v>2.0920273560539465E-5</v>
      </c>
      <c r="K202" s="30">
        <f ca="1"/>
        <v>4.7993429890357944E-2</v>
      </c>
      <c r="L202" s="1">
        <f t="shared" ca="1" si="13"/>
        <v>0.95314004929156104</v>
      </c>
      <c r="M202" s="25">
        <f t="shared" ca="1" si="14"/>
        <v>6.6965028323118236E-4</v>
      </c>
      <c r="O202" s="30">
        <f t="shared" ca="1" si="15"/>
        <v>9.7000000000000028</v>
      </c>
      <c r="P202" s="36">
        <f ca="1"/>
        <v>5.7786206398039728E-3</v>
      </c>
    </row>
    <row r="203" spans="2:16" x14ac:dyDescent="0.25">
      <c r="B203" s="32">
        <v>0</v>
      </c>
      <c r="C203" s="13">
        <v>49773</v>
      </c>
      <c r="D203" s="20">
        <f ca="1"/>
        <v>16.260273972602739</v>
      </c>
      <c r="E203" s="9">
        <v>9.0169804240901857E-3</v>
      </c>
      <c r="F203" s="17">
        <v>0.95177839583276092</v>
      </c>
      <c r="H203" s="24">
        <f ca="1"/>
        <v>9.0405397775306963E-3</v>
      </c>
      <c r="I203" s="25">
        <f t="shared" ca="1" si="12"/>
        <v>2.3559353440510619E-5</v>
      </c>
      <c r="K203" s="30">
        <f ca="1"/>
        <v>4.8712036169066886E-2</v>
      </c>
      <c r="L203" s="1">
        <f t="shared" ca="1" si="13"/>
        <v>0.95245536290708266</v>
      </c>
      <c r="M203" s="25">
        <f t="shared" ca="1" si="14"/>
        <v>6.7696707432174374E-4</v>
      </c>
      <c r="O203" s="30">
        <f t="shared" ca="1" si="15"/>
        <v>9.7500000000000036</v>
      </c>
      <c r="P203" s="36">
        <f ca="1"/>
        <v>5.8347826015096773E-3</v>
      </c>
    </row>
    <row r="204" spans="2:16" x14ac:dyDescent="0.25">
      <c r="B204" s="32">
        <v>0</v>
      </c>
      <c r="C204" s="13">
        <v>49803</v>
      </c>
      <c r="D204" s="20">
        <f ca="1"/>
        <v>16.342465753424658</v>
      </c>
      <c r="E204" s="9">
        <v>9.0054303249615334E-3</v>
      </c>
      <c r="F204" s="17">
        <v>0.95106393041813253</v>
      </c>
      <c r="H204" s="24">
        <f ca="1"/>
        <v>9.0314584375501567E-3</v>
      </c>
      <c r="I204" s="25">
        <f t="shared" ca="1" si="12"/>
        <v>2.6028112588623309E-5</v>
      </c>
      <c r="K204" s="30">
        <f ca="1"/>
        <v>4.9454727915658567E-2</v>
      </c>
      <c r="L204" s="1">
        <f t="shared" ca="1" si="13"/>
        <v>0.95174824478795339</v>
      </c>
      <c r="M204" s="25">
        <f t="shared" ca="1" si="14"/>
        <v>6.843143698208598E-4</v>
      </c>
      <c r="O204" s="30">
        <f t="shared" ca="1" si="15"/>
        <v>9.8000000000000043</v>
      </c>
      <c r="P204" s="36">
        <f ca="1"/>
        <v>5.8905135569609817E-3</v>
      </c>
    </row>
    <row r="205" spans="2:16" x14ac:dyDescent="0.25">
      <c r="B205" s="32">
        <v>0</v>
      </c>
      <c r="C205" s="13">
        <v>49835</v>
      </c>
      <c r="D205" s="20">
        <f ca="1"/>
        <v>16.43013698630137</v>
      </c>
      <c r="E205" s="9">
        <v>8.9923014791225709E-3</v>
      </c>
      <c r="F205" s="17">
        <v>0.95030346562546186</v>
      </c>
      <c r="H205" s="24">
        <f ca="1"/>
        <v>9.0206710386045788E-3</v>
      </c>
      <c r="I205" s="25">
        <f t="shared" ca="1" si="12"/>
        <v>2.8369559482007908E-5</v>
      </c>
      <c r="K205" s="30">
        <f ca="1"/>
        <v>5.0246062381452003E-2</v>
      </c>
      <c r="L205" s="1">
        <f t="shared" ca="1" si="13"/>
        <v>0.95099539151775159</v>
      </c>
      <c r="M205" s="25">
        <f t="shared" ca="1" si="14"/>
        <v>6.9192589228972423E-4</v>
      </c>
      <c r="O205" s="30">
        <f t="shared" ca="1" si="15"/>
        <v>9.850000000000005</v>
      </c>
      <c r="P205" s="36">
        <f ca="1"/>
        <v>5.9458104203743848E-3</v>
      </c>
    </row>
    <row r="206" spans="2:16" x14ac:dyDescent="0.25">
      <c r="B206" s="32">
        <v>0</v>
      </c>
      <c r="C206" s="13">
        <v>49864</v>
      </c>
      <c r="D206" s="20">
        <f ca="1"/>
        <v>16.509589041095889</v>
      </c>
      <c r="E206" s="9">
        <v>8.9796802902970142E-3</v>
      </c>
      <c r="F206" s="17">
        <v>0.94961580450513683</v>
      </c>
      <c r="H206" s="24">
        <f ca="1"/>
        <v>9.0099273172150364E-3</v>
      </c>
      <c r="I206" s="25">
        <f t="shared" ca="1" si="12"/>
        <v>3.0247026918022238E-5</v>
      </c>
      <c r="K206" s="30">
        <f ca="1"/>
        <v>5.0962352472877295E-2</v>
      </c>
      <c r="L206" s="1">
        <f t="shared" ca="1" si="13"/>
        <v>0.95031444684789057</v>
      </c>
      <c r="M206" s="25">
        <f t="shared" ca="1" si="14"/>
        <v>6.9864234275374137E-4</v>
      </c>
      <c r="O206" s="30">
        <f t="shared" ca="1" si="15"/>
        <v>9.9000000000000057</v>
      </c>
      <c r="P206" s="36">
        <f ca="1"/>
        <v>6.0006701746372574E-3</v>
      </c>
    </row>
    <row r="207" spans="2:16" x14ac:dyDescent="0.25">
      <c r="B207" s="32">
        <v>0</v>
      </c>
      <c r="C207" s="13">
        <v>49895</v>
      </c>
      <c r="D207" s="20">
        <f ca="1"/>
        <v>16.594520547945205</v>
      </c>
      <c r="E207" s="9">
        <v>8.9651903482584443E-3</v>
      </c>
      <c r="F207" s="17">
        <v>0.94888236467818121</v>
      </c>
      <c r="H207" s="24">
        <f ca="1"/>
        <v>8.9974400114709811E-3</v>
      </c>
      <c r="I207" s="25">
        <f t="shared" ca="1" si="12"/>
        <v>3.2249663212536792E-5</v>
      </c>
      <c r="K207" s="30">
        <f ca="1"/>
        <v>5.1727056173812846E-2</v>
      </c>
      <c r="L207" s="1">
        <f t="shared" ca="1" si="13"/>
        <v>0.94958801566104178</v>
      </c>
      <c r="M207" s="25">
        <f t="shared" ca="1" si="14"/>
        <v>7.0565098286057282E-4</v>
      </c>
      <c r="O207" s="30">
        <f t="shared" ca="1" si="15"/>
        <v>9.9500000000000064</v>
      </c>
      <c r="P207" s="36">
        <f ca="1"/>
        <v>6.0550898709751874E-3</v>
      </c>
    </row>
    <row r="208" spans="2:16" x14ac:dyDescent="0.25">
      <c r="B208" s="32">
        <v>0</v>
      </c>
      <c r="C208" s="13">
        <v>49926</v>
      </c>
      <c r="D208" s="20">
        <f ca="1"/>
        <v>16.67945205479452</v>
      </c>
      <c r="E208" s="9">
        <v>8.9504376619097218E-3</v>
      </c>
      <c r="F208" s="17">
        <v>0.94815068405674607</v>
      </c>
      <c r="H208" s="24">
        <f ca="1"/>
        <v>8.9839319472396015E-3</v>
      </c>
      <c r="I208" s="25">
        <f t="shared" ca="1" si="12"/>
        <v>3.3494285329879747E-5</v>
      </c>
      <c r="K208" s="30">
        <f ca="1"/>
        <v>5.2490655850428052E-2</v>
      </c>
      <c r="L208" s="1">
        <f t="shared" ca="1" si="13"/>
        <v>0.94886318733392305</v>
      </c>
      <c r="M208" s="25">
        <f t="shared" ca="1" si="14"/>
        <v>7.1250327717697903E-4</v>
      </c>
      <c r="O208" s="30">
        <f t="shared" ca="1" si="15"/>
        <v>10.000000000000007</v>
      </c>
      <c r="P208" s="36">
        <f ca="1"/>
        <v>6.1090666286195668E-3</v>
      </c>
    </row>
    <row r="209" spans="2:16" x14ac:dyDescent="0.25">
      <c r="B209" s="32">
        <v>0</v>
      </c>
      <c r="C209" s="13">
        <v>49956</v>
      </c>
      <c r="D209" s="20">
        <f ca="1"/>
        <v>16.761643835616439</v>
      </c>
      <c r="E209" s="9">
        <v>8.9351933562404843E-3</v>
      </c>
      <c r="F209" s="17">
        <v>0.94744433656775828</v>
      </c>
      <c r="H209" s="24">
        <f ca="1"/>
        <v>8.9699026371575091E-3</v>
      </c>
      <c r="I209" s="25">
        <f t="shared" ca="1" si="12"/>
        <v>3.470928091702484E-5</v>
      </c>
      <c r="K209" s="30">
        <f ca="1"/>
        <v>5.3228491065633252E-2</v>
      </c>
      <c r="L209" s="1">
        <f t="shared" ca="1" si="13"/>
        <v>0.94816334087732645</v>
      </c>
      <c r="M209" s="25">
        <f t="shared" ca="1" si="14"/>
        <v>7.1900430956817196E-4</v>
      </c>
      <c r="O209" s="30">
        <f t="shared" ca="1" si="15"/>
        <v>10.050000000000008</v>
      </c>
      <c r="P209" s="36">
        <f ca="1"/>
        <v>6.1625976344750113E-3</v>
      </c>
    </row>
    <row r="210" spans="2:16" x14ac:dyDescent="0.25">
      <c r="B210" s="32">
        <v>0</v>
      </c>
      <c r="C210" s="13">
        <v>49989</v>
      </c>
      <c r="D210" s="20">
        <f ca="1"/>
        <v>16.852054794520548</v>
      </c>
      <c r="E210" s="9">
        <v>8.9176123578348157E-3</v>
      </c>
      <c r="F210" s="17">
        <v>0.9466693843804953</v>
      </c>
      <c r="H210" s="24">
        <f ca="1"/>
        <v>8.9534007079792918E-3</v>
      </c>
      <c r="I210" s="25">
        <f t="shared" ca="1" si="12"/>
        <v>3.5788350144476053E-5</v>
      </c>
      <c r="K210" s="30">
        <f ca="1"/>
        <v>5.4038730960888612E-2</v>
      </c>
      <c r="L210" s="1">
        <f t="shared" ca="1" si="13"/>
        <v>0.947395412256543</v>
      </c>
      <c r="M210" s="25">
        <f t="shared" ca="1" si="14"/>
        <v>7.2602787604769681E-4</v>
      </c>
      <c r="O210" s="30">
        <f t="shared" ca="1" si="15"/>
        <v>10.100000000000009</v>
      </c>
      <c r="P210" s="36">
        <f ca="1"/>
        <v>6.2156801427868001E-3</v>
      </c>
    </row>
    <row r="211" spans="2:16" x14ac:dyDescent="0.25">
      <c r="B211" s="32">
        <v>0</v>
      </c>
      <c r="C211" s="13">
        <v>50017</v>
      </c>
      <c r="D211" s="20">
        <f ca="1"/>
        <v>16.92876712328767</v>
      </c>
      <c r="E211" s="9">
        <v>8.9020398858714808E-3</v>
      </c>
      <c r="F211" s="17">
        <v>0.94601356652018942</v>
      </c>
      <c r="H211" s="24">
        <f ca="1"/>
        <v>8.9385343596787552E-3</v>
      </c>
      <c r="I211" s="25">
        <f t="shared" ca="1" si="12"/>
        <v>3.6494473807274427E-5</v>
      </c>
      <c r="K211" s="30">
        <f ca="1"/>
        <v>5.4725001995209431E-2</v>
      </c>
      <c r="L211" s="1">
        <f t="shared" ca="1" si="13"/>
        <v>0.94674546527246617</v>
      </c>
      <c r="M211" s="25">
        <f t="shared" ca="1" si="14"/>
        <v>7.318987522767495E-4</v>
      </c>
      <c r="O211" s="30">
        <f t="shared" ca="1" si="15"/>
        <v>10.150000000000009</v>
      </c>
      <c r="P211" s="36">
        <f ca="1"/>
        <v>6.2683114748084126E-3</v>
      </c>
    </row>
    <row r="212" spans="2:16" x14ac:dyDescent="0.25">
      <c r="B212" s="32">
        <v>0</v>
      </c>
      <c r="C212" s="13">
        <v>50048</v>
      </c>
      <c r="D212" s="20">
        <f ca="1"/>
        <v>17.013698630136986</v>
      </c>
      <c r="E212" s="9">
        <v>8.8840952862366436E-3</v>
      </c>
      <c r="F212" s="17">
        <v>0.94528937464728879</v>
      </c>
      <c r="H212" s="24">
        <f ca="1"/>
        <v>8.9211646397249194E-3</v>
      </c>
      <c r="I212" s="25">
        <f t="shared" ca="1" si="12"/>
        <v>3.7069353488275794E-5</v>
      </c>
      <c r="K212" s="30">
        <f ca="1"/>
        <v>5.54834342867647E-2</v>
      </c>
      <c r="L212" s="1">
        <f t="shared" ca="1" si="13"/>
        <v>0.94602769516414031</v>
      </c>
      <c r="M212" s="25">
        <f t="shared" ca="1" si="14"/>
        <v>7.3832051685152056E-4</v>
      </c>
      <c r="O212" s="30">
        <f t="shared" ca="1" si="15"/>
        <v>10.20000000000001</v>
      </c>
      <c r="P212" s="36">
        <f ca="1"/>
        <v>6.3204890184689021E-3</v>
      </c>
    </row>
    <row r="213" spans="2:16" x14ac:dyDescent="0.25">
      <c r="B213" s="32">
        <v>0</v>
      </c>
      <c r="C213" s="13">
        <v>50080</v>
      </c>
      <c r="D213" s="20">
        <f ca="1"/>
        <v>17.101369863013698</v>
      </c>
      <c r="E213" s="9">
        <v>8.8648062435535222E-3</v>
      </c>
      <c r="F213" s="17">
        <v>0.94454396510395033</v>
      </c>
      <c r="H213" s="24">
        <f ca="1"/>
        <v>8.9022479566999557E-3</v>
      </c>
      <c r="I213" s="25">
        <f t="shared" ca="1" si="12"/>
        <v>3.7441713146433436E-5</v>
      </c>
      <c r="K213" s="30">
        <f ca="1"/>
        <v>5.6264741822215476E-2</v>
      </c>
      <c r="L213" s="1">
        <f t="shared" ca="1" si="13"/>
        <v>0.94528884526924406</v>
      </c>
      <c r="M213" s="25">
        <f t="shared" ca="1" si="14"/>
        <v>7.4488016529372647E-4</v>
      </c>
      <c r="O213" s="30">
        <f t="shared" ca="1" si="15"/>
        <v>10.250000000000011</v>
      </c>
      <c r="P213" s="36">
        <f ca="1"/>
        <v>6.3722102280404595E-3</v>
      </c>
    </row>
    <row r="214" spans="2:16" x14ac:dyDescent="0.25">
      <c r="B214" s="32">
        <v>0</v>
      </c>
      <c r="C214" s="13">
        <v>50108</v>
      </c>
      <c r="D214" s="20">
        <f ca="1"/>
        <v>17.17808219178082</v>
      </c>
      <c r="E214" s="9">
        <v>8.8473034592915778E-3</v>
      </c>
      <c r="F214" s="17">
        <v>0.94389356469428054</v>
      </c>
      <c r="H214" s="24">
        <f ca="1"/>
        <v>8.8848879550682131E-3</v>
      </c>
      <c r="I214" s="25">
        <f t="shared" ca="1" si="12"/>
        <v>3.7584495776635252E-5</v>
      </c>
      <c r="K214" s="30">
        <f ca="1"/>
        <v>5.6946992908115425E-2</v>
      </c>
      <c r="L214" s="1">
        <f t="shared" ca="1" si="13"/>
        <v>0.9446441408782128</v>
      </c>
      <c r="M214" s="25">
        <f t="shared" ca="1" si="14"/>
        <v>7.5057618393226111E-4</v>
      </c>
      <c r="O214" s="30">
        <f t="shared" ca="1" si="15"/>
        <v>10.300000000000011</v>
      </c>
      <c r="P214" s="36">
        <f ca="1"/>
        <v>6.4234726238058025E-3</v>
      </c>
    </row>
    <row r="215" spans="2:16" x14ac:dyDescent="0.25">
      <c r="B215" s="32">
        <v>0</v>
      </c>
      <c r="C215" s="13">
        <v>50138</v>
      </c>
      <c r="D215" s="20">
        <f ca="1"/>
        <v>17.260273972602739</v>
      </c>
      <c r="E215" s="9">
        <v>8.8279016899004883E-3</v>
      </c>
      <c r="F215" s="17">
        <v>0.94319865297147254</v>
      </c>
      <c r="H215" s="24">
        <f ca="1"/>
        <v>8.8654659910050969E-3</v>
      </c>
      <c r="I215" s="25">
        <f t="shared" ca="1" si="12"/>
        <v>3.7564301104608608E-5</v>
      </c>
      <c r="K215" s="30">
        <f ca="1"/>
        <v>5.7676465282265818E-2</v>
      </c>
      <c r="L215" s="1">
        <f t="shared" ca="1" si="13"/>
        <v>0.94395530034965303</v>
      </c>
      <c r="M215" s="25">
        <f t="shared" ca="1" si="14"/>
        <v>7.5664737818048611E-4</v>
      </c>
      <c r="O215" s="30">
        <f t="shared" ca="1" si="15"/>
        <v>10.350000000000012</v>
      </c>
      <c r="P215" s="36">
        <f ca="1"/>
        <v>6.4742737917257241E-3</v>
      </c>
    </row>
    <row r="216" spans="2:16" x14ac:dyDescent="0.25">
      <c r="B216" s="32">
        <v>0</v>
      </c>
      <c r="C216" s="13">
        <v>50168</v>
      </c>
      <c r="D216" s="20">
        <f ca="1"/>
        <v>17.342465753424658</v>
      </c>
      <c r="E216" s="9">
        <v>8.8073739174814886E-3</v>
      </c>
      <c r="F216" s="17">
        <v>0.94250580193240974</v>
      </c>
      <c r="H216" s="24">
        <f ca="1"/>
        <v>8.8452088264420487E-3</v>
      </c>
      <c r="I216" s="25">
        <f t="shared" ca="1" si="12"/>
        <v>3.7834908960560076E-5</v>
      </c>
      <c r="K216" s="30">
        <f ca="1"/>
        <v>5.8404306901017305E-2</v>
      </c>
      <c r="L216" s="1">
        <f t="shared" ca="1" si="13"/>
        <v>0.94326850036694265</v>
      </c>
      <c r="M216" s="25">
        <f t="shared" ca="1" si="14"/>
        <v>7.6269843453291575E-4</v>
      </c>
      <c r="O216" s="30">
        <f t="shared" ca="1" si="15"/>
        <v>10.400000000000013</v>
      </c>
      <c r="P216" s="36">
        <f ca="1"/>
        <v>6.5246113831064836E-3</v>
      </c>
    </row>
    <row r="217" spans="2:16" x14ac:dyDescent="0.25">
      <c r="B217" s="32">
        <v>0</v>
      </c>
      <c r="C217" s="13">
        <v>50199</v>
      </c>
      <c r="D217" s="20">
        <f ca="1"/>
        <v>17.427397260273974</v>
      </c>
      <c r="E217" s="9">
        <v>8.7864250492184753E-3</v>
      </c>
      <c r="F217" s="17">
        <v>0.94179207114587782</v>
      </c>
      <c r="H217" s="24">
        <f ca="1"/>
        <v>8.8234155550069963E-3</v>
      </c>
      <c r="I217" s="25">
        <f t="shared" ca="1" si="12"/>
        <v>3.6990505788521075E-5</v>
      </c>
      <c r="K217" s="30">
        <f ca="1"/>
        <v>5.9154624480255151E-2</v>
      </c>
      <c r="L217" s="1">
        <f t="shared" ca="1" si="13"/>
        <v>0.9425610148817658</v>
      </c>
      <c r="M217" s="25">
        <f t="shared" ca="1" si="14"/>
        <v>7.6894373588798359E-4</v>
      </c>
      <c r="O217" s="30">
        <f t="shared" ca="1" si="15"/>
        <v>10.450000000000014</v>
      </c>
      <c r="P217" s="36">
        <f ca="1"/>
        <v>6.5744831142673151E-3</v>
      </c>
    </row>
    <row r="218" spans="2:16" x14ac:dyDescent="0.25">
      <c r="B218" s="32">
        <v>0</v>
      </c>
      <c r="C218" s="13">
        <v>50229</v>
      </c>
      <c r="D218" s="20">
        <f ca="1"/>
        <v>17.509589041095889</v>
      </c>
      <c r="E218" s="9">
        <v>8.7650407252956222E-3</v>
      </c>
      <c r="F218" s="17">
        <v>0.9411035561409079</v>
      </c>
      <c r="H218" s="24">
        <f ca="1"/>
        <v>8.8015083566328894E-3</v>
      </c>
      <c r="I218" s="25">
        <f t="shared" ca="1" si="12"/>
        <v>3.6467631337267284E-5</v>
      </c>
      <c r="K218" s="30">
        <f ca="1"/>
        <v>5.9878941870211783E-2</v>
      </c>
      <c r="L218" s="1">
        <f t="shared" ca="1" si="13"/>
        <v>0.94187854873847676</v>
      </c>
      <c r="M218" s="25">
        <f t="shared" ca="1" si="14"/>
        <v>7.7499259756885763E-4</v>
      </c>
      <c r="O218" s="30">
        <f t="shared" ca="1" si="15"/>
        <v>10.500000000000014</v>
      </c>
      <c r="P218" s="36">
        <f ca="1"/>
        <v>6.6238867662078982E-3</v>
      </c>
    </row>
    <row r="219" spans="2:16" x14ac:dyDescent="0.25">
      <c r="B219" s="32">
        <v>0</v>
      </c>
      <c r="C219" s="13">
        <v>50262</v>
      </c>
      <c r="D219" s="20">
        <f ca="1"/>
        <v>17.600000000000001</v>
      </c>
      <c r="E219" s="9">
        <v>8.7407793207414704E-3</v>
      </c>
      <c r="F219" s="17">
        <v>0.94034873651339623</v>
      </c>
      <c r="H219" s="24">
        <f ca="1"/>
        <v>8.7765014760912453E-3</v>
      </c>
      <c r="I219" s="25">
        <f t="shared" ca="1" si="12"/>
        <v>3.5722155349774895E-5</v>
      </c>
      <c r="K219" s="30">
        <f ca="1"/>
        <v>6.0673571331881337E-2</v>
      </c>
      <c r="L219" s="1">
        <f t="shared" ca="1" si="13"/>
        <v>0.94113040158358729</v>
      </c>
      <c r="M219" s="25">
        <f t="shared" ca="1" si="14"/>
        <v>7.8166507019106213E-4</v>
      </c>
      <c r="O219" s="30">
        <f t="shared" ca="1" si="15"/>
        <v>10.550000000000015</v>
      </c>
      <c r="P219" s="36">
        <f ca="1"/>
        <v>6.6728201842757877E-3</v>
      </c>
    </row>
    <row r="220" spans="2:16" x14ac:dyDescent="0.25">
      <c r="B220" s="32">
        <v>0</v>
      </c>
      <c r="C220" s="13">
        <v>50291</v>
      </c>
      <c r="D220" s="20">
        <f ca="1"/>
        <v>17.67945205479452</v>
      </c>
      <c r="E220" s="9">
        <v>8.7188323014195587E-3</v>
      </c>
      <c r="F220" s="17">
        <v>0.93968765911169205</v>
      </c>
      <c r="H220" s="24">
        <f ca="1"/>
        <v>8.7537559519963656E-3</v>
      </c>
      <c r="I220" s="25">
        <f t="shared" ca="1" si="12"/>
        <v>3.4923650576806908E-5</v>
      </c>
      <c r="K220" s="30">
        <f ca="1"/>
        <v>6.1369983534178774E-2</v>
      </c>
      <c r="L220" s="1">
        <f t="shared" ca="1" si="13"/>
        <v>0.94047521505439813</v>
      </c>
      <c r="M220" s="25">
        <f t="shared" ca="1" si="14"/>
        <v>7.8755594270607521E-4</v>
      </c>
      <c r="O220" s="30">
        <f t="shared" ca="1" si="15"/>
        <v>10.600000000000016</v>
      </c>
      <c r="P220" s="36">
        <f ca="1"/>
        <v>6.7212812778339398E-3</v>
      </c>
    </row>
    <row r="221" spans="2:16" x14ac:dyDescent="0.25">
      <c r="B221" s="32">
        <v>0</v>
      </c>
      <c r="C221" s="13">
        <v>50321</v>
      </c>
      <c r="D221" s="20">
        <f ca="1"/>
        <v>17.761643835616439</v>
      </c>
      <c r="E221" s="9">
        <v>8.6955102507177608E-3</v>
      </c>
      <c r="F221" s="17">
        <v>0.93900604502862561</v>
      </c>
      <c r="H221" s="24">
        <f ca="1"/>
        <v>8.7294845032574349E-3</v>
      </c>
      <c r="I221" s="25">
        <f t="shared" ca="1" si="12"/>
        <v>3.3974252539674052E-5</v>
      </c>
      <c r="K221" s="30">
        <f ca="1"/>
        <v>6.2088477979257345E-2</v>
      </c>
      <c r="L221" s="1">
        <f t="shared" ca="1" si="13"/>
        <v>0.93979973153128604</v>
      </c>
      <c r="M221" s="25">
        <f t="shared" ca="1" si="14"/>
        <v>7.9368650266042895E-4</v>
      </c>
      <c r="O221" s="30">
        <f t="shared" ca="1" si="15"/>
        <v>10.650000000000016</v>
      </c>
      <c r="P221" s="36">
        <f ca="1"/>
        <v>6.76926801992814E-3</v>
      </c>
    </row>
    <row r="222" spans="2:16" x14ac:dyDescent="0.25">
      <c r="B222" s="32">
        <v>0</v>
      </c>
      <c r="C222" s="13">
        <v>50353</v>
      </c>
      <c r="D222" s="20">
        <f ca="1"/>
        <v>17.849315068493151</v>
      </c>
      <c r="E222" s="9">
        <v>8.6699505916884977E-3</v>
      </c>
      <c r="F222" s="17">
        <v>0.93828157203701312</v>
      </c>
      <c r="H222" s="24">
        <f ca="1"/>
        <v>8.7027817941370857E-3</v>
      </c>
      <c r="I222" s="25">
        <f t="shared" ca="1" si="12"/>
        <v>3.2831202448587934E-5</v>
      </c>
      <c r="K222" s="30">
        <f ca="1"/>
        <v>6.2852638181595533E-2</v>
      </c>
      <c r="L222" s="1">
        <f t="shared" ca="1" si="13"/>
        <v>0.93908184830211194</v>
      </c>
      <c r="M222" s="25">
        <f t="shared" ca="1" si="14"/>
        <v>8.0027626509882044E-4</v>
      </c>
      <c r="O222" s="30">
        <f t="shared" ca="1" si="15"/>
        <v>10.700000000000017</v>
      </c>
      <c r="P222" s="36">
        <f ca="1"/>
        <v>6.8167784469544889E-3</v>
      </c>
    </row>
    <row r="223" spans="2:16" x14ac:dyDescent="0.25">
      <c r="B223" s="32">
        <v>0</v>
      </c>
      <c r="C223" s="13">
        <v>50382</v>
      </c>
      <c r="D223" s="20">
        <f ca="1"/>
        <v>17.92876712328767</v>
      </c>
      <c r="E223" s="9">
        <v>8.6461920294509421E-3</v>
      </c>
      <c r="F223" s="17">
        <v>0.93762736368630129</v>
      </c>
      <c r="H223" s="24">
        <f ca="1"/>
        <v>8.6778736677450667E-3</v>
      </c>
      <c r="I223" s="25">
        <f t="shared" ca="1" si="12"/>
        <v>3.168163829412457E-5</v>
      </c>
      <c r="K223" s="30">
        <f ca="1"/>
        <v>6.3543106986302417E-2</v>
      </c>
      <c r="L223" s="1">
        <f t="shared" ca="1" si="13"/>
        <v>0.93843366538158768</v>
      </c>
      <c r="M223" s="25">
        <f t="shared" ca="1" si="14"/>
        <v>8.0630169528639328E-4</v>
      </c>
      <c r="O223" s="30">
        <f t="shared" ca="1" si="15"/>
        <v>10.750000000000018</v>
      </c>
      <c r="P223" s="36">
        <f ca="1"/>
        <v>6.8638106583268329E-3</v>
      </c>
    </row>
    <row r="224" spans="2:16" x14ac:dyDescent="0.25">
      <c r="B224" s="32">
        <v>0</v>
      </c>
      <c r="C224" s="13">
        <v>50413</v>
      </c>
      <c r="D224" s="20">
        <f ca="1"/>
        <v>18.013698630136986</v>
      </c>
      <c r="E224" s="9">
        <v>8.6195236246405134E-3</v>
      </c>
      <c r="F224" s="17">
        <v>0.93693054874396819</v>
      </c>
      <c r="H224" s="24">
        <f ca="1"/>
        <v>8.6505198715899553E-3</v>
      </c>
      <c r="I224" s="25">
        <f t="shared" ca="1" si="12"/>
        <v>3.0996246949441947E-5</v>
      </c>
      <c r="K224" s="30">
        <f ca="1"/>
        <v>6.427897553510753E-2</v>
      </c>
      <c r="L224" s="1">
        <f t="shared" ca="1" si="13"/>
        <v>0.93774335558187916</v>
      </c>
      <c r="M224" s="25">
        <f t="shared" ca="1" si="14"/>
        <v>8.1280683791096209E-4</v>
      </c>
      <c r="O224" s="30">
        <f t="shared" ca="1" si="15"/>
        <v>10.800000000000018</v>
      </c>
      <c r="P224" s="36">
        <f ca="1"/>
        <v>6.9103628161442726E-3</v>
      </c>
    </row>
    <row r="225" spans="2:16" x14ac:dyDescent="0.25">
      <c r="B225" s="32">
        <v>0</v>
      </c>
      <c r="C225" s="13">
        <v>50444</v>
      </c>
      <c r="D225" s="20">
        <f ca="1"/>
        <v>18.098630136986301</v>
      </c>
      <c r="E225" s="9">
        <v>8.5935053776206478E-3</v>
      </c>
      <c r="F225" s="17">
        <v>0.93623637474650923</v>
      </c>
      <c r="H225" s="24">
        <f ca="1"/>
        <v>8.6224318373756305E-3</v>
      </c>
      <c r="I225" s="25">
        <f t="shared" ca="1" si="12"/>
        <v>2.8926459754982647E-5</v>
      </c>
      <c r="K225" s="30">
        <f ca="1"/>
        <v>6.5012489574991811E-2</v>
      </c>
      <c r="L225" s="1">
        <f t="shared" ca="1" si="13"/>
        <v>0.93705575987613321</v>
      </c>
      <c r="M225" s="25">
        <f t="shared" ca="1" si="14"/>
        <v>8.1938512962398402E-4</v>
      </c>
      <c r="O225" s="30">
        <f t="shared" ca="1" si="15"/>
        <v>10.850000000000019</v>
      </c>
      <c r="P225" s="36">
        <f ca="1"/>
        <v>6.9564331448586534E-3</v>
      </c>
    </row>
    <row r="226" spans="2:16" x14ac:dyDescent="0.25">
      <c r="B226" s="32">
        <v>0</v>
      </c>
      <c r="C226" s="13">
        <v>50472</v>
      </c>
      <c r="D226" s="20">
        <f ca="1"/>
        <v>18.175342465753424</v>
      </c>
      <c r="E226" s="9">
        <v>8.5688868426390761E-3</v>
      </c>
      <c r="F226" s="17">
        <v>0.93561168675331785</v>
      </c>
      <c r="H226" s="24">
        <f ca="1"/>
        <v>8.59644620979165E-3</v>
      </c>
      <c r="I226" s="25">
        <f t="shared" ca="1" si="12"/>
        <v>2.7559367152573885E-5</v>
      </c>
      <c r="K226" s="30">
        <f ca="1"/>
        <v>6.5672943381658994E-2</v>
      </c>
      <c r="L226" s="1">
        <f t="shared" ca="1" si="13"/>
        <v>0.93643708215897925</v>
      </c>
      <c r="M226" s="25">
        <f t="shared" ca="1" si="14"/>
        <v>8.2539540566139991E-4</v>
      </c>
      <c r="O226" s="30">
        <f t="shared" ca="1" si="15"/>
        <v>10.90000000000002</v>
      </c>
      <c r="P226" s="36">
        <f ca="1"/>
        <v>7.0020199309419476E-3</v>
      </c>
    </row>
    <row r="227" spans="2:16" x14ac:dyDescent="0.25">
      <c r="B227" s="32">
        <v>0</v>
      </c>
      <c r="C227" s="13">
        <v>50503</v>
      </c>
      <c r="D227" s="20">
        <f ca="1"/>
        <v>18.260273972602739</v>
      </c>
      <c r="E227" s="9">
        <v>8.5410354265965851E-3</v>
      </c>
      <c r="F227" s="17">
        <v>0.9349226645827452</v>
      </c>
      <c r="H227" s="24">
        <f ca="1"/>
        <v>8.567011683736539E-3</v>
      </c>
      <c r="I227" s="25">
        <f t="shared" ca="1" si="12"/>
        <v>2.5976257139953898E-5</v>
      </c>
      <c r="K227" s="30">
        <f ca="1"/>
        <v>6.6401807434879889E-2</v>
      </c>
      <c r="L227" s="1">
        <f t="shared" ca="1" si="13"/>
        <v>0.93575479550900209</v>
      </c>
      <c r="M227" s="25">
        <f t="shared" ca="1" si="14"/>
        <v>8.32130926256891E-4</v>
      </c>
      <c r="O227" s="30">
        <f t="shared" ca="1" si="15"/>
        <v>10.950000000000021</v>
      </c>
      <c r="P227" s="36">
        <f ca="1"/>
        <v>7.0471215225538352E-3</v>
      </c>
    </row>
    <row r="228" spans="2:16" x14ac:dyDescent="0.25">
      <c r="B228" s="32">
        <v>0</v>
      </c>
      <c r="C228" s="13">
        <v>50535</v>
      </c>
      <c r="D228" s="20">
        <f ca="1"/>
        <v>18.347945205479451</v>
      </c>
      <c r="E228" s="9">
        <v>8.5116394350356391E-3</v>
      </c>
      <c r="F228" s="17">
        <v>0.9342143240757026</v>
      </c>
      <c r="H228" s="24">
        <f ca="1"/>
        <v>8.5359140740502437E-3</v>
      </c>
      <c r="I228" s="25">
        <f t="shared" ca="1" si="12"/>
        <v>2.4274639014604596E-5</v>
      </c>
      <c r="K228" s="30">
        <f ca="1"/>
        <v>6.7151529951032518E-2</v>
      </c>
      <c r="L228" s="1">
        <f t="shared" ca="1" si="13"/>
        <v>0.93505350198983084</v>
      </c>
      <c r="M228" s="25">
        <f t="shared" ca="1" si="14"/>
        <v>8.3917791412824183E-4</v>
      </c>
      <c r="O228" s="30">
        <f t="shared" ca="1" si="15"/>
        <v>11.000000000000021</v>
      </c>
      <c r="P228" s="36">
        <f ca="1"/>
        <v>7.0917363292090363E-3</v>
      </c>
    </row>
    <row r="229" spans="2:16" x14ac:dyDescent="0.25">
      <c r="B229" s="32">
        <v>0</v>
      </c>
      <c r="C229" s="13">
        <v>50564</v>
      </c>
      <c r="D229" s="20">
        <f ca="1"/>
        <v>18.427397260273974</v>
      </c>
      <c r="E229" s="9">
        <v>8.4844457522100705E-3</v>
      </c>
      <c r="F229" s="17">
        <v>0.93357498191038624</v>
      </c>
      <c r="H229" s="24">
        <f ca="1"/>
        <v>8.5071227488554106E-3</v>
      </c>
      <c r="I229" s="25">
        <f t="shared" ca="1" si="12"/>
        <v>2.2676996645340161E-5</v>
      </c>
      <c r="K229" s="30">
        <f ca="1"/>
        <v>6.7828585879014219E-2</v>
      </c>
      <c r="L229" s="1">
        <f t="shared" ca="1" si="13"/>
        <v>0.9344206327414426</v>
      </c>
      <c r="M229" s="25">
        <f t="shared" ca="1" si="14"/>
        <v>8.4565083105636596E-4</v>
      </c>
      <c r="O229" s="30">
        <f t="shared" ca="1" si="15"/>
        <v>11.050000000000022</v>
      </c>
      <c r="P229" s="36">
        <f ca="1"/>
        <v>7.1358628214449353E-3</v>
      </c>
    </row>
    <row r="230" spans="2:16" x14ac:dyDescent="0.25">
      <c r="B230" s="32">
        <v>0</v>
      </c>
      <c r="C230" s="13">
        <v>50594</v>
      </c>
      <c r="D230" s="20">
        <f ca="1"/>
        <v>18.509589041095889</v>
      </c>
      <c r="E230" s="9">
        <v>8.4557593316802338E-3</v>
      </c>
      <c r="F230" s="17">
        <v>0.93291622501730831</v>
      </c>
      <c r="H230" s="24">
        <f ca="1"/>
        <v>8.4767461086925518E-3</v>
      </c>
      <c r="I230" s="25">
        <f t="shared" ca="1" si="12"/>
        <v>2.098677701231795E-5</v>
      </c>
      <c r="K230" s="30">
        <f ca="1"/>
        <v>6.8526557162149143E-2</v>
      </c>
      <c r="L230" s="1">
        <f t="shared" ca="1" si="13"/>
        <v>0.93376866152848037</v>
      </c>
      <c r="M230" s="25">
        <f t="shared" ca="1" si="14"/>
        <v>8.524365111720611E-4</v>
      </c>
      <c r="O230" s="30">
        <f t="shared" ca="1" si="15"/>
        <v>11.100000000000023</v>
      </c>
      <c r="P230" s="36">
        <f ca="1"/>
        <v>7.1794995304888731E-3</v>
      </c>
    </row>
    <row r="231" spans="2:16" x14ac:dyDescent="0.25">
      <c r="B231" s="32">
        <v>0</v>
      </c>
      <c r="C231" s="13">
        <v>50626</v>
      </c>
      <c r="D231" s="20">
        <f ca="1"/>
        <v>18.597260273972601</v>
      </c>
      <c r="E231" s="9">
        <v>8.424548231655794E-3</v>
      </c>
      <c r="F231" s="17">
        <v>0.93221654379717378</v>
      </c>
      <c r="H231" s="24">
        <f ca="1"/>
        <v>8.4436993052173573E-3</v>
      </c>
      <c r="I231" s="25">
        <f t="shared" ca="1" si="12"/>
        <v>1.9151073561563328E-5</v>
      </c>
      <c r="K231" s="30">
        <f ca="1"/>
        <v>6.9268280109022001E-2</v>
      </c>
      <c r="L231" s="1">
        <f t="shared" ca="1" si="13"/>
        <v>0.93307632067944246</v>
      </c>
      <c r="M231" s="25">
        <f t="shared" ca="1" si="14"/>
        <v>8.5977688226868132E-4</v>
      </c>
      <c r="O231" s="30">
        <f t="shared" ca="1" si="15"/>
        <v>11.150000000000023</v>
      </c>
      <c r="P231" s="36">
        <f ca="1"/>
        <v>7.2226450479258193E-3</v>
      </c>
    </row>
    <row r="232" spans="2:16" x14ac:dyDescent="0.25">
      <c r="B232" s="32">
        <v>0</v>
      </c>
      <c r="C232" s="13">
        <v>50656</v>
      </c>
      <c r="D232" s="20">
        <f ca="1"/>
        <v>18.67945205479452</v>
      </c>
      <c r="E232" s="9">
        <v>8.3947276774006298E-3</v>
      </c>
      <c r="F232" s="17">
        <v>0.93156343789593321</v>
      </c>
      <c r="H232" s="24">
        <f ca="1"/>
        <v>8.4121313692217432E-3</v>
      </c>
      <c r="I232" s="25">
        <f t="shared" ca="1" si="12"/>
        <v>1.7403691821113454E-5</v>
      </c>
      <c r="K232" s="30">
        <f ca="1"/>
        <v>6.9960989305387425E-2</v>
      </c>
      <c r="L232" s="1">
        <f t="shared" ca="1" si="13"/>
        <v>0.93243019394599891</v>
      </c>
      <c r="M232" s="25">
        <f t="shared" ca="1" si="14"/>
        <v>8.6675605006569789E-4</v>
      </c>
      <c r="O232" s="30">
        <f t="shared" ca="1" si="15"/>
        <v>11.200000000000024</v>
      </c>
      <c r="P232" s="36">
        <f ca="1"/>
        <v>7.2652980253656383E-3</v>
      </c>
    </row>
    <row r="233" spans="2:16" x14ac:dyDescent="0.25">
      <c r="B233" s="32">
        <v>0</v>
      </c>
      <c r="C233" s="13">
        <v>50686</v>
      </c>
      <c r="D233" s="20">
        <f ca="1"/>
        <v>18.761643835616439</v>
      </c>
      <c r="E233" s="9">
        <v>8.3635365665828722E-3</v>
      </c>
      <c r="F233" s="17">
        <v>0.93091312321992203</v>
      </c>
      <c r="H233" s="24">
        <f ca="1"/>
        <v>8.3800134678359735E-3</v>
      </c>
      <c r="I233" s="25">
        <f t="shared" ca="1" si="12"/>
        <v>1.6476901253101306E-5</v>
      </c>
      <c r="K233" s="30">
        <f ca="1"/>
        <v>7.0651081156901177E-2</v>
      </c>
      <c r="L233" s="1">
        <f t="shared" ca="1" si="13"/>
        <v>0.93178695344009455</v>
      </c>
      <c r="M233" s="25">
        <f t="shared" ca="1" si="14"/>
        <v>8.7383022017251122E-4</v>
      </c>
      <c r="O233" s="30">
        <f t="shared" ca="1" si="15"/>
        <v>11.250000000000025</v>
      </c>
      <c r="P233" s="36">
        <f ca="1"/>
        <v>7.3074571741106927E-3</v>
      </c>
    </row>
    <row r="234" spans="2:16" x14ac:dyDescent="0.25">
      <c r="B234" s="32">
        <v>0</v>
      </c>
      <c r="C234" s="13">
        <v>50717</v>
      </c>
      <c r="D234" s="20">
        <f ca="1"/>
        <v>18.846575342465755</v>
      </c>
      <c r="E234" s="9">
        <v>8.3324273995839821E-3</v>
      </c>
      <c r="F234" s="17">
        <v>0.93024410270745139</v>
      </c>
      <c r="H234" s="24">
        <f ca="1"/>
        <v>8.346265639741203E-3</v>
      </c>
      <c r="I234" s="25">
        <f t="shared" ca="1" si="12"/>
        <v>1.3838240157220891E-5</v>
      </c>
      <c r="K234" s="30">
        <f ca="1"/>
        <v>7.1361379158334973E-2</v>
      </c>
      <c r="L234" s="1">
        <f t="shared" ca="1" si="13"/>
        <v>0.93112534202775243</v>
      </c>
      <c r="M234" s="25">
        <f t="shared" ca="1" si="14"/>
        <v>8.8123932030104157E-4</v>
      </c>
      <c r="O234" s="30">
        <f t="shared" ca="1" si="15"/>
        <v>11.300000000000026</v>
      </c>
      <c r="P234" s="36">
        <f ca="1"/>
        <v>7.3491212648232589E-3</v>
      </c>
    </row>
    <row r="235" spans="2:16" x14ac:dyDescent="0.25">
      <c r="B235" s="32">
        <v>0</v>
      </c>
      <c r="C235" s="13">
        <v>50747</v>
      </c>
      <c r="D235" s="20">
        <f ca="1"/>
        <v>18.92876712328767</v>
      </c>
      <c r="E235" s="9">
        <v>8.3009914804361845E-3</v>
      </c>
      <c r="F235" s="17">
        <v>0.92959957540276716</v>
      </c>
      <c r="H235" s="24">
        <f ca="1"/>
        <v>8.313083077149383E-3</v>
      </c>
      <c r="I235" s="25">
        <f t="shared" ca="1" si="12"/>
        <v>1.2091596713198483E-5</v>
      </c>
      <c r="K235" s="30">
        <f ca="1"/>
        <v>7.2046013392364522E-2</v>
      </c>
      <c r="L235" s="1">
        <f t="shared" ca="1" si="13"/>
        <v>0.93048807991304938</v>
      </c>
      <c r="M235" s="25">
        <f t="shared" ca="1" si="14"/>
        <v>8.8850451028221755E-4</v>
      </c>
      <c r="O235" s="30">
        <f t="shared" ca="1" si="15"/>
        <v>11.350000000000026</v>
      </c>
      <c r="P235" s="36">
        <f ca="1"/>
        <v>7.3902891271930204E-3</v>
      </c>
    </row>
    <row r="236" spans="2:16" x14ac:dyDescent="0.25">
      <c r="B236" s="32">
        <v>0</v>
      </c>
      <c r="C236" s="13">
        <v>50780</v>
      </c>
      <c r="D236" s="20">
        <f ca="1"/>
        <v>19.019178082191782</v>
      </c>
      <c r="E236" s="9">
        <v>8.265809117173447E-3</v>
      </c>
      <c r="F236" s="17">
        <v>0.9288939457325962</v>
      </c>
      <c r="H236" s="24">
        <f ca="1"/>
        <v>8.2760087695787563E-3</v>
      </c>
      <c r="I236" s="25">
        <f t="shared" ca="1" si="12"/>
        <v>1.0199652405309262E-5</v>
      </c>
      <c r="K236" s="30">
        <f ca="1"/>
        <v>7.2795935686965463E-2</v>
      </c>
      <c r="L236" s="1">
        <f t="shared" ca="1" si="13"/>
        <v>0.92979054773721714</v>
      </c>
      <c r="M236" s="25">
        <f t="shared" ca="1" si="14"/>
        <v>8.9660200462093886E-4</v>
      </c>
      <c r="O236" s="30">
        <f t="shared" ca="1" si="15"/>
        <v>11.400000000000027</v>
      </c>
      <c r="P236" s="36">
        <f ca="1"/>
        <v>7.4309596496044891E-3</v>
      </c>
    </row>
    <row r="237" spans="2:16" x14ac:dyDescent="0.25">
      <c r="B237" s="32">
        <v>0</v>
      </c>
      <c r="C237" s="13">
        <v>50809</v>
      </c>
      <c r="D237" s="20">
        <f ca="1"/>
        <v>19.098630136986301</v>
      </c>
      <c r="E237" s="9">
        <v>8.2343807211971952E-3</v>
      </c>
      <c r="F237" s="17">
        <v>0.92827677993552704</v>
      </c>
      <c r="H237" s="24">
        <f ca="1"/>
        <v>8.2429502614997999E-3</v>
      </c>
      <c r="I237" s="25">
        <f t="shared" ca="1" si="12"/>
        <v>8.5695403026046779E-6</v>
      </c>
      <c r="K237" s="30">
        <f ca="1"/>
        <v>7.3452171209589662E-2</v>
      </c>
      <c r="L237" s="1">
        <f t="shared" ca="1" si="13"/>
        <v>0.92918058631225875</v>
      </c>
      <c r="M237" s="25">
        <f t="shared" ca="1" si="14"/>
        <v>9.0380637673170838E-4</v>
      </c>
      <c r="O237" s="30">
        <f t="shared" ca="1" si="15"/>
        <v>11.450000000000028</v>
      </c>
      <c r="P237" s="36">
        <f ca="1"/>
        <v>7.4711317788045111E-3</v>
      </c>
    </row>
    <row r="238" spans="2:16" x14ac:dyDescent="0.25">
      <c r="B238" s="32">
        <v>0</v>
      </c>
      <c r="C238" s="13">
        <v>50837</v>
      </c>
      <c r="D238" s="20">
        <f ca="1"/>
        <v>19.175342465753424</v>
      </c>
      <c r="E238" s="9">
        <v>8.2035932435204576E-3</v>
      </c>
      <c r="F238" s="17">
        <v>0.92768352890205674</v>
      </c>
      <c r="H238" s="24">
        <f ca="1"/>
        <v>8.210622962440961E-3</v>
      </c>
      <c r="I238" s="25">
        <f t="shared" ca="1" si="12"/>
        <v>7.0297189205034E-6</v>
      </c>
      <c r="K238" s="30">
        <f ca="1"/>
        <v>7.4083269689046466E-2</v>
      </c>
      <c r="L238" s="1">
        <f t="shared" ca="1" si="13"/>
        <v>0.92859436685765639</v>
      </c>
      <c r="M238" s="25">
        <f t="shared" ca="1" si="14"/>
        <v>9.1083795559965264E-4</v>
      </c>
      <c r="O238" s="30">
        <f t="shared" ca="1" si="15"/>
        <v>11.500000000000028</v>
      </c>
      <c r="P238" s="36">
        <f ca="1"/>
        <v>7.5108045195697495E-3</v>
      </c>
    </row>
    <row r="239" spans="2:16" x14ac:dyDescent="0.25">
      <c r="B239" s="32">
        <v>0</v>
      </c>
      <c r="C239" s="13">
        <v>50868</v>
      </c>
      <c r="D239" s="20">
        <f ca="1"/>
        <v>19.260273972602739</v>
      </c>
      <c r="E239" s="9">
        <v>8.1680589158499503E-3</v>
      </c>
      <c r="F239" s="17">
        <v>0.92702976576423013</v>
      </c>
      <c r="H239" s="24">
        <f ca="1"/>
        <v>8.1743811522698717E-3</v>
      </c>
      <c r="I239" s="25">
        <f t="shared" ca="1" si="12"/>
        <v>6.3222364199214121E-6</v>
      </c>
      <c r="K239" s="30">
        <f ca="1"/>
        <v>7.4779074522416542E-2</v>
      </c>
      <c r="L239" s="1">
        <f t="shared" ca="1" si="13"/>
        <v>0.92794847114369527</v>
      </c>
      <c r="M239" s="25">
        <f t="shared" ca="1" si="14"/>
        <v>9.1870537946514563E-4</v>
      </c>
      <c r="O239" s="30">
        <f t="shared" ca="1" si="15"/>
        <v>11.550000000000029</v>
      </c>
      <c r="P239" s="36">
        <f ca="1"/>
        <v>7.5499769343741214E-3</v>
      </c>
    </row>
    <row r="240" spans="2:16" x14ac:dyDescent="0.25">
      <c r="B240" s="32">
        <v>0</v>
      </c>
      <c r="C240" s="13">
        <v>50899</v>
      </c>
      <c r="D240" s="20">
        <f ca="1"/>
        <v>19.345205479452055</v>
      </c>
      <c r="E240" s="9">
        <v>8.1338788117626074E-3</v>
      </c>
      <c r="F240" s="17">
        <v>0.9263792433793826</v>
      </c>
      <c r="H240" s="24">
        <f ca="1"/>
        <v>8.1376844433233148E-3</v>
      </c>
      <c r="I240" s="25">
        <f t="shared" ca="1" si="12"/>
        <v>3.8056315607073316E-6</v>
      </c>
      <c r="K240" s="30">
        <f ca="1"/>
        <v>7.5471781828234871E-2</v>
      </c>
      <c r="L240" s="1">
        <f t="shared" ca="1" si="13"/>
        <v>0.92730589704189315</v>
      </c>
      <c r="M240" s="25">
        <f t="shared" ca="1" si="14"/>
        <v>9.2665366251054593E-4</v>
      </c>
      <c r="O240" s="30">
        <f t="shared" ca="1" si="15"/>
        <v>11.60000000000003</v>
      </c>
      <c r="P240" s="36">
        <f ca="1"/>
        <v>7.5886481430562681E-3</v>
      </c>
    </row>
    <row r="241" spans="2:16" x14ac:dyDescent="0.25">
      <c r="B241" s="32">
        <v>0</v>
      </c>
      <c r="C241" s="13">
        <v>50929</v>
      </c>
      <c r="D241" s="20">
        <f ca="1"/>
        <v>19.427397260273974</v>
      </c>
      <c r="E241" s="9">
        <v>8.0994055204314519E-3</v>
      </c>
      <c r="F241" s="17">
        <v>0.92575282416595317</v>
      </c>
      <c r="H241" s="24">
        <f ca="1"/>
        <v>8.1017568126533213E-3</v>
      </c>
      <c r="I241" s="25">
        <f t="shared" ca="1" si="12"/>
        <v>2.351292221869361E-6</v>
      </c>
      <c r="K241" s="30">
        <f ca="1"/>
        <v>7.6139158857985265E-2</v>
      </c>
      <c r="L241" s="1">
        <f t="shared" ca="1" si="13"/>
        <v>0.92668724084808385</v>
      </c>
      <c r="M241" s="25">
        <f t="shared" ca="1" si="14"/>
        <v>9.3441668213067874E-4</v>
      </c>
      <c r="O241" s="30">
        <f t="shared" ca="1" si="15"/>
        <v>11.650000000000031</v>
      </c>
      <c r="P241" s="36">
        <f ca="1"/>
        <v>7.6268173224870095E-3</v>
      </c>
    </row>
    <row r="242" spans="2:16" x14ac:dyDescent="0.25">
      <c r="B242" s="32">
        <v>0</v>
      </c>
      <c r="C242" s="13">
        <v>50959</v>
      </c>
      <c r="D242" s="20">
        <f ca="1"/>
        <v>19.509589041095889</v>
      </c>
      <c r="E242" s="9">
        <v>8.0634601749278861E-3</v>
      </c>
      <c r="F242" s="17">
        <v>0.92512950401033101</v>
      </c>
      <c r="H242" s="24">
        <f ca="1"/>
        <v>8.0654392709410029E-3</v>
      </c>
      <c r="I242" s="25">
        <f t="shared" ca="1" si="12"/>
        <v>1.9790960131167712E-6</v>
      </c>
      <c r="K242" s="30">
        <f ca="1"/>
        <v>7.6803566786145541E-2</v>
      </c>
      <c r="L242" s="1">
        <f t="shared" ca="1" si="13"/>
        <v>0.92607174699048067</v>
      </c>
      <c r="M242" s="25">
        <f t="shared" ca="1" si="14"/>
        <v>9.4224298014966568E-4</v>
      </c>
      <c r="O242" s="30">
        <f t="shared" ca="1" si="15"/>
        <v>11.700000000000031</v>
      </c>
      <c r="P242" s="36">
        <f ca="1"/>
        <v>7.6644837062368881E-3</v>
      </c>
    </row>
    <row r="243" spans="2:16" x14ac:dyDescent="0.25">
      <c r="B243" s="32">
        <v>0</v>
      </c>
      <c r="C243" s="13">
        <v>50990</v>
      </c>
      <c r="D243" s="20">
        <f ca="1"/>
        <v>19.594520547945205</v>
      </c>
      <c r="E243" s="9">
        <v>8.0278420061169406E-3</v>
      </c>
      <c r="F243" s="17">
        <v>0.92448869520126442</v>
      </c>
      <c r="H243" s="24">
        <f ca="1"/>
        <v>8.0275204441020709E-3</v>
      </c>
      <c r="I243" s="25">
        <f t="shared" ca="1" si="12"/>
        <v>3.2156201486971403E-7</v>
      </c>
      <c r="K243" s="30">
        <f ca="1"/>
        <v>7.7486969187702578E-2</v>
      </c>
      <c r="L243" s="1">
        <f t="shared" ca="1" si="13"/>
        <v>0.92543908354105675</v>
      </c>
      <c r="M243" s="25">
        <f t="shared" ca="1" si="14"/>
        <v>9.5038833979232962E-4</v>
      </c>
      <c r="O243" s="30">
        <f t="shared" ca="1" si="15"/>
        <v>11.750000000000032</v>
      </c>
      <c r="P243" s="36">
        <f ca="1"/>
        <v>7.7016465842435159E-3</v>
      </c>
    </row>
    <row r="244" spans="2:16" x14ac:dyDescent="0.25">
      <c r="B244" s="32">
        <v>0</v>
      </c>
      <c r="C244" s="13">
        <v>51021</v>
      </c>
      <c r="D244" s="20">
        <f ca="1"/>
        <v>19.67945205479452</v>
      </c>
      <c r="E244" s="9">
        <v>7.9907427250297293E-3</v>
      </c>
      <c r="F244" s="17">
        <v>0.92385126153368891</v>
      </c>
      <c r="H244" s="24">
        <f ca="1"/>
        <v>7.9892239894058178E-3</v>
      </c>
      <c r="I244" s="25">
        <f t="shared" ca="1" si="12"/>
        <v>1.5187356239114436E-6</v>
      </c>
      <c r="K244" s="30">
        <f ca="1"/>
        <v>7.816713491044551E-2</v>
      </c>
      <c r="L244" s="1">
        <f t="shared" ca="1" si="13"/>
        <v>0.92480984561523827</v>
      </c>
      <c r="M244" s="25">
        <f t="shared" ca="1" si="14"/>
        <v>9.5858408154936292E-4</v>
      </c>
      <c r="O244" s="30">
        <f t="shared" ca="1" si="15"/>
        <v>11.800000000000033</v>
      </c>
      <c r="P244" s="36">
        <f ca="1"/>
        <v>7.7383053024791581E-3</v>
      </c>
    </row>
    <row r="245" spans="2:16" x14ac:dyDescent="0.25">
      <c r="B245" s="32">
        <v>0</v>
      </c>
      <c r="C245" s="13">
        <v>51053</v>
      </c>
      <c r="D245" s="20">
        <f ca="1"/>
        <v>19.767123287671232</v>
      </c>
      <c r="E245" s="9">
        <v>7.9519337776140075E-3</v>
      </c>
      <c r="F245" s="17">
        <v>0.92319684012214098</v>
      </c>
      <c r="H245" s="24">
        <f ca="1"/>
        <v>7.9493169738490896E-3</v>
      </c>
      <c r="I245" s="25">
        <f t="shared" ca="1" si="12"/>
        <v>2.6168037649178938E-6</v>
      </c>
      <c r="K245" s="30">
        <f ca="1"/>
        <v>7.8865813385687863E-2</v>
      </c>
      <c r="L245" s="1">
        <f t="shared" ca="1" si="13"/>
        <v>0.92416392655356283</v>
      </c>
      <c r="M245" s="25">
        <f t="shared" ca="1" si="14"/>
        <v>9.6708643142184858E-4</v>
      </c>
      <c r="O245" s="30">
        <f t="shared" ca="1" si="15"/>
        <v>11.850000000000033</v>
      </c>
      <c r="P245" s="36">
        <f ca="1"/>
        <v>7.7744592626181348E-3</v>
      </c>
    </row>
    <row r="246" spans="2:16" x14ac:dyDescent="0.25">
      <c r="B246" s="32">
        <v>0</v>
      </c>
      <c r="C246" s="13">
        <v>51082</v>
      </c>
      <c r="D246" s="20">
        <f ca="1"/>
        <v>19.846575342465755</v>
      </c>
      <c r="E246" s="9">
        <v>7.9163234837003552E-3</v>
      </c>
      <c r="F246" s="17">
        <v>0.9226069366804045</v>
      </c>
      <c r="H246" s="24">
        <f ca="1"/>
        <v>7.9128399940183898E-3</v>
      </c>
      <c r="I246" s="25">
        <f t="shared" ca="1" si="12"/>
        <v>3.483489681965421E-6</v>
      </c>
      <c r="K246" s="30">
        <f ca="1"/>
        <v>7.9495955770155127E-2</v>
      </c>
      <c r="L246" s="1">
        <f t="shared" ca="1" si="13"/>
        <v>0.92358175513795171</v>
      </c>
      <c r="M246" s="25">
        <f t="shared" ca="1" si="14"/>
        <v>9.7481845754721075E-4</v>
      </c>
      <c r="O246" s="30">
        <f t="shared" ca="1" si="15"/>
        <v>11.900000000000034</v>
      </c>
      <c r="P246" s="36">
        <f ca="1"/>
        <v>7.810107921704279E-3</v>
      </c>
    </row>
    <row r="247" spans="2:16" x14ac:dyDescent="0.25">
      <c r="B247" s="32">
        <v>0</v>
      </c>
      <c r="C247" s="13">
        <v>51112</v>
      </c>
      <c r="D247" s="20">
        <f ca="1"/>
        <v>19.92876712328767</v>
      </c>
      <c r="E247" s="9">
        <v>7.879056153438568E-3</v>
      </c>
      <c r="F247" s="17">
        <v>0.92199988730679805</v>
      </c>
      <c r="H247" s="24">
        <f ca="1"/>
        <v>7.874811572793735E-3</v>
      </c>
      <c r="I247" s="25">
        <f t="shared" ca="1" si="12"/>
        <v>4.244580644833032E-6</v>
      </c>
      <c r="K247" s="30">
        <f ca="1"/>
        <v>8.014476535392695E-2</v>
      </c>
      <c r="L247" s="1">
        <f t="shared" ca="1" si="13"/>
        <v>0.92298272079444676</v>
      </c>
      <c r="M247" s="25">
        <f t="shared" ca="1" si="14"/>
        <v>9.8283348764871548E-4</v>
      </c>
      <c r="O247" s="30">
        <f t="shared" ca="1" si="15"/>
        <v>11.950000000000035</v>
      </c>
      <c r="P247" s="36">
        <f ca="1"/>
        <v>7.8452507918184804E-3</v>
      </c>
    </row>
    <row r="248" spans="2:16" x14ac:dyDescent="0.25">
      <c r="B248" s="32">
        <v>0</v>
      </c>
      <c r="C248" s="13">
        <v>51144</v>
      </c>
      <c r="D248" s="20">
        <f ca="1"/>
        <v>20.016438356164382</v>
      </c>
      <c r="E248" s="9">
        <v>7.8388225765684393E-3</v>
      </c>
      <c r="F248" s="17">
        <v>0.92135598070866287</v>
      </c>
      <c r="H248" s="24">
        <f ca="1"/>
        <v>7.8339387867719587E-3</v>
      </c>
      <c r="I248" s="25">
        <f t="shared" ca="1" si="12"/>
        <v>4.8837897964806171E-6</v>
      </c>
      <c r="K248" s="30">
        <f ca="1"/>
        <v>8.0833370364618129E-2</v>
      </c>
      <c r="L248" s="1">
        <f t="shared" ca="1" si="13"/>
        <v>0.92234736904643078</v>
      </c>
      <c r="M248" s="25">
        <f t="shared" ca="1" si="14"/>
        <v>9.9138833776790669E-4</v>
      </c>
      <c r="O248" s="30">
        <f t="shared" ca="1" si="15"/>
        <v>12.000000000000036</v>
      </c>
      <c r="P248" s="36">
        <f ca="1"/>
        <v>7.8798874397460611E-3</v>
      </c>
    </row>
    <row r="249" spans="2:16" x14ac:dyDescent="0.25">
      <c r="B249" s="32">
        <v>0</v>
      </c>
      <c r="C249" s="13">
        <v>51174</v>
      </c>
      <c r="D249" s="20">
        <f ca="1"/>
        <v>20.098630136986301</v>
      </c>
      <c r="E249" s="9">
        <v>7.8007734413558889E-3</v>
      </c>
      <c r="F249" s="17">
        <v>0.92075573149428214</v>
      </c>
      <c r="H249" s="24">
        <f ca="1"/>
        <v>7.7953496784268494E-3</v>
      </c>
      <c r="I249" s="25">
        <f t="shared" ca="1" si="12"/>
        <v>5.4237629290394482E-6</v>
      </c>
      <c r="K249" s="30">
        <f ca="1"/>
        <v>8.1475671621856358E-2</v>
      </c>
      <c r="L249" s="1">
        <f t="shared" ca="1" si="13"/>
        <v>0.92175513438857515</v>
      </c>
      <c r="M249" s="25">
        <f t="shared" ca="1" si="14"/>
        <v>9.994028942930111E-4</v>
      </c>
      <c r="O249" s="30">
        <f t="shared" ca="1" si="15"/>
        <v>12.050000000000036</v>
      </c>
      <c r="P249" s="36">
        <f ca="1"/>
        <v>7.9140174866442967E-3</v>
      </c>
    </row>
    <row r="250" spans="2:16" x14ac:dyDescent="0.25">
      <c r="B250" s="32">
        <v>0</v>
      </c>
      <c r="C250" s="13">
        <v>51203</v>
      </c>
      <c r="D250" s="20">
        <f ca="1"/>
        <v>20.17808219178082</v>
      </c>
      <c r="E250" s="9">
        <v>7.7638164510878517E-3</v>
      </c>
      <c r="F250" s="17">
        <v>0.9201786420277972</v>
      </c>
      <c r="H250" s="24">
        <f ca="1"/>
        <v>7.7578149435708413E-3</v>
      </c>
      <c r="I250" s="25">
        <f t="shared" ca="1" si="12"/>
        <v>6.0015075170104584E-6</v>
      </c>
      <c r="K250" s="30">
        <f ca="1"/>
        <v>8.2093538520441378E-2</v>
      </c>
      <c r="L250" s="1">
        <f t="shared" ca="1" si="13"/>
        <v>0.92118578831059605</v>
      </c>
      <c r="M250" s="25">
        <f t="shared" ca="1" si="14"/>
        <v>1.0071462827988542E-3</v>
      </c>
      <c r="O250" s="30">
        <f t="shared" ca="1" si="15"/>
        <v>12.100000000000037</v>
      </c>
      <c r="P250" s="36">
        <f ca="1"/>
        <v>7.9476406077099073E-3</v>
      </c>
    </row>
    <row r="251" spans="2:16" x14ac:dyDescent="0.25">
      <c r="B251" s="32">
        <v>0</v>
      </c>
      <c r="C251" s="13">
        <v>51235</v>
      </c>
      <c r="D251" s="20">
        <f ca="1"/>
        <v>20.265753424657536</v>
      </c>
      <c r="E251" s="9">
        <v>7.7228353849472953E-3</v>
      </c>
      <c r="F251" s="17">
        <v>0.91954545803521326</v>
      </c>
      <c r="H251" s="24">
        <f ca="1"/>
        <v>7.7161523795327563E-3</v>
      </c>
      <c r="I251" s="25">
        <f t="shared" ca="1" si="12"/>
        <v>6.6830054145389922E-6</v>
      </c>
      <c r="K251" s="30">
        <f ca="1"/>
        <v>8.2771851219645518E-2</v>
      </c>
      <c r="L251" s="1">
        <f t="shared" ca="1" si="13"/>
        <v>0.92056114816667978</v>
      </c>
      <c r="M251" s="25">
        <f t="shared" ca="1" si="14"/>
        <v>1.0156901314665179E-3</v>
      </c>
      <c r="O251" s="30">
        <f t="shared" ca="1" si="15"/>
        <v>12.150000000000038</v>
      </c>
      <c r="P251" s="36">
        <f ca="1"/>
        <v>7.9807565318464318E-3</v>
      </c>
    </row>
    <row r="252" spans="2:16" x14ac:dyDescent="0.25">
      <c r="B252" s="32">
        <v>0</v>
      </c>
      <c r="C252" s="13">
        <v>51264</v>
      </c>
      <c r="D252" s="20">
        <f ca="1"/>
        <v>20.345205479452055</v>
      </c>
      <c r="E252" s="9">
        <v>7.6855290363769709E-3</v>
      </c>
      <c r="F252" s="17">
        <v>0.91897490928734615</v>
      </c>
      <c r="H252" s="24">
        <f ca="1"/>
        <v>7.6781913468677646E-3</v>
      </c>
      <c r="I252" s="25">
        <f t="shared" ca="1" si="12"/>
        <v>7.3376895092062966E-6</v>
      </c>
      <c r="K252" s="30">
        <f ca="1"/>
        <v>8.3383408569312811E-2</v>
      </c>
      <c r="L252" s="1">
        <f t="shared" ca="1" si="13"/>
        <v>0.91999834434164895</v>
      </c>
      <c r="M252" s="25">
        <f t="shared" ca="1" si="14"/>
        <v>1.0234350543028015E-3</v>
      </c>
      <c r="O252" s="30">
        <f t="shared" ca="1" si="15"/>
        <v>12.200000000000038</v>
      </c>
      <c r="P252" s="36">
        <f ca="1"/>
        <v>8.0133650413318023E-3</v>
      </c>
    </row>
    <row r="253" spans="2:16" x14ac:dyDescent="0.25">
      <c r="B253" s="32">
        <v>0</v>
      </c>
      <c r="C253" s="13">
        <v>51295</v>
      </c>
      <c r="D253" s="20">
        <f ca="1"/>
        <v>20.43013698630137</v>
      </c>
      <c r="E253" s="9">
        <v>7.6443604613811627E-3</v>
      </c>
      <c r="F253" s="17">
        <v>0.91836846161883445</v>
      </c>
      <c r="H253" s="24">
        <f ca="1"/>
        <v>7.6374164081824403E-3</v>
      </c>
      <c r="I253" s="25">
        <f t="shared" ca="1" si="12"/>
        <v>6.9440531987223844E-6</v>
      </c>
      <c r="K253" s="30">
        <f ca="1"/>
        <v>8.4033798757555567E-2</v>
      </c>
      <c r="L253" s="1">
        <f t="shared" ca="1" si="13"/>
        <v>0.91940018098616394</v>
      </c>
      <c r="M253" s="25">
        <f t="shared" ca="1" si="14"/>
        <v>1.0317193673294867E-3</v>
      </c>
      <c r="O253" s="30">
        <f t="shared" ca="1" si="15"/>
        <v>12.250000000000039</v>
      </c>
      <c r="P253" s="36">
        <f ca="1"/>
        <v>8.0454659714857407E-3</v>
      </c>
    </row>
    <row r="254" spans="2:16" x14ac:dyDescent="0.25">
      <c r="B254" s="32">
        <v>0</v>
      </c>
      <c r="C254" s="13">
        <v>51326</v>
      </c>
      <c r="D254" s="20">
        <f ca="1"/>
        <v>20.515068493150686</v>
      </c>
      <c r="E254" s="9">
        <v>7.6052932124018981E-3</v>
      </c>
      <c r="F254" s="17">
        <v>0.91776558438749201</v>
      </c>
      <c r="H254" s="24">
        <f ca="1"/>
        <v>7.5964583838237648E-3</v>
      </c>
      <c r="I254" s="25">
        <f t="shared" ca="1" si="12"/>
        <v>8.8348285781332872E-6</v>
      </c>
      <c r="K254" s="30">
        <f ca="1"/>
        <v>8.4680717954046456E-2</v>
      </c>
      <c r="L254" s="1">
        <f t="shared" ca="1" si="13"/>
        <v>0.9188055957048793</v>
      </c>
      <c r="M254" s="25">
        <f t="shared" ca="1" si="14"/>
        <v>1.0400113173872905E-3</v>
      </c>
      <c r="O254" s="30">
        <f t="shared" ca="1" si="15"/>
        <v>12.30000000000004</v>
      </c>
      <c r="P254" s="36">
        <f ca="1"/>
        <v>8.0770592103372833E-3</v>
      </c>
    </row>
    <row r="255" spans="2:16" x14ac:dyDescent="0.25">
      <c r="B255" s="32">
        <v>0</v>
      </c>
      <c r="C255" s="13">
        <v>51356</v>
      </c>
      <c r="D255" s="20">
        <f ca="1"/>
        <v>20.597260273972601</v>
      </c>
      <c r="E255" s="9">
        <v>7.566251560161082E-3</v>
      </c>
      <c r="F255" s="17">
        <v>0.91718555993274475</v>
      </c>
      <c r="H255" s="24">
        <f ca="1"/>
        <v>7.5566658730997563E-3</v>
      </c>
      <c r="I255" s="25">
        <f t="shared" ca="1" si="12"/>
        <v>9.58568706132569E-6</v>
      </c>
      <c r="K255" s="30">
        <f ca="1"/>
        <v>8.5303450074291201E-2</v>
      </c>
      <c r="L255" s="1">
        <f t="shared" ca="1" si="13"/>
        <v>0.91823360406544119</v>
      </c>
      <c r="M255" s="25">
        <f t="shared" ca="1" si="14"/>
        <v>1.0480441326964351E-3</v>
      </c>
      <c r="O255" s="30">
        <f t="shared" ca="1" si="15"/>
        <v>12.350000000000041</v>
      </c>
      <c r="P255" s="36">
        <f ca="1"/>
        <v>8.10814469829217E-3</v>
      </c>
    </row>
    <row r="256" spans="2:16" x14ac:dyDescent="0.25">
      <c r="B256" s="32">
        <v>0</v>
      </c>
      <c r="C256" s="13">
        <v>51389</v>
      </c>
      <c r="D256" s="20">
        <f ca="1"/>
        <v>20.687671232876713</v>
      </c>
      <c r="E256" s="9">
        <v>7.5231671880207898E-3</v>
      </c>
      <c r="F256" s="17">
        <v>0.91655140598550644</v>
      </c>
      <c r="H256" s="24">
        <f ca="1"/>
        <v>7.5127387880169622E-3</v>
      </c>
      <c r="I256" s="25">
        <f t="shared" ca="1" si="12"/>
        <v>1.042840000382763E-5</v>
      </c>
      <c r="K256" s="30">
        <f ca="1"/>
        <v>8.5984670878843816E-2</v>
      </c>
      <c r="L256" s="1">
        <f t="shared" ca="1" si="13"/>
        <v>0.91760829724110315</v>
      </c>
      <c r="M256" s="25">
        <f t="shared" ca="1" si="14"/>
        <v>1.0568912555967147E-3</v>
      </c>
      <c r="O256" s="30">
        <f t="shared" ca="1" si="15"/>
        <v>12.400000000000041</v>
      </c>
      <c r="P256" s="36">
        <f ca="1"/>
        <v>8.1387224278003916E-3</v>
      </c>
    </row>
    <row r="257" spans="2:16" x14ac:dyDescent="0.25">
      <c r="B257" s="32">
        <v>0</v>
      </c>
      <c r="C257" s="13">
        <v>51417</v>
      </c>
      <c r="D257" s="20">
        <f ca="1"/>
        <v>20.764383561643836</v>
      </c>
      <c r="E257" s="9">
        <v>7.4864970964878914E-3</v>
      </c>
      <c r="F257" s="17">
        <v>0.91601652094243746</v>
      </c>
      <c r="H257" s="24">
        <f ca="1"/>
        <v>7.4753568544897661E-3</v>
      </c>
      <c r="I257" s="25">
        <f t="shared" ca="1" si="12"/>
        <v>1.1140241998125293E-5</v>
      </c>
      <c r="K257" s="30">
        <f ca="1"/>
        <v>8.6559557335505535E-2</v>
      </c>
      <c r="L257" s="1">
        <f t="shared" ca="1" si="13"/>
        <v>0.91708092826166521</v>
      </c>
      <c r="M257" s="25">
        <f t="shared" ca="1" si="14"/>
        <v>1.0644073192277448E-3</v>
      </c>
      <c r="O257" s="30">
        <f t="shared" ca="1" si="15"/>
        <v>12.450000000000042</v>
      </c>
      <c r="P257" s="36">
        <f ca="1"/>
        <v>8.1687924430236258E-3</v>
      </c>
    </row>
    <row r="258" spans="2:16" x14ac:dyDescent="0.25">
      <c r="B258" s="32">
        <v>0</v>
      </c>
      <c r="C258" s="13">
        <v>51448</v>
      </c>
      <c r="D258" s="20">
        <f ca="1"/>
        <v>20.849315068493151</v>
      </c>
      <c r="E258" s="9">
        <v>7.44579217850121E-3</v>
      </c>
      <c r="F258" s="17">
        <v>0.91542774043577546</v>
      </c>
      <c r="H258" s="24">
        <f ca="1"/>
        <v>7.4338699460407068E-3</v>
      </c>
      <c r="I258" s="25">
        <f t="shared" ca="1" si="12"/>
        <v>1.1922232460503251E-5</v>
      </c>
      <c r="K258" s="30">
        <f ca="1"/>
        <v>8.7192689561516282E-2</v>
      </c>
      <c r="L258" s="1">
        <f t="shared" ca="1" si="13"/>
        <v>0.91650047854222405</v>
      </c>
      <c r="M258" s="25">
        <f t="shared" ca="1" si="14"/>
        <v>1.0727381064485897E-3</v>
      </c>
      <c r="O258" s="30">
        <f t="shared" ca="1" si="15"/>
        <v>12.500000000000043</v>
      </c>
      <c r="P258" s="36">
        <f ca="1"/>
        <v>8.1983548395027084E-3</v>
      </c>
    </row>
    <row r="259" spans="2:16" x14ac:dyDescent="0.25">
      <c r="B259" s="32">
        <v>0</v>
      </c>
      <c r="C259" s="13">
        <v>51480</v>
      </c>
      <c r="D259" s="20">
        <f ca="1"/>
        <v>20.936986301369863</v>
      </c>
      <c r="E259" s="9">
        <v>7.4036766860477131E-3</v>
      </c>
      <c r="F259" s="17">
        <v>0.91482373110515192</v>
      </c>
      <c r="H259" s="24">
        <f ca="1"/>
        <v>7.3909549431932856E-3</v>
      </c>
      <c r="I259" s="25">
        <f t="shared" ca="1" si="12"/>
        <v>1.2721742854427537E-5</v>
      </c>
      <c r="K259" s="30">
        <f ca="1"/>
        <v>8.7842545488475629E-2</v>
      </c>
      <c r="L259" s="1">
        <f t="shared" ca="1" si="13"/>
        <v>0.91590507875717575</v>
      </c>
      <c r="M259" s="25">
        <f t="shared" ca="1" si="14"/>
        <v>1.0813476520238341E-3</v>
      </c>
      <c r="O259" s="30">
        <f t="shared" ca="1" si="15"/>
        <v>12.550000000000043</v>
      </c>
      <c r="P259" s="36">
        <f ca="1"/>
        <v>8.2274097638250707E-3</v>
      </c>
    </row>
    <row r="260" spans="2:16" x14ac:dyDescent="0.25">
      <c r="B260" s="32">
        <v>0</v>
      </c>
      <c r="C260" s="13">
        <v>51509</v>
      </c>
      <c r="D260" s="20">
        <f ca="1"/>
        <v>21.016438356164382</v>
      </c>
      <c r="E260" s="9">
        <v>7.3654242621792381E-3</v>
      </c>
      <c r="F260" s="17">
        <v>0.91427965139303702</v>
      </c>
      <c r="H260" s="24">
        <f ca="1"/>
        <v>7.3520022679978148E-3</v>
      </c>
      <c r="I260" s="25">
        <f t="shared" ca="1" si="12"/>
        <v>1.342199418142339E-5</v>
      </c>
      <c r="K260" s="30">
        <f ca="1"/>
        <v>8.8428224937574545E-2</v>
      </c>
      <c r="L260" s="1">
        <f t="shared" ca="1" si="13"/>
        <v>0.91536880903163031</v>
      </c>
      <c r="M260" s="25">
        <f t="shared" ca="1" si="14"/>
        <v>1.0891576385932966E-3</v>
      </c>
      <c r="O260" s="30">
        <f t="shared" ca="1" si="15"/>
        <v>12.600000000000044</v>
      </c>
      <c r="P260" s="36">
        <f ca="1"/>
        <v>8.255957413292242E-3</v>
      </c>
    </row>
    <row r="261" spans="2:16" x14ac:dyDescent="0.25">
      <c r="B261" s="32">
        <v>0</v>
      </c>
      <c r="C261" s="13">
        <v>51540</v>
      </c>
      <c r="D261" s="20">
        <f ca="1"/>
        <v>21.101369863013698</v>
      </c>
      <c r="E261" s="9">
        <v>7.3232861275145111E-3</v>
      </c>
      <c r="F261" s="17">
        <v>0.9137015231416471</v>
      </c>
      <c r="H261" s="24">
        <f ca="1"/>
        <v>7.3103178377429343E-3</v>
      </c>
      <c r="I261" s="25">
        <f t="shared" ca="1" si="12"/>
        <v>1.296828977157688E-5</v>
      </c>
      <c r="K261" s="30">
        <f ca="1"/>
        <v>8.905087167344608E-2</v>
      </c>
      <c r="L261" s="1">
        <f t="shared" ca="1" si="13"/>
        <v>0.91479903503293636</v>
      </c>
      <c r="M261" s="25">
        <f t="shared" ca="1" si="14"/>
        <v>1.0975118912892601E-3</v>
      </c>
      <c r="O261" s="30">
        <f t="shared" ca="1" si="15"/>
        <v>12.650000000000045</v>
      </c>
      <c r="P261" s="36">
        <f ca="1"/>
        <v>8.2839980355873411E-3</v>
      </c>
    </row>
    <row r="262" spans="2:16" x14ac:dyDescent="0.25">
      <c r="B262" s="32">
        <v>0</v>
      </c>
      <c r="C262" s="13">
        <v>51568</v>
      </c>
      <c r="D262" s="20">
        <f ca="1"/>
        <v>21.17808219178082</v>
      </c>
      <c r="E262" s="9">
        <v>7.2862323488558072E-3</v>
      </c>
      <c r="F262" s="17">
        <v>0.91318242747713474</v>
      </c>
      <c r="H262" s="24">
        <f ca="1"/>
        <v>7.27264296361671E-3</v>
      </c>
      <c r="I262" s="25">
        <f t="shared" ca="1" si="12"/>
        <v>1.3589385239097182E-5</v>
      </c>
      <c r="K262" s="30">
        <f ca="1"/>
        <v>8.9610218214159515E-2</v>
      </c>
      <c r="L262" s="1">
        <f t="shared" ca="1" si="13"/>
        <v>0.91428748843648944</v>
      </c>
      <c r="M262" s="25">
        <f t="shared" ca="1" si="14"/>
        <v>1.1050609593546978E-3</v>
      </c>
      <c r="O262" s="30">
        <f t="shared" ca="1" si="15"/>
        <v>12.700000000000045</v>
      </c>
      <c r="P262" s="36">
        <f ca="1"/>
        <v>8.3115319284424848E-3</v>
      </c>
    </row>
    <row r="263" spans="2:16" x14ac:dyDescent="0.25">
      <c r="B263" s="32">
        <v>0</v>
      </c>
      <c r="C263" s="13">
        <v>51599</v>
      </c>
      <c r="D263" s="20">
        <f ca="1"/>
        <v>21.263013698630136</v>
      </c>
      <c r="E263" s="9">
        <v>7.2463335125174154E-3</v>
      </c>
      <c r="F263" s="17">
        <v>0.91261112801420996</v>
      </c>
      <c r="H263" s="24">
        <f ca="1"/>
        <v>7.2309223800563066E-3</v>
      </c>
      <c r="I263" s="25">
        <f t="shared" ca="1" si="12"/>
        <v>1.5411132461108819E-5</v>
      </c>
      <c r="K263" s="30">
        <f ca="1"/>
        <v>9.0226123047311563E-2</v>
      </c>
      <c r="L263" s="1">
        <f t="shared" ca="1" si="13"/>
        <v>0.91372454773021727</v>
      </c>
      <c r="M263" s="25">
        <f t="shared" ca="1" si="14"/>
        <v>1.1134197160073134E-3</v>
      </c>
      <c r="O263" s="30">
        <f t="shared" ca="1" si="15"/>
        <v>12.750000000000046</v>
      </c>
      <c r="P263" s="36">
        <f ca="1"/>
        <v>8.338559439306302E-3</v>
      </c>
    </row>
    <row r="264" spans="2:16" x14ac:dyDescent="0.25">
      <c r="B264" s="32">
        <v>0</v>
      </c>
      <c r="C264" s="13">
        <v>51629</v>
      </c>
      <c r="D264" s="20">
        <f ca="1"/>
        <v>21.345205479452055</v>
      </c>
      <c r="E264" s="9">
        <v>7.2065421089760155E-3</v>
      </c>
      <c r="F264" s="17">
        <v>0.91206167112460446</v>
      </c>
      <c r="H264" s="24">
        <f ca="1"/>
        <v>7.1905561817928593E-3</v>
      </c>
      <c r="I264" s="25">
        <f t="shared" ref="I264:I327" ca="1" si="16">SQRT((H264-E264)^2)</f>
        <v>1.5985927183156251E-5</v>
      </c>
      <c r="K264" s="30">
        <f ca="1"/>
        <v>9.0818786430737153E-2</v>
      </c>
      <c r="L264" s="1">
        <f t="shared" ref="L264:L297" ca="1" si="17">EXP(-K264)</f>
        <v>0.91318317708936469</v>
      </c>
      <c r="M264" s="25">
        <f t="shared" ref="M264:M327" ca="1" si="18">SQRT((L264-F264)^2)</f>
        <v>1.1215059647602388E-3</v>
      </c>
      <c r="O264" s="30">
        <f t="shared" ca="1" si="15"/>
        <v>12.800000000000047</v>
      </c>
      <c r="P264" s="36">
        <f ca="1"/>
        <v>8.3650809650113577E-3</v>
      </c>
    </row>
    <row r="265" spans="2:16" x14ac:dyDescent="0.25">
      <c r="B265" s="32">
        <v>0</v>
      </c>
      <c r="C265" s="13">
        <v>51662</v>
      </c>
      <c r="D265" s="20">
        <f ca="1"/>
        <v>21.435616438356163</v>
      </c>
      <c r="E265" s="9">
        <v>7.1627454185509056E-3</v>
      </c>
      <c r="F265" s="17">
        <v>0.91146114240667186</v>
      </c>
      <c r="H265" s="24">
        <f ca="1"/>
        <v>7.1461842355833236E-3</v>
      </c>
      <c r="I265" s="25">
        <f t="shared" ca="1" si="16"/>
        <v>1.6561182967582064E-5</v>
      </c>
      <c r="K265" s="30">
        <f ca="1"/>
        <v>9.1466885329022168E-2</v>
      </c>
      <c r="L265" s="1">
        <f t="shared" ca="1" si="17"/>
        <v>0.91259153582009711</v>
      </c>
      <c r="M265" s="25">
        <f t="shared" ca="1" si="18"/>
        <v>1.1303934134252458E-3</v>
      </c>
      <c r="O265" s="30">
        <f t="shared" ref="O265:O297" ca="1" si="19">MIN(O264+$P$5,$D$297)</f>
        <v>12.850000000000048</v>
      </c>
      <c r="P265" s="36">
        <f ca="1"/>
        <v>8.3910969514416883E-3</v>
      </c>
    </row>
    <row r="266" spans="2:16" x14ac:dyDescent="0.25">
      <c r="B266" s="32">
        <v>0</v>
      </c>
      <c r="C266" s="13">
        <v>51690</v>
      </c>
      <c r="D266" s="20">
        <f ca="1"/>
        <v>21.512328767123286</v>
      </c>
      <c r="E266" s="9">
        <v>7.125563558550865E-3</v>
      </c>
      <c r="F266" s="17">
        <v>0.91095478168493371</v>
      </c>
      <c r="H266" s="24">
        <f ca="1"/>
        <v>7.1085774353614184E-3</v>
      </c>
      <c r="I266" s="25">
        <f t="shared" ca="1" si="16"/>
        <v>1.6986123189446575E-5</v>
      </c>
      <c r="K266" s="30">
        <f ca="1"/>
        <v>9.2013643013022284E-2</v>
      </c>
      <c r="L266" s="1">
        <f t="shared" ca="1" si="17"/>
        <v>0.91209270576754298</v>
      </c>
      <c r="M266" s="25">
        <f t="shared" ca="1" si="18"/>
        <v>1.1379240826092651E-3</v>
      </c>
      <c r="O266" s="30">
        <f t="shared" ca="1" si="19"/>
        <v>12.900000000000048</v>
      </c>
      <c r="P266" s="36">
        <f ca="1"/>
        <v>8.4166078932001644E-3</v>
      </c>
    </row>
    <row r="267" spans="2:16" x14ac:dyDescent="0.25">
      <c r="B267" s="32">
        <v>0</v>
      </c>
      <c r="C267" s="13">
        <v>51721</v>
      </c>
      <c r="D267" s="20">
        <f ca="1"/>
        <v>21.597260273972601</v>
      </c>
      <c r="E267" s="9">
        <v>7.0843909653052015E-3</v>
      </c>
      <c r="F267" s="17">
        <v>0.91039756758348878</v>
      </c>
      <c r="H267" s="24">
        <f ca="1"/>
        <v>7.067004521918524E-3</v>
      </c>
      <c r="I267" s="25">
        <f t="shared" ca="1" si="16"/>
        <v>1.7386443386677511E-5</v>
      </c>
      <c r="K267" s="30">
        <f ca="1"/>
        <v>9.2615619247698511E-2</v>
      </c>
      <c r="L267" s="1">
        <f t="shared" ca="1" si="17"/>
        <v>0.91154381286166719</v>
      </c>
      <c r="M267" s="25">
        <f t="shared" ca="1" si="18"/>
        <v>1.1462452781784149E-3</v>
      </c>
      <c r="O267" s="30">
        <f t="shared" ca="1" si="19"/>
        <v>12.950000000000049</v>
      </c>
      <c r="P267" s="36">
        <f ca="1"/>
        <v>8.441614333276122E-3</v>
      </c>
    </row>
    <row r="268" spans="2:16" x14ac:dyDescent="0.25">
      <c r="B268" s="32">
        <v>0</v>
      </c>
      <c r="C268" s="13">
        <v>51753</v>
      </c>
      <c r="D268" s="20">
        <f ca="1"/>
        <v>21.684931506849313</v>
      </c>
      <c r="E268" s="9">
        <v>7.0419013995193956E-3</v>
      </c>
      <c r="F268" s="17">
        <v>0.90982611931271851</v>
      </c>
      <c r="H268" s="24">
        <f ca="1"/>
        <v>7.0241798255009438E-3</v>
      </c>
      <c r="I268" s="25">
        <f t="shared" ca="1" si="16"/>
        <v>1.7721574018451751E-5</v>
      </c>
      <c r="K268" s="30">
        <f ca="1"/>
        <v>9.3233314262235911E-2</v>
      </c>
      <c r="L268" s="1">
        <f t="shared" ca="1" si="17"/>
        <v>0.91098093065559349</v>
      </c>
      <c r="M268" s="25">
        <f t="shared" ca="1" si="18"/>
        <v>1.154811342874984E-3</v>
      </c>
      <c r="O268" s="30">
        <f t="shared" ca="1" si="19"/>
        <v>13.00000000000005</v>
      </c>
      <c r="P268" s="36">
        <f ca="1"/>
        <v>8.4661168627126193E-3</v>
      </c>
    </row>
    <row r="269" spans="2:16" x14ac:dyDescent="0.25">
      <c r="B269" s="32">
        <v>0</v>
      </c>
      <c r="C269" s="13">
        <v>51782</v>
      </c>
      <c r="D269" s="20">
        <f ca="1"/>
        <v>21.764383561643836</v>
      </c>
      <c r="E269" s="9">
        <v>7.0034055809065606E-3</v>
      </c>
      <c r="F269" s="17">
        <v>0.90931152018529704</v>
      </c>
      <c r="H269" s="24">
        <f ca="1"/>
        <v>6.9854656284788347E-3</v>
      </c>
      <c r="I269" s="25">
        <f t="shared" ca="1" si="16"/>
        <v>1.7939952427725898E-5</v>
      </c>
      <c r="K269" s="30">
        <f ca="1"/>
        <v>9.3789861163967231E-2</v>
      </c>
      <c r="L269" s="1">
        <f t="shared" ca="1" si="17"/>
        <v>0.91047406810057629</v>
      </c>
      <c r="M269" s="25">
        <f t="shared" ca="1" si="18"/>
        <v>1.1625479152792551E-3</v>
      </c>
      <c r="O269" s="30">
        <f t="shared" ca="1" si="19"/>
        <v>13.05000000000005</v>
      </c>
      <c r="P269" s="36">
        <f ca="1"/>
        <v>8.4901161202741611E-3</v>
      </c>
    </row>
    <row r="270" spans="2:16" x14ac:dyDescent="0.25">
      <c r="B270" s="32">
        <v>0</v>
      </c>
      <c r="C270" s="13">
        <v>51813</v>
      </c>
      <c r="D270" s="20">
        <f ca="1"/>
        <v>21.849315068493151</v>
      </c>
      <c r="E270" s="9">
        <v>6.9610902068454952E-3</v>
      </c>
      <c r="F270" s="17">
        <v>0.90876486883589691</v>
      </c>
      <c r="H270" s="24">
        <f ca="1"/>
        <v>6.9442002472169667E-3</v>
      </c>
      <c r="I270" s="25">
        <f t="shared" ca="1" si="16"/>
        <v>1.6889959628528517E-5</v>
      </c>
      <c r="K270" s="30">
        <f ca="1"/>
        <v>9.4381393987742507E-2</v>
      </c>
      <c r="L270" s="1">
        <f t="shared" ca="1" si="17"/>
        <v>0.90993565206517724</v>
      </c>
      <c r="M270" s="25">
        <f t="shared" ca="1" si="18"/>
        <v>1.1707832292803255E-3</v>
      </c>
      <c r="O270" s="30">
        <f t="shared" ca="1" si="19"/>
        <v>13.100000000000051</v>
      </c>
      <c r="P270" s="36">
        <f ca="1"/>
        <v>8.513612792113821E-3</v>
      </c>
    </row>
    <row r="271" spans="2:16" x14ac:dyDescent="0.25">
      <c r="B271" s="32">
        <v>0</v>
      </c>
      <c r="C271" s="13">
        <v>51844</v>
      </c>
      <c r="D271" s="20">
        <f ca="1"/>
        <v>21.934246575342467</v>
      </c>
      <c r="E271" s="9">
        <v>6.9212030180610274E-3</v>
      </c>
      <c r="F271" s="17">
        <v>0.90822176056113058</v>
      </c>
      <c r="H271" s="24">
        <f ca="1"/>
        <v>6.9030760522271264E-3</v>
      </c>
      <c r="I271" s="25">
        <f t="shared" ca="1" si="16"/>
        <v>1.8126965833900957E-5</v>
      </c>
      <c r="K271" s="30">
        <f ca="1"/>
        <v>9.4969427942831447E-2</v>
      </c>
      <c r="L271" s="1">
        <f t="shared" ca="1" si="17"/>
        <v>0.90940073629454887</v>
      </c>
      <c r="M271" s="25">
        <f t="shared" ca="1" si="18"/>
        <v>1.1789757334182971E-3</v>
      </c>
      <c r="O271" s="30">
        <f t="shared" ca="1" si="19"/>
        <v>13.150000000000052</v>
      </c>
      <c r="P271" s="36">
        <f ca="1"/>
        <v>8.536607611441047E-3</v>
      </c>
    </row>
    <row r="272" spans="2:16" x14ac:dyDescent="0.25">
      <c r="B272" s="32">
        <v>0</v>
      </c>
      <c r="C272" s="13">
        <v>51874</v>
      </c>
      <c r="D272" s="20">
        <f ca="1"/>
        <v>22.016438356164382</v>
      </c>
      <c r="E272" s="9">
        <v>6.8814939287731242E-3</v>
      </c>
      <c r="F272" s="17">
        <v>0.90769953637898237</v>
      </c>
      <c r="H272" s="24">
        <f ca="1"/>
        <v>6.8634305610209764E-3</v>
      </c>
      <c r="I272" s="25">
        <f t="shared" ca="1" si="16"/>
        <v>1.8063367752147765E-5</v>
      </c>
      <c r="K272" s="30">
        <f ca="1"/>
        <v>9.5535173705747295E-2</v>
      </c>
      <c r="L272" s="1">
        <f t="shared" ca="1" si="17"/>
        <v>0.90888639218891565</v>
      </c>
      <c r="M272" s="25">
        <f t="shared" ca="1" si="18"/>
        <v>1.1868558099332738E-3</v>
      </c>
      <c r="O272" s="30">
        <f t="shared" ca="1" si="19"/>
        <v>13.200000000000053</v>
      </c>
      <c r="P272" s="36">
        <f ca="1"/>
        <v>8.5591013581890179E-3</v>
      </c>
    </row>
    <row r="273" spans="2:16" x14ac:dyDescent="0.25">
      <c r="B273" s="32">
        <v>0</v>
      </c>
      <c r="C273" s="13">
        <v>51907</v>
      </c>
      <c r="D273" s="20">
        <f ca="1"/>
        <v>22.106849315068494</v>
      </c>
      <c r="E273" s="9">
        <v>6.8378816932613811E-3</v>
      </c>
      <c r="F273" s="17">
        <v>0.90712890115690414</v>
      </c>
      <c r="H273" s="24">
        <f ca="1"/>
        <v>6.820013757426753E-3</v>
      </c>
      <c r="I273" s="25">
        <f t="shared" ca="1" si="16"/>
        <v>1.7867935834628076E-5</v>
      </c>
      <c r="K273" s="30">
        <f ca="1"/>
        <v>9.615373876203881E-2</v>
      </c>
      <c r="L273" s="1">
        <f t="shared" ca="1" si="17"/>
        <v>0.90832436067101796</v>
      </c>
      <c r="M273" s="25">
        <f t="shared" ca="1" si="18"/>
        <v>1.1954595141138169E-3</v>
      </c>
      <c r="O273" s="30">
        <f t="shared" ca="1" si="19"/>
        <v>13.250000000000053</v>
      </c>
      <c r="P273" s="36">
        <f ca="1"/>
        <v>8.5810948586820257E-3</v>
      </c>
    </row>
    <row r="274" spans="2:16" x14ac:dyDescent="0.25">
      <c r="B274" s="32">
        <v>0</v>
      </c>
      <c r="C274" s="13">
        <v>51935</v>
      </c>
      <c r="D274" s="20">
        <f ca="1"/>
        <v>22.183561643835617</v>
      </c>
      <c r="E274" s="9">
        <v>6.8009487615971588E-3</v>
      </c>
      <c r="F274" s="17">
        <v>0.90664784693963951</v>
      </c>
      <c r="H274" s="24">
        <f ca="1"/>
        <v>6.7833501633929524E-3</v>
      </c>
      <c r="I274" s="25">
        <f t="shared" ca="1" si="16"/>
        <v>1.7598598204206402E-5</v>
      </c>
      <c r="K274" s="30">
        <f ca="1"/>
        <v>9.667551054950288E-2</v>
      </c>
      <c r="L274" s="1">
        <f t="shared" ca="1" si="17"/>
        <v>0.90785054626799699</v>
      </c>
      <c r="M274" s="25">
        <f t="shared" ca="1" si="18"/>
        <v>1.2026993283574816E-3</v>
      </c>
      <c r="O274" s="30">
        <f t="shared" ca="1" si="19"/>
        <v>13.300000000000054</v>
      </c>
      <c r="P274" s="36">
        <f ca="1"/>
        <v>8.602588985302995E-3</v>
      </c>
    </row>
    <row r="275" spans="2:16" x14ac:dyDescent="0.25">
      <c r="B275" s="32">
        <v>0</v>
      </c>
      <c r="C275" s="13">
        <v>51964</v>
      </c>
      <c r="D275" s="20">
        <f ca="1"/>
        <v>22.263013698630136</v>
      </c>
      <c r="E275" s="9">
        <v>6.7627665086377664E-3</v>
      </c>
      <c r="F275" s="17">
        <v>0.90615262275140906</v>
      </c>
      <c r="H275" s="24">
        <f ca="1"/>
        <v>6.7455618016139668E-3</v>
      </c>
      <c r="I275" s="25">
        <f t="shared" ca="1" si="16"/>
        <v>1.720470702379958E-5</v>
      </c>
      <c r="K275" s="30">
        <f ca="1"/>
        <v>9.7212959184164616E-2</v>
      </c>
      <c r="L275" s="1">
        <f t="shared" ca="1" si="17"/>
        <v>0.90736275432472691</v>
      </c>
      <c r="M275" s="25">
        <f t="shared" ca="1" si="18"/>
        <v>1.2101315733178408E-3</v>
      </c>
      <c r="O275" s="30">
        <f t="shared" ca="1" si="19"/>
        <v>13.350000000000055</v>
      </c>
      <c r="P275" s="36">
        <f ca="1"/>
        <v>8.6235846561610197E-3</v>
      </c>
    </row>
    <row r="276" spans="2:16" x14ac:dyDescent="0.25">
      <c r="B276" s="32">
        <v>0</v>
      </c>
      <c r="C276" s="13">
        <v>51994</v>
      </c>
      <c r="D276" s="20">
        <f ca="1"/>
        <v>22.345205479452055</v>
      </c>
      <c r="E276" s="9">
        <v>6.7233564928983252E-3</v>
      </c>
      <c r="F276" s="17">
        <v>0.90564353474723081</v>
      </c>
      <c r="H276" s="24">
        <f ca="1"/>
        <v>6.7066839255146837E-3</v>
      </c>
      <c r="I276" s="25">
        <f t="shared" ca="1" si="16"/>
        <v>1.66725673836415E-5</v>
      </c>
      <c r="K276" s="30">
        <f ca="1"/>
        <v>9.7765789657497493E-2</v>
      </c>
      <c r="L276" s="1">
        <f t="shared" ca="1" si="17"/>
        <v>0.90686127517301929</v>
      </c>
      <c r="M276" s="25">
        <f t="shared" ca="1" si="18"/>
        <v>1.2177404257884827E-3</v>
      </c>
      <c r="O276" s="30">
        <f t="shared" ca="1" si="19"/>
        <v>13.400000000000055</v>
      </c>
      <c r="P276" s="36">
        <f ca="1"/>
        <v>8.6440828347587057E-3</v>
      </c>
    </row>
    <row r="277" spans="2:16" x14ac:dyDescent="0.25">
      <c r="B277" s="32">
        <v>0</v>
      </c>
      <c r="C277" s="13">
        <v>52026</v>
      </c>
      <c r="D277" s="20">
        <f ca="1"/>
        <v>22.432876712328767</v>
      </c>
      <c r="E277" s="9">
        <v>6.6814374588943914E-3</v>
      </c>
      <c r="F277" s="17">
        <v>0.90510409458668983</v>
      </c>
      <c r="H277" s="24">
        <f ca="1"/>
        <v>6.6654719701311482E-3</v>
      </c>
      <c r="I277" s="25">
        <f t="shared" ca="1" si="16"/>
        <v>1.5965488763243149E-5</v>
      </c>
      <c r="K277" s="30">
        <f ca="1"/>
        <v>9.8351964340252701E-2</v>
      </c>
      <c r="L277" s="1">
        <f t="shared" ca="1" si="17"/>
        <v>0.90632985182141546</v>
      </c>
      <c r="M277" s="25">
        <f t="shared" ca="1" si="18"/>
        <v>1.2257572347256218E-3</v>
      </c>
      <c r="O277" s="30">
        <f t="shared" ca="1" si="19"/>
        <v>13.450000000000056</v>
      </c>
      <c r="P277" s="36">
        <f ca="1"/>
        <v>8.6640845296597734E-3</v>
      </c>
    </row>
    <row r="278" spans="2:16" x14ac:dyDescent="0.25">
      <c r="B278" s="32">
        <v>0</v>
      </c>
      <c r="C278" s="13">
        <v>52055</v>
      </c>
      <c r="D278" s="20">
        <f ca="1"/>
        <v>22.512328767123286</v>
      </c>
      <c r="E278" s="9">
        <v>6.6435545635137741E-3</v>
      </c>
      <c r="F278" s="17">
        <v>0.90461841209781624</v>
      </c>
      <c r="H278" s="24">
        <f ca="1"/>
        <v>6.628369805122325E-3</v>
      </c>
      <c r="I278" s="25">
        <f t="shared" ca="1" si="16"/>
        <v>1.518475839144915E-5</v>
      </c>
      <c r="K278" s="30">
        <f ca="1"/>
        <v>9.8880074260812273E-2</v>
      </c>
      <c r="L278" s="1">
        <f t="shared" ca="1" si="17"/>
        <v>0.90585133640086113</v>
      </c>
      <c r="M278" s="25">
        <f t="shared" ca="1" si="18"/>
        <v>1.2329243030448911E-3</v>
      </c>
      <c r="O278" s="30">
        <f t="shared" ca="1" si="19"/>
        <v>13.500000000000057</v>
      </c>
      <c r="P278" s="36">
        <f ca="1"/>
        <v>8.6835907941564018E-3</v>
      </c>
    </row>
    <row r="279" spans="2:16" x14ac:dyDescent="0.25">
      <c r="B279" s="32">
        <v>0</v>
      </c>
      <c r="C279" s="13">
        <v>52086</v>
      </c>
      <c r="D279" s="20">
        <f ca="1"/>
        <v>22.597260273972601</v>
      </c>
      <c r="E279" s="9">
        <v>6.6020075387122493E-3</v>
      </c>
      <c r="F279" s="17">
        <v>0.90410256892680263</v>
      </c>
      <c r="H279" s="24">
        <f ca="1"/>
        <v>6.5889849363937047E-3</v>
      </c>
      <c r="I279" s="25">
        <f t="shared" ca="1" si="16"/>
        <v>1.3022602318544553E-5</v>
      </c>
      <c r="K279" s="30">
        <f ca="1"/>
        <v>9.9441357108482009E-2</v>
      </c>
      <c r="L279" s="1">
        <f t="shared" ca="1" si="17"/>
        <v>0.90534304024550183</v>
      </c>
      <c r="M279" s="25">
        <f t="shared" ca="1" si="18"/>
        <v>1.2404713186991989E-3</v>
      </c>
      <c r="O279" s="30">
        <f t="shared" ca="1" si="19"/>
        <v>13.550000000000058</v>
      </c>
      <c r="P279" s="36">
        <f ca="1"/>
        <v>8.7026027259367762E-3</v>
      </c>
    </row>
    <row r="280" spans="2:16" x14ac:dyDescent="0.25">
      <c r="B280" s="32">
        <v>0</v>
      </c>
      <c r="C280" s="13">
        <v>52117</v>
      </c>
      <c r="D280" s="20">
        <f ca="1"/>
        <v>22.682191780821917</v>
      </c>
      <c r="E280" s="9">
        <v>6.5629670288767719E-3</v>
      </c>
      <c r="F280" s="17">
        <v>0.90359015526172226</v>
      </c>
      <c r="H280" s="24">
        <f ca="1"/>
        <v>6.5499028220718791E-3</v>
      </c>
      <c r="I280" s="25">
        <f t="shared" ca="1" si="16"/>
        <v>1.3064206804892786E-5</v>
      </c>
      <c r="K280" s="30">
        <f ca="1"/>
        <v>9.9999307670581183E-2</v>
      </c>
      <c r="L280" s="1">
        <f t="shared" ca="1" si="17"/>
        <v>0.90483804448174021</v>
      </c>
      <c r="M280" s="25">
        <f t="shared" ca="1" si="18"/>
        <v>1.2478892200179503E-3</v>
      </c>
      <c r="O280" s="30">
        <f t="shared" ca="1" si="19"/>
        <v>13.600000000000058</v>
      </c>
      <c r="P280" s="36">
        <f ca="1"/>
        <v>8.7211214667525169E-3</v>
      </c>
    </row>
    <row r="281" spans="2:16" x14ac:dyDescent="0.25">
      <c r="B281" s="32">
        <v>0</v>
      </c>
      <c r="C281" s="13">
        <v>52147</v>
      </c>
      <c r="D281" s="20">
        <f ca="1"/>
        <v>22.764383561643836</v>
      </c>
      <c r="E281" s="9">
        <v>6.5241882890574743E-3</v>
      </c>
      <c r="F281" s="17">
        <v>0.90309752026883106</v>
      </c>
      <c r="H281" s="24">
        <f ca="1"/>
        <v>6.5123863896961731E-3</v>
      </c>
      <c r="I281" s="25">
        <f t="shared" ca="1" si="16"/>
        <v>1.180189936130123E-5</v>
      </c>
      <c r="K281" s="30">
        <f ca="1"/>
        <v>0.10053611196596671</v>
      </c>
      <c r="L281" s="1">
        <f t="shared" ca="1" si="17"/>
        <v>0.90435245387805563</v>
      </c>
      <c r="M281" s="25">
        <f t="shared" ca="1" si="18"/>
        <v>1.2549336092245733E-3</v>
      </c>
      <c r="O281" s="30">
        <f t="shared" ca="1" si="19"/>
        <v>13.650000000000059</v>
      </c>
      <c r="P281" s="36">
        <f ca="1"/>
        <v>8.7391482020862075E-3</v>
      </c>
    </row>
    <row r="282" spans="2:16" x14ac:dyDescent="0.25">
      <c r="B282" s="32">
        <v>0</v>
      </c>
      <c r="C282" s="13">
        <v>52180</v>
      </c>
      <c r="D282" s="20">
        <f ca="1"/>
        <v>22.854794520547944</v>
      </c>
      <c r="E282" s="9">
        <v>6.4817121346953431E-3</v>
      </c>
      <c r="F282" s="17">
        <v>0.90255929390737821</v>
      </c>
      <c r="H282" s="24">
        <f ca="1"/>
        <v>6.4714840141396196E-3</v>
      </c>
      <c r="I282" s="25">
        <f t="shared" ca="1" si="16"/>
        <v>1.0228120555723537E-5</v>
      </c>
      <c r="K282" s="30">
        <f ca="1"/>
        <v>0.10112305109152328</v>
      </c>
      <c r="L282" s="1">
        <f t="shared" ca="1" si="17"/>
        <v>0.90382180978270599</v>
      </c>
      <c r="M282" s="25">
        <f t="shared" ca="1" si="18"/>
        <v>1.2625158753277743E-3</v>
      </c>
      <c r="O282" s="30">
        <f t="shared" ca="1" si="19"/>
        <v>13.70000000000006</v>
      </c>
      <c r="P282" s="36">
        <f ca="1"/>
        <v>8.7566841608187722E-3</v>
      </c>
    </row>
    <row r="283" spans="2:16" x14ac:dyDescent="0.25">
      <c r="B283" s="32">
        <v>0</v>
      </c>
      <c r="C283" s="13">
        <v>52208</v>
      </c>
      <c r="D283" s="20">
        <f ca="1"/>
        <v>22.931506849315067</v>
      </c>
      <c r="E283" s="9">
        <v>6.4458361377304268E-3</v>
      </c>
      <c r="F283" s="17">
        <v>0.90210561710922066</v>
      </c>
      <c r="H283" s="24">
        <f ca="1"/>
        <v>6.4370945823368081E-3</v>
      </c>
      <c r="I283" s="25">
        <f t="shared" ca="1" si="16"/>
        <v>8.741555393618726E-6</v>
      </c>
      <c r="K283" s="30">
        <f ca="1"/>
        <v>0.10161817275613702</v>
      </c>
      <c r="L283" s="1">
        <f t="shared" ca="1" si="17"/>
        <v>0.90337441878935854</v>
      </c>
      <c r="M283" s="25">
        <f t="shared" ca="1" si="18"/>
        <v>1.2688016801378765E-3</v>
      </c>
      <c r="O283" s="30">
        <f t="shared" ca="1" si="19"/>
        <v>13.75000000000006</v>
      </c>
      <c r="P283" s="36">
        <f ca="1"/>
        <v>8.7737306148969723E-3</v>
      </c>
    </row>
    <row r="284" spans="2:16" x14ac:dyDescent="0.25">
      <c r="B284" s="32">
        <v>0</v>
      </c>
      <c r="C284" s="13">
        <v>52239</v>
      </c>
      <c r="D284" s="20">
        <f ca="1"/>
        <v>23.016438356164382</v>
      </c>
      <c r="E284" s="9">
        <v>6.4062931845785135E-3</v>
      </c>
      <c r="F284" s="17">
        <v>0.90160652617187653</v>
      </c>
      <c r="H284" s="24">
        <f ca="1"/>
        <v>6.3993748292262703E-3</v>
      </c>
      <c r="I284" s="25">
        <f t="shared" ca="1" si="16"/>
        <v>6.9183553522431454E-6</v>
      </c>
      <c r="K284" s="30">
        <f ca="1"/>
        <v>0.10216328040923794</v>
      </c>
      <c r="L284" s="1">
        <f t="shared" ca="1" si="17"/>
        <v>0.90288211667107732</v>
      </c>
      <c r="M284" s="25">
        <f t="shared" ca="1" si="18"/>
        <v>1.2755904992007849E-3</v>
      </c>
      <c r="O284" s="30">
        <f t="shared" ca="1" si="19"/>
        <v>13.800000000000061</v>
      </c>
      <c r="P284" s="36">
        <f ca="1"/>
        <v>8.790288879000973E-3</v>
      </c>
    </row>
    <row r="285" spans="2:16" x14ac:dyDescent="0.25">
      <c r="B285" s="32">
        <v>0</v>
      </c>
      <c r="C285" s="13">
        <v>52271</v>
      </c>
      <c r="D285" s="20">
        <f ca="1"/>
        <v>23.104109589041094</v>
      </c>
      <c r="E285" s="9">
        <v>6.3656840679490959E-3</v>
      </c>
      <c r="F285" s="17">
        <v>0.90109483564198667</v>
      </c>
      <c r="H285" s="24">
        <f ca="1"/>
        <v>6.360846388727949E-3</v>
      </c>
      <c r="I285" s="25">
        <f t="shared" ca="1" si="16"/>
        <v>4.8376792211469316E-6</v>
      </c>
      <c r="K285" s="30">
        <f ca="1"/>
        <v>0.10272262947642055</v>
      </c>
      <c r="L285" s="1">
        <f t="shared" ca="1" si="17"/>
        <v>0.90237723161799688</v>
      </c>
      <c r="M285" s="25">
        <f t="shared" ca="1" si="18"/>
        <v>1.2823959760102088E-3</v>
      </c>
      <c r="O285" s="30">
        <f t="shared" ca="1" si="19"/>
        <v>13.850000000000062</v>
      </c>
      <c r="P285" s="36">
        <f ca="1"/>
        <v>8.8063603102116663E-3</v>
      </c>
    </row>
    <row r="286" spans="2:16" x14ac:dyDescent="0.25">
      <c r="B286" s="32">
        <v>0</v>
      </c>
      <c r="C286" s="13">
        <v>52299</v>
      </c>
      <c r="D286" s="20">
        <f ca="1"/>
        <v>23.18082191780822</v>
      </c>
      <c r="E286" s="9">
        <v>6.3303429037858266E-3</v>
      </c>
      <c r="F286" s="17">
        <v>0.90065000471341528</v>
      </c>
      <c r="H286" s="24">
        <f ca="1"/>
        <v>6.3274886025341259E-3</v>
      </c>
      <c r="I286" s="25">
        <f t="shared" ca="1" si="16"/>
        <v>2.8543012517007194E-6</v>
      </c>
      <c r="K286" s="30">
        <f ca="1"/>
        <v>0.10320930317980892</v>
      </c>
      <c r="L286" s="1">
        <f t="shared" ca="1" si="17"/>
        <v>0.90193817519610542</v>
      </c>
      <c r="M286" s="25">
        <f t="shared" ca="1" si="18"/>
        <v>1.288170482690143E-3</v>
      </c>
      <c r="O286" s="30">
        <f t="shared" ca="1" si="19"/>
        <v>13.900000000000063</v>
      </c>
      <c r="P286" s="36">
        <f ca="1"/>
        <v>8.821946307678203E-3</v>
      </c>
    </row>
    <row r="287" spans="2:16" x14ac:dyDescent="0.25">
      <c r="B287" s="32">
        <v>0</v>
      </c>
      <c r="C287" s="13">
        <v>52329</v>
      </c>
      <c r="D287" s="20">
        <f ca="1"/>
        <v>23.263013698630136</v>
      </c>
      <c r="E287" s="9">
        <v>6.2926770507973221E-3</v>
      </c>
      <c r="F287" s="17">
        <v>0.9001763824940533</v>
      </c>
      <c r="H287" s="24">
        <f ca="1"/>
        <v>6.2921301272501201E-3</v>
      </c>
      <c r="I287" s="25">
        <f t="shared" ca="1" si="16"/>
        <v>5.4692354720196207E-7</v>
      </c>
      <c r="K287" s="30">
        <f ca="1"/>
        <v>0.10372791489180935</v>
      </c>
      <c r="L287" s="1">
        <f t="shared" ca="1" si="17"/>
        <v>0.90147054076577582</v>
      </c>
      <c r="M287" s="25">
        <f t="shared" ca="1" si="18"/>
        <v>1.2941582717225231E-3</v>
      </c>
      <c r="O287" s="30">
        <f t="shared" ca="1" si="19"/>
        <v>13.950000000000063</v>
      </c>
      <c r="P287" s="36">
        <f ca="1"/>
        <v>8.8370483122854893E-3</v>
      </c>
    </row>
    <row r="288" spans="2:16" x14ac:dyDescent="0.25">
      <c r="B288" s="32">
        <v>0</v>
      </c>
      <c r="C288" s="13">
        <v>52359</v>
      </c>
      <c r="D288" s="20">
        <f ca="1"/>
        <v>23.345205479452055</v>
      </c>
      <c r="E288" s="9">
        <v>6.2540962367577894E-3</v>
      </c>
      <c r="F288" s="17">
        <v>0.89970582549573008</v>
      </c>
      <c r="H288" s="24">
        <f ca="1"/>
        <v>6.2571816054370205E-3</v>
      </c>
      <c r="I288" s="25">
        <f t="shared" ca="1" si="16"/>
        <v>3.0853686792311347E-6</v>
      </c>
      <c r="K288" s="30">
        <f ca="1"/>
        <v>0.10424363717219362</v>
      </c>
      <c r="L288" s="1">
        <f t="shared" ca="1" si="17"/>
        <v>0.90100575218400814</v>
      </c>
      <c r="M288" s="25">
        <f t="shared" ca="1" si="18"/>
        <v>1.2999266882780525E-3</v>
      </c>
      <c r="O288" s="30">
        <f t="shared" ca="1" si="19"/>
        <v>14.000000000000064</v>
      </c>
      <c r="P288" s="36">
        <f ca="1"/>
        <v>8.8516678063216073E-3</v>
      </c>
    </row>
    <row r="289" spans="2:23" x14ac:dyDescent="0.25">
      <c r="B289" s="32">
        <v>0</v>
      </c>
      <c r="C289" s="13">
        <v>52390</v>
      </c>
      <c r="D289" s="20">
        <f ca="1"/>
        <v>23.43013698630137</v>
      </c>
      <c r="E289" s="9">
        <v>6.2167870534709574E-3</v>
      </c>
      <c r="F289" s="17">
        <v>0.89922278024079783</v>
      </c>
      <c r="H289" s="24">
        <f ca="1"/>
        <v>6.2215146977537411E-3</v>
      </c>
      <c r="I289" s="25">
        <f t="shared" ca="1" si="16"/>
        <v>4.7276442827837509E-6</v>
      </c>
      <c r="K289" s="30">
        <f ca="1"/>
        <v>0.10477355114327325</v>
      </c>
      <c r="L289" s="1">
        <f t="shared" ca="1" si="17"/>
        <v>0.90052842313073955</v>
      </c>
      <c r="M289" s="25">
        <f t="shared" ca="1" si="18"/>
        <v>1.3056428899417272E-3</v>
      </c>
      <c r="O289" s="30">
        <f t="shared" ca="1" si="19"/>
        <v>14.050000000000065</v>
      </c>
      <c r="P289" s="36">
        <f ca="1"/>
        <v>8.8658063131452879E-3</v>
      </c>
    </row>
    <row r="290" spans="2:23" x14ac:dyDescent="0.25">
      <c r="B290" s="32">
        <v>0</v>
      </c>
      <c r="C290" s="13">
        <v>52420</v>
      </c>
      <c r="D290" s="20">
        <f ca="1"/>
        <v>23.512328767123286</v>
      </c>
      <c r="E290" s="9">
        <v>6.1798246477747674E-3</v>
      </c>
      <c r="F290" s="17">
        <v>0.89875838803563723</v>
      </c>
      <c r="H290" s="24">
        <f ca="1"/>
        <v>6.1874457064036437E-3</v>
      </c>
      <c r="I290" s="25">
        <f t="shared" ca="1" si="16"/>
        <v>7.6210586288762497E-6</v>
      </c>
      <c r="K290" s="30">
        <f ca="1"/>
        <v>0.1052835053547595</v>
      </c>
      <c r="L290" s="1">
        <f t="shared" ca="1" si="17"/>
        <v>0.90006931194159268</v>
      </c>
      <c r="M290" s="25">
        <f t="shared" ca="1" si="18"/>
        <v>1.3109239059554412E-3</v>
      </c>
      <c r="O290" s="30">
        <f t="shared" ca="1" si="19"/>
        <v>14.100000000000065</v>
      </c>
      <c r="P290" s="36">
        <f ca="1"/>
        <v>8.8794653968534351E-3</v>
      </c>
    </row>
    <row r="291" spans="2:23" x14ac:dyDescent="0.25">
      <c r="B291" s="32">
        <v>0</v>
      </c>
      <c r="C291" s="13">
        <v>52453</v>
      </c>
      <c r="D291" s="20">
        <f ca="1"/>
        <v>23.602739726027398</v>
      </c>
      <c r="E291" s="9">
        <v>6.1394588160575657E-3</v>
      </c>
      <c r="F291" s="17">
        <v>0.89825101810707719</v>
      </c>
      <c r="H291" s="24">
        <f ca="1"/>
        <v>6.1504957093807405E-3</v>
      </c>
      <c r="I291" s="25">
        <f t="shared" ca="1" si="16"/>
        <v>1.103689332317484E-5</v>
      </c>
      <c r="K291" s="30">
        <f ca="1"/>
        <v>0.10584124369260994</v>
      </c>
      <c r="L291" s="1">
        <f t="shared" ca="1" si="17"/>
        <v>0.89956744874678185</v>
      </c>
      <c r="M291" s="25">
        <f t="shared" ca="1" si="18"/>
        <v>1.3164306397046577E-3</v>
      </c>
      <c r="O291" s="30">
        <f t="shared" ca="1" si="19"/>
        <v>14.150000000000066</v>
      </c>
      <c r="P291" s="36">
        <f ca="1"/>
        <v>8.8926466619485382E-3</v>
      </c>
    </row>
    <row r="292" spans="2:23" x14ac:dyDescent="0.25">
      <c r="B292" s="32">
        <v>0</v>
      </c>
      <c r="C292" s="13">
        <v>52482</v>
      </c>
      <c r="D292" s="20">
        <f ca="1"/>
        <v>23.682191780821917</v>
      </c>
      <c r="E292" s="9">
        <v>6.1042558799713834E-3</v>
      </c>
      <c r="F292" s="17">
        <v>0.8978081165595162</v>
      </c>
      <c r="H292" s="24">
        <f ca="1"/>
        <v>6.1184940810003474E-3</v>
      </c>
      <c r="I292" s="25">
        <f t="shared" ca="1" si="16"/>
        <v>1.4238201028964059E-5</v>
      </c>
      <c r="K292" s="30">
        <f ca="1"/>
        <v>0.10632863896177813</v>
      </c>
      <c r="L292" s="1">
        <f t="shared" ca="1" si="17"/>
        <v>0.89912911065859769</v>
      </c>
      <c r="M292" s="25">
        <f t="shared" ca="1" si="18"/>
        <v>1.320994099081485E-3</v>
      </c>
      <c r="O292" s="30">
        <f t="shared" ca="1" si="19"/>
        <v>14.200000000000067</v>
      </c>
      <c r="P292" s="36">
        <f ca="1"/>
        <v>8.9053517530061077E-3</v>
      </c>
    </row>
    <row r="293" spans="2:23" x14ac:dyDescent="0.25">
      <c r="B293" s="32">
        <v>0</v>
      </c>
      <c r="C293" s="13">
        <v>52512</v>
      </c>
      <c r="D293" s="20">
        <f ca="1"/>
        <v>23.764383561643836</v>
      </c>
      <c r="E293" s="9">
        <v>6.0681058922480886E-3</v>
      </c>
      <c r="F293" s="17">
        <v>0.89735284061517362</v>
      </c>
      <c r="H293" s="24">
        <f ca="1"/>
        <v>6.0858655822846885E-3</v>
      </c>
      <c r="I293" s="25">
        <f t="shared" ca="1" si="16"/>
        <v>1.7759690036599912E-5</v>
      </c>
      <c r="K293" s="30">
        <f ca="1"/>
        <v>0.10683018462160387</v>
      </c>
      <c r="L293" s="1">
        <f t="shared" ca="1" si="17"/>
        <v>0.89867826942370688</v>
      </c>
      <c r="M293" s="25">
        <f t="shared" ca="1" si="18"/>
        <v>1.3254288085332577E-3</v>
      </c>
      <c r="O293" s="30">
        <f t="shared" ca="1" si="19"/>
        <v>14.250000000000068</v>
      </c>
      <c r="P293" s="36">
        <f ca="1"/>
        <v>8.9175823543422399E-3</v>
      </c>
    </row>
    <row r="294" spans="2:23" x14ac:dyDescent="0.25">
      <c r="B294" s="32">
        <v>0</v>
      </c>
      <c r="C294" s="13">
        <v>52544</v>
      </c>
      <c r="D294" s="20">
        <f ca="1"/>
        <v>23.852054794520548</v>
      </c>
      <c r="E294" s="9">
        <v>6.0298596434400767E-3</v>
      </c>
      <c r="F294" s="17">
        <v>0.89687043372084208</v>
      </c>
      <c r="H294" s="24">
        <f ca="1"/>
        <v>6.0516118399469854E-3</v>
      </c>
      <c r="I294" s="25">
        <f t="shared" ca="1" si="16"/>
        <v>2.1752196506908718E-5</v>
      </c>
      <c r="K294" s="30">
        <f ca="1"/>
        <v>0.10736223421911839</v>
      </c>
      <c r="L294" s="1">
        <f t="shared" ca="1" si="17"/>
        <v>0.89820025518708224</v>
      </c>
      <c r="M294" s="25">
        <f t="shared" ca="1" si="18"/>
        <v>1.3298214662401664E-3</v>
      </c>
      <c r="O294" s="30">
        <f t="shared" ca="1" si="19"/>
        <v>14.300000000000068</v>
      </c>
      <c r="P294" s="36">
        <f ca="1"/>
        <v>8.929340189681001E-3</v>
      </c>
    </row>
    <row r="295" spans="2:23" x14ac:dyDescent="0.25">
      <c r="B295" s="32">
        <v>0</v>
      </c>
      <c r="C295" s="13">
        <v>52573</v>
      </c>
      <c r="D295" s="20">
        <f ca="1"/>
        <v>23.931506849315067</v>
      </c>
      <c r="E295" s="9">
        <v>5.995496968814306E-3</v>
      </c>
      <c r="F295" s="17">
        <v>0.89643609809949742</v>
      </c>
      <c r="H295" s="24">
        <f ca="1"/>
        <v>6.0210736233106826E-3</v>
      </c>
      <c r="I295" s="25">
        <f t="shared" ca="1" si="16"/>
        <v>2.5576654496376611E-5</v>
      </c>
      <c r="K295" s="30">
        <f ca="1"/>
        <v>0.10784183083404625</v>
      </c>
      <c r="L295" s="1">
        <f t="shared" ca="1" si="17"/>
        <v>0.8977695846674838</v>
      </c>
      <c r="M295" s="25">
        <f t="shared" ca="1" si="18"/>
        <v>1.333486567986375E-3</v>
      </c>
      <c r="O295" s="30">
        <f t="shared" ca="1" si="19"/>
        <v>14.350000000000069</v>
      </c>
      <c r="P295" s="36">
        <f ca="1"/>
        <v>8.9406270218219657E-3</v>
      </c>
    </row>
    <row r="296" spans="2:23" x14ac:dyDescent="0.25">
      <c r="B296" s="32">
        <v>0</v>
      </c>
      <c r="C296" s="13">
        <v>52604</v>
      </c>
      <c r="D296" s="20">
        <f ca="1"/>
        <v>24.016438356164382</v>
      </c>
      <c r="E296" s="9">
        <v>5.9580083687474968E-3</v>
      </c>
      <c r="F296" s="17">
        <v>0.8959747719858745</v>
      </c>
      <c r="H296" s="24">
        <f ca="1"/>
        <v>5.9889740254592122E-3</v>
      </c>
      <c r="I296" s="25">
        <f t="shared" ca="1" si="16"/>
        <v>3.0965656711715375E-5</v>
      </c>
      <c r="K296" s="30">
        <f ca="1"/>
        <v>0.10835184252146463</v>
      </c>
      <c r="L296" s="1">
        <f t="shared" ca="1" si="17"/>
        <v>0.89731182842713331</v>
      </c>
      <c r="M296" s="25">
        <f t="shared" ca="1" si="18"/>
        <v>1.3370564412588104E-3</v>
      </c>
      <c r="O296" s="30">
        <f t="shared" ca="1" si="19"/>
        <v>14.40000000000007</v>
      </c>
      <c r="P296" s="36">
        <f ca="1"/>
        <v>8.9514446523076309E-3</v>
      </c>
    </row>
    <row r="297" spans="2:23" x14ac:dyDescent="0.25">
      <c r="B297" s="32">
        <v>0</v>
      </c>
      <c r="C297" s="14">
        <v>52635</v>
      </c>
      <c r="D297" s="21">
        <f ca="1"/>
        <v>24.101369863013698</v>
      </c>
      <c r="E297" s="10">
        <v>5.9230003245988646E-3</v>
      </c>
      <c r="F297" s="18">
        <v>0.89551647910628185</v>
      </c>
      <c r="H297" s="26">
        <f ca="1"/>
        <v>5.9574519300978068E-3</v>
      </c>
      <c r="I297" s="27">
        <f t="shared" ca="1" si="16"/>
        <v>3.4451605498942231E-5</v>
      </c>
      <c r="K297" s="31">
        <f ca="1"/>
        <v>0.10885915236056237</v>
      </c>
      <c r="L297" s="2">
        <f t="shared" ca="1" si="17"/>
        <v>0.89685672875586442</v>
      </c>
      <c r="M297" s="27">
        <f t="shared" ca="1" si="18"/>
        <v>1.34024964958257E-3</v>
      </c>
      <c r="O297" s="31">
        <f t="shared" ca="1" si="19"/>
        <v>14.45000000000007</v>
      </c>
      <c r="P297" s="37">
        <f ca="1"/>
        <v>8.9617949210908585E-3</v>
      </c>
    </row>
    <row r="298" spans="2:23" x14ac:dyDescent="0.25">
      <c r="C298" t="s">
        <v>5</v>
      </c>
      <c r="D298" t="s">
        <v>5</v>
      </c>
      <c r="E298" t="s">
        <v>5</v>
      </c>
      <c r="F298" t="s">
        <v>5</v>
      </c>
      <c r="G298" t="s">
        <v>5</v>
      </c>
      <c r="H298" t="s">
        <v>5</v>
      </c>
      <c r="I298" s="3" t="s">
        <v>5</v>
      </c>
      <c r="J298" t="s">
        <v>5</v>
      </c>
      <c r="K298" t="s">
        <v>5</v>
      </c>
      <c r="L298" t="s">
        <v>5</v>
      </c>
      <c r="M298" s="3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EURYC_EUROIS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2020-01-08T18:55:39Z</dcterms:created>
  <dcterms:modified xsi:type="dcterms:W3CDTF">2020-01-08T21:14:13Z</dcterms:modified>
</cp:coreProperties>
</file>