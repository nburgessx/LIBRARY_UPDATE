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0700" windowHeight="11760"/>
  </bookViews>
  <sheets>
    <sheet name="Libor In-Arrears" sheetId="1" r:id="rId1"/>
  </sheets>
  <externalReferences>
    <externalReference r:id="rId2"/>
  </externalReferences>
  <definedNames>
    <definedName name="Annuity_Fixed">'Libor In-Arrears'!#REF!</definedName>
    <definedName name="Annuity_Float">'Libor In-Arrears'!#REF!</definedName>
    <definedName name="Approximate">'Libor In-Arrears'!#REF!</definedName>
    <definedName name="AsOfDate">[1]Settings!$C$3</definedName>
    <definedName name="BumpSize">'[1]Discount Factors'!$C$5</definedName>
    <definedName name="BumpSizeLiborRates">'[1]Libor Rates'!$C$4</definedName>
    <definedName name="ConvexityMethod">'Libor In-Arrears'!#REF!</definedName>
    <definedName name="Currency">'Libor In-Arrears'!#REF!</definedName>
    <definedName name="DiscountCurve">'Libor In-Arrears'!#REF!</definedName>
    <definedName name="FixedLegFrequencySelected">'Libor In-Arrears'!#REF!</definedName>
    <definedName name="FixedLegMarketFrequency">'Libor In-Arrears'!#REF!</definedName>
    <definedName name="FixingInArrears">'Libor In-Arrears'!#REF!</definedName>
    <definedName name="FlatVol">'Libor In-Arrears'!#REF!</definedName>
    <definedName name="FloatLegFrequencySelected">'Libor In-Arrears'!#REF!</definedName>
    <definedName name="FloatLegMarketFrequency">'Libor In-Arrears'!#REF!</definedName>
    <definedName name="ForecastCurve">'Libor In-Arrears'!#REF!</definedName>
    <definedName name="N">'Libor In-Arrears'!#REF!</definedName>
    <definedName name="OverrideMarketFrequency">'Libor In-Arrears'!#REF!</definedName>
    <definedName name="p">'Libor In-Arrears'!#REF!</definedName>
    <definedName name="p_Unadjusted">'Libor In-Arrears'!#REF!</definedName>
    <definedName name="PAYREC">'Libor In-Arrears'!#REF!</definedName>
    <definedName name="Periodicity">'[1]Discount Factors'!$C$4</definedName>
    <definedName name="Phi">'Libor In-Arrears'!#REF!</definedName>
    <definedName name="PV_FixedLeg">'Libor In-Arrears'!#REF!</definedName>
    <definedName name="PV_FloatLeg">'Libor In-Arrears'!#REF!</definedName>
    <definedName name="PV_FloatLeg_Unadjusted">'Libor In-Arrears'!#REF!</definedName>
    <definedName name="PV_FloatSpread">'Libor In-Arrears'!#REF!</definedName>
    <definedName name="PV_Swap">'Libor In-Arrears'!#REF!</definedName>
    <definedName name="PV_Swap_Unadjusted">'Libor In-Arrears'!#REF!</definedName>
    <definedName name="PVlets_Fixed">'Libor In-Arrears'!#REF!</definedName>
    <definedName name="PVlets_Float">'Libor In-Arrears'!$Q$6:$Q$25</definedName>
    <definedName name="r_fixed">'Libor In-Arrears'!#REF!</definedName>
    <definedName name="s">'Libor In-Arrears'!#REF!</definedName>
    <definedName name="SetDiscFactToOne">'Libor In-Arrears'!#REF!</definedName>
    <definedName name="T">'Libor In-Arrears'!#REF!</definedName>
    <definedName name="t_i">'Libor In-Arrears'!#REF!</definedName>
    <definedName name="t_j">'Libor In-Arrears'!#REF!</definedName>
  </definedNames>
  <calcPr calcId="145621" calcMode="manual" calcCompleted="0" calcOnSave="0" concurrentCalc="0"/>
</workbook>
</file>

<file path=xl/calcChain.xml><?xml version="1.0" encoding="utf-8"?>
<calcChain xmlns="http://schemas.openxmlformats.org/spreadsheetml/2006/main"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K6" i="1"/>
  <c r="M6" i="1"/>
  <c r="Q6" i="1"/>
  <c r="K7" i="1"/>
  <c r="M7" i="1"/>
  <c r="Q7" i="1"/>
  <c r="K8" i="1"/>
  <c r="M8" i="1"/>
  <c r="Q8" i="1"/>
  <c r="K9" i="1"/>
  <c r="M9" i="1"/>
  <c r="Q9" i="1"/>
  <c r="K10" i="1"/>
  <c r="M10" i="1"/>
  <c r="Q10" i="1"/>
  <c r="K11" i="1"/>
  <c r="M11" i="1"/>
  <c r="Q11" i="1"/>
  <c r="K12" i="1"/>
  <c r="M12" i="1"/>
  <c r="Q12" i="1"/>
  <c r="K13" i="1"/>
  <c r="M13" i="1"/>
  <c r="Q13" i="1"/>
  <c r="K14" i="1"/>
  <c r="M14" i="1"/>
  <c r="Q14" i="1"/>
  <c r="K15" i="1"/>
  <c r="M15" i="1"/>
  <c r="Q15" i="1"/>
  <c r="K16" i="1"/>
  <c r="M16" i="1"/>
  <c r="Q16" i="1"/>
  <c r="K17" i="1"/>
  <c r="M17" i="1"/>
  <c r="Q17" i="1"/>
  <c r="K18" i="1"/>
  <c r="M18" i="1"/>
  <c r="Q18" i="1"/>
  <c r="K19" i="1"/>
  <c r="M19" i="1"/>
  <c r="Q19" i="1"/>
  <c r="K20" i="1"/>
  <c r="M20" i="1"/>
  <c r="Q20" i="1"/>
  <c r="K21" i="1"/>
  <c r="M21" i="1"/>
  <c r="Q21" i="1"/>
  <c r="K22" i="1"/>
  <c r="M22" i="1"/>
  <c r="Q22" i="1"/>
  <c r="K23" i="1"/>
  <c r="M23" i="1"/>
  <c r="Q23" i="1"/>
  <c r="K24" i="1"/>
  <c r="M24" i="1"/>
  <c r="Q24" i="1"/>
  <c r="K25" i="1"/>
  <c r="M25" i="1"/>
  <c r="Q2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Z25" i="1"/>
  <c r="W25" i="1"/>
  <c r="X25" i="1"/>
  <c r="Y25" i="1"/>
  <c r="R25" i="1"/>
  <c r="A25" i="1"/>
  <c r="Z24" i="1"/>
  <c r="W24" i="1"/>
  <c r="X24" i="1"/>
  <c r="Y24" i="1"/>
  <c r="R24" i="1"/>
  <c r="A24" i="1"/>
  <c r="Z23" i="1"/>
  <c r="W23" i="1"/>
  <c r="X23" i="1"/>
  <c r="Y23" i="1"/>
  <c r="R23" i="1"/>
  <c r="A23" i="1"/>
  <c r="Z22" i="1"/>
  <c r="W22" i="1"/>
  <c r="X22" i="1"/>
  <c r="Y22" i="1"/>
  <c r="R22" i="1"/>
  <c r="A22" i="1"/>
  <c r="Z21" i="1"/>
  <c r="W21" i="1"/>
  <c r="X21" i="1"/>
  <c r="Y21" i="1"/>
  <c r="R21" i="1"/>
  <c r="A21" i="1"/>
  <c r="Z20" i="1"/>
  <c r="W20" i="1"/>
  <c r="X20" i="1"/>
  <c r="Y20" i="1"/>
  <c r="R20" i="1"/>
  <c r="A20" i="1"/>
  <c r="Z19" i="1"/>
  <c r="W19" i="1"/>
  <c r="X19" i="1"/>
  <c r="Y19" i="1"/>
  <c r="R19" i="1"/>
  <c r="A19" i="1"/>
  <c r="Z18" i="1"/>
  <c r="W18" i="1"/>
  <c r="X18" i="1"/>
  <c r="Y18" i="1"/>
  <c r="R18" i="1"/>
  <c r="A18" i="1"/>
  <c r="Z17" i="1"/>
  <c r="W17" i="1"/>
  <c r="X17" i="1"/>
  <c r="Y17" i="1"/>
  <c r="R17" i="1"/>
  <c r="A17" i="1"/>
  <c r="Z16" i="1"/>
  <c r="W16" i="1"/>
  <c r="X16" i="1"/>
  <c r="Y16" i="1"/>
  <c r="R16" i="1"/>
  <c r="A16" i="1"/>
  <c r="Z15" i="1"/>
  <c r="W15" i="1"/>
  <c r="X15" i="1"/>
  <c r="Y15" i="1"/>
  <c r="R15" i="1"/>
  <c r="A15" i="1"/>
  <c r="Z14" i="1"/>
  <c r="W14" i="1"/>
  <c r="X14" i="1"/>
  <c r="Y14" i="1"/>
  <c r="R14" i="1"/>
  <c r="A14" i="1"/>
  <c r="Z13" i="1"/>
  <c r="W13" i="1"/>
  <c r="X13" i="1"/>
  <c r="Y13" i="1"/>
  <c r="R13" i="1"/>
  <c r="A13" i="1"/>
  <c r="Z12" i="1"/>
  <c r="W12" i="1"/>
  <c r="X12" i="1"/>
  <c r="Y12" i="1"/>
  <c r="R12" i="1"/>
  <c r="A12" i="1"/>
  <c r="Z11" i="1"/>
  <c r="W11" i="1"/>
  <c r="X11" i="1"/>
  <c r="Y11" i="1"/>
  <c r="R11" i="1"/>
  <c r="A11" i="1"/>
  <c r="Z10" i="1"/>
  <c r="W10" i="1"/>
  <c r="X10" i="1"/>
  <c r="Y10" i="1"/>
  <c r="R10" i="1"/>
  <c r="A10" i="1"/>
  <c r="Z9" i="1"/>
  <c r="W9" i="1"/>
  <c r="X9" i="1"/>
  <c r="Y9" i="1"/>
  <c r="R9" i="1"/>
  <c r="A9" i="1"/>
  <c r="Z8" i="1"/>
  <c r="W8" i="1"/>
  <c r="X8" i="1"/>
  <c r="Y8" i="1"/>
  <c r="R8" i="1"/>
  <c r="A8" i="1"/>
  <c r="Z7" i="1"/>
  <c r="W7" i="1"/>
  <c r="X7" i="1"/>
  <c r="Y7" i="1"/>
  <c r="R7" i="1"/>
  <c r="A7" i="1"/>
  <c r="Z6" i="1"/>
  <c r="W6" i="1"/>
  <c r="X6" i="1"/>
  <c r="Y6" i="1"/>
  <c r="R6" i="1"/>
  <c r="A6" i="1"/>
  <c r="Y3" i="1"/>
</calcChain>
</file>

<file path=xl/sharedStrings.xml><?xml version="1.0" encoding="utf-8"?>
<sst xmlns="http://schemas.openxmlformats.org/spreadsheetml/2006/main" count="35" uniqueCount="30">
  <si>
    <t>Type</t>
  </si>
  <si>
    <t>Vol</t>
  </si>
  <si>
    <t>LogNormalVol</t>
  </si>
  <si>
    <t>NormalVol</t>
  </si>
  <si>
    <t>ShiftedLogNormalVol</t>
  </si>
  <si>
    <t>ShiftSize</t>
  </si>
  <si>
    <t>LOGNORMAL</t>
  </si>
  <si>
    <t>Float Leg</t>
  </si>
  <si>
    <t>Row</t>
  </si>
  <si>
    <t>Accrual Start</t>
  </si>
  <si>
    <t>Accrual End</t>
  </si>
  <si>
    <t>Pay Date</t>
  </si>
  <si>
    <t>N</t>
  </si>
  <si>
    <t>Show</t>
  </si>
  <si>
    <t>Fixing Date</t>
  </si>
  <si>
    <r>
      <t>t</t>
    </r>
    <r>
      <rPr>
        <vertAlign val="subscript"/>
        <sz val="11"/>
        <color theme="1"/>
        <rFont val="Calibri"/>
        <family val="2"/>
        <scheme val="minor"/>
      </rPr>
      <t>j</t>
    </r>
  </si>
  <si>
    <r>
      <t>l</t>
    </r>
    <r>
      <rPr>
        <vertAlign val="subscript"/>
        <sz val="11"/>
        <color theme="1"/>
        <rFont val="Calibri"/>
        <family val="2"/>
        <scheme val="minor"/>
      </rPr>
      <t>j</t>
    </r>
  </si>
  <si>
    <t>Normal</t>
  </si>
  <si>
    <t>Convexity, c</t>
  </si>
  <si>
    <r>
      <t>l</t>
    </r>
    <r>
      <rPr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 + c</t>
    </r>
  </si>
  <si>
    <t>s</t>
  </si>
  <si>
    <r>
      <t>l</t>
    </r>
    <r>
      <rPr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 + c + s</t>
    </r>
  </si>
  <si>
    <r>
      <rPr>
        <sz val="11"/>
        <color theme="1"/>
        <rFont val="Symbol"/>
        <family val="1"/>
        <charset val="2"/>
      </rPr>
      <t>t</t>
    </r>
    <r>
      <rPr>
        <vertAlign val="subscript"/>
        <sz val="11"/>
        <color theme="1"/>
        <rFont val="Calibri"/>
        <family val="2"/>
        <scheme val="minor"/>
      </rPr>
      <t>j</t>
    </r>
  </si>
  <si>
    <r>
      <t>P( t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tj )</t>
    </r>
  </si>
  <si>
    <r>
      <t>PV</t>
    </r>
    <r>
      <rPr>
        <vertAlign val="superscript"/>
        <sz val="11"/>
        <color theme="1"/>
        <rFont val="Calibri"/>
        <family val="2"/>
        <scheme val="minor"/>
      </rPr>
      <t>Float</t>
    </r>
    <r>
      <rPr>
        <sz val="11"/>
        <color theme="1"/>
        <rFont val="Calibri"/>
        <family val="2"/>
        <scheme val="minor"/>
      </rPr>
      <t>(Unadj)</t>
    </r>
  </si>
  <si>
    <r>
      <t>PV</t>
    </r>
    <r>
      <rPr>
        <vertAlign val="superscript"/>
        <sz val="11"/>
        <color theme="1"/>
        <rFont val="Calibri"/>
        <family val="2"/>
        <scheme val="minor"/>
      </rPr>
      <t>Float</t>
    </r>
    <r>
      <rPr>
        <sz val="11"/>
        <color theme="1"/>
        <rFont val="Calibri"/>
        <family val="2"/>
        <scheme val="minor"/>
      </rPr>
      <t>(Adj)</t>
    </r>
  </si>
  <si>
    <t>AdjustedRate</t>
  </si>
  <si>
    <t>ConvCorrection</t>
  </si>
  <si>
    <t>USD LIBOR IN-ARREARS</t>
  </si>
  <si>
    <t>UseHullApprox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</si>
</sst>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%"/>
    <numFmt numFmtId="165" formatCode="0.0000%"/>
    <numFmt numFmtId="166" formatCode="0.00000%"/>
    <numFmt numFmtId="167" formatCode="#,##0.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F81BD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2">
    <xf numFmtId="0" fontId="0" fillId="0" borderId="0"/>
    <xf numFmtId="0" fontId="8" fillId="5" borderId="0"/>
  </cellStyleXfs>
  <cellXfs count="49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0" fillId="0" borderId="0" xfId="0" applyNumberFormat="1" applyFont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0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5" fontId="7" fillId="3" borderId="1" xfId="0" applyNumberFormat="1" applyFont="1" applyFill="1" applyBorder="1" applyAlignment="1">
      <alignment horizontal="center" vertical="center"/>
    </xf>
    <xf numFmtId="15" fontId="7" fillId="3" borderId="7" xfId="0" applyNumberFormat="1" applyFont="1" applyFill="1" applyBorder="1" applyAlignment="1">
      <alignment horizontal="center" vertical="center"/>
    </xf>
    <xf numFmtId="4" fontId="7" fillId="3" borderId="7" xfId="0" applyNumberFormat="1" applyFont="1" applyFill="1" applyBorder="1" applyAlignment="1">
      <alignment horizontal="center" vertical="center"/>
    </xf>
    <xf numFmtId="3" fontId="7" fillId="3" borderId="7" xfId="0" applyNumberFormat="1" applyFont="1" applyFill="1" applyBorder="1" applyAlignment="1">
      <alignment horizontal="center" vertical="center"/>
    </xf>
    <xf numFmtId="165" fontId="7" fillId="3" borderId="7" xfId="0" applyNumberFormat="1" applyFont="1" applyFill="1" applyBorder="1" applyAlignment="1">
      <alignment horizontal="center" vertical="center"/>
    </xf>
    <xf numFmtId="167" fontId="7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166" fontId="7" fillId="3" borderId="7" xfId="0" applyNumberFormat="1" applyFont="1" applyFill="1" applyBorder="1" applyAlignment="1">
      <alignment horizontal="center" vertical="center"/>
    </xf>
    <xf numFmtId="15" fontId="7" fillId="3" borderId="6" xfId="0" applyNumberFormat="1" applyFont="1" applyFill="1" applyBorder="1" applyAlignment="1">
      <alignment horizontal="center" vertical="center"/>
    </xf>
    <xf numFmtId="15" fontId="7" fillId="3" borderId="0" xfId="0" applyNumberFormat="1" applyFont="1" applyFill="1" applyBorder="1" applyAlignment="1">
      <alignment horizontal="center" vertical="center"/>
    </xf>
    <xf numFmtId="4" fontId="7" fillId="3" borderId="0" xfId="0" applyNumberFormat="1" applyFont="1" applyFill="1" applyBorder="1" applyAlignment="1">
      <alignment horizontal="center" vertical="center"/>
    </xf>
    <xf numFmtId="3" fontId="7" fillId="3" borderId="0" xfId="0" applyNumberFormat="1" applyFont="1" applyFill="1" applyBorder="1" applyAlignment="1">
      <alignment horizontal="center" vertical="center"/>
    </xf>
    <xf numFmtId="165" fontId="7" fillId="3" borderId="0" xfId="0" applyNumberFormat="1" applyFont="1" applyFill="1" applyBorder="1" applyAlignment="1">
      <alignment horizontal="center" vertical="center"/>
    </xf>
    <xf numFmtId="167" fontId="7" fillId="3" borderId="0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166" fontId="7" fillId="3" borderId="0" xfId="0" applyNumberFormat="1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3" fontId="7" fillId="3" borderId="8" xfId="0" applyNumberFormat="1" applyFont="1" applyFill="1" applyBorder="1" applyAlignment="1">
      <alignment horizontal="center" vertical="center"/>
    </xf>
    <xf numFmtId="3" fontId="7" fillId="3" borderId="9" xfId="0" applyNumberFormat="1" applyFont="1" applyFill="1" applyBorder="1" applyAlignment="1">
      <alignment horizontal="center" vertical="center"/>
    </xf>
    <xf numFmtId="15" fontId="7" fillId="3" borderId="10" xfId="0" applyNumberFormat="1" applyFont="1" applyFill="1" applyBorder="1" applyAlignment="1">
      <alignment horizontal="center" vertical="center"/>
    </xf>
    <xf numFmtId="15" fontId="7" fillId="3" borderId="12" xfId="0" applyNumberFormat="1" applyFont="1" applyFill="1" applyBorder="1" applyAlignment="1">
      <alignment horizontal="center" vertical="center"/>
    </xf>
    <xf numFmtId="4" fontId="7" fillId="3" borderId="12" xfId="0" applyNumberFormat="1" applyFont="1" applyFill="1" applyBorder="1" applyAlignment="1">
      <alignment horizontal="center" vertical="center"/>
    </xf>
    <xf numFmtId="3" fontId="7" fillId="3" borderId="12" xfId="0" applyNumberFormat="1" applyFont="1" applyFill="1" applyBorder="1" applyAlignment="1">
      <alignment horizontal="center" vertical="center"/>
    </xf>
    <xf numFmtId="165" fontId="7" fillId="3" borderId="12" xfId="0" applyNumberFormat="1" applyFont="1" applyFill="1" applyBorder="1" applyAlignment="1">
      <alignment horizontal="center" vertical="center"/>
    </xf>
    <xf numFmtId="167" fontId="7" fillId="3" borderId="12" xfId="0" applyNumberFormat="1" applyFont="1" applyFill="1" applyBorder="1" applyAlignment="1">
      <alignment horizontal="center" vertical="center"/>
    </xf>
    <xf numFmtId="166" fontId="7" fillId="3" borderId="12" xfId="0" applyNumberFormat="1" applyFont="1" applyFill="1" applyBorder="1" applyAlignment="1">
      <alignment horizontal="center" vertical="center"/>
    </xf>
    <xf numFmtId="3" fontId="7" fillId="3" borderId="11" xfId="0" applyNumberFormat="1" applyFont="1" applyFill="1" applyBorder="1" applyAlignment="1">
      <alignment horizontal="center" vertical="center"/>
    </xf>
    <xf numFmtId="166" fontId="9" fillId="3" borderId="7" xfId="0" applyNumberFormat="1" applyFont="1" applyFill="1" applyBorder="1" applyAlignment="1">
      <alignment horizontal="center" vertical="center"/>
    </xf>
    <xf numFmtId="166" fontId="9" fillId="3" borderId="0" xfId="0" applyNumberFormat="1" applyFont="1" applyFill="1" applyBorder="1" applyAlignment="1">
      <alignment horizontal="center" vertical="center"/>
    </xf>
    <xf numFmtId="166" fontId="9" fillId="3" borderId="12" xfId="0" applyNumberFormat="1" applyFont="1" applyFill="1" applyBorder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</cellXfs>
  <cellStyles count="2">
    <cellStyle name="blp_column_header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609599</xdr:colOff>
      <xdr:row>26</xdr:row>
      <xdr:rowOff>1</xdr:rowOff>
    </xdr:from>
    <xdr:to>
      <xdr:col>17</xdr:col>
      <xdr:colOff>0</xdr:colOff>
      <xdr:row>52</xdr:row>
      <xdr:rowOff>9525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99" y="4991101"/>
          <a:ext cx="12373137" cy="4962524"/>
        </a:xfrm>
        <a:prstGeom prst="rect">
          <a:avLst/>
        </a:prstGeom>
      </xdr:spPr>
    </xdr:pic>
    <xdr:clientData/>
  </xdr:twoCellAnchor>
  <xdr:twoCellAnchor editAs="oneCell">
    <xdr:from>
      <xdr:col>18</xdr:col>
      <xdr:colOff>584100</xdr:colOff>
      <xdr:row>25</xdr:row>
      <xdr:rowOff>180976</xdr:rowOff>
    </xdr:from>
    <xdr:to>
      <xdr:col>35</xdr:col>
      <xdr:colOff>192570</xdr:colOff>
      <xdr:row>52</xdr:row>
      <xdr:rowOff>28576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66675" y="4981576"/>
          <a:ext cx="13362570" cy="4991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ESKTOP\LiborInArrears_Tes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Discount Factors"/>
      <sheetName val="Libor Rates"/>
      <sheetName val="Libor In-Arrears"/>
      <sheetName val="Market Convexity &amp; Vol"/>
      <sheetName val="Static Replication"/>
    </sheetNames>
    <sheetDataSet>
      <sheetData sheetId="0">
        <row r="3">
          <cell r="C3">
            <v>43481</v>
          </cell>
        </row>
      </sheetData>
      <sheetData sheetId="1">
        <row r="4">
          <cell r="C4">
            <v>50</v>
          </cell>
        </row>
        <row r="5">
          <cell r="C5">
            <v>-1</v>
          </cell>
        </row>
      </sheetData>
      <sheetData sheetId="2">
        <row r="4">
          <cell r="C4">
            <v>-1</v>
          </cell>
        </row>
      </sheetData>
      <sheetData sheetId="3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B32"/>
  <sheetViews>
    <sheetView showGridLines="0" tabSelected="1" topLeftCell="B1" workbookViewId="0">
      <selection activeCell="B1" sqref="B1"/>
    </sheetView>
  </sheetViews>
  <sheetFormatPr defaultRowHeight="15" x14ac:dyDescent="0.25"/>
  <cols>
    <col min="1" max="1" width="10.7109375" style="1" hidden="1" customWidth="1"/>
    <col min="2" max="2" width="9.140625" style="1"/>
    <col min="3" max="7" width="11.7109375" style="1" customWidth="1"/>
    <col min="8" max="8" width="13.5703125" style="1" customWidth="1"/>
    <col min="9" max="15" width="11.7109375" style="1" customWidth="1"/>
    <col min="16" max="17" width="15.7109375" style="1" customWidth="1"/>
    <col min="18" max="18" width="10.7109375" style="1" hidden="1" customWidth="1"/>
    <col min="19" max="19" width="9.140625" style="1"/>
    <col min="20" max="20" width="20.5703125" style="1" bestFit="1" customWidth="1"/>
    <col min="21" max="21" width="14.85546875" style="1" bestFit="1" customWidth="1"/>
    <col min="22" max="22" width="9.140625" style="1"/>
    <col min="23" max="24" width="13.7109375" style="1" bestFit="1" customWidth="1"/>
    <col min="25" max="25" width="22.5703125" style="1" bestFit="1" customWidth="1"/>
    <col min="26" max="26" width="20.28515625" style="1" bestFit="1" customWidth="1"/>
    <col min="27" max="16384" width="9.140625" style="1"/>
  </cols>
  <sheetData>
    <row r="1" spans="1:28" x14ac:dyDescent="0.25">
      <c r="J1" s="2"/>
    </row>
    <row r="2" spans="1:28" x14ac:dyDescent="0.25">
      <c r="C2" s="9" t="s">
        <v>28</v>
      </c>
      <c r="J2" s="1" t="s">
        <v>29</v>
      </c>
      <c r="T2" s="1" t="s">
        <v>0</v>
      </c>
      <c r="U2" s="1" t="s">
        <v>1</v>
      </c>
      <c r="W2" s="1" t="s">
        <v>2</v>
      </c>
      <c r="X2" s="1" t="s">
        <v>3</v>
      </c>
      <c r="Y2" s="1" t="s">
        <v>2</v>
      </c>
      <c r="Z2" s="1" t="s">
        <v>4</v>
      </c>
      <c r="AB2" s="1" t="s">
        <v>5</v>
      </c>
    </row>
    <row r="3" spans="1:28" x14ac:dyDescent="0.25">
      <c r="H3" s="3"/>
      <c r="I3" s="4"/>
      <c r="J3" s="8" t="b">
        <v>1</v>
      </c>
      <c r="K3" s="6"/>
      <c r="L3" s="7"/>
      <c r="O3" s="6"/>
      <c r="T3" s="8" t="s">
        <v>6</v>
      </c>
      <c r="U3" s="8">
        <v>0.315</v>
      </c>
      <c r="V3" s="5"/>
      <c r="W3" s="5">
        <v>0.315</v>
      </c>
      <c r="X3" s="5">
        <v>8.2000000000000007E-3</v>
      </c>
      <c r="Y3" s="5">
        <f>Z3*(I6+$AB$3)/I6</f>
        <v>0.31807413189710876</v>
      </c>
      <c r="Z3" s="5">
        <v>0.15</v>
      </c>
      <c r="AA3" s="5"/>
      <c r="AB3" s="8">
        <v>0.03</v>
      </c>
    </row>
    <row r="4" spans="1:28" x14ac:dyDescent="0.25">
      <c r="C4" s="9" t="s">
        <v>7</v>
      </c>
      <c r="Q4" s="10"/>
      <c r="T4" s="5"/>
      <c r="U4" s="5"/>
      <c r="V4" s="5"/>
      <c r="W4" s="5"/>
      <c r="X4" s="5"/>
      <c r="Y4" s="5"/>
      <c r="Z4" s="5"/>
      <c r="AA4" s="5"/>
      <c r="AB4" s="5"/>
    </row>
    <row r="5" spans="1:28" ht="18" x14ac:dyDescent="0.25">
      <c r="A5" s="13" t="s">
        <v>13</v>
      </c>
      <c r="B5" s="14" t="s">
        <v>8</v>
      </c>
      <c r="C5" s="15" t="s">
        <v>14</v>
      </c>
      <c r="D5" s="11" t="s">
        <v>9</v>
      </c>
      <c r="E5" s="11" t="s">
        <v>10</v>
      </c>
      <c r="F5" s="11" t="s">
        <v>11</v>
      </c>
      <c r="G5" s="12" t="s">
        <v>15</v>
      </c>
      <c r="H5" s="12" t="s">
        <v>12</v>
      </c>
      <c r="I5" s="12" t="s">
        <v>16</v>
      </c>
      <c r="J5" s="12" t="s">
        <v>18</v>
      </c>
      <c r="K5" s="12" t="s">
        <v>19</v>
      </c>
      <c r="L5" s="11" t="s">
        <v>20</v>
      </c>
      <c r="M5" s="11" t="s">
        <v>21</v>
      </c>
      <c r="N5" s="12" t="s">
        <v>22</v>
      </c>
      <c r="O5" s="12" t="s">
        <v>23</v>
      </c>
      <c r="P5" s="12" t="s">
        <v>24</v>
      </c>
      <c r="Q5" s="34" t="s">
        <v>25</v>
      </c>
      <c r="R5" s="16" t="s">
        <v>13</v>
      </c>
      <c r="S5" s="17"/>
      <c r="T5" s="5" t="s">
        <v>26</v>
      </c>
      <c r="U5" s="5" t="s">
        <v>27</v>
      </c>
      <c r="V5" s="5"/>
      <c r="W5" s="5" t="s">
        <v>3</v>
      </c>
      <c r="X5" s="5" t="s">
        <v>2</v>
      </c>
      <c r="Y5" s="5" t="s">
        <v>4</v>
      </c>
      <c r="Z5" s="5" t="s">
        <v>17</v>
      </c>
      <c r="AA5" s="5"/>
      <c r="AB5" s="5"/>
    </row>
    <row r="6" spans="1:28" x14ac:dyDescent="0.25">
      <c r="A6" s="24" t="e">
        <f>IF(t_i&lt;=T,TRUE,FALSE)</f>
        <v>#REF!</v>
      </c>
      <c r="B6" s="14">
        <v>1</v>
      </c>
      <c r="C6" s="18">
        <v>43572.3125</v>
      </c>
      <c r="D6" s="19">
        <v>43481</v>
      </c>
      <c r="E6" s="19">
        <v>43572.3125</v>
      </c>
      <c r="F6" s="19">
        <v>43572.3125</v>
      </c>
      <c r="G6" s="20">
        <v>0.25</v>
      </c>
      <c r="H6" s="21">
        <v>1000000</v>
      </c>
      <c r="I6" s="25">
        <v>2.67739E-2</v>
      </c>
      <c r="J6" s="45">
        <v>4.4000000000000002E-6</v>
      </c>
      <c r="K6" s="25">
        <f ca="1">I6+J6</f>
        <v>2.6778300000000001E-2</v>
      </c>
      <c r="L6" s="20">
        <v>0</v>
      </c>
      <c r="M6" s="22">
        <f ca="1">K6+L6</f>
        <v>2.6778300000000001E-2</v>
      </c>
      <c r="N6" s="20">
        <v>0.25</v>
      </c>
      <c r="O6" s="23">
        <v>0.99428300000000003</v>
      </c>
      <c r="P6" s="21">
        <f>H6*I6*G6*O6</f>
        <v>6655.2084034250001</v>
      </c>
      <c r="Q6" s="35">
        <f t="shared" ref="Q6:Q25" ca="1" si="0">H6*M6*G6*O6</f>
        <v>6656.302114725001</v>
      </c>
      <c r="R6" s="24" t="e">
        <f>IF(t_j&lt;=T,TRUE,FALSE)</f>
        <v>#REF!</v>
      </c>
      <c r="S6" s="17"/>
      <c r="T6" s="48">
        <f ca="1">_xll.meMathLiborRateInArrears(I6,$G$6,G6,$U$3,$T$3)</f>
        <v>2.6778371208157927E-2</v>
      </c>
      <c r="U6" s="48">
        <f ca="1">_xll.meMathLiborConvexityAdjustmentInArrears(I6,$G$6,G6,$U$3,$T$3,,$J$3)</f>
        <v>4.415980481734666E-6</v>
      </c>
      <c r="V6" s="5"/>
      <c r="W6" s="5">
        <f ca="1">_xll.meMathVolatilityToNormalFromLognormal($W$3,$I6)</f>
        <v>8.4337784999999992E-3</v>
      </c>
      <c r="X6" s="5">
        <f ca="1">_xll.meMathVolatilityToLognormalFromNormal(W6,$I6)</f>
        <v>0.31499999999999995</v>
      </c>
      <c r="Y6" s="5">
        <f ca="1">_xll.meMathVolatilityToShiftedLognormalFromLognormal(X6,I6,$AB$3)</f>
        <v>0.14855027574290297</v>
      </c>
      <c r="Z6" s="5">
        <f ca="1">_xll.meMathVolatilityToNormalFromShiftedLognormal($Z$3,$I6,$AB$3)</f>
        <v>8.5160849999999996E-3</v>
      </c>
      <c r="AA6" s="5"/>
      <c r="AB6" s="5"/>
    </row>
    <row r="7" spans="1:28" x14ac:dyDescent="0.25">
      <c r="A7" s="32" t="e">
        <f>IF(SUM(#REF!)+t_i&lt;=T,TRUE,FALSE)</f>
        <v>#REF!</v>
      </c>
      <c r="B7" s="14">
        <v>2</v>
      </c>
      <c r="C7" s="26">
        <v>43663.625</v>
      </c>
      <c r="D7" s="27">
        <v>43572.3125</v>
      </c>
      <c r="E7" s="27">
        <v>43663.625</v>
      </c>
      <c r="F7" s="27">
        <v>43663.625</v>
      </c>
      <c r="G7" s="28">
        <v>0.5</v>
      </c>
      <c r="H7" s="29">
        <v>1000000</v>
      </c>
      <c r="I7" s="33">
        <v>2.7247E-2</v>
      </c>
      <c r="J7" s="46">
        <v>9.5999999999999996E-6</v>
      </c>
      <c r="K7" s="33">
        <f t="shared" ref="K7:K25" ca="1" si="1">I7+J7</f>
        <v>2.7256599999999999E-2</v>
      </c>
      <c r="L7" s="28">
        <v>0</v>
      </c>
      <c r="M7" s="30">
        <f t="shared" ref="M7:M25" ca="1" si="2">K7+L7</f>
        <v>2.7256599999999999E-2</v>
      </c>
      <c r="N7" s="28">
        <v>0.25</v>
      </c>
      <c r="O7" s="31">
        <v>0.98820300000000005</v>
      </c>
      <c r="P7" s="29">
        <f t="shared" ref="P7:P25" si="3">H7*I7*G7*O7</f>
        <v>13462.783570500002</v>
      </c>
      <c r="Q7" s="36">
        <f t="shared" ca="1" si="0"/>
        <v>13467.526944900001</v>
      </c>
      <c r="R7" s="32" t="e">
        <f>IF(SUM(N$6:N6)+t_j&lt;=T,TRUE,FALSE)</f>
        <v>#REF!</v>
      </c>
      <c r="S7" s="17"/>
      <c r="T7" s="48">
        <f ca="1">_xll.meMathLiborRateInArrears(I7,$G$6,G7,$U$3,$T$3)</f>
        <v>2.7256376440149489E-2</v>
      </c>
      <c r="U7" s="48">
        <f ca="1">_xll.meMathLiborConvexityAdjustmentInArrears(I7,$G$6,G7,$U$3,$T$3,,$J$3)</f>
        <v>9.1457690164081784E-6</v>
      </c>
      <c r="V7" s="5"/>
      <c r="W7" s="5">
        <f ca="1">_xll.meMathVolatilityToNormalFromLognormal($W$3,$I7)</f>
        <v>8.5828050000000006E-3</v>
      </c>
      <c r="X7" s="5">
        <f ca="1">_xll.meMathVolatilityToLognormalFromNormal(W7,$I7)</f>
        <v>0.315</v>
      </c>
      <c r="Y7" s="5">
        <f ca="1">_xll.meMathVolatilityToShiftedLognormalFromLognormal(X7,I7,$AB$3)</f>
        <v>0.14992584764267125</v>
      </c>
      <c r="Z7" s="5">
        <f ca="1">_xll.meMathVolatilityToNormalFromShiftedLognormal($Z$3,$I7,$AB$3)</f>
        <v>8.5870499999999989E-3</v>
      </c>
      <c r="AA7" s="5"/>
      <c r="AB7" s="5"/>
    </row>
    <row r="8" spans="1:28" x14ac:dyDescent="0.25">
      <c r="A8" s="32" t="e">
        <f>IF(SUM(#REF!)+t_i&lt;=T,TRUE,FALSE)</f>
        <v>#REF!</v>
      </c>
      <c r="B8" s="14">
        <v>3</v>
      </c>
      <c r="C8" s="26">
        <v>43754.9375</v>
      </c>
      <c r="D8" s="27">
        <v>43663.625</v>
      </c>
      <c r="E8" s="27">
        <v>43754.9375</v>
      </c>
      <c r="F8" s="27">
        <v>43754.9375</v>
      </c>
      <c r="G8" s="28">
        <v>0.75</v>
      </c>
      <c r="H8" s="29">
        <v>1000000</v>
      </c>
      <c r="I8" s="33">
        <v>2.7159800000000001E-2</v>
      </c>
      <c r="J8" s="46">
        <v>1.3899999999999999E-5</v>
      </c>
      <c r="K8" s="33">
        <f t="shared" ca="1" si="1"/>
        <v>2.7173700000000002E-2</v>
      </c>
      <c r="L8" s="28">
        <v>0</v>
      </c>
      <c r="M8" s="30">
        <f t="shared" ca="1" si="2"/>
        <v>2.7173700000000002E-2</v>
      </c>
      <c r="N8" s="28">
        <v>0.25</v>
      </c>
      <c r="O8" s="31">
        <v>0.98206499999999997</v>
      </c>
      <c r="P8" s="29">
        <f t="shared" si="3"/>
        <v>20004.516740250001</v>
      </c>
      <c r="Q8" s="36">
        <f t="shared" ca="1" si="0"/>
        <v>20014.754767875002</v>
      </c>
      <c r="R8" s="32" t="e">
        <f>IF(SUM(N$6:N7)+t_j&lt;=T,TRUE,FALSE)</f>
        <v>#REF!</v>
      </c>
      <c r="S8" s="17"/>
      <c r="T8" s="48">
        <f ca="1">_xll.meMathLiborRateInArrears(I8,$G$6,G8,$U$3,$T$3)</f>
        <v>2.7173951311175986E-2</v>
      </c>
      <c r="U8" s="48">
        <f ca="1">_xll.meMathLiborConvexityAdjustmentInArrears(I8,$G$6,G8,$U$3,$T$3,,$J$3)</f>
        <v>1.3631280136362084E-5</v>
      </c>
      <c r="V8" s="5"/>
      <c r="W8" s="5">
        <f ca="1">_xll.meMathVolatilityToNormalFromLognormal($W$3,$I8)</f>
        <v>8.5553369999999997E-3</v>
      </c>
      <c r="X8" s="5">
        <f ca="1">_xll.meMathVolatilityToLognormalFromNormal(W8,$I8)</f>
        <v>0.31499999999999995</v>
      </c>
      <c r="Y8" s="5">
        <f ca="1">_xll.meMathVolatilityToShiftedLognormalFromLognormal(X8,I8,$AB$3)</f>
        <v>0.14967401915332104</v>
      </c>
      <c r="Z8" s="5">
        <f ca="1">_xll.meMathVolatilityToNormalFromShiftedLognormal($Z$3,$I8,$AB$3)</f>
        <v>8.5739699999999985E-3</v>
      </c>
      <c r="AA8" s="5"/>
      <c r="AB8" s="5"/>
    </row>
    <row r="9" spans="1:28" x14ac:dyDescent="0.25">
      <c r="A9" s="32" t="e">
        <f>IF(SUM(#REF!)+t_i&lt;=T,TRUE,FALSE)</f>
        <v>#REF!</v>
      </c>
      <c r="B9" s="14">
        <v>4</v>
      </c>
      <c r="C9" s="26">
        <v>43846.25</v>
      </c>
      <c r="D9" s="27">
        <v>43754.9375</v>
      </c>
      <c r="E9" s="27">
        <v>43846.25</v>
      </c>
      <c r="F9" s="27">
        <v>43846.25</v>
      </c>
      <c r="G9" s="28">
        <v>1</v>
      </c>
      <c r="H9" s="29">
        <v>1000000</v>
      </c>
      <c r="I9" s="33">
        <v>2.6935199999999999E-2</v>
      </c>
      <c r="J9" s="46">
        <v>1.88E-5</v>
      </c>
      <c r="K9" s="33">
        <f t="shared" ca="1" si="1"/>
        <v>2.6953999999999999E-2</v>
      </c>
      <c r="L9" s="28">
        <v>0</v>
      </c>
      <c r="M9" s="30">
        <f t="shared" ca="1" si="2"/>
        <v>2.6953999999999999E-2</v>
      </c>
      <c r="N9" s="28">
        <v>0.25</v>
      </c>
      <c r="O9" s="31">
        <v>0.97565100000000005</v>
      </c>
      <c r="P9" s="29">
        <f t="shared" si="3"/>
        <v>26279.3548152</v>
      </c>
      <c r="Q9" s="36">
        <f t="shared" ca="1" si="0"/>
        <v>26297.697054</v>
      </c>
      <c r="R9" s="32" t="e">
        <f>IF(SUM(N$6:N8)+t_j&lt;=T,TRUE,FALSE)</f>
        <v>#REF!</v>
      </c>
      <c r="S9" s="17"/>
      <c r="T9" s="48">
        <f ca="1">_xll.meMathLiborRateInArrears(I9,$G$6,G9,$U$3,$T$3)</f>
        <v>2.6953993664001089E-2</v>
      </c>
      <c r="U9" s="48">
        <f ca="1">_xll.meMathLiborConvexityAdjustmentInArrears(I9,$G$6,G9,$U$3,$T$3,,$J$3)</f>
        <v>1.7876680392017036E-5</v>
      </c>
      <c r="V9" s="5"/>
      <c r="W9" s="5">
        <f ca="1">_xll.meMathVolatilityToNormalFromLognormal($W$3,$I9)</f>
        <v>8.4845879999999995E-3</v>
      </c>
      <c r="X9" s="5">
        <f ca="1">_xll.meMathVolatilityToLognormalFromNormal(W9,$I9)</f>
        <v>0.315</v>
      </c>
      <c r="Y9" s="5">
        <f ca="1">_xll.meMathVolatilityToShiftedLognormalFromLognormal(X9,I9,$AB$3)</f>
        <v>0.14902183534966065</v>
      </c>
      <c r="Z9" s="5">
        <f ca="1">_xll.meMathVolatilityToNormalFromShiftedLognormal($Z$3,$I9,$AB$3)</f>
        <v>8.5402799999999991E-3</v>
      </c>
      <c r="AA9" s="5"/>
      <c r="AB9" s="5"/>
    </row>
    <row r="10" spans="1:28" x14ac:dyDescent="0.25">
      <c r="A10" s="32" t="e">
        <f>IF(SUM(#REF!)+t_i&lt;=T,TRUE,FALSE)</f>
        <v>#REF!</v>
      </c>
      <c r="B10" s="14">
        <v>5</v>
      </c>
      <c r="C10" s="26">
        <v>43937.5625</v>
      </c>
      <c r="D10" s="27">
        <v>43846.25</v>
      </c>
      <c r="E10" s="27">
        <v>43937.5625</v>
      </c>
      <c r="F10" s="27">
        <v>43937.5625</v>
      </c>
      <c r="G10" s="28">
        <v>1.25</v>
      </c>
      <c r="H10" s="29">
        <v>1000000</v>
      </c>
      <c r="I10" s="33">
        <v>2.6156100000000002E-2</v>
      </c>
      <c r="J10" s="46">
        <v>2.27E-5</v>
      </c>
      <c r="K10" s="33">
        <f t="shared" ca="1" si="1"/>
        <v>2.6178800000000002E-2</v>
      </c>
      <c r="L10" s="28">
        <v>0</v>
      </c>
      <c r="M10" s="30">
        <f t="shared" ca="1" si="2"/>
        <v>2.6178800000000002E-2</v>
      </c>
      <c r="N10" s="28">
        <v>0.25</v>
      </c>
      <c r="O10" s="31">
        <v>0.96982900000000005</v>
      </c>
      <c r="P10" s="29">
        <f t="shared" si="3"/>
        <v>31708.680383625004</v>
      </c>
      <c r="Q10" s="36">
        <f t="shared" ca="1" si="0"/>
        <v>31736.199281500005</v>
      </c>
      <c r="R10" s="32" t="e">
        <f>IF(SUM(N$6:N9)+t_j&lt;=T,TRUE,FALSE)</f>
        <v>#REF!</v>
      </c>
      <c r="S10" s="17"/>
      <c r="T10" s="48">
        <f ca="1">_xll.meMathLiborRateInArrears(I10,$G$6,G10,$U$3,$T$3)</f>
        <v>2.6178538709494503E-2</v>
      </c>
      <c r="U10" s="48">
        <f ca="1">_xll.meMathLiborConvexityAdjustmentInArrears(I10,$G$6,G10,$U$3,$T$3,,$J$3)</f>
        <v>2.1075917488153767E-5</v>
      </c>
      <c r="V10" s="5"/>
      <c r="W10" s="5">
        <f ca="1">_xll.meMathVolatilityToNormalFromLognormal($W$3,$I10)</f>
        <v>8.2391714999999997E-3</v>
      </c>
      <c r="X10" s="5">
        <f ca="1">_xll.meMathVolatilityToLognormalFromNormal(W10,$I10)</f>
        <v>0.31499999999999995</v>
      </c>
      <c r="Y10" s="5">
        <f ca="1">_xll.meMathVolatilityToShiftedLognormalFromLognormal(X10,I10,$AB$3)</f>
        <v>0.14671908305598144</v>
      </c>
      <c r="Z10" s="5">
        <f ca="1">_xll.meMathVolatilityToNormalFromShiftedLognormal($Z$3,$I10,$AB$3)</f>
        <v>8.4234150000000001E-3</v>
      </c>
      <c r="AA10" s="5"/>
      <c r="AB10" s="5"/>
    </row>
    <row r="11" spans="1:28" x14ac:dyDescent="0.25">
      <c r="A11" s="32" t="e">
        <f>IF(SUM(#REF!)+t_i&lt;=T,TRUE,FALSE)</f>
        <v>#REF!</v>
      </c>
      <c r="B11" s="14">
        <v>6</v>
      </c>
      <c r="C11" s="26">
        <v>44028.875</v>
      </c>
      <c r="D11" s="27">
        <v>43937.5625</v>
      </c>
      <c r="E11" s="27">
        <v>44028.875</v>
      </c>
      <c r="F11" s="27">
        <v>44028.875</v>
      </c>
      <c r="G11" s="28">
        <v>1.5</v>
      </c>
      <c r="H11" s="29">
        <v>1000000</v>
      </c>
      <c r="I11" s="33">
        <v>2.5828899999999998E-2</v>
      </c>
      <c r="J11" s="46">
        <v>2.69E-5</v>
      </c>
      <c r="K11" s="33">
        <f t="shared" ca="1" si="1"/>
        <v>2.5855799999999998E-2</v>
      </c>
      <c r="L11" s="28">
        <v>0</v>
      </c>
      <c r="M11" s="30">
        <f t="shared" ca="1" si="2"/>
        <v>2.5855799999999998E-2</v>
      </c>
      <c r="N11" s="28">
        <v>0.25</v>
      </c>
      <c r="O11" s="31">
        <v>0.96414299999999997</v>
      </c>
      <c r="P11" s="29">
        <f t="shared" si="3"/>
        <v>37354.129699049998</v>
      </c>
      <c r="Q11" s="36">
        <f t="shared" ca="1" si="0"/>
        <v>37393.032869099996</v>
      </c>
      <c r="R11" s="32" t="e">
        <f>IF(SUM(N$6:N10)+t_j&lt;=T,TRUE,FALSE)</f>
        <v>#REF!</v>
      </c>
      <c r="S11" s="17"/>
      <c r="T11" s="48">
        <f ca="1">_xll.meMathLiborRateInArrears(I11,$G$6,G11,$U$3,$T$3)</f>
        <v>2.5855494346220208E-2</v>
      </c>
      <c r="U11" s="48">
        <f ca="1">_xll.meMathLiborConvexityAdjustmentInArrears(I11,$G$6,G11,$U$3,$T$3,,$J$3)</f>
        <v>2.4664304596768577E-5</v>
      </c>
      <c r="V11" s="5"/>
      <c r="W11" s="5">
        <f ca="1">_xll.meMathVolatilityToNormalFromLognormal($W$3,$I11)</f>
        <v>8.1361035000000002E-3</v>
      </c>
      <c r="X11" s="5">
        <f ca="1">_xll.meMathVolatilityToLognormalFromNormal(W11,$I11)</f>
        <v>0.315</v>
      </c>
      <c r="Y11" s="5">
        <f ca="1">_xll.meMathVolatilityToShiftedLognormalFromLognormal(X11,I11,$AB$3)</f>
        <v>0.14573282833801132</v>
      </c>
      <c r="Z11" s="5">
        <f ca="1">_xll.meMathVolatilityToNormalFromShiftedLognormal($Z$3,$I11,$AB$3)</f>
        <v>8.3743350000000001E-3</v>
      </c>
      <c r="AA11" s="5"/>
      <c r="AB11" s="5"/>
    </row>
    <row r="12" spans="1:28" x14ac:dyDescent="0.25">
      <c r="A12" s="32" t="e">
        <f>IF(SUM(#REF!)+t_i&lt;=T,TRUE,FALSE)</f>
        <v>#REF!</v>
      </c>
      <c r="B12" s="14">
        <v>7</v>
      </c>
      <c r="C12" s="26">
        <v>44120.1875</v>
      </c>
      <c r="D12" s="27">
        <v>44028.875</v>
      </c>
      <c r="E12" s="27">
        <v>44120.1875</v>
      </c>
      <c r="F12" s="27">
        <v>44120.1875</v>
      </c>
      <c r="G12" s="28">
        <v>1.75</v>
      </c>
      <c r="H12" s="29">
        <v>1000000</v>
      </c>
      <c r="I12" s="33">
        <v>2.5597699999999998E-2</v>
      </c>
      <c r="J12" s="46">
        <v>3.0500000000000003E-5</v>
      </c>
      <c r="K12" s="33">
        <f t="shared" ca="1" si="1"/>
        <v>2.5628199999999997E-2</v>
      </c>
      <c r="L12" s="28">
        <v>0</v>
      </c>
      <c r="M12" s="30">
        <f t="shared" ca="1" si="2"/>
        <v>2.5628199999999997E-2</v>
      </c>
      <c r="N12" s="28">
        <v>0.25</v>
      </c>
      <c r="O12" s="31">
        <v>0.958565</v>
      </c>
      <c r="P12" s="29">
        <f t="shared" si="3"/>
        <v>42939.853775874988</v>
      </c>
      <c r="Q12" s="36">
        <f t="shared" ca="1" si="0"/>
        <v>42991.017182749994</v>
      </c>
      <c r="R12" s="32" t="e">
        <f>IF(SUM(N$6:N11)+t_j&lt;=T,TRUE,FALSE)</f>
        <v>#REF!</v>
      </c>
      <c r="S12" s="17"/>
      <c r="T12" s="48">
        <f ca="1">_xll.meMathLiborRateInArrears(I12,$G$6,G12,$U$3,$T$3)</f>
        <v>2.5628566147013206E-2</v>
      </c>
      <c r="U12" s="48">
        <f ca="1">_xll.meMathLiborConvexityAdjustmentInArrears(I12,$G$6,G12,$U$3,$T$3,,$J$3)</f>
        <v>2.8263808037890664E-5</v>
      </c>
      <c r="V12" s="5"/>
      <c r="W12" s="5">
        <f ca="1">_xll.meMathVolatilityToNormalFromLognormal($W$3,$I12)</f>
        <v>8.0632754999999997E-3</v>
      </c>
      <c r="X12" s="5">
        <f ca="1">_xll.meMathVolatilityToLognormalFromNormal(W12,$I12)</f>
        <v>0.315</v>
      </c>
      <c r="Y12" s="5">
        <f ca="1">_xll.meMathVolatilityToShiftedLognormalFromLognormal(X12,I12,$AB$3)</f>
        <v>0.14502894004608105</v>
      </c>
      <c r="Z12" s="5">
        <f ca="1">_xll.meMathVolatilityToNormalFromShiftedLognormal($Z$3,$I12,$AB$3)</f>
        <v>8.3396549999999996E-3</v>
      </c>
      <c r="AA12" s="5"/>
      <c r="AB12" s="5"/>
    </row>
    <row r="13" spans="1:28" x14ac:dyDescent="0.25">
      <c r="A13" s="32" t="e">
        <f>IF(SUM(#REF!)+t_i&lt;=T,TRUE,FALSE)</f>
        <v>#REF!</v>
      </c>
      <c r="B13" s="14">
        <v>8</v>
      </c>
      <c r="C13" s="26">
        <v>44211.5</v>
      </c>
      <c r="D13" s="27">
        <v>44120.1875</v>
      </c>
      <c r="E13" s="27">
        <v>44211.5</v>
      </c>
      <c r="F13" s="27">
        <v>44211.5</v>
      </c>
      <c r="G13" s="28">
        <v>2</v>
      </c>
      <c r="H13" s="29">
        <v>1000000</v>
      </c>
      <c r="I13" s="33">
        <v>2.52906E-2</v>
      </c>
      <c r="J13" s="46">
        <v>3.4900000000000001E-5</v>
      </c>
      <c r="K13" s="33">
        <f t="shared" ca="1" si="1"/>
        <v>2.5325500000000001E-2</v>
      </c>
      <c r="L13" s="28">
        <v>0</v>
      </c>
      <c r="M13" s="30">
        <f t="shared" ca="1" si="2"/>
        <v>2.5325500000000001E-2</v>
      </c>
      <c r="N13" s="28">
        <v>0.25</v>
      </c>
      <c r="O13" s="31">
        <v>0.95302399999999998</v>
      </c>
      <c r="P13" s="29">
        <f t="shared" si="3"/>
        <v>48205.097548799997</v>
      </c>
      <c r="Q13" s="36">
        <f t="shared" ca="1" si="0"/>
        <v>48271.618624000002</v>
      </c>
      <c r="R13" s="32" t="e">
        <f>IF(SUM(N$6:N12)+t_j&lt;=T,TRUE,FALSE)</f>
        <v>#REF!</v>
      </c>
      <c r="S13" s="17"/>
      <c r="T13" s="48">
        <f ca="1">_xll.meMathLiborRateInArrears(I13,$G$6,G13,$U$3,$T$3)</f>
        <v>2.5325480075334295E-2</v>
      </c>
      <c r="U13" s="48">
        <f ca="1">_xll.meMathLiborConvexityAdjustmentInArrears(I13,$G$6,G13,$U$3,$T$3,,$J$3)</f>
        <v>3.1533496557253904E-5</v>
      </c>
      <c r="V13" s="5"/>
      <c r="W13" s="5">
        <f ca="1">_xll.meMathVolatilityToNormalFromLognormal($W$3,$I13)</f>
        <v>7.9665389999999999E-3</v>
      </c>
      <c r="X13" s="5">
        <f ca="1">_xll.meMathVolatilityToLognormalFromNormal(W13,$I13)</f>
        <v>0.315</v>
      </c>
      <c r="Y13" s="5">
        <f ca="1">_xll.meMathVolatilityToShiftedLognormalFromLognormal(X13,I13,$AB$3)</f>
        <v>0.14408487156948921</v>
      </c>
      <c r="Z13" s="5">
        <f ca="1">_xll.meMathVolatilityToNormalFromShiftedLognormal($Z$3,$I13,$AB$3)</f>
        <v>8.2935899999999983E-3</v>
      </c>
      <c r="AA13" s="5"/>
      <c r="AB13" s="5"/>
    </row>
    <row r="14" spans="1:28" x14ac:dyDescent="0.25">
      <c r="A14" s="32" t="e">
        <f>IF(SUM(#REF!)+t_i&lt;=T,TRUE,FALSE)</f>
        <v>#REF!</v>
      </c>
      <c r="B14" s="14">
        <v>9</v>
      </c>
      <c r="C14" s="26">
        <v>44302.8125</v>
      </c>
      <c r="D14" s="27">
        <v>44211.5</v>
      </c>
      <c r="E14" s="27">
        <v>44302.8125</v>
      </c>
      <c r="F14" s="27">
        <v>44302.8125</v>
      </c>
      <c r="G14" s="28">
        <v>2.25</v>
      </c>
      <c r="H14" s="29">
        <v>1000000</v>
      </c>
      <c r="I14" s="33">
        <v>2.5060099999999998E-2</v>
      </c>
      <c r="J14" s="46">
        <v>3.9500000000000005E-5</v>
      </c>
      <c r="K14" s="33">
        <f t="shared" ca="1" si="1"/>
        <v>2.50996E-2</v>
      </c>
      <c r="L14" s="28">
        <v>0</v>
      </c>
      <c r="M14" s="30">
        <f t="shared" ca="1" si="2"/>
        <v>2.50996E-2</v>
      </c>
      <c r="N14" s="28">
        <v>0.25</v>
      </c>
      <c r="O14" s="31">
        <v>0.94770100000000002</v>
      </c>
      <c r="P14" s="29">
        <f t="shared" si="3"/>
        <v>53436.334117724997</v>
      </c>
      <c r="Q14" s="36">
        <f t="shared" ca="1" si="0"/>
        <v>53520.561044100003</v>
      </c>
      <c r="R14" s="32" t="e">
        <f>IF(SUM(N$6:N13)+t_j&lt;=T,TRUE,FALSE)</f>
        <v>#REF!</v>
      </c>
      <c r="S14" s="17"/>
      <c r="T14" s="48">
        <f ca="1">_xll.meMathLiborRateInArrears(I14,$G$6,G14,$U$3,$T$3)</f>
        <v>2.5099128144615637E-2</v>
      </c>
      <c r="U14" s="48">
        <f ca="1">_xll.meMathLiborConvexityAdjustmentInArrears(I14,$G$6,G14,$U$3,$T$3,,$J$3)</f>
        <v>3.4833479302592146E-5</v>
      </c>
      <c r="V14" s="5"/>
      <c r="W14" s="5">
        <f ca="1">_xll.meMathVolatilityToNormalFromLognormal($W$3,$I14)</f>
        <v>7.8939314999999996E-3</v>
      </c>
      <c r="X14" s="5">
        <f ca="1">_xll.meMathVolatilityToLognormalFromNormal(W14,$I14)</f>
        <v>0.315</v>
      </c>
      <c r="Y14" s="5">
        <f ca="1">_xll.meMathVolatilityToShiftedLognormalFromLognormal(X14,I14,$AB$3)</f>
        <v>0.14336936365898353</v>
      </c>
      <c r="Z14" s="5">
        <f ca="1">_xll.meMathVolatilityToNormalFromShiftedLognormal($Z$3,$I14,$AB$3)</f>
        <v>8.2590149999999998E-3</v>
      </c>
      <c r="AA14" s="5"/>
      <c r="AB14" s="5"/>
    </row>
    <row r="15" spans="1:28" x14ac:dyDescent="0.25">
      <c r="A15" s="32" t="e">
        <f>IF(SUM(#REF!)+t_i&lt;=T,TRUE,FALSE)</f>
        <v>#REF!</v>
      </c>
      <c r="B15" s="14">
        <v>10</v>
      </c>
      <c r="C15" s="26">
        <v>44394.125</v>
      </c>
      <c r="D15" s="27">
        <v>44302.8125</v>
      </c>
      <c r="E15" s="27">
        <v>44394.125</v>
      </c>
      <c r="F15" s="27">
        <v>44394.125</v>
      </c>
      <c r="G15" s="28">
        <v>2.5</v>
      </c>
      <c r="H15" s="29">
        <v>1000000</v>
      </c>
      <c r="I15" s="33">
        <v>2.4941300000000003E-2</v>
      </c>
      <c r="J15" s="46">
        <v>4.4000000000000006E-5</v>
      </c>
      <c r="K15" s="33">
        <f t="shared" ca="1" si="1"/>
        <v>2.4985300000000002E-2</v>
      </c>
      <c r="L15" s="28">
        <v>0</v>
      </c>
      <c r="M15" s="30">
        <f t="shared" ca="1" si="2"/>
        <v>2.4985300000000002E-2</v>
      </c>
      <c r="N15" s="28">
        <v>0.25</v>
      </c>
      <c r="O15" s="31">
        <v>0.94239799999999996</v>
      </c>
      <c r="P15" s="29">
        <f t="shared" si="3"/>
        <v>58761.578093500008</v>
      </c>
      <c r="Q15" s="36">
        <f t="shared" ca="1" si="0"/>
        <v>58865.241873500003</v>
      </c>
      <c r="R15" s="32" t="e">
        <f>IF(SUM(N$6:N14)+t_j&lt;=T,TRUE,FALSE)</f>
        <v>#REF!</v>
      </c>
      <c r="S15" s="17"/>
      <c r="T15" s="48">
        <f ca="1">_xll.meMathLiborRateInArrears(I15,$G$6,G15,$U$3,$T$3)</f>
        <v>2.498481297404951E-2</v>
      </c>
      <c r="U15" s="48">
        <f ca="1">_xll.meMathLiborConvexityAdjustmentInArrears(I15,$G$6,G15,$U$3,$T$3,,$J$3)</f>
        <v>3.8338907901336317E-5</v>
      </c>
      <c r="V15" s="5"/>
      <c r="W15" s="5">
        <f ca="1">_xll.meMathVolatilityToNormalFromLognormal($W$3,$I15)</f>
        <v>7.8565095000000008E-3</v>
      </c>
      <c r="X15" s="5">
        <f ca="1">_xll.meMathVolatilityToLognormalFromNormal(W15,$I15)</f>
        <v>0.315</v>
      </c>
      <c r="Y15" s="5">
        <f ca="1">_xll.meMathVolatilityToShiftedLognormalFromLognormal(X15,I15,$AB$3)</f>
        <v>0.14299824540009065</v>
      </c>
      <c r="Z15" s="5">
        <f ca="1">_xll.meMathVolatilityToNormalFromShiftedLognormal($Z$3,$I15,$AB$3)</f>
        <v>8.2411949999999998E-3</v>
      </c>
      <c r="AA15" s="5"/>
      <c r="AB15" s="5"/>
    </row>
    <row r="16" spans="1:28" x14ac:dyDescent="0.25">
      <c r="A16" s="32" t="e">
        <f>IF(SUM(#REF!)+t_i&lt;=T,TRUE,FALSE)</f>
        <v>#REF!</v>
      </c>
      <c r="B16" s="14">
        <v>11</v>
      </c>
      <c r="C16" s="26">
        <v>44485.4375</v>
      </c>
      <c r="D16" s="27">
        <v>44394.125</v>
      </c>
      <c r="E16" s="27">
        <v>44485.4375</v>
      </c>
      <c r="F16" s="27">
        <v>44485.4375</v>
      </c>
      <c r="G16" s="28">
        <v>2.75</v>
      </c>
      <c r="H16" s="29">
        <v>1000000</v>
      </c>
      <c r="I16" s="33">
        <v>2.4936300000000002E-2</v>
      </c>
      <c r="J16" s="46">
        <v>4.7999999999999994E-5</v>
      </c>
      <c r="K16" s="33">
        <f t="shared" ca="1" si="1"/>
        <v>2.4984300000000001E-2</v>
      </c>
      <c r="L16" s="28">
        <v>0</v>
      </c>
      <c r="M16" s="30">
        <f t="shared" ca="1" si="2"/>
        <v>2.4984300000000001E-2</v>
      </c>
      <c r="N16" s="28">
        <v>0.25</v>
      </c>
      <c r="O16" s="31">
        <v>0.93714900000000001</v>
      </c>
      <c r="P16" s="29">
        <f t="shared" si="3"/>
        <v>64264.828673925011</v>
      </c>
      <c r="Q16" s="36">
        <f t="shared" ca="1" si="0"/>
        <v>64388.532341924998</v>
      </c>
      <c r="R16" s="32" t="e">
        <f>IF(SUM(N$6:N15)+t_j&lt;=T,TRUE,FALSE)</f>
        <v>#REF!</v>
      </c>
      <c r="S16" s="17"/>
      <c r="T16" s="48">
        <f ca="1">_xll.meMathLiborRateInArrears(I16,$G$6,G16,$U$3,$T$3)</f>
        <v>2.498476832710236E-2</v>
      </c>
      <c r="U16" s="48">
        <f ca="1">_xll.meMathLiborConvexityAdjustmentInArrears(I16,$G$6,G16,$U$3,$T$3,,$J$3)</f>
        <v>4.2155943933332857E-5</v>
      </c>
      <c r="V16" s="5"/>
      <c r="W16" s="5">
        <f ca="1">_xll.meMathVolatilityToNormalFromLognormal($W$3,$I16)</f>
        <v>7.8549345000000007E-3</v>
      </c>
      <c r="X16" s="5">
        <f ca="1">_xll.meMathVolatilityToLognormalFromNormal(W16,$I16)</f>
        <v>0.315</v>
      </c>
      <c r="Y16" s="5">
        <f ca="1">_xll.meMathVolatilityToShiftedLognormalFromLognormal(X16,I16,$AB$3)</f>
        <v>0.14298259074600947</v>
      </c>
      <c r="Z16" s="5">
        <f ca="1">_xll.meMathVolatilityToNormalFromShiftedLognormal($Z$3,$I16,$AB$3)</f>
        <v>8.240444999999999E-3</v>
      </c>
      <c r="AA16" s="5"/>
      <c r="AB16" s="5"/>
    </row>
    <row r="17" spans="1:28" x14ac:dyDescent="0.25">
      <c r="A17" s="32" t="e">
        <f>IF(SUM(#REF!)+t_i&lt;=T,TRUE,FALSE)</f>
        <v>#REF!</v>
      </c>
      <c r="B17" s="14">
        <v>12</v>
      </c>
      <c r="C17" s="26">
        <v>44576.75</v>
      </c>
      <c r="D17" s="27">
        <v>44485.4375</v>
      </c>
      <c r="E17" s="27">
        <v>44576.75</v>
      </c>
      <c r="F17" s="27">
        <v>44576.75</v>
      </c>
      <c r="G17" s="28">
        <v>3</v>
      </c>
      <c r="H17" s="29">
        <v>1000000</v>
      </c>
      <c r="I17" s="33">
        <v>2.5031299999999999E-2</v>
      </c>
      <c r="J17" s="46">
        <v>5.41E-5</v>
      </c>
      <c r="K17" s="33">
        <f t="shared" ca="1" si="1"/>
        <v>2.5085400000000001E-2</v>
      </c>
      <c r="L17" s="28">
        <v>0</v>
      </c>
      <c r="M17" s="30">
        <f t="shared" ca="1" si="2"/>
        <v>2.5085400000000001E-2</v>
      </c>
      <c r="N17" s="28">
        <v>0.25</v>
      </c>
      <c r="O17" s="31">
        <v>0.93186999999999998</v>
      </c>
      <c r="P17" s="29">
        <f t="shared" si="3"/>
        <v>69977.752592999997</v>
      </c>
      <c r="Q17" s="36">
        <f t="shared" ca="1" si="0"/>
        <v>70128.995094000013</v>
      </c>
      <c r="R17" s="32" t="e">
        <f>IF(SUM(N$6:N16)+t_j&lt;=T,TRUE,FALSE)</f>
        <v>#REF!</v>
      </c>
      <c r="S17" s="17"/>
      <c r="T17" s="48">
        <f ca="1">_xll.meMathLiborRateInArrears(I17,$G$6,G17,$U$3,$T$3)</f>
        <v>2.5085273613184043E-2</v>
      </c>
      <c r="U17" s="48">
        <f ca="1">_xll.meMathLiborConvexityAdjustmentInArrears(I17,$G$6,G17,$U$3,$T$3,,$J$3)</f>
        <v>4.6338280153056938E-5</v>
      </c>
      <c r="V17" s="5"/>
      <c r="W17" s="5">
        <f ca="1">_xll.meMathVolatilityToNormalFromLognormal($W$3,$I17)</f>
        <v>7.884859499999999E-3</v>
      </c>
      <c r="X17" s="5">
        <f ca="1">_xll.meMathVolatilityToLognormalFromNormal(W17,$I17)</f>
        <v>0.31499999999999995</v>
      </c>
      <c r="Y17" s="5">
        <f ca="1">_xll.meMathVolatilityToShiftedLognormalFromLognormal(X17,I17,$AB$3)</f>
        <v>0.14327954273295379</v>
      </c>
      <c r="Z17" s="5">
        <f ca="1">_xll.meMathVolatilityToNormalFromShiftedLognormal($Z$3,$I17,$AB$3)</f>
        <v>8.2546949999999994E-3</v>
      </c>
      <c r="AA17" s="5"/>
      <c r="AB17" s="5"/>
    </row>
    <row r="18" spans="1:28" x14ac:dyDescent="0.25">
      <c r="A18" s="32" t="e">
        <f>IF(SUM(#REF!)+t_i&lt;=T,TRUE,FALSE)</f>
        <v>#REF!</v>
      </c>
      <c r="B18" s="14">
        <v>13</v>
      </c>
      <c r="C18" s="26">
        <v>44668.0625</v>
      </c>
      <c r="D18" s="27">
        <v>44576.75</v>
      </c>
      <c r="E18" s="27">
        <v>44668.0625</v>
      </c>
      <c r="F18" s="27">
        <v>44668.0625</v>
      </c>
      <c r="G18" s="28">
        <v>3.25</v>
      </c>
      <c r="H18" s="29">
        <v>1000000</v>
      </c>
      <c r="I18" s="33">
        <v>2.51726E-2</v>
      </c>
      <c r="J18" s="46">
        <v>6.05E-5</v>
      </c>
      <c r="K18" s="33">
        <f t="shared" ca="1" si="1"/>
        <v>2.5233100000000001E-2</v>
      </c>
      <c r="L18" s="28">
        <v>0</v>
      </c>
      <c r="M18" s="30">
        <f t="shared" ca="1" si="2"/>
        <v>2.5233100000000001E-2</v>
      </c>
      <c r="N18" s="28">
        <v>0.25</v>
      </c>
      <c r="O18" s="31">
        <v>0.92665500000000001</v>
      </c>
      <c r="P18" s="29">
        <f t="shared" si="3"/>
        <v>75810.52587225</v>
      </c>
      <c r="Q18" s="36">
        <f t="shared" ca="1" si="0"/>
        <v>75992.729411625012</v>
      </c>
      <c r="R18" s="32" t="e">
        <f>IF(SUM(N$6:N17)+t_j&lt;=T,TRUE,FALSE)</f>
        <v>#REF!</v>
      </c>
      <c r="S18" s="17"/>
      <c r="T18" s="48">
        <f ca="1">_xll.meMathLiborRateInArrears(I18,$G$6,G18,$U$3,$T$3)</f>
        <v>2.5232507642988261E-2</v>
      </c>
      <c r="U18" s="48">
        <f ca="1">_xll.meMathLiborConvexityAdjustmentInArrears(I18,$G$6,G18,$U$3,$T$3,,$J$3)</f>
        <v>5.0766369968587716E-5</v>
      </c>
      <c r="V18" s="5"/>
      <c r="W18" s="5">
        <f ca="1">_xll.meMathVolatilityToNormalFromLognormal($W$3,$I18)</f>
        <v>7.9293690000000003E-3</v>
      </c>
      <c r="X18" s="5">
        <f ca="1">_xll.meMathVolatilityToLognormalFromNormal(W18,$I18)</f>
        <v>0.315</v>
      </c>
      <c r="Y18" s="5">
        <f ca="1">_xll.meMathVolatilityToShiftedLognormalFromLognormal(X18,I18,$AB$3)</f>
        <v>0.14371932807226775</v>
      </c>
      <c r="Z18" s="5">
        <f ca="1">_xll.meMathVolatilityToNormalFromShiftedLognormal($Z$3,$I18,$AB$3)</f>
        <v>8.2758899999999993E-3</v>
      </c>
      <c r="AA18" s="5"/>
      <c r="AB18" s="5"/>
    </row>
    <row r="19" spans="1:28" x14ac:dyDescent="0.25">
      <c r="A19" s="32" t="e">
        <f>IF(SUM(#REF!)+t_i&lt;=T,TRUE,FALSE)</f>
        <v>#REF!</v>
      </c>
      <c r="B19" s="14">
        <v>14</v>
      </c>
      <c r="C19" s="26">
        <v>44759.375</v>
      </c>
      <c r="D19" s="27">
        <v>44668.0625</v>
      </c>
      <c r="E19" s="27">
        <v>44759.375</v>
      </c>
      <c r="F19" s="27">
        <v>44759.375</v>
      </c>
      <c r="G19" s="28">
        <v>3.5</v>
      </c>
      <c r="H19" s="29">
        <v>1000000</v>
      </c>
      <c r="I19" s="33">
        <v>2.5345800000000002E-2</v>
      </c>
      <c r="J19" s="46">
        <v>6.7000000000000002E-5</v>
      </c>
      <c r="K19" s="33">
        <f t="shared" ca="1" si="1"/>
        <v>2.5412800000000003E-2</v>
      </c>
      <c r="L19" s="28">
        <v>0</v>
      </c>
      <c r="M19" s="30">
        <f t="shared" ca="1" si="2"/>
        <v>2.5412800000000003E-2</v>
      </c>
      <c r="N19" s="28">
        <v>0.25</v>
      </c>
      <c r="O19" s="31">
        <v>0.92149800000000004</v>
      </c>
      <c r="P19" s="29">
        <f t="shared" si="3"/>
        <v>81746.364029400022</v>
      </c>
      <c r="Q19" s="36">
        <f t="shared" ca="1" si="0"/>
        <v>81962.455310400022</v>
      </c>
      <c r="R19" s="32" t="e">
        <f>IF(SUM(N$6:N18)+t_j&lt;=T,TRUE,FALSE)</f>
        <v>#REF!</v>
      </c>
      <c r="S19" s="17"/>
      <c r="T19" s="48">
        <f ca="1">_xll.meMathLiborRateInArrears(I19,$G$6,G19,$U$3,$T$3)</f>
        <v>2.5412066004104894E-2</v>
      </c>
      <c r="U19" s="48">
        <f ca="1">_xll.meMathLiborConvexityAdjustmentInArrears(I19,$G$6,G19,$U$3,$T$3,,$J$3)</f>
        <v>5.5424012564250086E-5</v>
      </c>
      <c r="V19" s="5"/>
      <c r="W19" s="5">
        <f ca="1">_xll.meMathVolatilityToNormalFromLognormal($W$3,$I19)</f>
        <v>7.983927E-3</v>
      </c>
      <c r="X19" s="5">
        <f ca="1">_xll.meMathVolatilityToLognormalFromNormal(W19,$I19)</f>
        <v>0.315</v>
      </c>
      <c r="Y19" s="5">
        <f ca="1">_xll.meMathVolatilityToShiftedLognormalFromLognormal(X19,I19,$AB$3)</f>
        <v>0.14425533644829419</v>
      </c>
      <c r="Z19" s="5">
        <f ca="1">_xll.meMathVolatilityToNormalFromShiftedLognormal($Z$3,$I19,$AB$3)</f>
        <v>8.3018699999999994E-3</v>
      </c>
      <c r="AA19" s="5"/>
      <c r="AB19" s="5"/>
    </row>
    <row r="20" spans="1:28" x14ac:dyDescent="0.25">
      <c r="A20" s="32" t="e">
        <f>IF(SUM(#REF!)+t_i&lt;=T,TRUE,FALSE)</f>
        <v>#REF!</v>
      </c>
      <c r="B20" s="14">
        <v>15</v>
      </c>
      <c r="C20" s="26">
        <v>44850.6875</v>
      </c>
      <c r="D20" s="27">
        <v>44759.375</v>
      </c>
      <c r="E20" s="27">
        <v>44850.6875</v>
      </c>
      <c r="F20" s="27">
        <v>44850.6875</v>
      </c>
      <c r="G20" s="28">
        <v>3.75</v>
      </c>
      <c r="H20" s="29">
        <v>1000000</v>
      </c>
      <c r="I20" s="33">
        <v>2.5553499999999996E-2</v>
      </c>
      <c r="J20" s="46">
        <v>7.1799999999999997E-5</v>
      </c>
      <c r="K20" s="33">
        <f t="shared" ca="1" si="1"/>
        <v>2.5625299999999997E-2</v>
      </c>
      <c r="L20" s="28">
        <v>0</v>
      </c>
      <c r="M20" s="30">
        <f t="shared" ca="1" si="2"/>
        <v>2.5625299999999997E-2</v>
      </c>
      <c r="N20" s="28">
        <v>0.25</v>
      </c>
      <c r="O20" s="31">
        <v>0.91622899999999996</v>
      </c>
      <c r="P20" s="29">
        <f t="shared" si="3"/>
        <v>87798.21656812499</v>
      </c>
      <c r="Q20" s="36">
        <f t="shared" ca="1" si="0"/>
        <v>88044.911226374985</v>
      </c>
      <c r="R20" s="32" t="e">
        <f>IF(SUM(N$6:N19)+t_j&lt;=T,TRUE,FALSE)</f>
        <v>#REF!</v>
      </c>
      <c r="S20" s="17"/>
      <c r="T20" s="48">
        <f ca="1">_xll.meMathLiborRateInArrears(I20,$G$6,G20,$U$3,$T$3)</f>
        <v>2.5626618825911895E-2</v>
      </c>
      <c r="U20" s="48">
        <f ca="1">_xll.meMathLiborConvexityAdjustmentInArrears(I20,$G$6,G20,$U$3,$T$3,,$J$3)</f>
        <v>6.035698786756305E-5</v>
      </c>
      <c r="V20" s="5"/>
      <c r="W20" s="5">
        <f ca="1">_xll.meMathVolatilityToNormalFromLognormal($W$3,$I20)</f>
        <v>8.0493524999999989E-3</v>
      </c>
      <c r="X20" s="5">
        <f ca="1">_xll.meMathVolatilityToLognormalFromNormal(W20,$I20)</f>
        <v>0.315</v>
      </c>
      <c r="Y20" s="5">
        <f ca="1">_xll.meMathVolatilityToShiftedLognormalFromLognormal(X20,I20,$AB$3)</f>
        <v>0.14489370606712448</v>
      </c>
      <c r="Z20" s="5">
        <f ca="1">_xll.meMathVolatilityToNormalFromShiftedLognormal($Z$3,$I20,$AB$3)</f>
        <v>8.3330249999999991E-3</v>
      </c>
      <c r="AA20" s="5"/>
      <c r="AB20" s="5"/>
    </row>
    <row r="21" spans="1:28" x14ac:dyDescent="0.25">
      <c r="A21" s="32" t="e">
        <f>IF(SUM(#REF!)+t_i&lt;=T,TRUE,FALSE)</f>
        <v>#REF!</v>
      </c>
      <c r="B21" s="14">
        <v>16</v>
      </c>
      <c r="C21" s="26">
        <v>44942</v>
      </c>
      <c r="D21" s="27">
        <v>44850.6875</v>
      </c>
      <c r="E21" s="27">
        <v>44942</v>
      </c>
      <c r="F21" s="27">
        <v>44942</v>
      </c>
      <c r="G21" s="28">
        <v>4</v>
      </c>
      <c r="H21" s="29">
        <v>1000000</v>
      </c>
      <c r="I21" s="33">
        <v>2.57825E-2</v>
      </c>
      <c r="J21" s="46">
        <v>7.9000000000000009E-5</v>
      </c>
      <c r="K21" s="33">
        <f t="shared" ca="1" si="1"/>
        <v>2.5861499999999999E-2</v>
      </c>
      <c r="L21" s="28">
        <v>0</v>
      </c>
      <c r="M21" s="30">
        <f t="shared" ca="1" si="2"/>
        <v>2.5861499999999999E-2</v>
      </c>
      <c r="N21" s="28">
        <v>0.25</v>
      </c>
      <c r="O21" s="31">
        <v>0.91096200000000005</v>
      </c>
      <c r="P21" s="29">
        <f t="shared" si="3"/>
        <v>93947.511060000004</v>
      </c>
      <c r="Q21" s="36">
        <f t="shared" ca="1" si="0"/>
        <v>94235.375052000003</v>
      </c>
      <c r="R21" s="32" t="e">
        <f>IF(SUM(N$6:N20)+t_j&lt;=T,TRUE,FALSE)</f>
        <v>#REF!</v>
      </c>
      <c r="S21" s="17"/>
      <c r="T21" s="48">
        <f ca="1">_xll.meMathLiborRateInArrears(I21,$G$6,G21,$U$3,$T$3)</f>
        <v>2.5862947665260896E-2</v>
      </c>
      <c r="U21" s="48">
        <f ca="1">_xll.meMathLiborConvexityAdjustmentInArrears(I21,$G$6,G21,$U$3,$T$3,,$J$3)</f>
        <v>6.5536137844168091E-5</v>
      </c>
      <c r="V21" s="5"/>
      <c r="W21" s="5">
        <f ca="1">_xll.meMathVolatilityToNormalFromLognormal($W$3,$I21)</f>
        <v>8.1214874999999999E-3</v>
      </c>
      <c r="X21" s="5">
        <f ca="1">_xll.meMathVolatilityToLognormalFromNormal(W21,$I21)</f>
        <v>0.315</v>
      </c>
      <c r="Y21" s="5">
        <f ca="1">_xll.meMathVolatilityToShiftedLognormalFromLognormal(X21,I21,$AB$3)</f>
        <v>0.14559203155111369</v>
      </c>
      <c r="Z21" s="5">
        <f ca="1">_xll.meMathVolatilityToNormalFromShiftedLognormal($Z$3,$I21,$AB$3)</f>
        <v>8.3673749999999998E-3</v>
      </c>
      <c r="AA21" s="5"/>
      <c r="AB21" s="5"/>
    </row>
    <row r="22" spans="1:28" x14ac:dyDescent="0.25">
      <c r="A22" s="32" t="e">
        <f>IF(SUM(#REF!)+t_i&lt;=T,TRUE,FALSE)</f>
        <v>#REF!</v>
      </c>
      <c r="B22" s="14">
        <v>17</v>
      </c>
      <c r="C22" s="26">
        <v>45033.3125</v>
      </c>
      <c r="D22" s="27">
        <v>44942</v>
      </c>
      <c r="E22" s="27">
        <v>45033.3125</v>
      </c>
      <c r="F22" s="27">
        <v>45033.3125</v>
      </c>
      <c r="G22" s="28">
        <v>4.25</v>
      </c>
      <c r="H22" s="29">
        <v>1000000</v>
      </c>
      <c r="I22" s="33">
        <v>2.6010700000000001E-2</v>
      </c>
      <c r="J22" s="46">
        <v>8.6199999999999995E-5</v>
      </c>
      <c r="K22" s="33">
        <f t="shared" ca="1" si="1"/>
        <v>2.6096900000000003E-2</v>
      </c>
      <c r="L22" s="28">
        <v>0</v>
      </c>
      <c r="M22" s="30">
        <f t="shared" ca="1" si="2"/>
        <v>2.6096900000000003E-2</v>
      </c>
      <c r="N22" s="28">
        <v>0.25</v>
      </c>
      <c r="O22" s="31">
        <v>0.90581</v>
      </c>
      <c r="P22" s="29">
        <f t="shared" si="3"/>
        <v>100133.19670975</v>
      </c>
      <c r="Q22" s="36">
        <f t="shared" ca="1" si="0"/>
        <v>100465.04020325001</v>
      </c>
      <c r="R22" s="32" t="e">
        <f>IF(SUM(N$6:N21)+t_j&lt;=T,TRUE,FALSE)</f>
        <v>#REF!</v>
      </c>
      <c r="S22" s="17"/>
      <c r="T22" s="48">
        <f ca="1">_xll.meMathLiborRateInArrears(I22,$G$6,G22,$U$3,$T$3)</f>
        <v>2.609885051191424E-2</v>
      </c>
      <c r="U22" s="48">
        <f ca="1">_xll.meMathLiborConvexityAdjustmentInArrears(I22,$G$6,G22,$U$3,$T$3,,$J$3)</f>
        <v>7.0866207742232429E-5</v>
      </c>
      <c r="V22" s="5"/>
      <c r="W22" s="5">
        <f ca="1">_xll.meMathVolatilityToNormalFromLognormal($W$3,$I22)</f>
        <v>8.1933704999999999E-3</v>
      </c>
      <c r="X22" s="5">
        <f ca="1">_xll.meMathVolatilityToLognormalFromNormal(W22,$I22)</f>
        <v>0.315</v>
      </c>
      <c r="Y22" s="5">
        <f ca="1">_xll.meMathVolatilityToShiftedLognormalFromLognormal(X22,I22,$AB$3)</f>
        <v>0.14628223714397429</v>
      </c>
      <c r="Z22" s="5">
        <f ca="1">_xll.meMathVolatilityToNormalFromShiftedLognormal($Z$3,$I22,$AB$3)</f>
        <v>8.4016049999999995E-3</v>
      </c>
      <c r="AA22" s="5"/>
      <c r="AB22" s="5"/>
    </row>
    <row r="23" spans="1:28" x14ac:dyDescent="0.25">
      <c r="A23" s="32" t="e">
        <f>IF(SUM(#REF!)+t_i&lt;=T,TRUE,FALSE)</f>
        <v>#REF!</v>
      </c>
      <c r="B23" s="14">
        <v>18</v>
      </c>
      <c r="C23" s="26">
        <v>45124.625</v>
      </c>
      <c r="D23" s="27">
        <v>45033.3125</v>
      </c>
      <c r="E23" s="27">
        <v>45124.625</v>
      </c>
      <c r="F23" s="27">
        <v>45124.625</v>
      </c>
      <c r="G23" s="28">
        <v>4.5</v>
      </c>
      <c r="H23" s="29">
        <v>1000000</v>
      </c>
      <c r="I23" s="33">
        <v>2.6232099999999998E-2</v>
      </c>
      <c r="J23" s="46">
        <v>9.2800000000000006E-5</v>
      </c>
      <c r="K23" s="33">
        <f t="shared" ca="1" si="1"/>
        <v>2.6324899999999998E-2</v>
      </c>
      <c r="L23" s="28">
        <v>0</v>
      </c>
      <c r="M23" s="30">
        <f t="shared" ca="1" si="2"/>
        <v>2.6324899999999998E-2</v>
      </c>
      <c r="N23" s="28">
        <v>0.25</v>
      </c>
      <c r="O23" s="31">
        <v>0.90059599999999995</v>
      </c>
      <c r="P23" s="29">
        <f t="shared" si="3"/>
        <v>106310.35949219999</v>
      </c>
      <c r="Q23" s="36">
        <f t="shared" ca="1" si="0"/>
        <v>106686.44838179999</v>
      </c>
      <c r="R23" s="32" t="e">
        <f>IF(SUM(N$6:N22)+t_j&lt;=T,TRUE,FALSE)</f>
        <v>#REF!</v>
      </c>
      <c r="S23" s="17"/>
      <c r="T23" s="48">
        <f ca="1">_xll.meMathLiborRateInArrears(I23,$G$6,G23,$U$3,$T$3)</f>
        <v>2.6328297037408126E-2</v>
      </c>
      <c r="U23" s="48">
        <f ca="1">_xll.meMathLiborConvexityAdjustmentInArrears(I23,$G$6,G23,$U$3,$T$3,,$J$3)</f>
        <v>7.6313422784655971E-5</v>
      </c>
      <c r="V23" s="5"/>
      <c r="W23" s="5">
        <f ca="1">_xll.meMathVolatilityToNormalFromLognormal($W$3,$I23)</f>
        <v>8.2631114999999998E-3</v>
      </c>
      <c r="X23" s="5">
        <f ca="1">_xll.meMathVolatilityToLognormalFromNormal(W23,$I23)</f>
        <v>0.315</v>
      </c>
      <c r="Y23" s="5">
        <f ca="1">_xll.meMathVolatilityToShiftedLognormalFromLognormal(X23,I23,$AB$3)</f>
        <v>0.14694652164866687</v>
      </c>
      <c r="Z23" s="5">
        <f ca="1">_xll.meMathVolatilityToNormalFromShiftedLognormal($Z$3,$I23,$AB$3)</f>
        <v>8.4348149999999983E-3</v>
      </c>
      <c r="AA23" s="5"/>
      <c r="AB23" s="5"/>
    </row>
    <row r="24" spans="1:28" x14ac:dyDescent="0.25">
      <c r="A24" s="32" t="e">
        <f>IF(SUM(#REF!)+t_i&lt;=T,TRUE,FALSE)</f>
        <v>#REF!</v>
      </c>
      <c r="B24" s="14">
        <v>19</v>
      </c>
      <c r="C24" s="26">
        <v>45215.9375</v>
      </c>
      <c r="D24" s="27">
        <v>45124.625</v>
      </c>
      <c r="E24" s="27">
        <v>45215.9375</v>
      </c>
      <c r="F24" s="27">
        <v>45215.9375</v>
      </c>
      <c r="G24" s="28">
        <v>4.75</v>
      </c>
      <c r="H24" s="29">
        <v>1000000</v>
      </c>
      <c r="I24" s="33">
        <v>2.6444200000000001E-2</v>
      </c>
      <c r="J24" s="46">
        <v>9.8600000000000011E-5</v>
      </c>
      <c r="K24" s="33">
        <f t="shared" ca="1" si="1"/>
        <v>2.6542800000000002E-2</v>
      </c>
      <c r="L24" s="28">
        <v>0</v>
      </c>
      <c r="M24" s="30">
        <f t="shared" ca="1" si="2"/>
        <v>2.6542800000000002E-2</v>
      </c>
      <c r="N24" s="28">
        <v>0.25</v>
      </c>
      <c r="O24" s="31">
        <v>0.89531300000000003</v>
      </c>
      <c r="P24" s="29">
        <f t="shared" si="3"/>
        <v>112460.22116435</v>
      </c>
      <c r="Q24" s="36">
        <f t="shared" ca="1" si="0"/>
        <v>112879.54100790001</v>
      </c>
      <c r="R24" s="32" t="e">
        <f>IF(SUM(N$6:N23)+t_j&lt;=T,TRUE,FALSE)</f>
        <v>#REF!</v>
      </c>
      <c r="S24" s="17"/>
      <c r="T24" s="48">
        <f ca="1">_xll.meMathLiborRateInArrears(I24,$G$6,G24,$U$3,$T$3)</f>
        <v>2.6548771137349395E-2</v>
      </c>
      <c r="U24" s="48">
        <f ca="1">_xll.meMathLiborConvexityAdjustmentInArrears(I24,$G$6,G24,$U$3,$T$3,,$J$3)</f>
        <v>8.185663708767249E-5</v>
      </c>
      <c r="V24" s="5"/>
      <c r="W24" s="5">
        <f ca="1">_xll.meMathVolatilityToNormalFromLognormal($W$3,$I24)</f>
        <v>8.3299230000000012E-3</v>
      </c>
      <c r="X24" s="5">
        <f ca="1">_xll.meMathVolatilityToLognormalFromNormal(W24,$I24)</f>
        <v>0.31500000000000006</v>
      </c>
      <c r="Y24" s="5">
        <f ca="1">_xll.meMathVolatilityToShiftedLognormalFromLognormal(X24,I24,$AB$3)</f>
        <v>0.14757801510164023</v>
      </c>
      <c r="Z24" s="5">
        <f ca="1">_xll.meMathVolatilityToNormalFromShiftedLognormal($Z$3,$I24,$AB$3)</f>
        <v>8.4666299999999993E-3</v>
      </c>
      <c r="AA24" s="5"/>
      <c r="AB24" s="5"/>
    </row>
    <row r="25" spans="1:28" x14ac:dyDescent="0.25">
      <c r="A25" s="32" t="e">
        <f>IF(SUM(#REF!)+t_i&lt;=T,TRUE,FALSE)</f>
        <v>#REF!</v>
      </c>
      <c r="B25" s="14">
        <v>20</v>
      </c>
      <c r="C25" s="37">
        <v>45307.25</v>
      </c>
      <c r="D25" s="38">
        <v>45215.9375</v>
      </c>
      <c r="E25" s="38">
        <v>45307.25</v>
      </c>
      <c r="F25" s="38">
        <v>45307.25</v>
      </c>
      <c r="G25" s="39">
        <v>5</v>
      </c>
      <c r="H25" s="40">
        <v>1000000</v>
      </c>
      <c r="I25" s="43">
        <v>2.6646400000000001E-2</v>
      </c>
      <c r="J25" s="47">
        <v>1.055E-4</v>
      </c>
      <c r="K25" s="43">
        <f t="shared" ca="1" si="1"/>
        <v>2.6751900000000002E-2</v>
      </c>
      <c r="L25" s="39">
        <v>0</v>
      </c>
      <c r="M25" s="41">
        <f t="shared" ca="1" si="2"/>
        <v>2.6751900000000002E-2</v>
      </c>
      <c r="N25" s="39">
        <v>0.25</v>
      </c>
      <c r="O25" s="42">
        <v>0.890011</v>
      </c>
      <c r="P25" s="40">
        <f t="shared" si="3"/>
        <v>118577.945552</v>
      </c>
      <c r="Q25" s="44">
        <f t="shared" ca="1" si="0"/>
        <v>119047.4263545</v>
      </c>
      <c r="R25" s="32" t="e">
        <f>IF(SUM(N$6:N24)+t_j&lt;=T,TRUE,FALSE)</f>
        <v>#REF!</v>
      </c>
      <c r="S25" s="17"/>
      <c r="T25" s="48">
        <f ca="1">_xll.meMathLiborRateInArrears(I25,$G$6,G25,$U$3,$T$3)</f>
        <v>2.6759666591268081E-2</v>
      </c>
      <c r="U25" s="48">
        <f ca="1">_xll.meMathLiborConvexityAdjustmentInArrears(I25,$G$6,G25,$U$3,$T$3,,$J$3)</f>
        <v>8.7483208800576834E-5</v>
      </c>
      <c r="V25" s="5"/>
      <c r="W25" s="5">
        <f ca="1">_xll.meMathVolatilityToNormalFromLognormal($W$3,$I25)</f>
        <v>8.3936159999999996E-3</v>
      </c>
      <c r="X25" s="5">
        <f ca="1">_xll.meMathVolatilityToLognormalFromNormal(W25,$I25)</f>
        <v>0.315</v>
      </c>
      <c r="Y25" s="5">
        <f ca="1">_xll.meMathVolatilityToShiftedLognormalFromLognormal(X25,I25,$AB$3)</f>
        <v>0.14817562987233079</v>
      </c>
      <c r="Z25" s="5">
        <f ca="1">_xll.meMathVolatilityToNormalFromShiftedLognormal($Z$3,$I25,$AB$3)</f>
        <v>8.4969599999999996E-3</v>
      </c>
      <c r="AA25" s="5"/>
      <c r="AB25" s="5"/>
    </row>
    <row r="32" spans="1:28" x14ac:dyDescent="0.25">
      <c r="I32" s="2"/>
    </row>
  </sheetData>
  <dataValidations count="2">
    <dataValidation type="list" allowBlank="1" showInputMessage="1" showErrorMessage="1" sqref="T3">
      <formula1>"NORMAL,LOGNORMAL, SHIFTED_LOGNORMAL"</formula1>
    </dataValidation>
    <dataValidation type="list" allowBlank="1" showInputMessage="1" showErrorMessage="1" sqref="J3">
      <formula1>"TRUE,FALSE"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Libor In-Arrears</vt:lpstr>
      <vt:lpstr>PVlets_Float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2019-01-16T13:18:54Z</dcterms:created>
  <dcterms:modified xsi:type="dcterms:W3CDTF">2019-03-06T16:22:50Z</dcterms:modified>
</cp:coreProperties>
</file>