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00" windowHeight="11760"/>
  </bookViews>
  <sheets>
    <sheet name="Sheet1" sheetId="1" r:id="rId1"/>
    <sheet name="Sheet2" sheetId="2" r:id="rId2"/>
    <sheet name="Sheet3" sheetId="3" r:id="rId3"/>
  </sheets>
  <calcPr calcId="145621" calcMode="manual" calcCompleted="0" calcOnSave="0"/>
</workbook>
</file>

<file path=xl/calcChain.xml><?xml version="1.0" encoding="utf-8"?>
<calcChain xmlns="http://schemas.openxmlformats.org/spreadsheetml/2006/main">
  <c r="J9" i="1" l="1"/>
  <c r="O208" i="1"/>
  <c r="O200" i="1"/>
  <c r="O192" i="1"/>
  <c r="O207" i="1"/>
  <c r="O199" i="1"/>
  <c r="O54" i="1"/>
  <c r="O206" i="1"/>
  <c r="O198" i="1"/>
  <c r="O190" i="1"/>
  <c r="O182" i="1"/>
  <c r="O174" i="1"/>
  <c r="O166" i="1"/>
  <c r="O158" i="1"/>
  <c r="O150" i="1"/>
  <c r="O142" i="1"/>
  <c r="O134" i="1"/>
  <c r="O126" i="1"/>
  <c r="O118" i="1"/>
  <c r="O110" i="1"/>
  <c r="O102" i="1"/>
  <c r="O94" i="1"/>
  <c r="O196" i="1"/>
  <c r="O172" i="1"/>
  <c r="O156" i="1"/>
  <c r="O140" i="1"/>
  <c r="O116" i="1"/>
  <c r="O100" i="1"/>
  <c r="O84" i="1"/>
  <c r="O68" i="1"/>
  <c r="O52" i="1"/>
  <c r="O36" i="1"/>
  <c r="O20" i="1"/>
  <c r="O205" i="1"/>
  <c r="O197" i="1"/>
  <c r="O189" i="1"/>
  <c r="O181" i="1"/>
  <c r="O173" i="1"/>
  <c r="O165" i="1"/>
  <c r="O157" i="1"/>
  <c r="O149" i="1"/>
  <c r="O141" i="1"/>
  <c r="O133" i="1"/>
  <c r="O125" i="1"/>
  <c r="O117" i="1"/>
  <c r="O109" i="1"/>
  <c r="O101" i="1"/>
  <c r="O93" i="1"/>
  <c r="O85" i="1"/>
  <c r="O77" i="1"/>
  <c r="O180" i="1"/>
  <c r="O124" i="1"/>
  <c r="O202" i="1"/>
  <c r="O194" i="1"/>
  <c r="O186" i="1"/>
  <c r="O178" i="1"/>
  <c r="O170" i="1"/>
  <c r="O162" i="1"/>
  <c r="O154" i="1"/>
  <c r="O146" i="1"/>
  <c r="O138" i="1"/>
  <c r="O130" i="1"/>
  <c r="O122" i="1"/>
  <c r="O114" i="1"/>
  <c r="O106" i="1"/>
  <c r="O98" i="1"/>
  <c r="O90" i="1"/>
  <c r="O82" i="1"/>
  <c r="O74" i="1"/>
  <c r="O66" i="1"/>
  <c r="O58" i="1"/>
  <c r="O50" i="1"/>
  <c r="O42" i="1"/>
  <c r="O34" i="1"/>
  <c r="O26" i="1"/>
  <c r="O18" i="1"/>
  <c r="O10" i="1"/>
  <c r="O201" i="1"/>
  <c r="O193" i="1"/>
  <c r="O185" i="1"/>
  <c r="O177" i="1"/>
  <c r="O169" i="1"/>
  <c r="O161" i="1"/>
  <c r="O153" i="1"/>
  <c r="O145" i="1"/>
  <c r="O137" i="1"/>
  <c r="O129" i="1"/>
  <c r="O121" i="1"/>
  <c r="O113" i="1"/>
  <c r="O105" i="1"/>
  <c r="O97" i="1"/>
  <c r="O89" i="1"/>
  <c r="O81" i="1"/>
  <c r="O73" i="1"/>
  <c r="O65" i="1"/>
  <c r="O57" i="1"/>
  <c r="O49" i="1"/>
  <c r="O41" i="1"/>
  <c r="O33" i="1"/>
  <c r="O25" i="1"/>
  <c r="O17" i="1"/>
  <c r="O9" i="1"/>
  <c r="O184" i="1"/>
  <c r="O176" i="1"/>
  <c r="O168" i="1"/>
  <c r="O160" i="1"/>
  <c r="O152" i="1"/>
  <c r="O144" i="1"/>
  <c r="O136" i="1"/>
  <c r="O128" i="1"/>
  <c r="O120" i="1"/>
  <c r="O112" i="1"/>
  <c r="O104" i="1"/>
  <c r="O96" i="1"/>
  <c r="O88" i="1"/>
  <c r="O80" i="1"/>
  <c r="O72" i="1"/>
  <c r="O64" i="1"/>
  <c r="O56" i="1"/>
  <c r="O48" i="1"/>
  <c r="O40" i="1"/>
  <c r="O32" i="1"/>
  <c r="O24" i="1"/>
  <c r="O16" i="1"/>
  <c r="O8" i="1"/>
  <c r="O191" i="1"/>
  <c r="O183" i="1"/>
  <c r="O175" i="1"/>
  <c r="O167" i="1"/>
  <c r="O159" i="1"/>
  <c r="O151" i="1"/>
  <c r="O143" i="1"/>
  <c r="O135" i="1"/>
  <c r="O127" i="1"/>
  <c r="O119" i="1"/>
  <c r="O111" i="1"/>
  <c r="O103" i="1"/>
  <c r="O95" i="1"/>
  <c r="O87" i="1"/>
  <c r="O79" i="1"/>
  <c r="O71" i="1"/>
  <c r="O63" i="1"/>
  <c r="O55" i="1"/>
  <c r="O47" i="1"/>
  <c r="O39" i="1"/>
  <c r="O31" i="1"/>
  <c r="O23" i="1"/>
  <c r="O15" i="1"/>
  <c r="O86" i="1"/>
  <c r="O78" i="1"/>
  <c r="O70" i="1"/>
  <c r="O62" i="1"/>
  <c r="O46" i="1"/>
  <c r="O38" i="1"/>
  <c r="O30" i="1"/>
  <c r="O22" i="1"/>
  <c r="O14" i="1"/>
  <c r="O69" i="1"/>
  <c r="O61" i="1"/>
  <c r="O53" i="1"/>
  <c r="O45" i="1"/>
  <c r="O37" i="1"/>
  <c r="O29" i="1"/>
  <c r="O21" i="1"/>
  <c r="O13" i="1"/>
  <c r="O204" i="1"/>
  <c r="O188" i="1"/>
  <c r="O164" i="1"/>
  <c r="O148" i="1"/>
  <c r="O132" i="1"/>
  <c r="O108" i="1"/>
  <c r="O92" i="1"/>
  <c r="O76" i="1"/>
  <c r="O60" i="1"/>
  <c r="O44" i="1"/>
  <c r="O28" i="1"/>
  <c r="O12" i="1"/>
  <c r="O203" i="1"/>
  <c r="O195" i="1"/>
  <c r="O187" i="1"/>
  <c r="O123" i="1"/>
  <c r="O59" i="1"/>
  <c r="O179" i="1"/>
  <c r="O115" i="1"/>
  <c r="O51" i="1"/>
  <c r="O107" i="1"/>
  <c r="O43" i="1"/>
  <c r="O91" i="1"/>
  <c r="O147" i="1"/>
  <c r="O83" i="1"/>
  <c r="O75" i="1"/>
  <c r="O67" i="1"/>
  <c r="O171" i="1"/>
  <c r="O19" i="1"/>
  <c r="O131" i="1"/>
  <c r="O163" i="1"/>
  <c r="O99" i="1"/>
  <c r="O35" i="1"/>
  <c r="O155" i="1"/>
  <c r="O27" i="1"/>
  <c r="O139" i="1"/>
  <c r="O11" i="1"/>
  <c r="D9" i="1"/>
  <c r="D17" i="1"/>
  <c r="D25" i="1"/>
  <c r="D33" i="1"/>
  <c r="D41" i="1"/>
  <c r="D49" i="1"/>
  <c r="D57" i="1"/>
  <c r="D65" i="1"/>
  <c r="D73" i="1"/>
  <c r="D81" i="1"/>
  <c r="D89" i="1"/>
  <c r="D97" i="1"/>
  <c r="D105" i="1"/>
  <c r="D113" i="1"/>
  <c r="D121" i="1"/>
  <c r="D129" i="1"/>
  <c r="D137" i="1"/>
  <c r="D145" i="1"/>
  <c r="D153" i="1"/>
  <c r="D161" i="1"/>
  <c r="D169" i="1"/>
  <c r="D177" i="1"/>
  <c r="D185" i="1"/>
  <c r="D193" i="1"/>
  <c r="D201" i="1"/>
  <c r="D13" i="1"/>
  <c r="D37" i="1"/>
  <c r="D69" i="1"/>
  <c r="D93" i="1"/>
  <c r="D117" i="1"/>
  <c r="D149" i="1"/>
  <c r="D181" i="1"/>
  <c r="D205" i="1"/>
  <c r="D38" i="1"/>
  <c r="D70" i="1"/>
  <c r="D102" i="1"/>
  <c r="D134" i="1"/>
  <c r="D158" i="1"/>
  <c r="D198" i="1"/>
  <c r="D10" i="1"/>
  <c r="D18" i="1"/>
  <c r="D26" i="1"/>
  <c r="D34" i="1"/>
  <c r="D42" i="1"/>
  <c r="D50" i="1"/>
  <c r="D58" i="1"/>
  <c r="D66" i="1"/>
  <c r="D74" i="1"/>
  <c r="D82" i="1"/>
  <c r="D90" i="1"/>
  <c r="D98" i="1"/>
  <c r="D106" i="1"/>
  <c r="D114" i="1"/>
  <c r="D122" i="1"/>
  <c r="D130" i="1"/>
  <c r="D138" i="1"/>
  <c r="D146" i="1"/>
  <c r="D154" i="1"/>
  <c r="D162" i="1"/>
  <c r="D170" i="1"/>
  <c r="D178" i="1"/>
  <c r="D186" i="1"/>
  <c r="D194" i="1"/>
  <c r="D202" i="1"/>
  <c r="D204" i="1"/>
  <c r="D29" i="1"/>
  <c r="D53" i="1"/>
  <c r="D85" i="1"/>
  <c r="D125" i="1"/>
  <c r="D157" i="1"/>
  <c r="D189" i="1"/>
  <c r="D30" i="1"/>
  <c r="D62" i="1"/>
  <c r="D94" i="1"/>
  <c r="D126" i="1"/>
  <c r="D150" i="1"/>
  <c r="D182" i="1"/>
  <c r="D11" i="1"/>
  <c r="D19" i="1"/>
  <c r="D27" i="1"/>
  <c r="D35" i="1"/>
  <c r="D43" i="1"/>
  <c r="D51" i="1"/>
  <c r="D59" i="1"/>
  <c r="D67" i="1"/>
  <c r="D75" i="1"/>
  <c r="D83" i="1"/>
  <c r="D91" i="1"/>
  <c r="D99" i="1"/>
  <c r="D107" i="1"/>
  <c r="D115" i="1"/>
  <c r="D123" i="1"/>
  <c r="D131" i="1"/>
  <c r="D139" i="1"/>
  <c r="D147" i="1"/>
  <c r="D155" i="1"/>
  <c r="D163" i="1"/>
  <c r="D171" i="1"/>
  <c r="D179" i="1"/>
  <c r="D187" i="1"/>
  <c r="D195" i="1"/>
  <c r="D203" i="1"/>
  <c r="D12" i="1"/>
  <c r="D20" i="1"/>
  <c r="D28" i="1"/>
  <c r="D36" i="1"/>
  <c r="D44" i="1"/>
  <c r="D52" i="1"/>
  <c r="D60" i="1"/>
  <c r="D68" i="1"/>
  <c r="D76" i="1"/>
  <c r="D84" i="1"/>
  <c r="D92" i="1"/>
  <c r="D100" i="1"/>
  <c r="D108" i="1"/>
  <c r="D116" i="1"/>
  <c r="D124" i="1"/>
  <c r="D132" i="1"/>
  <c r="D140" i="1"/>
  <c r="D148" i="1"/>
  <c r="D156" i="1"/>
  <c r="D164" i="1"/>
  <c r="D172" i="1"/>
  <c r="D180" i="1"/>
  <c r="D188" i="1"/>
  <c r="D196" i="1"/>
  <c r="D21" i="1"/>
  <c r="D45" i="1"/>
  <c r="D77" i="1"/>
  <c r="D109" i="1"/>
  <c r="D133" i="1"/>
  <c r="D173" i="1"/>
  <c r="D14" i="1"/>
  <c r="D46" i="1"/>
  <c r="D86" i="1"/>
  <c r="D118" i="1"/>
  <c r="D174" i="1"/>
  <c r="D206" i="1"/>
  <c r="D15" i="1"/>
  <c r="D23" i="1"/>
  <c r="D31" i="1"/>
  <c r="D39" i="1"/>
  <c r="D47" i="1"/>
  <c r="D55" i="1"/>
  <c r="D63" i="1"/>
  <c r="D71" i="1"/>
  <c r="D79" i="1"/>
  <c r="D87" i="1"/>
  <c r="D95" i="1"/>
  <c r="D103" i="1"/>
  <c r="D111" i="1"/>
  <c r="D119" i="1"/>
  <c r="D127" i="1"/>
  <c r="D135" i="1"/>
  <c r="D143" i="1"/>
  <c r="D151" i="1"/>
  <c r="D159" i="1"/>
  <c r="D167" i="1"/>
  <c r="D175" i="1"/>
  <c r="D183" i="1"/>
  <c r="D191" i="1"/>
  <c r="D199" i="1"/>
  <c r="D207" i="1"/>
  <c r="D8" i="1"/>
  <c r="D16" i="1"/>
  <c r="D24" i="1"/>
  <c r="D32" i="1"/>
  <c r="D40" i="1"/>
  <c r="D48" i="1"/>
  <c r="D56" i="1"/>
  <c r="D64" i="1"/>
  <c r="D72" i="1"/>
  <c r="D80" i="1"/>
  <c r="D88" i="1"/>
  <c r="D96" i="1"/>
  <c r="D104" i="1"/>
  <c r="D112" i="1"/>
  <c r="D120" i="1"/>
  <c r="D128" i="1"/>
  <c r="D136" i="1"/>
  <c r="D144" i="1"/>
  <c r="D152" i="1"/>
  <c r="D160" i="1"/>
  <c r="D168" i="1"/>
  <c r="D176" i="1"/>
  <c r="D184" i="1"/>
  <c r="D192" i="1"/>
  <c r="D200" i="1"/>
  <c r="D208" i="1"/>
  <c r="D61" i="1"/>
  <c r="D101" i="1"/>
  <c r="D141" i="1"/>
  <c r="D165" i="1"/>
  <c r="D197" i="1"/>
  <c r="D22" i="1"/>
  <c r="D54" i="1"/>
  <c r="D78" i="1"/>
  <c r="D110" i="1"/>
  <c r="D142" i="1"/>
  <c r="D166" i="1"/>
  <c r="D190" i="1"/>
  <c r="H8" i="1"/>
  <c r="C73" i="1"/>
  <c r="S73" i="1"/>
  <c r="N73" i="1"/>
  <c r="J10" i="1" l="1"/>
  <c r="P73" i="1"/>
  <c r="S11" i="1"/>
  <c r="N63" i="1"/>
  <c r="N11" i="1"/>
  <c r="S41" i="1"/>
  <c r="C14" i="1"/>
  <c r="S24" i="1"/>
  <c r="C33" i="1"/>
  <c r="C62" i="1"/>
  <c r="N46" i="1"/>
  <c r="S32" i="1"/>
  <c r="S30" i="1"/>
  <c r="N19" i="1"/>
  <c r="N16" i="1"/>
  <c r="N69" i="1"/>
  <c r="N48" i="1"/>
  <c r="C32" i="1"/>
  <c r="S72" i="1"/>
  <c r="S69" i="1"/>
  <c r="C52" i="1"/>
  <c r="S48" i="1"/>
  <c r="S47" i="1"/>
  <c r="N31" i="1"/>
  <c r="N20" i="1"/>
  <c r="N44" i="1"/>
  <c r="C59" i="1"/>
  <c r="S33" i="1"/>
  <c r="C28" i="1"/>
  <c r="C57" i="1"/>
  <c r="S44" i="1"/>
  <c r="N18" i="1"/>
  <c r="S62" i="1"/>
  <c r="S66" i="1"/>
  <c r="N49" i="1"/>
  <c r="N59" i="1"/>
  <c r="S68" i="1"/>
  <c r="C17" i="1"/>
  <c r="N74" i="1"/>
  <c r="C31" i="1"/>
  <c r="N55" i="1"/>
  <c r="S40" i="1"/>
  <c r="N36" i="1"/>
  <c r="S64" i="1"/>
  <c r="C13" i="1"/>
  <c r="C65" i="1"/>
  <c r="C20" i="1"/>
  <c r="S29" i="1"/>
  <c r="N30" i="1"/>
  <c r="N43" i="1"/>
  <c r="C18" i="1"/>
  <c r="S17" i="1"/>
  <c r="H11" i="1"/>
  <c r="S42" i="1"/>
  <c r="S59" i="1"/>
  <c r="N39" i="1"/>
  <c r="C64" i="1"/>
  <c r="N12" i="1"/>
  <c r="N32" i="1"/>
  <c r="N53" i="1"/>
  <c r="C61" i="1"/>
  <c r="H9" i="1"/>
  <c r="S14" i="1"/>
  <c r="N9" i="1"/>
  <c r="N34" i="1"/>
  <c r="C38" i="1"/>
  <c r="N60" i="1"/>
  <c r="C36" i="1"/>
  <c r="N21" i="1"/>
  <c r="S65" i="1"/>
  <c r="N52" i="1"/>
  <c r="N24" i="1"/>
  <c r="N68" i="1"/>
  <c r="N8" i="1"/>
  <c r="S45" i="1"/>
  <c r="N58" i="1"/>
  <c r="S31" i="1"/>
  <c r="S38" i="1"/>
  <c r="C10" i="1"/>
  <c r="C34" i="1"/>
  <c r="N71" i="1"/>
  <c r="S57" i="1"/>
  <c r="S26" i="1"/>
  <c r="N66" i="1"/>
  <c r="S23" i="1"/>
  <c r="S27" i="1"/>
  <c r="C71" i="1"/>
  <c r="N64" i="1"/>
  <c r="S28" i="1"/>
  <c r="N37" i="1"/>
  <c r="C15" i="1"/>
  <c r="N61" i="1"/>
  <c r="C68" i="1"/>
  <c r="S12" i="1"/>
  <c r="N14" i="1"/>
  <c r="S21" i="1"/>
  <c r="N54" i="1"/>
  <c r="S63" i="1"/>
  <c r="N70" i="1"/>
  <c r="N13" i="1"/>
  <c r="C39" i="1"/>
  <c r="C37" i="1"/>
  <c r="S58" i="1"/>
  <c r="C53" i="1"/>
  <c r="N28" i="1"/>
  <c r="S37" i="1"/>
  <c r="N23" i="1"/>
  <c r="C16" i="1"/>
  <c r="C27" i="1"/>
  <c r="N40" i="1"/>
  <c r="S25" i="1"/>
  <c r="C24" i="1"/>
  <c r="N65" i="1"/>
  <c r="N10" i="1"/>
  <c r="S8" i="1"/>
  <c r="C50" i="1"/>
  <c r="N38" i="1"/>
  <c r="S18" i="1"/>
  <c r="S71" i="1"/>
  <c r="C60" i="1"/>
  <c r="S36" i="1"/>
  <c r="S51" i="1"/>
  <c r="C29" i="1"/>
  <c r="S19" i="1"/>
  <c r="N41" i="1"/>
  <c r="C23" i="1"/>
  <c r="S22" i="1"/>
  <c r="S10" i="1"/>
  <c r="S50" i="1"/>
  <c r="C19" i="1"/>
  <c r="N62" i="1"/>
  <c r="C69" i="1"/>
  <c r="S20" i="1"/>
  <c r="S34" i="1"/>
  <c r="N45" i="1"/>
  <c r="N51" i="1"/>
  <c r="N67" i="1"/>
  <c r="N29" i="1"/>
  <c r="C25" i="1"/>
  <c r="N72" i="1"/>
  <c r="C45" i="1"/>
  <c r="C56" i="1"/>
  <c r="S60" i="1"/>
  <c r="S49" i="1"/>
  <c r="S43" i="1"/>
  <c r="N42" i="1"/>
  <c r="N47" i="1"/>
  <c r="C47" i="1"/>
  <c r="C66" i="1"/>
  <c r="N15" i="1"/>
  <c r="N26" i="1"/>
  <c r="C12" i="1"/>
  <c r="N57" i="1"/>
  <c r="N27" i="1"/>
  <c r="C70" i="1"/>
  <c r="C48" i="1"/>
  <c r="N56" i="1"/>
  <c r="C35" i="1"/>
  <c r="C11" i="1"/>
  <c r="N35" i="1"/>
  <c r="S56" i="1"/>
  <c r="S9" i="1"/>
  <c r="C63" i="1"/>
  <c r="S52" i="1"/>
  <c r="C67" i="1"/>
  <c r="C58" i="1"/>
  <c r="H10" i="1"/>
  <c r="S46" i="1"/>
  <c r="C49" i="1"/>
  <c r="C42" i="1"/>
  <c r="C9" i="1"/>
  <c r="C74" i="1"/>
  <c r="C54" i="1"/>
  <c r="S55" i="1"/>
  <c r="C41" i="1"/>
  <c r="C55" i="1"/>
  <c r="C22" i="1"/>
  <c r="N25" i="1"/>
  <c r="S39" i="1"/>
  <c r="S53" i="1"/>
  <c r="C43" i="1"/>
  <c r="S74" i="1"/>
  <c r="C51" i="1"/>
  <c r="S13" i="1"/>
  <c r="C21" i="1"/>
  <c r="N50" i="1"/>
  <c r="C30" i="1"/>
  <c r="N33" i="1"/>
  <c r="C44" i="1"/>
  <c r="S54" i="1"/>
  <c r="C46" i="1"/>
  <c r="N17" i="1"/>
  <c r="S15" i="1"/>
  <c r="C40" i="1"/>
  <c r="S16" i="1"/>
  <c r="N22" i="1"/>
  <c r="S35" i="1"/>
  <c r="C26" i="1"/>
  <c r="S61" i="1"/>
  <c r="S67" i="1"/>
  <c r="C72" i="1"/>
  <c r="C8" i="1"/>
  <c r="S70" i="1"/>
  <c r="K10" i="1" l="1"/>
  <c r="K9" i="1"/>
  <c r="J11" i="1"/>
  <c r="K11" i="1" s="1"/>
  <c r="P74" i="1"/>
  <c r="P34" i="1"/>
  <c r="P23" i="1"/>
  <c r="P21" i="1"/>
  <c r="P43" i="1"/>
  <c r="P68" i="1"/>
  <c r="P61" i="1"/>
  <c r="P64" i="1"/>
  <c r="P8" i="1"/>
  <c r="P9" i="1"/>
  <c r="P46" i="1"/>
  <c r="P62" i="1"/>
  <c r="P24" i="1"/>
  <c r="P58" i="1"/>
  <c r="P37" i="1"/>
  <c r="P69" i="1"/>
  <c r="P48" i="1"/>
  <c r="P55" i="1"/>
  <c r="P42" i="1"/>
  <c r="P45" i="1"/>
  <c r="P63" i="1"/>
  <c r="P41" i="1"/>
  <c r="P16" i="1"/>
  <c r="P60" i="1"/>
  <c r="P36" i="1"/>
  <c r="P72" i="1"/>
  <c r="P71" i="1"/>
  <c r="P70" i="1"/>
  <c r="T10" i="1"/>
  <c r="P22" i="1"/>
  <c r="P19" i="1"/>
  <c r="P33" i="1"/>
  <c r="P56" i="1"/>
  <c r="P67" i="1"/>
  <c r="P20" i="1"/>
  <c r="P11" i="1"/>
  <c r="P14" i="1"/>
  <c r="P57" i="1"/>
  <c r="P30" i="1"/>
  <c r="T9" i="1"/>
  <c r="P39" i="1"/>
  <c r="P12" i="1"/>
  <c r="P13" i="1"/>
  <c r="P66" i="1"/>
  <c r="P53" i="1"/>
  <c r="P32" i="1"/>
  <c r="P38" i="1"/>
  <c r="P49" i="1"/>
  <c r="P52" i="1"/>
  <c r="P10" i="1"/>
  <c r="P15" i="1"/>
  <c r="P65" i="1"/>
  <c r="P51" i="1"/>
  <c r="P59" i="1"/>
  <c r="P35" i="1"/>
  <c r="T11" i="1"/>
  <c r="P26" i="1"/>
  <c r="P28" i="1"/>
  <c r="P17" i="1"/>
  <c r="T8" i="1"/>
  <c r="P54" i="1"/>
  <c r="P47" i="1"/>
  <c r="P44" i="1"/>
  <c r="P27" i="1"/>
  <c r="P31" i="1"/>
  <c r="P18" i="1"/>
  <c r="P40" i="1"/>
  <c r="P29" i="1"/>
  <c r="P25" i="1"/>
  <c r="P50" i="1"/>
  <c r="S75" i="1"/>
  <c r="N75" i="1"/>
  <c r="C75" i="1"/>
  <c r="H12" i="1"/>
  <c r="T12" i="1" l="1"/>
  <c r="J12" i="1"/>
  <c r="K12" i="1" s="1"/>
  <c r="P75" i="1"/>
  <c r="H13" i="1"/>
  <c r="S76" i="1"/>
  <c r="N76" i="1"/>
  <c r="C76" i="1"/>
  <c r="T13" i="1" l="1"/>
  <c r="J13" i="1"/>
  <c r="K13" i="1" s="1"/>
  <c r="P76" i="1"/>
  <c r="H14" i="1"/>
  <c r="N77" i="1"/>
  <c r="S77" i="1"/>
  <c r="C77" i="1"/>
  <c r="T14" i="1" l="1"/>
  <c r="J14" i="1"/>
  <c r="K14" i="1" s="1"/>
  <c r="P77" i="1"/>
  <c r="H15" i="1"/>
  <c r="C78" i="1"/>
  <c r="S78" i="1"/>
  <c r="N78" i="1"/>
  <c r="T15" i="1" l="1"/>
  <c r="J15" i="1"/>
  <c r="K15" i="1" s="1"/>
  <c r="P78" i="1"/>
  <c r="H16" i="1"/>
  <c r="S79" i="1"/>
  <c r="C79" i="1"/>
  <c r="N79" i="1"/>
  <c r="T16" i="1" l="1"/>
  <c r="J16" i="1"/>
  <c r="K16" i="1" s="1"/>
  <c r="P79" i="1"/>
  <c r="H17" i="1"/>
  <c r="C80" i="1"/>
  <c r="N80" i="1"/>
  <c r="S80" i="1"/>
  <c r="T17" i="1" l="1"/>
  <c r="J17" i="1"/>
  <c r="K17" i="1" s="1"/>
  <c r="P80" i="1"/>
  <c r="H18" i="1"/>
  <c r="S81" i="1"/>
  <c r="C81" i="1"/>
  <c r="N81" i="1"/>
  <c r="T18" i="1" l="1"/>
  <c r="J18" i="1"/>
  <c r="K18" i="1" s="1"/>
  <c r="P81" i="1"/>
  <c r="H19" i="1"/>
  <c r="C82" i="1"/>
  <c r="S82" i="1"/>
  <c r="N82" i="1"/>
  <c r="T19" i="1" l="1"/>
  <c r="J19" i="1"/>
  <c r="K19" i="1" s="1"/>
  <c r="P82" i="1"/>
  <c r="H20" i="1"/>
  <c r="S83" i="1"/>
  <c r="C83" i="1"/>
  <c r="N83" i="1"/>
  <c r="T20" i="1" l="1"/>
  <c r="J20" i="1"/>
  <c r="K20" i="1" s="1"/>
  <c r="P83" i="1"/>
  <c r="H21" i="1"/>
  <c r="C84" i="1"/>
  <c r="N84" i="1"/>
  <c r="S84" i="1"/>
  <c r="T21" i="1" l="1"/>
  <c r="J21" i="1"/>
  <c r="K21" i="1" s="1"/>
  <c r="P84" i="1"/>
  <c r="H22" i="1"/>
  <c r="S85" i="1"/>
  <c r="C85" i="1"/>
  <c r="N85" i="1"/>
  <c r="T22" i="1" l="1"/>
  <c r="J22" i="1"/>
  <c r="K22" i="1" s="1"/>
  <c r="P85" i="1"/>
  <c r="H23" i="1"/>
  <c r="N86" i="1"/>
  <c r="S86" i="1"/>
  <c r="C86" i="1"/>
  <c r="T23" i="1" l="1"/>
  <c r="J23" i="1"/>
  <c r="K23" i="1" s="1"/>
  <c r="P86" i="1"/>
  <c r="C87" i="1"/>
  <c r="H24" i="1"/>
  <c r="S87" i="1"/>
  <c r="N87" i="1"/>
  <c r="T24" i="1" l="1"/>
  <c r="J24" i="1"/>
  <c r="K24" i="1" s="1"/>
  <c r="P87" i="1"/>
  <c r="C88" i="1"/>
  <c r="N88" i="1"/>
  <c r="H25" i="1"/>
  <c r="S88" i="1"/>
  <c r="T25" i="1" l="1"/>
  <c r="J25" i="1"/>
  <c r="K25" i="1" s="1"/>
  <c r="P88" i="1"/>
  <c r="N89" i="1"/>
  <c r="C89" i="1"/>
  <c r="H26" i="1"/>
  <c r="S89" i="1"/>
  <c r="T26" i="1" l="1"/>
  <c r="J26" i="1"/>
  <c r="K26" i="1" s="1"/>
  <c r="P89" i="1"/>
  <c r="S90" i="1"/>
  <c r="N90" i="1"/>
  <c r="C90" i="1"/>
  <c r="H27" i="1"/>
  <c r="T27" i="1" l="1"/>
  <c r="J27" i="1"/>
  <c r="K27" i="1" s="1"/>
  <c r="P90" i="1"/>
  <c r="S91" i="1"/>
  <c r="H28" i="1"/>
  <c r="N91" i="1"/>
  <c r="C91" i="1"/>
  <c r="T28" i="1" l="1"/>
  <c r="J28" i="1"/>
  <c r="K28" i="1" s="1"/>
  <c r="P91" i="1"/>
  <c r="S92" i="1"/>
  <c r="H29" i="1"/>
  <c r="N92" i="1"/>
  <c r="C92" i="1"/>
  <c r="T29" i="1" l="1"/>
  <c r="J29" i="1"/>
  <c r="K29" i="1" s="1"/>
  <c r="P92" i="1"/>
  <c r="N93" i="1"/>
  <c r="H30" i="1"/>
  <c r="C93" i="1"/>
  <c r="S93" i="1"/>
  <c r="T30" i="1" l="1"/>
  <c r="J30" i="1"/>
  <c r="K30" i="1" s="1"/>
  <c r="P93" i="1"/>
  <c r="S94" i="1"/>
  <c r="H31" i="1"/>
  <c r="C94" i="1"/>
  <c r="N94" i="1"/>
  <c r="T31" i="1" l="1"/>
  <c r="J31" i="1"/>
  <c r="K31" i="1" s="1"/>
  <c r="P94" i="1"/>
  <c r="N95" i="1"/>
  <c r="H32" i="1"/>
  <c r="S95" i="1"/>
  <c r="C95" i="1"/>
  <c r="T32" i="1" l="1"/>
  <c r="J32" i="1"/>
  <c r="K32" i="1" s="1"/>
  <c r="P95" i="1"/>
  <c r="S96" i="1"/>
  <c r="N96" i="1"/>
  <c r="H33" i="1"/>
  <c r="C96" i="1"/>
  <c r="T33" i="1" l="1"/>
  <c r="J33" i="1"/>
  <c r="K33" i="1" s="1"/>
  <c r="P96" i="1"/>
  <c r="S97" i="1"/>
  <c r="H34" i="1"/>
  <c r="N97" i="1"/>
  <c r="C97" i="1"/>
  <c r="T34" i="1" l="1"/>
  <c r="J34" i="1"/>
  <c r="K34" i="1" s="1"/>
  <c r="P97" i="1"/>
  <c r="S98" i="1"/>
  <c r="C98" i="1"/>
  <c r="H35" i="1"/>
  <c r="N98" i="1"/>
  <c r="T35" i="1" l="1"/>
  <c r="J35" i="1"/>
  <c r="K35" i="1" s="1"/>
  <c r="P98" i="1"/>
  <c r="C99" i="1"/>
  <c r="H36" i="1"/>
  <c r="S99" i="1"/>
  <c r="N99" i="1"/>
  <c r="T36" i="1" l="1"/>
  <c r="J36" i="1"/>
  <c r="K36" i="1" s="1"/>
  <c r="P99" i="1"/>
  <c r="N100" i="1"/>
  <c r="H37" i="1"/>
  <c r="C100" i="1"/>
  <c r="S100" i="1"/>
  <c r="T37" i="1" l="1"/>
  <c r="J37" i="1"/>
  <c r="K37" i="1" s="1"/>
  <c r="P100" i="1"/>
  <c r="C101" i="1"/>
  <c r="S101" i="1"/>
  <c r="N101" i="1"/>
  <c r="H38" i="1"/>
  <c r="T38" i="1" l="1"/>
  <c r="J38" i="1"/>
  <c r="K38" i="1" s="1"/>
  <c r="P101" i="1"/>
  <c r="S102" i="1"/>
  <c r="N102" i="1"/>
  <c r="H39" i="1"/>
  <c r="C102" i="1"/>
  <c r="T39" i="1" l="1"/>
  <c r="J39" i="1"/>
  <c r="K39" i="1" s="1"/>
  <c r="P102" i="1"/>
  <c r="C103" i="1"/>
  <c r="S103" i="1"/>
  <c r="H40" i="1"/>
  <c r="N103" i="1"/>
  <c r="T40" i="1" l="1"/>
  <c r="J40" i="1"/>
  <c r="K40" i="1" s="1"/>
  <c r="P103" i="1"/>
  <c r="N104" i="1"/>
  <c r="C104" i="1"/>
  <c r="S104" i="1"/>
  <c r="H41" i="1"/>
  <c r="T41" i="1" l="1"/>
  <c r="J41" i="1"/>
  <c r="K41" i="1" s="1"/>
  <c r="P104" i="1"/>
  <c r="S105" i="1"/>
  <c r="N105" i="1"/>
  <c r="H42" i="1"/>
  <c r="C105" i="1"/>
  <c r="T42" i="1" l="1"/>
  <c r="J42" i="1"/>
  <c r="K42" i="1" s="1"/>
  <c r="P105" i="1"/>
  <c r="S106" i="1"/>
  <c r="H43" i="1"/>
  <c r="N106" i="1"/>
  <c r="C106" i="1"/>
  <c r="T43" i="1" l="1"/>
  <c r="J43" i="1"/>
  <c r="K43" i="1" s="1"/>
  <c r="P106" i="1"/>
  <c r="S107" i="1"/>
  <c r="N107" i="1"/>
  <c r="H44" i="1"/>
  <c r="C107" i="1"/>
  <c r="T44" i="1" l="1"/>
  <c r="J44" i="1"/>
  <c r="K44" i="1" s="1"/>
  <c r="P107" i="1"/>
  <c r="C108" i="1"/>
  <c r="H45" i="1"/>
  <c r="S108" i="1"/>
  <c r="N108" i="1"/>
  <c r="T45" i="1" l="1"/>
  <c r="J45" i="1"/>
  <c r="K45" i="1" s="1"/>
  <c r="P108" i="1"/>
  <c r="S109" i="1"/>
  <c r="N109" i="1"/>
  <c r="C109" i="1"/>
  <c r="H46" i="1"/>
  <c r="T46" i="1" l="1"/>
  <c r="J46" i="1"/>
  <c r="K46" i="1" s="1"/>
  <c r="P109" i="1"/>
  <c r="S110" i="1"/>
  <c r="H47" i="1"/>
  <c r="N110" i="1"/>
  <c r="C110" i="1"/>
  <c r="T47" i="1" l="1"/>
  <c r="J47" i="1"/>
  <c r="K47" i="1" s="1"/>
  <c r="P110" i="1"/>
  <c r="N111" i="1"/>
  <c r="C111" i="1"/>
  <c r="H48" i="1"/>
  <c r="S111" i="1"/>
  <c r="T48" i="1" l="1"/>
  <c r="J48" i="1"/>
  <c r="K48" i="1" s="1"/>
  <c r="P111" i="1"/>
  <c r="N112" i="1"/>
  <c r="C112" i="1"/>
  <c r="S112" i="1"/>
  <c r="H49" i="1"/>
  <c r="T49" i="1" l="1"/>
  <c r="J49" i="1"/>
  <c r="K49" i="1" s="1"/>
  <c r="P112" i="1"/>
  <c r="S113" i="1"/>
  <c r="N113" i="1"/>
  <c r="C113" i="1"/>
  <c r="H50" i="1"/>
  <c r="T50" i="1" l="1"/>
  <c r="J50" i="1"/>
  <c r="K50" i="1" s="1"/>
  <c r="P113" i="1"/>
  <c r="N114" i="1"/>
  <c r="H51" i="1"/>
  <c r="C114" i="1"/>
  <c r="S114" i="1"/>
  <c r="T51" i="1" l="1"/>
  <c r="J51" i="1"/>
  <c r="K51" i="1" s="1"/>
  <c r="P114" i="1"/>
  <c r="N115" i="1"/>
  <c r="H52" i="1"/>
  <c r="S115" i="1"/>
  <c r="C115" i="1"/>
  <c r="T52" i="1" l="1"/>
  <c r="J52" i="1"/>
  <c r="K52" i="1" s="1"/>
  <c r="P115" i="1"/>
  <c r="H53" i="1"/>
  <c r="N116" i="1"/>
  <c r="S116" i="1"/>
  <c r="C116" i="1"/>
  <c r="T53" i="1" l="1"/>
  <c r="J53" i="1"/>
  <c r="K53" i="1" s="1"/>
  <c r="P116" i="1"/>
  <c r="C117" i="1"/>
  <c r="N117" i="1"/>
  <c r="S117" i="1"/>
  <c r="H54" i="1"/>
  <c r="T54" i="1" l="1"/>
  <c r="J54" i="1"/>
  <c r="K54" i="1" s="1"/>
  <c r="P117" i="1"/>
  <c r="C118" i="1"/>
  <c r="N118" i="1"/>
  <c r="H55" i="1"/>
  <c r="S118" i="1"/>
  <c r="T55" i="1" l="1"/>
  <c r="J55" i="1"/>
  <c r="K55" i="1" s="1"/>
  <c r="P118" i="1"/>
  <c r="S119" i="1"/>
  <c r="H56" i="1"/>
  <c r="N119" i="1"/>
  <c r="C119" i="1"/>
  <c r="T56" i="1" l="1"/>
  <c r="J56" i="1"/>
  <c r="K56" i="1" s="1"/>
  <c r="P119" i="1"/>
  <c r="C120" i="1"/>
  <c r="N120" i="1"/>
  <c r="H57" i="1"/>
  <c r="S120" i="1"/>
  <c r="T57" i="1" l="1"/>
  <c r="J57" i="1"/>
  <c r="K57" i="1" s="1"/>
  <c r="P120" i="1"/>
  <c r="C121" i="1"/>
  <c r="S121" i="1"/>
  <c r="H58" i="1"/>
  <c r="N121" i="1"/>
  <c r="T58" i="1" l="1"/>
  <c r="J58" i="1"/>
  <c r="K58" i="1" s="1"/>
  <c r="P121" i="1"/>
  <c r="S122" i="1"/>
  <c r="N122" i="1"/>
  <c r="H59" i="1"/>
  <c r="C122" i="1"/>
  <c r="T59" i="1" l="1"/>
  <c r="J59" i="1"/>
  <c r="K59" i="1" s="1"/>
  <c r="P122" i="1"/>
  <c r="N123" i="1"/>
  <c r="H60" i="1"/>
  <c r="S123" i="1"/>
  <c r="C123" i="1"/>
  <c r="T60" i="1" l="1"/>
  <c r="J60" i="1"/>
  <c r="K60" i="1" s="1"/>
  <c r="P123" i="1"/>
  <c r="S124" i="1"/>
  <c r="C124" i="1"/>
  <c r="H61" i="1"/>
  <c r="N124" i="1"/>
  <c r="T61" i="1" l="1"/>
  <c r="J61" i="1"/>
  <c r="K61" i="1" s="1"/>
  <c r="P124" i="1"/>
  <c r="C125" i="1"/>
  <c r="S125" i="1"/>
  <c r="H62" i="1"/>
  <c r="N125" i="1"/>
  <c r="T62" i="1" l="1"/>
  <c r="J62" i="1"/>
  <c r="K62" i="1" s="1"/>
  <c r="P125" i="1"/>
  <c r="S126" i="1"/>
  <c r="N126" i="1"/>
  <c r="H63" i="1"/>
  <c r="C126" i="1"/>
  <c r="T63" i="1" l="1"/>
  <c r="J63" i="1"/>
  <c r="K63" i="1" s="1"/>
  <c r="P126" i="1"/>
  <c r="N127" i="1"/>
  <c r="S127" i="1"/>
  <c r="H64" i="1"/>
  <c r="C127" i="1"/>
  <c r="T64" i="1" l="1"/>
  <c r="J64" i="1"/>
  <c r="K64" i="1" s="1"/>
  <c r="P127" i="1"/>
  <c r="S128" i="1"/>
  <c r="N128" i="1"/>
  <c r="H65" i="1"/>
  <c r="C128" i="1"/>
  <c r="T65" i="1" l="1"/>
  <c r="J65" i="1"/>
  <c r="K65" i="1" s="1"/>
  <c r="P128" i="1"/>
  <c r="N129" i="1"/>
  <c r="H66" i="1"/>
  <c r="S129" i="1"/>
  <c r="C129" i="1"/>
  <c r="T66" i="1" l="1"/>
  <c r="J66" i="1"/>
  <c r="K66" i="1" s="1"/>
  <c r="P129" i="1"/>
  <c r="C130" i="1"/>
  <c r="N130" i="1"/>
  <c r="H67" i="1"/>
  <c r="S130" i="1"/>
  <c r="T67" i="1" l="1"/>
  <c r="J67" i="1"/>
  <c r="K67" i="1" s="1"/>
  <c r="P130" i="1"/>
  <c r="N131" i="1"/>
  <c r="S131" i="1"/>
  <c r="H68" i="1"/>
  <c r="C131" i="1"/>
  <c r="T68" i="1" l="1"/>
  <c r="J68" i="1"/>
  <c r="K68" i="1" s="1"/>
  <c r="P131" i="1"/>
  <c r="S132" i="1"/>
  <c r="N132" i="1"/>
  <c r="H69" i="1"/>
  <c r="C132" i="1"/>
  <c r="T69" i="1" l="1"/>
  <c r="J69" i="1"/>
  <c r="K69" i="1" s="1"/>
  <c r="P132" i="1"/>
  <c r="N133" i="1"/>
  <c r="H70" i="1"/>
  <c r="S133" i="1"/>
  <c r="C133" i="1"/>
  <c r="T70" i="1" l="1"/>
  <c r="J70" i="1"/>
  <c r="K70" i="1" s="1"/>
  <c r="P133" i="1"/>
  <c r="S134" i="1"/>
  <c r="H71" i="1"/>
  <c r="N134" i="1"/>
  <c r="C134" i="1"/>
  <c r="T71" i="1" l="1"/>
  <c r="J71" i="1"/>
  <c r="K71" i="1" s="1"/>
  <c r="P134" i="1"/>
  <c r="C135" i="1"/>
  <c r="S135" i="1"/>
  <c r="H72" i="1"/>
  <c r="N135" i="1"/>
  <c r="T72" i="1" l="1"/>
  <c r="J72" i="1"/>
  <c r="K72" i="1" s="1"/>
  <c r="P135" i="1"/>
  <c r="S136" i="1"/>
  <c r="C136" i="1"/>
  <c r="H73" i="1"/>
  <c r="N136" i="1"/>
  <c r="T73" i="1" l="1"/>
  <c r="J73" i="1"/>
  <c r="K73" i="1" s="1"/>
  <c r="P136" i="1"/>
  <c r="N137" i="1"/>
  <c r="H74" i="1"/>
  <c r="S137" i="1"/>
  <c r="C137" i="1"/>
  <c r="T74" i="1" l="1"/>
  <c r="J74" i="1"/>
  <c r="K74" i="1" s="1"/>
  <c r="P137" i="1"/>
  <c r="S138" i="1"/>
  <c r="C138" i="1"/>
  <c r="H75" i="1"/>
  <c r="N138" i="1"/>
  <c r="T75" i="1" l="1"/>
  <c r="J75" i="1"/>
  <c r="K75" i="1" s="1"/>
  <c r="P138" i="1"/>
  <c r="S139" i="1"/>
  <c r="H76" i="1"/>
  <c r="N139" i="1"/>
  <c r="C139" i="1"/>
  <c r="T76" i="1" l="1"/>
  <c r="J76" i="1"/>
  <c r="K76" i="1" s="1"/>
  <c r="P139" i="1"/>
  <c r="N140" i="1"/>
  <c r="H77" i="1"/>
  <c r="C140" i="1"/>
  <c r="S140" i="1"/>
  <c r="T77" i="1" l="1"/>
  <c r="J77" i="1"/>
  <c r="K77" i="1" s="1"/>
  <c r="P140" i="1"/>
  <c r="S141" i="1"/>
  <c r="C141" i="1"/>
  <c r="H78" i="1"/>
  <c r="N141" i="1"/>
  <c r="T78" i="1" l="1"/>
  <c r="J78" i="1"/>
  <c r="K78" i="1" s="1"/>
  <c r="P141" i="1"/>
  <c r="N142" i="1"/>
  <c r="H79" i="1"/>
  <c r="S142" i="1"/>
  <c r="C142" i="1"/>
  <c r="T79" i="1" l="1"/>
  <c r="J79" i="1"/>
  <c r="K79" i="1" s="1"/>
  <c r="P142" i="1"/>
  <c r="C143" i="1"/>
  <c r="N143" i="1"/>
  <c r="H80" i="1"/>
  <c r="S143" i="1"/>
  <c r="T80" i="1" l="1"/>
  <c r="J80" i="1"/>
  <c r="K80" i="1" s="1"/>
  <c r="P143" i="1"/>
  <c r="N144" i="1"/>
  <c r="H81" i="1"/>
  <c r="C144" i="1"/>
  <c r="S144" i="1"/>
  <c r="T81" i="1" l="1"/>
  <c r="J81" i="1"/>
  <c r="K81" i="1" s="1"/>
  <c r="P144" i="1"/>
  <c r="S145" i="1"/>
  <c r="C145" i="1"/>
  <c r="H82" i="1"/>
  <c r="N145" i="1"/>
  <c r="T82" i="1" l="1"/>
  <c r="J82" i="1"/>
  <c r="K82" i="1" s="1"/>
  <c r="P145" i="1"/>
  <c r="C146" i="1"/>
  <c r="H83" i="1"/>
  <c r="N146" i="1"/>
  <c r="S146" i="1"/>
  <c r="T83" i="1" l="1"/>
  <c r="J83" i="1"/>
  <c r="K83" i="1" s="1"/>
  <c r="P146" i="1"/>
  <c r="S147" i="1"/>
  <c r="C147" i="1"/>
  <c r="N147" i="1"/>
  <c r="H84" i="1"/>
  <c r="T84" i="1" l="1"/>
  <c r="J84" i="1"/>
  <c r="K84" i="1" s="1"/>
  <c r="P147" i="1"/>
  <c r="N148" i="1"/>
  <c r="C148" i="1"/>
  <c r="S148" i="1"/>
  <c r="H85" i="1"/>
  <c r="T85" i="1" l="1"/>
  <c r="J85" i="1"/>
  <c r="K85" i="1" s="1"/>
  <c r="P148" i="1"/>
  <c r="S149" i="1"/>
  <c r="C149" i="1"/>
  <c r="H86" i="1"/>
  <c r="N149" i="1"/>
  <c r="T86" i="1" l="1"/>
  <c r="J86" i="1"/>
  <c r="K86" i="1" s="1"/>
  <c r="P149" i="1"/>
  <c r="N150" i="1"/>
  <c r="S150" i="1"/>
  <c r="H87" i="1"/>
  <c r="C150" i="1"/>
  <c r="T87" i="1" l="1"/>
  <c r="J87" i="1"/>
  <c r="K87" i="1" s="1"/>
  <c r="P150" i="1"/>
  <c r="S151" i="1"/>
  <c r="C151" i="1"/>
  <c r="N151" i="1"/>
  <c r="H88" i="1"/>
  <c r="T88" i="1" l="1"/>
  <c r="J88" i="1"/>
  <c r="K88" i="1" s="1"/>
  <c r="P151" i="1"/>
  <c r="N152" i="1"/>
  <c r="S152" i="1"/>
  <c r="H89" i="1"/>
  <c r="C152" i="1"/>
  <c r="T89" i="1" l="1"/>
  <c r="J89" i="1"/>
  <c r="K89" i="1" s="1"/>
  <c r="P152" i="1"/>
  <c r="C153" i="1"/>
  <c r="N153" i="1"/>
  <c r="S153" i="1"/>
  <c r="H90" i="1"/>
  <c r="T90" i="1" l="1"/>
  <c r="J90" i="1"/>
  <c r="K90" i="1" s="1"/>
  <c r="P153" i="1"/>
  <c r="S154" i="1"/>
  <c r="C154" i="1"/>
  <c r="H91" i="1"/>
  <c r="N154" i="1"/>
  <c r="T91" i="1" l="1"/>
  <c r="J91" i="1"/>
  <c r="K91" i="1" s="1"/>
  <c r="P154" i="1"/>
  <c r="N155" i="1"/>
  <c r="C155" i="1"/>
  <c r="S155" i="1"/>
  <c r="H92" i="1"/>
  <c r="T92" i="1" l="1"/>
  <c r="J92" i="1"/>
  <c r="K92" i="1" s="1"/>
  <c r="P155" i="1"/>
  <c r="C156" i="1"/>
  <c r="N156" i="1"/>
  <c r="S156" i="1"/>
  <c r="H93" i="1"/>
  <c r="T93" i="1" l="1"/>
  <c r="J93" i="1"/>
  <c r="K93" i="1" s="1"/>
  <c r="P156" i="1"/>
  <c r="C157" i="1"/>
  <c r="S157" i="1"/>
  <c r="H94" i="1"/>
  <c r="N157" i="1"/>
  <c r="T94" i="1" l="1"/>
  <c r="J94" i="1"/>
  <c r="K94" i="1" s="1"/>
  <c r="P157" i="1"/>
  <c r="C158" i="1"/>
  <c r="H95" i="1"/>
  <c r="S158" i="1"/>
  <c r="N158" i="1"/>
  <c r="T95" i="1" l="1"/>
  <c r="J95" i="1"/>
  <c r="K95" i="1" s="1"/>
  <c r="P158" i="1"/>
  <c r="N159" i="1"/>
  <c r="C159" i="1"/>
  <c r="S159" i="1"/>
  <c r="H96" i="1"/>
  <c r="T96" i="1" l="1"/>
  <c r="J96" i="1"/>
  <c r="K96" i="1" s="1"/>
  <c r="P159" i="1"/>
  <c r="S160" i="1"/>
  <c r="C160" i="1"/>
  <c r="N160" i="1"/>
  <c r="H97" i="1"/>
  <c r="T97" i="1" l="1"/>
  <c r="J97" i="1"/>
  <c r="K97" i="1" s="1"/>
  <c r="P160" i="1"/>
  <c r="N161" i="1"/>
  <c r="S161" i="1"/>
  <c r="C161" i="1"/>
  <c r="H98" i="1"/>
  <c r="T98" i="1" l="1"/>
  <c r="J98" i="1"/>
  <c r="K98" i="1" s="1"/>
  <c r="P161" i="1"/>
  <c r="S162" i="1"/>
  <c r="C162" i="1"/>
  <c r="H99" i="1"/>
  <c r="N162" i="1"/>
  <c r="T99" i="1" l="1"/>
  <c r="J99" i="1"/>
  <c r="K99" i="1" s="1"/>
  <c r="P162" i="1"/>
  <c r="C163" i="1"/>
  <c r="H100" i="1"/>
  <c r="N163" i="1"/>
  <c r="S163" i="1"/>
  <c r="T100" i="1" l="1"/>
  <c r="J100" i="1"/>
  <c r="K100" i="1" s="1"/>
  <c r="P163" i="1"/>
  <c r="N164" i="1"/>
  <c r="S164" i="1"/>
  <c r="H101" i="1"/>
  <c r="C164" i="1"/>
  <c r="T101" i="1" l="1"/>
  <c r="J101" i="1"/>
  <c r="K101" i="1" s="1"/>
  <c r="P164" i="1"/>
  <c r="C165" i="1"/>
  <c r="N165" i="1"/>
  <c r="S165" i="1"/>
  <c r="H102" i="1"/>
  <c r="T102" i="1" l="1"/>
  <c r="J102" i="1"/>
  <c r="K102" i="1" s="1"/>
  <c r="P165" i="1"/>
  <c r="S166" i="1"/>
  <c r="H103" i="1"/>
  <c r="C166" i="1"/>
  <c r="N166" i="1"/>
  <c r="T103" i="1" l="1"/>
  <c r="J103" i="1"/>
  <c r="K103" i="1" s="1"/>
  <c r="P166" i="1"/>
  <c r="S167" i="1"/>
  <c r="N167" i="1"/>
  <c r="H104" i="1"/>
  <c r="C167" i="1"/>
  <c r="T104" i="1" l="1"/>
  <c r="J104" i="1"/>
  <c r="K104" i="1" s="1"/>
  <c r="P167" i="1"/>
  <c r="N168" i="1"/>
  <c r="C168" i="1"/>
  <c r="S168" i="1"/>
  <c r="H105" i="1"/>
  <c r="T105" i="1" l="1"/>
  <c r="J105" i="1"/>
  <c r="K105" i="1" s="1"/>
  <c r="P168" i="1"/>
  <c r="N169" i="1"/>
  <c r="C169" i="1"/>
  <c r="S169" i="1"/>
  <c r="H106" i="1"/>
  <c r="T106" i="1" l="1"/>
  <c r="J106" i="1"/>
  <c r="K106" i="1" s="1"/>
  <c r="P169" i="1"/>
  <c r="C170" i="1"/>
  <c r="N170" i="1"/>
  <c r="H107" i="1"/>
  <c r="S170" i="1"/>
  <c r="T107" i="1" l="1"/>
  <c r="J107" i="1"/>
  <c r="K107" i="1" s="1"/>
  <c r="P170" i="1"/>
  <c r="S171" i="1"/>
  <c r="H108" i="1"/>
  <c r="C171" i="1"/>
  <c r="N171" i="1"/>
  <c r="T108" i="1" l="1"/>
  <c r="J108" i="1"/>
  <c r="K108" i="1" s="1"/>
  <c r="P171" i="1"/>
  <c r="N172" i="1"/>
  <c r="H109" i="1"/>
  <c r="C172" i="1"/>
  <c r="S172" i="1"/>
  <c r="T109" i="1" l="1"/>
  <c r="J109" i="1"/>
  <c r="K109" i="1" s="1"/>
  <c r="P172" i="1"/>
  <c r="N173" i="1"/>
  <c r="H110" i="1"/>
  <c r="C173" i="1"/>
  <c r="S173" i="1"/>
  <c r="T110" i="1" l="1"/>
  <c r="J110" i="1"/>
  <c r="K110" i="1" s="1"/>
  <c r="P173" i="1"/>
  <c r="S174" i="1"/>
  <c r="N174" i="1"/>
  <c r="C174" i="1"/>
  <c r="H111" i="1"/>
  <c r="T111" i="1" l="1"/>
  <c r="J111" i="1"/>
  <c r="K111" i="1" s="1"/>
  <c r="P174" i="1"/>
  <c r="C175" i="1"/>
  <c r="S175" i="1"/>
  <c r="H112" i="1"/>
  <c r="N175" i="1"/>
  <c r="T112" i="1" l="1"/>
  <c r="J112" i="1"/>
  <c r="K112" i="1" s="1"/>
  <c r="P175" i="1"/>
  <c r="S176" i="1"/>
  <c r="C176" i="1"/>
  <c r="H113" i="1"/>
  <c r="N176" i="1"/>
  <c r="T113" i="1" l="1"/>
  <c r="J113" i="1"/>
  <c r="K113" i="1" s="1"/>
  <c r="P176" i="1"/>
  <c r="N177" i="1"/>
  <c r="S177" i="1"/>
  <c r="C177" i="1"/>
  <c r="H114" i="1"/>
  <c r="T114" i="1" l="1"/>
  <c r="J114" i="1"/>
  <c r="K114" i="1" s="1"/>
  <c r="P177" i="1"/>
  <c r="C178" i="1"/>
  <c r="S178" i="1"/>
  <c r="H115" i="1"/>
  <c r="N178" i="1"/>
  <c r="T115" i="1" l="1"/>
  <c r="J115" i="1"/>
  <c r="K115" i="1" s="1"/>
  <c r="P178" i="1"/>
  <c r="N179" i="1"/>
  <c r="S179" i="1"/>
  <c r="H116" i="1"/>
  <c r="C179" i="1"/>
  <c r="T116" i="1" l="1"/>
  <c r="J116" i="1"/>
  <c r="K116" i="1" s="1"/>
  <c r="P179" i="1"/>
  <c r="S180" i="1"/>
  <c r="H117" i="1"/>
  <c r="C180" i="1"/>
  <c r="N180" i="1"/>
  <c r="T117" i="1" l="1"/>
  <c r="J117" i="1"/>
  <c r="K117" i="1" s="1"/>
  <c r="P180" i="1"/>
  <c r="N181" i="1"/>
  <c r="C181" i="1"/>
  <c r="S181" i="1"/>
  <c r="H118" i="1"/>
  <c r="T118" i="1" l="1"/>
  <c r="J118" i="1"/>
  <c r="K118" i="1" s="1"/>
  <c r="P181" i="1"/>
  <c r="S182" i="1"/>
  <c r="H119" i="1"/>
  <c r="C182" i="1"/>
  <c r="N182" i="1"/>
  <c r="T119" i="1" l="1"/>
  <c r="J119" i="1"/>
  <c r="K119" i="1" s="1"/>
  <c r="P182" i="1"/>
  <c r="N183" i="1"/>
  <c r="C183" i="1"/>
  <c r="S183" i="1"/>
  <c r="H120" i="1"/>
  <c r="T120" i="1" l="1"/>
  <c r="J120" i="1"/>
  <c r="K120" i="1" s="1"/>
  <c r="P183" i="1"/>
  <c r="S184" i="1"/>
  <c r="H121" i="1"/>
  <c r="C184" i="1"/>
  <c r="N184" i="1"/>
  <c r="T121" i="1" l="1"/>
  <c r="J121" i="1"/>
  <c r="K121" i="1" s="1"/>
  <c r="P184" i="1"/>
  <c r="N185" i="1"/>
  <c r="S185" i="1"/>
  <c r="C185" i="1"/>
  <c r="H122" i="1"/>
  <c r="T122" i="1" l="1"/>
  <c r="J122" i="1"/>
  <c r="K122" i="1" s="1"/>
  <c r="P185" i="1"/>
  <c r="C186" i="1"/>
  <c r="S186" i="1"/>
  <c r="N186" i="1"/>
  <c r="H123" i="1"/>
  <c r="T123" i="1" l="1"/>
  <c r="J123" i="1"/>
  <c r="K123" i="1" s="1"/>
  <c r="P186" i="1"/>
  <c r="S187" i="1"/>
  <c r="H124" i="1"/>
  <c r="C187" i="1"/>
  <c r="N187" i="1"/>
  <c r="T124" i="1" l="1"/>
  <c r="J124" i="1"/>
  <c r="K124" i="1" s="1"/>
  <c r="P187" i="1"/>
  <c r="C188" i="1"/>
  <c r="S188" i="1"/>
  <c r="N188" i="1"/>
  <c r="H125" i="1"/>
  <c r="T125" i="1" l="1"/>
  <c r="J125" i="1"/>
  <c r="K125" i="1" s="1"/>
  <c r="P188" i="1"/>
  <c r="S189" i="1"/>
  <c r="N189" i="1"/>
  <c r="C189" i="1"/>
  <c r="H126" i="1"/>
  <c r="T126" i="1" l="1"/>
  <c r="J126" i="1"/>
  <c r="K126" i="1" s="1"/>
  <c r="P189" i="1"/>
  <c r="S190" i="1"/>
  <c r="H127" i="1"/>
  <c r="N190" i="1"/>
  <c r="C190" i="1"/>
  <c r="T127" i="1" l="1"/>
  <c r="J127" i="1"/>
  <c r="K127" i="1" s="1"/>
  <c r="P190" i="1"/>
  <c r="S191" i="1"/>
  <c r="C191" i="1"/>
  <c r="N191" i="1"/>
  <c r="H128" i="1"/>
  <c r="T128" i="1" l="1"/>
  <c r="J128" i="1"/>
  <c r="K128" i="1" s="1"/>
  <c r="P191" i="1"/>
  <c r="C192" i="1"/>
  <c r="N192" i="1"/>
  <c r="S192" i="1"/>
  <c r="H129" i="1"/>
  <c r="T129" i="1" l="1"/>
  <c r="J129" i="1"/>
  <c r="K129" i="1" s="1"/>
  <c r="P192" i="1"/>
  <c r="C193" i="1"/>
  <c r="H130" i="1"/>
  <c r="S193" i="1"/>
  <c r="N193" i="1"/>
  <c r="T130" i="1" l="1"/>
  <c r="J130" i="1"/>
  <c r="K130" i="1" s="1"/>
  <c r="P193" i="1"/>
  <c r="S194" i="1"/>
  <c r="H131" i="1"/>
  <c r="N194" i="1"/>
  <c r="C194" i="1"/>
  <c r="T131" i="1" l="1"/>
  <c r="J131" i="1"/>
  <c r="K131" i="1" s="1"/>
  <c r="P194" i="1"/>
  <c r="N195" i="1"/>
  <c r="C195" i="1"/>
  <c r="S195" i="1"/>
  <c r="H132" i="1"/>
  <c r="T132" i="1" l="1"/>
  <c r="J132" i="1"/>
  <c r="K132" i="1" s="1"/>
  <c r="P195" i="1"/>
  <c r="S196" i="1"/>
  <c r="C196" i="1"/>
  <c r="H133" i="1"/>
  <c r="N196" i="1"/>
  <c r="T133" i="1" l="1"/>
  <c r="J133" i="1"/>
  <c r="K133" i="1" s="1"/>
  <c r="P196" i="1"/>
  <c r="N197" i="1"/>
  <c r="S197" i="1"/>
  <c r="H134" i="1"/>
  <c r="C197" i="1"/>
  <c r="T134" i="1" l="1"/>
  <c r="J134" i="1"/>
  <c r="K134" i="1" s="1"/>
  <c r="P197" i="1"/>
  <c r="C198" i="1"/>
  <c r="N198" i="1"/>
  <c r="H135" i="1"/>
  <c r="S198" i="1"/>
  <c r="T135" i="1" l="1"/>
  <c r="J135" i="1"/>
  <c r="K135" i="1" s="1"/>
  <c r="P198" i="1"/>
  <c r="S199" i="1"/>
  <c r="C199" i="1"/>
  <c r="H136" i="1"/>
  <c r="N199" i="1"/>
  <c r="T136" i="1" l="1"/>
  <c r="J136" i="1"/>
  <c r="K136" i="1" s="1"/>
  <c r="P199" i="1"/>
  <c r="C200" i="1"/>
  <c r="S200" i="1"/>
  <c r="H137" i="1"/>
  <c r="N200" i="1"/>
  <c r="T137" i="1" l="1"/>
  <c r="J137" i="1"/>
  <c r="K137" i="1" s="1"/>
  <c r="P200" i="1"/>
  <c r="S201" i="1"/>
  <c r="C201" i="1"/>
  <c r="N201" i="1"/>
  <c r="H138" i="1"/>
  <c r="T138" i="1" l="1"/>
  <c r="J138" i="1"/>
  <c r="K138" i="1" s="1"/>
  <c r="P201" i="1"/>
  <c r="C202" i="1"/>
  <c r="S202" i="1"/>
  <c r="H139" i="1"/>
  <c r="N202" i="1"/>
  <c r="T139" i="1" l="1"/>
  <c r="J139" i="1"/>
  <c r="K139" i="1" s="1"/>
  <c r="P202" i="1"/>
  <c r="S203" i="1"/>
  <c r="H140" i="1"/>
  <c r="N203" i="1"/>
  <c r="C203" i="1"/>
  <c r="T140" i="1" l="1"/>
  <c r="J140" i="1"/>
  <c r="K140" i="1" s="1"/>
  <c r="P203" i="1"/>
  <c r="C204" i="1"/>
  <c r="N204" i="1"/>
  <c r="H141" i="1"/>
  <c r="S204" i="1"/>
  <c r="T141" i="1" l="1"/>
  <c r="J141" i="1"/>
  <c r="K141" i="1" s="1"/>
  <c r="P204" i="1"/>
  <c r="S205" i="1"/>
  <c r="C205" i="1"/>
  <c r="N205" i="1"/>
  <c r="H142" i="1"/>
  <c r="T142" i="1" l="1"/>
  <c r="J142" i="1"/>
  <c r="K142" i="1" s="1"/>
  <c r="P205" i="1"/>
  <c r="S206" i="1"/>
  <c r="C206" i="1"/>
  <c r="H143" i="1"/>
  <c r="N206" i="1"/>
  <c r="T143" i="1" l="1"/>
  <c r="J143" i="1"/>
  <c r="K143" i="1" s="1"/>
  <c r="P206" i="1"/>
  <c r="C207" i="1"/>
  <c r="H144" i="1"/>
  <c r="N207" i="1"/>
  <c r="S207" i="1"/>
  <c r="T144" i="1" l="1"/>
  <c r="J144" i="1"/>
  <c r="K144" i="1" s="1"/>
  <c r="P207" i="1"/>
  <c r="N208" i="1"/>
  <c r="H145" i="1"/>
  <c r="C208" i="1"/>
  <c r="S208" i="1"/>
  <c r="T145" i="1" l="1"/>
  <c r="J145" i="1"/>
  <c r="K145" i="1" s="1"/>
  <c r="P208" i="1"/>
  <c r="H146" i="1"/>
  <c r="T146" i="1" l="1"/>
  <c r="J146" i="1"/>
  <c r="K146" i="1" s="1"/>
  <c r="H147" i="1"/>
  <c r="T147" i="1" l="1"/>
  <c r="J147" i="1"/>
  <c r="K147" i="1" s="1"/>
  <c r="H148" i="1"/>
  <c r="T148" i="1" l="1"/>
  <c r="J148" i="1"/>
  <c r="K148" i="1" s="1"/>
  <c r="H149" i="1"/>
  <c r="T149" i="1" l="1"/>
  <c r="J149" i="1"/>
  <c r="K149" i="1" s="1"/>
  <c r="H150" i="1"/>
  <c r="T150" i="1" l="1"/>
  <c r="J150" i="1"/>
  <c r="K150" i="1" s="1"/>
  <c r="H151" i="1"/>
  <c r="T151" i="1" l="1"/>
  <c r="J151" i="1"/>
  <c r="K151" i="1" s="1"/>
  <c r="H152" i="1"/>
  <c r="T152" i="1" l="1"/>
  <c r="J152" i="1"/>
  <c r="K152" i="1" s="1"/>
  <c r="H153" i="1"/>
  <c r="T153" i="1" l="1"/>
  <c r="J153" i="1"/>
  <c r="K153" i="1" s="1"/>
  <c r="H154" i="1"/>
  <c r="T154" i="1" l="1"/>
  <c r="J154" i="1"/>
  <c r="K154" i="1" s="1"/>
  <c r="H155" i="1"/>
  <c r="T155" i="1" l="1"/>
  <c r="J155" i="1"/>
  <c r="K155" i="1" s="1"/>
  <c r="H156" i="1"/>
  <c r="T156" i="1" l="1"/>
  <c r="J156" i="1"/>
  <c r="K156" i="1" s="1"/>
  <c r="H157" i="1"/>
  <c r="T157" i="1" l="1"/>
  <c r="J157" i="1"/>
  <c r="K157" i="1" s="1"/>
  <c r="H158" i="1"/>
  <c r="T158" i="1" l="1"/>
  <c r="J158" i="1"/>
  <c r="K158" i="1" s="1"/>
  <c r="H159" i="1"/>
  <c r="T159" i="1" l="1"/>
  <c r="J159" i="1"/>
  <c r="K159" i="1" s="1"/>
  <c r="H160" i="1"/>
  <c r="T160" i="1" l="1"/>
  <c r="J160" i="1"/>
  <c r="K160" i="1" s="1"/>
  <c r="H161" i="1"/>
  <c r="T161" i="1" l="1"/>
  <c r="J161" i="1"/>
  <c r="K161" i="1" s="1"/>
  <c r="H162" i="1"/>
  <c r="T162" i="1" l="1"/>
  <c r="J162" i="1"/>
  <c r="K162" i="1" s="1"/>
  <c r="H163" i="1"/>
  <c r="T163" i="1" l="1"/>
  <c r="J163" i="1"/>
  <c r="K163" i="1" s="1"/>
  <c r="H164" i="1"/>
  <c r="T164" i="1" l="1"/>
  <c r="J164" i="1"/>
  <c r="K164" i="1" s="1"/>
  <c r="H165" i="1"/>
  <c r="T165" i="1" l="1"/>
  <c r="J165" i="1"/>
  <c r="K165" i="1" s="1"/>
  <c r="H166" i="1"/>
  <c r="T166" i="1" l="1"/>
  <c r="J166" i="1"/>
  <c r="K166" i="1" s="1"/>
  <c r="H167" i="1"/>
  <c r="T167" i="1" l="1"/>
  <c r="J167" i="1"/>
  <c r="K167" i="1" s="1"/>
  <c r="H168" i="1"/>
  <c r="T168" i="1" l="1"/>
  <c r="J168" i="1"/>
  <c r="K168" i="1" s="1"/>
  <c r="H169" i="1"/>
  <c r="T169" i="1" l="1"/>
  <c r="J169" i="1"/>
  <c r="K169" i="1" s="1"/>
  <c r="H170" i="1"/>
  <c r="T170" i="1" l="1"/>
  <c r="J170" i="1"/>
  <c r="K170" i="1" s="1"/>
  <c r="H171" i="1"/>
  <c r="T171" i="1" l="1"/>
  <c r="J171" i="1"/>
  <c r="K171" i="1" s="1"/>
  <c r="H172" i="1"/>
  <c r="T172" i="1" l="1"/>
  <c r="J172" i="1"/>
  <c r="K172" i="1" s="1"/>
  <c r="H173" i="1"/>
  <c r="T173" i="1" l="1"/>
  <c r="J173" i="1"/>
  <c r="K173" i="1" s="1"/>
  <c r="H174" i="1"/>
  <c r="T174" i="1" l="1"/>
  <c r="J174" i="1"/>
  <c r="K174" i="1" s="1"/>
  <c r="H175" i="1"/>
  <c r="T175" i="1" l="1"/>
  <c r="J175" i="1"/>
  <c r="K175" i="1" s="1"/>
  <c r="H176" i="1"/>
  <c r="T176" i="1" l="1"/>
  <c r="J176" i="1"/>
  <c r="K176" i="1" s="1"/>
  <c r="H177" i="1"/>
  <c r="T177" i="1" l="1"/>
  <c r="J177" i="1"/>
  <c r="K177" i="1" s="1"/>
  <c r="H178" i="1"/>
  <c r="T178" i="1" l="1"/>
  <c r="J178" i="1"/>
  <c r="K178" i="1" s="1"/>
  <c r="H179" i="1"/>
  <c r="T179" i="1" l="1"/>
  <c r="J179" i="1"/>
  <c r="K179" i="1" s="1"/>
  <c r="H180" i="1"/>
  <c r="T180" i="1" l="1"/>
  <c r="J180" i="1"/>
  <c r="K180" i="1" s="1"/>
  <c r="H181" i="1"/>
  <c r="T181" i="1" l="1"/>
  <c r="J181" i="1"/>
  <c r="K181" i="1" s="1"/>
  <c r="H182" i="1"/>
  <c r="T182" i="1" l="1"/>
  <c r="J182" i="1"/>
  <c r="K182" i="1" s="1"/>
  <c r="H183" i="1"/>
  <c r="T183" i="1" l="1"/>
  <c r="J183" i="1"/>
  <c r="K183" i="1" s="1"/>
  <c r="H184" i="1"/>
  <c r="T184" i="1" l="1"/>
  <c r="J184" i="1"/>
  <c r="K184" i="1" s="1"/>
  <c r="H185" i="1"/>
  <c r="T185" i="1" l="1"/>
  <c r="J185" i="1"/>
  <c r="K185" i="1" s="1"/>
  <c r="H186" i="1"/>
  <c r="T186" i="1" l="1"/>
  <c r="J186" i="1"/>
  <c r="K186" i="1" s="1"/>
  <c r="H187" i="1"/>
  <c r="T187" i="1" l="1"/>
  <c r="J187" i="1"/>
  <c r="K187" i="1" s="1"/>
  <c r="H188" i="1"/>
  <c r="T188" i="1" l="1"/>
  <c r="J188" i="1"/>
  <c r="K188" i="1" s="1"/>
  <c r="H189" i="1"/>
  <c r="T189" i="1" l="1"/>
  <c r="J189" i="1"/>
  <c r="K189" i="1" s="1"/>
  <c r="H190" i="1"/>
  <c r="T190" i="1" l="1"/>
  <c r="J190" i="1"/>
  <c r="K190" i="1" s="1"/>
  <c r="H191" i="1"/>
  <c r="T191" i="1" l="1"/>
  <c r="J191" i="1"/>
  <c r="K191" i="1" s="1"/>
  <c r="H192" i="1"/>
  <c r="T192" i="1" l="1"/>
  <c r="J192" i="1"/>
  <c r="K192" i="1" s="1"/>
  <c r="H193" i="1"/>
  <c r="T193" i="1" l="1"/>
  <c r="J193" i="1"/>
  <c r="K193" i="1" s="1"/>
  <c r="H194" i="1"/>
  <c r="T194" i="1" l="1"/>
  <c r="J194" i="1"/>
  <c r="K194" i="1" s="1"/>
  <c r="H195" i="1"/>
  <c r="T195" i="1" l="1"/>
  <c r="J195" i="1"/>
  <c r="K195" i="1" s="1"/>
  <c r="H196" i="1"/>
  <c r="T196" i="1" l="1"/>
  <c r="J196" i="1"/>
  <c r="K196" i="1" s="1"/>
  <c r="H197" i="1"/>
  <c r="T197" i="1" l="1"/>
  <c r="J197" i="1"/>
  <c r="K197" i="1" s="1"/>
  <c r="H198" i="1"/>
  <c r="T198" i="1" l="1"/>
  <c r="J198" i="1"/>
  <c r="K198" i="1" s="1"/>
  <c r="H199" i="1"/>
  <c r="T199" i="1" l="1"/>
  <c r="J199" i="1"/>
  <c r="K199" i="1" s="1"/>
  <c r="H200" i="1"/>
  <c r="T200" i="1" l="1"/>
  <c r="J200" i="1"/>
  <c r="K200" i="1" s="1"/>
  <c r="H201" i="1"/>
  <c r="T201" i="1" l="1"/>
  <c r="J201" i="1"/>
  <c r="K201" i="1" s="1"/>
  <c r="H202" i="1"/>
  <c r="T202" i="1" l="1"/>
  <c r="J202" i="1"/>
  <c r="K202" i="1" s="1"/>
  <c r="H203" i="1"/>
  <c r="T203" i="1" l="1"/>
  <c r="J203" i="1"/>
  <c r="K203" i="1" s="1"/>
  <c r="H204" i="1"/>
  <c r="T204" i="1" l="1"/>
  <c r="J204" i="1"/>
  <c r="K204" i="1" s="1"/>
  <c r="H205" i="1"/>
  <c r="T205" i="1" l="1"/>
  <c r="J205" i="1"/>
  <c r="K205" i="1" s="1"/>
  <c r="H206" i="1"/>
  <c r="T206" i="1" l="1"/>
  <c r="J206" i="1"/>
  <c r="K206" i="1" s="1"/>
  <c r="H207" i="1"/>
  <c r="T207" i="1" l="1"/>
  <c r="J207" i="1"/>
  <c r="K207" i="1" s="1"/>
  <c r="H208" i="1"/>
  <c r="T208" i="1" l="1"/>
</calcChain>
</file>

<file path=xl/sharedStrings.xml><?xml version="1.0" encoding="utf-8"?>
<sst xmlns="http://schemas.openxmlformats.org/spreadsheetml/2006/main" count="31" uniqueCount="15">
  <si>
    <t>z</t>
  </si>
  <si>
    <t>phi</t>
  </si>
  <si>
    <t>meMathNormalDistributionStandard</t>
  </si>
  <si>
    <t>meMathNormalDistributionStandardInverse</t>
  </si>
  <si>
    <t>meMathNormalDistribution</t>
  </si>
  <si>
    <t>Mean</t>
  </si>
  <si>
    <t>Variance</t>
  </si>
  <si>
    <t>meMathNormalDistributionInverse</t>
  </si>
  <si>
    <t>Check</t>
  </si>
  <si>
    <t>Excel Check</t>
  </si>
  <si>
    <t>-</t>
  </si>
  <si>
    <t>Probability, Phi</t>
  </si>
  <si>
    <t>Pdf</t>
  </si>
  <si>
    <t>Normal Variate, z</t>
  </si>
  <si>
    <t>Normal Variate,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</si>
</sst>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,##0.000000"/>
    <numFmt numFmtId="165" formatCode="#,##0.0000"/>
    <numFmt numFmtId="166" formatCode="0.000000E+00"/>
    <numFmt numFmtId="167" formatCode="0.0E+00"/>
  </numFmts>
  <fonts count="5" x14ac:knownFonts="1">
    <font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b/>
      <sz val="11"/>
      <color theme="0" tint="-0.1499984740745262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65" fontId="0" fillId="0" borderId="0" xfId="0" applyNumberForma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164" fontId="3" fillId="0" borderId="0" xfId="0" quotePrefix="1" applyNumberFormat="1" applyFont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166" fontId="0" fillId="0" borderId="0" xfId="0" applyNumberFormat="1"/>
    <xf numFmtId="167" fontId="3" fillId="0" borderId="0" xfId="0" applyNumberFormat="1" applyFont="1" applyAlignment="1">
      <alignment horizontal="center" vertical="center"/>
    </xf>
    <xf numFmtId="167" fontId="3" fillId="0" borderId="0" xfId="0" quotePrefix="1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>
        <c:manualLayout>
          <c:layoutTarget val="inner"/>
          <c:xMode val="edge"/>
          <c:yMode val="edge"/>
          <c:x val="8.5570710440855915E-2"/>
          <c:y val="6.0054184290474134E-2"/>
          <c:w val="0.83577383335557631"/>
          <c:h val="0.8044399430472934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Sheet1!$C$7</c:f>
              <c:strCache>
                <c:ptCount val="1"/>
                <c:pt idx="0">
                  <c:v>Probability, Phi</c:v>
                </c:pt>
              </c:strCache>
            </c:strRef>
          </c:tx>
          <c:marker>
            <c:symbol val="none"/>
          </c:marker>
          <c:xVal>
            <c:numRef>
              <c:f>Sheet1!$B$8:$B$208</c:f>
              <c:numCache>
                <c:formatCode>#,##0.00</c:formatCode>
                <c:ptCount val="201"/>
                <c:pt idx="0">
                  <c:v>-10</c:v>
                </c:pt>
                <c:pt idx="1">
                  <c:v>-9.9</c:v>
                </c:pt>
                <c:pt idx="2">
                  <c:v>-9.8000000000000007</c:v>
                </c:pt>
                <c:pt idx="3">
                  <c:v>-9.7000000000000011</c:v>
                </c:pt>
                <c:pt idx="4">
                  <c:v>-9.6000000000000014</c:v>
                </c:pt>
                <c:pt idx="5">
                  <c:v>-9.5000000000000018</c:v>
                </c:pt>
                <c:pt idx="6">
                  <c:v>-9.4000000000000021</c:v>
                </c:pt>
                <c:pt idx="7">
                  <c:v>-9.3000000000000025</c:v>
                </c:pt>
                <c:pt idx="8">
                  <c:v>-9.2000000000000028</c:v>
                </c:pt>
                <c:pt idx="9">
                  <c:v>-9.1000000000000032</c:v>
                </c:pt>
                <c:pt idx="10">
                  <c:v>-9.0000000000000036</c:v>
                </c:pt>
                <c:pt idx="11">
                  <c:v>-8.9000000000000039</c:v>
                </c:pt>
                <c:pt idx="12">
                  <c:v>-8.8000000000000043</c:v>
                </c:pt>
                <c:pt idx="13">
                  <c:v>-8.7000000000000046</c:v>
                </c:pt>
                <c:pt idx="14">
                  <c:v>-8.600000000000005</c:v>
                </c:pt>
                <c:pt idx="15">
                  <c:v>-8.5000000000000053</c:v>
                </c:pt>
                <c:pt idx="16">
                  <c:v>-8.4000000000000057</c:v>
                </c:pt>
                <c:pt idx="17">
                  <c:v>-8.300000000000006</c:v>
                </c:pt>
                <c:pt idx="18">
                  <c:v>-8.2000000000000064</c:v>
                </c:pt>
                <c:pt idx="19">
                  <c:v>-8.1000000000000068</c:v>
                </c:pt>
                <c:pt idx="20">
                  <c:v>-8.0000000000000071</c:v>
                </c:pt>
                <c:pt idx="21">
                  <c:v>-7.9000000000000075</c:v>
                </c:pt>
                <c:pt idx="22">
                  <c:v>-7.8000000000000078</c:v>
                </c:pt>
                <c:pt idx="23">
                  <c:v>-7.7000000000000082</c:v>
                </c:pt>
                <c:pt idx="24">
                  <c:v>-7.6000000000000085</c:v>
                </c:pt>
                <c:pt idx="25">
                  <c:v>-7.5000000000000089</c:v>
                </c:pt>
                <c:pt idx="26">
                  <c:v>-7.4000000000000092</c:v>
                </c:pt>
                <c:pt idx="27">
                  <c:v>-7.3000000000000096</c:v>
                </c:pt>
                <c:pt idx="28">
                  <c:v>-7.2000000000000099</c:v>
                </c:pt>
                <c:pt idx="29">
                  <c:v>-7.1000000000000103</c:v>
                </c:pt>
                <c:pt idx="30">
                  <c:v>-7.0000000000000107</c:v>
                </c:pt>
                <c:pt idx="31">
                  <c:v>-6.900000000000011</c:v>
                </c:pt>
                <c:pt idx="32">
                  <c:v>-6.8000000000000114</c:v>
                </c:pt>
                <c:pt idx="33">
                  <c:v>-6.7000000000000117</c:v>
                </c:pt>
                <c:pt idx="34">
                  <c:v>-6.6000000000000121</c:v>
                </c:pt>
                <c:pt idx="35">
                  <c:v>-6.5000000000000124</c:v>
                </c:pt>
                <c:pt idx="36">
                  <c:v>-6.4000000000000128</c:v>
                </c:pt>
                <c:pt idx="37">
                  <c:v>-6.3000000000000131</c:v>
                </c:pt>
                <c:pt idx="38">
                  <c:v>-6.2000000000000135</c:v>
                </c:pt>
                <c:pt idx="39">
                  <c:v>-6.1000000000000139</c:v>
                </c:pt>
                <c:pt idx="40">
                  <c:v>-6.0000000000000142</c:v>
                </c:pt>
                <c:pt idx="41">
                  <c:v>-5.9000000000000146</c:v>
                </c:pt>
                <c:pt idx="42">
                  <c:v>-5.8000000000000149</c:v>
                </c:pt>
                <c:pt idx="43">
                  <c:v>-5.7000000000000153</c:v>
                </c:pt>
                <c:pt idx="44">
                  <c:v>-5.6000000000000156</c:v>
                </c:pt>
                <c:pt idx="45">
                  <c:v>-5.500000000000016</c:v>
                </c:pt>
                <c:pt idx="46">
                  <c:v>-5.4000000000000163</c:v>
                </c:pt>
                <c:pt idx="47">
                  <c:v>-5.3000000000000167</c:v>
                </c:pt>
                <c:pt idx="48">
                  <c:v>-5.2000000000000171</c:v>
                </c:pt>
                <c:pt idx="49">
                  <c:v>-5.1000000000000174</c:v>
                </c:pt>
                <c:pt idx="50">
                  <c:v>-5.0000000000000178</c:v>
                </c:pt>
                <c:pt idx="51">
                  <c:v>-4.9000000000000181</c:v>
                </c:pt>
                <c:pt idx="52">
                  <c:v>-4.8000000000000185</c:v>
                </c:pt>
                <c:pt idx="53">
                  <c:v>-4.7000000000000188</c:v>
                </c:pt>
                <c:pt idx="54">
                  <c:v>-4.6000000000000192</c:v>
                </c:pt>
                <c:pt idx="55">
                  <c:v>-4.5000000000000195</c:v>
                </c:pt>
                <c:pt idx="56">
                  <c:v>-4.4000000000000199</c:v>
                </c:pt>
                <c:pt idx="57">
                  <c:v>-4.3000000000000203</c:v>
                </c:pt>
                <c:pt idx="58">
                  <c:v>-4.2000000000000206</c:v>
                </c:pt>
                <c:pt idx="59">
                  <c:v>-4.100000000000021</c:v>
                </c:pt>
                <c:pt idx="60">
                  <c:v>-4.0000000000000213</c:v>
                </c:pt>
                <c:pt idx="61">
                  <c:v>-3.9000000000000212</c:v>
                </c:pt>
                <c:pt idx="62">
                  <c:v>-3.8000000000000211</c:v>
                </c:pt>
                <c:pt idx="63">
                  <c:v>-3.700000000000021</c:v>
                </c:pt>
                <c:pt idx="64">
                  <c:v>-3.600000000000021</c:v>
                </c:pt>
                <c:pt idx="65">
                  <c:v>-3.5000000000000209</c:v>
                </c:pt>
                <c:pt idx="66">
                  <c:v>-3.4000000000000208</c:v>
                </c:pt>
                <c:pt idx="67">
                  <c:v>-3.3000000000000207</c:v>
                </c:pt>
                <c:pt idx="68">
                  <c:v>-3.2000000000000206</c:v>
                </c:pt>
                <c:pt idx="69">
                  <c:v>-3.1000000000000205</c:v>
                </c:pt>
                <c:pt idx="70">
                  <c:v>-3.0000000000000204</c:v>
                </c:pt>
                <c:pt idx="71">
                  <c:v>-2.9000000000000203</c:v>
                </c:pt>
                <c:pt idx="72">
                  <c:v>-2.8000000000000203</c:v>
                </c:pt>
                <c:pt idx="73">
                  <c:v>-2.7000000000000202</c:v>
                </c:pt>
                <c:pt idx="74">
                  <c:v>-2.6000000000000201</c:v>
                </c:pt>
                <c:pt idx="75">
                  <c:v>-2.50000000000002</c:v>
                </c:pt>
                <c:pt idx="76">
                  <c:v>-2.4000000000000199</c:v>
                </c:pt>
                <c:pt idx="77">
                  <c:v>-2.3000000000000198</c:v>
                </c:pt>
                <c:pt idx="78">
                  <c:v>-2.2000000000000197</c:v>
                </c:pt>
                <c:pt idx="79">
                  <c:v>-2.1000000000000196</c:v>
                </c:pt>
                <c:pt idx="80">
                  <c:v>-2.0000000000000195</c:v>
                </c:pt>
                <c:pt idx="81">
                  <c:v>-1.9000000000000195</c:v>
                </c:pt>
                <c:pt idx="82">
                  <c:v>-1.8000000000000194</c:v>
                </c:pt>
                <c:pt idx="83">
                  <c:v>-1.7000000000000193</c:v>
                </c:pt>
                <c:pt idx="84">
                  <c:v>-1.6000000000000192</c:v>
                </c:pt>
                <c:pt idx="85">
                  <c:v>-1.5000000000000191</c:v>
                </c:pt>
                <c:pt idx="86">
                  <c:v>-1.400000000000019</c:v>
                </c:pt>
                <c:pt idx="87">
                  <c:v>-1.3000000000000189</c:v>
                </c:pt>
                <c:pt idx="88">
                  <c:v>-1.2000000000000188</c:v>
                </c:pt>
                <c:pt idx="89">
                  <c:v>-1.1000000000000187</c:v>
                </c:pt>
                <c:pt idx="90">
                  <c:v>-1.0000000000000187</c:v>
                </c:pt>
                <c:pt idx="91">
                  <c:v>-0.90000000000001867</c:v>
                </c:pt>
                <c:pt idx="92">
                  <c:v>-0.8000000000000187</c:v>
                </c:pt>
                <c:pt idx="93">
                  <c:v>-0.70000000000001872</c:v>
                </c:pt>
                <c:pt idx="94">
                  <c:v>-0.60000000000001874</c:v>
                </c:pt>
                <c:pt idx="95">
                  <c:v>-0.50000000000001876</c:v>
                </c:pt>
                <c:pt idx="96">
                  <c:v>-0.40000000000001878</c:v>
                </c:pt>
                <c:pt idx="97">
                  <c:v>-0.30000000000001881</c:v>
                </c:pt>
                <c:pt idx="98">
                  <c:v>-0.2000000000000188</c:v>
                </c:pt>
                <c:pt idx="99">
                  <c:v>-0.1000000000000188</c:v>
                </c:pt>
                <c:pt idx="100">
                  <c:v>-1.8790524691780774E-14</c:v>
                </c:pt>
                <c:pt idx="101">
                  <c:v>9.9999999999981215E-2</c:v>
                </c:pt>
                <c:pt idx="102">
                  <c:v>0.19999999999998122</c:v>
                </c:pt>
                <c:pt idx="103">
                  <c:v>0.29999999999998123</c:v>
                </c:pt>
                <c:pt idx="104">
                  <c:v>0.39999999999998126</c:v>
                </c:pt>
                <c:pt idx="105">
                  <c:v>0.49999999999998124</c:v>
                </c:pt>
                <c:pt idx="106">
                  <c:v>0.59999999999998122</c:v>
                </c:pt>
                <c:pt idx="107">
                  <c:v>0.69999999999998119</c:v>
                </c:pt>
                <c:pt idx="108">
                  <c:v>0.79999999999998117</c:v>
                </c:pt>
                <c:pt idx="109">
                  <c:v>0.89999999999998115</c:v>
                </c:pt>
                <c:pt idx="110">
                  <c:v>0.99999999999998113</c:v>
                </c:pt>
                <c:pt idx="111">
                  <c:v>1.0999999999999812</c:v>
                </c:pt>
                <c:pt idx="112">
                  <c:v>1.1999999999999813</c:v>
                </c:pt>
                <c:pt idx="113">
                  <c:v>1.2999999999999814</c:v>
                </c:pt>
                <c:pt idx="114">
                  <c:v>1.3999999999999815</c:v>
                </c:pt>
                <c:pt idx="115">
                  <c:v>1.4999999999999816</c:v>
                </c:pt>
                <c:pt idx="116">
                  <c:v>1.5999999999999817</c:v>
                </c:pt>
                <c:pt idx="117">
                  <c:v>1.6999999999999817</c:v>
                </c:pt>
                <c:pt idx="118">
                  <c:v>1.7999999999999818</c:v>
                </c:pt>
                <c:pt idx="119">
                  <c:v>1.8999999999999819</c:v>
                </c:pt>
                <c:pt idx="120">
                  <c:v>1.999999999999982</c:v>
                </c:pt>
                <c:pt idx="121">
                  <c:v>2.0999999999999819</c:v>
                </c:pt>
                <c:pt idx="122">
                  <c:v>2.199999999999982</c:v>
                </c:pt>
                <c:pt idx="123">
                  <c:v>2.2999999999999821</c:v>
                </c:pt>
                <c:pt idx="124">
                  <c:v>2.3999999999999821</c:v>
                </c:pt>
                <c:pt idx="125">
                  <c:v>2.4999999999999822</c:v>
                </c:pt>
                <c:pt idx="126">
                  <c:v>2.5999999999999823</c:v>
                </c:pt>
                <c:pt idx="127">
                  <c:v>2.6999999999999824</c:v>
                </c:pt>
                <c:pt idx="128">
                  <c:v>2.7999999999999825</c:v>
                </c:pt>
                <c:pt idx="129">
                  <c:v>2.8999999999999826</c:v>
                </c:pt>
                <c:pt idx="130">
                  <c:v>2.9999999999999827</c:v>
                </c:pt>
                <c:pt idx="131">
                  <c:v>3.0999999999999828</c:v>
                </c:pt>
                <c:pt idx="132">
                  <c:v>3.1999999999999829</c:v>
                </c:pt>
                <c:pt idx="133">
                  <c:v>3.2999999999999829</c:v>
                </c:pt>
                <c:pt idx="134">
                  <c:v>3.399999999999983</c:v>
                </c:pt>
                <c:pt idx="135">
                  <c:v>3.4999999999999831</c:v>
                </c:pt>
                <c:pt idx="136">
                  <c:v>3.5999999999999832</c:v>
                </c:pt>
                <c:pt idx="137">
                  <c:v>3.6999999999999833</c:v>
                </c:pt>
                <c:pt idx="138">
                  <c:v>3.7999999999999834</c:v>
                </c:pt>
                <c:pt idx="139">
                  <c:v>3.8999999999999835</c:v>
                </c:pt>
                <c:pt idx="140">
                  <c:v>3.9999999999999836</c:v>
                </c:pt>
                <c:pt idx="141">
                  <c:v>4.0999999999999837</c:v>
                </c:pt>
                <c:pt idx="142">
                  <c:v>4.1999999999999833</c:v>
                </c:pt>
                <c:pt idx="143">
                  <c:v>4.2999999999999829</c:v>
                </c:pt>
                <c:pt idx="144">
                  <c:v>4.3999999999999826</c:v>
                </c:pt>
                <c:pt idx="145">
                  <c:v>4.4999999999999822</c:v>
                </c:pt>
                <c:pt idx="146">
                  <c:v>4.5999999999999819</c:v>
                </c:pt>
                <c:pt idx="147">
                  <c:v>4.6999999999999815</c:v>
                </c:pt>
                <c:pt idx="148">
                  <c:v>4.7999999999999812</c:v>
                </c:pt>
                <c:pt idx="149">
                  <c:v>4.8999999999999808</c:v>
                </c:pt>
                <c:pt idx="150">
                  <c:v>4.9999999999999805</c:v>
                </c:pt>
                <c:pt idx="151">
                  <c:v>5.0999999999999801</c:v>
                </c:pt>
                <c:pt idx="152">
                  <c:v>5.1999999999999797</c:v>
                </c:pt>
                <c:pt idx="153">
                  <c:v>5.2999999999999794</c:v>
                </c:pt>
                <c:pt idx="154">
                  <c:v>5.399999999999979</c:v>
                </c:pt>
                <c:pt idx="155">
                  <c:v>5.4999999999999787</c:v>
                </c:pt>
                <c:pt idx="156">
                  <c:v>5.5999999999999783</c:v>
                </c:pt>
                <c:pt idx="157">
                  <c:v>5.699999999999978</c:v>
                </c:pt>
                <c:pt idx="158">
                  <c:v>5.7999999999999776</c:v>
                </c:pt>
                <c:pt idx="159">
                  <c:v>5.8999999999999773</c:v>
                </c:pt>
                <c:pt idx="160">
                  <c:v>5.9999999999999769</c:v>
                </c:pt>
                <c:pt idx="161">
                  <c:v>6.0999999999999766</c:v>
                </c:pt>
                <c:pt idx="162">
                  <c:v>6.1999999999999762</c:v>
                </c:pt>
                <c:pt idx="163">
                  <c:v>6.2999999999999758</c:v>
                </c:pt>
                <c:pt idx="164">
                  <c:v>6.3999999999999755</c:v>
                </c:pt>
                <c:pt idx="165">
                  <c:v>6.4999999999999751</c:v>
                </c:pt>
                <c:pt idx="166">
                  <c:v>6.5999999999999748</c:v>
                </c:pt>
                <c:pt idx="167">
                  <c:v>6.6999999999999744</c:v>
                </c:pt>
                <c:pt idx="168">
                  <c:v>6.7999999999999741</c:v>
                </c:pt>
                <c:pt idx="169">
                  <c:v>6.8999999999999737</c:v>
                </c:pt>
                <c:pt idx="170">
                  <c:v>6.9999999999999734</c:v>
                </c:pt>
                <c:pt idx="171">
                  <c:v>7.099999999999973</c:v>
                </c:pt>
                <c:pt idx="172">
                  <c:v>7.1999999999999726</c:v>
                </c:pt>
                <c:pt idx="173">
                  <c:v>7.2999999999999723</c:v>
                </c:pt>
                <c:pt idx="174">
                  <c:v>7.3999999999999719</c:v>
                </c:pt>
                <c:pt idx="175">
                  <c:v>7.4999999999999716</c:v>
                </c:pt>
                <c:pt idx="176">
                  <c:v>7.5999999999999712</c:v>
                </c:pt>
                <c:pt idx="177">
                  <c:v>7.6999999999999709</c:v>
                </c:pt>
                <c:pt idx="178">
                  <c:v>7.7999999999999705</c:v>
                </c:pt>
                <c:pt idx="179">
                  <c:v>7.8999999999999702</c:v>
                </c:pt>
                <c:pt idx="180">
                  <c:v>7.9999999999999698</c:v>
                </c:pt>
                <c:pt idx="181">
                  <c:v>8.0999999999999694</c:v>
                </c:pt>
                <c:pt idx="182">
                  <c:v>8.1999999999999691</c:v>
                </c:pt>
                <c:pt idx="183">
                  <c:v>8.2999999999999687</c:v>
                </c:pt>
                <c:pt idx="184">
                  <c:v>8.3999999999999684</c:v>
                </c:pt>
                <c:pt idx="185">
                  <c:v>8.499999999999968</c:v>
                </c:pt>
                <c:pt idx="186">
                  <c:v>8.5999999999999677</c:v>
                </c:pt>
                <c:pt idx="187">
                  <c:v>8.6999999999999673</c:v>
                </c:pt>
                <c:pt idx="188">
                  <c:v>8.799999999999967</c:v>
                </c:pt>
                <c:pt idx="189">
                  <c:v>8.8999999999999666</c:v>
                </c:pt>
                <c:pt idx="190">
                  <c:v>8.9999999999999662</c:v>
                </c:pt>
                <c:pt idx="191">
                  <c:v>9.0999999999999659</c:v>
                </c:pt>
                <c:pt idx="192">
                  <c:v>9.1999999999999655</c:v>
                </c:pt>
                <c:pt idx="193">
                  <c:v>9.2999999999999652</c:v>
                </c:pt>
                <c:pt idx="194">
                  <c:v>9.3999999999999648</c:v>
                </c:pt>
                <c:pt idx="195">
                  <c:v>9.4999999999999645</c:v>
                </c:pt>
                <c:pt idx="196">
                  <c:v>9.5999999999999641</c:v>
                </c:pt>
                <c:pt idx="197">
                  <c:v>9.6999999999999638</c:v>
                </c:pt>
                <c:pt idx="198">
                  <c:v>9.7999999999999634</c:v>
                </c:pt>
                <c:pt idx="199">
                  <c:v>9.8999999999999631</c:v>
                </c:pt>
                <c:pt idx="200">
                  <c:v>9.9999999999999627</c:v>
                </c:pt>
              </c:numCache>
            </c:numRef>
          </c:xVal>
          <c:yVal>
            <c:numRef>
              <c:f>Sheet1!$C$8:$C$208</c:f>
              <c:numCache>
                <c:formatCode>#,##0.000000</c:formatCode>
                <c:ptCount val="201"/>
                <c:pt idx="0">
                  <c:v>7.6198530241605255E-24</c:v>
                </c:pt>
                <c:pt idx="1">
                  <c:v>2.0813752194932082E-23</c:v>
                </c:pt>
                <c:pt idx="2">
                  <c:v>5.6292823113765143E-23</c:v>
                </c:pt>
                <c:pt idx="3">
                  <c:v>1.507493168810181E-22</c:v>
                </c:pt>
                <c:pt idx="4">
                  <c:v>3.9972212057261766E-22</c:v>
                </c:pt>
                <c:pt idx="5">
                  <c:v>1.0494515075362456E-21</c:v>
                </c:pt>
                <c:pt idx="6">
                  <c:v>2.7281535713460688E-21</c:v>
                </c:pt>
                <c:pt idx="7">
                  <c:v>7.02228424044149E-21</c:v>
                </c:pt>
                <c:pt idx="8">
                  <c:v>1.789748812013989E-20</c:v>
                </c:pt>
                <c:pt idx="9">
                  <c:v>4.5165914914353079E-20</c:v>
                </c:pt>
                <c:pt idx="10">
                  <c:v>1.1285884059538003E-19</c:v>
                </c:pt>
                <c:pt idx="11">
                  <c:v>2.7923343749395636E-19</c:v>
                </c:pt>
                <c:pt idx="12">
                  <c:v>6.8408076859353507E-19</c:v>
                </c:pt>
                <c:pt idx="13">
                  <c:v>1.6594208699647043E-18</c:v>
                </c:pt>
                <c:pt idx="14">
                  <c:v>3.9858049628480093E-18</c:v>
                </c:pt>
                <c:pt idx="15">
                  <c:v>9.4795348222029094E-18</c:v>
                </c:pt>
                <c:pt idx="16">
                  <c:v>2.2323931972879352E-17</c:v>
                </c:pt>
                <c:pt idx="17">
                  <c:v>5.2055697448900222E-17</c:v>
                </c:pt>
                <c:pt idx="18">
                  <c:v>1.2019351542735126E-16</c:v>
                </c:pt>
                <c:pt idx="19">
                  <c:v>2.7479593923980629E-16</c:v>
                </c:pt>
                <c:pt idx="20">
                  <c:v>6.2209605742714259E-16</c:v>
                </c:pt>
                <c:pt idx="21">
                  <c:v>1.3945171466591853E-15</c:v>
                </c:pt>
                <c:pt idx="22">
                  <c:v>3.0953587719585003E-15</c:v>
                </c:pt>
                <c:pt idx="23">
                  <c:v>6.8033115407735328E-15</c:v>
                </c:pt>
                <c:pt idx="24">
                  <c:v>1.480653749004705E-14</c:v>
                </c:pt>
                <c:pt idx="25">
                  <c:v>3.190891672910678E-14</c:v>
                </c:pt>
                <c:pt idx="26">
                  <c:v>6.8092248906195485E-14</c:v>
                </c:pt>
                <c:pt idx="27">
                  <c:v>1.4388386381574822E-13</c:v>
                </c:pt>
                <c:pt idx="28">
                  <c:v>3.0106279811172143E-13</c:v>
                </c:pt>
                <c:pt idx="29">
                  <c:v>6.2378444633311121E-13</c:v>
                </c:pt>
                <c:pt idx="30">
                  <c:v>1.2798125438857374E-12</c:v>
                </c:pt>
                <c:pt idx="31">
                  <c:v>2.6001269656379755E-12</c:v>
                </c:pt>
                <c:pt idx="32">
                  <c:v>5.2309575441441836E-12</c:v>
                </c:pt>
                <c:pt idx="33">
                  <c:v>1.042097698796436E-11</c:v>
                </c:pt>
                <c:pt idx="34">
                  <c:v>2.0557889093993516E-11</c:v>
                </c:pt>
                <c:pt idx="35">
                  <c:v>4.0160005838587824E-11</c:v>
                </c:pt>
                <c:pt idx="36">
                  <c:v>7.7688475817091785E-11</c:v>
                </c:pt>
                <c:pt idx="37">
                  <c:v>1.4882282217621826E-10</c:v>
                </c:pt>
                <c:pt idx="38">
                  <c:v>2.8231580370430314E-10</c:v>
                </c:pt>
                <c:pt idx="39">
                  <c:v>5.3034232629483644E-10</c:v>
                </c:pt>
                <c:pt idx="40">
                  <c:v>9.8658764503761186E-10</c:v>
                </c:pt>
                <c:pt idx="41">
                  <c:v>1.8175078630992715E-9</c:v>
                </c:pt>
                <c:pt idx="42">
                  <c:v>3.3157459783258697E-9</c:v>
                </c:pt>
                <c:pt idx="43">
                  <c:v>5.9903714010630027E-9</c:v>
                </c:pt>
                <c:pt idx="44">
                  <c:v>1.071759025830995E-8</c:v>
                </c:pt>
                <c:pt idx="45">
                  <c:v>1.8989562465885987E-8</c:v>
                </c:pt>
                <c:pt idx="46">
                  <c:v>3.3320448485425517E-8</c:v>
                </c:pt>
                <c:pt idx="47">
                  <c:v>5.7901340399640593E-8</c:v>
                </c:pt>
                <c:pt idx="48">
                  <c:v>9.9644263169325714E-8</c:v>
                </c:pt>
                <c:pt idx="49">
                  <c:v>1.6982674071474415E-7</c:v>
                </c:pt>
                <c:pt idx="50">
                  <c:v>2.8665157187916755E-7</c:v>
                </c:pt>
                <c:pt idx="51">
                  <c:v>4.7918327659027535E-7</c:v>
                </c:pt>
                <c:pt idx="52">
                  <c:v>7.9332815197552196E-7</c:v>
                </c:pt>
                <c:pt idx="53">
                  <c:v>1.3008074539171617E-6</c:v>
                </c:pt>
                <c:pt idx="54">
                  <c:v>2.1124547025026542E-6</c:v>
                </c:pt>
                <c:pt idx="55">
                  <c:v>3.397673124729746E-6</c:v>
                </c:pt>
                <c:pt idx="56">
                  <c:v>5.4125439077033664E-6</c:v>
                </c:pt>
                <c:pt idx="57">
                  <c:v>8.5399054709910335E-6</c:v>
                </c:pt>
                <c:pt idx="58">
                  <c:v>1.3345749015905116E-5</c:v>
                </c:pt>
                <c:pt idx="59">
                  <c:v>2.065750691254486E-5</c:v>
                </c:pt>
                <c:pt idx="60">
                  <c:v>3.1671241833117078E-5</c:v>
                </c:pt>
                <c:pt idx="61">
                  <c:v>4.8096344017598488E-5</c:v>
                </c:pt>
                <c:pt idx="62">
                  <c:v>7.2348043925113769E-5</c:v>
                </c:pt>
                <c:pt idx="63">
                  <c:v>1.0779973347737941E-4</c:v>
                </c:pt>
                <c:pt idx="64">
                  <c:v>1.5910859015752109E-4</c:v>
                </c:pt>
                <c:pt idx="65">
                  <c:v>2.3262907903550683E-4</c:v>
                </c:pt>
                <c:pt idx="66">
                  <c:v>3.3692926567685532E-4</c:v>
                </c:pt>
                <c:pt idx="67">
                  <c:v>4.8342414238374145E-4</c:v>
                </c:pt>
                <c:pt idx="68">
                  <c:v>6.8713793791579916E-4</c:v>
                </c:pt>
                <c:pt idx="69">
                  <c:v>9.6760321321828974E-4</c:v>
                </c:pt>
                <c:pt idx="70">
                  <c:v>1.3498980316300042E-3</c:v>
                </c:pt>
                <c:pt idx="71">
                  <c:v>1.8658133003839172E-3</c:v>
                </c:pt>
                <c:pt idx="72">
                  <c:v>2.555130330427772E-3</c:v>
                </c:pt>
                <c:pt idx="73">
                  <c:v>3.4669738030404574E-3</c:v>
                </c:pt>
                <c:pt idx="74">
                  <c:v>4.661188023718477E-3</c:v>
                </c:pt>
                <c:pt idx="75">
                  <c:v>6.2096653257757818E-3</c:v>
                </c:pt>
                <c:pt idx="76">
                  <c:v>8.1975359245956819E-3</c:v>
                </c:pt>
                <c:pt idx="77">
                  <c:v>1.0724110021675243E-2</c:v>
                </c:pt>
                <c:pt idx="78">
                  <c:v>1.390344751349791E-2</c:v>
                </c:pt>
                <c:pt idx="79">
                  <c:v>1.7864420562815692E-2</c:v>
                </c:pt>
                <c:pt idx="80">
                  <c:v>2.2750131948178147E-2</c:v>
                </c:pt>
                <c:pt idx="81">
                  <c:v>2.8716559816000527E-2</c:v>
                </c:pt>
                <c:pt idx="82">
                  <c:v>3.5930319112924269E-2</c:v>
                </c:pt>
                <c:pt idx="83">
                  <c:v>4.4565462758541237E-2</c:v>
                </c:pt>
                <c:pt idx="84">
                  <c:v>5.4799291699555865E-2</c:v>
                </c:pt>
                <c:pt idx="85">
                  <c:v>6.6807201268855601E-2</c:v>
                </c:pt>
                <c:pt idx="86">
                  <c:v>8.0756659233768208E-2</c:v>
                </c:pt>
                <c:pt idx="87">
                  <c:v>9.6800484585607069E-2</c:v>
                </c:pt>
                <c:pt idx="88">
                  <c:v>0.11506967022170463</c:v>
                </c:pt>
                <c:pt idx="89">
                  <c:v>0.13566606094637859</c:v>
                </c:pt>
                <c:pt idx="90">
                  <c:v>0.15865525393145255</c:v>
                </c:pt>
                <c:pt idx="91">
                  <c:v>0.18406012534675456</c:v>
                </c:pt>
                <c:pt idx="92">
                  <c:v>0.21185539858339131</c:v>
                </c:pt>
                <c:pt idx="93">
                  <c:v>0.24196365222306723</c:v>
                </c:pt>
                <c:pt idx="94">
                  <c:v>0.27425311775006733</c:v>
                </c:pt>
                <c:pt idx="95">
                  <c:v>0.30853753872598033</c:v>
                </c:pt>
                <c:pt idx="96">
                  <c:v>0.34457825838966893</c:v>
                </c:pt>
                <c:pt idx="97">
                  <c:v>0.38208857781104022</c:v>
                </c:pt>
                <c:pt idx="98">
                  <c:v>0.42074029056088963</c:v>
                </c:pt>
                <c:pt idx="99">
                  <c:v>0.46017216272296357</c:v>
                </c:pt>
                <c:pt idx="100">
                  <c:v>0.49999999999999251</c:v>
                </c:pt>
                <c:pt idx="101">
                  <c:v>0.53982783727702155</c:v>
                </c:pt>
                <c:pt idx="102">
                  <c:v>0.57925970943909566</c:v>
                </c:pt>
                <c:pt idx="103">
                  <c:v>0.61791142218894546</c:v>
                </c:pt>
                <c:pt idx="104">
                  <c:v>0.65542174161031719</c:v>
                </c:pt>
                <c:pt idx="105">
                  <c:v>0.69146246127400646</c:v>
                </c:pt>
                <c:pt idx="106">
                  <c:v>0.72574688224992012</c:v>
                </c:pt>
                <c:pt idx="107">
                  <c:v>0.75803634777692108</c:v>
                </c:pt>
                <c:pt idx="108">
                  <c:v>0.78814460141659792</c:v>
                </c:pt>
                <c:pt idx="109">
                  <c:v>0.81593987465323548</c:v>
                </c:pt>
                <c:pt idx="110">
                  <c:v>0.84134474606853837</c:v>
                </c:pt>
                <c:pt idx="111">
                  <c:v>0.86433393905361333</c:v>
                </c:pt>
                <c:pt idx="112">
                  <c:v>0.88493032977828812</c:v>
                </c:pt>
                <c:pt idx="113">
                  <c:v>0.90319951541438648</c:v>
                </c:pt>
                <c:pt idx="114">
                  <c:v>0.91924334076622616</c:v>
                </c:pt>
                <c:pt idx="115">
                  <c:v>0.93319279873113958</c:v>
                </c:pt>
                <c:pt idx="116">
                  <c:v>0.94520070830044001</c:v>
                </c:pt>
                <c:pt idx="117">
                  <c:v>0.95543453724145522</c:v>
                </c:pt>
                <c:pt idx="118">
                  <c:v>0.96406968088707279</c:v>
                </c:pt>
                <c:pt idx="119">
                  <c:v>0.97128344018399704</c:v>
                </c:pt>
                <c:pt idx="120">
                  <c:v>0.97724986805181979</c:v>
                </c:pt>
                <c:pt idx="121">
                  <c:v>0.98213557943718266</c:v>
                </c:pt>
                <c:pt idx="122">
                  <c:v>0.98609655248650074</c:v>
                </c:pt>
                <c:pt idx="123">
                  <c:v>0.98927588997832372</c:v>
                </c:pt>
                <c:pt idx="124">
                  <c:v>0.99180246407540351</c:v>
                </c:pt>
                <c:pt idx="125">
                  <c:v>0.99379033467422351</c:v>
                </c:pt>
                <c:pt idx="126">
                  <c:v>0.99533881197628105</c:v>
                </c:pt>
                <c:pt idx="127">
                  <c:v>0.99653302619695916</c:v>
                </c:pt>
                <c:pt idx="128">
                  <c:v>0.99744486966957191</c:v>
                </c:pt>
                <c:pt idx="129">
                  <c:v>0.99813418669961584</c:v>
                </c:pt>
                <c:pt idx="130">
                  <c:v>0.99865010196836979</c:v>
                </c:pt>
                <c:pt idx="131">
                  <c:v>0.99903239678678157</c:v>
                </c:pt>
                <c:pt idx="132">
                  <c:v>0.99931286206208414</c:v>
                </c:pt>
                <c:pt idx="133">
                  <c:v>0.99951657585761622</c:v>
                </c:pt>
                <c:pt idx="134">
                  <c:v>0.99966307073432314</c:v>
                </c:pt>
                <c:pt idx="135">
                  <c:v>0.99976737092096446</c:v>
                </c:pt>
                <c:pt idx="136">
                  <c:v>0.99984089140984245</c:v>
                </c:pt>
                <c:pt idx="137">
                  <c:v>0.99989220026652259</c:v>
                </c:pt>
                <c:pt idx="138">
                  <c:v>0.99992765195607491</c:v>
                </c:pt>
                <c:pt idx="139">
                  <c:v>0.99995190365598241</c:v>
                </c:pt>
                <c:pt idx="140">
                  <c:v>0.99996832875816688</c:v>
                </c:pt>
                <c:pt idx="141">
                  <c:v>0.9999793424930874</c:v>
                </c:pt>
                <c:pt idx="142">
                  <c:v>0.9999866542509841</c:v>
                </c:pt>
                <c:pt idx="143">
                  <c:v>0.99999146009452899</c:v>
                </c:pt>
                <c:pt idx="144">
                  <c:v>0.99999458745609227</c:v>
                </c:pt>
                <c:pt idx="145">
                  <c:v>0.99999660232687526</c:v>
                </c:pt>
                <c:pt idx="146">
                  <c:v>0.9999978875452975</c:v>
                </c:pt>
                <c:pt idx="147">
                  <c:v>0.99999869919254614</c:v>
                </c:pt>
                <c:pt idx="148">
                  <c:v>0.99999920667184805</c:v>
                </c:pt>
                <c:pt idx="149">
                  <c:v>0.99999952081672339</c:v>
                </c:pt>
                <c:pt idx="150">
                  <c:v>0.99999971334842808</c:v>
                </c:pt>
                <c:pt idx="151">
                  <c:v>0.99999983017325933</c:v>
                </c:pt>
                <c:pt idx="152">
                  <c:v>0.99999990035573683</c:v>
                </c:pt>
                <c:pt idx="153">
                  <c:v>0.99999994209865961</c:v>
                </c:pt>
                <c:pt idx="154">
                  <c:v>0.99999996667955149</c:v>
                </c:pt>
                <c:pt idx="155">
                  <c:v>0.99999998101043752</c:v>
                </c:pt>
                <c:pt idx="156">
                  <c:v>0.99999998928240974</c:v>
                </c:pt>
                <c:pt idx="157">
                  <c:v>0.99999999400962858</c:v>
                </c:pt>
                <c:pt idx="158">
                  <c:v>0.99999999668425399</c:v>
                </c:pt>
                <c:pt idx="159">
                  <c:v>0.99999999818249219</c:v>
                </c:pt>
                <c:pt idx="160">
                  <c:v>0.9999999990134123</c:v>
                </c:pt>
                <c:pt idx="161">
                  <c:v>0.99999999946965767</c:v>
                </c:pt>
                <c:pt idx="162">
                  <c:v>0.99999999971768416</c:v>
                </c:pt>
                <c:pt idx="163">
                  <c:v>0.99999999985117716</c:v>
                </c:pt>
                <c:pt idx="164">
                  <c:v>0.99999999992231148</c:v>
                </c:pt>
                <c:pt idx="165">
                  <c:v>0.99999999995984001</c:v>
                </c:pt>
                <c:pt idx="166">
                  <c:v>0.99999999997944211</c:v>
                </c:pt>
                <c:pt idx="167">
                  <c:v>0.999999999989579</c:v>
                </c:pt>
                <c:pt idx="168">
                  <c:v>0.99999999999476907</c:v>
                </c:pt>
                <c:pt idx="169">
                  <c:v>0.99999999999739986</c:v>
                </c:pt>
                <c:pt idx="170">
                  <c:v>0.99999999999872013</c:v>
                </c:pt>
                <c:pt idx="171">
                  <c:v>0.99999999999937617</c:v>
                </c:pt>
                <c:pt idx="172">
                  <c:v>0.99999999999969891</c:v>
                </c:pt>
                <c:pt idx="173">
                  <c:v>0.99999999999985612</c:v>
                </c:pt>
                <c:pt idx="174">
                  <c:v>0.99999999999993194</c:v>
                </c:pt>
                <c:pt idx="175">
                  <c:v>0.99999999999996814</c:v>
                </c:pt>
                <c:pt idx="176">
                  <c:v>0.99999999999998523</c:v>
                </c:pt>
                <c:pt idx="177">
                  <c:v>0.99999999999999323</c:v>
                </c:pt>
                <c:pt idx="178">
                  <c:v>0.99999999999999689</c:v>
                </c:pt>
                <c:pt idx="179">
                  <c:v>0.99999999999999856</c:v>
                </c:pt>
                <c:pt idx="180">
                  <c:v>0.99999999999999933</c:v>
                </c:pt>
                <c:pt idx="181">
                  <c:v>0.99999999999999978</c:v>
                </c:pt>
                <c:pt idx="182">
                  <c:v>0.99999999999999989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18304"/>
        <c:axId val="830714240"/>
      </c:scatterChart>
      <c:valAx>
        <c:axId val="159218304"/>
        <c:scaling>
          <c:orientation val="minMax"/>
          <c:max val="10"/>
          <c:min val="-10"/>
        </c:scaling>
        <c:delete val="0"/>
        <c:axPos val="b"/>
        <c:numFmt formatCode="#,##0.00" sourceLinked="1"/>
        <c:majorTickMark val="out"/>
        <c:minorTickMark val="none"/>
        <c:tickLblPos val="nextTo"/>
        <c:crossAx val="830714240"/>
        <c:crosses val="autoZero"/>
        <c:crossBetween val="midCat"/>
        <c:majorUnit val="10"/>
      </c:valAx>
      <c:valAx>
        <c:axId val="830714240"/>
        <c:scaling>
          <c:orientation val="minMax"/>
        </c:scaling>
        <c:delete val="0"/>
        <c:axPos val="l"/>
        <c:numFmt formatCode="#,##0.00" sourceLinked="0"/>
        <c:majorTickMark val="out"/>
        <c:minorTickMark val="none"/>
        <c:tickLblPos val="nextTo"/>
        <c:crossAx val="15921830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>
        <c:manualLayout>
          <c:layoutTarget val="inner"/>
          <c:xMode val="edge"/>
          <c:yMode val="edge"/>
          <c:x val="8.5570710440855915E-2"/>
          <c:y val="6.0054184290474134E-2"/>
          <c:w val="0.83577383335557631"/>
          <c:h val="0.8044399430472934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Sheet1!$D$7</c:f>
              <c:strCache>
                <c:ptCount val="1"/>
                <c:pt idx="0">
                  <c:v>Pdf</c:v>
                </c:pt>
              </c:strCache>
            </c:strRef>
          </c:tx>
          <c:marker>
            <c:symbol val="none"/>
          </c:marker>
          <c:xVal>
            <c:numRef>
              <c:f>Sheet1!$B$8:$B$208</c:f>
              <c:numCache>
                <c:formatCode>#,##0.00</c:formatCode>
                <c:ptCount val="201"/>
                <c:pt idx="0">
                  <c:v>-10</c:v>
                </c:pt>
                <c:pt idx="1">
                  <c:v>-9.9</c:v>
                </c:pt>
                <c:pt idx="2">
                  <c:v>-9.8000000000000007</c:v>
                </c:pt>
                <c:pt idx="3">
                  <c:v>-9.7000000000000011</c:v>
                </c:pt>
                <c:pt idx="4">
                  <c:v>-9.6000000000000014</c:v>
                </c:pt>
                <c:pt idx="5">
                  <c:v>-9.5000000000000018</c:v>
                </c:pt>
                <c:pt idx="6">
                  <c:v>-9.4000000000000021</c:v>
                </c:pt>
                <c:pt idx="7">
                  <c:v>-9.3000000000000025</c:v>
                </c:pt>
                <c:pt idx="8">
                  <c:v>-9.2000000000000028</c:v>
                </c:pt>
                <c:pt idx="9">
                  <c:v>-9.1000000000000032</c:v>
                </c:pt>
                <c:pt idx="10">
                  <c:v>-9.0000000000000036</c:v>
                </c:pt>
                <c:pt idx="11">
                  <c:v>-8.9000000000000039</c:v>
                </c:pt>
                <c:pt idx="12">
                  <c:v>-8.8000000000000043</c:v>
                </c:pt>
                <c:pt idx="13">
                  <c:v>-8.7000000000000046</c:v>
                </c:pt>
                <c:pt idx="14">
                  <c:v>-8.600000000000005</c:v>
                </c:pt>
                <c:pt idx="15">
                  <c:v>-8.5000000000000053</c:v>
                </c:pt>
                <c:pt idx="16">
                  <c:v>-8.4000000000000057</c:v>
                </c:pt>
                <c:pt idx="17">
                  <c:v>-8.300000000000006</c:v>
                </c:pt>
                <c:pt idx="18">
                  <c:v>-8.2000000000000064</c:v>
                </c:pt>
                <c:pt idx="19">
                  <c:v>-8.1000000000000068</c:v>
                </c:pt>
                <c:pt idx="20">
                  <c:v>-8.0000000000000071</c:v>
                </c:pt>
                <c:pt idx="21">
                  <c:v>-7.9000000000000075</c:v>
                </c:pt>
                <c:pt idx="22">
                  <c:v>-7.8000000000000078</c:v>
                </c:pt>
                <c:pt idx="23">
                  <c:v>-7.7000000000000082</c:v>
                </c:pt>
                <c:pt idx="24">
                  <c:v>-7.6000000000000085</c:v>
                </c:pt>
                <c:pt idx="25">
                  <c:v>-7.5000000000000089</c:v>
                </c:pt>
                <c:pt idx="26">
                  <c:v>-7.4000000000000092</c:v>
                </c:pt>
                <c:pt idx="27">
                  <c:v>-7.3000000000000096</c:v>
                </c:pt>
                <c:pt idx="28">
                  <c:v>-7.2000000000000099</c:v>
                </c:pt>
                <c:pt idx="29">
                  <c:v>-7.1000000000000103</c:v>
                </c:pt>
                <c:pt idx="30">
                  <c:v>-7.0000000000000107</c:v>
                </c:pt>
                <c:pt idx="31">
                  <c:v>-6.900000000000011</c:v>
                </c:pt>
                <c:pt idx="32">
                  <c:v>-6.8000000000000114</c:v>
                </c:pt>
                <c:pt idx="33">
                  <c:v>-6.7000000000000117</c:v>
                </c:pt>
                <c:pt idx="34">
                  <c:v>-6.6000000000000121</c:v>
                </c:pt>
                <c:pt idx="35">
                  <c:v>-6.5000000000000124</c:v>
                </c:pt>
                <c:pt idx="36">
                  <c:v>-6.4000000000000128</c:v>
                </c:pt>
                <c:pt idx="37">
                  <c:v>-6.3000000000000131</c:v>
                </c:pt>
                <c:pt idx="38">
                  <c:v>-6.2000000000000135</c:v>
                </c:pt>
                <c:pt idx="39">
                  <c:v>-6.1000000000000139</c:v>
                </c:pt>
                <c:pt idx="40">
                  <c:v>-6.0000000000000142</c:v>
                </c:pt>
                <c:pt idx="41">
                  <c:v>-5.9000000000000146</c:v>
                </c:pt>
                <c:pt idx="42">
                  <c:v>-5.8000000000000149</c:v>
                </c:pt>
                <c:pt idx="43">
                  <c:v>-5.7000000000000153</c:v>
                </c:pt>
                <c:pt idx="44">
                  <c:v>-5.6000000000000156</c:v>
                </c:pt>
                <c:pt idx="45">
                  <c:v>-5.500000000000016</c:v>
                </c:pt>
                <c:pt idx="46">
                  <c:v>-5.4000000000000163</c:v>
                </c:pt>
                <c:pt idx="47">
                  <c:v>-5.3000000000000167</c:v>
                </c:pt>
                <c:pt idx="48">
                  <c:v>-5.2000000000000171</c:v>
                </c:pt>
                <c:pt idx="49">
                  <c:v>-5.1000000000000174</c:v>
                </c:pt>
                <c:pt idx="50">
                  <c:v>-5.0000000000000178</c:v>
                </c:pt>
                <c:pt idx="51">
                  <c:v>-4.9000000000000181</c:v>
                </c:pt>
                <c:pt idx="52">
                  <c:v>-4.8000000000000185</c:v>
                </c:pt>
                <c:pt idx="53">
                  <c:v>-4.7000000000000188</c:v>
                </c:pt>
                <c:pt idx="54">
                  <c:v>-4.6000000000000192</c:v>
                </c:pt>
                <c:pt idx="55">
                  <c:v>-4.5000000000000195</c:v>
                </c:pt>
                <c:pt idx="56">
                  <c:v>-4.4000000000000199</c:v>
                </c:pt>
                <c:pt idx="57">
                  <c:v>-4.3000000000000203</c:v>
                </c:pt>
                <c:pt idx="58">
                  <c:v>-4.2000000000000206</c:v>
                </c:pt>
                <c:pt idx="59">
                  <c:v>-4.100000000000021</c:v>
                </c:pt>
                <c:pt idx="60">
                  <c:v>-4.0000000000000213</c:v>
                </c:pt>
                <c:pt idx="61">
                  <c:v>-3.9000000000000212</c:v>
                </c:pt>
                <c:pt idx="62">
                  <c:v>-3.8000000000000211</c:v>
                </c:pt>
                <c:pt idx="63">
                  <c:v>-3.700000000000021</c:v>
                </c:pt>
                <c:pt idx="64">
                  <c:v>-3.600000000000021</c:v>
                </c:pt>
                <c:pt idx="65">
                  <c:v>-3.5000000000000209</c:v>
                </c:pt>
                <c:pt idx="66">
                  <c:v>-3.4000000000000208</c:v>
                </c:pt>
                <c:pt idx="67">
                  <c:v>-3.3000000000000207</c:v>
                </c:pt>
                <c:pt idx="68">
                  <c:v>-3.2000000000000206</c:v>
                </c:pt>
                <c:pt idx="69">
                  <c:v>-3.1000000000000205</c:v>
                </c:pt>
                <c:pt idx="70">
                  <c:v>-3.0000000000000204</c:v>
                </c:pt>
                <c:pt idx="71">
                  <c:v>-2.9000000000000203</c:v>
                </c:pt>
                <c:pt idx="72">
                  <c:v>-2.8000000000000203</c:v>
                </c:pt>
                <c:pt idx="73">
                  <c:v>-2.7000000000000202</c:v>
                </c:pt>
                <c:pt idx="74">
                  <c:v>-2.6000000000000201</c:v>
                </c:pt>
                <c:pt idx="75">
                  <c:v>-2.50000000000002</c:v>
                </c:pt>
                <c:pt idx="76">
                  <c:v>-2.4000000000000199</c:v>
                </c:pt>
                <c:pt idx="77">
                  <c:v>-2.3000000000000198</c:v>
                </c:pt>
                <c:pt idx="78">
                  <c:v>-2.2000000000000197</c:v>
                </c:pt>
                <c:pt idx="79">
                  <c:v>-2.1000000000000196</c:v>
                </c:pt>
                <c:pt idx="80">
                  <c:v>-2.0000000000000195</c:v>
                </c:pt>
                <c:pt idx="81">
                  <c:v>-1.9000000000000195</c:v>
                </c:pt>
                <c:pt idx="82">
                  <c:v>-1.8000000000000194</c:v>
                </c:pt>
                <c:pt idx="83">
                  <c:v>-1.7000000000000193</c:v>
                </c:pt>
                <c:pt idx="84">
                  <c:v>-1.6000000000000192</c:v>
                </c:pt>
                <c:pt idx="85">
                  <c:v>-1.5000000000000191</c:v>
                </c:pt>
                <c:pt idx="86">
                  <c:v>-1.400000000000019</c:v>
                </c:pt>
                <c:pt idx="87">
                  <c:v>-1.3000000000000189</c:v>
                </c:pt>
                <c:pt idx="88">
                  <c:v>-1.2000000000000188</c:v>
                </c:pt>
                <c:pt idx="89">
                  <c:v>-1.1000000000000187</c:v>
                </c:pt>
                <c:pt idx="90">
                  <c:v>-1.0000000000000187</c:v>
                </c:pt>
                <c:pt idx="91">
                  <c:v>-0.90000000000001867</c:v>
                </c:pt>
                <c:pt idx="92">
                  <c:v>-0.8000000000000187</c:v>
                </c:pt>
                <c:pt idx="93">
                  <c:v>-0.70000000000001872</c:v>
                </c:pt>
                <c:pt idx="94">
                  <c:v>-0.60000000000001874</c:v>
                </c:pt>
                <c:pt idx="95">
                  <c:v>-0.50000000000001876</c:v>
                </c:pt>
                <c:pt idx="96">
                  <c:v>-0.40000000000001878</c:v>
                </c:pt>
                <c:pt idx="97">
                  <c:v>-0.30000000000001881</c:v>
                </c:pt>
                <c:pt idx="98">
                  <c:v>-0.2000000000000188</c:v>
                </c:pt>
                <c:pt idx="99">
                  <c:v>-0.1000000000000188</c:v>
                </c:pt>
                <c:pt idx="100">
                  <c:v>-1.8790524691780774E-14</c:v>
                </c:pt>
                <c:pt idx="101">
                  <c:v>9.9999999999981215E-2</c:v>
                </c:pt>
                <c:pt idx="102">
                  <c:v>0.19999999999998122</c:v>
                </c:pt>
                <c:pt idx="103">
                  <c:v>0.29999999999998123</c:v>
                </c:pt>
                <c:pt idx="104">
                  <c:v>0.39999999999998126</c:v>
                </c:pt>
                <c:pt idx="105">
                  <c:v>0.49999999999998124</c:v>
                </c:pt>
                <c:pt idx="106">
                  <c:v>0.59999999999998122</c:v>
                </c:pt>
                <c:pt idx="107">
                  <c:v>0.69999999999998119</c:v>
                </c:pt>
                <c:pt idx="108">
                  <c:v>0.79999999999998117</c:v>
                </c:pt>
                <c:pt idx="109">
                  <c:v>0.89999999999998115</c:v>
                </c:pt>
                <c:pt idx="110">
                  <c:v>0.99999999999998113</c:v>
                </c:pt>
                <c:pt idx="111">
                  <c:v>1.0999999999999812</c:v>
                </c:pt>
                <c:pt idx="112">
                  <c:v>1.1999999999999813</c:v>
                </c:pt>
                <c:pt idx="113">
                  <c:v>1.2999999999999814</c:v>
                </c:pt>
                <c:pt idx="114">
                  <c:v>1.3999999999999815</c:v>
                </c:pt>
                <c:pt idx="115">
                  <c:v>1.4999999999999816</c:v>
                </c:pt>
                <c:pt idx="116">
                  <c:v>1.5999999999999817</c:v>
                </c:pt>
                <c:pt idx="117">
                  <c:v>1.6999999999999817</c:v>
                </c:pt>
                <c:pt idx="118">
                  <c:v>1.7999999999999818</c:v>
                </c:pt>
                <c:pt idx="119">
                  <c:v>1.8999999999999819</c:v>
                </c:pt>
                <c:pt idx="120">
                  <c:v>1.999999999999982</c:v>
                </c:pt>
                <c:pt idx="121">
                  <c:v>2.0999999999999819</c:v>
                </c:pt>
                <c:pt idx="122">
                  <c:v>2.199999999999982</c:v>
                </c:pt>
                <c:pt idx="123">
                  <c:v>2.2999999999999821</c:v>
                </c:pt>
                <c:pt idx="124">
                  <c:v>2.3999999999999821</c:v>
                </c:pt>
                <c:pt idx="125">
                  <c:v>2.4999999999999822</c:v>
                </c:pt>
                <c:pt idx="126">
                  <c:v>2.5999999999999823</c:v>
                </c:pt>
                <c:pt idx="127">
                  <c:v>2.6999999999999824</c:v>
                </c:pt>
                <c:pt idx="128">
                  <c:v>2.7999999999999825</c:v>
                </c:pt>
                <c:pt idx="129">
                  <c:v>2.8999999999999826</c:v>
                </c:pt>
                <c:pt idx="130">
                  <c:v>2.9999999999999827</c:v>
                </c:pt>
                <c:pt idx="131">
                  <c:v>3.0999999999999828</c:v>
                </c:pt>
                <c:pt idx="132">
                  <c:v>3.1999999999999829</c:v>
                </c:pt>
                <c:pt idx="133">
                  <c:v>3.2999999999999829</c:v>
                </c:pt>
                <c:pt idx="134">
                  <c:v>3.399999999999983</c:v>
                </c:pt>
                <c:pt idx="135">
                  <c:v>3.4999999999999831</c:v>
                </c:pt>
                <c:pt idx="136">
                  <c:v>3.5999999999999832</c:v>
                </c:pt>
                <c:pt idx="137">
                  <c:v>3.6999999999999833</c:v>
                </c:pt>
                <c:pt idx="138">
                  <c:v>3.7999999999999834</c:v>
                </c:pt>
                <c:pt idx="139">
                  <c:v>3.8999999999999835</c:v>
                </c:pt>
                <c:pt idx="140">
                  <c:v>3.9999999999999836</c:v>
                </c:pt>
                <c:pt idx="141">
                  <c:v>4.0999999999999837</c:v>
                </c:pt>
                <c:pt idx="142">
                  <c:v>4.1999999999999833</c:v>
                </c:pt>
                <c:pt idx="143">
                  <c:v>4.2999999999999829</c:v>
                </c:pt>
                <c:pt idx="144">
                  <c:v>4.3999999999999826</c:v>
                </c:pt>
                <c:pt idx="145">
                  <c:v>4.4999999999999822</c:v>
                </c:pt>
                <c:pt idx="146">
                  <c:v>4.5999999999999819</c:v>
                </c:pt>
                <c:pt idx="147">
                  <c:v>4.6999999999999815</c:v>
                </c:pt>
                <c:pt idx="148">
                  <c:v>4.7999999999999812</c:v>
                </c:pt>
                <c:pt idx="149">
                  <c:v>4.8999999999999808</c:v>
                </c:pt>
                <c:pt idx="150">
                  <c:v>4.9999999999999805</c:v>
                </c:pt>
                <c:pt idx="151">
                  <c:v>5.0999999999999801</c:v>
                </c:pt>
                <c:pt idx="152">
                  <c:v>5.1999999999999797</c:v>
                </c:pt>
                <c:pt idx="153">
                  <c:v>5.2999999999999794</c:v>
                </c:pt>
                <c:pt idx="154">
                  <c:v>5.399999999999979</c:v>
                </c:pt>
                <c:pt idx="155">
                  <c:v>5.4999999999999787</c:v>
                </c:pt>
                <c:pt idx="156">
                  <c:v>5.5999999999999783</c:v>
                </c:pt>
                <c:pt idx="157">
                  <c:v>5.699999999999978</c:v>
                </c:pt>
                <c:pt idx="158">
                  <c:v>5.7999999999999776</c:v>
                </c:pt>
                <c:pt idx="159">
                  <c:v>5.8999999999999773</c:v>
                </c:pt>
                <c:pt idx="160">
                  <c:v>5.9999999999999769</c:v>
                </c:pt>
                <c:pt idx="161">
                  <c:v>6.0999999999999766</c:v>
                </c:pt>
                <c:pt idx="162">
                  <c:v>6.1999999999999762</c:v>
                </c:pt>
                <c:pt idx="163">
                  <c:v>6.2999999999999758</c:v>
                </c:pt>
                <c:pt idx="164">
                  <c:v>6.3999999999999755</c:v>
                </c:pt>
                <c:pt idx="165">
                  <c:v>6.4999999999999751</c:v>
                </c:pt>
                <c:pt idx="166">
                  <c:v>6.5999999999999748</c:v>
                </c:pt>
                <c:pt idx="167">
                  <c:v>6.6999999999999744</c:v>
                </c:pt>
                <c:pt idx="168">
                  <c:v>6.7999999999999741</c:v>
                </c:pt>
                <c:pt idx="169">
                  <c:v>6.8999999999999737</c:v>
                </c:pt>
                <c:pt idx="170">
                  <c:v>6.9999999999999734</c:v>
                </c:pt>
                <c:pt idx="171">
                  <c:v>7.099999999999973</c:v>
                </c:pt>
                <c:pt idx="172">
                  <c:v>7.1999999999999726</c:v>
                </c:pt>
                <c:pt idx="173">
                  <c:v>7.2999999999999723</c:v>
                </c:pt>
                <c:pt idx="174">
                  <c:v>7.3999999999999719</c:v>
                </c:pt>
                <c:pt idx="175">
                  <c:v>7.4999999999999716</c:v>
                </c:pt>
                <c:pt idx="176">
                  <c:v>7.5999999999999712</c:v>
                </c:pt>
                <c:pt idx="177">
                  <c:v>7.6999999999999709</c:v>
                </c:pt>
                <c:pt idx="178">
                  <c:v>7.7999999999999705</c:v>
                </c:pt>
                <c:pt idx="179">
                  <c:v>7.8999999999999702</c:v>
                </c:pt>
                <c:pt idx="180">
                  <c:v>7.9999999999999698</c:v>
                </c:pt>
                <c:pt idx="181">
                  <c:v>8.0999999999999694</c:v>
                </c:pt>
                <c:pt idx="182">
                  <c:v>8.1999999999999691</c:v>
                </c:pt>
                <c:pt idx="183">
                  <c:v>8.2999999999999687</c:v>
                </c:pt>
                <c:pt idx="184">
                  <c:v>8.3999999999999684</c:v>
                </c:pt>
                <c:pt idx="185">
                  <c:v>8.499999999999968</c:v>
                </c:pt>
                <c:pt idx="186">
                  <c:v>8.5999999999999677</c:v>
                </c:pt>
                <c:pt idx="187">
                  <c:v>8.6999999999999673</c:v>
                </c:pt>
                <c:pt idx="188">
                  <c:v>8.799999999999967</c:v>
                </c:pt>
                <c:pt idx="189">
                  <c:v>8.8999999999999666</c:v>
                </c:pt>
                <c:pt idx="190">
                  <c:v>8.9999999999999662</c:v>
                </c:pt>
                <c:pt idx="191">
                  <c:v>9.0999999999999659</c:v>
                </c:pt>
                <c:pt idx="192">
                  <c:v>9.1999999999999655</c:v>
                </c:pt>
                <c:pt idx="193">
                  <c:v>9.2999999999999652</c:v>
                </c:pt>
                <c:pt idx="194">
                  <c:v>9.3999999999999648</c:v>
                </c:pt>
                <c:pt idx="195">
                  <c:v>9.4999999999999645</c:v>
                </c:pt>
                <c:pt idx="196">
                  <c:v>9.5999999999999641</c:v>
                </c:pt>
                <c:pt idx="197">
                  <c:v>9.6999999999999638</c:v>
                </c:pt>
                <c:pt idx="198">
                  <c:v>9.7999999999999634</c:v>
                </c:pt>
                <c:pt idx="199">
                  <c:v>9.8999999999999631</c:v>
                </c:pt>
                <c:pt idx="200">
                  <c:v>9.9999999999999627</c:v>
                </c:pt>
              </c:numCache>
            </c:numRef>
          </c:xVal>
          <c:yVal>
            <c:numRef>
              <c:f>Sheet1!$D$8:$D$208</c:f>
              <c:numCache>
                <c:formatCode>#,##0.000000</c:formatCode>
                <c:ptCount val="201"/>
                <c:pt idx="0">
                  <c:v>7.6945986267064199E-23</c:v>
                </c:pt>
                <c:pt idx="1">
                  <c:v>2.0811768202028245E-22</c:v>
                </c:pt>
                <c:pt idx="2">
                  <c:v>5.5730000227206912E-22</c:v>
                </c:pt>
                <c:pt idx="3">
                  <c:v>1.4774954927042438E-21</c:v>
                </c:pt>
                <c:pt idx="4">
                  <c:v>3.8781119317469065E-21</c:v>
                </c:pt>
                <c:pt idx="5">
                  <c:v>1.0077935394299867E-20</c:v>
                </c:pt>
                <c:pt idx="6">
                  <c:v>2.5928647011003341E-20</c:v>
                </c:pt>
                <c:pt idx="7">
                  <c:v>6.6045798607391687E-20</c:v>
                </c:pt>
                <c:pt idx="8">
                  <c:v>1.6655880323798698E-19</c:v>
                </c:pt>
                <c:pt idx="9">
                  <c:v>4.1585989791150129E-19</c:v>
                </c:pt>
                <c:pt idx="10">
                  <c:v>1.0279773571668551E-18</c:v>
                </c:pt>
                <c:pt idx="11">
                  <c:v>2.5158057769513331E-18</c:v>
                </c:pt>
                <c:pt idx="12">
                  <c:v>6.0957581295622447E-18</c:v>
                </c:pt>
                <c:pt idx="13">
                  <c:v>1.4622963575005855E-17</c:v>
                </c:pt>
                <c:pt idx="14">
                  <c:v>3.4729627485660597E-17</c:v>
                </c:pt>
                <c:pt idx="15">
                  <c:v>8.1662356316692026E-17</c:v>
                </c:pt>
                <c:pt idx="16">
                  <c:v>1.9010815379078693E-16</c:v>
                </c:pt>
                <c:pt idx="17">
                  <c:v>4.3816394355091402E-16</c:v>
                </c:pt>
                <c:pt idx="18">
                  <c:v>9.9983787484966114E-16</c:v>
                </c:pt>
                <c:pt idx="19">
                  <c:v>2.2588094031541746E-15</c:v>
                </c:pt>
                <c:pt idx="20">
                  <c:v>5.0522710835366056E-15</c:v>
                </c:pt>
                <c:pt idx="21">
                  <c:v>1.1187956214351181E-14</c:v>
                </c:pt>
                <c:pt idx="22">
                  <c:v>2.4528552856962759E-14</c:v>
                </c:pt>
                <c:pt idx="23">
                  <c:v>5.3241483722526217E-14</c:v>
                </c:pt>
                <c:pt idx="24">
                  <c:v>1.1441564901800597E-13</c:v>
                </c:pt>
                <c:pt idx="25">
                  <c:v>2.434320533028846E-13</c:v>
                </c:pt>
                <c:pt idx="26">
                  <c:v>5.1277536367963166E-13</c:v>
                </c:pt>
                <c:pt idx="27">
                  <c:v>1.0693837871540878E-12</c:v>
                </c:pt>
                <c:pt idx="28">
                  <c:v>2.2079899631369825E-12</c:v>
                </c:pt>
                <c:pt idx="29">
                  <c:v>4.5135436772051806E-12</c:v>
                </c:pt>
                <c:pt idx="30">
                  <c:v>9.1347204083639119E-12</c:v>
                </c:pt>
                <c:pt idx="31">
                  <c:v>1.8303322170154415E-11</c:v>
                </c:pt>
                <c:pt idx="32">
                  <c:v>3.6309615017915174E-11</c:v>
                </c:pt>
                <c:pt idx="33">
                  <c:v>7.1313281239955193E-11</c:v>
                </c:pt>
                <c:pt idx="34">
                  <c:v>1.386679994165204E-10</c:v>
                </c:pt>
                <c:pt idx="35">
                  <c:v>2.6695566147626343E-10</c:v>
                </c:pt>
                <c:pt idx="36">
                  <c:v>5.0881402816446408E-10</c:v>
                </c:pt>
                <c:pt idx="37">
                  <c:v>9.6014333703115174E-10</c:v>
                </c:pt>
                <c:pt idx="38">
                  <c:v>1.793783907963933E-9</c:v>
                </c:pt>
                <c:pt idx="39">
                  <c:v>3.3178842435470104E-9</c:v>
                </c:pt>
                <c:pt idx="40">
                  <c:v>6.0758828498227674E-9</c:v>
                </c:pt>
                <c:pt idx="41">
                  <c:v>1.101576362468137E-8</c:v>
                </c:pt>
                <c:pt idx="42">
                  <c:v>1.9773196406242984E-8</c:v>
                </c:pt>
                <c:pt idx="43">
                  <c:v>3.5139550948201343E-8</c:v>
                </c:pt>
                <c:pt idx="44">
                  <c:v>6.182620500165308E-8</c:v>
                </c:pt>
                <c:pt idx="45">
                  <c:v>1.0769760042542322E-7</c:v>
                </c:pt>
                <c:pt idx="46">
                  <c:v>1.8573618445551279E-7</c:v>
                </c:pt>
                <c:pt idx="47">
                  <c:v>3.1713492167156938E-7</c:v>
                </c:pt>
                <c:pt idx="48">
                  <c:v>5.3610353446971465E-7</c:v>
                </c:pt>
                <c:pt idx="49">
                  <c:v>8.9724351623825242E-7</c:v>
                </c:pt>
                <c:pt idx="50">
                  <c:v>1.4867195147341658E-6</c:v>
                </c:pt>
                <c:pt idx="51">
                  <c:v>2.43896074589314E-6</c:v>
                </c:pt>
                <c:pt idx="52">
                  <c:v>3.9612990910317238E-6</c:v>
                </c:pt>
                <c:pt idx="53">
                  <c:v>6.3698251788665359E-6</c:v>
                </c:pt>
                <c:pt idx="54">
                  <c:v>1.0140852065485842E-5</c:v>
                </c:pt>
                <c:pt idx="55">
                  <c:v>1.5983741106904055E-5</c:v>
                </c:pt>
                <c:pt idx="56">
                  <c:v>2.4942471290051404E-5</c:v>
                </c:pt>
                <c:pt idx="57">
                  <c:v>3.8535196742083775E-5</c:v>
                </c:pt>
                <c:pt idx="58">
                  <c:v>5.8943067756534725E-5</c:v>
                </c:pt>
                <c:pt idx="59">
                  <c:v>8.9261657177125162E-5</c:v>
                </c:pt>
                <c:pt idx="60">
                  <c:v>1.3383022576487396E-4</c:v>
                </c:pt>
                <c:pt idx="61">
                  <c:v>1.9865547139275616E-4</c:v>
                </c:pt>
                <c:pt idx="62">
                  <c:v>2.9194692579143664E-4</c:v>
                </c:pt>
                <c:pt idx="63">
                  <c:v>4.2478027055071864E-4</c:v>
                </c:pt>
                <c:pt idx="64">
                  <c:v>6.1190193011372625E-4</c:v>
                </c:pt>
                <c:pt idx="65">
                  <c:v>8.7268269504569662E-4</c:v>
                </c:pt>
                <c:pt idx="66">
                  <c:v>1.2322191684729323E-3</c:v>
                </c:pt>
                <c:pt idx="67">
                  <c:v>1.7225689390535622E-3</c:v>
                </c:pt>
                <c:pt idx="68">
                  <c:v>2.3840882014646856E-3</c:v>
                </c:pt>
                <c:pt idx="69">
                  <c:v>3.2668190561997131E-3</c:v>
                </c:pt>
                <c:pt idx="70">
                  <c:v>4.431848411937736E-3</c:v>
                </c:pt>
                <c:pt idx="71">
                  <c:v>5.9525324197755051E-3</c:v>
                </c:pt>
                <c:pt idx="72">
                  <c:v>7.9154515829795141E-3</c:v>
                </c:pt>
                <c:pt idx="73">
                  <c:v>1.0420934814422026E-2</c:v>
                </c:pt>
                <c:pt idx="74">
                  <c:v>1.3582969233684909E-2</c:v>
                </c:pt>
                <c:pt idx="75">
                  <c:v>1.7528300493567659E-2</c:v>
                </c:pt>
                <c:pt idx="76">
                  <c:v>2.2394530294841827E-2</c:v>
                </c:pt>
                <c:pt idx="77">
                  <c:v>2.8327037741599882E-2</c:v>
                </c:pt>
                <c:pt idx="78">
                  <c:v>3.5474592846229898E-2</c:v>
                </c:pt>
                <c:pt idx="79">
                  <c:v>4.398359598042538E-2</c:v>
                </c:pt>
                <c:pt idx="80">
                  <c:v>5.3990966513185946E-2</c:v>
                </c:pt>
                <c:pt idx="81">
                  <c:v>6.5615814774674167E-2</c:v>
                </c:pt>
                <c:pt idx="82">
                  <c:v>7.8950158300891415E-2</c:v>
                </c:pt>
                <c:pt idx="83">
                  <c:v>9.4049077376883852E-2</c:v>
                </c:pt>
                <c:pt idx="84">
                  <c:v>0.11092083467945216</c:v>
                </c:pt>
                <c:pt idx="85">
                  <c:v>0.12951759566588802</c:v>
                </c:pt>
                <c:pt idx="86">
                  <c:v>0.14972746563574085</c:v>
                </c:pt>
                <c:pt idx="87">
                  <c:v>0.17136859204780314</c:v>
                </c:pt>
                <c:pt idx="88">
                  <c:v>0.19418605498320857</c:v>
                </c:pt>
                <c:pt idx="89">
                  <c:v>0.21785217703254606</c:v>
                </c:pt>
                <c:pt idx="90">
                  <c:v>0.24197072451913884</c:v>
                </c:pt>
                <c:pt idx="91">
                  <c:v>0.26608524989875038</c:v>
                </c:pt>
                <c:pt idx="92">
                  <c:v>0.2896915527614784</c:v>
                </c:pt>
                <c:pt idx="93">
                  <c:v>0.31225393336675722</c:v>
                </c:pt>
                <c:pt idx="94">
                  <c:v>0.33322460289179595</c:v>
                </c:pt>
                <c:pt idx="95">
                  <c:v>0.35206532676429619</c:v>
                </c:pt>
                <c:pt idx="96">
                  <c:v>0.36827014030332056</c:v>
                </c:pt>
                <c:pt idx="97">
                  <c:v>0.38138781546052197</c:v>
                </c:pt>
                <c:pt idx="98">
                  <c:v>0.39104269397545444</c:v>
                </c:pt>
                <c:pt idx="99">
                  <c:v>0.39695254747701103</c:v>
                </c:pt>
                <c:pt idx="100">
                  <c:v>0.3989422804014327</c:v>
                </c:pt>
                <c:pt idx="101">
                  <c:v>0.39695254747701253</c:v>
                </c:pt>
                <c:pt idx="102">
                  <c:v>0.39104269397545738</c:v>
                </c:pt>
                <c:pt idx="103">
                  <c:v>0.38138781546052625</c:v>
                </c:pt>
                <c:pt idx="104">
                  <c:v>0.36827014030332611</c:v>
                </c:pt>
                <c:pt idx="105">
                  <c:v>0.3520653267643028</c:v>
                </c:pt>
                <c:pt idx="106">
                  <c:v>0.33322460289180339</c:v>
                </c:pt>
                <c:pt idx="107">
                  <c:v>0.31225393336676538</c:v>
                </c:pt>
                <c:pt idx="108">
                  <c:v>0.28969155276148711</c:v>
                </c:pt>
                <c:pt idx="109">
                  <c:v>0.26608524989875937</c:v>
                </c:pt>
                <c:pt idx="110">
                  <c:v>0.24197072451914792</c:v>
                </c:pt>
                <c:pt idx="111">
                  <c:v>0.21785217703255505</c:v>
                </c:pt>
                <c:pt idx="112">
                  <c:v>0.19418605498321731</c:v>
                </c:pt>
                <c:pt idx="113">
                  <c:v>0.17136859204781152</c:v>
                </c:pt>
                <c:pt idx="114">
                  <c:v>0.14972746563574874</c:v>
                </c:pt>
                <c:pt idx="115">
                  <c:v>0.1295175956658953</c:v>
                </c:pt>
                <c:pt idx="116">
                  <c:v>0.11092083467945882</c:v>
                </c:pt>
                <c:pt idx="117">
                  <c:v>9.4049077376889847E-2</c:v>
                </c:pt>
                <c:pt idx="118">
                  <c:v>7.8950158300896744E-2</c:v>
                </c:pt>
                <c:pt idx="119">
                  <c:v>6.5615814774678843E-2</c:v>
                </c:pt>
                <c:pt idx="120">
                  <c:v>5.3990966513189999E-2</c:v>
                </c:pt>
                <c:pt idx="121">
                  <c:v>4.3983595980428877E-2</c:v>
                </c:pt>
                <c:pt idx="122">
                  <c:v>3.547459284623284E-2</c:v>
                </c:pt>
                <c:pt idx="123">
                  <c:v>2.8327037741602345E-2</c:v>
                </c:pt>
                <c:pt idx="124">
                  <c:v>2.2394530294843853E-2</c:v>
                </c:pt>
                <c:pt idx="125">
                  <c:v>1.7528300493569317E-2</c:v>
                </c:pt>
                <c:pt idx="126">
                  <c:v>1.3582969233686243E-2</c:v>
                </c:pt>
                <c:pt idx="127">
                  <c:v>1.0420934814423091E-2</c:v>
                </c:pt>
                <c:pt idx="128">
                  <c:v>7.9154515829803502E-3</c:v>
                </c:pt>
                <c:pt idx="129">
                  <c:v>5.9525324197761548E-3</c:v>
                </c:pt>
                <c:pt idx="130">
                  <c:v>4.4318484119382356E-3</c:v>
                </c:pt>
                <c:pt idx="131">
                  <c:v>3.2668190562000956E-3</c:v>
                </c:pt>
                <c:pt idx="132">
                  <c:v>2.3840882014649735E-3</c:v>
                </c:pt>
                <c:pt idx="133">
                  <c:v>1.7225689390537777E-3</c:v>
                </c:pt>
                <c:pt idx="134">
                  <c:v>1.23221916847309E-3</c:v>
                </c:pt>
                <c:pt idx="135">
                  <c:v>8.7268269504581133E-4</c:v>
                </c:pt>
                <c:pt idx="136">
                  <c:v>6.1190193011380941E-4</c:v>
                </c:pt>
                <c:pt idx="137">
                  <c:v>4.2478027055077783E-4</c:v>
                </c:pt>
                <c:pt idx="138">
                  <c:v>2.9194692579147865E-4</c:v>
                </c:pt>
                <c:pt idx="139">
                  <c:v>1.9865547139278543E-4</c:v>
                </c:pt>
                <c:pt idx="140">
                  <c:v>1.3383022576489415E-4</c:v>
                </c:pt>
                <c:pt idx="141">
                  <c:v>8.9261657177138796E-5</c:v>
                </c:pt>
                <c:pt idx="142">
                  <c:v>5.8943067756544036E-5</c:v>
                </c:pt>
                <c:pt idx="143">
                  <c:v>3.8535196742089935E-5</c:v>
                </c:pt>
                <c:pt idx="144">
                  <c:v>2.494247129005548E-5</c:v>
                </c:pt>
                <c:pt idx="145">
                  <c:v>1.5983741106906752E-5</c:v>
                </c:pt>
                <c:pt idx="146">
                  <c:v>1.0140852065487588E-5</c:v>
                </c:pt>
                <c:pt idx="147">
                  <c:v>6.3698251788676566E-6</c:v>
                </c:pt>
                <c:pt idx="148">
                  <c:v>3.9612990910324344E-6</c:v>
                </c:pt>
                <c:pt idx="149">
                  <c:v>2.4389607458935864E-6</c:v>
                </c:pt>
                <c:pt idx="150">
                  <c:v>1.4867195147344432E-6</c:v>
                </c:pt>
                <c:pt idx="151">
                  <c:v>8.9724351623842458E-7</c:v>
                </c:pt>
                <c:pt idx="152">
                  <c:v>5.3610353446981852E-7</c:v>
                </c:pt>
                <c:pt idx="153">
                  <c:v>3.171349216716319E-7</c:v>
                </c:pt>
                <c:pt idx="154">
                  <c:v>1.8573618445555041E-7</c:v>
                </c:pt>
                <c:pt idx="155">
                  <c:v>1.0769760042544539E-7</c:v>
                </c:pt>
                <c:pt idx="156">
                  <c:v>6.1826205001665932E-8</c:v>
                </c:pt>
                <c:pt idx="157">
                  <c:v>3.5139550948208834E-8</c:v>
                </c:pt>
                <c:pt idx="158">
                  <c:v>1.9773196406247269E-8</c:v>
                </c:pt>
                <c:pt idx="159">
                  <c:v>1.1015763624683796E-8</c:v>
                </c:pt>
                <c:pt idx="160">
                  <c:v>6.0758828498241282E-9</c:v>
                </c:pt>
                <c:pt idx="161">
                  <c:v>3.3178842435477648E-9</c:v>
                </c:pt>
                <c:pt idx="162">
                  <c:v>1.793783907964347E-9</c:v>
                </c:pt>
                <c:pt idx="163">
                  <c:v>9.6014333703138025E-10</c:v>
                </c:pt>
                <c:pt idx="164">
                  <c:v>5.0881402816458526E-10</c:v>
                </c:pt>
                <c:pt idx="165">
                  <c:v>2.669556614763279E-10</c:v>
                </c:pt>
                <c:pt idx="166">
                  <c:v>1.3866799941655437E-10</c:v>
                </c:pt>
                <c:pt idx="167">
                  <c:v>7.1313281239972913E-11</c:v>
                </c:pt>
                <c:pt idx="168">
                  <c:v>3.6309615017924331E-11</c:v>
                </c:pt>
                <c:pt idx="169">
                  <c:v>1.8303322170159097E-11</c:v>
                </c:pt>
                <c:pt idx="170">
                  <c:v>9.1347204083662819E-12</c:v>
                </c:pt>
                <c:pt idx="171">
                  <c:v>4.5135436772063672E-12</c:v>
                </c:pt>
                <c:pt idx="172">
                  <c:v>2.2079899631375787E-12</c:v>
                </c:pt>
                <c:pt idx="173">
                  <c:v>1.0693837871543805E-12</c:v>
                </c:pt>
                <c:pt idx="174">
                  <c:v>5.1277536367977383E-13</c:v>
                </c:pt>
                <c:pt idx="175">
                  <c:v>2.4343205330295291E-13</c:v>
                </c:pt>
                <c:pt idx="176">
                  <c:v>1.1441564901803849E-13</c:v>
                </c:pt>
                <c:pt idx="177">
                  <c:v>5.3241483722541546E-14</c:v>
                </c:pt>
                <c:pt idx="178">
                  <c:v>2.4528552856969902E-14</c:v>
                </c:pt>
                <c:pt idx="179">
                  <c:v>1.1187956214354479E-14</c:v>
                </c:pt>
                <c:pt idx="180">
                  <c:v>5.0522710835381131E-15</c:v>
                </c:pt>
                <c:pt idx="181">
                  <c:v>2.2588094031548648E-15</c:v>
                </c:pt>
                <c:pt idx="182">
                  <c:v>9.9983787484996662E-16</c:v>
                </c:pt>
                <c:pt idx="183">
                  <c:v>4.3816394355105099E-16</c:v>
                </c:pt>
                <c:pt idx="184">
                  <c:v>1.9010815379084772E-16</c:v>
                </c:pt>
                <c:pt idx="185">
                  <c:v>8.1662356316717553E-17</c:v>
                </c:pt>
                <c:pt idx="186">
                  <c:v>3.4729627485671702E-17</c:v>
                </c:pt>
                <c:pt idx="187">
                  <c:v>1.4622963575010631E-17</c:v>
                </c:pt>
                <c:pt idx="188">
                  <c:v>6.0957581295642369E-18</c:v>
                </c:pt>
                <c:pt idx="189">
                  <c:v>2.5158057769521555E-18</c:v>
                </c:pt>
                <c:pt idx="190">
                  <c:v>1.0279773571672058E-18</c:v>
                </c:pt>
                <c:pt idx="191">
                  <c:v>4.1585989791164308E-19</c:v>
                </c:pt>
                <c:pt idx="192">
                  <c:v>1.6655880323804497E-19</c:v>
                </c:pt>
                <c:pt idx="193">
                  <c:v>6.6045798607414678E-20</c:v>
                </c:pt>
                <c:pt idx="194">
                  <c:v>2.5928647011012368E-20</c:v>
                </c:pt>
                <c:pt idx="195">
                  <c:v>1.0077935394303376E-20</c:v>
                </c:pt>
                <c:pt idx="196">
                  <c:v>3.878111931748284E-21</c:v>
                </c:pt>
                <c:pt idx="197">
                  <c:v>1.4774954927047792E-21</c:v>
                </c:pt>
                <c:pt idx="198">
                  <c:v>5.5730000227227497E-22</c:v>
                </c:pt>
                <c:pt idx="199">
                  <c:v>2.0811768202035936E-22</c:v>
                </c:pt>
                <c:pt idx="200">
                  <c:v>7.6945986267092623E-23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6425216"/>
        <c:axId val="476443392"/>
      </c:scatterChart>
      <c:valAx>
        <c:axId val="476425216"/>
        <c:scaling>
          <c:orientation val="minMax"/>
          <c:max val="10"/>
          <c:min val="-10"/>
        </c:scaling>
        <c:delete val="0"/>
        <c:axPos val="b"/>
        <c:numFmt formatCode="#,##0.00" sourceLinked="1"/>
        <c:majorTickMark val="out"/>
        <c:minorTickMark val="none"/>
        <c:tickLblPos val="nextTo"/>
        <c:crossAx val="476443392"/>
        <c:crosses val="autoZero"/>
        <c:crossBetween val="midCat"/>
      </c:valAx>
      <c:valAx>
        <c:axId val="476443392"/>
        <c:scaling>
          <c:orientation val="minMax"/>
        </c:scaling>
        <c:delete val="0"/>
        <c:axPos val="l"/>
        <c:numFmt formatCode="#,##0.00" sourceLinked="0"/>
        <c:majorTickMark val="out"/>
        <c:minorTickMark val="none"/>
        <c:tickLblPos val="nextTo"/>
        <c:crossAx val="47642521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Sheet1!$H$7</c:f>
              <c:strCache>
                <c:ptCount val="1"/>
                <c:pt idx="0">
                  <c:v>Normal Variate, z</c:v>
                </c:pt>
              </c:strCache>
            </c:strRef>
          </c:tx>
          <c:marker>
            <c:symbol val="none"/>
          </c:marker>
          <c:xVal>
            <c:numRef>
              <c:f>Sheet1!$G$8:$G$208</c:f>
              <c:numCache>
                <c:formatCode>#,##0.0000</c:formatCode>
                <c:ptCount val="201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3.0000000000000002E-2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4.9999999999999996E-2</c:v>
                </c:pt>
                <c:pt idx="11">
                  <c:v>5.4999999999999993E-2</c:v>
                </c:pt>
                <c:pt idx="12">
                  <c:v>5.9999999999999991E-2</c:v>
                </c:pt>
                <c:pt idx="13">
                  <c:v>6.4999999999999988E-2</c:v>
                </c:pt>
                <c:pt idx="14">
                  <c:v>6.9999999999999993E-2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9.0000000000000011E-2</c:v>
                </c:pt>
                <c:pt idx="19">
                  <c:v>9.5000000000000015E-2</c:v>
                </c:pt>
                <c:pt idx="20">
                  <c:v>0.10000000000000002</c:v>
                </c:pt>
                <c:pt idx="21">
                  <c:v>0.10500000000000002</c:v>
                </c:pt>
                <c:pt idx="22">
                  <c:v>0.11000000000000003</c:v>
                </c:pt>
                <c:pt idx="23">
                  <c:v>0.11500000000000003</c:v>
                </c:pt>
                <c:pt idx="24">
                  <c:v>0.12000000000000004</c:v>
                </c:pt>
                <c:pt idx="25">
                  <c:v>0.12500000000000003</c:v>
                </c:pt>
                <c:pt idx="26">
                  <c:v>0.13000000000000003</c:v>
                </c:pt>
                <c:pt idx="27">
                  <c:v>0.13500000000000004</c:v>
                </c:pt>
                <c:pt idx="28">
                  <c:v>0.14000000000000004</c:v>
                </c:pt>
                <c:pt idx="29">
                  <c:v>0.14500000000000005</c:v>
                </c:pt>
                <c:pt idx="30">
                  <c:v>0.15000000000000005</c:v>
                </c:pt>
                <c:pt idx="31">
                  <c:v>0.15500000000000005</c:v>
                </c:pt>
                <c:pt idx="32">
                  <c:v>0.16000000000000006</c:v>
                </c:pt>
                <c:pt idx="33">
                  <c:v>0.16500000000000006</c:v>
                </c:pt>
                <c:pt idx="34">
                  <c:v>0.17000000000000007</c:v>
                </c:pt>
                <c:pt idx="35">
                  <c:v>0.17500000000000007</c:v>
                </c:pt>
                <c:pt idx="36">
                  <c:v>0.18000000000000008</c:v>
                </c:pt>
                <c:pt idx="37">
                  <c:v>0.18500000000000008</c:v>
                </c:pt>
                <c:pt idx="38">
                  <c:v>0.19000000000000009</c:v>
                </c:pt>
                <c:pt idx="39">
                  <c:v>0.19500000000000009</c:v>
                </c:pt>
                <c:pt idx="40">
                  <c:v>0.20000000000000009</c:v>
                </c:pt>
                <c:pt idx="41">
                  <c:v>0.2050000000000001</c:v>
                </c:pt>
                <c:pt idx="42">
                  <c:v>0.2100000000000001</c:v>
                </c:pt>
                <c:pt idx="43">
                  <c:v>0.21500000000000011</c:v>
                </c:pt>
                <c:pt idx="44">
                  <c:v>0.22000000000000011</c:v>
                </c:pt>
                <c:pt idx="45">
                  <c:v>0.22500000000000012</c:v>
                </c:pt>
                <c:pt idx="46">
                  <c:v>0.23000000000000012</c:v>
                </c:pt>
                <c:pt idx="47">
                  <c:v>0.23500000000000013</c:v>
                </c:pt>
                <c:pt idx="48">
                  <c:v>0.24000000000000013</c:v>
                </c:pt>
                <c:pt idx="49">
                  <c:v>0.24500000000000013</c:v>
                </c:pt>
                <c:pt idx="50">
                  <c:v>0.25000000000000011</c:v>
                </c:pt>
                <c:pt idx="51">
                  <c:v>0.25500000000000012</c:v>
                </c:pt>
                <c:pt idx="52">
                  <c:v>0.26000000000000012</c:v>
                </c:pt>
                <c:pt idx="53">
                  <c:v>0.26500000000000012</c:v>
                </c:pt>
                <c:pt idx="54">
                  <c:v>0.27000000000000013</c:v>
                </c:pt>
                <c:pt idx="55">
                  <c:v>0.27500000000000013</c:v>
                </c:pt>
                <c:pt idx="56">
                  <c:v>0.28000000000000014</c:v>
                </c:pt>
                <c:pt idx="57">
                  <c:v>0.28500000000000014</c:v>
                </c:pt>
                <c:pt idx="58">
                  <c:v>0.29000000000000015</c:v>
                </c:pt>
                <c:pt idx="59">
                  <c:v>0.29500000000000015</c:v>
                </c:pt>
                <c:pt idx="60">
                  <c:v>0.30000000000000016</c:v>
                </c:pt>
                <c:pt idx="61">
                  <c:v>0.30500000000000016</c:v>
                </c:pt>
                <c:pt idx="62">
                  <c:v>0.31000000000000016</c:v>
                </c:pt>
                <c:pt idx="63">
                  <c:v>0.31500000000000017</c:v>
                </c:pt>
                <c:pt idx="64">
                  <c:v>0.32000000000000017</c:v>
                </c:pt>
                <c:pt idx="65">
                  <c:v>0.32500000000000018</c:v>
                </c:pt>
                <c:pt idx="66">
                  <c:v>0.33000000000000018</c:v>
                </c:pt>
                <c:pt idx="67">
                  <c:v>0.33500000000000019</c:v>
                </c:pt>
                <c:pt idx="68">
                  <c:v>0.34000000000000019</c:v>
                </c:pt>
                <c:pt idx="69">
                  <c:v>0.3450000000000002</c:v>
                </c:pt>
                <c:pt idx="70">
                  <c:v>0.3500000000000002</c:v>
                </c:pt>
                <c:pt idx="71">
                  <c:v>0.3550000000000002</c:v>
                </c:pt>
                <c:pt idx="72">
                  <c:v>0.36000000000000021</c:v>
                </c:pt>
                <c:pt idx="73">
                  <c:v>0.36500000000000021</c:v>
                </c:pt>
                <c:pt idx="74">
                  <c:v>0.37000000000000022</c:v>
                </c:pt>
                <c:pt idx="75">
                  <c:v>0.37500000000000022</c:v>
                </c:pt>
                <c:pt idx="76">
                  <c:v>0.38000000000000023</c:v>
                </c:pt>
                <c:pt idx="77">
                  <c:v>0.38500000000000023</c:v>
                </c:pt>
                <c:pt idx="78">
                  <c:v>0.39000000000000024</c:v>
                </c:pt>
                <c:pt idx="79">
                  <c:v>0.39500000000000024</c:v>
                </c:pt>
                <c:pt idx="80">
                  <c:v>0.40000000000000024</c:v>
                </c:pt>
                <c:pt idx="81">
                  <c:v>0.40500000000000025</c:v>
                </c:pt>
                <c:pt idx="82">
                  <c:v>0.41000000000000025</c:v>
                </c:pt>
                <c:pt idx="83">
                  <c:v>0.41500000000000026</c:v>
                </c:pt>
                <c:pt idx="84">
                  <c:v>0.42000000000000026</c:v>
                </c:pt>
                <c:pt idx="85">
                  <c:v>0.42500000000000027</c:v>
                </c:pt>
                <c:pt idx="86">
                  <c:v>0.43000000000000027</c:v>
                </c:pt>
                <c:pt idx="87">
                  <c:v>0.43500000000000028</c:v>
                </c:pt>
                <c:pt idx="88">
                  <c:v>0.44000000000000028</c:v>
                </c:pt>
                <c:pt idx="89">
                  <c:v>0.44500000000000028</c:v>
                </c:pt>
                <c:pt idx="90">
                  <c:v>0.45000000000000029</c:v>
                </c:pt>
                <c:pt idx="91">
                  <c:v>0.45500000000000029</c:v>
                </c:pt>
                <c:pt idx="92">
                  <c:v>0.4600000000000003</c:v>
                </c:pt>
                <c:pt idx="93">
                  <c:v>0.4650000000000003</c:v>
                </c:pt>
                <c:pt idx="94">
                  <c:v>0.47000000000000031</c:v>
                </c:pt>
                <c:pt idx="95">
                  <c:v>0.47500000000000031</c:v>
                </c:pt>
                <c:pt idx="96">
                  <c:v>0.48000000000000032</c:v>
                </c:pt>
                <c:pt idx="97">
                  <c:v>0.48500000000000032</c:v>
                </c:pt>
                <c:pt idx="98">
                  <c:v>0.49000000000000032</c:v>
                </c:pt>
                <c:pt idx="99">
                  <c:v>0.49500000000000033</c:v>
                </c:pt>
                <c:pt idx="100">
                  <c:v>0.50000000000000033</c:v>
                </c:pt>
                <c:pt idx="101">
                  <c:v>0.50500000000000034</c:v>
                </c:pt>
                <c:pt idx="102">
                  <c:v>0.51000000000000034</c:v>
                </c:pt>
                <c:pt idx="103">
                  <c:v>0.51500000000000035</c:v>
                </c:pt>
                <c:pt idx="104">
                  <c:v>0.52000000000000035</c:v>
                </c:pt>
                <c:pt idx="105">
                  <c:v>0.52500000000000036</c:v>
                </c:pt>
                <c:pt idx="106">
                  <c:v>0.53000000000000036</c:v>
                </c:pt>
                <c:pt idx="107">
                  <c:v>0.53500000000000036</c:v>
                </c:pt>
                <c:pt idx="108">
                  <c:v>0.54000000000000037</c:v>
                </c:pt>
                <c:pt idx="109">
                  <c:v>0.54500000000000037</c:v>
                </c:pt>
                <c:pt idx="110">
                  <c:v>0.55000000000000038</c:v>
                </c:pt>
                <c:pt idx="111">
                  <c:v>0.55500000000000038</c:v>
                </c:pt>
                <c:pt idx="112">
                  <c:v>0.56000000000000039</c:v>
                </c:pt>
                <c:pt idx="113">
                  <c:v>0.56500000000000039</c:v>
                </c:pt>
                <c:pt idx="114">
                  <c:v>0.5700000000000004</c:v>
                </c:pt>
                <c:pt idx="115">
                  <c:v>0.5750000000000004</c:v>
                </c:pt>
                <c:pt idx="116">
                  <c:v>0.5800000000000004</c:v>
                </c:pt>
                <c:pt idx="117">
                  <c:v>0.58500000000000041</c:v>
                </c:pt>
                <c:pt idx="118">
                  <c:v>0.59000000000000041</c:v>
                </c:pt>
                <c:pt idx="119">
                  <c:v>0.59500000000000042</c:v>
                </c:pt>
                <c:pt idx="120">
                  <c:v>0.60000000000000042</c:v>
                </c:pt>
                <c:pt idx="121">
                  <c:v>0.60500000000000043</c:v>
                </c:pt>
                <c:pt idx="122">
                  <c:v>0.61000000000000043</c:v>
                </c:pt>
                <c:pt idx="123">
                  <c:v>0.61500000000000044</c:v>
                </c:pt>
                <c:pt idx="124">
                  <c:v>0.62000000000000044</c:v>
                </c:pt>
                <c:pt idx="125">
                  <c:v>0.62500000000000044</c:v>
                </c:pt>
                <c:pt idx="126">
                  <c:v>0.63000000000000045</c:v>
                </c:pt>
                <c:pt idx="127">
                  <c:v>0.63500000000000045</c:v>
                </c:pt>
                <c:pt idx="128">
                  <c:v>0.64000000000000046</c:v>
                </c:pt>
                <c:pt idx="129">
                  <c:v>0.64500000000000046</c:v>
                </c:pt>
                <c:pt idx="130">
                  <c:v>0.65000000000000047</c:v>
                </c:pt>
                <c:pt idx="131">
                  <c:v>0.65500000000000047</c:v>
                </c:pt>
                <c:pt idx="132">
                  <c:v>0.66000000000000048</c:v>
                </c:pt>
                <c:pt idx="133">
                  <c:v>0.66500000000000048</c:v>
                </c:pt>
                <c:pt idx="134">
                  <c:v>0.67000000000000048</c:v>
                </c:pt>
                <c:pt idx="135">
                  <c:v>0.67500000000000049</c:v>
                </c:pt>
                <c:pt idx="136">
                  <c:v>0.68000000000000049</c:v>
                </c:pt>
                <c:pt idx="137">
                  <c:v>0.6850000000000005</c:v>
                </c:pt>
                <c:pt idx="138">
                  <c:v>0.6900000000000005</c:v>
                </c:pt>
                <c:pt idx="139">
                  <c:v>0.69500000000000051</c:v>
                </c:pt>
                <c:pt idx="140">
                  <c:v>0.70000000000000051</c:v>
                </c:pt>
                <c:pt idx="141">
                  <c:v>0.70500000000000052</c:v>
                </c:pt>
                <c:pt idx="142">
                  <c:v>0.71000000000000052</c:v>
                </c:pt>
                <c:pt idx="143">
                  <c:v>0.71500000000000052</c:v>
                </c:pt>
                <c:pt idx="144">
                  <c:v>0.72000000000000053</c:v>
                </c:pt>
                <c:pt idx="145">
                  <c:v>0.72500000000000053</c:v>
                </c:pt>
                <c:pt idx="146">
                  <c:v>0.73000000000000054</c:v>
                </c:pt>
                <c:pt idx="147">
                  <c:v>0.73500000000000054</c:v>
                </c:pt>
                <c:pt idx="148">
                  <c:v>0.74000000000000055</c:v>
                </c:pt>
                <c:pt idx="149">
                  <c:v>0.74500000000000055</c:v>
                </c:pt>
                <c:pt idx="150">
                  <c:v>0.75000000000000056</c:v>
                </c:pt>
                <c:pt idx="151">
                  <c:v>0.75500000000000056</c:v>
                </c:pt>
                <c:pt idx="152">
                  <c:v>0.76000000000000056</c:v>
                </c:pt>
                <c:pt idx="153">
                  <c:v>0.76500000000000057</c:v>
                </c:pt>
                <c:pt idx="154">
                  <c:v>0.77000000000000057</c:v>
                </c:pt>
                <c:pt idx="155">
                  <c:v>0.77500000000000058</c:v>
                </c:pt>
                <c:pt idx="156">
                  <c:v>0.78000000000000058</c:v>
                </c:pt>
                <c:pt idx="157">
                  <c:v>0.78500000000000059</c:v>
                </c:pt>
                <c:pt idx="158">
                  <c:v>0.79000000000000059</c:v>
                </c:pt>
                <c:pt idx="159">
                  <c:v>0.7950000000000006</c:v>
                </c:pt>
                <c:pt idx="160">
                  <c:v>0.8000000000000006</c:v>
                </c:pt>
                <c:pt idx="161">
                  <c:v>0.8050000000000006</c:v>
                </c:pt>
                <c:pt idx="162">
                  <c:v>0.81000000000000061</c:v>
                </c:pt>
                <c:pt idx="163">
                  <c:v>0.81500000000000061</c:v>
                </c:pt>
                <c:pt idx="164">
                  <c:v>0.82000000000000062</c:v>
                </c:pt>
                <c:pt idx="165">
                  <c:v>0.82500000000000062</c:v>
                </c:pt>
                <c:pt idx="166">
                  <c:v>0.83000000000000063</c:v>
                </c:pt>
                <c:pt idx="167">
                  <c:v>0.83500000000000063</c:v>
                </c:pt>
                <c:pt idx="168">
                  <c:v>0.84000000000000064</c:v>
                </c:pt>
                <c:pt idx="169">
                  <c:v>0.84500000000000064</c:v>
                </c:pt>
                <c:pt idx="170">
                  <c:v>0.85000000000000064</c:v>
                </c:pt>
                <c:pt idx="171">
                  <c:v>0.85500000000000065</c:v>
                </c:pt>
                <c:pt idx="172">
                  <c:v>0.86000000000000065</c:v>
                </c:pt>
                <c:pt idx="173">
                  <c:v>0.86500000000000066</c:v>
                </c:pt>
                <c:pt idx="174">
                  <c:v>0.87000000000000066</c:v>
                </c:pt>
                <c:pt idx="175">
                  <c:v>0.87500000000000067</c:v>
                </c:pt>
                <c:pt idx="176">
                  <c:v>0.88000000000000067</c:v>
                </c:pt>
                <c:pt idx="177">
                  <c:v>0.88500000000000068</c:v>
                </c:pt>
                <c:pt idx="178">
                  <c:v>0.89000000000000068</c:v>
                </c:pt>
                <c:pt idx="179">
                  <c:v>0.89500000000000068</c:v>
                </c:pt>
                <c:pt idx="180">
                  <c:v>0.90000000000000069</c:v>
                </c:pt>
                <c:pt idx="181">
                  <c:v>0.90500000000000069</c:v>
                </c:pt>
                <c:pt idx="182">
                  <c:v>0.9100000000000007</c:v>
                </c:pt>
                <c:pt idx="183">
                  <c:v>0.9150000000000007</c:v>
                </c:pt>
                <c:pt idx="184">
                  <c:v>0.92000000000000071</c:v>
                </c:pt>
                <c:pt idx="185">
                  <c:v>0.92500000000000071</c:v>
                </c:pt>
                <c:pt idx="186">
                  <c:v>0.93000000000000071</c:v>
                </c:pt>
                <c:pt idx="187">
                  <c:v>0.93500000000000072</c:v>
                </c:pt>
                <c:pt idx="188">
                  <c:v>0.94000000000000072</c:v>
                </c:pt>
                <c:pt idx="189">
                  <c:v>0.94500000000000073</c:v>
                </c:pt>
                <c:pt idx="190">
                  <c:v>0.95000000000000073</c:v>
                </c:pt>
                <c:pt idx="191">
                  <c:v>0.95500000000000074</c:v>
                </c:pt>
                <c:pt idx="192">
                  <c:v>0.96000000000000074</c:v>
                </c:pt>
                <c:pt idx="193">
                  <c:v>0.96500000000000075</c:v>
                </c:pt>
                <c:pt idx="194">
                  <c:v>0.97000000000000075</c:v>
                </c:pt>
                <c:pt idx="195">
                  <c:v>0.97500000000000075</c:v>
                </c:pt>
                <c:pt idx="196">
                  <c:v>0.98000000000000076</c:v>
                </c:pt>
                <c:pt idx="197">
                  <c:v>0.98500000000000076</c:v>
                </c:pt>
                <c:pt idx="198">
                  <c:v>0.99000000000000077</c:v>
                </c:pt>
                <c:pt idx="199">
                  <c:v>0.99500000000000077</c:v>
                </c:pt>
                <c:pt idx="200">
                  <c:v>1.0000000000000007</c:v>
                </c:pt>
              </c:numCache>
            </c:numRef>
          </c:xVal>
          <c:yVal>
            <c:numRef>
              <c:f>Sheet1!$H$8:$H$208</c:f>
              <c:numCache>
                <c:formatCode>#,##0.000000</c:formatCode>
                <c:ptCount val="201"/>
                <c:pt idx="0">
                  <c:v>-10</c:v>
                </c:pt>
                <c:pt idx="1">
                  <c:v>-2.5758293035489008</c:v>
                </c:pt>
                <c:pt idx="2">
                  <c:v>-2.3263478740408412</c:v>
                </c:pt>
                <c:pt idx="3">
                  <c:v>-2.1700903775845606</c:v>
                </c:pt>
                <c:pt idx="4">
                  <c:v>-2.053748910631823</c:v>
                </c:pt>
                <c:pt idx="5">
                  <c:v>-1.959963984540054</c:v>
                </c:pt>
                <c:pt idx="6">
                  <c:v>-1.8807936081512509</c:v>
                </c:pt>
                <c:pt idx="7">
                  <c:v>-1.8119106729525978</c:v>
                </c:pt>
                <c:pt idx="8">
                  <c:v>-1.7506860712521699</c:v>
                </c:pt>
                <c:pt idx="9">
                  <c:v>-1.6953977102721365</c:v>
                </c:pt>
                <c:pt idx="10">
                  <c:v>-1.6448536269514729</c:v>
                </c:pt>
                <c:pt idx="11">
                  <c:v>-1.5981931399228175</c:v>
                </c:pt>
                <c:pt idx="12">
                  <c:v>-1.5547735945968537</c:v>
                </c:pt>
                <c:pt idx="13">
                  <c:v>-1.5141018876192838</c:v>
                </c:pt>
                <c:pt idx="14">
                  <c:v>-1.4757910281791708</c:v>
                </c:pt>
                <c:pt idx="15">
                  <c:v>-1.4395314709384559</c:v>
                </c:pt>
                <c:pt idx="16">
                  <c:v>-1.4050715603096324</c:v>
                </c:pt>
                <c:pt idx="17">
                  <c:v>-1.3722038089987258</c:v>
                </c:pt>
                <c:pt idx="18">
                  <c:v>-1.3407550336902163</c:v>
                </c:pt>
                <c:pt idx="19">
                  <c:v>-1.3105791121681287</c:v>
                </c:pt>
                <c:pt idx="20">
                  <c:v>-1.2815515655446004</c:v>
                </c:pt>
                <c:pt idx="21">
                  <c:v>-1.2535654384704507</c:v>
                </c:pt>
                <c:pt idx="22">
                  <c:v>-1.2265281200366098</c:v>
                </c:pt>
                <c:pt idx="23">
                  <c:v>-1.2003588580308588</c:v>
                </c:pt>
                <c:pt idx="24">
                  <c:v>-1.1749867920660897</c:v>
                </c:pt>
                <c:pt idx="25">
                  <c:v>-1.1503493803760081</c:v>
                </c:pt>
                <c:pt idx="26">
                  <c:v>-1.1263911290388005</c:v>
                </c:pt>
                <c:pt idx="27">
                  <c:v>-1.1030625561995975</c:v>
                </c:pt>
                <c:pt idx="28">
                  <c:v>-1.0803193408149558</c:v>
                </c:pt>
                <c:pt idx="29">
                  <c:v>-1.0581216176847765</c:v>
                </c:pt>
                <c:pt idx="30">
                  <c:v>-1.0364333894937894</c:v>
                </c:pt>
                <c:pt idx="31">
                  <c:v>-1.0152220332170279</c:v>
                </c:pt>
                <c:pt idx="32">
                  <c:v>-0.99445788320975292</c:v>
                </c:pt>
                <c:pt idx="33">
                  <c:v>-0.97411387705930885</c:v>
                </c:pt>
                <c:pt idx="34">
                  <c:v>-0.95416525314619427</c:v>
                </c:pt>
                <c:pt idx="35">
                  <c:v>-0.93458929107347999</c:v>
                </c:pt>
                <c:pt idx="36">
                  <c:v>-0.91536508784281378</c:v>
                </c:pt>
                <c:pt idx="37">
                  <c:v>-0.89647336400191591</c:v>
                </c:pt>
                <c:pt idx="38">
                  <c:v>-0.87789629505122824</c:v>
                </c:pt>
                <c:pt idx="39">
                  <c:v>-0.85961736424191115</c:v>
                </c:pt>
                <c:pt idx="40">
                  <c:v>-0.84162123357291396</c:v>
                </c:pt>
                <c:pt idx="41">
                  <c:v>-0.823893630338557</c:v>
                </c:pt>
                <c:pt idx="42">
                  <c:v>-0.80642124701823992</c:v>
                </c:pt>
                <c:pt idx="43">
                  <c:v>-0.78919165265822189</c:v>
                </c:pt>
                <c:pt idx="44">
                  <c:v>-0.77219321418868458</c:v>
                </c:pt>
                <c:pt idx="45">
                  <c:v>-0.75541502636046876</c:v>
                </c:pt>
                <c:pt idx="46">
                  <c:v>-0.73884684918521326</c:v>
                </c:pt>
                <c:pt idx="47">
                  <c:v>-0.72247905192806205</c:v>
                </c:pt>
                <c:pt idx="48">
                  <c:v>-0.70630256284008697</c:v>
                </c:pt>
                <c:pt idx="49">
                  <c:v>-0.69030882393303361</c:v>
                </c:pt>
                <c:pt idx="50">
                  <c:v>-0.67448975019608126</c:v>
                </c:pt>
                <c:pt idx="51">
                  <c:v>-0.65883769273618764</c:v>
                </c:pt>
                <c:pt idx="52">
                  <c:v>-0.64334540539291685</c:v>
                </c:pt>
                <c:pt idx="53">
                  <c:v>-0.62800601443756943</c:v>
                </c:pt>
                <c:pt idx="54">
                  <c:v>-0.61281299101662712</c:v>
                </c:pt>
                <c:pt idx="55">
                  <c:v>-0.59776012604247808</c:v>
                </c:pt>
                <c:pt idx="56">
                  <c:v>-0.58284150727121586</c:v>
                </c:pt>
                <c:pt idx="57">
                  <c:v>-0.56805149833898239</c:v>
                </c:pt>
                <c:pt idx="58">
                  <c:v>-0.55338471955567248</c:v>
                </c:pt>
                <c:pt idx="59">
                  <c:v>-0.53883603027845006</c:v>
                </c:pt>
                <c:pt idx="60">
                  <c:v>-0.52440051270804056</c:v>
                </c:pt>
                <c:pt idx="61">
                  <c:v>-0.51007345696859452</c:v>
                </c:pt>
                <c:pt idx="62">
                  <c:v>-0.49585034734745304</c:v>
                </c:pt>
                <c:pt idx="63">
                  <c:v>-0.48172684958472983</c:v>
                </c:pt>
                <c:pt idx="64">
                  <c:v>-0.46769879911450801</c:v>
                </c:pt>
                <c:pt idx="65">
                  <c:v>-0.45376219016987901</c:v>
                </c:pt>
                <c:pt idx="66">
                  <c:v>-0.43991316567323341</c:v>
                </c:pt>
                <c:pt idx="67">
                  <c:v>-0.42614800784127777</c:v>
                </c:pt>
                <c:pt idx="68">
                  <c:v>-0.41246312944140434</c:v>
                </c:pt>
                <c:pt idx="69">
                  <c:v>-0.3988550656423363</c:v>
                </c:pt>
                <c:pt idx="70">
                  <c:v>-0.38532046640756729</c:v>
                </c:pt>
                <c:pt idx="71">
                  <c:v>-0.37185608938507436</c:v>
                </c:pt>
                <c:pt idx="72">
                  <c:v>-0.35845879325119345</c:v>
                </c:pt>
                <c:pt idx="73">
                  <c:v>-0.34512553147047181</c:v>
                </c:pt>
                <c:pt idx="74">
                  <c:v>-0.33185334643681613</c:v>
                </c:pt>
                <c:pt idx="75">
                  <c:v>-0.31863936396437459</c:v>
                </c:pt>
                <c:pt idx="76">
                  <c:v>-0.30548078809939683</c:v>
                </c:pt>
                <c:pt idx="77">
                  <c:v>-0.29237489622680374</c:v>
                </c:pt>
                <c:pt idx="78">
                  <c:v>-0.2793190344474536</c:v>
                </c:pt>
                <c:pt idx="79">
                  <c:v>-0.26631061320409438</c:v>
                </c:pt>
                <c:pt idx="80">
                  <c:v>-0.25334710313579922</c:v>
                </c:pt>
                <c:pt idx="81">
                  <c:v>-0.24042603114230743</c:v>
                </c:pt>
                <c:pt idx="82">
                  <c:v>-0.22754497664114881</c:v>
                </c:pt>
                <c:pt idx="83">
                  <c:v>-0.21470156800174384</c:v>
                </c:pt>
                <c:pt idx="84">
                  <c:v>-0.20189347914185021</c:v>
                </c:pt>
                <c:pt idx="85">
                  <c:v>-0.18911842627279182</c:v>
                </c:pt>
                <c:pt idx="86">
                  <c:v>-0.17637416478086063</c:v>
                </c:pt>
                <c:pt idx="87">
                  <c:v>-0.16365848623314061</c:v>
                </c:pt>
                <c:pt idx="88">
                  <c:v>-0.15096921549677655</c:v>
                </c:pt>
                <c:pt idx="89">
                  <c:v>-0.1383042079614038</c:v>
                </c:pt>
                <c:pt idx="90">
                  <c:v>-0.12566134685507335</c:v>
                </c:pt>
                <c:pt idx="91">
                  <c:v>-0.11303854064456438</c:v>
                </c:pt>
                <c:pt idx="92">
                  <c:v>-0.10043372051146911</c:v>
                </c:pt>
                <c:pt idx="93">
                  <c:v>-8.7844837895870997E-2</c:v>
                </c:pt>
                <c:pt idx="94">
                  <c:v>-7.5269862099829055E-2</c:v>
                </c:pt>
                <c:pt idx="95">
                  <c:v>-6.2706777943212971E-2</c:v>
                </c:pt>
                <c:pt idx="96">
                  <c:v>-5.0153583464732872E-2</c:v>
                </c:pt>
                <c:pt idx="97">
                  <c:v>-3.760828766125518E-2</c:v>
                </c:pt>
                <c:pt idx="98">
                  <c:v>-2.50689082587102E-2</c:v>
                </c:pt>
                <c:pt idx="99">
                  <c:v>-1.2533469508068404E-2</c:v>
                </c:pt>
                <c:pt idx="100">
                  <c:v>8.3487492834352285E-16</c:v>
                </c:pt>
                <c:pt idx="101">
                  <c:v>1.2533469508070072E-2</c:v>
                </c:pt>
                <c:pt idx="102">
                  <c:v>2.5068908258711869E-2</c:v>
                </c:pt>
                <c:pt idx="103">
                  <c:v>3.7608287661256852E-2</c:v>
                </c:pt>
                <c:pt idx="104">
                  <c:v>5.0153583464734544E-2</c:v>
                </c:pt>
                <c:pt idx="105">
                  <c:v>6.270677794321465E-2</c:v>
                </c:pt>
                <c:pt idx="106">
                  <c:v>7.5269862099830734E-2</c:v>
                </c:pt>
                <c:pt idx="107">
                  <c:v>8.7844837895872677E-2</c:v>
                </c:pt>
                <c:pt idx="108">
                  <c:v>0.10043372051147079</c:v>
                </c:pt>
                <c:pt idx="109">
                  <c:v>0.11303854064456606</c:v>
                </c:pt>
                <c:pt idx="110">
                  <c:v>0.12566134685507505</c:v>
                </c:pt>
                <c:pt idx="111">
                  <c:v>0.13830420796140547</c:v>
                </c:pt>
                <c:pt idx="112">
                  <c:v>0.15096921549677825</c:v>
                </c:pt>
                <c:pt idx="113">
                  <c:v>0.16365848623314233</c:v>
                </c:pt>
                <c:pt idx="114">
                  <c:v>0.17637416478086235</c:v>
                </c:pt>
                <c:pt idx="115">
                  <c:v>0.18911842627279352</c:v>
                </c:pt>
                <c:pt idx="116">
                  <c:v>0.20189347914185191</c:v>
                </c:pt>
                <c:pt idx="117">
                  <c:v>0.21470156800174564</c:v>
                </c:pt>
                <c:pt idx="118">
                  <c:v>0.2275449766411505</c:v>
                </c:pt>
                <c:pt idx="119">
                  <c:v>0.24042603114230912</c:v>
                </c:pt>
                <c:pt idx="120">
                  <c:v>0.253347103135801</c:v>
                </c:pt>
                <c:pt idx="121">
                  <c:v>0.26631061320409605</c:v>
                </c:pt>
                <c:pt idx="122">
                  <c:v>0.27931903444745537</c:v>
                </c:pt>
                <c:pt idx="123">
                  <c:v>0.29237489622680546</c:v>
                </c:pt>
                <c:pt idx="124">
                  <c:v>0.30548078809939855</c:v>
                </c:pt>
                <c:pt idx="125">
                  <c:v>0.31863936396437648</c:v>
                </c:pt>
                <c:pt idx="126">
                  <c:v>0.33185334643681785</c:v>
                </c:pt>
                <c:pt idx="127">
                  <c:v>0.3451255314704737</c:v>
                </c:pt>
                <c:pt idx="128">
                  <c:v>0.35845879325119517</c:v>
                </c:pt>
                <c:pt idx="129">
                  <c:v>0.37185608938507614</c:v>
                </c:pt>
                <c:pt idx="130">
                  <c:v>0.38532046640756906</c:v>
                </c:pt>
                <c:pt idx="131">
                  <c:v>0.39885506564233814</c:v>
                </c:pt>
                <c:pt idx="132">
                  <c:v>0.41246312944140628</c:v>
                </c:pt>
                <c:pt idx="133">
                  <c:v>0.42614800784127965</c:v>
                </c:pt>
                <c:pt idx="134">
                  <c:v>0.4399131656732353</c:v>
                </c:pt>
                <c:pt idx="135">
                  <c:v>0.45376219016988084</c:v>
                </c:pt>
                <c:pt idx="136">
                  <c:v>0.46769879911450979</c:v>
                </c:pt>
                <c:pt idx="137">
                  <c:v>0.48172684958473194</c:v>
                </c:pt>
                <c:pt idx="138">
                  <c:v>0.49585034734745492</c:v>
                </c:pt>
                <c:pt idx="139">
                  <c:v>0.51007345696859641</c:v>
                </c:pt>
                <c:pt idx="140">
                  <c:v>0.52440051270804244</c:v>
                </c:pt>
                <c:pt idx="141">
                  <c:v>0.53883603027845195</c:v>
                </c:pt>
                <c:pt idx="142">
                  <c:v>0.55338471955567436</c:v>
                </c:pt>
                <c:pt idx="143">
                  <c:v>0.56805149833898438</c:v>
                </c:pt>
                <c:pt idx="144">
                  <c:v>0.58284150727121808</c:v>
                </c:pt>
                <c:pt idx="145">
                  <c:v>0.59776012604248019</c:v>
                </c:pt>
                <c:pt idx="146">
                  <c:v>0.61281299101662912</c:v>
                </c:pt>
                <c:pt idx="147">
                  <c:v>0.62800601443757142</c:v>
                </c:pt>
                <c:pt idx="148">
                  <c:v>0.64334540539291885</c:v>
                </c:pt>
                <c:pt idx="149">
                  <c:v>0.65883769273618975</c:v>
                </c:pt>
                <c:pt idx="150">
                  <c:v>0.67448975019608348</c:v>
                </c:pt>
                <c:pt idx="151">
                  <c:v>0.69030882393303561</c:v>
                </c:pt>
                <c:pt idx="152">
                  <c:v>0.70630256284008919</c:v>
                </c:pt>
                <c:pt idx="153">
                  <c:v>0.7224790519280645</c:v>
                </c:pt>
                <c:pt idx="154">
                  <c:v>0.73884684918521548</c:v>
                </c:pt>
                <c:pt idx="155">
                  <c:v>0.7554150263604712</c:v>
                </c:pt>
                <c:pt idx="156">
                  <c:v>0.77219321418868658</c:v>
                </c:pt>
                <c:pt idx="157">
                  <c:v>0.78919165265822433</c:v>
                </c:pt>
                <c:pt idx="158">
                  <c:v>0.80642124701824203</c:v>
                </c:pt>
                <c:pt idx="159">
                  <c:v>0.82389363033855956</c:v>
                </c:pt>
                <c:pt idx="160">
                  <c:v>0.84162123357291629</c:v>
                </c:pt>
                <c:pt idx="161">
                  <c:v>0.85961736424191382</c:v>
                </c:pt>
                <c:pt idx="162">
                  <c:v>0.8778962950512309</c:v>
                </c:pt>
                <c:pt idx="163">
                  <c:v>0.89647336400191846</c:v>
                </c:pt>
                <c:pt idx="164">
                  <c:v>0.91536508784281645</c:v>
                </c:pt>
                <c:pt idx="165">
                  <c:v>0.93458929107348265</c:v>
                </c:pt>
                <c:pt idx="166">
                  <c:v>0.95416525314619705</c:v>
                </c:pt>
                <c:pt idx="167">
                  <c:v>0.97411387705931185</c:v>
                </c:pt>
                <c:pt idx="168">
                  <c:v>0.99445788320975581</c:v>
                </c:pt>
                <c:pt idx="169">
                  <c:v>1.0152220332170308</c:v>
                </c:pt>
                <c:pt idx="170">
                  <c:v>1.036433389493792</c:v>
                </c:pt>
                <c:pt idx="171">
                  <c:v>1.0581216176847796</c:v>
                </c:pt>
                <c:pt idx="172">
                  <c:v>1.080319340814959</c:v>
                </c:pt>
                <c:pt idx="173">
                  <c:v>1.1030625561996004</c:v>
                </c:pt>
                <c:pt idx="174">
                  <c:v>1.1263911290388036</c:v>
                </c:pt>
                <c:pt idx="175">
                  <c:v>1.1503493803760112</c:v>
                </c:pt>
                <c:pt idx="176">
                  <c:v>1.1749867920660935</c:v>
                </c:pt>
                <c:pt idx="177">
                  <c:v>1.2003588580308626</c:v>
                </c:pt>
                <c:pt idx="178">
                  <c:v>1.2265281200366138</c:v>
                </c:pt>
                <c:pt idx="179">
                  <c:v>1.2535654384704544</c:v>
                </c:pt>
                <c:pt idx="180">
                  <c:v>1.2815515655446044</c:v>
                </c:pt>
                <c:pt idx="181">
                  <c:v>1.3105791121681329</c:v>
                </c:pt>
                <c:pt idx="182">
                  <c:v>1.3407550336902205</c:v>
                </c:pt>
                <c:pt idx="183">
                  <c:v>1.3722038089987305</c:v>
                </c:pt>
                <c:pt idx="184">
                  <c:v>1.4050715603096373</c:v>
                </c:pt>
                <c:pt idx="185">
                  <c:v>1.439531470938461</c:v>
                </c:pt>
                <c:pt idx="186">
                  <c:v>1.4757910281791762</c:v>
                </c:pt>
                <c:pt idx="187">
                  <c:v>1.5141018876192893</c:v>
                </c:pt>
                <c:pt idx="188">
                  <c:v>1.5547735945968597</c:v>
                </c:pt>
                <c:pt idx="189">
                  <c:v>1.5981931399228242</c:v>
                </c:pt>
                <c:pt idx="190">
                  <c:v>1.6448536269514797</c:v>
                </c:pt>
                <c:pt idx="191">
                  <c:v>1.6953977102721443</c:v>
                </c:pt>
                <c:pt idx="192">
                  <c:v>1.7506860712521786</c:v>
                </c:pt>
                <c:pt idx="193">
                  <c:v>1.8119106729526073</c:v>
                </c:pt>
                <c:pt idx="194">
                  <c:v>1.880793608151262</c:v>
                </c:pt>
                <c:pt idx="195">
                  <c:v>1.9599639845400672</c:v>
                </c:pt>
                <c:pt idx="196">
                  <c:v>2.053748910631839</c:v>
                </c:pt>
                <c:pt idx="197">
                  <c:v>2.170090377584581</c:v>
                </c:pt>
                <c:pt idx="198">
                  <c:v>2.3263478740408701</c:v>
                </c:pt>
                <c:pt idx="199">
                  <c:v>2.5758293035489541</c:v>
                </c:pt>
                <c:pt idx="200">
                  <c:v>10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828672"/>
        <c:axId val="482830208"/>
      </c:scatterChart>
      <c:valAx>
        <c:axId val="482828672"/>
        <c:scaling>
          <c:orientation val="minMax"/>
          <c:max val="1"/>
          <c:min val="0"/>
        </c:scaling>
        <c:delete val="0"/>
        <c:axPos val="b"/>
        <c:numFmt formatCode="#,##0.00" sourceLinked="0"/>
        <c:majorTickMark val="out"/>
        <c:minorTickMark val="none"/>
        <c:tickLblPos val="nextTo"/>
        <c:crossAx val="482830208"/>
        <c:crosses val="autoZero"/>
        <c:crossBetween val="midCat"/>
      </c:valAx>
      <c:valAx>
        <c:axId val="482830208"/>
        <c:scaling>
          <c:orientation val="minMax"/>
          <c:max val="10"/>
          <c:min val="-10"/>
        </c:scaling>
        <c:delete val="0"/>
        <c:axPos val="l"/>
        <c:numFmt formatCode="#,##0.00" sourceLinked="0"/>
        <c:majorTickMark val="out"/>
        <c:minorTickMark val="none"/>
        <c:tickLblPos val="nextTo"/>
        <c:crossAx val="48282867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Sheet1!$S$7</c:f>
              <c:strCache>
                <c:ptCount val="1"/>
                <c:pt idx="0">
                  <c:v>Normal Variate, x</c:v>
                </c:pt>
              </c:strCache>
            </c:strRef>
          </c:tx>
          <c:marker>
            <c:symbol val="none"/>
          </c:marker>
          <c:xVal>
            <c:numRef>
              <c:f>Sheet1!$R$8:$R$208</c:f>
              <c:numCache>
                <c:formatCode>#,##0.0000</c:formatCode>
                <c:ptCount val="201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3.0000000000000002E-2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4.9999999999999996E-2</c:v>
                </c:pt>
                <c:pt idx="11">
                  <c:v>5.4999999999999993E-2</c:v>
                </c:pt>
                <c:pt idx="12">
                  <c:v>5.9999999999999991E-2</c:v>
                </c:pt>
                <c:pt idx="13">
                  <c:v>6.4999999999999988E-2</c:v>
                </c:pt>
                <c:pt idx="14">
                  <c:v>6.9999999999999993E-2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9.0000000000000011E-2</c:v>
                </c:pt>
                <c:pt idx="19">
                  <c:v>9.5000000000000015E-2</c:v>
                </c:pt>
                <c:pt idx="20">
                  <c:v>0.10000000000000002</c:v>
                </c:pt>
                <c:pt idx="21">
                  <c:v>0.10500000000000002</c:v>
                </c:pt>
                <c:pt idx="22">
                  <c:v>0.11000000000000003</c:v>
                </c:pt>
                <c:pt idx="23">
                  <c:v>0.11500000000000003</c:v>
                </c:pt>
                <c:pt idx="24">
                  <c:v>0.12000000000000004</c:v>
                </c:pt>
                <c:pt idx="25">
                  <c:v>0.12500000000000003</c:v>
                </c:pt>
                <c:pt idx="26">
                  <c:v>0.13000000000000003</c:v>
                </c:pt>
                <c:pt idx="27">
                  <c:v>0.13500000000000004</c:v>
                </c:pt>
                <c:pt idx="28">
                  <c:v>0.14000000000000004</c:v>
                </c:pt>
                <c:pt idx="29">
                  <c:v>0.14500000000000005</c:v>
                </c:pt>
                <c:pt idx="30">
                  <c:v>0.15000000000000005</c:v>
                </c:pt>
                <c:pt idx="31">
                  <c:v>0.15500000000000005</c:v>
                </c:pt>
                <c:pt idx="32">
                  <c:v>0.16000000000000006</c:v>
                </c:pt>
                <c:pt idx="33">
                  <c:v>0.16500000000000006</c:v>
                </c:pt>
                <c:pt idx="34">
                  <c:v>0.17000000000000007</c:v>
                </c:pt>
                <c:pt idx="35">
                  <c:v>0.17500000000000007</c:v>
                </c:pt>
                <c:pt idx="36">
                  <c:v>0.18000000000000008</c:v>
                </c:pt>
                <c:pt idx="37">
                  <c:v>0.18500000000000008</c:v>
                </c:pt>
                <c:pt idx="38">
                  <c:v>0.19000000000000009</c:v>
                </c:pt>
                <c:pt idx="39">
                  <c:v>0.19500000000000009</c:v>
                </c:pt>
                <c:pt idx="40">
                  <c:v>0.20000000000000009</c:v>
                </c:pt>
                <c:pt idx="41">
                  <c:v>0.2050000000000001</c:v>
                </c:pt>
                <c:pt idx="42">
                  <c:v>0.2100000000000001</c:v>
                </c:pt>
                <c:pt idx="43">
                  <c:v>0.21500000000000011</c:v>
                </c:pt>
                <c:pt idx="44">
                  <c:v>0.22000000000000011</c:v>
                </c:pt>
                <c:pt idx="45">
                  <c:v>0.22500000000000012</c:v>
                </c:pt>
                <c:pt idx="46">
                  <c:v>0.23000000000000012</c:v>
                </c:pt>
                <c:pt idx="47">
                  <c:v>0.23500000000000013</c:v>
                </c:pt>
                <c:pt idx="48">
                  <c:v>0.24000000000000013</c:v>
                </c:pt>
                <c:pt idx="49">
                  <c:v>0.24500000000000013</c:v>
                </c:pt>
                <c:pt idx="50">
                  <c:v>0.25000000000000011</c:v>
                </c:pt>
                <c:pt idx="51">
                  <c:v>0.25500000000000012</c:v>
                </c:pt>
                <c:pt idx="52">
                  <c:v>0.26000000000000012</c:v>
                </c:pt>
                <c:pt idx="53">
                  <c:v>0.26500000000000012</c:v>
                </c:pt>
                <c:pt idx="54">
                  <c:v>0.27000000000000013</c:v>
                </c:pt>
                <c:pt idx="55">
                  <c:v>0.27500000000000013</c:v>
                </c:pt>
                <c:pt idx="56">
                  <c:v>0.28000000000000014</c:v>
                </c:pt>
                <c:pt idx="57">
                  <c:v>0.28500000000000014</c:v>
                </c:pt>
                <c:pt idx="58">
                  <c:v>0.29000000000000015</c:v>
                </c:pt>
                <c:pt idx="59">
                  <c:v>0.29500000000000015</c:v>
                </c:pt>
                <c:pt idx="60">
                  <c:v>0.30000000000000016</c:v>
                </c:pt>
                <c:pt idx="61">
                  <c:v>0.30500000000000016</c:v>
                </c:pt>
                <c:pt idx="62">
                  <c:v>0.31000000000000016</c:v>
                </c:pt>
                <c:pt idx="63">
                  <c:v>0.31500000000000017</c:v>
                </c:pt>
                <c:pt idx="64">
                  <c:v>0.32000000000000017</c:v>
                </c:pt>
                <c:pt idx="65">
                  <c:v>0.32500000000000018</c:v>
                </c:pt>
                <c:pt idx="66">
                  <c:v>0.33000000000000018</c:v>
                </c:pt>
                <c:pt idx="67">
                  <c:v>0.33500000000000019</c:v>
                </c:pt>
                <c:pt idx="68">
                  <c:v>0.34000000000000019</c:v>
                </c:pt>
                <c:pt idx="69">
                  <c:v>0.3450000000000002</c:v>
                </c:pt>
                <c:pt idx="70">
                  <c:v>0.3500000000000002</c:v>
                </c:pt>
                <c:pt idx="71">
                  <c:v>0.3550000000000002</c:v>
                </c:pt>
                <c:pt idx="72">
                  <c:v>0.36000000000000021</c:v>
                </c:pt>
                <c:pt idx="73">
                  <c:v>0.36500000000000021</c:v>
                </c:pt>
                <c:pt idx="74">
                  <c:v>0.37000000000000022</c:v>
                </c:pt>
                <c:pt idx="75">
                  <c:v>0.37500000000000022</c:v>
                </c:pt>
                <c:pt idx="76">
                  <c:v>0.38000000000000023</c:v>
                </c:pt>
                <c:pt idx="77">
                  <c:v>0.38500000000000023</c:v>
                </c:pt>
                <c:pt idx="78">
                  <c:v>0.39000000000000024</c:v>
                </c:pt>
                <c:pt idx="79">
                  <c:v>0.39500000000000024</c:v>
                </c:pt>
                <c:pt idx="80">
                  <c:v>0.40000000000000024</c:v>
                </c:pt>
                <c:pt idx="81">
                  <c:v>0.40500000000000025</c:v>
                </c:pt>
                <c:pt idx="82">
                  <c:v>0.41000000000000025</c:v>
                </c:pt>
                <c:pt idx="83">
                  <c:v>0.41500000000000026</c:v>
                </c:pt>
                <c:pt idx="84">
                  <c:v>0.42000000000000026</c:v>
                </c:pt>
                <c:pt idx="85">
                  <c:v>0.42500000000000027</c:v>
                </c:pt>
                <c:pt idx="86">
                  <c:v>0.43000000000000027</c:v>
                </c:pt>
                <c:pt idx="87">
                  <c:v>0.43500000000000028</c:v>
                </c:pt>
                <c:pt idx="88">
                  <c:v>0.44000000000000028</c:v>
                </c:pt>
                <c:pt idx="89">
                  <c:v>0.44500000000000028</c:v>
                </c:pt>
                <c:pt idx="90">
                  <c:v>0.45000000000000029</c:v>
                </c:pt>
                <c:pt idx="91">
                  <c:v>0.45500000000000029</c:v>
                </c:pt>
                <c:pt idx="92">
                  <c:v>0.4600000000000003</c:v>
                </c:pt>
                <c:pt idx="93">
                  <c:v>0.4650000000000003</c:v>
                </c:pt>
                <c:pt idx="94">
                  <c:v>0.47000000000000031</c:v>
                </c:pt>
                <c:pt idx="95">
                  <c:v>0.47500000000000031</c:v>
                </c:pt>
                <c:pt idx="96">
                  <c:v>0.48000000000000032</c:v>
                </c:pt>
                <c:pt idx="97">
                  <c:v>0.48500000000000032</c:v>
                </c:pt>
                <c:pt idx="98">
                  <c:v>0.49000000000000032</c:v>
                </c:pt>
                <c:pt idx="99">
                  <c:v>0.49500000000000033</c:v>
                </c:pt>
                <c:pt idx="100">
                  <c:v>0.50000000000000033</c:v>
                </c:pt>
                <c:pt idx="101">
                  <c:v>0.50500000000000034</c:v>
                </c:pt>
                <c:pt idx="102">
                  <c:v>0.51000000000000034</c:v>
                </c:pt>
                <c:pt idx="103">
                  <c:v>0.51500000000000035</c:v>
                </c:pt>
                <c:pt idx="104">
                  <c:v>0.52000000000000035</c:v>
                </c:pt>
                <c:pt idx="105">
                  <c:v>0.52500000000000036</c:v>
                </c:pt>
                <c:pt idx="106">
                  <c:v>0.53000000000000036</c:v>
                </c:pt>
                <c:pt idx="107">
                  <c:v>0.53500000000000036</c:v>
                </c:pt>
                <c:pt idx="108">
                  <c:v>0.54000000000000037</c:v>
                </c:pt>
                <c:pt idx="109">
                  <c:v>0.54500000000000037</c:v>
                </c:pt>
                <c:pt idx="110">
                  <c:v>0.55000000000000038</c:v>
                </c:pt>
                <c:pt idx="111">
                  <c:v>0.55500000000000038</c:v>
                </c:pt>
                <c:pt idx="112">
                  <c:v>0.56000000000000039</c:v>
                </c:pt>
                <c:pt idx="113">
                  <c:v>0.56500000000000039</c:v>
                </c:pt>
                <c:pt idx="114">
                  <c:v>0.5700000000000004</c:v>
                </c:pt>
                <c:pt idx="115">
                  <c:v>0.5750000000000004</c:v>
                </c:pt>
                <c:pt idx="116">
                  <c:v>0.5800000000000004</c:v>
                </c:pt>
                <c:pt idx="117">
                  <c:v>0.58500000000000041</c:v>
                </c:pt>
                <c:pt idx="118">
                  <c:v>0.59000000000000041</c:v>
                </c:pt>
                <c:pt idx="119">
                  <c:v>0.59500000000000042</c:v>
                </c:pt>
                <c:pt idx="120">
                  <c:v>0.60000000000000042</c:v>
                </c:pt>
                <c:pt idx="121">
                  <c:v>0.60500000000000043</c:v>
                </c:pt>
                <c:pt idx="122">
                  <c:v>0.61000000000000043</c:v>
                </c:pt>
                <c:pt idx="123">
                  <c:v>0.61500000000000044</c:v>
                </c:pt>
                <c:pt idx="124">
                  <c:v>0.62000000000000044</c:v>
                </c:pt>
                <c:pt idx="125">
                  <c:v>0.62500000000000044</c:v>
                </c:pt>
                <c:pt idx="126">
                  <c:v>0.63000000000000045</c:v>
                </c:pt>
                <c:pt idx="127">
                  <c:v>0.63500000000000045</c:v>
                </c:pt>
                <c:pt idx="128">
                  <c:v>0.64000000000000046</c:v>
                </c:pt>
                <c:pt idx="129">
                  <c:v>0.64500000000000046</c:v>
                </c:pt>
                <c:pt idx="130">
                  <c:v>0.65000000000000047</c:v>
                </c:pt>
                <c:pt idx="131">
                  <c:v>0.65500000000000047</c:v>
                </c:pt>
                <c:pt idx="132">
                  <c:v>0.66000000000000048</c:v>
                </c:pt>
                <c:pt idx="133">
                  <c:v>0.66500000000000048</c:v>
                </c:pt>
                <c:pt idx="134">
                  <c:v>0.67000000000000048</c:v>
                </c:pt>
                <c:pt idx="135">
                  <c:v>0.67500000000000049</c:v>
                </c:pt>
                <c:pt idx="136">
                  <c:v>0.68000000000000049</c:v>
                </c:pt>
                <c:pt idx="137">
                  <c:v>0.6850000000000005</c:v>
                </c:pt>
                <c:pt idx="138">
                  <c:v>0.6900000000000005</c:v>
                </c:pt>
                <c:pt idx="139">
                  <c:v>0.69500000000000051</c:v>
                </c:pt>
                <c:pt idx="140">
                  <c:v>0.70000000000000051</c:v>
                </c:pt>
                <c:pt idx="141">
                  <c:v>0.70500000000000052</c:v>
                </c:pt>
                <c:pt idx="142">
                  <c:v>0.71000000000000052</c:v>
                </c:pt>
                <c:pt idx="143">
                  <c:v>0.71500000000000052</c:v>
                </c:pt>
                <c:pt idx="144">
                  <c:v>0.72000000000000053</c:v>
                </c:pt>
                <c:pt idx="145">
                  <c:v>0.72500000000000053</c:v>
                </c:pt>
                <c:pt idx="146">
                  <c:v>0.73000000000000054</c:v>
                </c:pt>
                <c:pt idx="147">
                  <c:v>0.73500000000000054</c:v>
                </c:pt>
                <c:pt idx="148">
                  <c:v>0.74000000000000055</c:v>
                </c:pt>
                <c:pt idx="149">
                  <c:v>0.74500000000000055</c:v>
                </c:pt>
                <c:pt idx="150">
                  <c:v>0.75000000000000056</c:v>
                </c:pt>
                <c:pt idx="151">
                  <c:v>0.75500000000000056</c:v>
                </c:pt>
                <c:pt idx="152">
                  <c:v>0.76000000000000056</c:v>
                </c:pt>
                <c:pt idx="153">
                  <c:v>0.76500000000000057</c:v>
                </c:pt>
                <c:pt idx="154">
                  <c:v>0.77000000000000057</c:v>
                </c:pt>
                <c:pt idx="155">
                  <c:v>0.77500000000000058</c:v>
                </c:pt>
                <c:pt idx="156">
                  <c:v>0.78000000000000058</c:v>
                </c:pt>
                <c:pt idx="157">
                  <c:v>0.78500000000000059</c:v>
                </c:pt>
                <c:pt idx="158">
                  <c:v>0.79000000000000059</c:v>
                </c:pt>
                <c:pt idx="159">
                  <c:v>0.7950000000000006</c:v>
                </c:pt>
                <c:pt idx="160">
                  <c:v>0.8000000000000006</c:v>
                </c:pt>
                <c:pt idx="161">
                  <c:v>0.8050000000000006</c:v>
                </c:pt>
                <c:pt idx="162">
                  <c:v>0.81000000000000061</c:v>
                </c:pt>
                <c:pt idx="163">
                  <c:v>0.81500000000000061</c:v>
                </c:pt>
                <c:pt idx="164">
                  <c:v>0.82000000000000062</c:v>
                </c:pt>
                <c:pt idx="165">
                  <c:v>0.82500000000000062</c:v>
                </c:pt>
                <c:pt idx="166">
                  <c:v>0.83000000000000063</c:v>
                </c:pt>
                <c:pt idx="167">
                  <c:v>0.83500000000000063</c:v>
                </c:pt>
                <c:pt idx="168">
                  <c:v>0.84000000000000064</c:v>
                </c:pt>
                <c:pt idx="169">
                  <c:v>0.84500000000000064</c:v>
                </c:pt>
                <c:pt idx="170">
                  <c:v>0.85000000000000064</c:v>
                </c:pt>
                <c:pt idx="171">
                  <c:v>0.85500000000000065</c:v>
                </c:pt>
                <c:pt idx="172">
                  <c:v>0.86000000000000065</c:v>
                </c:pt>
                <c:pt idx="173">
                  <c:v>0.86500000000000066</c:v>
                </c:pt>
                <c:pt idx="174">
                  <c:v>0.87000000000000066</c:v>
                </c:pt>
                <c:pt idx="175">
                  <c:v>0.87500000000000067</c:v>
                </c:pt>
                <c:pt idx="176">
                  <c:v>0.88000000000000067</c:v>
                </c:pt>
                <c:pt idx="177">
                  <c:v>0.88500000000000068</c:v>
                </c:pt>
                <c:pt idx="178">
                  <c:v>0.89000000000000068</c:v>
                </c:pt>
                <c:pt idx="179">
                  <c:v>0.89500000000000068</c:v>
                </c:pt>
                <c:pt idx="180">
                  <c:v>0.90000000000000069</c:v>
                </c:pt>
                <c:pt idx="181">
                  <c:v>0.90500000000000069</c:v>
                </c:pt>
                <c:pt idx="182">
                  <c:v>0.9100000000000007</c:v>
                </c:pt>
                <c:pt idx="183">
                  <c:v>0.9150000000000007</c:v>
                </c:pt>
                <c:pt idx="184">
                  <c:v>0.92000000000000071</c:v>
                </c:pt>
                <c:pt idx="185">
                  <c:v>0.92500000000000071</c:v>
                </c:pt>
                <c:pt idx="186">
                  <c:v>0.93000000000000071</c:v>
                </c:pt>
                <c:pt idx="187">
                  <c:v>0.93500000000000072</c:v>
                </c:pt>
                <c:pt idx="188">
                  <c:v>0.94000000000000072</c:v>
                </c:pt>
                <c:pt idx="189">
                  <c:v>0.94500000000000073</c:v>
                </c:pt>
                <c:pt idx="190">
                  <c:v>0.95000000000000073</c:v>
                </c:pt>
                <c:pt idx="191">
                  <c:v>0.95500000000000074</c:v>
                </c:pt>
                <c:pt idx="192">
                  <c:v>0.96000000000000074</c:v>
                </c:pt>
                <c:pt idx="193">
                  <c:v>0.96500000000000075</c:v>
                </c:pt>
                <c:pt idx="194">
                  <c:v>0.97000000000000075</c:v>
                </c:pt>
                <c:pt idx="195">
                  <c:v>0.97500000000000075</c:v>
                </c:pt>
                <c:pt idx="196">
                  <c:v>0.98000000000000076</c:v>
                </c:pt>
                <c:pt idx="197">
                  <c:v>0.98500000000000076</c:v>
                </c:pt>
                <c:pt idx="198">
                  <c:v>0.99000000000000077</c:v>
                </c:pt>
                <c:pt idx="199">
                  <c:v>0.99500000000000077</c:v>
                </c:pt>
                <c:pt idx="200">
                  <c:v>1.0000000000000007</c:v>
                </c:pt>
              </c:numCache>
            </c:numRef>
          </c:xVal>
          <c:yVal>
            <c:numRef>
              <c:f>Sheet1!$S$8:$S$208</c:f>
              <c:numCache>
                <c:formatCode>#,##0.000000</c:formatCode>
                <c:ptCount val="201"/>
                <c:pt idx="0">
                  <c:v>-10</c:v>
                </c:pt>
                <c:pt idx="1">
                  <c:v>-2.5758293035489008</c:v>
                </c:pt>
                <c:pt idx="2">
                  <c:v>-2.3263478740408412</c:v>
                </c:pt>
                <c:pt idx="3">
                  <c:v>-2.1700903775845606</c:v>
                </c:pt>
                <c:pt idx="4">
                  <c:v>-2.053748910631823</c:v>
                </c:pt>
                <c:pt idx="5">
                  <c:v>-1.959963984540054</c:v>
                </c:pt>
                <c:pt idx="6">
                  <c:v>-1.8807936081512509</c:v>
                </c:pt>
                <c:pt idx="7">
                  <c:v>-1.8119106729525978</c:v>
                </c:pt>
                <c:pt idx="8">
                  <c:v>-1.7506860712521699</c:v>
                </c:pt>
                <c:pt idx="9">
                  <c:v>-1.6953977102721365</c:v>
                </c:pt>
                <c:pt idx="10">
                  <c:v>-1.6448536269514729</c:v>
                </c:pt>
                <c:pt idx="11">
                  <c:v>-1.5981931399228175</c:v>
                </c:pt>
                <c:pt idx="12">
                  <c:v>-1.5547735945968537</c:v>
                </c:pt>
                <c:pt idx="13">
                  <c:v>-1.5141018876192838</c:v>
                </c:pt>
                <c:pt idx="14">
                  <c:v>-1.4757910281791708</c:v>
                </c:pt>
                <c:pt idx="15">
                  <c:v>-1.4395314709384559</c:v>
                </c:pt>
                <c:pt idx="16">
                  <c:v>-1.4050715603096324</c:v>
                </c:pt>
                <c:pt idx="17">
                  <c:v>-1.3722038089987258</c:v>
                </c:pt>
                <c:pt idx="18">
                  <c:v>-1.3407550336902163</c:v>
                </c:pt>
                <c:pt idx="19">
                  <c:v>-1.3105791121681287</c:v>
                </c:pt>
                <c:pt idx="20">
                  <c:v>-1.2815515655446004</c:v>
                </c:pt>
                <c:pt idx="21">
                  <c:v>-1.2535654384704507</c:v>
                </c:pt>
                <c:pt idx="22">
                  <c:v>-1.2265281200366098</c:v>
                </c:pt>
                <c:pt idx="23">
                  <c:v>-1.2003588580308588</c:v>
                </c:pt>
                <c:pt idx="24">
                  <c:v>-1.1749867920660897</c:v>
                </c:pt>
                <c:pt idx="25">
                  <c:v>-1.1503493803760081</c:v>
                </c:pt>
                <c:pt idx="26">
                  <c:v>-1.1263911290388005</c:v>
                </c:pt>
                <c:pt idx="27">
                  <c:v>-1.1030625561995975</c:v>
                </c:pt>
                <c:pt idx="28">
                  <c:v>-1.0803193408149558</c:v>
                </c:pt>
                <c:pt idx="29">
                  <c:v>-1.0581216176847765</c:v>
                </c:pt>
                <c:pt idx="30">
                  <c:v>-1.0364333894937894</c:v>
                </c:pt>
                <c:pt idx="31">
                  <c:v>-1.0152220332170279</c:v>
                </c:pt>
                <c:pt idx="32">
                  <c:v>-0.99445788320975292</c:v>
                </c:pt>
                <c:pt idx="33">
                  <c:v>-0.97411387705930885</c:v>
                </c:pt>
                <c:pt idx="34">
                  <c:v>-0.95416525314619427</c:v>
                </c:pt>
                <c:pt idx="35">
                  <c:v>-0.93458929107347999</c:v>
                </c:pt>
                <c:pt idx="36">
                  <c:v>-0.91536508784281378</c:v>
                </c:pt>
                <c:pt idx="37">
                  <c:v>-0.89647336400191591</c:v>
                </c:pt>
                <c:pt idx="38">
                  <c:v>-0.87789629505122824</c:v>
                </c:pt>
                <c:pt idx="39">
                  <c:v>-0.85961736424191115</c:v>
                </c:pt>
                <c:pt idx="40">
                  <c:v>-0.84162123357291396</c:v>
                </c:pt>
                <c:pt idx="41">
                  <c:v>-0.823893630338557</c:v>
                </c:pt>
                <c:pt idx="42">
                  <c:v>-0.80642124701823992</c:v>
                </c:pt>
                <c:pt idx="43">
                  <c:v>-0.78919165265822189</c:v>
                </c:pt>
                <c:pt idx="44">
                  <c:v>-0.77219321418868458</c:v>
                </c:pt>
                <c:pt idx="45">
                  <c:v>-0.75541502636046876</c:v>
                </c:pt>
                <c:pt idx="46">
                  <c:v>-0.73884684918521326</c:v>
                </c:pt>
                <c:pt idx="47">
                  <c:v>-0.72247905192806205</c:v>
                </c:pt>
                <c:pt idx="48">
                  <c:v>-0.70630256284008697</c:v>
                </c:pt>
                <c:pt idx="49">
                  <c:v>-0.69030882393303361</c:v>
                </c:pt>
                <c:pt idx="50">
                  <c:v>-0.67448975019608126</c:v>
                </c:pt>
                <c:pt idx="51">
                  <c:v>-0.65883769273618764</c:v>
                </c:pt>
                <c:pt idx="52">
                  <c:v>-0.64334540539291685</c:v>
                </c:pt>
                <c:pt idx="53">
                  <c:v>-0.62800601443756943</c:v>
                </c:pt>
                <c:pt idx="54">
                  <c:v>-0.61281299101662712</c:v>
                </c:pt>
                <c:pt idx="55">
                  <c:v>-0.59776012604247808</c:v>
                </c:pt>
                <c:pt idx="56">
                  <c:v>-0.58284150727121586</c:v>
                </c:pt>
                <c:pt idx="57">
                  <c:v>-0.56805149833898239</c:v>
                </c:pt>
                <c:pt idx="58">
                  <c:v>-0.55338471955567248</c:v>
                </c:pt>
                <c:pt idx="59">
                  <c:v>-0.53883603027845006</c:v>
                </c:pt>
                <c:pt idx="60">
                  <c:v>-0.52440051270804056</c:v>
                </c:pt>
                <c:pt idx="61">
                  <c:v>-0.51007345696859452</c:v>
                </c:pt>
                <c:pt idx="62">
                  <c:v>-0.49585034734745304</c:v>
                </c:pt>
                <c:pt idx="63">
                  <c:v>-0.48172684958472983</c:v>
                </c:pt>
                <c:pt idx="64">
                  <c:v>-0.46769879911450801</c:v>
                </c:pt>
                <c:pt idx="65">
                  <c:v>-0.45376219016987901</c:v>
                </c:pt>
                <c:pt idx="66">
                  <c:v>-0.43991316567323341</c:v>
                </c:pt>
                <c:pt idx="67">
                  <c:v>-0.42614800784127777</c:v>
                </c:pt>
                <c:pt idx="68">
                  <c:v>-0.41246312944140434</c:v>
                </c:pt>
                <c:pt idx="69">
                  <c:v>-0.3988550656423363</c:v>
                </c:pt>
                <c:pt idx="70">
                  <c:v>-0.38532046640756729</c:v>
                </c:pt>
                <c:pt idx="71">
                  <c:v>-0.37185608938507436</c:v>
                </c:pt>
                <c:pt idx="72">
                  <c:v>-0.35845879325119345</c:v>
                </c:pt>
                <c:pt idx="73">
                  <c:v>-0.34512553147047181</c:v>
                </c:pt>
                <c:pt idx="74">
                  <c:v>-0.33185334643681613</c:v>
                </c:pt>
                <c:pt idx="75">
                  <c:v>-0.31863936396437459</c:v>
                </c:pt>
                <c:pt idx="76">
                  <c:v>-0.30548078809939683</c:v>
                </c:pt>
                <c:pt idx="77">
                  <c:v>-0.29237489622680374</c:v>
                </c:pt>
                <c:pt idx="78">
                  <c:v>-0.2793190344474536</c:v>
                </c:pt>
                <c:pt idx="79">
                  <c:v>-0.26631061320409438</c:v>
                </c:pt>
                <c:pt idx="80">
                  <c:v>-0.25334710313579922</c:v>
                </c:pt>
                <c:pt idx="81">
                  <c:v>-0.24042603114230743</c:v>
                </c:pt>
                <c:pt idx="82">
                  <c:v>-0.22754497664114881</c:v>
                </c:pt>
                <c:pt idx="83">
                  <c:v>-0.21470156800174384</c:v>
                </c:pt>
                <c:pt idx="84">
                  <c:v>-0.20189347914185021</c:v>
                </c:pt>
                <c:pt idx="85">
                  <c:v>-0.18911842627279182</c:v>
                </c:pt>
                <c:pt idx="86">
                  <c:v>-0.17637416478086063</c:v>
                </c:pt>
                <c:pt idx="87">
                  <c:v>-0.16365848623314061</c:v>
                </c:pt>
                <c:pt idx="88">
                  <c:v>-0.15096921549677655</c:v>
                </c:pt>
                <c:pt idx="89">
                  <c:v>-0.1383042079614038</c:v>
                </c:pt>
                <c:pt idx="90">
                  <c:v>-0.12566134685507335</c:v>
                </c:pt>
                <c:pt idx="91">
                  <c:v>-0.11303854064456438</c:v>
                </c:pt>
                <c:pt idx="92">
                  <c:v>-0.10043372051146911</c:v>
                </c:pt>
                <c:pt idx="93">
                  <c:v>-8.7844837895870997E-2</c:v>
                </c:pt>
                <c:pt idx="94">
                  <c:v>-7.5269862099829055E-2</c:v>
                </c:pt>
                <c:pt idx="95">
                  <c:v>-6.2706777943212971E-2</c:v>
                </c:pt>
                <c:pt idx="96">
                  <c:v>-5.0153583464732872E-2</c:v>
                </c:pt>
                <c:pt idx="97">
                  <c:v>-3.760828766125518E-2</c:v>
                </c:pt>
                <c:pt idx="98">
                  <c:v>-2.50689082587102E-2</c:v>
                </c:pt>
                <c:pt idx="99">
                  <c:v>-1.2533469508068404E-2</c:v>
                </c:pt>
                <c:pt idx="100">
                  <c:v>8.3487492834352285E-16</c:v>
                </c:pt>
                <c:pt idx="101">
                  <c:v>1.2533469508070072E-2</c:v>
                </c:pt>
                <c:pt idx="102">
                  <c:v>2.5068908258711869E-2</c:v>
                </c:pt>
                <c:pt idx="103">
                  <c:v>3.7608287661256852E-2</c:v>
                </c:pt>
                <c:pt idx="104">
                  <c:v>5.0153583464734544E-2</c:v>
                </c:pt>
                <c:pt idx="105">
                  <c:v>6.270677794321465E-2</c:v>
                </c:pt>
                <c:pt idx="106">
                  <c:v>7.5269862099830734E-2</c:v>
                </c:pt>
                <c:pt idx="107">
                  <c:v>8.7844837895872677E-2</c:v>
                </c:pt>
                <c:pt idx="108">
                  <c:v>0.10043372051147079</c:v>
                </c:pt>
                <c:pt idx="109">
                  <c:v>0.11303854064456606</c:v>
                </c:pt>
                <c:pt idx="110">
                  <c:v>0.12566134685507505</c:v>
                </c:pt>
                <c:pt idx="111">
                  <c:v>0.13830420796140547</c:v>
                </c:pt>
                <c:pt idx="112">
                  <c:v>0.15096921549677825</c:v>
                </c:pt>
                <c:pt idx="113">
                  <c:v>0.16365848623314233</c:v>
                </c:pt>
                <c:pt idx="114">
                  <c:v>0.17637416478086235</c:v>
                </c:pt>
                <c:pt idx="115">
                  <c:v>0.18911842627279352</c:v>
                </c:pt>
                <c:pt idx="116">
                  <c:v>0.20189347914185191</c:v>
                </c:pt>
                <c:pt idx="117">
                  <c:v>0.21470156800174564</c:v>
                </c:pt>
                <c:pt idx="118">
                  <c:v>0.2275449766411505</c:v>
                </c:pt>
                <c:pt idx="119">
                  <c:v>0.24042603114230912</c:v>
                </c:pt>
                <c:pt idx="120">
                  <c:v>0.253347103135801</c:v>
                </c:pt>
                <c:pt idx="121">
                  <c:v>0.26631061320409605</c:v>
                </c:pt>
                <c:pt idx="122">
                  <c:v>0.27931903444745537</c:v>
                </c:pt>
                <c:pt idx="123">
                  <c:v>0.29237489622680546</c:v>
                </c:pt>
                <c:pt idx="124">
                  <c:v>0.30548078809939855</c:v>
                </c:pt>
                <c:pt idx="125">
                  <c:v>0.31863936396437648</c:v>
                </c:pt>
                <c:pt idx="126">
                  <c:v>0.33185334643681785</c:v>
                </c:pt>
                <c:pt idx="127">
                  <c:v>0.3451255314704737</c:v>
                </c:pt>
                <c:pt idx="128">
                  <c:v>0.35845879325119517</c:v>
                </c:pt>
                <c:pt idx="129">
                  <c:v>0.37185608938507614</c:v>
                </c:pt>
                <c:pt idx="130">
                  <c:v>0.38532046640756906</c:v>
                </c:pt>
                <c:pt idx="131">
                  <c:v>0.39885506564233814</c:v>
                </c:pt>
                <c:pt idx="132">
                  <c:v>0.41246312944140628</c:v>
                </c:pt>
                <c:pt idx="133">
                  <c:v>0.42614800784127965</c:v>
                </c:pt>
                <c:pt idx="134">
                  <c:v>0.4399131656732353</c:v>
                </c:pt>
                <c:pt idx="135">
                  <c:v>0.45376219016988084</c:v>
                </c:pt>
                <c:pt idx="136">
                  <c:v>0.46769879911450979</c:v>
                </c:pt>
                <c:pt idx="137">
                  <c:v>0.48172684958473194</c:v>
                </c:pt>
                <c:pt idx="138">
                  <c:v>0.49585034734745492</c:v>
                </c:pt>
                <c:pt idx="139">
                  <c:v>0.51007345696859641</c:v>
                </c:pt>
                <c:pt idx="140">
                  <c:v>0.52440051270804244</c:v>
                </c:pt>
                <c:pt idx="141">
                  <c:v>0.53883603027845195</c:v>
                </c:pt>
                <c:pt idx="142">
                  <c:v>0.55338471955567436</c:v>
                </c:pt>
                <c:pt idx="143">
                  <c:v>0.56805149833898438</c:v>
                </c:pt>
                <c:pt idx="144">
                  <c:v>0.58284150727121808</c:v>
                </c:pt>
                <c:pt idx="145">
                  <c:v>0.59776012604248019</c:v>
                </c:pt>
                <c:pt idx="146">
                  <c:v>0.61281299101662912</c:v>
                </c:pt>
                <c:pt idx="147">
                  <c:v>0.62800601443757142</c:v>
                </c:pt>
                <c:pt idx="148">
                  <c:v>0.64334540539291885</c:v>
                </c:pt>
                <c:pt idx="149">
                  <c:v>0.65883769273618975</c:v>
                </c:pt>
                <c:pt idx="150">
                  <c:v>0.67448975019608348</c:v>
                </c:pt>
                <c:pt idx="151">
                  <c:v>0.69030882393303561</c:v>
                </c:pt>
                <c:pt idx="152">
                  <c:v>0.70630256284008919</c:v>
                </c:pt>
                <c:pt idx="153">
                  <c:v>0.7224790519280645</c:v>
                </c:pt>
                <c:pt idx="154">
                  <c:v>0.73884684918521548</c:v>
                </c:pt>
                <c:pt idx="155">
                  <c:v>0.7554150263604712</c:v>
                </c:pt>
                <c:pt idx="156">
                  <c:v>0.77219321418868658</c:v>
                </c:pt>
                <c:pt idx="157">
                  <c:v>0.78919165265822433</c:v>
                </c:pt>
                <c:pt idx="158">
                  <c:v>0.80642124701824203</c:v>
                </c:pt>
                <c:pt idx="159">
                  <c:v>0.82389363033855956</c:v>
                </c:pt>
                <c:pt idx="160">
                  <c:v>0.84162123357291629</c:v>
                </c:pt>
                <c:pt idx="161">
                  <c:v>0.85961736424191382</c:v>
                </c:pt>
                <c:pt idx="162">
                  <c:v>0.8778962950512309</c:v>
                </c:pt>
                <c:pt idx="163">
                  <c:v>0.89647336400191846</c:v>
                </c:pt>
                <c:pt idx="164">
                  <c:v>0.91536508784281645</c:v>
                </c:pt>
                <c:pt idx="165">
                  <c:v>0.93458929107348265</c:v>
                </c:pt>
                <c:pt idx="166">
                  <c:v>0.95416525314619705</c:v>
                </c:pt>
                <c:pt idx="167">
                  <c:v>0.97411387705931185</c:v>
                </c:pt>
                <c:pt idx="168">
                  <c:v>0.99445788320975581</c:v>
                </c:pt>
                <c:pt idx="169">
                  <c:v>1.0152220332170308</c:v>
                </c:pt>
                <c:pt idx="170">
                  <c:v>1.036433389493792</c:v>
                </c:pt>
                <c:pt idx="171">
                  <c:v>1.0581216176847796</c:v>
                </c:pt>
                <c:pt idx="172">
                  <c:v>1.080319340814959</c:v>
                </c:pt>
                <c:pt idx="173">
                  <c:v>1.1030625561996004</c:v>
                </c:pt>
                <c:pt idx="174">
                  <c:v>1.1263911290388036</c:v>
                </c:pt>
                <c:pt idx="175">
                  <c:v>1.1503493803760112</c:v>
                </c:pt>
                <c:pt idx="176">
                  <c:v>1.1749867920660935</c:v>
                </c:pt>
                <c:pt idx="177">
                  <c:v>1.2003588580308626</c:v>
                </c:pt>
                <c:pt idx="178">
                  <c:v>1.2265281200366138</c:v>
                </c:pt>
                <c:pt idx="179">
                  <c:v>1.2535654384704544</c:v>
                </c:pt>
                <c:pt idx="180">
                  <c:v>1.2815515655446044</c:v>
                </c:pt>
                <c:pt idx="181">
                  <c:v>1.3105791121681329</c:v>
                </c:pt>
                <c:pt idx="182">
                  <c:v>1.3407550336902205</c:v>
                </c:pt>
                <c:pt idx="183">
                  <c:v>1.3722038089987305</c:v>
                </c:pt>
                <c:pt idx="184">
                  <c:v>1.4050715603096373</c:v>
                </c:pt>
                <c:pt idx="185">
                  <c:v>1.439531470938461</c:v>
                </c:pt>
                <c:pt idx="186">
                  <c:v>1.4757910281791762</c:v>
                </c:pt>
                <c:pt idx="187">
                  <c:v>1.5141018876192893</c:v>
                </c:pt>
                <c:pt idx="188">
                  <c:v>1.5547735945968597</c:v>
                </c:pt>
                <c:pt idx="189">
                  <c:v>1.5981931399228242</c:v>
                </c:pt>
                <c:pt idx="190">
                  <c:v>1.6448536269514797</c:v>
                </c:pt>
                <c:pt idx="191">
                  <c:v>1.6953977102721443</c:v>
                </c:pt>
                <c:pt idx="192">
                  <c:v>1.7506860712521786</c:v>
                </c:pt>
                <c:pt idx="193">
                  <c:v>1.8119106729526073</c:v>
                </c:pt>
                <c:pt idx="194">
                  <c:v>1.880793608151262</c:v>
                </c:pt>
                <c:pt idx="195">
                  <c:v>1.9599639845400672</c:v>
                </c:pt>
                <c:pt idx="196">
                  <c:v>2.053748910631839</c:v>
                </c:pt>
                <c:pt idx="197">
                  <c:v>2.170090377584581</c:v>
                </c:pt>
                <c:pt idx="198">
                  <c:v>2.3263478740408701</c:v>
                </c:pt>
                <c:pt idx="199">
                  <c:v>2.5758293035489541</c:v>
                </c:pt>
                <c:pt idx="200">
                  <c:v>10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842112"/>
        <c:axId val="482843648"/>
      </c:scatterChart>
      <c:valAx>
        <c:axId val="482842112"/>
        <c:scaling>
          <c:orientation val="minMax"/>
          <c:max val="1"/>
          <c:min val="0"/>
        </c:scaling>
        <c:delete val="0"/>
        <c:axPos val="b"/>
        <c:numFmt formatCode="#,##0.00" sourceLinked="0"/>
        <c:majorTickMark val="out"/>
        <c:minorTickMark val="none"/>
        <c:tickLblPos val="nextTo"/>
        <c:crossAx val="482843648"/>
        <c:crosses val="autoZero"/>
        <c:crossBetween val="midCat"/>
      </c:valAx>
      <c:valAx>
        <c:axId val="482843648"/>
        <c:scaling>
          <c:orientation val="minMax"/>
          <c:max val="10"/>
          <c:min val="-10"/>
        </c:scaling>
        <c:delete val="0"/>
        <c:axPos val="l"/>
        <c:numFmt formatCode="#,##0.00" sourceLinked="0"/>
        <c:majorTickMark val="out"/>
        <c:minorTickMark val="none"/>
        <c:tickLblPos val="nextTo"/>
        <c:crossAx val="48284211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1"/>
    </c:title>
    <c:autoTitleDeleted val="0"/>
    <c:plotArea>
      <c:layout>
        <c:manualLayout>
          <c:layoutTarget val="inner"/>
          <c:xMode val="edge"/>
          <c:yMode val="edge"/>
          <c:x val="8.5570710440855915E-2"/>
          <c:y val="6.0054184290474134E-2"/>
          <c:w val="0.83577383335557631"/>
          <c:h val="0.8044399430472934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Sheet1!$N$7</c:f>
              <c:strCache>
                <c:ptCount val="1"/>
                <c:pt idx="0">
                  <c:v>Probability, Phi</c:v>
                </c:pt>
              </c:strCache>
            </c:strRef>
          </c:tx>
          <c:marker>
            <c:symbol val="none"/>
          </c:marker>
          <c:xVal>
            <c:numRef>
              <c:f>Sheet1!$B$8:$B$208</c:f>
              <c:numCache>
                <c:formatCode>#,##0.00</c:formatCode>
                <c:ptCount val="201"/>
                <c:pt idx="0">
                  <c:v>-10</c:v>
                </c:pt>
                <c:pt idx="1">
                  <c:v>-9.9</c:v>
                </c:pt>
                <c:pt idx="2">
                  <c:v>-9.8000000000000007</c:v>
                </c:pt>
                <c:pt idx="3">
                  <c:v>-9.7000000000000011</c:v>
                </c:pt>
                <c:pt idx="4">
                  <c:v>-9.6000000000000014</c:v>
                </c:pt>
                <c:pt idx="5">
                  <c:v>-9.5000000000000018</c:v>
                </c:pt>
                <c:pt idx="6">
                  <c:v>-9.4000000000000021</c:v>
                </c:pt>
                <c:pt idx="7">
                  <c:v>-9.3000000000000025</c:v>
                </c:pt>
                <c:pt idx="8">
                  <c:v>-9.2000000000000028</c:v>
                </c:pt>
                <c:pt idx="9">
                  <c:v>-9.1000000000000032</c:v>
                </c:pt>
                <c:pt idx="10">
                  <c:v>-9.0000000000000036</c:v>
                </c:pt>
                <c:pt idx="11">
                  <c:v>-8.9000000000000039</c:v>
                </c:pt>
                <c:pt idx="12">
                  <c:v>-8.8000000000000043</c:v>
                </c:pt>
                <c:pt idx="13">
                  <c:v>-8.7000000000000046</c:v>
                </c:pt>
                <c:pt idx="14">
                  <c:v>-8.600000000000005</c:v>
                </c:pt>
                <c:pt idx="15">
                  <c:v>-8.5000000000000053</c:v>
                </c:pt>
                <c:pt idx="16">
                  <c:v>-8.4000000000000057</c:v>
                </c:pt>
                <c:pt idx="17">
                  <c:v>-8.300000000000006</c:v>
                </c:pt>
                <c:pt idx="18">
                  <c:v>-8.2000000000000064</c:v>
                </c:pt>
                <c:pt idx="19">
                  <c:v>-8.1000000000000068</c:v>
                </c:pt>
                <c:pt idx="20">
                  <c:v>-8.0000000000000071</c:v>
                </c:pt>
                <c:pt idx="21">
                  <c:v>-7.9000000000000075</c:v>
                </c:pt>
                <c:pt idx="22">
                  <c:v>-7.8000000000000078</c:v>
                </c:pt>
                <c:pt idx="23">
                  <c:v>-7.7000000000000082</c:v>
                </c:pt>
                <c:pt idx="24">
                  <c:v>-7.6000000000000085</c:v>
                </c:pt>
                <c:pt idx="25">
                  <c:v>-7.5000000000000089</c:v>
                </c:pt>
                <c:pt idx="26">
                  <c:v>-7.4000000000000092</c:v>
                </c:pt>
                <c:pt idx="27">
                  <c:v>-7.3000000000000096</c:v>
                </c:pt>
                <c:pt idx="28">
                  <c:v>-7.2000000000000099</c:v>
                </c:pt>
                <c:pt idx="29">
                  <c:v>-7.1000000000000103</c:v>
                </c:pt>
                <c:pt idx="30">
                  <c:v>-7.0000000000000107</c:v>
                </c:pt>
                <c:pt idx="31">
                  <c:v>-6.900000000000011</c:v>
                </c:pt>
                <c:pt idx="32">
                  <c:v>-6.8000000000000114</c:v>
                </c:pt>
                <c:pt idx="33">
                  <c:v>-6.7000000000000117</c:v>
                </c:pt>
                <c:pt idx="34">
                  <c:v>-6.6000000000000121</c:v>
                </c:pt>
                <c:pt idx="35">
                  <c:v>-6.5000000000000124</c:v>
                </c:pt>
                <c:pt idx="36">
                  <c:v>-6.4000000000000128</c:v>
                </c:pt>
                <c:pt idx="37">
                  <c:v>-6.3000000000000131</c:v>
                </c:pt>
                <c:pt idx="38">
                  <c:v>-6.2000000000000135</c:v>
                </c:pt>
                <c:pt idx="39">
                  <c:v>-6.1000000000000139</c:v>
                </c:pt>
                <c:pt idx="40">
                  <c:v>-6.0000000000000142</c:v>
                </c:pt>
                <c:pt idx="41">
                  <c:v>-5.9000000000000146</c:v>
                </c:pt>
                <c:pt idx="42">
                  <c:v>-5.8000000000000149</c:v>
                </c:pt>
                <c:pt idx="43">
                  <c:v>-5.7000000000000153</c:v>
                </c:pt>
                <c:pt idx="44">
                  <c:v>-5.6000000000000156</c:v>
                </c:pt>
                <c:pt idx="45">
                  <c:v>-5.500000000000016</c:v>
                </c:pt>
                <c:pt idx="46">
                  <c:v>-5.4000000000000163</c:v>
                </c:pt>
                <c:pt idx="47">
                  <c:v>-5.3000000000000167</c:v>
                </c:pt>
                <c:pt idx="48">
                  <c:v>-5.2000000000000171</c:v>
                </c:pt>
                <c:pt idx="49">
                  <c:v>-5.1000000000000174</c:v>
                </c:pt>
                <c:pt idx="50">
                  <c:v>-5.0000000000000178</c:v>
                </c:pt>
                <c:pt idx="51">
                  <c:v>-4.9000000000000181</c:v>
                </c:pt>
                <c:pt idx="52">
                  <c:v>-4.8000000000000185</c:v>
                </c:pt>
                <c:pt idx="53">
                  <c:v>-4.7000000000000188</c:v>
                </c:pt>
                <c:pt idx="54">
                  <c:v>-4.6000000000000192</c:v>
                </c:pt>
                <c:pt idx="55">
                  <c:v>-4.5000000000000195</c:v>
                </c:pt>
                <c:pt idx="56">
                  <c:v>-4.4000000000000199</c:v>
                </c:pt>
                <c:pt idx="57">
                  <c:v>-4.3000000000000203</c:v>
                </c:pt>
                <c:pt idx="58">
                  <c:v>-4.2000000000000206</c:v>
                </c:pt>
                <c:pt idx="59">
                  <c:v>-4.100000000000021</c:v>
                </c:pt>
                <c:pt idx="60">
                  <c:v>-4.0000000000000213</c:v>
                </c:pt>
                <c:pt idx="61">
                  <c:v>-3.9000000000000212</c:v>
                </c:pt>
                <c:pt idx="62">
                  <c:v>-3.8000000000000211</c:v>
                </c:pt>
                <c:pt idx="63">
                  <c:v>-3.700000000000021</c:v>
                </c:pt>
                <c:pt idx="64">
                  <c:v>-3.600000000000021</c:v>
                </c:pt>
                <c:pt idx="65">
                  <c:v>-3.5000000000000209</c:v>
                </c:pt>
                <c:pt idx="66">
                  <c:v>-3.4000000000000208</c:v>
                </c:pt>
                <c:pt idx="67">
                  <c:v>-3.3000000000000207</c:v>
                </c:pt>
                <c:pt idx="68">
                  <c:v>-3.2000000000000206</c:v>
                </c:pt>
                <c:pt idx="69">
                  <c:v>-3.1000000000000205</c:v>
                </c:pt>
                <c:pt idx="70">
                  <c:v>-3.0000000000000204</c:v>
                </c:pt>
                <c:pt idx="71">
                  <c:v>-2.9000000000000203</c:v>
                </c:pt>
                <c:pt idx="72">
                  <c:v>-2.8000000000000203</c:v>
                </c:pt>
                <c:pt idx="73">
                  <c:v>-2.7000000000000202</c:v>
                </c:pt>
                <c:pt idx="74">
                  <c:v>-2.6000000000000201</c:v>
                </c:pt>
                <c:pt idx="75">
                  <c:v>-2.50000000000002</c:v>
                </c:pt>
                <c:pt idx="76">
                  <c:v>-2.4000000000000199</c:v>
                </c:pt>
                <c:pt idx="77">
                  <c:v>-2.3000000000000198</c:v>
                </c:pt>
                <c:pt idx="78">
                  <c:v>-2.2000000000000197</c:v>
                </c:pt>
                <c:pt idx="79">
                  <c:v>-2.1000000000000196</c:v>
                </c:pt>
                <c:pt idx="80">
                  <c:v>-2.0000000000000195</c:v>
                </c:pt>
                <c:pt idx="81">
                  <c:v>-1.9000000000000195</c:v>
                </c:pt>
                <c:pt idx="82">
                  <c:v>-1.8000000000000194</c:v>
                </c:pt>
                <c:pt idx="83">
                  <c:v>-1.7000000000000193</c:v>
                </c:pt>
                <c:pt idx="84">
                  <c:v>-1.6000000000000192</c:v>
                </c:pt>
                <c:pt idx="85">
                  <c:v>-1.5000000000000191</c:v>
                </c:pt>
                <c:pt idx="86">
                  <c:v>-1.400000000000019</c:v>
                </c:pt>
                <c:pt idx="87">
                  <c:v>-1.3000000000000189</c:v>
                </c:pt>
                <c:pt idx="88">
                  <c:v>-1.2000000000000188</c:v>
                </c:pt>
                <c:pt idx="89">
                  <c:v>-1.1000000000000187</c:v>
                </c:pt>
                <c:pt idx="90">
                  <c:v>-1.0000000000000187</c:v>
                </c:pt>
                <c:pt idx="91">
                  <c:v>-0.90000000000001867</c:v>
                </c:pt>
                <c:pt idx="92">
                  <c:v>-0.8000000000000187</c:v>
                </c:pt>
                <c:pt idx="93">
                  <c:v>-0.70000000000001872</c:v>
                </c:pt>
                <c:pt idx="94">
                  <c:v>-0.60000000000001874</c:v>
                </c:pt>
                <c:pt idx="95">
                  <c:v>-0.50000000000001876</c:v>
                </c:pt>
                <c:pt idx="96">
                  <c:v>-0.40000000000001878</c:v>
                </c:pt>
                <c:pt idx="97">
                  <c:v>-0.30000000000001881</c:v>
                </c:pt>
                <c:pt idx="98">
                  <c:v>-0.2000000000000188</c:v>
                </c:pt>
                <c:pt idx="99">
                  <c:v>-0.1000000000000188</c:v>
                </c:pt>
                <c:pt idx="100">
                  <c:v>-1.8790524691780774E-14</c:v>
                </c:pt>
                <c:pt idx="101">
                  <c:v>9.9999999999981215E-2</c:v>
                </c:pt>
                <c:pt idx="102">
                  <c:v>0.19999999999998122</c:v>
                </c:pt>
                <c:pt idx="103">
                  <c:v>0.29999999999998123</c:v>
                </c:pt>
                <c:pt idx="104">
                  <c:v>0.39999999999998126</c:v>
                </c:pt>
                <c:pt idx="105">
                  <c:v>0.49999999999998124</c:v>
                </c:pt>
                <c:pt idx="106">
                  <c:v>0.59999999999998122</c:v>
                </c:pt>
                <c:pt idx="107">
                  <c:v>0.69999999999998119</c:v>
                </c:pt>
                <c:pt idx="108">
                  <c:v>0.79999999999998117</c:v>
                </c:pt>
                <c:pt idx="109">
                  <c:v>0.89999999999998115</c:v>
                </c:pt>
                <c:pt idx="110">
                  <c:v>0.99999999999998113</c:v>
                </c:pt>
                <c:pt idx="111">
                  <c:v>1.0999999999999812</c:v>
                </c:pt>
                <c:pt idx="112">
                  <c:v>1.1999999999999813</c:v>
                </c:pt>
                <c:pt idx="113">
                  <c:v>1.2999999999999814</c:v>
                </c:pt>
                <c:pt idx="114">
                  <c:v>1.3999999999999815</c:v>
                </c:pt>
                <c:pt idx="115">
                  <c:v>1.4999999999999816</c:v>
                </c:pt>
                <c:pt idx="116">
                  <c:v>1.5999999999999817</c:v>
                </c:pt>
                <c:pt idx="117">
                  <c:v>1.6999999999999817</c:v>
                </c:pt>
                <c:pt idx="118">
                  <c:v>1.7999999999999818</c:v>
                </c:pt>
                <c:pt idx="119">
                  <c:v>1.8999999999999819</c:v>
                </c:pt>
                <c:pt idx="120">
                  <c:v>1.999999999999982</c:v>
                </c:pt>
                <c:pt idx="121">
                  <c:v>2.0999999999999819</c:v>
                </c:pt>
                <c:pt idx="122">
                  <c:v>2.199999999999982</c:v>
                </c:pt>
                <c:pt idx="123">
                  <c:v>2.2999999999999821</c:v>
                </c:pt>
                <c:pt idx="124">
                  <c:v>2.3999999999999821</c:v>
                </c:pt>
                <c:pt idx="125">
                  <c:v>2.4999999999999822</c:v>
                </c:pt>
                <c:pt idx="126">
                  <c:v>2.5999999999999823</c:v>
                </c:pt>
                <c:pt idx="127">
                  <c:v>2.6999999999999824</c:v>
                </c:pt>
                <c:pt idx="128">
                  <c:v>2.7999999999999825</c:v>
                </c:pt>
                <c:pt idx="129">
                  <c:v>2.8999999999999826</c:v>
                </c:pt>
                <c:pt idx="130">
                  <c:v>2.9999999999999827</c:v>
                </c:pt>
                <c:pt idx="131">
                  <c:v>3.0999999999999828</c:v>
                </c:pt>
                <c:pt idx="132">
                  <c:v>3.1999999999999829</c:v>
                </c:pt>
                <c:pt idx="133">
                  <c:v>3.2999999999999829</c:v>
                </c:pt>
                <c:pt idx="134">
                  <c:v>3.399999999999983</c:v>
                </c:pt>
                <c:pt idx="135">
                  <c:v>3.4999999999999831</c:v>
                </c:pt>
                <c:pt idx="136">
                  <c:v>3.5999999999999832</c:v>
                </c:pt>
                <c:pt idx="137">
                  <c:v>3.6999999999999833</c:v>
                </c:pt>
                <c:pt idx="138">
                  <c:v>3.7999999999999834</c:v>
                </c:pt>
                <c:pt idx="139">
                  <c:v>3.8999999999999835</c:v>
                </c:pt>
                <c:pt idx="140">
                  <c:v>3.9999999999999836</c:v>
                </c:pt>
                <c:pt idx="141">
                  <c:v>4.0999999999999837</c:v>
                </c:pt>
                <c:pt idx="142">
                  <c:v>4.1999999999999833</c:v>
                </c:pt>
                <c:pt idx="143">
                  <c:v>4.2999999999999829</c:v>
                </c:pt>
                <c:pt idx="144">
                  <c:v>4.3999999999999826</c:v>
                </c:pt>
                <c:pt idx="145">
                  <c:v>4.4999999999999822</c:v>
                </c:pt>
                <c:pt idx="146">
                  <c:v>4.5999999999999819</c:v>
                </c:pt>
                <c:pt idx="147">
                  <c:v>4.6999999999999815</c:v>
                </c:pt>
                <c:pt idx="148">
                  <c:v>4.7999999999999812</c:v>
                </c:pt>
                <c:pt idx="149">
                  <c:v>4.8999999999999808</c:v>
                </c:pt>
                <c:pt idx="150">
                  <c:v>4.9999999999999805</c:v>
                </c:pt>
                <c:pt idx="151">
                  <c:v>5.0999999999999801</c:v>
                </c:pt>
                <c:pt idx="152">
                  <c:v>5.1999999999999797</c:v>
                </c:pt>
                <c:pt idx="153">
                  <c:v>5.2999999999999794</c:v>
                </c:pt>
                <c:pt idx="154">
                  <c:v>5.399999999999979</c:v>
                </c:pt>
                <c:pt idx="155">
                  <c:v>5.4999999999999787</c:v>
                </c:pt>
                <c:pt idx="156">
                  <c:v>5.5999999999999783</c:v>
                </c:pt>
                <c:pt idx="157">
                  <c:v>5.699999999999978</c:v>
                </c:pt>
                <c:pt idx="158">
                  <c:v>5.7999999999999776</c:v>
                </c:pt>
                <c:pt idx="159">
                  <c:v>5.8999999999999773</c:v>
                </c:pt>
                <c:pt idx="160">
                  <c:v>5.9999999999999769</c:v>
                </c:pt>
                <c:pt idx="161">
                  <c:v>6.0999999999999766</c:v>
                </c:pt>
                <c:pt idx="162">
                  <c:v>6.1999999999999762</c:v>
                </c:pt>
                <c:pt idx="163">
                  <c:v>6.2999999999999758</c:v>
                </c:pt>
                <c:pt idx="164">
                  <c:v>6.3999999999999755</c:v>
                </c:pt>
                <c:pt idx="165">
                  <c:v>6.4999999999999751</c:v>
                </c:pt>
                <c:pt idx="166">
                  <c:v>6.5999999999999748</c:v>
                </c:pt>
                <c:pt idx="167">
                  <c:v>6.6999999999999744</c:v>
                </c:pt>
                <c:pt idx="168">
                  <c:v>6.7999999999999741</c:v>
                </c:pt>
                <c:pt idx="169">
                  <c:v>6.8999999999999737</c:v>
                </c:pt>
                <c:pt idx="170">
                  <c:v>6.9999999999999734</c:v>
                </c:pt>
                <c:pt idx="171">
                  <c:v>7.099999999999973</c:v>
                </c:pt>
                <c:pt idx="172">
                  <c:v>7.1999999999999726</c:v>
                </c:pt>
                <c:pt idx="173">
                  <c:v>7.2999999999999723</c:v>
                </c:pt>
                <c:pt idx="174">
                  <c:v>7.3999999999999719</c:v>
                </c:pt>
                <c:pt idx="175">
                  <c:v>7.4999999999999716</c:v>
                </c:pt>
                <c:pt idx="176">
                  <c:v>7.5999999999999712</c:v>
                </c:pt>
                <c:pt idx="177">
                  <c:v>7.6999999999999709</c:v>
                </c:pt>
                <c:pt idx="178">
                  <c:v>7.7999999999999705</c:v>
                </c:pt>
                <c:pt idx="179">
                  <c:v>7.8999999999999702</c:v>
                </c:pt>
                <c:pt idx="180">
                  <c:v>7.9999999999999698</c:v>
                </c:pt>
                <c:pt idx="181">
                  <c:v>8.0999999999999694</c:v>
                </c:pt>
                <c:pt idx="182">
                  <c:v>8.1999999999999691</c:v>
                </c:pt>
                <c:pt idx="183">
                  <c:v>8.2999999999999687</c:v>
                </c:pt>
                <c:pt idx="184">
                  <c:v>8.3999999999999684</c:v>
                </c:pt>
                <c:pt idx="185">
                  <c:v>8.499999999999968</c:v>
                </c:pt>
                <c:pt idx="186">
                  <c:v>8.5999999999999677</c:v>
                </c:pt>
                <c:pt idx="187">
                  <c:v>8.6999999999999673</c:v>
                </c:pt>
                <c:pt idx="188">
                  <c:v>8.799999999999967</c:v>
                </c:pt>
                <c:pt idx="189">
                  <c:v>8.8999999999999666</c:v>
                </c:pt>
                <c:pt idx="190">
                  <c:v>8.9999999999999662</c:v>
                </c:pt>
                <c:pt idx="191">
                  <c:v>9.0999999999999659</c:v>
                </c:pt>
                <c:pt idx="192">
                  <c:v>9.1999999999999655</c:v>
                </c:pt>
                <c:pt idx="193">
                  <c:v>9.2999999999999652</c:v>
                </c:pt>
                <c:pt idx="194">
                  <c:v>9.3999999999999648</c:v>
                </c:pt>
                <c:pt idx="195">
                  <c:v>9.4999999999999645</c:v>
                </c:pt>
                <c:pt idx="196">
                  <c:v>9.5999999999999641</c:v>
                </c:pt>
                <c:pt idx="197">
                  <c:v>9.6999999999999638</c:v>
                </c:pt>
                <c:pt idx="198">
                  <c:v>9.7999999999999634</c:v>
                </c:pt>
                <c:pt idx="199">
                  <c:v>9.8999999999999631</c:v>
                </c:pt>
                <c:pt idx="200">
                  <c:v>9.9999999999999627</c:v>
                </c:pt>
              </c:numCache>
            </c:numRef>
          </c:xVal>
          <c:yVal>
            <c:numRef>
              <c:f>Sheet1!$N$8:$N$208</c:f>
              <c:numCache>
                <c:formatCode>#,##0.000000</c:formatCode>
                <c:ptCount val="201"/>
                <c:pt idx="0">
                  <c:v>7.6198530241605255E-24</c:v>
                </c:pt>
                <c:pt idx="1">
                  <c:v>2.0813752194932082E-23</c:v>
                </c:pt>
                <c:pt idx="2">
                  <c:v>5.6292823113765143E-23</c:v>
                </c:pt>
                <c:pt idx="3">
                  <c:v>1.507493168810181E-22</c:v>
                </c:pt>
                <c:pt idx="4">
                  <c:v>3.9972212057261766E-22</c:v>
                </c:pt>
                <c:pt idx="5">
                  <c:v>1.0494515075362456E-21</c:v>
                </c:pt>
                <c:pt idx="6">
                  <c:v>2.7281535713460688E-21</c:v>
                </c:pt>
                <c:pt idx="7">
                  <c:v>7.02228424044149E-21</c:v>
                </c:pt>
                <c:pt idx="8">
                  <c:v>1.789748812013989E-20</c:v>
                </c:pt>
                <c:pt idx="9">
                  <c:v>4.5165914914353079E-20</c:v>
                </c:pt>
                <c:pt idx="10">
                  <c:v>1.1285884059538003E-19</c:v>
                </c:pt>
                <c:pt idx="11">
                  <c:v>2.7923343749395636E-19</c:v>
                </c:pt>
                <c:pt idx="12">
                  <c:v>6.8408076859353507E-19</c:v>
                </c:pt>
                <c:pt idx="13">
                  <c:v>1.6594208699647043E-18</c:v>
                </c:pt>
                <c:pt idx="14">
                  <c:v>3.9858049628480093E-18</c:v>
                </c:pt>
                <c:pt idx="15">
                  <c:v>9.4795348222029094E-18</c:v>
                </c:pt>
                <c:pt idx="16">
                  <c:v>2.2323931972879352E-17</c:v>
                </c:pt>
                <c:pt idx="17">
                  <c:v>5.2055697448900222E-17</c:v>
                </c:pt>
                <c:pt idx="18">
                  <c:v>1.2019351542735126E-16</c:v>
                </c:pt>
                <c:pt idx="19">
                  <c:v>2.7479593923980629E-16</c:v>
                </c:pt>
                <c:pt idx="20">
                  <c:v>6.2209605742714259E-16</c:v>
                </c:pt>
                <c:pt idx="21">
                  <c:v>1.3945171466591853E-15</c:v>
                </c:pt>
                <c:pt idx="22">
                  <c:v>3.0953587719585003E-15</c:v>
                </c:pt>
                <c:pt idx="23">
                  <c:v>6.8033115407735328E-15</c:v>
                </c:pt>
                <c:pt idx="24">
                  <c:v>1.480653749004705E-14</c:v>
                </c:pt>
                <c:pt idx="25">
                  <c:v>3.190891672910678E-14</c:v>
                </c:pt>
                <c:pt idx="26">
                  <c:v>6.8092248906195485E-14</c:v>
                </c:pt>
                <c:pt idx="27">
                  <c:v>1.4388386381574822E-13</c:v>
                </c:pt>
                <c:pt idx="28">
                  <c:v>3.0106279811172143E-13</c:v>
                </c:pt>
                <c:pt idx="29">
                  <c:v>6.2378444633311121E-13</c:v>
                </c:pt>
                <c:pt idx="30">
                  <c:v>1.2798125438857374E-12</c:v>
                </c:pt>
                <c:pt idx="31">
                  <c:v>2.6001269656379755E-12</c:v>
                </c:pt>
                <c:pt idx="32">
                  <c:v>5.2309575441441836E-12</c:v>
                </c:pt>
                <c:pt idx="33">
                  <c:v>1.042097698796436E-11</c:v>
                </c:pt>
                <c:pt idx="34">
                  <c:v>2.0557889093993516E-11</c:v>
                </c:pt>
                <c:pt idx="35">
                  <c:v>4.0160005838587824E-11</c:v>
                </c:pt>
                <c:pt idx="36">
                  <c:v>7.7688475817091785E-11</c:v>
                </c:pt>
                <c:pt idx="37">
                  <c:v>1.4882282217621826E-10</c:v>
                </c:pt>
                <c:pt idx="38">
                  <c:v>2.8231580370430314E-10</c:v>
                </c:pt>
                <c:pt idx="39">
                  <c:v>5.3034232629483644E-10</c:v>
                </c:pt>
                <c:pt idx="40">
                  <c:v>9.8658764503761186E-10</c:v>
                </c:pt>
                <c:pt idx="41">
                  <c:v>1.8175078630992715E-9</c:v>
                </c:pt>
                <c:pt idx="42">
                  <c:v>3.3157459783258697E-9</c:v>
                </c:pt>
                <c:pt idx="43">
                  <c:v>5.9903714010630027E-9</c:v>
                </c:pt>
                <c:pt idx="44">
                  <c:v>1.071759025830995E-8</c:v>
                </c:pt>
                <c:pt idx="45">
                  <c:v>1.8989562465885987E-8</c:v>
                </c:pt>
                <c:pt idx="46">
                  <c:v>3.3320448485425517E-8</c:v>
                </c:pt>
                <c:pt idx="47">
                  <c:v>5.7901340399640593E-8</c:v>
                </c:pt>
                <c:pt idx="48">
                  <c:v>9.9644263169325714E-8</c:v>
                </c:pt>
                <c:pt idx="49">
                  <c:v>1.6982674071474415E-7</c:v>
                </c:pt>
                <c:pt idx="50">
                  <c:v>2.8665157187916755E-7</c:v>
                </c:pt>
                <c:pt idx="51">
                  <c:v>4.7918327659027535E-7</c:v>
                </c:pt>
                <c:pt idx="52">
                  <c:v>7.9332815197552196E-7</c:v>
                </c:pt>
                <c:pt idx="53">
                  <c:v>1.3008074539171617E-6</c:v>
                </c:pt>
                <c:pt idx="54">
                  <c:v>2.1124547025026542E-6</c:v>
                </c:pt>
                <c:pt idx="55">
                  <c:v>3.397673124729746E-6</c:v>
                </c:pt>
                <c:pt idx="56">
                  <c:v>5.4125439077033664E-6</c:v>
                </c:pt>
                <c:pt idx="57">
                  <c:v>8.5399054709910335E-6</c:v>
                </c:pt>
                <c:pt idx="58">
                  <c:v>1.3345749015905116E-5</c:v>
                </c:pt>
                <c:pt idx="59">
                  <c:v>2.065750691254486E-5</c:v>
                </c:pt>
                <c:pt idx="60">
                  <c:v>3.1671241833117078E-5</c:v>
                </c:pt>
                <c:pt idx="61">
                  <c:v>4.8096344017598488E-5</c:v>
                </c:pt>
                <c:pt idx="62">
                  <c:v>7.2348043925113769E-5</c:v>
                </c:pt>
                <c:pt idx="63">
                  <c:v>1.0779973347737941E-4</c:v>
                </c:pt>
                <c:pt idx="64">
                  <c:v>1.5910859015752109E-4</c:v>
                </c:pt>
                <c:pt idx="65">
                  <c:v>2.3262907903550683E-4</c:v>
                </c:pt>
                <c:pt idx="66">
                  <c:v>3.3692926567685532E-4</c:v>
                </c:pt>
                <c:pt idx="67">
                  <c:v>4.8342414238374145E-4</c:v>
                </c:pt>
                <c:pt idx="68">
                  <c:v>6.8713793791579916E-4</c:v>
                </c:pt>
                <c:pt idx="69">
                  <c:v>9.6760321321828974E-4</c:v>
                </c:pt>
                <c:pt idx="70">
                  <c:v>1.3498980316300042E-3</c:v>
                </c:pt>
                <c:pt idx="71">
                  <c:v>1.8658133003839172E-3</c:v>
                </c:pt>
                <c:pt idx="72">
                  <c:v>2.555130330427772E-3</c:v>
                </c:pt>
                <c:pt idx="73">
                  <c:v>3.4669738030404574E-3</c:v>
                </c:pt>
                <c:pt idx="74">
                  <c:v>4.661188023718477E-3</c:v>
                </c:pt>
                <c:pt idx="75">
                  <c:v>6.2096653257757818E-3</c:v>
                </c:pt>
                <c:pt idx="76">
                  <c:v>8.1975359245956819E-3</c:v>
                </c:pt>
                <c:pt idx="77">
                  <c:v>1.0724110021675243E-2</c:v>
                </c:pt>
                <c:pt idx="78">
                  <c:v>1.390344751349791E-2</c:v>
                </c:pt>
                <c:pt idx="79">
                  <c:v>1.7864420562815692E-2</c:v>
                </c:pt>
                <c:pt idx="80">
                  <c:v>2.2750131948178147E-2</c:v>
                </c:pt>
                <c:pt idx="81">
                  <c:v>2.8716559816000527E-2</c:v>
                </c:pt>
                <c:pt idx="82">
                  <c:v>3.5930319112924269E-2</c:v>
                </c:pt>
                <c:pt idx="83">
                  <c:v>4.4565462758541237E-2</c:v>
                </c:pt>
                <c:pt idx="84">
                  <c:v>5.4799291699555865E-2</c:v>
                </c:pt>
                <c:pt idx="85">
                  <c:v>6.6807201268855601E-2</c:v>
                </c:pt>
                <c:pt idx="86">
                  <c:v>8.0756659233768208E-2</c:v>
                </c:pt>
                <c:pt idx="87">
                  <c:v>9.6800484585607069E-2</c:v>
                </c:pt>
                <c:pt idx="88">
                  <c:v>0.11506967022170463</c:v>
                </c:pt>
                <c:pt idx="89">
                  <c:v>0.13566606094637859</c:v>
                </c:pt>
                <c:pt idx="90">
                  <c:v>0.15865525393145255</c:v>
                </c:pt>
                <c:pt idx="91">
                  <c:v>0.18406012534675456</c:v>
                </c:pt>
                <c:pt idx="92">
                  <c:v>0.21185539858339131</c:v>
                </c:pt>
                <c:pt idx="93">
                  <c:v>0.24196365222306723</c:v>
                </c:pt>
                <c:pt idx="94">
                  <c:v>0.27425311775006733</c:v>
                </c:pt>
                <c:pt idx="95">
                  <c:v>0.30853753872598033</c:v>
                </c:pt>
                <c:pt idx="96">
                  <c:v>0.34457825838966893</c:v>
                </c:pt>
                <c:pt idx="97">
                  <c:v>0.38208857781104022</c:v>
                </c:pt>
                <c:pt idx="98">
                  <c:v>0.42074029056088963</c:v>
                </c:pt>
                <c:pt idx="99">
                  <c:v>0.46017216272296357</c:v>
                </c:pt>
                <c:pt idx="100">
                  <c:v>0.49999999999999251</c:v>
                </c:pt>
                <c:pt idx="101">
                  <c:v>0.53982783727702155</c:v>
                </c:pt>
                <c:pt idx="102">
                  <c:v>0.57925970943909566</c:v>
                </c:pt>
                <c:pt idx="103">
                  <c:v>0.61791142218894546</c:v>
                </c:pt>
                <c:pt idx="104">
                  <c:v>0.65542174161031719</c:v>
                </c:pt>
                <c:pt idx="105">
                  <c:v>0.69146246127400646</c:v>
                </c:pt>
                <c:pt idx="106">
                  <c:v>0.72574688224992012</c:v>
                </c:pt>
                <c:pt idx="107">
                  <c:v>0.75803634777692108</c:v>
                </c:pt>
                <c:pt idx="108">
                  <c:v>0.78814460141659792</c:v>
                </c:pt>
                <c:pt idx="109">
                  <c:v>0.81593987465323548</c:v>
                </c:pt>
                <c:pt idx="110">
                  <c:v>0.84134474606853837</c:v>
                </c:pt>
                <c:pt idx="111">
                  <c:v>0.86433393905361333</c:v>
                </c:pt>
                <c:pt idx="112">
                  <c:v>0.88493032977828812</c:v>
                </c:pt>
                <c:pt idx="113">
                  <c:v>0.90319951541438648</c:v>
                </c:pt>
                <c:pt idx="114">
                  <c:v>0.91924334076622616</c:v>
                </c:pt>
                <c:pt idx="115">
                  <c:v>0.93319279873113958</c:v>
                </c:pt>
                <c:pt idx="116">
                  <c:v>0.94520070830044001</c:v>
                </c:pt>
                <c:pt idx="117">
                  <c:v>0.95543453724145522</c:v>
                </c:pt>
                <c:pt idx="118">
                  <c:v>0.96406968088707279</c:v>
                </c:pt>
                <c:pt idx="119">
                  <c:v>0.97128344018399704</c:v>
                </c:pt>
                <c:pt idx="120">
                  <c:v>0.97724986805181979</c:v>
                </c:pt>
                <c:pt idx="121">
                  <c:v>0.98213557943718266</c:v>
                </c:pt>
                <c:pt idx="122">
                  <c:v>0.98609655248650074</c:v>
                </c:pt>
                <c:pt idx="123">
                  <c:v>0.98927588997832372</c:v>
                </c:pt>
                <c:pt idx="124">
                  <c:v>0.99180246407540351</c:v>
                </c:pt>
                <c:pt idx="125">
                  <c:v>0.99379033467422351</c:v>
                </c:pt>
                <c:pt idx="126">
                  <c:v>0.99533881197628105</c:v>
                </c:pt>
                <c:pt idx="127">
                  <c:v>0.99653302619695916</c:v>
                </c:pt>
                <c:pt idx="128">
                  <c:v>0.99744486966957191</c:v>
                </c:pt>
                <c:pt idx="129">
                  <c:v>0.99813418669961584</c:v>
                </c:pt>
                <c:pt idx="130">
                  <c:v>0.99865010196836979</c:v>
                </c:pt>
                <c:pt idx="131">
                  <c:v>0.99903239678678157</c:v>
                </c:pt>
                <c:pt idx="132">
                  <c:v>0.99931286206208414</c:v>
                </c:pt>
                <c:pt idx="133">
                  <c:v>0.99951657585761622</c:v>
                </c:pt>
                <c:pt idx="134">
                  <c:v>0.99966307073432314</c:v>
                </c:pt>
                <c:pt idx="135">
                  <c:v>0.99976737092096446</c:v>
                </c:pt>
                <c:pt idx="136">
                  <c:v>0.99984089140984245</c:v>
                </c:pt>
                <c:pt idx="137">
                  <c:v>0.99989220026652259</c:v>
                </c:pt>
                <c:pt idx="138">
                  <c:v>0.99992765195607491</c:v>
                </c:pt>
                <c:pt idx="139">
                  <c:v>0.99995190365598241</c:v>
                </c:pt>
                <c:pt idx="140">
                  <c:v>0.99996832875816688</c:v>
                </c:pt>
                <c:pt idx="141">
                  <c:v>0.9999793424930874</c:v>
                </c:pt>
                <c:pt idx="142">
                  <c:v>0.9999866542509841</c:v>
                </c:pt>
                <c:pt idx="143">
                  <c:v>0.99999146009452899</c:v>
                </c:pt>
                <c:pt idx="144">
                  <c:v>0.99999458745609227</c:v>
                </c:pt>
                <c:pt idx="145">
                  <c:v>0.99999660232687526</c:v>
                </c:pt>
                <c:pt idx="146">
                  <c:v>0.9999978875452975</c:v>
                </c:pt>
                <c:pt idx="147">
                  <c:v>0.99999869919254614</c:v>
                </c:pt>
                <c:pt idx="148">
                  <c:v>0.99999920667184805</c:v>
                </c:pt>
                <c:pt idx="149">
                  <c:v>0.99999952081672339</c:v>
                </c:pt>
                <c:pt idx="150">
                  <c:v>0.99999971334842808</c:v>
                </c:pt>
                <c:pt idx="151">
                  <c:v>0.99999983017325933</c:v>
                </c:pt>
                <c:pt idx="152">
                  <c:v>0.99999990035573683</c:v>
                </c:pt>
                <c:pt idx="153">
                  <c:v>0.99999994209865961</c:v>
                </c:pt>
                <c:pt idx="154">
                  <c:v>0.99999996667955149</c:v>
                </c:pt>
                <c:pt idx="155">
                  <c:v>0.99999998101043752</c:v>
                </c:pt>
                <c:pt idx="156">
                  <c:v>0.99999998928240974</c:v>
                </c:pt>
                <c:pt idx="157">
                  <c:v>0.99999999400962858</c:v>
                </c:pt>
                <c:pt idx="158">
                  <c:v>0.99999999668425399</c:v>
                </c:pt>
                <c:pt idx="159">
                  <c:v>0.99999999818249219</c:v>
                </c:pt>
                <c:pt idx="160">
                  <c:v>0.9999999990134123</c:v>
                </c:pt>
                <c:pt idx="161">
                  <c:v>0.99999999946965767</c:v>
                </c:pt>
                <c:pt idx="162">
                  <c:v>0.99999999971768416</c:v>
                </c:pt>
                <c:pt idx="163">
                  <c:v>0.99999999985117716</c:v>
                </c:pt>
                <c:pt idx="164">
                  <c:v>0.99999999992231148</c:v>
                </c:pt>
                <c:pt idx="165">
                  <c:v>0.99999999995984001</c:v>
                </c:pt>
                <c:pt idx="166">
                  <c:v>0.99999999997944211</c:v>
                </c:pt>
                <c:pt idx="167">
                  <c:v>0.999999999989579</c:v>
                </c:pt>
                <c:pt idx="168">
                  <c:v>0.99999999999476907</c:v>
                </c:pt>
                <c:pt idx="169">
                  <c:v>0.99999999999739986</c:v>
                </c:pt>
                <c:pt idx="170">
                  <c:v>0.99999999999872013</c:v>
                </c:pt>
                <c:pt idx="171">
                  <c:v>0.99999999999937617</c:v>
                </c:pt>
                <c:pt idx="172">
                  <c:v>0.99999999999969891</c:v>
                </c:pt>
                <c:pt idx="173">
                  <c:v>0.99999999999985612</c:v>
                </c:pt>
                <c:pt idx="174">
                  <c:v>0.99999999999993194</c:v>
                </c:pt>
                <c:pt idx="175">
                  <c:v>0.99999999999996814</c:v>
                </c:pt>
                <c:pt idx="176">
                  <c:v>0.99999999999998523</c:v>
                </c:pt>
                <c:pt idx="177">
                  <c:v>0.99999999999999323</c:v>
                </c:pt>
                <c:pt idx="178">
                  <c:v>0.99999999999999689</c:v>
                </c:pt>
                <c:pt idx="179">
                  <c:v>0.99999999999999856</c:v>
                </c:pt>
                <c:pt idx="180">
                  <c:v>0.99999999999999933</c:v>
                </c:pt>
                <c:pt idx="181">
                  <c:v>0.99999999999999978</c:v>
                </c:pt>
                <c:pt idx="182">
                  <c:v>0.99999999999999989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888320"/>
        <c:axId val="482890112"/>
      </c:scatterChart>
      <c:valAx>
        <c:axId val="482888320"/>
        <c:scaling>
          <c:orientation val="minMax"/>
          <c:max val="10"/>
          <c:min val="-10"/>
        </c:scaling>
        <c:delete val="0"/>
        <c:axPos val="b"/>
        <c:numFmt formatCode="#,##0.00" sourceLinked="1"/>
        <c:majorTickMark val="out"/>
        <c:minorTickMark val="none"/>
        <c:tickLblPos val="nextTo"/>
        <c:crossAx val="482890112"/>
        <c:crosses val="autoZero"/>
        <c:crossBetween val="midCat"/>
        <c:majorUnit val="10"/>
      </c:valAx>
      <c:valAx>
        <c:axId val="482890112"/>
        <c:scaling>
          <c:orientation val="minMax"/>
        </c:scaling>
        <c:delete val="0"/>
        <c:axPos val="l"/>
        <c:numFmt formatCode="#,##0.00" sourceLinked="0"/>
        <c:majorTickMark val="out"/>
        <c:minorTickMark val="none"/>
        <c:tickLblPos val="nextTo"/>
        <c:crossAx val="48288832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1"/>
    </c:title>
    <c:autoTitleDeleted val="0"/>
    <c:plotArea>
      <c:layout>
        <c:manualLayout>
          <c:layoutTarget val="inner"/>
          <c:xMode val="edge"/>
          <c:yMode val="edge"/>
          <c:x val="8.5570710440855915E-2"/>
          <c:y val="6.0054184290474134E-2"/>
          <c:w val="0.83577383335557631"/>
          <c:h val="0.8044399430472934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Sheet1!$O$7</c:f>
              <c:strCache>
                <c:ptCount val="1"/>
                <c:pt idx="0">
                  <c:v>Pdf</c:v>
                </c:pt>
              </c:strCache>
            </c:strRef>
          </c:tx>
          <c:marker>
            <c:symbol val="none"/>
          </c:marker>
          <c:xVal>
            <c:numRef>
              <c:f>Sheet1!$M$8:$M$208</c:f>
              <c:numCache>
                <c:formatCode>#,##0.00</c:formatCode>
                <c:ptCount val="201"/>
                <c:pt idx="0">
                  <c:v>-10</c:v>
                </c:pt>
                <c:pt idx="1">
                  <c:v>-9.9</c:v>
                </c:pt>
                <c:pt idx="2">
                  <c:v>-9.8000000000000007</c:v>
                </c:pt>
                <c:pt idx="3">
                  <c:v>-9.7000000000000011</c:v>
                </c:pt>
                <c:pt idx="4">
                  <c:v>-9.6000000000000014</c:v>
                </c:pt>
                <c:pt idx="5">
                  <c:v>-9.5000000000000018</c:v>
                </c:pt>
                <c:pt idx="6">
                  <c:v>-9.4000000000000021</c:v>
                </c:pt>
                <c:pt idx="7">
                  <c:v>-9.3000000000000025</c:v>
                </c:pt>
                <c:pt idx="8">
                  <c:v>-9.2000000000000028</c:v>
                </c:pt>
                <c:pt idx="9">
                  <c:v>-9.1000000000000032</c:v>
                </c:pt>
                <c:pt idx="10">
                  <c:v>-9.0000000000000036</c:v>
                </c:pt>
                <c:pt idx="11">
                  <c:v>-8.9000000000000039</c:v>
                </c:pt>
                <c:pt idx="12">
                  <c:v>-8.8000000000000043</c:v>
                </c:pt>
                <c:pt idx="13">
                  <c:v>-8.7000000000000046</c:v>
                </c:pt>
                <c:pt idx="14">
                  <c:v>-8.600000000000005</c:v>
                </c:pt>
                <c:pt idx="15">
                  <c:v>-8.5000000000000053</c:v>
                </c:pt>
                <c:pt idx="16">
                  <c:v>-8.4000000000000057</c:v>
                </c:pt>
                <c:pt idx="17">
                  <c:v>-8.300000000000006</c:v>
                </c:pt>
                <c:pt idx="18">
                  <c:v>-8.2000000000000064</c:v>
                </c:pt>
                <c:pt idx="19">
                  <c:v>-8.1000000000000068</c:v>
                </c:pt>
                <c:pt idx="20">
                  <c:v>-8.0000000000000071</c:v>
                </c:pt>
                <c:pt idx="21">
                  <c:v>-7.9000000000000075</c:v>
                </c:pt>
                <c:pt idx="22">
                  <c:v>-7.8000000000000078</c:v>
                </c:pt>
                <c:pt idx="23">
                  <c:v>-7.7000000000000082</c:v>
                </c:pt>
                <c:pt idx="24">
                  <c:v>-7.6000000000000085</c:v>
                </c:pt>
                <c:pt idx="25">
                  <c:v>-7.5000000000000089</c:v>
                </c:pt>
                <c:pt idx="26">
                  <c:v>-7.4000000000000092</c:v>
                </c:pt>
                <c:pt idx="27">
                  <c:v>-7.3000000000000096</c:v>
                </c:pt>
                <c:pt idx="28">
                  <c:v>-7.2000000000000099</c:v>
                </c:pt>
                <c:pt idx="29">
                  <c:v>-7.1000000000000103</c:v>
                </c:pt>
                <c:pt idx="30">
                  <c:v>-7.0000000000000107</c:v>
                </c:pt>
                <c:pt idx="31">
                  <c:v>-6.900000000000011</c:v>
                </c:pt>
                <c:pt idx="32">
                  <c:v>-6.8000000000000114</c:v>
                </c:pt>
                <c:pt idx="33">
                  <c:v>-6.7000000000000117</c:v>
                </c:pt>
                <c:pt idx="34">
                  <c:v>-6.6000000000000121</c:v>
                </c:pt>
                <c:pt idx="35">
                  <c:v>-6.5000000000000124</c:v>
                </c:pt>
                <c:pt idx="36">
                  <c:v>-6.4000000000000128</c:v>
                </c:pt>
                <c:pt idx="37">
                  <c:v>-6.3000000000000131</c:v>
                </c:pt>
                <c:pt idx="38">
                  <c:v>-6.2000000000000135</c:v>
                </c:pt>
                <c:pt idx="39">
                  <c:v>-6.1000000000000139</c:v>
                </c:pt>
                <c:pt idx="40">
                  <c:v>-6.0000000000000142</c:v>
                </c:pt>
                <c:pt idx="41">
                  <c:v>-5.9000000000000146</c:v>
                </c:pt>
                <c:pt idx="42">
                  <c:v>-5.8000000000000149</c:v>
                </c:pt>
                <c:pt idx="43">
                  <c:v>-5.7000000000000153</c:v>
                </c:pt>
                <c:pt idx="44">
                  <c:v>-5.6000000000000156</c:v>
                </c:pt>
                <c:pt idx="45">
                  <c:v>-5.500000000000016</c:v>
                </c:pt>
                <c:pt idx="46">
                  <c:v>-5.4000000000000163</c:v>
                </c:pt>
                <c:pt idx="47">
                  <c:v>-5.3000000000000167</c:v>
                </c:pt>
                <c:pt idx="48">
                  <c:v>-5.2000000000000171</c:v>
                </c:pt>
                <c:pt idx="49">
                  <c:v>-5.1000000000000174</c:v>
                </c:pt>
                <c:pt idx="50">
                  <c:v>-5.0000000000000178</c:v>
                </c:pt>
                <c:pt idx="51">
                  <c:v>-4.9000000000000181</c:v>
                </c:pt>
                <c:pt idx="52">
                  <c:v>-4.8000000000000185</c:v>
                </c:pt>
                <c:pt idx="53">
                  <c:v>-4.7000000000000188</c:v>
                </c:pt>
                <c:pt idx="54">
                  <c:v>-4.6000000000000192</c:v>
                </c:pt>
                <c:pt idx="55">
                  <c:v>-4.5000000000000195</c:v>
                </c:pt>
                <c:pt idx="56">
                  <c:v>-4.4000000000000199</c:v>
                </c:pt>
                <c:pt idx="57">
                  <c:v>-4.3000000000000203</c:v>
                </c:pt>
                <c:pt idx="58">
                  <c:v>-4.2000000000000206</c:v>
                </c:pt>
                <c:pt idx="59">
                  <c:v>-4.100000000000021</c:v>
                </c:pt>
                <c:pt idx="60">
                  <c:v>-4.0000000000000213</c:v>
                </c:pt>
                <c:pt idx="61">
                  <c:v>-3.9000000000000212</c:v>
                </c:pt>
                <c:pt idx="62">
                  <c:v>-3.8000000000000211</c:v>
                </c:pt>
                <c:pt idx="63">
                  <c:v>-3.700000000000021</c:v>
                </c:pt>
                <c:pt idx="64">
                  <c:v>-3.600000000000021</c:v>
                </c:pt>
                <c:pt idx="65">
                  <c:v>-3.5000000000000209</c:v>
                </c:pt>
                <c:pt idx="66">
                  <c:v>-3.4000000000000208</c:v>
                </c:pt>
                <c:pt idx="67">
                  <c:v>-3.3000000000000207</c:v>
                </c:pt>
                <c:pt idx="68">
                  <c:v>-3.2000000000000206</c:v>
                </c:pt>
                <c:pt idx="69">
                  <c:v>-3.1000000000000205</c:v>
                </c:pt>
                <c:pt idx="70">
                  <c:v>-3.0000000000000204</c:v>
                </c:pt>
                <c:pt idx="71">
                  <c:v>-2.9000000000000203</c:v>
                </c:pt>
                <c:pt idx="72">
                  <c:v>-2.8000000000000203</c:v>
                </c:pt>
                <c:pt idx="73">
                  <c:v>-2.7000000000000202</c:v>
                </c:pt>
                <c:pt idx="74">
                  <c:v>-2.6000000000000201</c:v>
                </c:pt>
                <c:pt idx="75">
                  <c:v>-2.50000000000002</c:v>
                </c:pt>
                <c:pt idx="76">
                  <c:v>-2.4000000000000199</c:v>
                </c:pt>
                <c:pt idx="77">
                  <c:v>-2.3000000000000198</c:v>
                </c:pt>
                <c:pt idx="78">
                  <c:v>-2.2000000000000197</c:v>
                </c:pt>
                <c:pt idx="79">
                  <c:v>-2.1000000000000196</c:v>
                </c:pt>
                <c:pt idx="80">
                  <c:v>-2.0000000000000195</c:v>
                </c:pt>
                <c:pt idx="81">
                  <c:v>-1.9000000000000195</c:v>
                </c:pt>
                <c:pt idx="82">
                  <c:v>-1.8000000000000194</c:v>
                </c:pt>
                <c:pt idx="83">
                  <c:v>-1.7000000000000193</c:v>
                </c:pt>
                <c:pt idx="84">
                  <c:v>-1.6000000000000192</c:v>
                </c:pt>
                <c:pt idx="85">
                  <c:v>-1.5000000000000191</c:v>
                </c:pt>
                <c:pt idx="86">
                  <c:v>-1.400000000000019</c:v>
                </c:pt>
                <c:pt idx="87">
                  <c:v>-1.3000000000000189</c:v>
                </c:pt>
                <c:pt idx="88">
                  <c:v>-1.2000000000000188</c:v>
                </c:pt>
                <c:pt idx="89">
                  <c:v>-1.1000000000000187</c:v>
                </c:pt>
                <c:pt idx="90">
                  <c:v>-1.0000000000000187</c:v>
                </c:pt>
                <c:pt idx="91">
                  <c:v>-0.90000000000001867</c:v>
                </c:pt>
                <c:pt idx="92">
                  <c:v>-0.8000000000000187</c:v>
                </c:pt>
                <c:pt idx="93">
                  <c:v>-0.70000000000001872</c:v>
                </c:pt>
                <c:pt idx="94">
                  <c:v>-0.60000000000001874</c:v>
                </c:pt>
                <c:pt idx="95">
                  <c:v>-0.50000000000001876</c:v>
                </c:pt>
                <c:pt idx="96">
                  <c:v>-0.40000000000001878</c:v>
                </c:pt>
                <c:pt idx="97">
                  <c:v>-0.30000000000001881</c:v>
                </c:pt>
                <c:pt idx="98">
                  <c:v>-0.2000000000000188</c:v>
                </c:pt>
                <c:pt idx="99">
                  <c:v>-0.1000000000000188</c:v>
                </c:pt>
                <c:pt idx="100">
                  <c:v>-1.8790524691780774E-14</c:v>
                </c:pt>
                <c:pt idx="101">
                  <c:v>9.9999999999981215E-2</c:v>
                </c:pt>
                <c:pt idx="102">
                  <c:v>0.19999999999998122</c:v>
                </c:pt>
                <c:pt idx="103">
                  <c:v>0.29999999999998123</c:v>
                </c:pt>
                <c:pt idx="104">
                  <c:v>0.39999999999998126</c:v>
                </c:pt>
                <c:pt idx="105">
                  <c:v>0.49999999999998124</c:v>
                </c:pt>
                <c:pt idx="106">
                  <c:v>0.59999999999998122</c:v>
                </c:pt>
                <c:pt idx="107">
                  <c:v>0.69999999999998119</c:v>
                </c:pt>
                <c:pt idx="108">
                  <c:v>0.79999999999998117</c:v>
                </c:pt>
                <c:pt idx="109">
                  <c:v>0.89999999999998115</c:v>
                </c:pt>
                <c:pt idx="110">
                  <c:v>0.99999999999998113</c:v>
                </c:pt>
                <c:pt idx="111">
                  <c:v>1.0999999999999812</c:v>
                </c:pt>
                <c:pt idx="112">
                  <c:v>1.1999999999999813</c:v>
                </c:pt>
                <c:pt idx="113">
                  <c:v>1.2999999999999814</c:v>
                </c:pt>
                <c:pt idx="114">
                  <c:v>1.3999999999999815</c:v>
                </c:pt>
                <c:pt idx="115">
                  <c:v>1.4999999999999816</c:v>
                </c:pt>
                <c:pt idx="116">
                  <c:v>1.5999999999999817</c:v>
                </c:pt>
                <c:pt idx="117">
                  <c:v>1.6999999999999817</c:v>
                </c:pt>
                <c:pt idx="118">
                  <c:v>1.7999999999999818</c:v>
                </c:pt>
                <c:pt idx="119">
                  <c:v>1.8999999999999819</c:v>
                </c:pt>
                <c:pt idx="120">
                  <c:v>1.999999999999982</c:v>
                </c:pt>
                <c:pt idx="121">
                  <c:v>2.0999999999999819</c:v>
                </c:pt>
                <c:pt idx="122">
                  <c:v>2.199999999999982</c:v>
                </c:pt>
                <c:pt idx="123">
                  <c:v>2.2999999999999821</c:v>
                </c:pt>
                <c:pt idx="124">
                  <c:v>2.3999999999999821</c:v>
                </c:pt>
                <c:pt idx="125">
                  <c:v>2.4999999999999822</c:v>
                </c:pt>
                <c:pt idx="126">
                  <c:v>2.5999999999999823</c:v>
                </c:pt>
                <c:pt idx="127">
                  <c:v>2.6999999999999824</c:v>
                </c:pt>
                <c:pt idx="128">
                  <c:v>2.7999999999999825</c:v>
                </c:pt>
                <c:pt idx="129">
                  <c:v>2.8999999999999826</c:v>
                </c:pt>
                <c:pt idx="130">
                  <c:v>2.9999999999999827</c:v>
                </c:pt>
                <c:pt idx="131">
                  <c:v>3.0999999999999828</c:v>
                </c:pt>
                <c:pt idx="132">
                  <c:v>3.1999999999999829</c:v>
                </c:pt>
                <c:pt idx="133">
                  <c:v>3.2999999999999829</c:v>
                </c:pt>
                <c:pt idx="134">
                  <c:v>3.399999999999983</c:v>
                </c:pt>
                <c:pt idx="135">
                  <c:v>3.4999999999999831</c:v>
                </c:pt>
                <c:pt idx="136">
                  <c:v>3.5999999999999832</c:v>
                </c:pt>
                <c:pt idx="137">
                  <c:v>3.6999999999999833</c:v>
                </c:pt>
                <c:pt idx="138">
                  <c:v>3.7999999999999834</c:v>
                </c:pt>
                <c:pt idx="139">
                  <c:v>3.8999999999999835</c:v>
                </c:pt>
                <c:pt idx="140">
                  <c:v>3.9999999999999836</c:v>
                </c:pt>
                <c:pt idx="141">
                  <c:v>4.0999999999999837</c:v>
                </c:pt>
                <c:pt idx="142">
                  <c:v>4.1999999999999833</c:v>
                </c:pt>
                <c:pt idx="143">
                  <c:v>4.2999999999999829</c:v>
                </c:pt>
                <c:pt idx="144">
                  <c:v>4.3999999999999826</c:v>
                </c:pt>
                <c:pt idx="145">
                  <c:v>4.4999999999999822</c:v>
                </c:pt>
                <c:pt idx="146">
                  <c:v>4.5999999999999819</c:v>
                </c:pt>
                <c:pt idx="147">
                  <c:v>4.6999999999999815</c:v>
                </c:pt>
                <c:pt idx="148">
                  <c:v>4.7999999999999812</c:v>
                </c:pt>
                <c:pt idx="149">
                  <c:v>4.8999999999999808</c:v>
                </c:pt>
                <c:pt idx="150">
                  <c:v>4.9999999999999805</c:v>
                </c:pt>
                <c:pt idx="151">
                  <c:v>5.0999999999999801</c:v>
                </c:pt>
                <c:pt idx="152">
                  <c:v>5.1999999999999797</c:v>
                </c:pt>
                <c:pt idx="153">
                  <c:v>5.2999999999999794</c:v>
                </c:pt>
                <c:pt idx="154">
                  <c:v>5.399999999999979</c:v>
                </c:pt>
                <c:pt idx="155">
                  <c:v>5.4999999999999787</c:v>
                </c:pt>
                <c:pt idx="156">
                  <c:v>5.5999999999999783</c:v>
                </c:pt>
                <c:pt idx="157">
                  <c:v>5.699999999999978</c:v>
                </c:pt>
                <c:pt idx="158">
                  <c:v>5.7999999999999776</c:v>
                </c:pt>
                <c:pt idx="159">
                  <c:v>5.8999999999999773</c:v>
                </c:pt>
                <c:pt idx="160">
                  <c:v>5.9999999999999769</c:v>
                </c:pt>
                <c:pt idx="161">
                  <c:v>6.0999999999999766</c:v>
                </c:pt>
                <c:pt idx="162">
                  <c:v>6.1999999999999762</c:v>
                </c:pt>
                <c:pt idx="163">
                  <c:v>6.2999999999999758</c:v>
                </c:pt>
                <c:pt idx="164">
                  <c:v>6.3999999999999755</c:v>
                </c:pt>
                <c:pt idx="165">
                  <c:v>6.4999999999999751</c:v>
                </c:pt>
                <c:pt idx="166">
                  <c:v>6.5999999999999748</c:v>
                </c:pt>
                <c:pt idx="167">
                  <c:v>6.6999999999999744</c:v>
                </c:pt>
                <c:pt idx="168">
                  <c:v>6.7999999999999741</c:v>
                </c:pt>
                <c:pt idx="169">
                  <c:v>6.8999999999999737</c:v>
                </c:pt>
                <c:pt idx="170">
                  <c:v>6.9999999999999734</c:v>
                </c:pt>
                <c:pt idx="171">
                  <c:v>7.099999999999973</c:v>
                </c:pt>
                <c:pt idx="172">
                  <c:v>7.1999999999999726</c:v>
                </c:pt>
                <c:pt idx="173">
                  <c:v>7.2999999999999723</c:v>
                </c:pt>
                <c:pt idx="174">
                  <c:v>7.3999999999999719</c:v>
                </c:pt>
                <c:pt idx="175">
                  <c:v>7.4999999999999716</c:v>
                </c:pt>
                <c:pt idx="176">
                  <c:v>7.5999999999999712</c:v>
                </c:pt>
                <c:pt idx="177">
                  <c:v>7.6999999999999709</c:v>
                </c:pt>
                <c:pt idx="178">
                  <c:v>7.7999999999999705</c:v>
                </c:pt>
                <c:pt idx="179">
                  <c:v>7.8999999999999702</c:v>
                </c:pt>
                <c:pt idx="180">
                  <c:v>7.9999999999999698</c:v>
                </c:pt>
                <c:pt idx="181">
                  <c:v>8.0999999999999694</c:v>
                </c:pt>
                <c:pt idx="182">
                  <c:v>8.1999999999999691</c:v>
                </c:pt>
                <c:pt idx="183">
                  <c:v>8.2999999999999687</c:v>
                </c:pt>
                <c:pt idx="184">
                  <c:v>8.3999999999999684</c:v>
                </c:pt>
                <c:pt idx="185">
                  <c:v>8.499999999999968</c:v>
                </c:pt>
                <c:pt idx="186">
                  <c:v>8.5999999999999677</c:v>
                </c:pt>
                <c:pt idx="187">
                  <c:v>8.6999999999999673</c:v>
                </c:pt>
                <c:pt idx="188">
                  <c:v>8.799999999999967</c:v>
                </c:pt>
                <c:pt idx="189">
                  <c:v>8.8999999999999666</c:v>
                </c:pt>
                <c:pt idx="190">
                  <c:v>8.9999999999999662</c:v>
                </c:pt>
                <c:pt idx="191">
                  <c:v>9.0999999999999659</c:v>
                </c:pt>
                <c:pt idx="192">
                  <c:v>9.1999999999999655</c:v>
                </c:pt>
                <c:pt idx="193">
                  <c:v>9.2999999999999652</c:v>
                </c:pt>
                <c:pt idx="194">
                  <c:v>9.3999999999999648</c:v>
                </c:pt>
                <c:pt idx="195">
                  <c:v>9.4999999999999645</c:v>
                </c:pt>
                <c:pt idx="196">
                  <c:v>9.5999999999999641</c:v>
                </c:pt>
                <c:pt idx="197">
                  <c:v>9.6999999999999638</c:v>
                </c:pt>
                <c:pt idx="198">
                  <c:v>9.7999999999999634</c:v>
                </c:pt>
                <c:pt idx="199">
                  <c:v>9.8999999999999631</c:v>
                </c:pt>
                <c:pt idx="200">
                  <c:v>9.9999999999999627</c:v>
                </c:pt>
              </c:numCache>
            </c:numRef>
          </c:xVal>
          <c:yVal>
            <c:numRef>
              <c:f>Sheet1!$O$8:$O$208</c:f>
              <c:numCache>
                <c:formatCode>#,##0.000000</c:formatCode>
                <c:ptCount val="201"/>
                <c:pt idx="0">
                  <c:v>7.6945986267064199E-23</c:v>
                </c:pt>
                <c:pt idx="1">
                  <c:v>2.0811768202028245E-22</c:v>
                </c:pt>
                <c:pt idx="2">
                  <c:v>5.5730000227206912E-22</c:v>
                </c:pt>
                <c:pt idx="3">
                  <c:v>1.4774954927042438E-21</c:v>
                </c:pt>
                <c:pt idx="4">
                  <c:v>3.8781119317469065E-21</c:v>
                </c:pt>
                <c:pt idx="5">
                  <c:v>1.0077935394299867E-20</c:v>
                </c:pt>
                <c:pt idx="6">
                  <c:v>2.5928647011003341E-20</c:v>
                </c:pt>
                <c:pt idx="7">
                  <c:v>6.6045798607391687E-20</c:v>
                </c:pt>
                <c:pt idx="8">
                  <c:v>1.6655880323798698E-19</c:v>
                </c:pt>
                <c:pt idx="9">
                  <c:v>4.1585989791150129E-19</c:v>
                </c:pt>
                <c:pt idx="10">
                  <c:v>1.0279773571668551E-18</c:v>
                </c:pt>
                <c:pt idx="11">
                  <c:v>2.5158057769513331E-18</c:v>
                </c:pt>
                <c:pt idx="12">
                  <c:v>6.0957581295622447E-18</c:v>
                </c:pt>
                <c:pt idx="13">
                  <c:v>1.4622963575005855E-17</c:v>
                </c:pt>
                <c:pt idx="14">
                  <c:v>3.4729627485660597E-17</c:v>
                </c:pt>
                <c:pt idx="15">
                  <c:v>8.1662356316692026E-17</c:v>
                </c:pt>
                <c:pt idx="16">
                  <c:v>1.9010815379078693E-16</c:v>
                </c:pt>
                <c:pt idx="17">
                  <c:v>4.3816394355091402E-16</c:v>
                </c:pt>
                <c:pt idx="18">
                  <c:v>9.9983787484966114E-16</c:v>
                </c:pt>
                <c:pt idx="19">
                  <c:v>2.2588094031541746E-15</c:v>
                </c:pt>
                <c:pt idx="20">
                  <c:v>5.0522710835366056E-15</c:v>
                </c:pt>
                <c:pt idx="21">
                  <c:v>1.1187956214351181E-14</c:v>
                </c:pt>
                <c:pt idx="22">
                  <c:v>2.4528552856962759E-14</c:v>
                </c:pt>
                <c:pt idx="23">
                  <c:v>5.3241483722526217E-14</c:v>
                </c:pt>
                <c:pt idx="24">
                  <c:v>1.1441564901800597E-13</c:v>
                </c:pt>
                <c:pt idx="25">
                  <c:v>2.434320533028846E-13</c:v>
                </c:pt>
                <c:pt idx="26">
                  <c:v>5.1277536367963166E-13</c:v>
                </c:pt>
                <c:pt idx="27">
                  <c:v>1.0693837871540878E-12</c:v>
                </c:pt>
                <c:pt idx="28">
                  <c:v>2.2079899631369825E-12</c:v>
                </c:pt>
                <c:pt idx="29">
                  <c:v>4.5135436772051806E-12</c:v>
                </c:pt>
                <c:pt idx="30">
                  <c:v>9.1347204083639119E-12</c:v>
                </c:pt>
                <c:pt idx="31">
                  <c:v>1.8303322170154415E-11</c:v>
                </c:pt>
                <c:pt idx="32">
                  <c:v>3.6309615017915174E-11</c:v>
                </c:pt>
                <c:pt idx="33">
                  <c:v>7.1313281239955193E-11</c:v>
                </c:pt>
                <c:pt idx="34">
                  <c:v>1.386679994165204E-10</c:v>
                </c:pt>
                <c:pt idx="35">
                  <c:v>2.6695566147626343E-10</c:v>
                </c:pt>
                <c:pt idx="36">
                  <c:v>5.0881402816446408E-10</c:v>
                </c:pt>
                <c:pt idx="37">
                  <c:v>9.6014333703115174E-10</c:v>
                </c:pt>
                <c:pt idx="38">
                  <c:v>1.793783907963933E-9</c:v>
                </c:pt>
                <c:pt idx="39">
                  <c:v>3.3178842435470104E-9</c:v>
                </c:pt>
                <c:pt idx="40">
                  <c:v>6.0758828498227674E-9</c:v>
                </c:pt>
                <c:pt idx="41">
                  <c:v>1.101576362468137E-8</c:v>
                </c:pt>
                <c:pt idx="42">
                  <c:v>1.9773196406242984E-8</c:v>
                </c:pt>
                <c:pt idx="43">
                  <c:v>3.5139550948201343E-8</c:v>
                </c:pt>
                <c:pt idx="44">
                  <c:v>6.182620500165308E-8</c:v>
                </c:pt>
                <c:pt idx="45">
                  <c:v>1.0769760042542322E-7</c:v>
                </c:pt>
                <c:pt idx="46">
                  <c:v>1.8573618445551279E-7</c:v>
                </c:pt>
                <c:pt idx="47">
                  <c:v>3.1713492167156938E-7</c:v>
                </c:pt>
                <c:pt idx="48">
                  <c:v>5.3610353446971465E-7</c:v>
                </c:pt>
                <c:pt idx="49">
                  <c:v>8.9724351623825242E-7</c:v>
                </c:pt>
                <c:pt idx="50">
                  <c:v>1.4867195147341658E-6</c:v>
                </c:pt>
                <c:pt idx="51">
                  <c:v>2.43896074589314E-6</c:v>
                </c:pt>
                <c:pt idx="52">
                  <c:v>3.9612990910317238E-6</c:v>
                </c:pt>
                <c:pt idx="53">
                  <c:v>6.3698251788665359E-6</c:v>
                </c:pt>
                <c:pt idx="54">
                  <c:v>1.0140852065485842E-5</c:v>
                </c:pt>
                <c:pt idx="55">
                  <c:v>1.5983741106904055E-5</c:v>
                </c:pt>
                <c:pt idx="56">
                  <c:v>2.4942471290051404E-5</c:v>
                </c:pt>
                <c:pt idx="57">
                  <c:v>3.8535196742083775E-5</c:v>
                </c:pt>
                <c:pt idx="58">
                  <c:v>5.8943067756534725E-5</c:v>
                </c:pt>
                <c:pt idx="59">
                  <c:v>8.9261657177125162E-5</c:v>
                </c:pt>
                <c:pt idx="60">
                  <c:v>1.3383022576487396E-4</c:v>
                </c:pt>
                <c:pt idx="61">
                  <c:v>1.9865547139275616E-4</c:v>
                </c:pt>
                <c:pt idx="62">
                  <c:v>2.9194692579143664E-4</c:v>
                </c:pt>
                <c:pt idx="63">
                  <c:v>4.2478027055071864E-4</c:v>
                </c:pt>
                <c:pt idx="64">
                  <c:v>6.1190193011372625E-4</c:v>
                </c:pt>
                <c:pt idx="65">
                  <c:v>8.7268269504569662E-4</c:v>
                </c:pt>
                <c:pt idx="66">
                  <c:v>1.2322191684729323E-3</c:v>
                </c:pt>
                <c:pt idx="67">
                  <c:v>1.7225689390535622E-3</c:v>
                </c:pt>
                <c:pt idx="68">
                  <c:v>2.3840882014646856E-3</c:v>
                </c:pt>
                <c:pt idx="69">
                  <c:v>3.2668190561997131E-3</c:v>
                </c:pt>
                <c:pt idx="70">
                  <c:v>4.431848411937736E-3</c:v>
                </c:pt>
                <c:pt idx="71">
                  <c:v>5.9525324197755051E-3</c:v>
                </c:pt>
                <c:pt idx="72">
                  <c:v>7.9154515829795141E-3</c:v>
                </c:pt>
                <c:pt idx="73">
                  <c:v>1.0420934814422026E-2</c:v>
                </c:pt>
                <c:pt idx="74">
                  <c:v>1.3582969233684909E-2</c:v>
                </c:pt>
                <c:pt idx="75">
                  <c:v>1.7528300493567659E-2</c:v>
                </c:pt>
                <c:pt idx="76">
                  <c:v>2.2394530294841827E-2</c:v>
                </c:pt>
                <c:pt idx="77">
                  <c:v>2.8327037741599882E-2</c:v>
                </c:pt>
                <c:pt idx="78">
                  <c:v>3.5474592846229898E-2</c:v>
                </c:pt>
                <c:pt idx="79">
                  <c:v>4.398359598042538E-2</c:v>
                </c:pt>
                <c:pt idx="80">
                  <c:v>5.3990966513185946E-2</c:v>
                </c:pt>
                <c:pt idx="81">
                  <c:v>6.5615814774674167E-2</c:v>
                </c:pt>
                <c:pt idx="82">
                  <c:v>7.8950158300891415E-2</c:v>
                </c:pt>
                <c:pt idx="83">
                  <c:v>9.4049077376883852E-2</c:v>
                </c:pt>
                <c:pt idx="84">
                  <c:v>0.11092083467945216</c:v>
                </c:pt>
                <c:pt idx="85">
                  <c:v>0.12951759566588802</c:v>
                </c:pt>
                <c:pt idx="86">
                  <c:v>0.14972746563574085</c:v>
                </c:pt>
                <c:pt idx="87">
                  <c:v>0.17136859204780314</c:v>
                </c:pt>
                <c:pt idx="88">
                  <c:v>0.19418605498320857</c:v>
                </c:pt>
                <c:pt idx="89">
                  <c:v>0.21785217703254606</c:v>
                </c:pt>
                <c:pt idx="90">
                  <c:v>0.24197072451913884</c:v>
                </c:pt>
                <c:pt idx="91">
                  <c:v>0.26608524989875038</c:v>
                </c:pt>
                <c:pt idx="92">
                  <c:v>0.2896915527614784</c:v>
                </c:pt>
                <c:pt idx="93">
                  <c:v>0.31225393336675722</c:v>
                </c:pt>
                <c:pt idx="94">
                  <c:v>0.33322460289179595</c:v>
                </c:pt>
                <c:pt idx="95">
                  <c:v>0.35206532676429619</c:v>
                </c:pt>
                <c:pt idx="96">
                  <c:v>0.36827014030332056</c:v>
                </c:pt>
                <c:pt idx="97">
                  <c:v>0.38138781546052197</c:v>
                </c:pt>
                <c:pt idx="98">
                  <c:v>0.39104269397545444</c:v>
                </c:pt>
                <c:pt idx="99">
                  <c:v>0.39695254747701103</c:v>
                </c:pt>
                <c:pt idx="100">
                  <c:v>0.3989422804014327</c:v>
                </c:pt>
                <c:pt idx="101">
                  <c:v>0.39695254747701253</c:v>
                </c:pt>
                <c:pt idx="102">
                  <c:v>0.39104269397545738</c:v>
                </c:pt>
                <c:pt idx="103">
                  <c:v>0.38138781546052625</c:v>
                </c:pt>
                <c:pt idx="104">
                  <c:v>0.36827014030332611</c:v>
                </c:pt>
                <c:pt idx="105">
                  <c:v>0.3520653267643028</c:v>
                </c:pt>
                <c:pt idx="106">
                  <c:v>0.33322460289180339</c:v>
                </c:pt>
                <c:pt idx="107">
                  <c:v>0.31225393336676538</c:v>
                </c:pt>
                <c:pt idx="108">
                  <c:v>0.28969155276148711</c:v>
                </c:pt>
                <c:pt idx="109">
                  <c:v>0.26608524989875937</c:v>
                </c:pt>
                <c:pt idx="110">
                  <c:v>0.24197072451914792</c:v>
                </c:pt>
                <c:pt idx="111">
                  <c:v>0.21785217703255505</c:v>
                </c:pt>
                <c:pt idx="112">
                  <c:v>0.19418605498321731</c:v>
                </c:pt>
                <c:pt idx="113">
                  <c:v>0.17136859204781152</c:v>
                </c:pt>
                <c:pt idx="114">
                  <c:v>0.14972746563574874</c:v>
                </c:pt>
                <c:pt idx="115">
                  <c:v>0.1295175956658953</c:v>
                </c:pt>
                <c:pt idx="116">
                  <c:v>0.11092083467945882</c:v>
                </c:pt>
                <c:pt idx="117">
                  <c:v>9.4049077376889847E-2</c:v>
                </c:pt>
                <c:pt idx="118">
                  <c:v>7.8950158300896744E-2</c:v>
                </c:pt>
                <c:pt idx="119">
                  <c:v>6.5615814774678843E-2</c:v>
                </c:pt>
                <c:pt idx="120">
                  <c:v>5.3990966513189999E-2</c:v>
                </c:pt>
                <c:pt idx="121">
                  <c:v>4.3983595980428877E-2</c:v>
                </c:pt>
                <c:pt idx="122">
                  <c:v>3.547459284623284E-2</c:v>
                </c:pt>
                <c:pt idx="123">
                  <c:v>2.8327037741602345E-2</c:v>
                </c:pt>
                <c:pt idx="124">
                  <c:v>2.2394530294843853E-2</c:v>
                </c:pt>
                <c:pt idx="125">
                  <c:v>1.7528300493569317E-2</c:v>
                </c:pt>
                <c:pt idx="126">
                  <c:v>1.3582969233686243E-2</c:v>
                </c:pt>
                <c:pt idx="127">
                  <c:v>1.0420934814423091E-2</c:v>
                </c:pt>
                <c:pt idx="128">
                  <c:v>7.9154515829803502E-3</c:v>
                </c:pt>
                <c:pt idx="129">
                  <c:v>5.9525324197761548E-3</c:v>
                </c:pt>
                <c:pt idx="130">
                  <c:v>4.4318484119382356E-3</c:v>
                </c:pt>
                <c:pt idx="131">
                  <c:v>3.2668190562000956E-3</c:v>
                </c:pt>
                <c:pt idx="132">
                  <c:v>2.3840882014649735E-3</c:v>
                </c:pt>
                <c:pt idx="133">
                  <c:v>1.7225689390537777E-3</c:v>
                </c:pt>
                <c:pt idx="134">
                  <c:v>1.23221916847309E-3</c:v>
                </c:pt>
                <c:pt idx="135">
                  <c:v>8.7268269504581133E-4</c:v>
                </c:pt>
                <c:pt idx="136">
                  <c:v>6.1190193011380941E-4</c:v>
                </c:pt>
                <c:pt idx="137">
                  <c:v>4.2478027055077783E-4</c:v>
                </c:pt>
                <c:pt idx="138">
                  <c:v>2.9194692579147865E-4</c:v>
                </c:pt>
                <c:pt idx="139">
                  <c:v>1.9865547139278543E-4</c:v>
                </c:pt>
                <c:pt idx="140">
                  <c:v>1.3383022576489415E-4</c:v>
                </c:pt>
                <c:pt idx="141">
                  <c:v>8.9261657177138796E-5</c:v>
                </c:pt>
                <c:pt idx="142">
                  <c:v>5.8943067756544036E-5</c:v>
                </c:pt>
                <c:pt idx="143">
                  <c:v>3.8535196742089935E-5</c:v>
                </c:pt>
                <c:pt idx="144">
                  <c:v>2.494247129005548E-5</c:v>
                </c:pt>
                <c:pt idx="145">
                  <c:v>1.5983741106906752E-5</c:v>
                </c:pt>
                <c:pt idx="146">
                  <c:v>1.0140852065487588E-5</c:v>
                </c:pt>
                <c:pt idx="147">
                  <c:v>6.3698251788676566E-6</c:v>
                </c:pt>
                <c:pt idx="148">
                  <c:v>3.9612990910324344E-6</c:v>
                </c:pt>
                <c:pt idx="149">
                  <c:v>2.4389607458935864E-6</c:v>
                </c:pt>
                <c:pt idx="150">
                  <c:v>1.4867195147344432E-6</c:v>
                </c:pt>
                <c:pt idx="151">
                  <c:v>8.9724351623842458E-7</c:v>
                </c:pt>
                <c:pt idx="152">
                  <c:v>5.3610353446981852E-7</c:v>
                </c:pt>
                <c:pt idx="153">
                  <c:v>3.171349216716319E-7</c:v>
                </c:pt>
                <c:pt idx="154">
                  <c:v>1.8573618445555041E-7</c:v>
                </c:pt>
                <c:pt idx="155">
                  <c:v>1.0769760042544539E-7</c:v>
                </c:pt>
                <c:pt idx="156">
                  <c:v>6.1826205001665932E-8</c:v>
                </c:pt>
                <c:pt idx="157">
                  <c:v>3.5139550948208834E-8</c:v>
                </c:pt>
                <c:pt idx="158">
                  <c:v>1.9773196406247269E-8</c:v>
                </c:pt>
                <c:pt idx="159">
                  <c:v>1.1015763624683796E-8</c:v>
                </c:pt>
                <c:pt idx="160">
                  <c:v>6.0758828498241282E-9</c:v>
                </c:pt>
                <c:pt idx="161">
                  <c:v>3.3178842435477648E-9</c:v>
                </c:pt>
                <c:pt idx="162">
                  <c:v>1.793783907964347E-9</c:v>
                </c:pt>
                <c:pt idx="163">
                  <c:v>9.6014333703138025E-10</c:v>
                </c:pt>
                <c:pt idx="164">
                  <c:v>5.0881402816458526E-10</c:v>
                </c:pt>
                <c:pt idx="165">
                  <c:v>2.669556614763279E-10</c:v>
                </c:pt>
                <c:pt idx="166">
                  <c:v>1.3866799941655437E-10</c:v>
                </c:pt>
                <c:pt idx="167">
                  <c:v>7.1313281239972913E-11</c:v>
                </c:pt>
                <c:pt idx="168">
                  <c:v>3.6309615017924331E-11</c:v>
                </c:pt>
                <c:pt idx="169">
                  <c:v>1.8303322170159097E-11</c:v>
                </c:pt>
                <c:pt idx="170">
                  <c:v>9.1347204083662819E-12</c:v>
                </c:pt>
                <c:pt idx="171">
                  <c:v>4.5135436772063672E-12</c:v>
                </c:pt>
                <c:pt idx="172">
                  <c:v>2.2079899631375787E-12</c:v>
                </c:pt>
                <c:pt idx="173">
                  <c:v>1.0693837871543805E-12</c:v>
                </c:pt>
                <c:pt idx="174">
                  <c:v>5.1277536367977383E-13</c:v>
                </c:pt>
                <c:pt idx="175">
                  <c:v>2.4343205330295291E-13</c:v>
                </c:pt>
                <c:pt idx="176">
                  <c:v>1.1441564901803849E-13</c:v>
                </c:pt>
                <c:pt idx="177">
                  <c:v>5.3241483722541546E-14</c:v>
                </c:pt>
                <c:pt idx="178">
                  <c:v>2.4528552856969902E-14</c:v>
                </c:pt>
                <c:pt idx="179">
                  <c:v>1.1187956214354479E-14</c:v>
                </c:pt>
                <c:pt idx="180">
                  <c:v>5.0522710835381131E-15</c:v>
                </c:pt>
                <c:pt idx="181">
                  <c:v>2.2588094031548648E-15</c:v>
                </c:pt>
                <c:pt idx="182">
                  <c:v>9.9983787484996662E-16</c:v>
                </c:pt>
                <c:pt idx="183">
                  <c:v>4.3816394355105099E-16</c:v>
                </c:pt>
                <c:pt idx="184">
                  <c:v>1.9010815379084772E-16</c:v>
                </c:pt>
                <c:pt idx="185">
                  <c:v>8.1662356316717553E-17</c:v>
                </c:pt>
                <c:pt idx="186">
                  <c:v>3.4729627485671702E-17</c:v>
                </c:pt>
                <c:pt idx="187">
                  <c:v>1.4622963575010631E-17</c:v>
                </c:pt>
                <c:pt idx="188">
                  <c:v>6.0957581295642369E-18</c:v>
                </c:pt>
                <c:pt idx="189">
                  <c:v>2.5158057769521555E-18</c:v>
                </c:pt>
                <c:pt idx="190">
                  <c:v>1.0279773571672058E-18</c:v>
                </c:pt>
                <c:pt idx="191">
                  <c:v>4.1585989791164308E-19</c:v>
                </c:pt>
                <c:pt idx="192">
                  <c:v>1.6655880323804497E-19</c:v>
                </c:pt>
                <c:pt idx="193">
                  <c:v>6.6045798607414678E-20</c:v>
                </c:pt>
                <c:pt idx="194">
                  <c:v>2.5928647011012368E-20</c:v>
                </c:pt>
                <c:pt idx="195">
                  <c:v>1.0077935394303376E-20</c:v>
                </c:pt>
                <c:pt idx="196">
                  <c:v>3.878111931748284E-21</c:v>
                </c:pt>
                <c:pt idx="197">
                  <c:v>1.4774954927047792E-21</c:v>
                </c:pt>
                <c:pt idx="198">
                  <c:v>5.5730000227227497E-22</c:v>
                </c:pt>
                <c:pt idx="199">
                  <c:v>2.0811768202035936E-22</c:v>
                </c:pt>
                <c:pt idx="200">
                  <c:v>7.6945986267092623E-23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06112"/>
        <c:axId val="482907648"/>
      </c:scatterChart>
      <c:valAx>
        <c:axId val="482906112"/>
        <c:scaling>
          <c:orientation val="minMax"/>
          <c:max val="10"/>
          <c:min val="-10"/>
        </c:scaling>
        <c:delete val="0"/>
        <c:axPos val="b"/>
        <c:numFmt formatCode="#,##0.00" sourceLinked="1"/>
        <c:majorTickMark val="out"/>
        <c:minorTickMark val="none"/>
        <c:tickLblPos val="nextTo"/>
        <c:crossAx val="482907648"/>
        <c:crosses val="autoZero"/>
        <c:crossBetween val="midCat"/>
      </c:valAx>
      <c:valAx>
        <c:axId val="482907648"/>
        <c:scaling>
          <c:orientation val="minMax"/>
        </c:scaling>
        <c:delete val="0"/>
        <c:axPos val="l"/>
        <c:numFmt formatCode="#,##0.00" sourceLinked="0"/>
        <c:majorTickMark val="out"/>
        <c:minorTickMark val="none"/>
        <c:tickLblPos val="nextTo"/>
        <c:crossAx val="48290611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9</xdr:row>
      <xdr:rowOff>71437</xdr:rowOff>
    </xdr:from>
    <xdr:to>
      <xdr:col>4</xdr:col>
      <xdr:colOff>152400</xdr:colOff>
      <xdr:row>21</xdr:row>
      <xdr:rowOff>133350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66675</xdr:colOff>
      <xdr:row>24</xdr:row>
      <xdr:rowOff>57150</xdr:rowOff>
    </xdr:from>
    <xdr:to>
      <xdr:col>4</xdr:col>
      <xdr:colOff>171450</xdr:colOff>
      <xdr:row>36</xdr:row>
      <xdr:rowOff>119063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123825</xdr:colOff>
      <xdr:row>9</xdr:row>
      <xdr:rowOff>61912</xdr:rowOff>
    </xdr:from>
    <xdr:to>
      <xdr:col>9</xdr:col>
      <xdr:colOff>428625</xdr:colOff>
      <xdr:row>21</xdr:row>
      <xdr:rowOff>142875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0</xdr:colOff>
      <xdr:row>9</xdr:row>
      <xdr:rowOff>0</xdr:rowOff>
    </xdr:from>
    <xdr:to>
      <xdr:col>20</xdr:col>
      <xdr:colOff>542925</xdr:colOff>
      <xdr:row>21</xdr:row>
      <xdr:rowOff>80963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0</xdr:colOff>
      <xdr:row>9</xdr:row>
      <xdr:rowOff>0</xdr:rowOff>
    </xdr:from>
    <xdr:to>
      <xdr:col>15</xdr:col>
      <xdr:colOff>266700</xdr:colOff>
      <xdr:row>21</xdr:row>
      <xdr:rowOff>61913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24</xdr:row>
      <xdr:rowOff>0</xdr:rowOff>
    </xdr:from>
    <xdr:to>
      <xdr:col>15</xdr:col>
      <xdr:colOff>266700</xdr:colOff>
      <xdr:row>36</xdr:row>
      <xdr:rowOff>61913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428"/>
  <sheetViews>
    <sheetView showGridLines="0" tabSelected="1" workbookViewId="0"/>
  </sheetViews>
  <sheetFormatPr defaultRowHeight="15" x14ac:dyDescent="0.25"/>
  <cols>
    <col min="2" max="3" width="15.7109375" customWidth="1"/>
    <col min="4" max="4" width="9.140625" customWidth="1"/>
    <col min="7" max="7" width="12.7109375" customWidth="1"/>
    <col min="8" max="8" width="16.42578125" bestFit="1" customWidth="1"/>
    <col min="9" max="9" width="12.7109375" customWidth="1"/>
    <col min="13" max="13" width="17.5703125" customWidth="1"/>
    <col min="14" max="14" width="14.7109375" bestFit="1" customWidth="1"/>
    <col min="15" max="16" width="12.7109375" customWidth="1"/>
    <col min="18" max="18" width="12.7109375" customWidth="1"/>
    <col min="19" max="19" width="16.5703125" bestFit="1" customWidth="1"/>
  </cols>
  <sheetData>
    <row r="3" spans="2:20" x14ac:dyDescent="0.25">
      <c r="B3" s="4" t="s">
        <v>2</v>
      </c>
      <c r="G3" s="4" t="s">
        <v>3</v>
      </c>
      <c r="M3" s="4" t="s">
        <v>4</v>
      </c>
      <c r="R3" s="4" t="s">
        <v>7</v>
      </c>
    </row>
    <row r="4" spans="2:20" x14ac:dyDescent="0.25">
      <c r="B4" s="6" t="s">
        <v>5</v>
      </c>
      <c r="C4" s="5">
        <v>0</v>
      </c>
      <c r="G4" s="6" t="s">
        <v>5</v>
      </c>
      <c r="H4" s="5">
        <v>0</v>
      </c>
      <c r="M4" s="6" t="s">
        <v>5</v>
      </c>
      <c r="N4" s="5">
        <v>0</v>
      </c>
      <c r="O4" s="5"/>
      <c r="R4" s="6" t="s">
        <v>5</v>
      </c>
      <c r="S4" s="5">
        <v>0</v>
      </c>
    </row>
    <row r="5" spans="2:20" x14ac:dyDescent="0.25">
      <c r="B5" s="6" t="s">
        <v>6</v>
      </c>
      <c r="C5" s="5">
        <v>1</v>
      </c>
      <c r="G5" s="6" t="s">
        <v>6</v>
      </c>
      <c r="H5" s="5">
        <v>1</v>
      </c>
      <c r="J5" s="15" t="s">
        <v>9</v>
      </c>
      <c r="M5" s="6" t="s">
        <v>6</v>
      </c>
      <c r="N5" s="5">
        <v>1</v>
      </c>
      <c r="O5" s="5"/>
      <c r="R5" s="6" t="s">
        <v>6</v>
      </c>
      <c r="S5" s="5">
        <v>1</v>
      </c>
    </row>
    <row r="6" spans="2:20" x14ac:dyDescent="0.25">
      <c r="B6" s="4"/>
      <c r="C6" s="16"/>
      <c r="G6" s="4"/>
      <c r="M6" s="4"/>
      <c r="R6" s="4"/>
    </row>
    <row r="7" spans="2:20" x14ac:dyDescent="0.25">
      <c r="B7" s="2" t="s">
        <v>13</v>
      </c>
      <c r="C7" s="2" t="s">
        <v>11</v>
      </c>
      <c r="D7" s="19" t="s">
        <v>12</v>
      </c>
      <c r="G7" s="2" t="s">
        <v>1</v>
      </c>
      <c r="H7" s="2" t="s">
        <v>13</v>
      </c>
      <c r="I7" s="2"/>
      <c r="J7" s="9" t="s">
        <v>0</v>
      </c>
      <c r="K7" s="14" t="s">
        <v>8</v>
      </c>
      <c r="M7" s="2" t="s">
        <v>14</v>
      </c>
      <c r="N7" s="2" t="s">
        <v>11</v>
      </c>
      <c r="O7" s="19" t="s">
        <v>12</v>
      </c>
      <c r="P7" s="13" t="s">
        <v>8</v>
      </c>
      <c r="R7" s="2" t="s">
        <v>1</v>
      </c>
      <c r="S7" s="2" t="s">
        <v>14</v>
      </c>
      <c r="T7" s="13" t="s">
        <v>8</v>
      </c>
    </row>
    <row r="8" spans="2:20" x14ac:dyDescent="0.25">
      <c r="B8" s="1">
        <v>-10</v>
      </c>
      <c r="C8" s="3">
        <f ca="1">_xll.meMathNormalDistributionStandard(B8)</f>
        <v>7.6198530241605255E-24</v>
      </c>
      <c r="D8" s="20">
        <f ca="1">_xll.meMathNormalDistributionPDF(B8)</f>
        <v>7.6945986267064199E-23</v>
      </c>
      <c r="G8" s="7">
        <v>0</v>
      </c>
      <c r="H8" s="3">
        <f ca="1">_xll.meMathNormalDistributionStandardInverse(G8)</f>
        <v>-10</v>
      </c>
      <c r="I8" s="3"/>
      <c r="J8" s="10" t="s">
        <v>10</v>
      </c>
      <c r="K8" s="11" t="s">
        <v>10</v>
      </c>
      <c r="M8" s="1">
        <v>-10</v>
      </c>
      <c r="N8" s="3">
        <f ca="1">_xll.meMathNormalDistribution(M8,$N$4,$N$5)</f>
        <v>7.6198530241605255E-24</v>
      </c>
      <c r="O8" s="20">
        <f ca="1">_xll.meMathNormalDistributionPDF(M8,$N$4,$N$5)</f>
        <v>7.6945986267064199E-23</v>
      </c>
      <c r="P8" s="8" t="b">
        <f t="shared" ref="P8:P39" ca="1" si="0">C8=N8</f>
        <v>1</v>
      </c>
      <c r="R8" s="7">
        <v>0</v>
      </c>
      <c r="S8" s="3">
        <f ca="1">_xll.meMathNormalDistributionInverse(R8,$S$4,$S$5)</f>
        <v>-10</v>
      </c>
      <c r="T8" s="12" t="b">
        <f ca="1">S8=H8</f>
        <v>1</v>
      </c>
    </row>
    <row r="9" spans="2:20" x14ac:dyDescent="0.25">
      <c r="B9" s="1">
        <v>-9.9</v>
      </c>
      <c r="C9" s="3">
        <f ca="1">_xll.meMathNormalDistributionStandard(B9)</f>
        <v>2.0813752194932082E-23</v>
      </c>
      <c r="D9" s="20">
        <f ca="1">_xll.meMathNormalDistributionPDF(B9)</f>
        <v>2.0811768202028245E-22</v>
      </c>
      <c r="G9" s="7">
        <v>5.0000000000000001E-3</v>
      </c>
      <c r="H9" s="3">
        <f ca="1">_xll.meMathNormalDistributionStandardInverse(G9)</f>
        <v>-2.5758293035489008</v>
      </c>
      <c r="I9" s="3"/>
      <c r="J9" s="9">
        <f t="shared" ref="J9:J40" si="1">NORMSINV(G9)</f>
        <v>-2.5758293035488999</v>
      </c>
      <c r="K9" s="17">
        <f t="shared" ref="K9:K40" ca="1" si="2">H9-J9</f>
        <v>0</v>
      </c>
      <c r="M9" s="1">
        <v>-9.9</v>
      </c>
      <c r="N9" s="3">
        <f ca="1">_xll.meMathNormalDistribution(M9,$N$4,$N$5)</f>
        <v>2.0813752194932082E-23</v>
      </c>
      <c r="O9" s="20">
        <f ca="1">_xll.meMathNormalDistributionPDF(M9,$N$4,$N$5)</f>
        <v>2.0811768202028245E-22</v>
      </c>
      <c r="P9" s="8" t="b">
        <f t="shared" ca="1" si="0"/>
        <v>1</v>
      </c>
      <c r="R9" s="7">
        <v>5.0000000000000001E-3</v>
      </c>
      <c r="S9" s="3">
        <f ca="1">_xll.meMathNormalDistributionInverse(R9,$S$4,$S$5)</f>
        <v>-2.5758293035489008</v>
      </c>
      <c r="T9" s="12" t="b">
        <f t="shared" ref="T9:T72" ca="1" si="3">S9=H9</f>
        <v>1</v>
      </c>
    </row>
    <row r="10" spans="2:20" x14ac:dyDescent="0.25">
      <c r="B10" s="1">
        <v>-9.8000000000000007</v>
      </c>
      <c r="C10" s="3">
        <f ca="1">_xll.meMathNormalDistributionStandard(B10)</f>
        <v>5.6292823113765143E-23</v>
      </c>
      <c r="D10" s="20">
        <f ca="1">_xll.meMathNormalDistributionPDF(B10)</f>
        <v>5.5730000227206912E-22</v>
      </c>
      <c r="G10" s="7">
        <v>0.01</v>
      </c>
      <c r="H10" s="3">
        <f ca="1">_xll.meMathNormalDistributionStandardInverse(G10)</f>
        <v>-2.3263478740408412</v>
      </c>
      <c r="I10" s="3"/>
      <c r="J10" s="9">
        <f t="shared" si="1"/>
        <v>-2.3263478740408408</v>
      </c>
      <c r="K10" s="17">
        <f t="shared" ca="1" si="2"/>
        <v>0</v>
      </c>
      <c r="M10" s="1">
        <v>-9.8000000000000007</v>
      </c>
      <c r="N10" s="3">
        <f ca="1">_xll.meMathNormalDistribution(M10,$N$4,$N$5)</f>
        <v>5.6292823113765143E-23</v>
      </c>
      <c r="O10" s="20">
        <f ca="1">_xll.meMathNormalDistributionPDF(M10,$N$4,$N$5)</f>
        <v>5.5730000227206912E-22</v>
      </c>
      <c r="P10" s="8" t="b">
        <f t="shared" ca="1" si="0"/>
        <v>1</v>
      </c>
      <c r="R10" s="7">
        <v>0.01</v>
      </c>
      <c r="S10" s="3">
        <f ca="1">_xll.meMathNormalDistributionInverse(R10,$S$4,$S$5)</f>
        <v>-2.3263478740408412</v>
      </c>
      <c r="T10" s="12" t="b">
        <f t="shared" ca="1" si="3"/>
        <v>1</v>
      </c>
    </row>
    <row r="11" spans="2:20" x14ac:dyDescent="0.25">
      <c r="B11" s="1">
        <v>-9.7000000000000011</v>
      </c>
      <c r="C11" s="3">
        <f ca="1">_xll.meMathNormalDistributionStandard(B11)</f>
        <v>1.507493168810181E-22</v>
      </c>
      <c r="D11" s="20">
        <f ca="1">_xll.meMathNormalDistributionPDF(B11)</f>
        <v>1.4774954927042438E-21</v>
      </c>
      <c r="G11" s="7">
        <v>1.4999999999999999E-2</v>
      </c>
      <c r="H11" s="3">
        <f ca="1">_xll.meMathNormalDistributionStandardInverse(G11)</f>
        <v>-2.1700903775845606</v>
      </c>
      <c r="I11" s="3"/>
      <c r="J11" s="9">
        <f t="shared" si="1"/>
        <v>-2.1700903775845601</v>
      </c>
      <c r="K11" s="17">
        <f t="shared" ca="1" si="2"/>
        <v>0</v>
      </c>
      <c r="M11" s="1">
        <v>-9.7000000000000011</v>
      </c>
      <c r="N11" s="3">
        <f ca="1">_xll.meMathNormalDistribution(M11,$N$4,$N$5)</f>
        <v>1.507493168810181E-22</v>
      </c>
      <c r="O11" s="20">
        <f ca="1">_xll.meMathNormalDistributionPDF(M11,$N$4,$N$5)</f>
        <v>1.4774954927042438E-21</v>
      </c>
      <c r="P11" s="8" t="b">
        <f t="shared" ca="1" si="0"/>
        <v>1</v>
      </c>
      <c r="R11" s="7">
        <v>1.4999999999999999E-2</v>
      </c>
      <c r="S11" s="3">
        <f ca="1">_xll.meMathNormalDistributionInverse(R11,$S$4,$S$5)</f>
        <v>-2.1700903775845606</v>
      </c>
      <c r="T11" s="12" t="b">
        <f t="shared" ca="1" si="3"/>
        <v>1</v>
      </c>
    </row>
    <row r="12" spans="2:20" x14ac:dyDescent="0.25">
      <c r="B12" s="1">
        <v>-9.6000000000000014</v>
      </c>
      <c r="C12" s="3">
        <f ca="1">_xll.meMathNormalDistributionStandard(B12)</f>
        <v>3.9972212057261766E-22</v>
      </c>
      <c r="D12" s="20">
        <f ca="1">_xll.meMathNormalDistributionPDF(B12)</f>
        <v>3.8781119317469065E-21</v>
      </c>
      <c r="G12" s="7">
        <v>0.02</v>
      </c>
      <c r="H12" s="3">
        <f ca="1">_xll.meMathNormalDistributionStandardInverse(G12)</f>
        <v>-2.053748910631823</v>
      </c>
      <c r="I12" s="3"/>
      <c r="J12" s="9">
        <f t="shared" si="1"/>
        <v>-2.0537489106318225</v>
      </c>
      <c r="K12" s="17">
        <f t="shared" ca="1" si="2"/>
        <v>0</v>
      </c>
      <c r="M12" s="1">
        <v>-9.6000000000000014</v>
      </c>
      <c r="N12" s="3">
        <f ca="1">_xll.meMathNormalDistribution(M12,$N$4,$N$5)</f>
        <v>3.9972212057261766E-22</v>
      </c>
      <c r="O12" s="20">
        <f ca="1">_xll.meMathNormalDistributionPDF(M12,$N$4,$N$5)</f>
        <v>3.8781119317469065E-21</v>
      </c>
      <c r="P12" s="8" t="b">
        <f t="shared" ca="1" si="0"/>
        <v>1</v>
      </c>
      <c r="R12" s="7">
        <v>0.02</v>
      </c>
      <c r="S12" s="3">
        <f ca="1">_xll.meMathNormalDistributionInverse(R12,$S$4,$S$5)</f>
        <v>-2.053748910631823</v>
      </c>
      <c r="T12" s="12" t="b">
        <f t="shared" ca="1" si="3"/>
        <v>1</v>
      </c>
    </row>
    <row r="13" spans="2:20" x14ac:dyDescent="0.25">
      <c r="B13" s="1">
        <v>-9.5000000000000018</v>
      </c>
      <c r="C13" s="3">
        <f ca="1">_xll.meMathNormalDistributionStandard(B13)</f>
        <v>1.0494515075362456E-21</v>
      </c>
      <c r="D13" s="20">
        <f ca="1">_xll.meMathNormalDistributionPDF(B13)</f>
        <v>1.0077935394299867E-20</v>
      </c>
      <c r="G13" s="7">
        <v>2.5000000000000001E-2</v>
      </c>
      <c r="H13" s="3">
        <f ca="1">_xll.meMathNormalDistributionStandardInverse(G13)</f>
        <v>-1.959963984540054</v>
      </c>
      <c r="I13" s="3"/>
      <c r="J13" s="9">
        <f t="shared" si="1"/>
        <v>-1.9599639845400538</v>
      </c>
      <c r="K13" s="17">
        <f t="shared" ca="1" si="2"/>
        <v>0</v>
      </c>
      <c r="M13" s="1">
        <v>-9.5000000000000018</v>
      </c>
      <c r="N13" s="3">
        <f ca="1">_xll.meMathNormalDistribution(M13,$N$4,$N$5)</f>
        <v>1.0494515075362456E-21</v>
      </c>
      <c r="O13" s="20">
        <f ca="1">_xll.meMathNormalDistributionPDF(M13,$N$4,$N$5)</f>
        <v>1.0077935394299867E-20</v>
      </c>
      <c r="P13" s="8" t="b">
        <f t="shared" ca="1" si="0"/>
        <v>1</v>
      </c>
      <c r="R13" s="7">
        <v>2.5000000000000001E-2</v>
      </c>
      <c r="S13" s="3">
        <f ca="1">_xll.meMathNormalDistributionInverse(R13,$S$4,$S$5)</f>
        <v>-1.959963984540054</v>
      </c>
      <c r="T13" s="12" t="b">
        <f t="shared" ca="1" si="3"/>
        <v>1</v>
      </c>
    </row>
    <row r="14" spans="2:20" x14ac:dyDescent="0.25">
      <c r="B14" s="1">
        <v>-9.4000000000000021</v>
      </c>
      <c r="C14" s="3">
        <f ca="1">_xll.meMathNormalDistributionStandard(B14)</f>
        <v>2.7281535713460688E-21</v>
      </c>
      <c r="D14" s="20">
        <f ca="1">_xll.meMathNormalDistributionPDF(B14)</f>
        <v>2.5928647011003341E-20</v>
      </c>
      <c r="G14" s="7">
        <v>3.0000000000000002E-2</v>
      </c>
      <c r="H14" s="3">
        <f ca="1">_xll.meMathNormalDistributionStandardInverse(G14)</f>
        <v>-1.8807936081512509</v>
      </c>
      <c r="I14" s="3"/>
      <c r="J14" s="9">
        <f t="shared" si="1"/>
        <v>-1.8807936081512509</v>
      </c>
      <c r="K14" s="17">
        <f t="shared" ca="1" si="2"/>
        <v>0</v>
      </c>
      <c r="M14" s="1">
        <v>-9.4000000000000021</v>
      </c>
      <c r="N14" s="3">
        <f ca="1">_xll.meMathNormalDistribution(M14,$N$4,$N$5)</f>
        <v>2.7281535713460688E-21</v>
      </c>
      <c r="O14" s="20">
        <f ca="1">_xll.meMathNormalDistributionPDF(M14,$N$4,$N$5)</f>
        <v>2.5928647011003341E-20</v>
      </c>
      <c r="P14" s="8" t="b">
        <f t="shared" ca="1" si="0"/>
        <v>1</v>
      </c>
      <c r="R14" s="7">
        <v>3.0000000000000002E-2</v>
      </c>
      <c r="S14" s="3">
        <f ca="1">_xll.meMathNormalDistributionInverse(R14,$S$4,$S$5)</f>
        <v>-1.8807936081512509</v>
      </c>
      <c r="T14" s="12" t="b">
        <f t="shared" ca="1" si="3"/>
        <v>1</v>
      </c>
    </row>
    <row r="15" spans="2:20" x14ac:dyDescent="0.25">
      <c r="B15" s="1">
        <v>-9.3000000000000025</v>
      </c>
      <c r="C15" s="3">
        <f ca="1">_xll.meMathNormalDistributionStandard(B15)</f>
        <v>7.02228424044149E-21</v>
      </c>
      <c r="D15" s="20">
        <f ca="1">_xll.meMathNormalDistributionPDF(B15)</f>
        <v>6.6045798607391687E-20</v>
      </c>
      <c r="G15" s="7">
        <v>3.5000000000000003E-2</v>
      </c>
      <c r="H15" s="3">
        <f ca="1">_xll.meMathNormalDistributionStandardInverse(G15)</f>
        <v>-1.8119106729525978</v>
      </c>
      <c r="I15" s="3"/>
      <c r="J15" s="9">
        <f t="shared" si="1"/>
        <v>-1.8119106729525978</v>
      </c>
      <c r="K15" s="17">
        <f t="shared" ca="1" si="2"/>
        <v>0</v>
      </c>
      <c r="M15" s="1">
        <v>-9.3000000000000025</v>
      </c>
      <c r="N15" s="3">
        <f ca="1">_xll.meMathNormalDistribution(M15,$N$4,$N$5)</f>
        <v>7.02228424044149E-21</v>
      </c>
      <c r="O15" s="20">
        <f ca="1">_xll.meMathNormalDistributionPDF(M15,$N$4,$N$5)</f>
        <v>6.6045798607391687E-20</v>
      </c>
      <c r="P15" s="8" t="b">
        <f t="shared" ca="1" si="0"/>
        <v>1</v>
      </c>
      <c r="R15" s="7">
        <v>3.5000000000000003E-2</v>
      </c>
      <c r="S15" s="3">
        <f ca="1">_xll.meMathNormalDistributionInverse(R15,$S$4,$S$5)</f>
        <v>-1.8119106729525978</v>
      </c>
      <c r="T15" s="12" t="b">
        <f t="shared" ca="1" si="3"/>
        <v>1</v>
      </c>
    </row>
    <row r="16" spans="2:20" x14ac:dyDescent="0.25">
      <c r="B16" s="1">
        <v>-9.2000000000000028</v>
      </c>
      <c r="C16" s="3">
        <f ca="1">_xll.meMathNormalDistributionStandard(B16)</f>
        <v>1.789748812013989E-20</v>
      </c>
      <c r="D16" s="20">
        <f ca="1">_xll.meMathNormalDistributionPDF(B16)</f>
        <v>1.6655880323798698E-19</v>
      </c>
      <c r="G16" s="7">
        <v>0.04</v>
      </c>
      <c r="H16" s="3">
        <f ca="1">_xll.meMathNormalDistributionStandardInverse(G16)</f>
        <v>-1.7506860712521699</v>
      </c>
      <c r="I16" s="3"/>
      <c r="J16" s="9">
        <f t="shared" si="1"/>
        <v>-1.7506860712521695</v>
      </c>
      <c r="K16" s="17">
        <f t="shared" ca="1" si="2"/>
        <v>0</v>
      </c>
      <c r="M16" s="1">
        <v>-9.2000000000000028</v>
      </c>
      <c r="N16" s="3">
        <f ca="1">_xll.meMathNormalDistribution(M16,$N$4,$N$5)</f>
        <v>1.789748812013989E-20</v>
      </c>
      <c r="O16" s="20">
        <f ca="1">_xll.meMathNormalDistributionPDF(M16,$N$4,$N$5)</f>
        <v>1.6655880323798698E-19</v>
      </c>
      <c r="P16" s="8" t="b">
        <f t="shared" ca="1" si="0"/>
        <v>1</v>
      </c>
      <c r="R16" s="7">
        <v>0.04</v>
      </c>
      <c r="S16" s="3">
        <f ca="1">_xll.meMathNormalDistributionInverse(R16,$S$4,$S$5)</f>
        <v>-1.7506860712521699</v>
      </c>
      <c r="T16" s="12" t="b">
        <f t="shared" ca="1" si="3"/>
        <v>1</v>
      </c>
    </row>
    <row r="17" spans="2:20" x14ac:dyDescent="0.25">
      <c r="B17" s="1">
        <v>-9.1000000000000032</v>
      </c>
      <c r="C17" s="3">
        <f ca="1">_xll.meMathNormalDistributionStandard(B17)</f>
        <v>4.5165914914353079E-20</v>
      </c>
      <c r="D17" s="20">
        <f ca="1">_xll.meMathNormalDistributionPDF(B17)</f>
        <v>4.1585989791150129E-19</v>
      </c>
      <c r="G17" s="7">
        <v>4.4999999999999998E-2</v>
      </c>
      <c r="H17" s="3">
        <f ca="1">_xll.meMathNormalDistributionStandardInverse(G17)</f>
        <v>-1.6953977102721365</v>
      </c>
      <c r="I17" s="3"/>
      <c r="J17" s="9">
        <f t="shared" si="1"/>
        <v>-1.6953977102721358</v>
      </c>
      <c r="K17" s="17">
        <f t="shared" ca="1" si="2"/>
        <v>0</v>
      </c>
      <c r="M17" s="1">
        <v>-9.1000000000000032</v>
      </c>
      <c r="N17" s="3">
        <f ca="1">_xll.meMathNormalDistribution(M17,$N$4,$N$5)</f>
        <v>4.5165914914353079E-20</v>
      </c>
      <c r="O17" s="20">
        <f ca="1">_xll.meMathNormalDistributionPDF(M17,$N$4,$N$5)</f>
        <v>4.1585989791150129E-19</v>
      </c>
      <c r="P17" s="8" t="b">
        <f t="shared" ca="1" si="0"/>
        <v>1</v>
      </c>
      <c r="R17" s="7">
        <v>4.4999999999999998E-2</v>
      </c>
      <c r="S17" s="3">
        <f ca="1">_xll.meMathNormalDistributionInverse(R17,$S$4,$S$5)</f>
        <v>-1.6953977102721365</v>
      </c>
      <c r="T17" s="12" t="b">
        <f t="shared" ca="1" si="3"/>
        <v>1</v>
      </c>
    </row>
    <row r="18" spans="2:20" x14ac:dyDescent="0.25">
      <c r="B18" s="1">
        <v>-9.0000000000000036</v>
      </c>
      <c r="C18" s="3">
        <f ca="1">_xll.meMathNormalDistributionStandard(B18)</f>
        <v>1.1285884059538003E-19</v>
      </c>
      <c r="D18" s="20">
        <f ca="1">_xll.meMathNormalDistributionPDF(B18)</f>
        <v>1.0279773571668551E-18</v>
      </c>
      <c r="G18" s="7">
        <v>4.9999999999999996E-2</v>
      </c>
      <c r="H18" s="3">
        <f ca="1">_xll.meMathNormalDistributionStandardInverse(G18)</f>
        <v>-1.6448536269514729</v>
      </c>
      <c r="I18" s="3"/>
      <c r="J18" s="9">
        <f t="shared" si="1"/>
        <v>-1.6448536269514726</v>
      </c>
      <c r="K18" s="17">
        <f t="shared" ca="1" si="2"/>
        <v>0</v>
      </c>
      <c r="M18" s="1">
        <v>-9.0000000000000036</v>
      </c>
      <c r="N18" s="3">
        <f ca="1">_xll.meMathNormalDistribution(M18,$N$4,$N$5)</f>
        <v>1.1285884059538003E-19</v>
      </c>
      <c r="O18" s="20">
        <f ca="1">_xll.meMathNormalDistributionPDF(M18,$N$4,$N$5)</f>
        <v>1.0279773571668551E-18</v>
      </c>
      <c r="P18" s="8" t="b">
        <f t="shared" ca="1" si="0"/>
        <v>1</v>
      </c>
      <c r="R18" s="7">
        <v>4.9999999999999996E-2</v>
      </c>
      <c r="S18" s="3">
        <f ca="1">_xll.meMathNormalDistributionInverse(R18,$S$4,$S$5)</f>
        <v>-1.6448536269514729</v>
      </c>
      <c r="T18" s="12" t="b">
        <f t="shared" ca="1" si="3"/>
        <v>1</v>
      </c>
    </row>
    <row r="19" spans="2:20" x14ac:dyDescent="0.25">
      <c r="B19" s="1">
        <v>-8.9000000000000039</v>
      </c>
      <c r="C19" s="3">
        <f ca="1">_xll.meMathNormalDistributionStandard(B19)</f>
        <v>2.7923343749395636E-19</v>
      </c>
      <c r="D19" s="20">
        <f ca="1">_xll.meMathNormalDistributionPDF(B19)</f>
        <v>2.5158057769513331E-18</v>
      </c>
      <c r="G19" s="7">
        <v>5.4999999999999993E-2</v>
      </c>
      <c r="H19" s="3">
        <f ca="1">_xll.meMathNormalDistributionStandardInverse(G19)</f>
        <v>-1.5981931399228175</v>
      </c>
      <c r="I19" s="3"/>
      <c r="J19" s="9">
        <f t="shared" si="1"/>
        <v>-1.5981931399228173</v>
      </c>
      <c r="K19" s="17">
        <f t="shared" ca="1" si="2"/>
        <v>0</v>
      </c>
      <c r="M19" s="1">
        <v>-8.9000000000000039</v>
      </c>
      <c r="N19" s="3">
        <f ca="1">_xll.meMathNormalDistribution(M19,$N$4,$N$5)</f>
        <v>2.7923343749395636E-19</v>
      </c>
      <c r="O19" s="20">
        <f ca="1">_xll.meMathNormalDistributionPDF(M19,$N$4,$N$5)</f>
        <v>2.5158057769513331E-18</v>
      </c>
      <c r="P19" s="8" t="b">
        <f t="shared" ca="1" si="0"/>
        <v>1</v>
      </c>
      <c r="R19" s="7">
        <v>5.4999999999999993E-2</v>
      </c>
      <c r="S19" s="3">
        <f ca="1">_xll.meMathNormalDistributionInverse(R19,$S$4,$S$5)</f>
        <v>-1.5981931399228175</v>
      </c>
      <c r="T19" s="12" t="b">
        <f t="shared" ca="1" si="3"/>
        <v>1</v>
      </c>
    </row>
    <row r="20" spans="2:20" x14ac:dyDescent="0.25">
      <c r="B20" s="1">
        <v>-8.8000000000000043</v>
      </c>
      <c r="C20" s="3">
        <f ca="1">_xll.meMathNormalDistributionStandard(B20)</f>
        <v>6.8408076859353507E-19</v>
      </c>
      <c r="D20" s="20">
        <f ca="1">_xll.meMathNormalDistributionPDF(B20)</f>
        <v>6.0957581295622447E-18</v>
      </c>
      <c r="G20" s="7">
        <v>5.9999999999999991E-2</v>
      </c>
      <c r="H20" s="3">
        <f ca="1">_xll.meMathNormalDistributionStandardInverse(G20)</f>
        <v>-1.5547735945968537</v>
      </c>
      <c r="I20" s="3"/>
      <c r="J20" s="9">
        <f t="shared" si="1"/>
        <v>-1.554773594596853</v>
      </c>
      <c r="K20" s="17">
        <f t="shared" ca="1" si="2"/>
        <v>0</v>
      </c>
      <c r="M20" s="1">
        <v>-8.8000000000000043</v>
      </c>
      <c r="N20" s="3">
        <f ca="1">_xll.meMathNormalDistribution(M20,$N$4,$N$5)</f>
        <v>6.8408076859353507E-19</v>
      </c>
      <c r="O20" s="20">
        <f ca="1">_xll.meMathNormalDistributionPDF(M20,$N$4,$N$5)</f>
        <v>6.0957581295622447E-18</v>
      </c>
      <c r="P20" s="8" t="b">
        <f t="shared" ca="1" si="0"/>
        <v>1</v>
      </c>
      <c r="R20" s="7">
        <v>5.9999999999999991E-2</v>
      </c>
      <c r="S20" s="3">
        <f ca="1">_xll.meMathNormalDistributionInverse(R20,$S$4,$S$5)</f>
        <v>-1.5547735945968537</v>
      </c>
      <c r="T20" s="12" t="b">
        <f t="shared" ca="1" si="3"/>
        <v>1</v>
      </c>
    </row>
    <row r="21" spans="2:20" x14ac:dyDescent="0.25">
      <c r="B21" s="1">
        <v>-8.7000000000000046</v>
      </c>
      <c r="C21" s="3">
        <f ca="1">_xll.meMathNormalDistributionStandard(B21)</f>
        <v>1.6594208699647043E-18</v>
      </c>
      <c r="D21" s="20">
        <f ca="1">_xll.meMathNormalDistributionPDF(B21)</f>
        <v>1.4622963575005855E-17</v>
      </c>
      <c r="G21" s="7">
        <v>6.4999999999999988E-2</v>
      </c>
      <c r="H21" s="3">
        <f ca="1">_xll.meMathNormalDistributionStandardInverse(G21)</f>
        <v>-1.5141018876192838</v>
      </c>
      <c r="I21" s="3"/>
      <c r="J21" s="9">
        <f t="shared" si="1"/>
        <v>-1.5141018876192833</v>
      </c>
      <c r="K21" s="17">
        <f t="shared" ca="1" si="2"/>
        <v>0</v>
      </c>
      <c r="M21" s="1">
        <v>-8.7000000000000046</v>
      </c>
      <c r="N21" s="3">
        <f ca="1">_xll.meMathNormalDistribution(M21,$N$4,$N$5)</f>
        <v>1.6594208699647043E-18</v>
      </c>
      <c r="O21" s="20">
        <f ca="1">_xll.meMathNormalDistributionPDF(M21,$N$4,$N$5)</f>
        <v>1.4622963575005855E-17</v>
      </c>
      <c r="P21" s="8" t="b">
        <f t="shared" ca="1" si="0"/>
        <v>1</v>
      </c>
      <c r="R21" s="7">
        <v>6.4999999999999988E-2</v>
      </c>
      <c r="S21" s="3">
        <f ca="1">_xll.meMathNormalDistributionInverse(R21,$S$4,$S$5)</f>
        <v>-1.5141018876192838</v>
      </c>
      <c r="T21" s="12" t="b">
        <f t="shared" ca="1" si="3"/>
        <v>1</v>
      </c>
    </row>
    <row r="22" spans="2:20" x14ac:dyDescent="0.25">
      <c r="B22" s="1">
        <v>-8.600000000000005</v>
      </c>
      <c r="C22" s="3">
        <f ca="1">_xll.meMathNormalDistributionStandard(B22)</f>
        <v>3.9858049628480093E-18</v>
      </c>
      <c r="D22" s="20">
        <f ca="1">_xll.meMathNormalDistributionPDF(B22)</f>
        <v>3.4729627485660597E-17</v>
      </c>
      <c r="G22" s="7">
        <v>6.9999999999999993E-2</v>
      </c>
      <c r="H22" s="3">
        <f ca="1">_xll.meMathNormalDistributionStandardInverse(G22)</f>
        <v>-1.4757910281791708</v>
      </c>
      <c r="I22" s="3"/>
      <c r="J22" s="9">
        <f t="shared" si="1"/>
        <v>-1.4757910281791706</v>
      </c>
      <c r="K22" s="17">
        <f t="shared" ca="1" si="2"/>
        <v>0</v>
      </c>
      <c r="M22" s="1">
        <v>-8.600000000000005</v>
      </c>
      <c r="N22" s="3">
        <f ca="1">_xll.meMathNormalDistribution(M22,$N$4,$N$5)</f>
        <v>3.9858049628480093E-18</v>
      </c>
      <c r="O22" s="20">
        <f ca="1">_xll.meMathNormalDistributionPDF(M22,$N$4,$N$5)</f>
        <v>3.4729627485660597E-17</v>
      </c>
      <c r="P22" s="8" t="b">
        <f t="shared" ca="1" si="0"/>
        <v>1</v>
      </c>
      <c r="R22" s="7">
        <v>6.9999999999999993E-2</v>
      </c>
      <c r="S22" s="3">
        <f ca="1">_xll.meMathNormalDistributionInverse(R22,$S$4,$S$5)</f>
        <v>-1.4757910281791708</v>
      </c>
      <c r="T22" s="12" t="b">
        <f t="shared" ca="1" si="3"/>
        <v>1</v>
      </c>
    </row>
    <row r="23" spans="2:20" x14ac:dyDescent="0.25">
      <c r="B23" s="1">
        <v>-8.5000000000000053</v>
      </c>
      <c r="C23" s="3">
        <f ca="1">_xll.meMathNormalDistributionStandard(B23)</f>
        <v>9.4795348222029094E-18</v>
      </c>
      <c r="D23" s="20">
        <f ca="1">_xll.meMathNormalDistributionPDF(B23)</f>
        <v>8.1662356316692026E-17</v>
      </c>
      <c r="G23" s="7">
        <v>7.4999999999999997E-2</v>
      </c>
      <c r="H23" s="3">
        <f ca="1">_xll.meMathNormalDistributionStandardInverse(G23)</f>
        <v>-1.4395314709384559</v>
      </c>
      <c r="I23" s="3"/>
      <c r="J23" s="9">
        <f t="shared" si="1"/>
        <v>-1.4395314709384572</v>
      </c>
      <c r="K23" s="17">
        <f t="shared" ca="1" si="2"/>
        <v>0</v>
      </c>
      <c r="M23" s="1">
        <v>-8.5000000000000053</v>
      </c>
      <c r="N23" s="3">
        <f ca="1">_xll.meMathNormalDistribution(M23,$N$4,$N$5)</f>
        <v>9.4795348222029094E-18</v>
      </c>
      <c r="O23" s="20">
        <f ca="1">_xll.meMathNormalDistributionPDF(M23,$N$4,$N$5)</f>
        <v>8.1662356316692026E-17</v>
      </c>
      <c r="P23" s="8" t="b">
        <f t="shared" ca="1" si="0"/>
        <v>1</v>
      </c>
      <c r="R23" s="7">
        <v>7.4999999999999997E-2</v>
      </c>
      <c r="S23" s="3">
        <f ca="1">_xll.meMathNormalDistributionInverse(R23,$S$4,$S$5)</f>
        <v>-1.4395314709384559</v>
      </c>
      <c r="T23" s="12" t="b">
        <f t="shared" ca="1" si="3"/>
        <v>1</v>
      </c>
    </row>
    <row r="24" spans="2:20" x14ac:dyDescent="0.25">
      <c r="B24" s="1">
        <v>-8.4000000000000057</v>
      </c>
      <c r="C24" s="3">
        <f ca="1">_xll.meMathNormalDistributionStandard(B24)</f>
        <v>2.2323931972879352E-17</v>
      </c>
      <c r="D24" s="20">
        <f ca="1">_xll.meMathNormalDistributionPDF(B24)</f>
        <v>1.9010815379078693E-16</v>
      </c>
      <c r="G24" s="7">
        <v>0.08</v>
      </c>
      <c r="H24" s="3">
        <f ca="1">_xll.meMathNormalDistributionStandardInverse(G24)</f>
        <v>-1.4050715603096324</v>
      </c>
      <c r="I24" s="3"/>
      <c r="J24" s="9">
        <f t="shared" si="1"/>
        <v>-1.4050715603096353</v>
      </c>
      <c r="K24" s="17">
        <f t="shared" ca="1" si="2"/>
        <v>2.886579864025407E-15</v>
      </c>
      <c r="M24" s="1">
        <v>-8.4000000000000057</v>
      </c>
      <c r="N24" s="3">
        <f ca="1">_xll.meMathNormalDistribution(M24,$N$4,$N$5)</f>
        <v>2.2323931972879352E-17</v>
      </c>
      <c r="O24" s="20">
        <f ca="1">_xll.meMathNormalDistributionPDF(M24,$N$4,$N$5)</f>
        <v>1.9010815379078693E-16</v>
      </c>
      <c r="P24" s="8" t="b">
        <f t="shared" ca="1" si="0"/>
        <v>1</v>
      </c>
      <c r="R24" s="7">
        <v>0.08</v>
      </c>
      <c r="S24" s="3">
        <f ca="1">_xll.meMathNormalDistributionInverse(R24,$S$4,$S$5)</f>
        <v>-1.4050715603096324</v>
      </c>
      <c r="T24" s="12" t="b">
        <f t="shared" ca="1" si="3"/>
        <v>1</v>
      </c>
    </row>
    <row r="25" spans="2:20" x14ac:dyDescent="0.25">
      <c r="B25" s="1">
        <v>-8.300000000000006</v>
      </c>
      <c r="C25" s="3">
        <f ca="1">_xll.meMathNormalDistributionStandard(B25)</f>
        <v>5.2055697448900222E-17</v>
      </c>
      <c r="D25" s="20">
        <f ca="1">_xll.meMathNormalDistributionPDF(B25)</f>
        <v>4.3816394355091402E-16</v>
      </c>
      <c r="G25" s="7">
        <v>8.5000000000000006E-2</v>
      </c>
      <c r="H25" s="3">
        <f ca="1">_xll.meMathNormalDistributionStandardInverse(G25)</f>
        <v>-1.3722038089987258</v>
      </c>
      <c r="I25" s="3"/>
      <c r="J25" s="9">
        <f t="shared" si="1"/>
        <v>-1.3722038089987272</v>
      </c>
      <c r="K25" s="17">
        <f t="shared" ca="1" si="2"/>
        <v>0</v>
      </c>
      <c r="M25" s="1">
        <v>-8.300000000000006</v>
      </c>
      <c r="N25" s="3">
        <f ca="1">_xll.meMathNormalDistribution(M25,$N$4,$N$5)</f>
        <v>5.2055697448900222E-17</v>
      </c>
      <c r="O25" s="20">
        <f ca="1">_xll.meMathNormalDistributionPDF(M25,$N$4,$N$5)</f>
        <v>4.3816394355091402E-16</v>
      </c>
      <c r="P25" s="8" t="b">
        <f t="shared" ca="1" si="0"/>
        <v>1</v>
      </c>
      <c r="R25" s="7">
        <v>8.5000000000000006E-2</v>
      </c>
      <c r="S25" s="3">
        <f ca="1">_xll.meMathNormalDistributionInverse(R25,$S$4,$S$5)</f>
        <v>-1.3722038089987258</v>
      </c>
      <c r="T25" s="12" t="b">
        <f t="shared" ca="1" si="3"/>
        <v>1</v>
      </c>
    </row>
    <row r="26" spans="2:20" x14ac:dyDescent="0.25">
      <c r="B26" s="1">
        <v>-8.2000000000000064</v>
      </c>
      <c r="C26" s="3">
        <f ca="1">_xll.meMathNormalDistributionStandard(B26)</f>
        <v>1.2019351542735126E-16</v>
      </c>
      <c r="D26" s="20">
        <f ca="1">_xll.meMathNormalDistributionPDF(B26)</f>
        <v>9.9983787484966114E-16</v>
      </c>
      <c r="G26" s="7">
        <v>9.0000000000000011E-2</v>
      </c>
      <c r="H26" s="3">
        <f ca="1">_xll.meMathNormalDistributionStandardInverse(G26)</f>
        <v>-1.3407550336902163</v>
      </c>
      <c r="I26" s="3"/>
      <c r="J26" s="9">
        <f t="shared" si="1"/>
        <v>-1.3407550336902159</v>
      </c>
      <c r="K26" s="17">
        <f t="shared" ca="1" si="2"/>
        <v>0</v>
      </c>
      <c r="M26" s="1">
        <v>-8.2000000000000064</v>
      </c>
      <c r="N26" s="3">
        <f ca="1">_xll.meMathNormalDistribution(M26,$N$4,$N$5)</f>
        <v>1.2019351542735126E-16</v>
      </c>
      <c r="O26" s="20">
        <f ca="1">_xll.meMathNormalDistributionPDF(M26,$N$4,$N$5)</f>
        <v>9.9983787484966114E-16</v>
      </c>
      <c r="P26" s="8" t="b">
        <f t="shared" ca="1" si="0"/>
        <v>1</v>
      </c>
      <c r="R26" s="7">
        <v>9.0000000000000011E-2</v>
      </c>
      <c r="S26" s="3">
        <f ca="1">_xll.meMathNormalDistributionInverse(R26,$S$4,$S$5)</f>
        <v>-1.3407550336902163</v>
      </c>
      <c r="T26" s="12" t="b">
        <f t="shared" ca="1" si="3"/>
        <v>1</v>
      </c>
    </row>
    <row r="27" spans="2:20" x14ac:dyDescent="0.25">
      <c r="B27" s="1">
        <v>-8.1000000000000068</v>
      </c>
      <c r="C27" s="3">
        <f ca="1">_xll.meMathNormalDistributionStandard(B27)</f>
        <v>2.7479593923980629E-16</v>
      </c>
      <c r="D27" s="20">
        <f ca="1">_xll.meMathNormalDistributionPDF(B27)</f>
        <v>2.2588094031541746E-15</v>
      </c>
      <c r="G27" s="7">
        <v>9.5000000000000015E-2</v>
      </c>
      <c r="H27" s="3">
        <f ca="1">_xll.meMathNormalDistributionStandardInverse(G27)</f>
        <v>-1.3105791121681287</v>
      </c>
      <c r="I27" s="3"/>
      <c r="J27" s="9">
        <f t="shared" si="1"/>
        <v>-1.3105791121681289</v>
      </c>
      <c r="K27" s="17">
        <f t="shared" ca="1" si="2"/>
        <v>0</v>
      </c>
      <c r="M27" s="1">
        <v>-8.1000000000000068</v>
      </c>
      <c r="N27" s="3">
        <f ca="1">_xll.meMathNormalDistribution(M27,$N$4,$N$5)</f>
        <v>2.7479593923980629E-16</v>
      </c>
      <c r="O27" s="20">
        <f ca="1">_xll.meMathNormalDistributionPDF(M27,$N$4,$N$5)</f>
        <v>2.2588094031541746E-15</v>
      </c>
      <c r="P27" s="8" t="b">
        <f t="shared" ca="1" si="0"/>
        <v>1</v>
      </c>
      <c r="R27" s="7">
        <v>9.5000000000000015E-2</v>
      </c>
      <c r="S27" s="3">
        <f ca="1">_xll.meMathNormalDistributionInverse(R27,$S$4,$S$5)</f>
        <v>-1.3105791121681287</v>
      </c>
      <c r="T27" s="12" t="b">
        <f t="shared" ca="1" si="3"/>
        <v>1</v>
      </c>
    </row>
    <row r="28" spans="2:20" x14ac:dyDescent="0.25">
      <c r="B28" s="1">
        <v>-8.0000000000000071</v>
      </c>
      <c r="C28" s="3">
        <f ca="1">_xll.meMathNormalDistributionStandard(B28)</f>
        <v>6.2209605742714259E-16</v>
      </c>
      <c r="D28" s="20">
        <f ca="1">_xll.meMathNormalDistributionPDF(B28)</f>
        <v>5.0522710835366056E-15</v>
      </c>
      <c r="G28" s="7">
        <v>0.10000000000000002</v>
      </c>
      <c r="H28" s="3">
        <f ca="1">_xll.meMathNormalDistributionStandardInverse(G28)</f>
        <v>-1.2815515655446004</v>
      </c>
      <c r="I28" s="3"/>
      <c r="J28" s="9">
        <f t="shared" si="1"/>
        <v>-1.2815515655446008</v>
      </c>
      <c r="K28" s="17">
        <f t="shared" ca="1" si="2"/>
        <v>0</v>
      </c>
      <c r="M28" s="1">
        <v>-8.0000000000000071</v>
      </c>
      <c r="N28" s="3">
        <f ca="1">_xll.meMathNormalDistribution(M28,$N$4,$N$5)</f>
        <v>6.2209605742714259E-16</v>
      </c>
      <c r="O28" s="20">
        <f ca="1">_xll.meMathNormalDistributionPDF(M28,$N$4,$N$5)</f>
        <v>5.0522710835366056E-15</v>
      </c>
      <c r="P28" s="8" t="b">
        <f t="shared" ca="1" si="0"/>
        <v>1</v>
      </c>
      <c r="R28" s="7">
        <v>0.10000000000000002</v>
      </c>
      <c r="S28" s="3">
        <f ca="1">_xll.meMathNormalDistributionInverse(R28,$S$4,$S$5)</f>
        <v>-1.2815515655446004</v>
      </c>
      <c r="T28" s="12" t="b">
        <f t="shared" ca="1" si="3"/>
        <v>1</v>
      </c>
    </row>
    <row r="29" spans="2:20" x14ac:dyDescent="0.25">
      <c r="B29" s="1">
        <v>-7.9000000000000075</v>
      </c>
      <c r="C29" s="3">
        <f ca="1">_xll.meMathNormalDistributionStandard(B29)</f>
        <v>1.3945171466591853E-15</v>
      </c>
      <c r="D29" s="20">
        <f ca="1">_xll.meMathNormalDistributionPDF(B29)</f>
        <v>1.1187956214351181E-14</v>
      </c>
      <c r="G29" s="7">
        <v>0.10500000000000002</v>
      </c>
      <c r="H29" s="3">
        <f ca="1">_xll.meMathNormalDistributionStandardInverse(G29)</f>
        <v>-1.2535654384704507</v>
      </c>
      <c r="I29" s="3"/>
      <c r="J29" s="9">
        <f t="shared" si="1"/>
        <v>-1.2535654384704511</v>
      </c>
      <c r="K29" s="17">
        <f t="shared" ca="1" si="2"/>
        <v>0</v>
      </c>
      <c r="M29" s="1">
        <v>-7.9000000000000075</v>
      </c>
      <c r="N29" s="3">
        <f ca="1">_xll.meMathNormalDistribution(M29,$N$4,$N$5)</f>
        <v>1.3945171466591853E-15</v>
      </c>
      <c r="O29" s="20">
        <f ca="1">_xll.meMathNormalDistributionPDF(M29,$N$4,$N$5)</f>
        <v>1.1187956214351181E-14</v>
      </c>
      <c r="P29" s="8" t="b">
        <f t="shared" ca="1" si="0"/>
        <v>1</v>
      </c>
      <c r="R29" s="7">
        <v>0.10500000000000002</v>
      </c>
      <c r="S29" s="3">
        <f ca="1">_xll.meMathNormalDistributionInverse(R29,$S$4,$S$5)</f>
        <v>-1.2535654384704507</v>
      </c>
      <c r="T29" s="12" t="b">
        <f t="shared" ca="1" si="3"/>
        <v>1</v>
      </c>
    </row>
    <row r="30" spans="2:20" x14ac:dyDescent="0.25">
      <c r="B30" s="1">
        <v>-7.8000000000000078</v>
      </c>
      <c r="C30" s="3">
        <f ca="1">_xll.meMathNormalDistributionStandard(B30)</f>
        <v>3.0953587719585003E-15</v>
      </c>
      <c r="D30" s="20">
        <f ca="1">_xll.meMathNormalDistributionPDF(B30)</f>
        <v>2.4528552856962759E-14</v>
      </c>
      <c r="G30" s="7">
        <v>0.11000000000000003</v>
      </c>
      <c r="H30" s="3">
        <f ca="1">_xll.meMathNormalDistributionStandardInverse(G30)</f>
        <v>-1.2265281200366098</v>
      </c>
      <c r="I30" s="3"/>
      <c r="J30" s="9">
        <f t="shared" si="1"/>
        <v>-1.2265281200366096</v>
      </c>
      <c r="K30" s="17">
        <f t="shared" ca="1" si="2"/>
        <v>0</v>
      </c>
      <c r="M30" s="1">
        <v>-7.8000000000000078</v>
      </c>
      <c r="N30" s="3">
        <f ca="1">_xll.meMathNormalDistribution(M30,$N$4,$N$5)</f>
        <v>3.0953587719585003E-15</v>
      </c>
      <c r="O30" s="20">
        <f ca="1">_xll.meMathNormalDistributionPDF(M30,$N$4,$N$5)</f>
        <v>2.4528552856962759E-14</v>
      </c>
      <c r="P30" s="8" t="b">
        <f t="shared" ca="1" si="0"/>
        <v>1</v>
      </c>
      <c r="R30" s="7">
        <v>0.11000000000000003</v>
      </c>
      <c r="S30" s="3">
        <f ca="1">_xll.meMathNormalDistributionInverse(R30,$S$4,$S$5)</f>
        <v>-1.2265281200366098</v>
      </c>
      <c r="T30" s="12" t="b">
        <f t="shared" ca="1" si="3"/>
        <v>1</v>
      </c>
    </row>
    <row r="31" spans="2:20" x14ac:dyDescent="0.25">
      <c r="B31" s="1">
        <v>-7.7000000000000082</v>
      </c>
      <c r="C31" s="3">
        <f ca="1">_xll.meMathNormalDistributionStandard(B31)</f>
        <v>6.8033115407735328E-15</v>
      </c>
      <c r="D31" s="20">
        <f ca="1">_xll.meMathNormalDistributionPDF(B31)</f>
        <v>5.3241483722526217E-14</v>
      </c>
      <c r="G31" s="7">
        <v>0.11500000000000003</v>
      </c>
      <c r="H31" s="3">
        <f ca="1">_xll.meMathNormalDistributionStandardInverse(G31)</f>
        <v>-1.2003588580308588</v>
      </c>
      <c r="I31" s="3"/>
      <c r="J31" s="9">
        <f t="shared" si="1"/>
        <v>-1.2003588580308595</v>
      </c>
      <c r="K31" s="17">
        <f t="shared" ca="1" si="2"/>
        <v>0</v>
      </c>
      <c r="M31" s="1">
        <v>-7.7000000000000082</v>
      </c>
      <c r="N31" s="3">
        <f ca="1">_xll.meMathNormalDistribution(M31,$N$4,$N$5)</f>
        <v>6.8033115407735328E-15</v>
      </c>
      <c r="O31" s="20">
        <f ca="1">_xll.meMathNormalDistributionPDF(M31,$N$4,$N$5)</f>
        <v>5.3241483722526217E-14</v>
      </c>
      <c r="P31" s="8" t="b">
        <f t="shared" ca="1" si="0"/>
        <v>1</v>
      </c>
      <c r="R31" s="7">
        <v>0.11500000000000003</v>
      </c>
      <c r="S31" s="3">
        <f ca="1">_xll.meMathNormalDistributionInverse(R31,$S$4,$S$5)</f>
        <v>-1.2003588580308588</v>
      </c>
      <c r="T31" s="12" t="b">
        <f t="shared" ca="1" si="3"/>
        <v>1</v>
      </c>
    </row>
    <row r="32" spans="2:20" x14ac:dyDescent="0.25">
      <c r="B32" s="1">
        <v>-7.6000000000000085</v>
      </c>
      <c r="C32" s="3">
        <f ca="1">_xll.meMathNormalDistributionStandard(B32)</f>
        <v>1.480653749004705E-14</v>
      </c>
      <c r="D32" s="20">
        <f ca="1">_xll.meMathNormalDistributionPDF(B32)</f>
        <v>1.1441564901800597E-13</v>
      </c>
      <c r="G32" s="7">
        <v>0.12000000000000004</v>
      </c>
      <c r="H32" s="3">
        <f ca="1">_xll.meMathNormalDistributionStandardInverse(G32)</f>
        <v>-1.1749867920660897</v>
      </c>
      <c r="I32" s="3"/>
      <c r="J32" s="9">
        <f t="shared" si="1"/>
        <v>-1.1749867920660897</v>
      </c>
      <c r="K32" s="17">
        <f t="shared" ca="1" si="2"/>
        <v>0</v>
      </c>
      <c r="M32" s="1">
        <v>-7.6000000000000085</v>
      </c>
      <c r="N32" s="3">
        <f ca="1">_xll.meMathNormalDistribution(M32,$N$4,$N$5)</f>
        <v>1.480653749004705E-14</v>
      </c>
      <c r="O32" s="20">
        <f ca="1">_xll.meMathNormalDistributionPDF(M32,$N$4,$N$5)</f>
        <v>1.1441564901800597E-13</v>
      </c>
      <c r="P32" s="8" t="b">
        <f t="shared" ca="1" si="0"/>
        <v>1</v>
      </c>
      <c r="R32" s="7">
        <v>0.12000000000000004</v>
      </c>
      <c r="S32" s="3">
        <f ca="1">_xll.meMathNormalDistributionInverse(R32,$S$4,$S$5)</f>
        <v>-1.1749867920660897</v>
      </c>
      <c r="T32" s="12" t="b">
        <f t="shared" ca="1" si="3"/>
        <v>1</v>
      </c>
    </row>
    <row r="33" spans="2:20" x14ac:dyDescent="0.25">
      <c r="B33" s="1">
        <v>-7.5000000000000089</v>
      </c>
      <c r="C33" s="3">
        <f ca="1">_xll.meMathNormalDistributionStandard(B33)</f>
        <v>3.190891672910678E-14</v>
      </c>
      <c r="D33" s="20">
        <f ca="1">_xll.meMathNormalDistributionPDF(B33)</f>
        <v>2.434320533028846E-13</v>
      </c>
      <c r="G33" s="7">
        <v>0.12500000000000003</v>
      </c>
      <c r="H33" s="3">
        <f ca="1">_xll.meMathNormalDistributionStandardInverse(G33)</f>
        <v>-1.1503493803760081</v>
      </c>
      <c r="I33" s="3"/>
      <c r="J33" s="9">
        <f t="shared" si="1"/>
        <v>-1.1503493803760083</v>
      </c>
      <c r="K33" s="17">
        <f t="shared" ca="1" si="2"/>
        <v>0</v>
      </c>
      <c r="M33" s="1">
        <v>-7.5000000000000089</v>
      </c>
      <c r="N33" s="3">
        <f ca="1">_xll.meMathNormalDistribution(M33,$N$4,$N$5)</f>
        <v>3.190891672910678E-14</v>
      </c>
      <c r="O33" s="20">
        <f ca="1">_xll.meMathNormalDistributionPDF(M33,$N$4,$N$5)</f>
        <v>2.434320533028846E-13</v>
      </c>
      <c r="P33" s="8" t="b">
        <f t="shared" ca="1" si="0"/>
        <v>1</v>
      </c>
      <c r="R33" s="7">
        <v>0.12500000000000003</v>
      </c>
      <c r="S33" s="3">
        <f ca="1">_xll.meMathNormalDistributionInverse(R33,$S$4,$S$5)</f>
        <v>-1.1503493803760081</v>
      </c>
      <c r="T33" s="12" t="b">
        <f t="shared" ca="1" si="3"/>
        <v>1</v>
      </c>
    </row>
    <row r="34" spans="2:20" x14ac:dyDescent="0.25">
      <c r="B34" s="1">
        <v>-7.4000000000000092</v>
      </c>
      <c r="C34" s="3">
        <f ca="1">_xll.meMathNormalDistributionStandard(B34)</f>
        <v>6.8092248906195485E-14</v>
      </c>
      <c r="D34" s="20">
        <f ca="1">_xll.meMathNormalDistributionPDF(B34)</f>
        <v>5.1277536367963166E-13</v>
      </c>
      <c r="G34" s="7">
        <v>0.13000000000000003</v>
      </c>
      <c r="H34" s="3">
        <f ca="1">_xll.meMathNormalDistributionStandardInverse(G34)</f>
        <v>-1.1263911290388005</v>
      </c>
      <c r="I34" s="3"/>
      <c r="J34" s="9">
        <f t="shared" si="1"/>
        <v>-1.1263911290388013</v>
      </c>
      <c r="K34" s="17">
        <f t="shared" ca="1" si="2"/>
        <v>0</v>
      </c>
      <c r="M34" s="1">
        <v>-7.4000000000000092</v>
      </c>
      <c r="N34" s="3">
        <f ca="1">_xll.meMathNormalDistribution(M34,$N$4,$N$5)</f>
        <v>6.8092248906195485E-14</v>
      </c>
      <c r="O34" s="20">
        <f ca="1">_xll.meMathNormalDistributionPDF(M34,$N$4,$N$5)</f>
        <v>5.1277536367963166E-13</v>
      </c>
      <c r="P34" s="8" t="b">
        <f t="shared" ca="1" si="0"/>
        <v>1</v>
      </c>
      <c r="R34" s="7">
        <v>0.13000000000000003</v>
      </c>
      <c r="S34" s="3">
        <f ca="1">_xll.meMathNormalDistributionInverse(R34,$S$4,$S$5)</f>
        <v>-1.1263911290388005</v>
      </c>
      <c r="T34" s="12" t="b">
        <f t="shared" ca="1" si="3"/>
        <v>1</v>
      </c>
    </row>
    <row r="35" spans="2:20" x14ac:dyDescent="0.25">
      <c r="B35" s="1">
        <v>-7.3000000000000096</v>
      </c>
      <c r="C35" s="3">
        <f ca="1">_xll.meMathNormalDistributionStandard(B35)</f>
        <v>1.4388386381574822E-13</v>
      </c>
      <c r="D35" s="20">
        <f ca="1">_xll.meMathNormalDistributionPDF(B35)</f>
        <v>1.0693837871540878E-12</v>
      </c>
      <c r="G35" s="7">
        <v>0.13500000000000004</v>
      </c>
      <c r="H35" s="3">
        <f ca="1">_xll.meMathNormalDistributionStandardInverse(G35)</f>
        <v>-1.1030625561995975</v>
      </c>
      <c r="I35" s="3"/>
      <c r="J35" s="9">
        <f t="shared" si="1"/>
        <v>-1.1030625561995977</v>
      </c>
      <c r="K35" s="17">
        <f t="shared" ca="1" si="2"/>
        <v>0</v>
      </c>
      <c r="M35" s="1">
        <v>-7.3000000000000096</v>
      </c>
      <c r="N35" s="3">
        <f ca="1">_xll.meMathNormalDistribution(M35,$N$4,$N$5)</f>
        <v>1.4388386381574822E-13</v>
      </c>
      <c r="O35" s="20">
        <f ca="1">_xll.meMathNormalDistributionPDF(M35,$N$4,$N$5)</f>
        <v>1.0693837871540878E-12</v>
      </c>
      <c r="P35" s="8" t="b">
        <f t="shared" ca="1" si="0"/>
        <v>1</v>
      </c>
      <c r="R35" s="7">
        <v>0.13500000000000004</v>
      </c>
      <c r="S35" s="3">
        <f ca="1">_xll.meMathNormalDistributionInverse(R35,$S$4,$S$5)</f>
        <v>-1.1030625561995975</v>
      </c>
      <c r="T35" s="12" t="b">
        <f t="shared" ca="1" si="3"/>
        <v>1</v>
      </c>
    </row>
    <row r="36" spans="2:20" x14ac:dyDescent="0.25">
      <c r="B36" s="1">
        <v>-7.2000000000000099</v>
      </c>
      <c r="C36" s="3">
        <f ca="1">_xll.meMathNormalDistributionStandard(B36)</f>
        <v>3.0106279811172143E-13</v>
      </c>
      <c r="D36" s="20">
        <f ca="1">_xll.meMathNormalDistributionPDF(B36)</f>
        <v>2.2079899631369825E-12</v>
      </c>
      <c r="G36" s="7">
        <v>0.14000000000000004</v>
      </c>
      <c r="H36" s="3">
        <f ca="1">_xll.meMathNormalDistributionStandardInverse(G36)</f>
        <v>-1.0803193408149558</v>
      </c>
      <c r="I36" s="3"/>
      <c r="J36" s="9">
        <f t="shared" si="1"/>
        <v>-1.0803193408149565</v>
      </c>
      <c r="K36" s="17">
        <f t="shared" ca="1" si="2"/>
        <v>0</v>
      </c>
      <c r="M36" s="1">
        <v>-7.2000000000000099</v>
      </c>
      <c r="N36" s="3">
        <f ca="1">_xll.meMathNormalDistribution(M36,$N$4,$N$5)</f>
        <v>3.0106279811172143E-13</v>
      </c>
      <c r="O36" s="20">
        <f ca="1">_xll.meMathNormalDistributionPDF(M36,$N$4,$N$5)</f>
        <v>2.2079899631369825E-12</v>
      </c>
      <c r="P36" s="8" t="b">
        <f t="shared" ca="1" si="0"/>
        <v>1</v>
      </c>
      <c r="R36" s="7">
        <v>0.14000000000000004</v>
      </c>
      <c r="S36" s="3">
        <f ca="1">_xll.meMathNormalDistributionInverse(R36,$S$4,$S$5)</f>
        <v>-1.0803193408149558</v>
      </c>
      <c r="T36" s="12" t="b">
        <f t="shared" ca="1" si="3"/>
        <v>1</v>
      </c>
    </row>
    <row r="37" spans="2:20" x14ac:dyDescent="0.25">
      <c r="B37" s="1">
        <v>-7.1000000000000103</v>
      </c>
      <c r="C37" s="3">
        <f ca="1">_xll.meMathNormalDistributionStandard(B37)</f>
        <v>6.2378444633311121E-13</v>
      </c>
      <c r="D37" s="20">
        <f ca="1">_xll.meMathNormalDistributionPDF(B37)</f>
        <v>4.5135436772051806E-12</v>
      </c>
      <c r="G37" s="7">
        <v>0.14500000000000005</v>
      </c>
      <c r="H37" s="3">
        <f ca="1">_xll.meMathNormalDistributionStandardInverse(G37)</f>
        <v>-1.0581216176847765</v>
      </c>
      <c r="I37" s="3"/>
      <c r="J37" s="9">
        <f t="shared" si="1"/>
        <v>-1.058121617684777</v>
      </c>
      <c r="K37" s="17">
        <f t="shared" ca="1" si="2"/>
        <v>0</v>
      </c>
      <c r="M37" s="1">
        <v>-7.1000000000000103</v>
      </c>
      <c r="N37" s="3">
        <f ca="1">_xll.meMathNormalDistribution(M37,$N$4,$N$5)</f>
        <v>6.2378444633311121E-13</v>
      </c>
      <c r="O37" s="20">
        <f ca="1">_xll.meMathNormalDistributionPDF(M37,$N$4,$N$5)</f>
        <v>4.5135436772051806E-12</v>
      </c>
      <c r="P37" s="8" t="b">
        <f t="shared" ca="1" si="0"/>
        <v>1</v>
      </c>
      <c r="R37" s="7">
        <v>0.14500000000000005</v>
      </c>
      <c r="S37" s="3">
        <f ca="1">_xll.meMathNormalDistributionInverse(R37,$S$4,$S$5)</f>
        <v>-1.0581216176847765</v>
      </c>
      <c r="T37" s="12" t="b">
        <f t="shared" ca="1" si="3"/>
        <v>1</v>
      </c>
    </row>
    <row r="38" spans="2:20" x14ac:dyDescent="0.25">
      <c r="B38" s="1">
        <v>-7.0000000000000107</v>
      </c>
      <c r="C38" s="3">
        <f ca="1">_xll.meMathNormalDistributionStandard(B38)</f>
        <v>1.2798125438857374E-12</v>
      </c>
      <c r="D38" s="20">
        <f ca="1">_xll.meMathNormalDistributionPDF(B38)</f>
        <v>9.1347204083639119E-12</v>
      </c>
      <c r="G38" s="7">
        <v>0.15000000000000005</v>
      </c>
      <c r="H38" s="3">
        <f ca="1">_xll.meMathNormalDistributionStandardInverse(G38)</f>
        <v>-1.0364333894937894</v>
      </c>
      <c r="I38" s="3"/>
      <c r="J38" s="9">
        <f t="shared" si="1"/>
        <v>-1.0364333894937898</v>
      </c>
      <c r="K38" s="17">
        <f t="shared" ca="1" si="2"/>
        <v>0</v>
      </c>
      <c r="M38" s="1">
        <v>-7.0000000000000107</v>
      </c>
      <c r="N38" s="3">
        <f ca="1">_xll.meMathNormalDistribution(M38,$N$4,$N$5)</f>
        <v>1.2798125438857374E-12</v>
      </c>
      <c r="O38" s="20">
        <f ca="1">_xll.meMathNormalDistributionPDF(M38,$N$4,$N$5)</f>
        <v>9.1347204083639119E-12</v>
      </c>
      <c r="P38" s="8" t="b">
        <f t="shared" ca="1" si="0"/>
        <v>1</v>
      </c>
      <c r="R38" s="7">
        <v>0.15000000000000005</v>
      </c>
      <c r="S38" s="3">
        <f ca="1">_xll.meMathNormalDistributionInverse(R38,$S$4,$S$5)</f>
        <v>-1.0364333894937894</v>
      </c>
      <c r="T38" s="12" t="b">
        <f t="shared" ca="1" si="3"/>
        <v>1</v>
      </c>
    </row>
    <row r="39" spans="2:20" x14ac:dyDescent="0.25">
      <c r="B39" s="1">
        <v>-6.900000000000011</v>
      </c>
      <c r="C39" s="3">
        <f ca="1">_xll.meMathNormalDistributionStandard(B39)</f>
        <v>2.6001269656379755E-12</v>
      </c>
      <c r="D39" s="20">
        <f ca="1">_xll.meMathNormalDistributionPDF(B39)</f>
        <v>1.8303322170154415E-11</v>
      </c>
      <c r="G39" s="7">
        <v>0.15500000000000005</v>
      </c>
      <c r="H39" s="3">
        <f ca="1">_xll.meMathNormalDistributionStandardInverse(G39)</f>
        <v>-1.0152220332170279</v>
      </c>
      <c r="I39" s="3"/>
      <c r="J39" s="9">
        <f t="shared" si="1"/>
        <v>-1.0152220332170301</v>
      </c>
      <c r="K39" s="17">
        <f t="shared" ca="1" si="2"/>
        <v>2.2204460492503131E-15</v>
      </c>
      <c r="M39" s="1">
        <v>-6.900000000000011</v>
      </c>
      <c r="N39" s="3">
        <f ca="1">_xll.meMathNormalDistribution(M39,$N$4,$N$5)</f>
        <v>2.6001269656379755E-12</v>
      </c>
      <c r="O39" s="20">
        <f ca="1">_xll.meMathNormalDistributionPDF(M39,$N$4,$N$5)</f>
        <v>1.8303322170154415E-11</v>
      </c>
      <c r="P39" s="8" t="b">
        <f t="shared" ca="1" si="0"/>
        <v>1</v>
      </c>
      <c r="R39" s="7">
        <v>0.15500000000000005</v>
      </c>
      <c r="S39" s="3">
        <f ca="1">_xll.meMathNormalDistributionInverse(R39,$S$4,$S$5)</f>
        <v>-1.0152220332170279</v>
      </c>
      <c r="T39" s="12" t="b">
        <f t="shared" ca="1" si="3"/>
        <v>1</v>
      </c>
    </row>
    <row r="40" spans="2:20" x14ac:dyDescent="0.25">
      <c r="B40" s="1">
        <v>-6.8000000000000114</v>
      </c>
      <c r="C40" s="3">
        <f ca="1">_xll.meMathNormalDistributionStandard(B40)</f>
        <v>5.2309575441441836E-12</v>
      </c>
      <c r="D40" s="20">
        <f ca="1">_xll.meMathNormalDistributionPDF(B40)</f>
        <v>3.6309615017915174E-11</v>
      </c>
      <c r="G40" s="7">
        <v>0.16000000000000006</v>
      </c>
      <c r="H40" s="3">
        <f ca="1">_xll.meMathNormalDistributionStandardInverse(G40)</f>
        <v>-0.99445788320975292</v>
      </c>
      <c r="I40" s="3"/>
      <c r="J40" s="9">
        <f t="shared" si="1"/>
        <v>-0.9944578832097497</v>
      </c>
      <c r="K40" s="17">
        <f t="shared" ca="1" si="2"/>
        <v>-3.219646771412954E-15</v>
      </c>
      <c r="M40" s="1">
        <v>-6.8000000000000114</v>
      </c>
      <c r="N40" s="3">
        <f ca="1">_xll.meMathNormalDistribution(M40,$N$4,$N$5)</f>
        <v>5.2309575441441836E-12</v>
      </c>
      <c r="O40" s="20">
        <f ca="1">_xll.meMathNormalDistributionPDF(M40,$N$4,$N$5)</f>
        <v>3.6309615017915174E-11</v>
      </c>
      <c r="P40" s="8" t="b">
        <f t="shared" ref="P40:P73" ca="1" si="4">C40=N40</f>
        <v>1</v>
      </c>
      <c r="R40" s="7">
        <v>0.16000000000000006</v>
      </c>
      <c r="S40" s="3">
        <f ca="1">_xll.meMathNormalDistributionInverse(R40,$S$4,$S$5)</f>
        <v>-0.99445788320975292</v>
      </c>
      <c r="T40" s="12" t="b">
        <f t="shared" ca="1" si="3"/>
        <v>1</v>
      </c>
    </row>
    <row r="41" spans="2:20" x14ac:dyDescent="0.25">
      <c r="B41" s="1">
        <v>-6.7000000000000117</v>
      </c>
      <c r="C41" s="3">
        <f ca="1">_xll.meMathNormalDistributionStandard(B41)</f>
        <v>1.042097698796436E-11</v>
      </c>
      <c r="D41" s="20">
        <f ca="1">_xll.meMathNormalDistributionPDF(B41)</f>
        <v>7.1313281239955193E-11</v>
      </c>
      <c r="G41" s="7">
        <v>0.16500000000000006</v>
      </c>
      <c r="H41" s="3">
        <f ca="1">_xll.meMathNormalDistributionStandardInverse(G41)</f>
        <v>-0.97411387705930885</v>
      </c>
      <c r="I41" s="3"/>
      <c r="J41" s="9">
        <f t="shared" ref="J41:J72" si="5">NORMSINV(G41)</f>
        <v>-0.97411387705930974</v>
      </c>
      <c r="K41" s="17">
        <f t="shared" ref="K41:K72" ca="1" si="6">H41-J41</f>
        <v>8.8817841970012523E-16</v>
      </c>
      <c r="M41" s="1">
        <v>-6.7000000000000117</v>
      </c>
      <c r="N41" s="3">
        <f ca="1">_xll.meMathNormalDistribution(M41,$N$4,$N$5)</f>
        <v>1.042097698796436E-11</v>
      </c>
      <c r="O41" s="20">
        <f ca="1">_xll.meMathNormalDistributionPDF(M41,$N$4,$N$5)</f>
        <v>7.1313281239955193E-11</v>
      </c>
      <c r="P41" s="8" t="b">
        <f t="shared" ca="1" si="4"/>
        <v>1</v>
      </c>
      <c r="R41" s="7">
        <v>0.16500000000000006</v>
      </c>
      <c r="S41" s="3">
        <f ca="1">_xll.meMathNormalDistributionInverse(R41,$S$4,$S$5)</f>
        <v>-0.97411387705930885</v>
      </c>
      <c r="T41" s="12" t="b">
        <f t="shared" ca="1" si="3"/>
        <v>1</v>
      </c>
    </row>
    <row r="42" spans="2:20" x14ac:dyDescent="0.25">
      <c r="B42" s="1">
        <v>-6.6000000000000121</v>
      </c>
      <c r="C42" s="3">
        <f ca="1">_xll.meMathNormalDistributionStandard(B42)</f>
        <v>2.0557889093993516E-11</v>
      </c>
      <c r="D42" s="20">
        <f ca="1">_xll.meMathNormalDistributionPDF(B42)</f>
        <v>1.386679994165204E-10</v>
      </c>
      <c r="G42" s="7">
        <v>0.17000000000000007</v>
      </c>
      <c r="H42" s="3">
        <f ca="1">_xll.meMathNormalDistributionStandardInverse(G42)</f>
        <v>-0.95416525314619427</v>
      </c>
      <c r="I42" s="3"/>
      <c r="J42" s="9">
        <f t="shared" si="5"/>
        <v>-0.95416525314619549</v>
      </c>
      <c r="K42" s="17">
        <f t="shared" ca="1" si="6"/>
        <v>1.2212453270876722E-15</v>
      </c>
      <c r="M42" s="1">
        <v>-6.6000000000000121</v>
      </c>
      <c r="N42" s="3">
        <f ca="1">_xll.meMathNormalDistribution(M42,$N$4,$N$5)</f>
        <v>2.0557889093993516E-11</v>
      </c>
      <c r="O42" s="20">
        <f ca="1">_xll.meMathNormalDistributionPDF(M42,$N$4,$N$5)</f>
        <v>1.386679994165204E-10</v>
      </c>
      <c r="P42" s="8" t="b">
        <f t="shared" ca="1" si="4"/>
        <v>1</v>
      </c>
      <c r="R42" s="7">
        <v>0.17000000000000007</v>
      </c>
      <c r="S42" s="3">
        <f ca="1">_xll.meMathNormalDistributionInverse(R42,$S$4,$S$5)</f>
        <v>-0.95416525314619427</v>
      </c>
      <c r="T42" s="12" t="b">
        <f t="shared" ca="1" si="3"/>
        <v>1</v>
      </c>
    </row>
    <row r="43" spans="2:20" x14ac:dyDescent="0.25">
      <c r="B43" s="1">
        <v>-6.5000000000000124</v>
      </c>
      <c r="C43" s="3">
        <f ca="1">_xll.meMathNormalDistributionStandard(B43)</f>
        <v>4.0160005838587824E-11</v>
      </c>
      <c r="D43" s="20">
        <f ca="1">_xll.meMathNormalDistributionPDF(B43)</f>
        <v>2.6695566147626343E-10</v>
      </c>
      <c r="G43" s="7">
        <v>0.17500000000000007</v>
      </c>
      <c r="H43" s="3">
        <f ca="1">_xll.meMathNormalDistributionStandardInverse(G43)</f>
        <v>-0.93458929107347999</v>
      </c>
      <c r="I43" s="3"/>
      <c r="J43" s="9">
        <f t="shared" si="5"/>
        <v>-0.9345892910734801</v>
      </c>
      <c r="K43" s="17">
        <f t="shared" ca="1" si="6"/>
        <v>0</v>
      </c>
      <c r="M43" s="1">
        <v>-6.5000000000000124</v>
      </c>
      <c r="N43" s="3">
        <f ca="1">_xll.meMathNormalDistribution(M43,$N$4,$N$5)</f>
        <v>4.0160005838587824E-11</v>
      </c>
      <c r="O43" s="20">
        <f ca="1">_xll.meMathNormalDistributionPDF(M43,$N$4,$N$5)</f>
        <v>2.6695566147626343E-10</v>
      </c>
      <c r="P43" s="8" t="b">
        <f t="shared" ca="1" si="4"/>
        <v>1</v>
      </c>
      <c r="R43" s="7">
        <v>0.17500000000000007</v>
      </c>
      <c r="S43" s="3">
        <f ca="1">_xll.meMathNormalDistributionInverse(R43,$S$4,$S$5)</f>
        <v>-0.93458929107347999</v>
      </c>
      <c r="T43" s="12" t="b">
        <f t="shared" ca="1" si="3"/>
        <v>1</v>
      </c>
    </row>
    <row r="44" spans="2:20" x14ac:dyDescent="0.25">
      <c r="B44" s="1">
        <v>-6.4000000000000128</v>
      </c>
      <c r="C44" s="3">
        <f ca="1">_xll.meMathNormalDistributionStandard(B44)</f>
        <v>7.7688475817091785E-11</v>
      </c>
      <c r="D44" s="20">
        <f ca="1">_xll.meMathNormalDistributionPDF(B44)</f>
        <v>5.0881402816446408E-10</v>
      </c>
      <c r="G44" s="7">
        <v>0.18000000000000008</v>
      </c>
      <c r="H44" s="3">
        <f ca="1">_xll.meMathNormalDistributionStandardInverse(G44)</f>
        <v>-0.91536508784281378</v>
      </c>
      <c r="I44" s="3"/>
      <c r="J44" s="9">
        <f t="shared" si="5"/>
        <v>-0.91536508784281256</v>
      </c>
      <c r="K44" s="17">
        <f t="shared" ca="1" si="6"/>
        <v>-1.2212453270876722E-15</v>
      </c>
      <c r="M44" s="1">
        <v>-6.4000000000000128</v>
      </c>
      <c r="N44" s="3">
        <f ca="1">_xll.meMathNormalDistribution(M44,$N$4,$N$5)</f>
        <v>7.7688475817091785E-11</v>
      </c>
      <c r="O44" s="20">
        <f ca="1">_xll.meMathNormalDistributionPDF(M44,$N$4,$N$5)</f>
        <v>5.0881402816446408E-10</v>
      </c>
      <c r="P44" s="8" t="b">
        <f t="shared" ca="1" si="4"/>
        <v>1</v>
      </c>
      <c r="R44" s="7">
        <v>0.18000000000000008</v>
      </c>
      <c r="S44" s="3">
        <f ca="1">_xll.meMathNormalDistributionInverse(R44,$S$4,$S$5)</f>
        <v>-0.91536508784281378</v>
      </c>
      <c r="T44" s="12" t="b">
        <f t="shared" ca="1" si="3"/>
        <v>1</v>
      </c>
    </row>
    <row r="45" spans="2:20" x14ac:dyDescent="0.25">
      <c r="B45" s="1">
        <v>-6.3000000000000131</v>
      </c>
      <c r="C45" s="3">
        <f ca="1">_xll.meMathNormalDistributionStandard(B45)</f>
        <v>1.4882282217621826E-10</v>
      </c>
      <c r="D45" s="20">
        <f ca="1">_xll.meMathNormalDistributionPDF(B45)</f>
        <v>9.6014333703115174E-10</v>
      </c>
      <c r="G45" s="7">
        <v>0.18500000000000008</v>
      </c>
      <c r="H45" s="3">
        <f ca="1">_xll.meMathNormalDistributionStandardInverse(G45)</f>
        <v>-0.89647336400191591</v>
      </c>
      <c r="I45" s="3"/>
      <c r="J45" s="9">
        <f t="shared" si="5"/>
        <v>-0.89647336400191591</v>
      </c>
      <c r="K45" s="17">
        <f t="shared" ca="1" si="6"/>
        <v>0</v>
      </c>
      <c r="M45" s="1">
        <v>-6.3000000000000131</v>
      </c>
      <c r="N45" s="3">
        <f ca="1">_xll.meMathNormalDistribution(M45,$N$4,$N$5)</f>
        <v>1.4882282217621826E-10</v>
      </c>
      <c r="O45" s="20">
        <f ca="1">_xll.meMathNormalDistributionPDF(M45,$N$4,$N$5)</f>
        <v>9.6014333703115174E-10</v>
      </c>
      <c r="P45" s="8" t="b">
        <f t="shared" ca="1" si="4"/>
        <v>1</v>
      </c>
      <c r="R45" s="7">
        <v>0.18500000000000008</v>
      </c>
      <c r="S45" s="3">
        <f ca="1">_xll.meMathNormalDistributionInverse(R45,$S$4,$S$5)</f>
        <v>-0.89647336400191591</v>
      </c>
      <c r="T45" s="12" t="b">
        <f t="shared" ca="1" si="3"/>
        <v>1</v>
      </c>
    </row>
    <row r="46" spans="2:20" x14ac:dyDescent="0.25">
      <c r="B46" s="1">
        <v>-6.2000000000000135</v>
      </c>
      <c r="C46" s="3">
        <f ca="1">_xll.meMathNormalDistributionStandard(B46)</f>
        <v>2.8231580370430314E-10</v>
      </c>
      <c r="D46" s="20">
        <f ca="1">_xll.meMathNormalDistributionPDF(B46)</f>
        <v>1.793783907963933E-9</v>
      </c>
      <c r="G46" s="7">
        <v>0.19000000000000009</v>
      </c>
      <c r="H46" s="3">
        <f ca="1">_xll.meMathNormalDistributionStandardInverse(G46)</f>
        <v>-0.87789629505122824</v>
      </c>
      <c r="I46" s="3"/>
      <c r="J46" s="9">
        <f t="shared" si="5"/>
        <v>-0.87789629505122779</v>
      </c>
      <c r="K46" s="17">
        <f t="shared" ca="1" si="6"/>
        <v>0</v>
      </c>
      <c r="M46" s="1">
        <v>-6.2000000000000135</v>
      </c>
      <c r="N46" s="3">
        <f ca="1">_xll.meMathNormalDistribution(M46,$N$4,$N$5)</f>
        <v>2.8231580370430314E-10</v>
      </c>
      <c r="O46" s="20">
        <f ca="1">_xll.meMathNormalDistributionPDF(M46,$N$4,$N$5)</f>
        <v>1.793783907963933E-9</v>
      </c>
      <c r="P46" s="8" t="b">
        <f t="shared" ca="1" si="4"/>
        <v>1</v>
      </c>
      <c r="R46" s="7">
        <v>0.19000000000000009</v>
      </c>
      <c r="S46" s="3">
        <f ca="1">_xll.meMathNormalDistributionInverse(R46,$S$4,$S$5)</f>
        <v>-0.87789629505122824</v>
      </c>
      <c r="T46" s="12" t="b">
        <f t="shared" ca="1" si="3"/>
        <v>1</v>
      </c>
    </row>
    <row r="47" spans="2:20" x14ac:dyDescent="0.25">
      <c r="B47" s="1">
        <v>-6.1000000000000139</v>
      </c>
      <c r="C47" s="3">
        <f ca="1">_xll.meMathNormalDistributionStandard(B47)</f>
        <v>5.3034232629483644E-10</v>
      </c>
      <c r="D47" s="20">
        <f ca="1">_xll.meMathNormalDistributionPDF(B47)</f>
        <v>3.3178842435470104E-9</v>
      </c>
      <c r="G47" s="7">
        <v>0.19500000000000009</v>
      </c>
      <c r="H47" s="3">
        <f ca="1">_xll.meMathNormalDistributionStandardInverse(G47)</f>
        <v>-0.85961736424191115</v>
      </c>
      <c r="I47" s="3"/>
      <c r="J47" s="9">
        <f t="shared" si="5"/>
        <v>-0.85961736424191115</v>
      </c>
      <c r="K47" s="17">
        <f t="shared" ca="1" si="6"/>
        <v>0</v>
      </c>
      <c r="M47" s="1">
        <v>-6.1000000000000139</v>
      </c>
      <c r="N47" s="3">
        <f ca="1">_xll.meMathNormalDistribution(M47,$N$4,$N$5)</f>
        <v>5.3034232629483644E-10</v>
      </c>
      <c r="O47" s="20">
        <f ca="1">_xll.meMathNormalDistributionPDF(M47,$N$4,$N$5)</f>
        <v>3.3178842435470104E-9</v>
      </c>
      <c r="P47" s="8" t="b">
        <f t="shared" ca="1" si="4"/>
        <v>1</v>
      </c>
      <c r="R47" s="7">
        <v>0.19500000000000009</v>
      </c>
      <c r="S47" s="3">
        <f ca="1">_xll.meMathNormalDistributionInverse(R47,$S$4,$S$5)</f>
        <v>-0.85961736424191115</v>
      </c>
      <c r="T47" s="12" t="b">
        <f t="shared" ca="1" si="3"/>
        <v>1</v>
      </c>
    </row>
    <row r="48" spans="2:20" x14ac:dyDescent="0.25">
      <c r="B48" s="1">
        <v>-6.0000000000000142</v>
      </c>
      <c r="C48" s="3">
        <f ca="1">_xll.meMathNormalDistributionStandard(B48)</f>
        <v>9.8658764503761186E-10</v>
      </c>
      <c r="D48" s="20">
        <f ca="1">_xll.meMathNormalDistributionPDF(B48)</f>
        <v>6.0758828498227674E-9</v>
      </c>
      <c r="G48" s="7">
        <v>0.20000000000000009</v>
      </c>
      <c r="H48" s="3">
        <f ca="1">_xll.meMathNormalDistributionStandardInverse(G48)</f>
        <v>-0.84162123357291396</v>
      </c>
      <c r="I48" s="3"/>
      <c r="J48" s="9">
        <f t="shared" si="5"/>
        <v>-0.84162123357291341</v>
      </c>
      <c r="K48" s="17">
        <f t="shared" ca="1" si="6"/>
        <v>0</v>
      </c>
      <c r="M48" s="1">
        <v>-6.0000000000000142</v>
      </c>
      <c r="N48" s="3">
        <f ca="1">_xll.meMathNormalDistribution(M48,$N$4,$N$5)</f>
        <v>9.8658764503761186E-10</v>
      </c>
      <c r="O48" s="20">
        <f ca="1">_xll.meMathNormalDistributionPDF(M48,$N$4,$N$5)</f>
        <v>6.0758828498227674E-9</v>
      </c>
      <c r="P48" s="8" t="b">
        <f t="shared" ca="1" si="4"/>
        <v>1</v>
      </c>
      <c r="R48" s="7">
        <v>0.20000000000000009</v>
      </c>
      <c r="S48" s="3">
        <f ca="1">_xll.meMathNormalDistributionInverse(R48,$S$4,$S$5)</f>
        <v>-0.84162123357291396</v>
      </c>
      <c r="T48" s="12" t="b">
        <f t="shared" ca="1" si="3"/>
        <v>1</v>
      </c>
    </row>
    <row r="49" spans="2:20" x14ac:dyDescent="0.25">
      <c r="B49" s="1">
        <v>-5.9000000000000146</v>
      </c>
      <c r="C49" s="3">
        <f ca="1">_xll.meMathNormalDistributionStandard(B49)</f>
        <v>1.8175078630992715E-9</v>
      </c>
      <c r="D49" s="20">
        <f ca="1">_xll.meMathNormalDistributionPDF(B49)</f>
        <v>1.101576362468137E-8</v>
      </c>
      <c r="G49" s="7">
        <v>0.2050000000000001</v>
      </c>
      <c r="H49" s="3">
        <f ca="1">_xll.meMathNormalDistributionStandardInverse(G49)</f>
        <v>-0.823893630338557</v>
      </c>
      <c r="I49" s="3"/>
      <c r="J49" s="9">
        <f t="shared" si="5"/>
        <v>-0.82389363033855734</v>
      </c>
      <c r="K49" s="17">
        <f t="shared" ca="1" si="6"/>
        <v>0</v>
      </c>
      <c r="M49" s="1">
        <v>-5.9000000000000146</v>
      </c>
      <c r="N49" s="3">
        <f ca="1">_xll.meMathNormalDistribution(M49,$N$4,$N$5)</f>
        <v>1.8175078630992715E-9</v>
      </c>
      <c r="O49" s="20">
        <f ca="1">_xll.meMathNormalDistributionPDF(M49,$N$4,$N$5)</f>
        <v>1.101576362468137E-8</v>
      </c>
      <c r="P49" s="8" t="b">
        <f t="shared" ca="1" si="4"/>
        <v>1</v>
      </c>
      <c r="R49" s="7">
        <v>0.2050000000000001</v>
      </c>
      <c r="S49" s="3">
        <f ca="1">_xll.meMathNormalDistributionInverse(R49,$S$4,$S$5)</f>
        <v>-0.823893630338557</v>
      </c>
      <c r="T49" s="12" t="b">
        <f t="shared" ca="1" si="3"/>
        <v>1</v>
      </c>
    </row>
    <row r="50" spans="2:20" x14ac:dyDescent="0.25">
      <c r="B50" s="1">
        <v>-5.8000000000000149</v>
      </c>
      <c r="C50" s="3">
        <f ca="1">_xll.meMathNormalDistributionStandard(B50)</f>
        <v>3.3157459783258697E-9</v>
      </c>
      <c r="D50" s="20">
        <f ca="1">_xll.meMathNormalDistributionPDF(B50)</f>
        <v>1.9773196406242984E-8</v>
      </c>
      <c r="G50" s="7">
        <v>0.2100000000000001</v>
      </c>
      <c r="H50" s="3">
        <f ca="1">_xll.meMathNormalDistributionStandardInverse(G50)</f>
        <v>-0.80642124701823992</v>
      </c>
      <c r="I50" s="3"/>
      <c r="J50" s="9">
        <f t="shared" si="5"/>
        <v>-0.80642124701823992</v>
      </c>
      <c r="K50" s="17">
        <f t="shared" ca="1" si="6"/>
        <v>0</v>
      </c>
      <c r="M50" s="1">
        <v>-5.8000000000000149</v>
      </c>
      <c r="N50" s="3">
        <f ca="1">_xll.meMathNormalDistribution(M50,$N$4,$N$5)</f>
        <v>3.3157459783258697E-9</v>
      </c>
      <c r="O50" s="20">
        <f ca="1">_xll.meMathNormalDistributionPDF(M50,$N$4,$N$5)</f>
        <v>1.9773196406242984E-8</v>
      </c>
      <c r="P50" s="8" t="b">
        <f t="shared" ca="1" si="4"/>
        <v>1</v>
      </c>
      <c r="R50" s="7">
        <v>0.2100000000000001</v>
      </c>
      <c r="S50" s="3">
        <f ca="1">_xll.meMathNormalDistributionInverse(R50,$S$4,$S$5)</f>
        <v>-0.80642124701823992</v>
      </c>
      <c r="T50" s="12" t="b">
        <f t="shared" ca="1" si="3"/>
        <v>1</v>
      </c>
    </row>
    <row r="51" spans="2:20" x14ac:dyDescent="0.25">
      <c r="B51" s="1">
        <v>-5.7000000000000153</v>
      </c>
      <c r="C51" s="3">
        <f ca="1">_xll.meMathNormalDistributionStandard(B51)</f>
        <v>5.9903714010630027E-9</v>
      </c>
      <c r="D51" s="20">
        <f ca="1">_xll.meMathNormalDistributionPDF(B51)</f>
        <v>3.5139550948201343E-8</v>
      </c>
      <c r="G51" s="7">
        <v>0.21500000000000011</v>
      </c>
      <c r="H51" s="3">
        <f ca="1">_xll.meMathNormalDistributionStandardInverse(G51)</f>
        <v>-0.78919165265822189</v>
      </c>
      <c r="I51" s="3"/>
      <c r="J51" s="9">
        <f t="shared" si="5"/>
        <v>-0.789191652658222</v>
      </c>
      <c r="K51" s="17">
        <f t="shared" ca="1" si="6"/>
        <v>0</v>
      </c>
      <c r="M51" s="1">
        <v>-5.7000000000000153</v>
      </c>
      <c r="N51" s="3">
        <f ca="1">_xll.meMathNormalDistribution(M51,$N$4,$N$5)</f>
        <v>5.9903714010630027E-9</v>
      </c>
      <c r="O51" s="20">
        <f ca="1">_xll.meMathNormalDistributionPDF(M51,$N$4,$N$5)</f>
        <v>3.5139550948201343E-8</v>
      </c>
      <c r="P51" s="8" t="b">
        <f t="shared" ca="1" si="4"/>
        <v>1</v>
      </c>
      <c r="R51" s="7">
        <v>0.21500000000000011</v>
      </c>
      <c r="S51" s="3">
        <f ca="1">_xll.meMathNormalDistributionInverse(R51,$S$4,$S$5)</f>
        <v>-0.78919165265822189</v>
      </c>
      <c r="T51" s="12" t="b">
        <f t="shared" ca="1" si="3"/>
        <v>1</v>
      </c>
    </row>
    <row r="52" spans="2:20" x14ac:dyDescent="0.25">
      <c r="B52" s="1">
        <v>-5.6000000000000156</v>
      </c>
      <c r="C52" s="3">
        <f ca="1">_xll.meMathNormalDistributionStandard(B52)</f>
        <v>1.071759025830995E-8</v>
      </c>
      <c r="D52" s="20">
        <f ca="1">_xll.meMathNormalDistributionPDF(B52)</f>
        <v>6.182620500165308E-8</v>
      </c>
      <c r="G52" s="7">
        <v>0.22000000000000011</v>
      </c>
      <c r="H52" s="3">
        <f ca="1">_xll.meMathNormalDistributionStandardInverse(G52)</f>
        <v>-0.77219321418868458</v>
      </c>
      <c r="I52" s="3"/>
      <c r="J52" s="9">
        <f t="shared" si="5"/>
        <v>-0.77219321418868436</v>
      </c>
      <c r="K52" s="17">
        <f t="shared" ca="1" si="6"/>
        <v>0</v>
      </c>
      <c r="M52" s="1">
        <v>-5.6000000000000156</v>
      </c>
      <c r="N52" s="3">
        <f ca="1">_xll.meMathNormalDistribution(M52,$N$4,$N$5)</f>
        <v>1.071759025830995E-8</v>
      </c>
      <c r="O52" s="20">
        <f ca="1">_xll.meMathNormalDistributionPDF(M52,$N$4,$N$5)</f>
        <v>6.182620500165308E-8</v>
      </c>
      <c r="P52" s="8" t="b">
        <f t="shared" ca="1" si="4"/>
        <v>1</v>
      </c>
      <c r="R52" s="7">
        <v>0.22000000000000011</v>
      </c>
      <c r="S52" s="3">
        <f ca="1">_xll.meMathNormalDistributionInverse(R52,$S$4,$S$5)</f>
        <v>-0.77219321418868458</v>
      </c>
      <c r="T52" s="12" t="b">
        <f t="shared" ca="1" si="3"/>
        <v>1</v>
      </c>
    </row>
    <row r="53" spans="2:20" x14ac:dyDescent="0.25">
      <c r="B53" s="1">
        <v>-5.500000000000016</v>
      </c>
      <c r="C53" s="3">
        <f ca="1">_xll.meMathNormalDistributionStandard(B53)</f>
        <v>1.8989562465885987E-8</v>
      </c>
      <c r="D53" s="20">
        <f ca="1">_xll.meMathNormalDistributionPDF(B53)</f>
        <v>1.0769760042542322E-7</v>
      </c>
      <c r="G53" s="7">
        <v>0.22500000000000012</v>
      </c>
      <c r="H53" s="3">
        <f ca="1">_xll.meMathNormalDistributionStandardInverse(G53)</f>
        <v>-0.75541502636046876</v>
      </c>
      <c r="I53" s="3"/>
      <c r="J53" s="9">
        <f t="shared" si="5"/>
        <v>-0.75541502636046942</v>
      </c>
      <c r="K53" s="17">
        <f t="shared" ca="1" si="6"/>
        <v>0</v>
      </c>
      <c r="M53" s="1">
        <v>-5.500000000000016</v>
      </c>
      <c r="N53" s="3">
        <f ca="1">_xll.meMathNormalDistribution(M53,$N$4,$N$5)</f>
        <v>1.8989562465885987E-8</v>
      </c>
      <c r="O53" s="20">
        <f ca="1">_xll.meMathNormalDistributionPDF(M53,$N$4,$N$5)</f>
        <v>1.0769760042542322E-7</v>
      </c>
      <c r="P53" s="8" t="b">
        <f t="shared" ca="1" si="4"/>
        <v>1</v>
      </c>
      <c r="R53" s="7">
        <v>0.22500000000000012</v>
      </c>
      <c r="S53" s="3">
        <f ca="1">_xll.meMathNormalDistributionInverse(R53,$S$4,$S$5)</f>
        <v>-0.75541502636046876</v>
      </c>
      <c r="T53" s="12" t="b">
        <f t="shared" ca="1" si="3"/>
        <v>1</v>
      </c>
    </row>
    <row r="54" spans="2:20" x14ac:dyDescent="0.25">
      <c r="B54" s="1">
        <v>-5.4000000000000163</v>
      </c>
      <c r="C54" s="3">
        <f ca="1">_xll.meMathNormalDistributionStandard(B54)</f>
        <v>3.3320448485425517E-8</v>
      </c>
      <c r="D54" s="20">
        <f ca="1">_xll.meMathNormalDistributionPDF(B54)</f>
        <v>1.8573618445551279E-7</v>
      </c>
      <c r="G54" s="7">
        <v>0.23000000000000012</v>
      </c>
      <c r="H54" s="3">
        <f ca="1">_xll.meMathNormalDistributionStandardInverse(G54)</f>
        <v>-0.73884684918521326</v>
      </c>
      <c r="I54" s="3"/>
      <c r="J54" s="9">
        <f t="shared" si="5"/>
        <v>-0.73884684918521337</v>
      </c>
      <c r="K54" s="17">
        <f t="shared" ca="1" si="6"/>
        <v>0</v>
      </c>
      <c r="M54" s="1">
        <v>-5.4000000000000163</v>
      </c>
      <c r="N54" s="3">
        <f ca="1">_xll.meMathNormalDistribution(M54,$N$4,$N$5)</f>
        <v>3.3320448485425517E-8</v>
      </c>
      <c r="O54" s="20">
        <f ca="1">_xll.meMathNormalDistributionPDF(M54,$N$4,$N$5)</f>
        <v>1.8573618445551279E-7</v>
      </c>
      <c r="P54" s="8" t="b">
        <f t="shared" ca="1" si="4"/>
        <v>1</v>
      </c>
      <c r="R54" s="7">
        <v>0.23000000000000012</v>
      </c>
      <c r="S54" s="3">
        <f ca="1">_xll.meMathNormalDistributionInverse(R54,$S$4,$S$5)</f>
        <v>-0.73884684918521326</v>
      </c>
      <c r="T54" s="12" t="b">
        <f t="shared" ca="1" si="3"/>
        <v>1</v>
      </c>
    </row>
    <row r="55" spans="2:20" x14ac:dyDescent="0.25">
      <c r="B55" s="1">
        <v>-5.3000000000000167</v>
      </c>
      <c r="C55" s="3">
        <f ca="1">_xll.meMathNormalDistributionStandard(B55)</f>
        <v>5.7901340399640593E-8</v>
      </c>
      <c r="D55" s="20">
        <f ca="1">_xll.meMathNormalDistributionPDF(B55)</f>
        <v>3.1713492167156938E-7</v>
      </c>
      <c r="G55" s="7">
        <v>0.23500000000000013</v>
      </c>
      <c r="H55" s="3">
        <f ca="1">_xll.meMathNormalDistributionStandardInverse(G55)</f>
        <v>-0.72247905192806205</v>
      </c>
      <c r="I55" s="3"/>
      <c r="J55" s="9">
        <f t="shared" si="5"/>
        <v>-0.72247905192806261</v>
      </c>
      <c r="K55" s="17">
        <f t="shared" ca="1" si="6"/>
        <v>0</v>
      </c>
      <c r="M55" s="1">
        <v>-5.3000000000000167</v>
      </c>
      <c r="N55" s="3">
        <f ca="1">_xll.meMathNormalDistribution(M55,$N$4,$N$5)</f>
        <v>5.7901340399640593E-8</v>
      </c>
      <c r="O55" s="20">
        <f ca="1">_xll.meMathNormalDistributionPDF(M55,$N$4,$N$5)</f>
        <v>3.1713492167156938E-7</v>
      </c>
      <c r="P55" s="8" t="b">
        <f t="shared" ca="1" si="4"/>
        <v>1</v>
      </c>
      <c r="R55" s="7">
        <v>0.23500000000000013</v>
      </c>
      <c r="S55" s="3">
        <f ca="1">_xll.meMathNormalDistributionInverse(R55,$S$4,$S$5)</f>
        <v>-0.72247905192806205</v>
      </c>
      <c r="T55" s="12" t="b">
        <f t="shared" ca="1" si="3"/>
        <v>1</v>
      </c>
    </row>
    <row r="56" spans="2:20" x14ac:dyDescent="0.25">
      <c r="B56" s="1">
        <v>-5.2000000000000171</v>
      </c>
      <c r="C56" s="3">
        <f ca="1">_xll.meMathNormalDistributionStandard(B56)</f>
        <v>9.9644263169325714E-8</v>
      </c>
      <c r="D56" s="20">
        <f ca="1">_xll.meMathNormalDistributionPDF(B56)</f>
        <v>5.3610353446971465E-7</v>
      </c>
      <c r="G56" s="7">
        <v>0.24000000000000013</v>
      </c>
      <c r="H56" s="3">
        <f ca="1">_xll.meMathNormalDistributionStandardInverse(G56)</f>
        <v>-0.70630256284008697</v>
      </c>
      <c r="I56" s="3"/>
      <c r="J56" s="9">
        <f t="shared" si="5"/>
        <v>-0.70630256284008697</v>
      </c>
      <c r="K56" s="17">
        <f t="shared" ca="1" si="6"/>
        <v>0</v>
      </c>
      <c r="M56" s="1">
        <v>-5.2000000000000171</v>
      </c>
      <c r="N56" s="3">
        <f ca="1">_xll.meMathNormalDistribution(M56,$N$4,$N$5)</f>
        <v>9.9644263169325714E-8</v>
      </c>
      <c r="O56" s="20">
        <f ca="1">_xll.meMathNormalDistributionPDF(M56,$N$4,$N$5)</f>
        <v>5.3610353446971465E-7</v>
      </c>
      <c r="P56" s="8" t="b">
        <f t="shared" ca="1" si="4"/>
        <v>1</v>
      </c>
      <c r="R56" s="7">
        <v>0.24000000000000013</v>
      </c>
      <c r="S56" s="3">
        <f ca="1">_xll.meMathNormalDistributionInverse(R56,$S$4,$S$5)</f>
        <v>-0.70630256284008697</v>
      </c>
      <c r="T56" s="12" t="b">
        <f t="shared" ca="1" si="3"/>
        <v>1</v>
      </c>
    </row>
    <row r="57" spans="2:20" x14ac:dyDescent="0.25">
      <c r="B57" s="1">
        <v>-5.1000000000000174</v>
      </c>
      <c r="C57" s="3">
        <f ca="1">_xll.meMathNormalDistributionStandard(B57)</f>
        <v>1.6982674071474415E-7</v>
      </c>
      <c r="D57" s="20">
        <f ca="1">_xll.meMathNormalDistributionPDF(B57)</f>
        <v>8.9724351623825242E-7</v>
      </c>
      <c r="G57" s="7">
        <v>0.24500000000000013</v>
      </c>
      <c r="H57" s="3">
        <f ca="1">_xll.meMathNormalDistributionStandardInverse(G57)</f>
        <v>-0.69030882393303361</v>
      </c>
      <c r="I57" s="3"/>
      <c r="J57" s="9">
        <f t="shared" si="5"/>
        <v>-0.69030882393303394</v>
      </c>
      <c r="K57" s="17">
        <f t="shared" ca="1" si="6"/>
        <v>0</v>
      </c>
      <c r="M57" s="1">
        <v>-5.1000000000000174</v>
      </c>
      <c r="N57" s="3">
        <f ca="1">_xll.meMathNormalDistribution(M57,$N$4,$N$5)</f>
        <v>1.6982674071474415E-7</v>
      </c>
      <c r="O57" s="20">
        <f ca="1">_xll.meMathNormalDistributionPDF(M57,$N$4,$N$5)</f>
        <v>8.9724351623825242E-7</v>
      </c>
      <c r="P57" s="8" t="b">
        <f t="shared" ca="1" si="4"/>
        <v>1</v>
      </c>
      <c r="R57" s="7">
        <v>0.24500000000000013</v>
      </c>
      <c r="S57" s="3">
        <f ca="1">_xll.meMathNormalDistributionInverse(R57,$S$4,$S$5)</f>
        <v>-0.69030882393303361</v>
      </c>
      <c r="T57" s="12" t="b">
        <f t="shared" ca="1" si="3"/>
        <v>1</v>
      </c>
    </row>
    <row r="58" spans="2:20" x14ac:dyDescent="0.25">
      <c r="B58" s="1">
        <v>-5.0000000000000178</v>
      </c>
      <c r="C58" s="3">
        <f ca="1">_xll.meMathNormalDistributionStandard(B58)</f>
        <v>2.8665157187916755E-7</v>
      </c>
      <c r="D58" s="20">
        <f ca="1">_xll.meMathNormalDistributionPDF(B58)</f>
        <v>1.4867195147341658E-6</v>
      </c>
      <c r="G58" s="7">
        <v>0.25000000000000011</v>
      </c>
      <c r="H58" s="3">
        <f ca="1">_xll.meMathNormalDistributionStandardInverse(G58)</f>
        <v>-0.67448975019608126</v>
      </c>
      <c r="I58" s="3"/>
      <c r="J58" s="9">
        <f t="shared" si="5"/>
        <v>-0.67448975019608159</v>
      </c>
      <c r="K58" s="17">
        <f t="shared" ca="1" si="6"/>
        <v>0</v>
      </c>
      <c r="M58" s="1">
        <v>-5.0000000000000178</v>
      </c>
      <c r="N58" s="3">
        <f ca="1">_xll.meMathNormalDistribution(M58,$N$4,$N$5)</f>
        <v>2.8665157187916755E-7</v>
      </c>
      <c r="O58" s="20">
        <f ca="1">_xll.meMathNormalDistributionPDF(M58,$N$4,$N$5)</f>
        <v>1.4867195147341658E-6</v>
      </c>
      <c r="P58" s="8" t="b">
        <f t="shared" ca="1" si="4"/>
        <v>1</v>
      </c>
      <c r="R58" s="7">
        <v>0.25000000000000011</v>
      </c>
      <c r="S58" s="3">
        <f ca="1">_xll.meMathNormalDistributionInverse(R58,$S$4,$S$5)</f>
        <v>-0.67448975019608126</v>
      </c>
      <c r="T58" s="12" t="b">
        <f t="shared" ca="1" si="3"/>
        <v>1</v>
      </c>
    </row>
    <row r="59" spans="2:20" x14ac:dyDescent="0.25">
      <c r="B59" s="1">
        <v>-4.9000000000000181</v>
      </c>
      <c r="C59" s="3">
        <f ca="1">_xll.meMathNormalDistributionStandard(B59)</f>
        <v>4.7918327659027535E-7</v>
      </c>
      <c r="D59" s="20">
        <f ca="1">_xll.meMathNormalDistributionPDF(B59)</f>
        <v>2.43896074589314E-6</v>
      </c>
      <c r="G59" s="7">
        <v>0.25500000000000012</v>
      </c>
      <c r="H59" s="3">
        <f ca="1">_xll.meMathNormalDistributionStandardInverse(G59)</f>
        <v>-0.65883769273618764</v>
      </c>
      <c r="I59" s="3"/>
      <c r="J59" s="9">
        <f t="shared" si="5"/>
        <v>-0.6588376927361872</v>
      </c>
      <c r="K59" s="17">
        <f t="shared" ca="1" si="6"/>
        <v>0</v>
      </c>
      <c r="M59" s="1">
        <v>-4.9000000000000181</v>
      </c>
      <c r="N59" s="3">
        <f ca="1">_xll.meMathNormalDistribution(M59,$N$4,$N$5)</f>
        <v>4.7918327659027535E-7</v>
      </c>
      <c r="O59" s="20">
        <f ca="1">_xll.meMathNormalDistributionPDF(M59,$N$4,$N$5)</f>
        <v>2.43896074589314E-6</v>
      </c>
      <c r="P59" s="8" t="b">
        <f t="shared" ca="1" si="4"/>
        <v>1</v>
      </c>
      <c r="R59" s="7">
        <v>0.25500000000000012</v>
      </c>
      <c r="S59" s="3">
        <f ca="1">_xll.meMathNormalDistributionInverse(R59,$S$4,$S$5)</f>
        <v>-0.65883769273618764</v>
      </c>
      <c r="T59" s="12" t="b">
        <f t="shared" ca="1" si="3"/>
        <v>1</v>
      </c>
    </row>
    <row r="60" spans="2:20" x14ac:dyDescent="0.25">
      <c r="B60" s="1">
        <v>-4.8000000000000185</v>
      </c>
      <c r="C60" s="3">
        <f ca="1">_xll.meMathNormalDistributionStandard(B60)</f>
        <v>7.9332815197552196E-7</v>
      </c>
      <c r="D60" s="20">
        <f ca="1">_xll.meMathNormalDistributionPDF(B60)</f>
        <v>3.9612990910317238E-6</v>
      </c>
      <c r="G60" s="7">
        <v>0.26000000000000012</v>
      </c>
      <c r="H60" s="3">
        <f ca="1">_xll.meMathNormalDistributionStandardInverse(G60)</f>
        <v>-0.64334540539291685</v>
      </c>
      <c r="I60" s="3"/>
      <c r="J60" s="9">
        <f t="shared" si="5"/>
        <v>-0.64334540539291651</v>
      </c>
      <c r="K60" s="17">
        <f t="shared" ca="1" si="6"/>
        <v>0</v>
      </c>
      <c r="M60" s="1">
        <v>-4.8000000000000185</v>
      </c>
      <c r="N60" s="3">
        <f ca="1">_xll.meMathNormalDistribution(M60,$N$4,$N$5)</f>
        <v>7.9332815197552196E-7</v>
      </c>
      <c r="O60" s="20">
        <f ca="1">_xll.meMathNormalDistributionPDF(M60,$N$4,$N$5)</f>
        <v>3.9612990910317238E-6</v>
      </c>
      <c r="P60" s="8" t="b">
        <f t="shared" ca="1" si="4"/>
        <v>1</v>
      </c>
      <c r="R60" s="7">
        <v>0.26000000000000012</v>
      </c>
      <c r="S60" s="3">
        <f ca="1">_xll.meMathNormalDistributionInverse(R60,$S$4,$S$5)</f>
        <v>-0.64334540539291685</v>
      </c>
      <c r="T60" s="12" t="b">
        <f t="shared" ca="1" si="3"/>
        <v>1</v>
      </c>
    </row>
    <row r="61" spans="2:20" x14ac:dyDescent="0.25">
      <c r="B61" s="1">
        <v>-4.7000000000000188</v>
      </c>
      <c r="C61" s="3">
        <f ca="1">_xll.meMathNormalDistributionStandard(B61)</f>
        <v>1.3008074539171617E-6</v>
      </c>
      <c r="D61" s="20">
        <f ca="1">_xll.meMathNormalDistributionPDF(B61)</f>
        <v>6.3698251788665359E-6</v>
      </c>
      <c r="G61" s="7">
        <v>0.26500000000000012</v>
      </c>
      <c r="H61" s="3">
        <f ca="1">_xll.meMathNormalDistributionStandardInverse(G61)</f>
        <v>-0.62800601443756943</v>
      </c>
      <c r="I61" s="3"/>
      <c r="J61" s="9">
        <f t="shared" si="5"/>
        <v>-0.62800601443756943</v>
      </c>
      <c r="K61" s="17">
        <f t="shared" ca="1" si="6"/>
        <v>0</v>
      </c>
      <c r="M61" s="1">
        <v>-4.7000000000000188</v>
      </c>
      <c r="N61" s="3">
        <f ca="1">_xll.meMathNormalDistribution(M61,$N$4,$N$5)</f>
        <v>1.3008074539171617E-6</v>
      </c>
      <c r="O61" s="20">
        <f ca="1">_xll.meMathNormalDistributionPDF(M61,$N$4,$N$5)</f>
        <v>6.3698251788665359E-6</v>
      </c>
      <c r="P61" s="8" t="b">
        <f t="shared" ca="1" si="4"/>
        <v>1</v>
      </c>
      <c r="R61" s="7">
        <v>0.26500000000000012</v>
      </c>
      <c r="S61" s="3">
        <f ca="1">_xll.meMathNormalDistributionInverse(R61,$S$4,$S$5)</f>
        <v>-0.62800601443756943</v>
      </c>
      <c r="T61" s="12" t="b">
        <f t="shared" ca="1" si="3"/>
        <v>1</v>
      </c>
    </row>
    <row r="62" spans="2:20" x14ac:dyDescent="0.25">
      <c r="B62" s="1">
        <v>-4.6000000000000192</v>
      </c>
      <c r="C62" s="3">
        <f ca="1">_xll.meMathNormalDistributionStandard(B62)</f>
        <v>2.1124547025026542E-6</v>
      </c>
      <c r="D62" s="20">
        <f ca="1">_xll.meMathNormalDistributionPDF(B62)</f>
        <v>1.0140852065485842E-5</v>
      </c>
      <c r="G62" s="7">
        <v>0.27000000000000013</v>
      </c>
      <c r="H62" s="3">
        <f ca="1">_xll.meMathNormalDistributionStandardInverse(G62)</f>
        <v>-0.61281299101662712</v>
      </c>
      <c r="I62" s="3"/>
      <c r="J62" s="9">
        <f t="shared" si="5"/>
        <v>-0.61281299101662701</v>
      </c>
      <c r="K62" s="17">
        <f t="shared" ca="1" si="6"/>
        <v>0</v>
      </c>
      <c r="M62" s="1">
        <v>-4.6000000000000192</v>
      </c>
      <c r="N62" s="3">
        <f ca="1">_xll.meMathNormalDistribution(M62,$N$4,$N$5)</f>
        <v>2.1124547025026542E-6</v>
      </c>
      <c r="O62" s="20">
        <f ca="1">_xll.meMathNormalDistributionPDF(M62,$N$4,$N$5)</f>
        <v>1.0140852065485842E-5</v>
      </c>
      <c r="P62" s="8" t="b">
        <f t="shared" ca="1" si="4"/>
        <v>1</v>
      </c>
      <c r="R62" s="7">
        <v>0.27000000000000013</v>
      </c>
      <c r="S62" s="3">
        <f ca="1">_xll.meMathNormalDistributionInverse(R62,$S$4,$S$5)</f>
        <v>-0.61281299101662712</v>
      </c>
      <c r="T62" s="12" t="b">
        <f t="shared" ca="1" si="3"/>
        <v>1</v>
      </c>
    </row>
    <row r="63" spans="2:20" x14ac:dyDescent="0.25">
      <c r="B63" s="1">
        <v>-4.5000000000000195</v>
      </c>
      <c r="C63" s="3">
        <f ca="1">_xll.meMathNormalDistributionStandard(B63)</f>
        <v>3.397673124729746E-6</v>
      </c>
      <c r="D63" s="20">
        <f ca="1">_xll.meMathNormalDistributionPDF(B63)</f>
        <v>1.5983741106904055E-5</v>
      </c>
      <c r="G63" s="7">
        <v>0.27500000000000013</v>
      </c>
      <c r="H63" s="3">
        <f ca="1">_xll.meMathNormalDistributionStandardInverse(G63)</f>
        <v>-0.59776012604247808</v>
      </c>
      <c r="I63" s="3"/>
      <c r="J63" s="9">
        <f t="shared" si="5"/>
        <v>-0.59776012604247797</v>
      </c>
      <c r="K63" s="17">
        <f t="shared" ca="1" si="6"/>
        <v>0</v>
      </c>
      <c r="M63" s="1">
        <v>-4.5000000000000195</v>
      </c>
      <c r="N63" s="3">
        <f ca="1">_xll.meMathNormalDistribution(M63,$N$4,$N$5)</f>
        <v>3.397673124729746E-6</v>
      </c>
      <c r="O63" s="20">
        <f ca="1">_xll.meMathNormalDistributionPDF(M63,$N$4,$N$5)</f>
        <v>1.5983741106904055E-5</v>
      </c>
      <c r="P63" s="8" t="b">
        <f t="shared" ca="1" si="4"/>
        <v>1</v>
      </c>
      <c r="R63" s="7">
        <v>0.27500000000000013</v>
      </c>
      <c r="S63" s="3">
        <f ca="1">_xll.meMathNormalDistributionInverse(R63,$S$4,$S$5)</f>
        <v>-0.59776012604247808</v>
      </c>
      <c r="T63" s="12" t="b">
        <f t="shared" ca="1" si="3"/>
        <v>1</v>
      </c>
    </row>
    <row r="64" spans="2:20" x14ac:dyDescent="0.25">
      <c r="B64" s="1">
        <v>-4.4000000000000199</v>
      </c>
      <c r="C64" s="3">
        <f ca="1">_xll.meMathNormalDistributionStandard(B64)</f>
        <v>5.4125439077033664E-6</v>
      </c>
      <c r="D64" s="20">
        <f ca="1">_xll.meMathNormalDistributionPDF(B64)</f>
        <v>2.4942471290051404E-5</v>
      </c>
      <c r="G64" s="7">
        <v>0.28000000000000014</v>
      </c>
      <c r="H64" s="3">
        <f ca="1">_xll.meMathNormalDistributionStandardInverse(G64)</f>
        <v>-0.58284150727121586</v>
      </c>
      <c r="I64" s="3"/>
      <c r="J64" s="9">
        <f t="shared" si="5"/>
        <v>-0.58284150727121609</v>
      </c>
      <c r="K64" s="17">
        <f t="shared" ca="1" si="6"/>
        <v>0</v>
      </c>
      <c r="M64" s="1">
        <v>-4.4000000000000199</v>
      </c>
      <c r="N64" s="3">
        <f ca="1">_xll.meMathNormalDistribution(M64,$N$4,$N$5)</f>
        <v>5.4125439077033664E-6</v>
      </c>
      <c r="O64" s="20">
        <f ca="1">_xll.meMathNormalDistributionPDF(M64,$N$4,$N$5)</f>
        <v>2.4942471290051404E-5</v>
      </c>
      <c r="P64" s="8" t="b">
        <f t="shared" ca="1" si="4"/>
        <v>1</v>
      </c>
      <c r="R64" s="7">
        <v>0.28000000000000014</v>
      </c>
      <c r="S64" s="3">
        <f ca="1">_xll.meMathNormalDistributionInverse(R64,$S$4,$S$5)</f>
        <v>-0.58284150727121586</v>
      </c>
      <c r="T64" s="12" t="b">
        <f t="shared" ca="1" si="3"/>
        <v>1</v>
      </c>
    </row>
    <row r="65" spans="2:20" x14ac:dyDescent="0.25">
      <c r="B65" s="1">
        <v>-4.3000000000000203</v>
      </c>
      <c r="C65" s="3">
        <f ca="1">_xll.meMathNormalDistributionStandard(B65)</f>
        <v>8.5399054709910335E-6</v>
      </c>
      <c r="D65" s="20">
        <f ca="1">_xll.meMathNormalDistributionPDF(B65)</f>
        <v>3.8535196742083775E-5</v>
      </c>
      <c r="G65" s="7">
        <v>0.28500000000000014</v>
      </c>
      <c r="H65" s="3">
        <f ca="1">_xll.meMathNormalDistributionStandardInverse(G65)</f>
        <v>-0.56805149833898239</v>
      </c>
      <c r="I65" s="3"/>
      <c r="J65" s="9">
        <f t="shared" si="5"/>
        <v>-0.56805149833898227</v>
      </c>
      <c r="K65" s="17">
        <f t="shared" ca="1" si="6"/>
        <v>0</v>
      </c>
      <c r="M65" s="1">
        <v>-4.3000000000000203</v>
      </c>
      <c r="N65" s="3">
        <f ca="1">_xll.meMathNormalDistribution(M65,$N$4,$N$5)</f>
        <v>8.5399054709910335E-6</v>
      </c>
      <c r="O65" s="20">
        <f ca="1">_xll.meMathNormalDistributionPDF(M65,$N$4,$N$5)</f>
        <v>3.8535196742083775E-5</v>
      </c>
      <c r="P65" s="8" t="b">
        <f t="shared" ca="1" si="4"/>
        <v>1</v>
      </c>
      <c r="R65" s="7">
        <v>0.28500000000000014</v>
      </c>
      <c r="S65" s="3">
        <f ca="1">_xll.meMathNormalDistributionInverse(R65,$S$4,$S$5)</f>
        <v>-0.56805149833898239</v>
      </c>
      <c r="T65" s="12" t="b">
        <f t="shared" ca="1" si="3"/>
        <v>1</v>
      </c>
    </row>
    <row r="66" spans="2:20" x14ac:dyDescent="0.25">
      <c r="B66" s="1">
        <v>-4.2000000000000206</v>
      </c>
      <c r="C66" s="3">
        <f ca="1">_xll.meMathNormalDistributionStandard(B66)</f>
        <v>1.3345749015905116E-5</v>
      </c>
      <c r="D66" s="20">
        <f ca="1">_xll.meMathNormalDistributionPDF(B66)</f>
        <v>5.8943067756534725E-5</v>
      </c>
      <c r="G66" s="7">
        <v>0.29000000000000015</v>
      </c>
      <c r="H66" s="3">
        <f ca="1">_xll.meMathNormalDistributionStandardInverse(G66)</f>
        <v>-0.55338471955567248</v>
      </c>
      <c r="I66" s="3"/>
      <c r="J66" s="9">
        <f t="shared" si="5"/>
        <v>-0.55338471955567248</v>
      </c>
      <c r="K66" s="17">
        <f t="shared" ca="1" si="6"/>
        <v>0</v>
      </c>
      <c r="M66" s="1">
        <v>-4.2000000000000206</v>
      </c>
      <c r="N66" s="3">
        <f ca="1">_xll.meMathNormalDistribution(M66,$N$4,$N$5)</f>
        <v>1.3345749015905116E-5</v>
      </c>
      <c r="O66" s="20">
        <f ca="1">_xll.meMathNormalDistributionPDF(M66,$N$4,$N$5)</f>
        <v>5.8943067756534725E-5</v>
      </c>
      <c r="P66" s="8" t="b">
        <f t="shared" ca="1" si="4"/>
        <v>1</v>
      </c>
      <c r="R66" s="7">
        <v>0.29000000000000015</v>
      </c>
      <c r="S66" s="3">
        <f ca="1">_xll.meMathNormalDistributionInverse(R66,$S$4,$S$5)</f>
        <v>-0.55338471955567248</v>
      </c>
      <c r="T66" s="12" t="b">
        <f t="shared" ca="1" si="3"/>
        <v>1</v>
      </c>
    </row>
    <row r="67" spans="2:20" x14ac:dyDescent="0.25">
      <c r="B67" s="1">
        <v>-4.100000000000021</v>
      </c>
      <c r="C67" s="3">
        <f ca="1">_xll.meMathNormalDistributionStandard(B67)</f>
        <v>2.065750691254486E-5</v>
      </c>
      <c r="D67" s="20">
        <f ca="1">_xll.meMathNormalDistributionPDF(B67)</f>
        <v>8.9261657177125162E-5</v>
      </c>
      <c r="G67" s="7">
        <v>0.29500000000000015</v>
      </c>
      <c r="H67" s="3">
        <f ca="1">_xll.meMathNormalDistributionStandardInverse(G67)</f>
        <v>-0.53883603027845006</v>
      </c>
      <c r="I67" s="3"/>
      <c r="J67" s="9">
        <f t="shared" si="5"/>
        <v>-0.53883603027844984</v>
      </c>
      <c r="K67" s="17">
        <f t="shared" ca="1" si="6"/>
        <v>0</v>
      </c>
      <c r="M67" s="1">
        <v>-4.100000000000021</v>
      </c>
      <c r="N67" s="3">
        <f ca="1">_xll.meMathNormalDistribution(M67,$N$4,$N$5)</f>
        <v>2.065750691254486E-5</v>
      </c>
      <c r="O67" s="20">
        <f ca="1">_xll.meMathNormalDistributionPDF(M67,$N$4,$N$5)</f>
        <v>8.9261657177125162E-5</v>
      </c>
      <c r="P67" s="8" t="b">
        <f t="shared" ca="1" si="4"/>
        <v>1</v>
      </c>
      <c r="R67" s="7">
        <v>0.29500000000000015</v>
      </c>
      <c r="S67" s="3">
        <f ca="1">_xll.meMathNormalDistributionInverse(R67,$S$4,$S$5)</f>
        <v>-0.53883603027845006</v>
      </c>
      <c r="T67" s="12" t="b">
        <f t="shared" ca="1" si="3"/>
        <v>1</v>
      </c>
    </row>
    <row r="68" spans="2:20" x14ac:dyDescent="0.25">
      <c r="B68" s="1">
        <v>-4.0000000000000213</v>
      </c>
      <c r="C68" s="3">
        <f ca="1">_xll.meMathNormalDistributionStandard(B68)</f>
        <v>3.1671241833117078E-5</v>
      </c>
      <c r="D68" s="20">
        <f ca="1">_xll.meMathNormalDistributionPDF(B68)</f>
        <v>1.3383022576487396E-4</v>
      </c>
      <c r="G68" s="7">
        <v>0.30000000000000016</v>
      </c>
      <c r="H68" s="3">
        <f ca="1">_xll.meMathNormalDistributionStandardInverse(G68)</f>
        <v>-0.52440051270804056</v>
      </c>
      <c r="I68" s="3"/>
      <c r="J68" s="9">
        <f t="shared" si="5"/>
        <v>-0.52440051270804033</v>
      </c>
      <c r="K68" s="17">
        <f t="shared" ca="1" si="6"/>
        <v>0</v>
      </c>
      <c r="M68" s="1">
        <v>-4.0000000000000213</v>
      </c>
      <c r="N68" s="3">
        <f ca="1">_xll.meMathNormalDistribution(M68,$N$4,$N$5)</f>
        <v>3.1671241833117078E-5</v>
      </c>
      <c r="O68" s="20">
        <f ca="1">_xll.meMathNormalDistributionPDF(M68,$N$4,$N$5)</f>
        <v>1.3383022576487396E-4</v>
      </c>
      <c r="P68" s="8" t="b">
        <f t="shared" ca="1" si="4"/>
        <v>1</v>
      </c>
      <c r="R68" s="7">
        <v>0.30000000000000016</v>
      </c>
      <c r="S68" s="3">
        <f ca="1">_xll.meMathNormalDistributionInverse(R68,$S$4,$S$5)</f>
        <v>-0.52440051270804056</v>
      </c>
      <c r="T68" s="12" t="b">
        <f t="shared" ca="1" si="3"/>
        <v>1</v>
      </c>
    </row>
    <row r="69" spans="2:20" x14ac:dyDescent="0.25">
      <c r="B69" s="1">
        <v>-3.9000000000000212</v>
      </c>
      <c r="C69" s="3">
        <f ca="1">_xll.meMathNormalDistributionStandard(B69)</f>
        <v>4.8096344017598488E-5</v>
      </c>
      <c r="D69" s="20">
        <f ca="1">_xll.meMathNormalDistributionPDF(B69)</f>
        <v>1.9865547139275616E-4</v>
      </c>
      <c r="G69" s="7">
        <v>0.30500000000000016</v>
      </c>
      <c r="H69" s="3">
        <f ca="1">_xll.meMathNormalDistributionStandardInverse(G69)</f>
        <v>-0.51007345696859452</v>
      </c>
      <c r="I69" s="3"/>
      <c r="J69" s="9">
        <f t="shared" si="5"/>
        <v>-0.51007345696859441</v>
      </c>
      <c r="K69" s="17">
        <f t="shared" ca="1" si="6"/>
        <v>0</v>
      </c>
      <c r="M69" s="1">
        <v>-3.9000000000000212</v>
      </c>
      <c r="N69" s="3">
        <f ca="1">_xll.meMathNormalDistribution(M69,$N$4,$N$5)</f>
        <v>4.8096344017598488E-5</v>
      </c>
      <c r="O69" s="20">
        <f ca="1">_xll.meMathNormalDistributionPDF(M69,$N$4,$N$5)</f>
        <v>1.9865547139275616E-4</v>
      </c>
      <c r="P69" s="8" t="b">
        <f t="shared" ca="1" si="4"/>
        <v>1</v>
      </c>
      <c r="R69" s="7">
        <v>0.30500000000000016</v>
      </c>
      <c r="S69" s="3">
        <f ca="1">_xll.meMathNormalDistributionInverse(R69,$S$4,$S$5)</f>
        <v>-0.51007345696859452</v>
      </c>
      <c r="T69" s="12" t="b">
        <f t="shared" ca="1" si="3"/>
        <v>1</v>
      </c>
    </row>
    <row r="70" spans="2:20" x14ac:dyDescent="0.25">
      <c r="B70" s="1">
        <v>-3.8000000000000211</v>
      </c>
      <c r="C70" s="3">
        <f ca="1">_xll.meMathNormalDistributionStandard(B70)</f>
        <v>7.2348043925113769E-5</v>
      </c>
      <c r="D70" s="20">
        <f ca="1">_xll.meMathNormalDistributionPDF(B70)</f>
        <v>2.9194692579143664E-4</v>
      </c>
      <c r="G70" s="7">
        <v>0.31000000000000016</v>
      </c>
      <c r="H70" s="3">
        <f ca="1">_xll.meMathNormalDistributionStandardInverse(G70)</f>
        <v>-0.49585034734745304</v>
      </c>
      <c r="I70" s="3"/>
      <c r="J70" s="9">
        <f t="shared" si="5"/>
        <v>-0.49585034734745298</v>
      </c>
      <c r="K70" s="17">
        <f t="shared" ca="1" si="6"/>
        <v>0</v>
      </c>
      <c r="M70" s="1">
        <v>-3.8000000000000211</v>
      </c>
      <c r="N70" s="3">
        <f ca="1">_xll.meMathNormalDistribution(M70,$N$4,$N$5)</f>
        <v>7.2348043925113769E-5</v>
      </c>
      <c r="O70" s="20">
        <f ca="1">_xll.meMathNormalDistributionPDF(M70,$N$4,$N$5)</f>
        <v>2.9194692579143664E-4</v>
      </c>
      <c r="P70" s="8" t="b">
        <f t="shared" ca="1" si="4"/>
        <v>1</v>
      </c>
      <c r="R70" s="7">
        <v>0.31000000000000016</v>
      </c>
      <c r="S70" s="3">
        <f ca="1">_xll.meMathNormalDistributionInverse(R70,$S$4,$S$5)</f>
        <v>-0.49585034734745304</v>
      </c>
      <c r="T70" s="12" t="b">
        <f t="shared" ca="1" si="3"/>
        <v>1</v>
      </c>
    </row>
    <row r="71" spans="2:20" x14ac:dyDescent="0.25">
      <c r="B71" s="1">
        <v>-3.700000000000021</v>
      </c>
      <c r="C71" s="3">
        <f ca="1">_xll.meMathNormalDistributionStandard(B71)</f>
        <v>1.0779973347737941E-4</v>
      </c>
      <c r="D71" s="20">
        <f ca="1">_xll.meMathNormalDistributionPDF(B71)</f>
        <v>4.2478027055071864E-4</v>
      </c>
      <c r="G71" s="7">
        <v>0.31500000000000017</v>
      </c>
      <c r="H71" s="3">
        <f ca="1">_xll.meMathNormalDistributionStandardInverse(G71)</f>
        <v>-0.48172684958472983</v>
      </c>
      <c r="I71" s="3"/>
      <c r="J71" s="9">
        <f t="shared" si="5"/>
        <v>-0.48172684958472989</v>
      </c>
      <c r="K71" s="17">
        <f t="shared" ca="1" si="6"/>
        <v>0</v>
      </c>
      <c r="M71" s="1">
        <v>-3.700000000000021</v>
      </c>
      <c r="N71" s="3">
        <f ca="1">_xll.meMathNormalDistribution(M71,$N$4,$N$5)</f>
        <v>1.0779973347737941E-4</v>
      </c>
      <c r="O71" s="20">
        <f ca="1">_xll.meMathNormalDistributionPDF(M71,$N$4,$N$5)</f>
        <v>4.2478027055071864E-4</v>
      </c>
      <c r="P71" s="8" t="b">
        <f t="shared" ca="1" si="4"/>
        <v>1</v>
      </c>
      <c r="R71" s="7">
        <v>0.31500000000000017</v>
      </c>
      <c r="S71" s="3">
        <f ca="1">_xll.meMathNormalDistributionInverse(R71,$S$4,$S$5)</f>
        <v>-0.48172684958472983</v>
      </c>
      <c r="T71" s="12" t="b">
        <f t="shared" ca="1" si="3"/>
        <v>1</v>
      </c>
    </row>
    <row r="72" spans="2:20" x14ac:dyDescent="0.25">
      <c r="B72" s="1">
        <v>-3.600000000000021</v>
      </c>
      <c r="C72" s="3">
        <f ca="1">_xll.meMathNormalDistributionStandard(B72)</f>
        <v>1.5910859015752109E-4</v>
      </c>
      <c r="D72" s="20">
        <f ca="1">_xll.meMathNormalDistributionPDF(B72)</f>
        <v>6.1190193011372625E-4</v>
      </c>
      <c r="G72" s="7">
        <v>0.32000000000000017</v>
      </c>
      <c r="H72" s="3">
        <f ca="1">_xll.meMathNormalDistributionStandardInverse(G72)</f>
        <v>-0.46769879911450801</v>
      </c>
      <c r="I72" s="3"/>
      <c r="J72" s="9">
        <f t="shared" si="5"/>
        <v>-0.46769879911450779</v>
      </c>
      <c r="K72" s="17">
        <f t="shared" ca="1" si="6"/>
        <v>0</v>
      </c>
      <c r="M72" s="1">
        <v>-3.600000000000021</v>
      </c>
      <c r="N72" s="3">
        <f ca="1">_xll.meMathNormalDistribution(M72,$N$4,$N$5)</f>
        <v>1.5910859015752109E-4</v>
      </c>
      <c r="O72" s="20">
        <f ca="1">_xll.meMathNormalDistributionPDF(M72,$N$4,$N$5)</f>
        <v>6.1190193011372625E-4</v>
      </c>
      <c r="P72" s="8" t="b">
        <f t="shared" ca="1" si="4"/>
        <v>1</v>
      </c>
      <c r="R72" s="7">
        <v>0.32000000000000017</v>
      </c>
      <c r="S72" s="3">
        <f ca="1">_xll.meMathNormalDistributionInverse(R72,$S$4,$S$5)</f>
        <v>-0.46769879911450801</v>
      </c>
      <c r="T72" s="12" t="b">
        <f t="shared" ca="1" si="3"/>
        <v>1</v>
      </c>
    </row>
    <row r="73" spans="2:20" x14ac:dyDescent="0.25">
      <c r="B73" s="1">
        <v>-3.5000000000000209</v>
      </c>
      <c r="C73" s="3">
        <f ca="1">_xll.meMathNormalDistributionStandard(B73)</f>
        <v>2.3262907903550683E-4</v>
      </c>
      <c r="D73" s="20">
        <f ca="1">_xll.meMathNormalDistributionPDF(B73)</f>
        <v>8.7268269504569662E-4</v>
      </c>
      <c r="G73" s="7">
        <v>0.32500000000000018</v>
      </c>
      <c r="H73" s="3">
        <f ca="1">_xll.meMathNormalDistributionStandardInverse(G73)</f>
        <v>-0.45376219016987901</v>
      </c>
      <c r="I73" s="3"/>
      <c r="J73" s="9">
        <f t="shared" ref="J73:J104" si="7">NORMSINV(G73)</f>
        <v>-0.45376219016987895</v>
      </c>
      <c r="K73" s="17">
        <f t="shared" ref="K73:K104" ca="1" si="8">H73-J73</f>
        <v>0</v>
      </c>
      <c r="M73" s="1">
        <v>-3.5000000000000209</v>
      </c>
      <c r="N73" s="3">
        <f ca="1">_xll.meMathNormalDistribution(M73,$N$4,$N$5)</f>
        <v>2.3262907903550683E-4</v>
      </c>
      <c r="O73" s="20">
        <f ca="1">_xll.meMathNormalDistributionPDF(M73,$N$4,$N$5)</f>
        <v>8.7268269504569662E-4</v>
      </c>
      <c r="P73" s="8" t="b">
        <f t="shared" ca="1" si="4"/>
        <v>1</v>
      </c>
      <c r="R73" s="7">
        <v>0.32500000000000018</v>
      </c>
      <c r="S73" s="3">
        <f ca="1">_xll.meMathNormalDistributionInverse(R73,$S$4,$S$5)</f>
        <v>-0.45376219016987901</v>
      </c>
      <c r="T73" s="12" t="b">
        <f t="shared" ref="T73" ca="1" si="9">S73=H73</f>
        <v>1</v>
      </c>
    </row>
    <row r="74" spans="2:20" x14ac:dyDescent="0.25">
      <c r="B74" s="1">
        <v>-3.4000000000000208</v>
      </c>
      <c r="C74" s="3">
        <f ca="1">_xll.meMathNormalDistributionStandard(B74)</f>
        <v>3.3692926567685532E-4</v>
      </c>
      <c r="D74" s="20">
        <f ca="1">_xll.meMathNormalDistributionPDF(B74)</f>
        <v>1.2322191684729323E-3</v>
      </c>
      <c r="G74" s="7">
        <v>0.33000000000000018</v>
      </c>
      <c r="H74" s="3">
        <f ca="1">_xll.meMathNormalDistributionStandardInverse(G74)</f>
        <v>-0.43991316567323341</v>
      </c>
      <c r="I74" s="3"/>
      <c r="J74" s="9">
        <f t="shared" si="7"/>
        <v>-0.43991316567323341</v>
      </c>
      <c r="K74" s="17">
        <f t="shared" ca="1" si="8"/>
        <v>0</v>
      </c>
      <c r="M74" s="1">
        <v>-3.4000000000000208</v>
      </c>
      <c r="N74" s="3">
        <f ca="1">_xll.meMathNormalDistribution(M74,$N$4,$N$5)</f>
        <v>3.3692926567685532E-4</v>
      </c>
      <c r="O74" s="20">
        <f ca="1">_xll.meMathNormalDistributionPDF(M74,$N$4,$N$5)</f>
        <v>1.2322191684729323E-3</v>
      </c>
      <c r="P74" s="8" t="b">
        <f t="shared" ref="P74:P137" ca="1" si="10">C74=N74</f>
        <v>1</v>
      </c>
      <c r="R74" s="7">
        <v>0.33000000000000018</v>
      </c>
      <c r="S74" s="3">
        <f ca="1">_xll.meMathNormalDistributionInverse(R74,$S$4,$S$5)</f>
        <v>-0.43991316567323341</v>
      </c>
      <c r="T74" s="12" t="b">
        <f t="shared" ref="T74:T137" ca="1" si="11">S74=H74</f>
        <v>1</v>
      </c>
    </row>
    <row r="75" spans="2:20" x14ac:dyDescent="0.25">
      <c r="B75" s="1">
        <v>-3.3000000000000207</v>
      </c>
      <c r="C75" s="3">
        <f ca="1">_xll.meMathNormalDistributionStandard(B75)</f>
        <v>4.8342414238374145E-4</v>
      </c>
      <c r="D75" s="20">
        <f ca="1">_xll.meMathNormalDistributionPDF(B75)</f>
        <v>1.7225689390535622E-3</v>
      </c>
      <c r="G75" s="7">
        <v>0.33500000000000019</v>
      </c>
      <c r="H75" s="3">
        <f ca="1">_xll.meMathNormalDistributionStandardInverse(G75)</f>
        <v>-0.42614800784127777</v>
      </c>
      <c r="I75" s="3"/>
      <c r="J75" s="9">
        <f t="shared" si="7"/>
        <v>-0.42614800784127777</v>
      </c>
      <c r="K75" s="17">
        <f t="shared" ca="1" si="8"/>
        <v>0</v>
      </c>
      <c r="M75" s="1">
        <v>-3.3000000000000207</v>
      </c>
      <c r="N75" s="3">
        <f ca="1">_xll.meMathNormalDistribution(M75,$N$4,$N$5)</f>
        <v>4.8342414238374145E-4</v>
      </c>
      <c r="O75" s="20">
        <f ca="1">_xll.meMathNormalDistributionPDF(M75,$N$4,$N$5)</f>
        <v>1.7225689390535622E-3</v>
      </c>
      <c r="P75" s="8" t="b">
        <f t="shared" ca="1" si="10"/>
        <v>1</v>
      </c>
      <c r="R75" s="7">
        <v>0.33500000000000019</v>
      </c>
      <c r="S75" s="3">
        <f ca="1">_xll.meMathNormalDistributionInverse(R75,$S$4,$S$5)</f>
        <v>-0.42614800784127777</v>
      </c>
      <c r="T75" s="12" t="b">
        <f t="shared" ca="1" si="11"/>
        <v>1</v>
      </c>
    </row>
    <row r="76" spans="2:20" x14ac:dyDescent="0.25">
      <c r="B76" s="1">
        <v>-3.2000000000000206</v>
      </c>
      <c r="C76" s="3">
        <f ca="1">_xll.meMathNormalDistributionStandard(B76)</f>
        <v>6.8713793791579916E-4</v>
      </c>
      <c r="D76" s="20">
        <f ca="1">_xll.meMathNormalDistributionPDF(B76)</f>
        <v>2.3840882014646856E-3</v>
      </c>
      <c r="G76" s="7">
        <v>0.34000000000000019</v>
      </c>
      <c r="H76" s="3">
        <f ca="1">_xll.meMathNormalDistributionStandardInverse(G76)</f>
        <v>-0.41246312944140434</v>
      </c>
      <c r="I76" s="3"/>
      <c r="J76" s="9">
        <f t="shared" si="7"/>
        <v>-0.41246312944140445</v>
      </c>
      <c r="K76" s="17">
        <f t="shared" ca="1" si="8"/>
        <v>0</v>
      </c>
      <c r="M76" s="1">
        <v>-3.2000000000000206</v>
      </c>
      <c r="N76" s="3">
        <f ca="1">_xll.meMathNormalDistribution(M76,$N$4,$N$5)</f>
        <v>6.8713793791579916E-4</v>
      </c>
      <c r="O76" s="20">
        <f ca="1">_xll.meMathNormalDistributionPDF(M76,$N$4,$N$5)</f>
        <v>2.3840882014646856E-3</v>
      </c>
      <c r="P76" s="8" t="b">
        <f t="shared" ca="1" si="10"/>
        <v>1</v>
      </c>
      <c r="R76" s="7">
        <v>0.34000000000000019</v>
      </c>
      <c r="S76" s="3">
        <f ca="1">_xll.meMathNormalDistributionInverse(R76,$S$4,$S$5)</f>
        <v>-0.41246312944140434</v>
      </c>
      <c r="T76" s="12" t="b">
        <f t="shared" ca="1" si="11"/>
        <v>1</v>
      </c>
    </row>
    <row r="77" spans="2:20" x14ac:dyDescent="0.25">
      <c r="B77" s="1">
        <v>-3.1000000000000205</v>
      </c>
      <c r="C77" s="3">
        <f ca="1">_xll.meMathNormalDistributionStandard(B77)</f>
        <v>9.6760321321828974E-4</v>
      </c>
      <c r="D77" s="20">
        <f ca="1">_xll.meMathNormalDistributionPDF(B77)</f>
        <v>3.2668190561997131E-3</v>
      </c>
      <c r="G77" s="7">
        <v>0.3450000000000002</v>
      </c>
      <c r="H77" s="3">
        <f ca="1">_xll.meMathNormalDistributionStandardInverse(G77)</f>
        <v>-0.3988550656423363</v>
      </c>
      <c r="I77" s="3"/>
      <c r="J77" s="9">
        <f t="shared" si="7"/>
        <v>-0.3988550656423363</v>
      </c>
      <c r="K77" s="17">
        <f t="shared" ca="1" si="8"/>
        <v>0</v>
      </c>
      <c r="M77" s="1">
        <v>-3.1000000000000205</v>
      </c>
      <c r="N77" s="3">
        <f ca="1">_xll.meMathNormalDistribution(M77,$N$4,$N$5)</f>
        <v>9.6760321321828974E-4</v>
      </c>
      <c r="O77" s="20">
        <f ca="1">_xll.meMathNormalDistributionPDF(M77,$N$4,$N$5)</f>
        <v>3.2668190561997131E-3</v>
      </c>
      <c r="P77" s="8" t="b">
        <f t="shared" ca="1" si="10"/>
        <v>1</v>
      </c>
      <c r="R77" s="7">
        <v>0.3450000000000002</v>
      </c>
      <c r="S77" s="3">
        <f ca="1">_xll.meMathNormalDistributionInverse(R77,$S$4,$S$5)</f>
        <v>-0.3988550656423363</v>
      </c>
      <c r="T77" s="12" t="b">
        <f t="shared" ca="1" si="11"/>
        <v>1</v>
      </c>
    </row>
    <row r="78" spans="2:20" x14ac:dyDescent="0.25">
      <c r="B78" s="1">
        <v>-3.0000000000000204</v>
      </c>
      <c r="C78" s="3">
        <f ca="1">_xll.meMathNormalDistributionStandard(B78)</f>
        <v>1.3498980316300042E-3</v>
      </c>
      <c r="D78" s="20">
        <f ca="1">_xll.meMathNormalDistributionPDF(B78)</f>
        <v>4.431848411937736E-3</v>
      </c>
      <c r="G78" s="7">
        <v>0.3500000000000002</v>
      </c>
      <c r="H78" s="3">
        <f ca="1">_xll.meMathNormalDistributionStandardInverse(G78)</f>
        <v>-0.38532046640756729</v>
      </c>
      <c r="I78" s="3"/>
      <c r="J78" s="9">
        <f t="shared" si="7"/>
        <v>-0.38532046640756712</v>
      </c>
      <c r="K78" s="17">
        <f t="shared" ca="1" si="8"/>
        <v>0</v>
      </c>
      <c r="M78" s="1">
        <v>-3.0000000000000204</v>
      </c>
      <c r="N78" s="3">
        <f ca="1">_xll.meMathNormalDistribution(M78,$N$4,$N$5)</f>
        <v>1.3498980316300042E-3</v>
      </c>
      <c r="O78" s="20">
        <f ca="1">_xll.meMathNormalDistributionPDF(M78,$N$4,$N$5)</f>
        <v>4.431848411937736E-3</v>
      </c>
      <c r="P78" s="8" t="b">
        <f t="shared" ca="1" si="10"/>
        <v>1</v>
      </c>
      <c r="R78" s="7">
        <v>0.3500000000000002</v>
      </c>
      <c r="S78" s="3">
        <f ca="1">_xll.meMathNormalDistributionInverse(R78,$S$4,$S$5)</f>
        <v>-0.38532046640756729</v>
      </c>
      <c r="T78" s="12" t="b">
        <f t="shared" ca="1" si="11"/>
        <v>1</v>
      </c>
    </row>
    <row r="79" spans="2:20" x14ac:dyDescent="0.25">
      <c r="B79" s="1">
        <v>-2.9000000000000203</v>
      </c>
      <c r="C79" s="3">
        <f ca="1">_xll.meMathNormalDistributionStandard(B79)</f>
        <v>1.8658133003839172E-3</v>
      </c>
      <c r="D79" s="20">
        <f ca="1">_xll.meMathNormalDistributionPDF(B79)</f>
        <v>5.9525324197755051E-3</v>
      </c>
      <c r="G79" s="7">
        <v>0.3550000000000002</v>
      </c>
      <c r="H79" s="3">
        <f ca="1">_xll.meMathNormalDistributionStandardInverse(G79)</f>
        <v>-0.37185608938507436</v>
      </c>
      <c r="I79" s="3"/>
      <c r="J79" s="9">
        <f t="shared" si="7"/>
        <v>-0.37185608938507414</v>
      </c>
      <c r="K79" s="17">
        <f t="shared" ca="1" si="8"/>
        <v>0</v>
      </c>
      <c r="M79" s="1">
        <v>-2.9000000000000203</v>
      </c>
      <c r="N79" s="3">
        <f ca="1">_xll.meMathNormalDistribution(M79,$N$4,$N$5)</f>
        <v>1.8658133003839172E-3</v>
      </c>
      <c r="O79" s="20">
        <f ca="1">_xll.meMathNormalDistributionPDF(M79,$N$4,$N$5)</f>
        <v>5.9525324197755051E-3</v>
      </c>
      <c r="P79" s="8" t="b">
        <f t="shared" ca="1" si="10"/>
        <v>1</v>
      </c>
      <c r="R79" s="7">
        <v>0.3550000000000002</v>
      </c>
      <c r="S79" s="3">
        <f ca="1">_xll.meMathNormalDistributionInverse(R79,$S$4,$S$5)</f>
        <v>-0.37185608938507436</v>
      </c>
      <c r="T79" s="12" t="b">
        <f t="shared" ca="1" si="11"/>
        <v>1</v>
      </c>
    </row>
    <row r="80" spans="2:20" x14ac:dyDescent="0.25">
      <c r="B80" s="1">
        <v>-2.8000000000000203</v>
      </c>
      <c r="C80" s="3">
        <f ca="1">_xll.meMathNormalDistributionStandard(B80)</f>
        <v>2.555130330427772E-3</v>
      </c>
      <c r="D80" s="20">
        <f ca="1">_xll.meMathNormalDistributionPDF(B80)</f>
        <v>7.9154515829795141E-3</v>
      </c>
      <c r="G80" s="7">
        <v>0.36000000000000021</v>
      </c>
      <c r="H80" s="3">
        <f ca="1">_xll.meMathNormalDistributionStandardInverse(G80)</f>
        <v>-0.35845879325119345</v>
      </c>
      <c r="I80" s="3"/>
      <c r="J80" s="9">
        <f t="shared" si="7"/>
        <v>-0.35845879325119318</v>
      </c>
      <c r="K80" s="17">
        <f t="shared" ca="1" si="8"/>
        <v>0</v>
      </c>
      <c r="M80" s="1">
        <v>-2.8000000000000203</v>
      </c>
      <c r="N80" s="3">
        <f ca="1">_xll.meMathNormalDistribution(M80,$N$4,$N$5)</f>
        <v>2.555130330427772E-3</v>
      </c>
      <c r="O80" s="20">
        <f ca="1">_xll.meMathNormalDistributionPDF(M80,$N$4,$N$5)</f>
        <v>7.9154515829795141E-3</v>
      </c>
      <c r="P80" s="8" t="b">
        <f t="shared" ca="1" si="10"/>
        <v>1</v>
      </c>
      <c r="R80" s="7">
        <v>0.36000000000000021</v>
      </c>
      <c r="S80" s="3">
        <f ca="1">_xll.meMathNormalDistributionInverse(R80,$S$4,$S$5)</f>
        <v>-0.35845879325119345</v>
      </c>
      <c r="T80" s="12" t="b">
        <f t="shared" ca="1" si="11"/>
        <v>1</v>
      </c>
    </row>
    <row r="81" spans="2:20" x14ac:dyDescent="0.25">
      <c r="B81" s="1">
        <v>-2.7000000000000202</v>
      </c>
      <c r="C81" s="3">
        <f ca="1">_xll.meMathNormalDistributionStandard(B81)</f>
        <v>3.4669738030404574E-3</v>
      </c>
      <c r="D81" s="20">
        <f ca="1">_xll.meMathNormalDistributionPDF(B81)</f>
        <v>1.0420934814422026E-2</v>
      </c>
      <c r="G81" s="7">
        <v>0.36500000000000021</v>
      </c>
      <c r="H81" s="3">
        <f ca="1">_xll.meMathNormalDistributionStandardInverse(G81)</f>
        <v>-0.34512553147047181</v>
      </c>
      <c r="I81" s="3"/>
      <c r="J81" s="9">
        <f t="shared" si="7"/>
        <v>-0.34512553147047187</v>
      </c>
      <c r="K81" s="17">
        <f t="shared" ca="1" si="8"/>
        <v>0</v>
      </c>
      <c r="M81" s="1">
        <v>-2.7000000000000202</v>
      </c>
      <c r="N81" s="3">
        <f ca="1">_xll.meMathNormalDistribution(M81,$N$4,$N$5)</f>
        <v>3.4669738030404574E-3</v>
      </c>
      <c r="O81" s="20">
        <f ca="1">_xll.meMathNormalDistributionPDF(M81,$N$4,$N$5)</f>
        <v>1.0420934814422026E-2</v>
      </c>
      <c r="P81" s="8" t="b">
        <f t="shared" ca="1" si="10"/>
        <v>1</v>
      </c>
      <c r="R81" s="7">
        <v>0.36500000000000021</v>
      </c>
      <c r="S81" s="3">
        <f ca="1">_xll.meMathNormalDistributionInverse(R81,$S$4,$S$5)</f>
        <v>-0.34512553147047181</v>
      </c>
      <c r="T81" s="12" t="b">
        <f t="shared" ca="1" si="11"/>
        <v>1</v>
      </c>
    </row>
    <row r="82" spans="2:20" x14ac:dyDescent="0.25">
      <c r="B82" s="1">
        <v>-2.6000000000000201</v>
      </c>
      <c r="C82" s="3">
        <f ca="1">_xll.meMathNormalDistributionStandard(B82)</f>
        <v>4.661188023718477E-3</v>
      </c>
      <c r="D82" s="20">
        <f ca="1">_xll.meMathNormalDistributionPDF(B82)</f>
        <v>1.3582969233684909E-2</v>
      </c>
      <c r="G82" s="7">
        <v>0.37000000000000022</v>
      </c>
      <c r="H82" s="3">
        <f ca="1">_xll.meMathNormalDistributionStandardInverse(G82)</f>
        <v>-0.33185334643681613</v>
      </c>
      <c r="I82" s="3"/>
      <c r="J82" s="9">
        <f t="shared" si="7"/>
        <v>-0.33185334643681608</v>
      </c>
      <c r="K82" s="17">
        <f t="shared" ca="1" si="8"/>
        <v>0</v>
      </c>
      <c r="M82" s="1">
        <v>-2.6000000000000201</v>
      </c>
      <c r="N82" s="3">
        <f ca="1">_xll.meMathNormalDistribution(M82,$N$4,$N$5)</f>
        <v>4.661188023718477E-3</v>
      </c>
      <c r="O82" s="20">
        <f ca="1">_xll.meMathNormalDistributionPDF(M82,$N$4,$N$5)</f>
        <v>1.3582969233684909E-2</v>
      </c>
      <c r="P82" s="8" t="b">
        <f t="shared" ca="1" si="10"/>
        <v>1</v>
      </c>
      <c r="R82" s="7">
        <v>0.37000000000000022</v>
      </c>
      <c r="S82" s="3">
        <f ca="1">_xll.meMathNormalDistributionInverse(R82,$S$4,$S$5)</f>
        <v>-0.33185334643681613</v>
      </c>
      <c r="T82" s="12" t="b">
        <f t="shared" ca="1" si="11"/>
        <v>1</v>
      </c>
    </row>
    <row r="83" spans="2:20" x14ac:dyDescent="0.25">
      <c r="B83" s="1">
        <v>-2.50000000000002</v>
      </c>
      <c r="C83" s="3">
        <f ca="1">_xll.meMathNormalDistributionStandard(B83)</f>
        <v>6.2096653257757818E-3</v>
      </c>
      <c r="D83" s="20">
        <f ca="1">_xll.meMathNormalDistributionPDF(B83)</f>
        <v>1.7528300493567659E-2</v>
      </c>
      <c r="G83" s="7">
        <v>0.37500000000000022</v>
      </c>
      <c r="H83" s="3">
        <f ca="1">_xll.meMathNormalDistributionStandardInverse(G83)</f>
        <v>-0.31863936396437459</v>
      </c>
      <c r="I83" s="3"/>
      <c r="J83" s="9">
        <f t="shared" si="7"/>
        <v>-0.31863936396437464</v>
      </c>
      <c r="K83" s="17">
        <f t="shared" ca="1" si="8"/>
        <v>0</v>
      </c>
      <c r="M83" s="1">
        <v>-2.50000000000002</v>
      </c>
      <c r="N83" s="3">
        <f ca="1">_xll.meMathNormalDistribution(M83,$N$4,$N$5)</f>
        <v>6.2096653257757818E-3</v>
      </c>
      <c r="O83" s="20">
        <f ca="1">_xll.meMathNormalDistributionPDF(M83,$N$4,$N$5)</f>
        <v>1.7528300493567659E-2</v>
      </c>
      <c r="P83" s="8" t="b">
        <f t="shared" ca="1" si="10"/>
        <v>1</v>
      </c>
      <c r="R83" s="7">
        <v>0.37500000000000022</v>
      </c>
      <c r="S83" s="3">
        <f ca="1">_xll.meMathNormalDistributionInverse(R83,$S$4,$S$5)</f>
        <v>-0.31863936396437459</v>
      </c>
      <c r="T83" s="12" t="b">
        <f t="shared" ca="1" si="11"/>
        <v>1</v>
      </c>
    </row>
    <row r="84" spans="2:20" x14ac:dyDescent="0.25">
      <c r="B84" s="1">
        <v>-2.4000000000000199</v>
      </c>
      <c r="C84" s="3">
        <f ca="1">_xll.meMathNormalDistributionStandard(B84)</f>
        <v>8.1975359245956819E-3</v>
      </c>
      <c r="D84" s="20">
        <f ca="1">_xll.meMathNormalDistributionPDF(B84)</f>
        <v>2.2394530294841827E-2</v>
      </c>
      <c r="G84" s="7">
        <v>0.38000000000000023</v>
      </c>
      <c r="H84" s="3">
        <f ca="1">_xll.meMathNormalDistributionStandardInverse(G84)</f>
        <v>-0.30548078809939683</v>
      </c>
      <c r="I84" s="3"/>
      <c r="J84" s="9">
        <f t="shared" si="7"/>
        <v>-0.30548078809939677</v>
      </c>
      <c r="K84" s="17">
        <f t="shared" ca="1" si="8"/>
        <v>0</v>
      </c>
      <c r="M84" s="1">
        <v>-2.4000000000000199</v>
      </c>
      <c r="N84" s="3">
        <f ca="1">_xll.meMathNormalDistribution(M84,$N$4,$N$5)</f>
        <v>8.1975359245956819E-3</v>
      </c>
      <c r="O84" s="20">
        <f ca="1">_xll.meMathNormalDistributionPDF(M84,$N$4,$N$5)</f>
        <v>2.2394530294841827E-2</v>
      </c>
      <c r="P84" s="8" t="b">
        <f t="shared" ca="1" si="10"/>
        <v>1</v>
      </c>
      <c r="R84" s="7">
        <v>0.38000000000000023</v>
      </c>
      <c r="S84" s="3">
        <f ca="1">_xll.meMathNormalDistributionInverse(R84,$S$4,$S$5)</f>
        <v>-0.30548078809939683</v>
      </c>
      <c r="T84" s="12" t="b">
        <f t="shared" ca="1" si="11"/>
        <v>1</v>
      </c>
    </row>
    <row r="85" spans="2:20" x14ac:dyDescent="0.25">
      <c r="B85" s="1">
        <v>-2.3000000000000198</v>
      </c>
      <c r="C85" s="3">
        <f ca="1">_xll.meMathNormalDistributionStandard(B85)</f>
        <v>1.0724110021675243E-2</v>
      </c>
      <c r="D85" s="20">
        <f ca="1">_xll.meMathNormalDistributionPDF(B85)</f>
        <v>2.8327037741599882E-2</v>
      </c>
      <c r="G85" s="7">
        <v>0.38500000000000023</v>
      </c>
      <c r="H85" s="3">
        <f ca="1">_xll.meMathNormalDistributionStandardInverse(G85)</f>
        <v>-0.29237489622680374</v>
      </c>
      <c r="I85" s="3"/>
      <c r="J85" s="9">
        <f t="shared" si="7"/>
        <v>-0.29237489622680363</v>
      </c>
      <c r="K85" s="17">
        <f t="shared" ca="1" si="8"/>
        <v>0</v>
      </c>
      <c r="M85" s="1">
        <v>-2.3000000000000198</v>
      </c>
      <c r="N85" s="3">
        <f ca="1">_xll.meMathNormalDistribution(M85,$N$4,$N$5)</f>
        <v>1.0724110021675243E-2</v>
      </c>
      <c r="O85" s="20">
        <f ca="1">_xll.meMathNormalDistributionPDF(M85,$N$4,$N$5)</f>
        <v>2.8327037741599882E-2</v>
      </c>
      <c r="P85" s="8" t="b">
        <f t="shared" ca="1" si="10"/>
        <v>1</v>
      </c>
      <c r="R85" s="7">
        <v>0.38500000000000023</v>
      </c>
      <c r="S85" s="3">
        <f ca="1">_xll.meMathNormalDistributionInverse(R85,$S$4,$S$5)</f>
        <v>-0.29237489622680374</v>
      </c>
      <c r="T85" s="12" t="b">
        <f t="shared" ca="1" si="11"/>
        <v>1</v>
      </c>
    </row>
    <row r="86" spans="2:20" x14ac:dyDescent="0.25">
      <c r="B86" s="1">
        <v>-2.2000000000000197</v>
      </c>
      <c r="C86" s="3">
        <f ca="1">_xll.meMathNormalDistributionStandard(B86)</f>
        <v>1.390344751349791E-2</v>
      </c>
      <c r="D86" s="20">
        <f ca="1">_xll.meMathNormalDistributionPDF(B86)</f>
        <v>3.5474592846229898E-2</v>
      </c>
      <c r="G86" s="7">
        <v>0.39000000000000024</v>
      </c>
      <c r="H86" s="3">
        <f ca="1">_xll.meMathNormalDistributionStandardInverse(G86)</f>
        <v>-0.2793190344474536</v>
      </c>
      <c r="I86" s="3"/>
      <c r="J86" s="9">
        <f t="shared" si="7"/>
        <v>-0.2793190344474536</v>
      </c>
      <c r="K86" s="17">
        <f t="shared" ca="1" si="8"/>
        <v>0</v>
      </c>
      <c r="M86" s="1">
        <v>-2.2000000000000197</v>
      </c>
      <c r="N86" s="3">
        <f ca="1">_xll.meMathNormalDistribution(M86,$N$4,$N$5)</f>
        <v>1.390344751349791E-2</v>
      </c>
      <c r="O86" s="20">
        <f ca="1">_xll.meMathNormalDistributionPDF(M86,$N$4,$N$5)</f>
        <v>3.5474592846229898E-2</v>
      </c>
      <c r="P86" s="8" t="b">
        <f t="shared" ca="1" si="10"/>
        <v>1</v>
      </c>
      <c r="R86" s="7">
        <v>0.39000000000000024</v>
      </c>
      <c r="S86" s="3">
        <f ca="1">_xll.meMathNormalDistributionInverse(R86,$S$4,$S$5)</f>
        <v>-0.2793190344474536</v>
      </c>
      <c r="T86" s="12" t="b">
        <f t="shared" ca="1" si="11"/>
        <v>1</v>
      </c>
    </row>
    <row r="87" spans="2:20" x14ac:dyDescent="0.25">
      <c r="B87" s="1">
        <v>-2.1000000000000196</v>
      </c>
      <c r="C87" s="3">
        <f ca="1">_xll.meMathNormalDistributionStandard(B87)</f>
        <v>1.7864420562815692E-2</v>
      </c>
      <c r="D87" s="20">
        <f ca="1">_xll.meMathNormalDistributionPDF(B87)</f>
        <v>4.398359598042538E-2</v>
      </c>
      <c r="G87" s="7">
        <v>0.39500000000000024</v>
      </c>
      <c r="H87" s="3">
        <f ca="1">_xll.meMathNormalDistributionStandardInverse(G87)</f>
        <v>-0.26631061320409438</v>
      </c>
      <c r="I87" s="3"/>
      <c r="J87" s="9">
        <f t="shared" si="7"/>
        <v>-0.26631061320409444</v>
      </c>
      <c r="K87" s="17">
        <f t="shared" ca="1" si="8"/>
        <v>0</v>
      </c>
      <c r="M87" s="1">
        <v>-2.1000000000000196</v>
      </c>
      <c r="N87" s="3">
        <f ca="1">_xll.meMathNormalDistribution(M87,$N$4,$N$5)</f>
        <v>1.7864420562815692E-2</v>
      </c>
      <c r="O87" s="20">
        <f ca="1">_xll.meMathNormalDistributionPDF(M87,$N$4,$N$5)</f>
        <v>4.398359598042538E-2</v>
      </c>
      <c r="P87" s="8" t="b">
        <f t="shared" ca="1" si="10"/>
        <v>1</v>
      </c>
      <c r="R87" s="7">
        <v>0.39500000000000024</v>
      </c>
      <c r="S87" s="3">
        <f ca="1">_xll.meMathNormalDistributionInverse(R87,$S$4,$S$5)</f>
        <v>-0.26631061320409438</v>
      </c>
      <c r="T87" s="12" t="b">
        <f t="shared" ca="1" si="11"/>
        <v>1</v>
      </c>
    </row>
    <row r="88" spans="2:20" x14ac:dyDescent="0.25">
      <c r="B88" s="1">
        <v>-2.0000000000000195</v>
      </c>
      <c r="C88" s="3">
        <f ca="1">_xll.meMathNormalDistributionStandard(B88)</f>
        <v>2.2750131948178147E-2</v>
      </c>
      <c r="D88" s="20">
        <f ca="1">_xll.meMathNormalDistributionPDF(B88)</f>
        <v>5.3990966513185946E-2</v>
      </c>
      <c r="G88" s="7">
        <v>0.40000000000000024</v>
      </c>
      <c r="H88" s="3">
        <f ca="1">_xll.meMathNormalDistributionStandardInverse(G88)</f>
        <v>-0.25334710313579922</v>
      </c>
      <c r="I88" s="3"/>
      <c r="J88" s="9">
        <f t="shared" si="7"/>
        <v>-0.25334710313579917</v>
      </c>
      <c r="K88" s="17">
        <f t="shared" ca="1" si="8"/>
        <v>0</v>
      </c>
      <c r="M88" s="1">
        <v>-2.0000000000000195</v>
      </c>
      <c r="N88" s="3">
        <f ca="1">_xll.meMathNormalDistribution(M88,$N$4,$N$5)</f>
        <v>2.2750131948178147E-2</v>
      </c>
      <c r="O88" s="20">
        <f ca="1">_xll.meMathNormalDistributionPDF(M88,$N$4,$N$5)</f>
        <v>5.3990966513185946E-2</v>
      </c>
      <c r="P88" s="8" t="b">
        <f t="shared" ca="1" si="10"/>
        <v>1</v>
      </c>
      <c r="R88" s="7">
        <v>0.40000000000000024</v>
      </c>
      <c r="S88" s="3">
        <f ca="1">_xll.meMathNormalDistributionInverse(R88,$S$4,$S$5)</f>
        <v>-0.25334710313579922</v>
      </c>
      <c r="T88" s="12" t="b">
        <f t="shared" ca="1" si="11"/>
        <v>1</v>
      </c>
    </row>
    <row r="89" spans="2:20" x14ac:dyDescent="0.25">
      <c r="B89" s="1">
        <v>-1.9000000000000195</v>
      </c>
      <c r="C89" s="3">
        <f ca="1">_xll.meMathNormalDistributionStandard(B89)</f>
        <v>2.8716559816000527E-2</v>
      </c>
      <c r="D89" s="20">
        <f ca="1">_xll.meMathNormalDistributionPDF(B89)</f>
        <v>6.5615814774674167E-2</v>
      </c>
      <c r="G89" s="7">
        <v>0.40500000000000025</v>
      </c>
      <c r="H89" s="3">
        <f ca="1">_xll.meMathNormalDistributionStandardInverse(G89)</f>
        <v>-0.24042603114230743</v>
      </c>
      <c r="I89" s="3"/>
      <c r="J89" s="9">
        <f t="shared" si="7"/>
        <v>-0.24042603114230734</v>
      </c>
      <c r="K89" s="17">
        <f t="shared" ca="1" si="8"/>
        <v>0</v>
      </c>
      <c r="M89" s="1">
        <v>-1.9000000000000195</v>
      </c>
      <c r="N89" s="3">
        <f ca="1">_xll.meMathNormalDistribution(M89,$N$4,$N$5)</f>
        <v>2.8716559816000527E-2</v>
      </c>
      <c r="O89" s="20">
        <f ca="1">_xll.meMathNormalDistributionPDF(M89,$N$4,$N$5)</f>
        <v>6.5615814774674167E-2</v>
      </c>
      <c r="P89" s="8" t="b">
        <f t="shared" ca="1" si="10"/>
        <v>1</v>
      </c>
      <c r="R89" s="7">
        <v>0.40500000000000025</v>
      </c>
      <c r="S89" s="3">
        <f ca="1">_xll.meMathNormalDistributionInverse(R89,$S$4,$S$5)</f>
        <v>-0.24042603114230743</v>
      </c>
      <c r="T89" s="12" t="b">
        <f t="shared" ca="1" si="11"/>
        <v>1</v>
      </c>
    </row>
    <row r="90" spans="2:20" x14ac:dyDescent="0.25">
      <c r="B90" s="1">
        <v>-1.8000000000000194</v>
      </c>
      <c r="C90" s="3">
        <f ca="1">_xll.meMathNormalDistributionStandard(B90)</f>
        <v>3.5930319112924269E-2</v>
      </c>
      <c r="D90" s="20">
        <f ca="1">_xll.meMathNormalDistributionPDF(B90)</f>
        <v>7.8950158300891415E-2</v>
      </c>
      <c r="G90" s="7">
        <v>0.41000000000000025</v>
      </c>
      <c r="H90" s="3">
        <f ca="1">_xll.meMathNormalDistributionStandardInverse(G90)</f>
        <v>-0.22754497664114881</v>
      </c>
      <c r="I90" s="3"/>
      <c r="J90" s="9">
        <f t="shared" si="7"/>
        <v>-0.22754497664114881</v>
      </c>
      <c r="K90" s="17">
        <f t="shared" ca="1" si="8"/>
        <v>0</v>
      </c>
      <c r="M90" s="1">
        <v>-1.8000000000000194</v>
      </c>
      <c r="N90" s="3">
        <f ca="1">_xll.meMathNormalDistribution(M90,$N$4,$N$5)</f>
        <v>3.5930319112924269E-2</v>
      </c>
      <c r="O90" s="20">
        <f ca="1">_xll.meMathNormalDistributionPDF(M90,$N$4,$N$5)</f>
        <v>7.8950158300891415E-2</v>
      </c>
      <c r="P90" s="8" t="b">
        <f t="shared" ca="1" si="10"/>
        <v>1</v>
      </c>
      <c r="R90" s="7">
        <v>0.41000000000000025</v>
      </c>
      <c r="S90" s="3">
        <f ca="1">_xll.meMathNormalDistributionInverse(R90,$S$4,$S$5)</f>
        <v>-0.22754497664114881</v>
      </c>
      <c r="T90" s="12" t="b">
        <f t="shared" ca="1" si="11"/>
        <v>1</v>
      </c>
    </row>
    <row r="91" spans="2:20" x14ac:dyDescent="0.25">
      <c r="B91" s="1">
        <v>-1.7000000000000193</v>
      </c>
      <c r="C91" s="3">
        <f ca="1">_xll.meMathNormalDistributionStandard(B91)</f>
        <v>4.4565462758541237E-2</v>
      </c>
      <c r="D91" s="20">
        <f ca="1">_xll.meMathNormalDistributionPDF(B91)</f>
        <v>9.4049077376883852E-2</v>
      </c>
      <c r="G91" s="7">
        <v>0.41500000000000026</v>
      </c>
      <c r="H91" s="3">
        <f ca="1">_xll.meMathNormalDistributionStandardInverse(G91)</f>
        <v>-0.21470156800174384</v>
      </c>
      <c r="I91" s="3"/>
      <c r="J91" s="9">
        <f t="shared" si="7"/>
        <v>-0.21470156800174386</v>
      </c>
      <c r="K91" s="17">
        <f t="shared" ca="1" si="8"/>
        <v>0</v>
      </c>
      <c r="M91" s="1">
        <v>-1.7000000000000193</v>
      </c>
      <c r="N91" s="3">
        <f ca="1">_xll.meMathNormalDistribution(M91,$N$4,$N$5)</f>
        <v>4.4565462758541237E-2</v>
      </c>
      <c r="O91" s="20">
        <f ca="1">_xll.meMathNormalDistributionPDF(M91,$N$4,$N$5)</f>
        <v>9.4049077376883852E-2</v>
      </c>
      <c r="P91" s="8" t="b">
        <f t="shared" ca="1" si="10"/>
        <v>1</v>
      </c>
      <c r="R91" s="7">
        <v>0.41500000000000026</v>
      </c>
      <c r="S91" s="3">
        <f ca="1">_xll.meMathNormalDistributionInverse(R91,$S$4,$S$5)</f>
        <v>-0.21470156800174384</v>
      </c>
      <c r="T91" s="12" t="b">
        <f t="shared" ca="1" si="11"/>
        <v>1</v>
      </c>
    </row>
    <row r="92" spans="2:20" x14ac:dyDescent="0.25">
      <c r="B92" s="1">
        <v>-1.6000000000000192</v>
      </c>
      <c r="C92" s="3">
        <f ca="1">_xll.meMathNormalDistributionStandard(B92)</f>
        <v>5.4799291699555865E-2</v>
      </c>
      <c r="D92" s="20">
        <f ca="1">_xll.meMathNormalDistributionPDF(B92)</f>
        <v>0.11092083467945216</v>
      </c>
      <c r="G92" s="7">
        <v>0.42000000000000026</v>
      </c>
      <c r="H92" s="3">
        <f ca="1">_xll.meMathNormalDistributionStandardInverse(G92)</f>
        <v>-0.20189347914185021</v>
      </c>
      <c r="I92" s="3"/>
      <c r="J92" s="9">
        <f t="shared" si="7"/>
        <v>-0.20189347914185019</v>
      </c>
      <c r="K92" s="17">
        <f t="shared" ca="1" si="8"/>
        <v>0</v>
      </c>
      <c r="M92" s="1">
        <v>-1.6000000000000192</v>
      </c>
      <c r="N92" s="3">
        <f ca="1">_xll.meMathNormalDistribution(M92,$N$4,$N$5)</f>
        <v>5.4799291699555865E-2</v>
      </c>
      <c r="O92" s="20">
        <f ca="1">_xll.meMathNormalDistributionPDF(M92,$N$4,$N$5)</f>
        <v>0.11092083467945216</v>
      </c>
      <c r="P92" s="8" t="b">
        <f t="shared" ca="1" si="10"/>
        <v>1</v>
      </c>
      <c r="R92" s="7">
        <v>0.42000000000000026</v>
      </c>
      <c r="S92" s="3">
        <f ca="1">_xll.meMathNormalDistributionInverse(R92,$S$4,$S$5)</f>
        <v>-0.20189347914185021</v>
      </c>
      <c r="T92" s="12" t="b">
        <f t="shared" ca="1" si="11"/>
        <v>1</v>
      </c>
    </row>
    <row r="93" spans="2:20" x14ac:dyDescent="0.25">
      <c r="B93" s="1">
        <v>-1.5000000000000191</v>
      </c>
      <c r="C93" s="3">
        <f ca="1">_xll.meMathNormalDistributionStandard(B93)</f>
        <v>6.6807201268855601E-2</v>
      </c>
      <c r="D93" s="20">
        <f ca="1">_xll.meMathNormalDistributionPDF(B93)</f>
        <v>0.12951759566588802</v>
      </c>
      <c r="G93" s="7">
        <v>0.42500000000000027</v>
      </c>
      <c r="H93" s="3">
        <f ca="1">_xll.meMathNormalDistributionStandardInverse(G93)</f>
        <v>-0.18911842627279182</v>
      </c>
      <c r="I93" s="3"/>
      <c r="J93" s="9">
        <f t="shared" si="7"/>
        <v>-0.18911842627279182</v>
      </c>
      <c r="K93" s="17">
        <f t="shared" ca="1" si="8"/>
        <v>0</v>
      </c>
      <c r="M93" s="1">
        <v>-1.5000000000000191</v>
      </c>
      <c r="N93" s="3">
        <f ca="1">_xll.meMathNormalDistribution(M93,$N$4,$N$5)</f>
        <v>6.6807201268855601E-2</v>
      </c>
      <c r="O93" s="20">
        <f ca="1">_xll.meMathNormalDistributionPDF(M93,$N$4,$N$5)</f>
        <v>0.12951759566588802</v>
      </c>
      <c r="P93" s="8" t="b">
        <f t="shared" ca="1" si="10"/>
        <v>1</v>
      </c>
      <c r="R93" s="7">
        <v>0.42500000000000027</v>
      </c>
      <c r="S93" s="3">
        <f ca="1">_xll.meMathNormalDistributionInverse(R93,$S$4,$S$5)</f>
        <v>-0.18911842627279182</v>
      </c>
      <c r="T93" s="12" t="b">
        <f t="shared" ca="1" si="11"/>
        <v>1</v>
      </c>
    </row>
    <row r="94" spans="2:20" x14ac:dyDescent="0.25">
      <c r="B94" s="1">
        <v>-1.400000000000019</v>
      </c>
      <c r="C94" s="3">
        <f ca="1">_xll.meMathNormalDistributionStandard(B94)</f>
        <v>8.0756659233768208E-2</v>
      </c>
      <c r="D94" s="20">
        <f ca="1">_xll.meMathNormalDistributionPDF(B94)</f>
        <v>0.14972746563574085</v>
      </c>
      <c r="G94" s="7">
        <v>0.43000000000000027</v>
      </c>
      <c r="H94" s="3">
        <f ca="1">_xll.meMathNormalDistributionStandardInverse(G94)</f>
        <v>-0.17637416478086063</v>
      </c>
      <c r="I94" s="3"/>
      <c r="J94" s="9">
        <f t="shared" si="7"/>
        <v>-0.17637416478086065</v>
      </c>
      <c r="K94" s="17">
        <f t="shared" ca="1" si="8"/>
        <v>0</v>
      </c>
      <c r="M94" s="1">
        <v>-1.400000000000019</v>
      </c>
      <c r="N94" s="3">
        <f ca="1">_xll.meMathNormalDistribution(M94,$N$4,$N$5)</f>
        <v>8.0756659233768208E-2</v>
      </c>
      <c r="O94" s="20">
        <f ca="1">_xll.meMathNormalDistributionPDF(M94,$N$4,$N$5)</f>
        <v>0.14972746563574085</v>
      </c>
      <c r="P94" s="8" t="b">
        <f t="shared" ca="1" si="10"/>
        <v>1</v>
      </c>
      <c r="R94" s="7">
        <v>0.43000000000000027</v>
      </c>
      <c r="S94" s="3">
        <f ca="1">_xll.meMathNormalDistributionInverse(R94,$S$4,$S$5)</f>
        <v>-0.17637416478086063</v>
      </c>
      <c r="T94" s="12" t="b">
        <f t="shared" ca="1" si="11"/>
        <v>1</v>
      </c>
    </row>
    <row r="95" spans="2:20" x14ac:dyDescent="0.25">
      <c r="B95" s="1">
        <v>-1.3000000000000189</v>
      </c>
      <c r="C95" s="3">
        <f ca="1">_xll.meMathNormalDistributionStandard(B95)</f>
        <v>9.6800484585607069E-2</v>
      </c>
      <c r="D95" s="20">
        <f ca="1">_xll.meMathNormalDistributionPDF(B95)</f>
        <v>0.17136859204780314</v>
      </c>
      <c r="G95" s="7">
        <v>0.43500000000000028</v>
      </c>
      <c r="H95" s="3">
        <f ca="1">_xll.meMathNormalDistributionStandardInverse(G95)</f>
        <v>-0.16365848623314061</v>
      </c>
      <c r="I95" s="3"/>
      <c r="J95" s="9">
        <f t="shared" si="7"/>
        <v>-0.16365848623314058</v>
      </c>
      <c r="K95" s="17">
        <f t="shared" ca="1" si="8"/>
        <v>0</v>
      </c>
      <c r="M95" s="1">
        <v>-1.3000000000000189</v>
      </c>
      <c r="N95" s="3">
        <f ca="1">_xll.meMathNormalDistribution(M95,$N$4,$N$5)</f>
        <v>9.6800484585607069E-2</v>
      </c>
      <c r="O95" s="20">
        <f ca="1">_xll.meMathNormalDistributionPDF(M95,$N$4,$N$5)</f>
        <v>0.17136859204780314</v>
      </c>
      <c r="P95" s="8" t="b">
        <f t="shared" ca="1" si="10"/>
        <v>1</v>
      </c>
      <c r="R95" s="7">
        <v>0.43500000000000028</v>
      </c>
      <c r="S95" s="3">
        <f ca="1">_xll.meMathNormalDistributionInverse(R95,$S$4,$S$5)</f>
        <v>-0.16365848623314061</v>
      </c>
      <c r="T95" s="12" t="b">
        <f t="shared" ca="1" si="11"/>
        <v>1</v>
      </c>
    </row>
    <row r="96" spans="2:20" x14ac:dyDescent="0.25">
      <c r="B96" s="1">
        <v>-1.2000000000000188</v>
      </c>
      <c r="C96" s="3">
        <f ca="1">_xll.meMathNormalDistributionStandard(B96)</f>
        <v>0.11506967022170463</v>
      </c>
      <c r="D96" s="20">
        <f ca="1">_xll.meMathNormalDistributionPDF(B96)</f>
        <v>0.19418605498320857</v>
      </c>
      <c r="G96" s="7">
        <v>0.44000000000000028</v>
      </c>
      <c r="H96" s="3">
        <f ca="1">_xll.meMathNormalDistributionStandardInverse(G96)</f>
        <v>-0.15096921549677655</v>
      </c>
      <c r="I96" s="3"/>
      <c r="J96" s="9">
        <f t="shared" si="7"/>
        <v>-0.15096921549677655</v>
      </c>
      <c r="K96" s="17">
        <f t="shared" ca="1" si="8"/>
        <v>0</v>
      </c>
      <c r="M96" s="1">
        <v>-1.2000000000000188</v>
      </c>
      <c r="N96" s="3">
        <f ca="1">_xll.meMathNormalDistribution(M96,$N$4,$N$5)</f>
        <v>0.11506967022170463</v>
      </c>
      <c r="O96" s="20">
        <f ca="1">_xll.meMathNormalDistributionPDF(M96,$N$4,$N$5)</f>
        <v>0.19418605498320857</v>
      </c>
      <c r="P96" s="8" t="b">
        <f t="shared" ca="1" si="10"/>
        <v>1</v>
      </c>
      <c r="R96" s="7">
        <v>0.44000000000000028</v>
      </c>
      <c r="S96" s="3">
        <f ca="1">_xll.meMathNormalDistributionInverse(R96,$S$4,$S$5)</f>
        <v>-0.15096921549677655</v>
      </c>
      <c r="T96" s="12" t="b">
        <f t="shared" ca="1" si="11"/>
        <v>1</v>
      </c>
    </row>
    <row r="97" spans="2:20" x14ac:dyDescent="0.25">
      <c r="B97" s="1">
        <v>-1.1000000000000187</v>
      </c>
      <c r="C97" s="3">
        <f ca="1">_xll.meMathNormalDistributionStandard(B97)</f>
        <v>0.13566606094637859</v>
      </c>
      <c r="D97" s="20">
        <f ca="1">_xll.meMathNormalDistributionPDF(B97)</f>
        <v>0.21785217703254606</v>
      </c>
      <c r="G97" s="7">
        <v>0.44500000000000028</v>
      </c>
      <c r="H97" s="3">
        <f ca="1">_xll.meMathNormalDistributionStandardInverse(G97)</f>
        <v>-0.1383042079614038</v>
      </c>
      <c r="I97" s="3"/>
      <c r="J97" s="9">
        <f t="shared" si="7"/>
        <v>-0.13830420796140383</v>
      </c>
      <c r="K97" s="17">
        <f t="shared" ca="1" si="8"/>
        <v>0</v>
      </c>
      <c r="M97" s="1">
        <v>-1.1000000000000187</v>
      </c>
      <c r="N97" s="3">
        <f ca="1">_xll.meMathNormalDistribution(M97,$N$4,$N$5)</f>
        <v>0.13566606094637859</v>
      </c>
      <c r="O97" s="20">
        <f ca="1">_xll.meMathNormalDistributionPDF(M97,$N$4,$N$5)</f>
        <v>0.21785217703254606</v>
      </c>
      <c r="P97" s="8" t="b">
        <f t="shared" ca="1" si="10"/>
        <v>1</v>
      </c>
      <c r="R97" s="7">
        <v>0.44500000000000028</v>
      </c>
      <c r="S97" s="3">
        <f ca="1">_xll.meMathNormalDistributionInverse(R97,$S$4,$S$5)</f>
        <v>-0.1383042079614038</v>
      </c>
      <c r="T97" s="12" t="b">
        <f t="shared" ca="1" si="11"/>
        <v>1</v>
      </c>
    </row>
    <row r="98" spans="2:20" x14ac:dyDescent="0.25">
      <c r="B98" s="1">
        <v>-1.0000000000000187</v>
      </c>
      <c r="C98" s="3">
        <f ca="1">_xll.meMathNormalDistributionStandard(B98)</f>
        <v>0.15865525393145255</v>
      </c>
      <c r="D98" s="20">
        <f ca="1">_xll.meMathNormalDistributionPDF(B98)</f>
        <v>0.24197072451913884</v>
      </c>
      <c r="G98" s="7">
        <v>0.45000000000000029</v>
      </c>
      <c r="H98" s="3">
        <f ca="1">_xll.meMathNormalDistributionStandardInverse(G98)</f>
        <v>-0.12566134685507335</v>
      </c>
      <c r="I98" s="3"/>
      <c r="J98" s="9">
        <f t="shared" si="7"/>
        <v>-0.12566134685507332</v>
      </c>
      <c r="K98" s="17">
        <f t="shared" ca="1" si="8"/>
        <v>0</v>
      </c>
      <c r="M98" s="1">
        <v>-1.0000000000000187</v>
      </c>
      <c r="N98" s="3">
        <f ca="1">_xll.meMathNormalDistribution(M98,$N$4,$N$5)</f>
        <v>0.15865525393145255</v>
      </c>
      <c r="O98" s="20">
        <f ca="1">_xll.meMathNormalDistributionPDF(M98,$N$4,$N$5)</f>
        <v>0.24197072451913884</v>
      </c>
      <c r="P98" s="8" t="b">
        <f t="shared" ca="1" si="10"/>
        <v>1</v>
      </c>
      <c r="R98" s="7">
        <v>0.45000000000000029</v>
      </c>
      <c r="S98" s="3">
        <f ca="1">_xll.meMathNormalDistributionInverse(R98,$S$4,$S$5)</f>
        <v>-0.12566134685507335</v>
      </c>
      <c r="T98" s="12" t="b">
        <f t="shared" ca="1" si="11"/>
        <v>1</v>
      </c>
    </row>
    <row r="99" spans="2:20" x14ac:dyDescent="0.25">
      <c r="B99" s="1">
        <v>-0.90000000000001867</v>
      </c>
      <c r="C99" s="3">
        <f ca="1">_xll.meMathNormalDistributionStandard(B99)</f>
        <v>0.18406012534675456</v>
      </c>
      <c r="D99" s="20">
        <f ca="1">_xll.meMathNormalDistributionPDF(B99)</f>
        <v>0.26608524989875038</v>
      </c>
      <c r="G99" s="7">
        <v>0.45500000000000029</v>
      </c>
      <c r="H99" s="3">
        <f ca="1">_xll.meMathNormalDistributionStandardInverse(G99)</f>
        <v>-0.11303854064456438</v>
      </c>
      <c r="I99" s="3"/>
      <c r="J99" s="9">
        <f t="shared" si="7"/>
        <v>-0.11303854064456441</v>
      </c>
      <c r="K99" s="17">
        <f t="shared" ca="1" si="8"/>
        <v>0</v>
      </c>
      <c r="M99" s="1">
        <v>-0.90000000000001867</v>
      </c>
      <c r="N99" s="3">
        <f ca="1">_xll.meMathNormalDistribution(M99,$N$4,$N$5)</f>
        <v>0.18406012534675456</v>
      </c>
      <c r="O99" s="20">
        <f ca="1">_xll.meMathNormalDistributionPDF(M99,$N$4,$N$5)</f>
        <v>0.26608524989875038</v>
      </c>
      <c r="P99" s="8" t="b">
        <f t="shared" ca="1" si="10"/>
        <v>1</v>
      </c>
      <c r="R99" s="7">
        <v>0.45500000000000029</v>
      </c>
      <c r="S99" s="3">
        <f ca="1">_xll.meMathNormalDistributionInverse(R99,$S$4,$S$5)</f>
        <v>-0.11303854064456438</v>
      </c>
      <c r="T99" s="12" t="b">
        <f t="shared" ca="1" si="11"/>
        <v>1</v>
      </c>
    </row>
    <row r="100" spans="2:20" x14ac:dyDescent="0.25">
      <c r="B100" s="1">
        <v>-0.8000000000000187</v>
      </c>
      <c r="C100" s="3">
        <f ca="1">_xll.meMathNormalDistributionStandard(B100)</f>
        <v>0.21185539858339131</v>
      </c>
      <c r="D100" s="20">
        <f ca="1">_xll.meMathNormalDistributionPDF(B100)</f>
        <v>0.2896915527614784</v>
      </c>
      <c r="G100" s="7">
        <v>0.4600000000000003</v>
      </c>
      <c r="H100" s="3">
        <f ca="1">_xll.meMathNormalDistributionStandardInverse(G100)</f>
        <v>-0.10043372051146911</v>
      </c>
      <c r="I100" s="3"/>
      <c r="J100" s="9">
        <f t="shared" si="7"/>
        <v>-0.10043372051146907</v>
      </c>
      <c r="K100" s="17">
        <f t="shared" ca="1" si="8"/>
        <v>0</v>
      </c>
      <c r="M100" s="1">
        <v>-0.8000000000000187</v>
      </c>
      <c r="N100" s="3">
        <f ca="1">_xll.meMathNormalDistribution(M100,$N$4,$N$5)</f>
        <v>0.21185539858339131</v>
      </c>
      <c r="O100" s="20">
        <f ca="1">_xll.meMathNormalDistributionPDF(M100,$N$4,$N$5)</f>
        <v>0.2896915527614784</v>
      </c>
      <c r="P100" s="8" t="b">
        <f t="shared" ca="1" si="10"/>
        <v>1</v>
      </c>
      <c r="R100" s="7">
        <v>0.4600000000000003</v>
      </c>
      <c r="S100" s="3">
        <f ca="1">_xll.meMathNormalDistributionInverse(R100,$S$4,$S$5)</f>
        <v>-0.10043372051146911</v>
      </c>
      <c r="T100" s="12" t="b">
        <f t="shared" ca="1" si="11"/>
        <v>1</v>
      </c>
    </row>
    <row r="101" spans="2:20" x14ac:dyDescent="0.25">
      <c r="B101" s="1">
        <v>-0.70000000000001872</v>
      </c>
      <c r="C101" s="3">
        <f ca="1">_xll.meMathNormalDistributionStandard(B101)</f>
        <v>0.24196365222306723</v>
      </c>
      <c r="D101" s="20">
        <f ca="1">_xll.meMathNormalDistributionPDF(B101)</f>
        <v>0.31225393336675722</v>
      </c>
      <c r="G101" s="7">
        <v>0.4650000000000003</v>
      </c>
      <c r="H101" s="3">
        <f ca="1">_xll.meMathNormalDistributionStandardInverse(G101)</f>
        <v>-8.7844837895870997E-2</v>
      </c>
      <c r="I101" s="3"/>
      <c r="J101" s="9">
        <f t="shared" si="7"/>
        <v>-8.7844837895870984E-2</v>
      </c>
      <c r="K101" s="17">
        <f t="shared" ca="1" si="8"/>
        <v>0</v>
      </c>
      <c r="M101" s="1">
        <v>-0.70000000000001872</v>
      </c>
      <c r="N101" s="3">
        <f ca="1">_xll.meMathNormalDistribution(M101,$N$4,$N$5)</f>
        <v>0.24196365222306723</v>
      </c>
      <c r="O101" s="20">
        <f ca="1">_xll.meMathNormalDistributionPDF(M101,$N$4,$N$5)</f>
        <v>0.31225393336675722</v>
      </c>
      <c r="P101" s="8" t="b">
        <f t="shared" ca="1" si="10"/>
        <v>1</v>
      </c>
      <c r="R101" s="7">
        <v>0.4650000000000003</v>
      </c>
      <c r="S101" s="3">
        <f ca="1">_xll.meMathNormalDistributionInverse(R101,$S$4,$S$5)</f>
        <v>-8.7844837895870997E-2</v>
      </c>
      <c r="T101" s="12" t="b">
        <f t="shared" ca="1" si="11"/>
        <v>1</v>
      </c>
    </row>
    <row r="102" spans="2:20" x14ac:dyDescent="0.25">
      <c r="B102" s="1">
        <v>-0.60000000000001874</v>
      </c>
      <c r="C102" s="3">
        <f ca="1">_xll.meMathNormalDistributionStandard(B102)</f>
        <v>0.27425311775006733</v>
      </c>
      <c r="D102" s="20">
        <f ca="1">_xll.meMathNormalDistributionPDF(B102)</f>
        <v>0.33322460289179595</v>
      </c>
      <c r="G102" s="7">
        <v>0.47000000000000031</v>
      </c>
      <c r="H102" s="3">
        <f ca="1">_xll.meMathNormalDistributionStandardInverse(G102)</f>
        <v>-7.5269862099829055E-2</v>
      </c>
      <c r="I102" s="3"/>
      <c r="J102" s="9">
        <f t="shared" si="7"/>
        <v>-7.5269862099829069E-2</v>
      </c>
      <c r="K102" s="17">
        <f t="shared" ca="1" si="8"/>
        <v>0</v>
      </c>
      <c r="M102" s="1">
        <v>-0.60000000000001874</v>
      </c>
      <c r="N102" s="3">
        <f ca="1">_xll.meMathNormalDistribution(M102,$N$4,$N$5)</f>
        <v>0.27425311775006733</v>
      </c>
      <c r="O102" s="20">
        <f ca="1">_xll.meMathNormalDistributionPDF(M102,$N$4,$N$5)</f>
        <v>0.33322460289179595</v>
      </c>
      <c r="P102" s="8" t="b">
        <f t="shared" ca="1" si="10"/>
        <v>1</v>
      </c>
      <c r="R102" s="7">
        <v>0.47000000000000031</v>
      </c>
      <c r="S102" s="3">
        <f ca="1">_xll.meMathNormalDistributionInverse(R102,$S$4,$S$5)</f>
        <v>-7.5269862099829055E-2</v>
      </c>
      <c r="T102" s="12" t="b">
        <f t="shared" ca="1" si="11"/>
        <v>1</v>
      </c>
    </row>
    <row r="103" spans="2:20" x14ac:dyDescent="0.25">
      <c r="B103" s="1">
        <v>-0.50000000000001876</v>
      </c>
      <c r="C103" s="3">
        <f ca="1">_xll.meMathNormalDistributionStandard(B103)</f>
        <v>0.30853753872598033</v>
      </c>
      <c r="D103" s="20">
        <f ca="1">_xll.meMathNormalDistributionPDF(B103)</f>
        <v>0.35206532676429619</v>
      </c>
      <c r="G103" s="7">
        <v>0.47500000000000031</v>
      </c>
      <c r="H103" s="3">
        <f ca="1">_xll.meMathNormalDistributionStandardInverse(G103)</f>
        <v>-6.2706777943212971E-2</v>
      </c>
      <c r="I103" s="3"/>
      <c r="J103" s="9">
        <f t="shared" si="7"/>
        <v>-6.2706777943213013E-2</v>
      </c>
      <c r="K103" s="17">
        <f t="shared" ca="1" si="8"/>
        <v>0</v>
      </c>
      <c r="M103" s="1">
        <v>-0.50000000000001876</v>
      </c>
      <c r="N103" s="3">
        <f ca="1">_xll.meMathNormalDistribution(M103,$N$4,$N$5)</f>
        <v>0.30853753872598033</v>
      </c>
      <c r="O103" s="20">
        <f ca="1">_xll.meMathNormalDistributionPDF(M103,$N$4,$N$5)</f>
        <v>0.35206532676429619</v>
      </c>
      <c r="P103" s="8" t="b">
        <f t="shared" ca="1" si="10"/>
        <v>1</v>
      </c>
      <c r="R103" s="7">
        <v>0.47500000000000031</v>
      </c>
      <c r="S103" s="3">
        <f ca="1">_xll.meMathNormalDistributionInverse(R103,$S$4,$S$5)</f>
        <v>-6.2706777943212971E-2</v>
      </c>
      <c r="T103" s="12" t="b">
        <f t="shared" ca="1" si="11"/>
        <v>1</v>
      </c>
    </row>
    <row r="104" spans="2:20" x14ac:dyDescent="0.25">
      <c r="B104" s="1">
        <v>-0.40000000000001878</v>
      </c>
      <c r="C104" s="3">
        <f ca="1">_xll.meMathNormalDistributionStandard(B104)</f>
        <v>0.34457825838966893</v>
      </c>
      <c r="D104" s="20">
        <f ca="1">_xll.meMathNormalDistributionPDF(B104)</f>
        <v>0.36827014030332056</v>
      </c>
      <c r="G104" s="7">
        <v>0.48000000000000032</v>
      </c>
      <c r="H104" s="3">
        <f ca="1">_xll.meMathNormalDistributionStandardInverse(G104)</f>
        <v>-5.0153583464732872E-2</v>
      </c>
      <c r="I104" s="3"/>
      <c r="J104" s="9">
        <f t="shared" si="7"/>
        <v>-5.015358346473283E-2</v>
      </c>
      <c r="K104" s="17">
        <f t="shared" ca="1" si="8"/>
        <v>0</v>
      </c>
      <c r="M104" s="1">
        <v>-0.40000000000001878</v>
      </c>
      <c r="N104" s="3">
        <f ca="1">_xll.meMathNormalDistribution(M104,$N$4,$N$5)</f>
        <v>0.34457825838966893</v>
      </c>
      <c r="O104" s="20">
        <f ca="1">_xll.meMathNormalDistributionPDF(M104,$N$4,$N$5)</f>
        <v>0.36827014030332056</v>
      </c>
      <c r="P104" s="8" t="b">
        <f t="shared" ca="1" si="10"/>
        <v>1</v>
      </c>
      <c r="R104" s="7">
        <v>0.48000000000000032</v>
      </c>
      <c r="S104" s="3">
        <f ca="1">_xll.meMathNormalDistributionInverse(R104,$S$4,$S$5)</f>
        <v>-5.0153583464732872E-2</v>
      </c>
      <c r="T104" s="12" t="b">
        <f t="shared" ca="1" si="11"/>
        <v>1</v>
      </c>
    </row>
    <row r="105" spans="2:20" x14ac:dyDescent="0.25">
      <c r="B105" s="1">
        <v>-0.30000000000001881</v>
      </c>
      <c r="C105" s="3">
        <f ca="1">_xll.meMathNormalDistributionStandard(B105)</f>
        <v>0.38208857781104022</v>
      </c>
      <c r="D105" s="20">
        <f ca="1">_xll.meMathNormalDistributionPDF(B105)</f>
        <v>0.38138781546052197</v>
      </c>
      <c r="G105" s="7">
        <v>0.48500000000000032</v>
      </c>
      <c r="H105" s="3">
        <f ca="1">_xll.meMathNormalDistributionStandardInverse(G105)</f>
        <v>-3.760828766125518E-2</v>
      </c>
      <c r="I105" s="3"/>
      <c r="J105" s="9">
        <f t="shared" ref="J105:J136" si="12">NORMSINV(G105)</f>
        <v>-3.7608287661255103E-2</v>
      </c>
      <c r="K105" s="17">
        <f t="shared" ref="K105:K136" ca="1" si="13">H105-J105</f>
        <v>-7.6327832942979512E-17</v>
      </c>
      <c r="M105" s="1">
        <v>-0.30000000000001881</v>
      </c>
      <c r="N105" s="3">
        <f ca="1">_xll.meMathNormalDistribution(M105,$N$4,$N$5)</f>
        <v>0.38208857781104022</v>
      </c>
      <c r="O105" s="20">
        <f ca="1">_xll.meMathNormalDistributionPDF(M105,$N$4,$N$5)</f>
        <v>0.38138781546052197</v>
      </c>
      <c r="P105" s="8" t="b">
        <f t="shared" ca="1" si="10"/>
        <v>1</v>
      </c>
      <c r="R105" s="7">
        <v>0.48500000000000032</v>
      </c>
      <c r="S105" s="3">
        <f ca="1">_xll.meMathNormalDistributionInverse(R105,$S$4,$S$5)</f>
        <v>-3.760828766125518E-2</v>
      </c>
      <c r="T105" s="12" t="b">
        <f t="shared" ca="1" si="11"/>
        <v>1</v>
      </c>
    </row>
    <row r="106" spans="2:20" x14ac:dyDescent="0.25">
      <c r="B106" s="1">
        <v>-0.2000000000000188</v>
      </c>
      <c r="C106" s="3">
        <f ca="1">_xll.meMathNormalDistributionStandard(B106)</f>
        <v>0.42074029056088963</v>
      </c>
      <c r="D106" s="20">
        <f ca="1">_xll.meMathNormalDistributionPDF(B106)</f>
        <v>0.39104269397545444</v>
      </c>
      <c r="G106" s="7">
        <v>0.49000000000000032</v>
      </c>
      <c r="H106" s="3">
        <f ca="1">_xll.meMathNormalDistributionStandardInverse(G106)</f>
        <v>-2.50689082587102E-2</v>
      </c>
      <c r="I106" s="3"/>
      <c r="J106" s="9">
        <f t="shared" si="12"/>
        <v>-2.5068908258710224E-2</v>
      </c>
      <c r="K106" s="17">
        <f t="shared" ca="1" si="13"/>
        <v>0</v>
      </c>
      <c r="M106" s="1">
        <v>-0.2000000000000188</v>
      </c>
      <c r="N106" s="3">
        <f ca="1">_xll.meMathNormalDistribution(M106,$N$4,$N$5)</f>
        <v>0.42074029056088963</v>
      </c>
      <c r="O106" s="20">
        <f ca="1">_xll.meMathNormalDistributionPDF(M106,$N$4,$N$5)</f>
        <v>0.39104269397545444</v>
      </c>
      <c r="P106" s="8" t="b">
        <f t="shared" ca="1" si="10"/>
        <v>1</v>
      </c>
      <c r="R106" s="7">
        <v>0.49000000000000032</v>
      </c>
      <c r="S106" s="3">
        <f ca="1">_xll.meMathNormalDistributionInverse(R106,$S$4,$S$5)</f>
        <v>-2.50689082587102E-2</v>
      </c>
      <c r="T106" s="12" t="b">
        <f t="shared" ca="1" si="11"/>
        <v>1</v>
      </c>
    </row>
    <row r="107" spans="2:20" x14ac:dyDescent="0.25">
      <c r="B107" s="1">
        <v>-0.1000000000000188</v>
      </c>
      <c r="C107" s="3">
        <f ca="1">_xll.meMathNormalDistributionStandard(B107)</f>
        <v>0.46017216272296357</v>
      </c>
      <c r="D107" s="20">
        <f ca="1">_xll.meMathNormalDistributionPDF(B107)</f>
        <v>0.39695254747701103</v>
      </c>
      <c r="G107" s="7">
        <v>0.49500000000000033</v>
      </c>
      <c r="H107" s="3">
        <f ca="1">_xll.meMathNormalDistributionStandardInverse(G107)</f>
        <v>-1.2533469508068404E-2</v>
      </c>
      <c r="I107" s="3"/>
      <c r="J107" s="9">
        <f t="shared" si="12"/>
        <v>-1.253346950806844E-2</v>
      </c>
      <c r="K107" s="17">
        <f t="shared" ca="1" si="13"/>
        <v>3.6429192995512949E-17</v>
      </c>
      <c r="M107" s="1">
        <v>-0.1000000000000188</v>
      </c>
      <c r="N107" s="3">
        <f ca="1">_xll.meMathNormalDistribution(M107,$N$4,$N$5)</f>
        <v>0.46017216272296357</v>
      </c>
      <c r="O107" s="20">
        <f ca="1">_xll.meMathNormalDistributionPDF(M107,$N$4,$N$5)</f>
        <v>0.39695254747701103</v>
      </c>
      <c r="P107" s="8" t="b">
        <f t="shared" ca="1" si="10"/>
        <v>1</v>
      </c>
      <c r="R107" s="7">
        <v>0.49500000000000033</v>
      </c>
      <c r="S107" s="3">
        <f ca="1">_xll.meMathNormalDistributionInverse(R107,$S$4,$S$5)</f>
        <v>-1.2533469508068404E-2</v>
      </c>
      <c r="T107" s="12" t="b">
        <f t="shared" ca="1" si="11"/>
        <v>1</v>
      </c>
    </row>
    <row r="108" spans="2:20" x14ac:dyDescent="0.25">
      <c r="B108" s="1">
        <v>-1.8790524691780774E-14</v>
      </c>
      <c r="C108" s="3">
        <f ca="1">_xll.meMathNormalDistributionStandard(B108)</f>
        <v>0.49999999999999251</v>
      </c>
      <c r="D108" s="20">
        <f ca="1">_xll.meMathNormalDistributionPDF(B108)</f>
        <v>0.3989422804014327</v>
      </c>
      <c r="G108" s="7">
        <v>0.50000000000000033</v>
      </c>
      <c r="H108" s="3">
        <f ca="1">_xll.meMathNormalDistributionStandardInverse(G108)</f>
        <v>8.3487492834352285E-16</v>
      </c>
      <c r="I108" s="3"/>
      <c r="J108" s="9">
        <f t="shared" si="12"/>
        <v>8.3487492740153014E-16</v>
      </c>
      <c r="K108" s="17">
        <f t="shared" ca="1" si="13"/>
        <v>9.4199271059786472E-25</v>
      </c>
      <c r="M108" s="1">
        <v>-1.8790524691780774E-14</v>
      </c>
      <c r="N108" s="3">
        <f ca="1">_xll.meMathNormalDistribution(M108,$N$4,$N$5)</f>
        <v>0.49999999999999251</v>
      </c>
      <c r="O108" s="20">
        <f ca="1">_xll.meMathNormalDistributionPDF(M108,$N$4,$N$5)</f>
        <v>0.3989422804014327</v>
      </c>
      <c r="P108" s="8" t="b">
        <f t="shared" ca="1" si="10"/>
        <v>1</v>
      </c>
      <c r="R108" s="7">
        <v>0.50000000000000033</v>
      </c>
      <c r="S108" s="3">
        <f ca="1">_xll.meMathNormalDistributionInverse(R108,$S$4,$S$5)</f>
        <v>8.3487492834352285E-16</v>
      </c>
      <c r="T108" s="12" t="b">
        <f t="shared" ca="1" si="11"/>
        <v>1</v>
      </c>
    </row>
    <row r="109" spans="2:20" x14ac:dyDescent="0.25">
      <c r="B109" s="1">
        <v>9.9999999999981215E-2</v>
      </c>
      <c r="C109" s="3">
        <f ca="1">_xll.meMathNormalDistributionStandard(B109)</f>
        <v>0.53982783727702155</v>
      </c>
      <c r="D109" s="20">
        <f ca="1">_xll.meMathNormalDistributionPDF(B109)</f>
        <v>0.39695254747701253</v>
      </c>
      <c r="G109" s="7">
        <v>0.50500000000000034</v>
      </c>
      <c r="H109" s="3">
        <f ca="1">_xll.meMathNormalDistributionStandardInverse(G109)</f>
        <v>1.2533469508070072E-2</v>
      </c>
      <c r="I109" s="3"/>
      <c r="J109" s="9">
        <f t="shared" si="12"/>
        <v>1.253346950807011E-2</v>
      </c>
      <c r="K109" s="17">
        <f t="shared" ca="1" si="13"/>
        <v>-3.8163916471489756E-17</v>
      </c>
      <c r="M109" s="1">
        <v>9.9999999999981215E-2</v>
      </c>
      <c r="N109" s="3">
        <f ca="1">_xll.meMathNormalDistribution(M109,$N$4,$N$5)</f>
        <v>0.53982783727702155</v>
      </c>
      <c r="O109" s="20">
        <f ca="1">_xll.meMathNormalDistributionPDF(M109,$N$4,$N$5)</f>
        <v>0.39695254747701253</v>
      </c>
      <c r="P109" s="8" t="b">
        <f t="shared" ca="1" si="10"/>
        <v>1</v>
      </c>
      <c r="R109" s="7">
        <v>0.50500000000000034</v>
      </c>
      <c r="S109" s="3">
        <f ca="1">_xll.meMathNormalDistributionInverse(R109,$S$4,$S$5)</f>
        <v>1.2533469508070072E-2</v>
      </c>
      <c r="T109" s="12" t="b">
        <f t="shared" ca="1" si="11"/>
        <v>1</v>
      </c>
    </row>
    <row r="110" spans="2:20" x14ac:dyDescent="0.25">
      <c r="B110" s="1">
        <v>0.19999999999998122</v>
      </c>
      <c r="C110" s="3">
        <f ca="1">_xll.meMathNormalDistributionStandard(B110)</f>
        <v>0.57925970943909566</v>
      </c>
      <c r="D110" s="20">
        <f ca="1">_xll.meMathNormalDistributionPDF(B110)</f>
        <v>0.39104269397545738</v>
      </c>
      <c r="G110" s="7">
        <v>0.51000000000000034</v>
      </c>
      <c r="H110" s="3">
        <f ca="1">_xll.meMathNormalDistributionStandardInverse(G110)</f>
        <v>2.5068908258711869E-2</v>
      </c>
      <c r="I110" s="3"/>
      <c r="J110" s="9">
        <f t="shared" si="12"/>
        <v>2.5068908258711893E-2</v>
      </c>
      <c r="K110" s="17">
        <f t="shared" ca="1" si="13"/>
        <v>0</v>
      </c>
      <c r="M110" s="1">
        <v>0.19999999999998122</v>
      </c>
      <c r="N110" s="3">
        <f ca="1">_xll.meMathNormalDistribution(M110,$N$4,$N$5)</f>
        <v>0.57925970943909566</v>
      </c>
      <c r="O110" s="20">
        <f ca="1">_xll.meMathNormalDistributionPDF(M110,$N$4,$N$5)</f>
        <v>0.39104269397545738</v>
      </c>
      <c r="P110" s="8" t="b">
        <f t="shared" ca="1" si="10"/>
        <v>1</v>
      </c>
      <c r="R110" s="7">
        <v>0.51000000000000034</v>
      </c>
      <c r="S110" s="3">
        <f ca="1">_xll.meMathNormalDistributionInverse(R110,$S$4,$S$5)</f>
        <v>2.5068908258711869E-2</v>
      </c>
      <c r="T110" s="12" t="b">
        <f t="shared" ca="1" si="11"/>
        <v>1</v>
      </c>
    </row>
    <row r="111" spans="2:20" x14ac:dyDescent="0.25">
      <c r="B111" s="1">
        <v>0.29999999999998123</v>
      </c>
      <c r="C111" s="3">
        <f ca="1">_xll.meMathNormalDistributionStandard(B111)</f>
        <v>0.61791142218894546</v>
      </c>
      <c r="D111" s="20">
        <f ca="1">_xll.meMathNormalDistributionPDF(B111)</f>
        <v>0.38138781546052625</v>
      </c>
      <c r="G111" s="7">
        <v>0.51500000000000035</v>
      </c>
      <c r="H111" s="3">
        <f ca="1">_xll.meMathNormalDistributionStandardInverse(G111)</f>
        <v>3.7608287661256852E-2</v>
      </c>
      <c r="I111" s="3"/>
      <c r="J111" s="9">
        <f t="shared" si="12"/>
        <v>3.7608287661256776E-2</v>
      </c>
      <c r="K111" s="17">
        <f t="shared" ca="1" si="13"/>
        <v>7.6327832942979512E-17</v>
      </c>
      <c r="M111" s="1">
        <v>0.29999999999998123</v>
      </c>
      <c r="N111" s="3">
        <f ca="1">_xll.meMathNormalDistribution(M111,$N$4,$N$5)</f>
        <v>0.61791142218894546</v>
      </c>
      <c r="O111" s="20">
        <f ca="1">_xll.meMathNormalDistributionPDF(M111,$N$4,$N$5)</f>
        <v>0.38138781546052625</v>
      </c>
      <c r="P111" s="8" t="b">
        <f t="shared" ca="1" si="10"/>
        <v>1</v>
      </c>
      <c r="R111" s="7">
        <v>0.51500000000000035</v>
      </c>
      <c r="S111" s="3">
        <f ca="1">_xll.meMathNormalDistributionInverse(R111,$S$4,$S$5)</f>
        <v>3.7608287661256852E-2</v>
      </c>
      <c r="T111" s="12" t="b">
        <f t="shared" ca="1" si="11"/>
        <v>1</v>
      </c>
    </row>
    <row r="112" spans="2:20" x14ac:dyDescent="0.25">
      <c r="B112" s="1">
        <v>0.39999999999998126</v>
      </c>
      <c r="C112" s="3">
        <f ca="1">_xll.meMathNormalDistributionStandard(B112)</f>
        <v>0.65542174161031719</v>
      </c>
      <c r="D112" s="20">
        <f ca="1">_xll.meMathNormalDistributionPDF(B112)</f>
        <v>0.36827014030332611</v>
      </c>
      <c r="G112" s="7">
        <v>0.52000000000000035</v>
      </c>
      <c r="H112" s="3">
        <f ca="1">_xll.meMathNormalDistributionStandardInverse(G112)</f>
        <v>5.0153583464734544E-2</v>
      </c>
      <c r="I112" s="3"/>
      <c r="J112" s="9">
        <f t="shared" si="12"/>
        <v>5.0153583464734502E-2</v>
      </c>
      <c r="K112" s="17">
        <f t="shared" ca="1" si="13"/>
        <v>0</v>
      </c>
      <c r="M112" s="1">
        <v>0.39999999999998126</v>
      </c>
      <c r="N112" s="3">
        <f ca="1">_xll.meMathNormalDistribution(M112,$N$4,$N$5)</f>
        <v>0.65542174161031719</v>
      </c>
      <c r="O112" s="20">
        <f ca="1">_xll.meMathNormalDistributionPDF(M112,$N$4,$N$5)</f>
        <v>0.36827014030332611</v>
      </c>
      <c r="P112" s="8" t="b">
        <f t="shared" ca="1" si="10"/>
        <v>1</v>
      </c>
      <c r="R112" s="7">
        <v>0.52000000000000035</v>
      </c>
      <c r="S112" s="3">
        <f ca="1">_xll.meMathNormalDistributionInverse(R112,$S$4,$S$5)</f>
        <v>5.0153583464734544E-2</v>
      </c>
      <c r="T112" s="12" t="b">
        <f t="shared" ca="1" si="11"/>
        <v>1</v>
      </c>
    </row>
    <row r="113" spans="2:20" x14ac:dyDescent="0.25">
      <c r="B113" s="1">
        <v>0.49999999999998124</v>
      </c>
      <c r="C113" s="3">
        <f ca="1">_xll.meMathNormalDistributionStandard(B113)</f>
        <v>0.69146246127400646</v>
      </c>
      <c r="D113" s="20">
        <f ca="1">_xll.meMathNormalDistributionPDF(B113)</f>
        <v>0.3520653267643028</v>
      </c>
      <c r="G113" s="7">
        <v>0.52500000000000036</v>
      </c>
      <c r="H113" s="3">
        <f ca="1">_xll.meMathNormalDistributionStandardInverse(G113)</f>
        <v>6.270677794321465E-2</v>
      </c>
      <c r="I113" s="3"/>
      <c r="J113" s="9">
        <f t="shared" si="12"/>
        <v>6.2706777943214678E-2</v>
      </c>
      <c r="K113" s="17">
        <f t="shared" ca="1" si="13"/>
        <v>0</v>
      </c>
      <c r="M113" s="1">
        <v>0.49999999999998124</v>
      </c>
      <c r="N113" s="3">
        <f ca="1">_xll.meMathNormalDistribution(M113,$N$4,$N$5)</f>
        <v>0.69146246127400646</v>
      </c>
      <c r="O113" s="20">
        <f ca="1">_xll.meMathNormalDistributionPDF(M113,$N$4,$N$5)</f>
        <v>0.3520653267643028</v>
      </c>
      <c r="P113" s="8" t="b">
        <f t="shared" ca="1" si="10"/>
        <v>1</v>
      </c>
      <c r="R113" s="7">
        <v>0.52500000000000036</v>
      </c>
      <c r="S113" s="3">
        <f ca="1">_xll.meMathNormalDistributionInverse(R113,$S$4,$S$5)</f>
        <v>6.270677794321465E-2</v>
      </c>
      <c r="T113" s="12" t="b">
        <f t="shared" ca="1" si="11"/>
        <v>1</v>
      </c>
    </row>
    <row r="114" spans="2:20" x14ac:dyDescent="0.25">
      <c r="B114" s="1">
        <v>0.59999999999998122</v>
      </c>
      <c r="C114" s="3">
        <f ca="1">_xll.meMathNormalDistributionStandard(B114)</f>
        <v>0.72574688224992012</v>
      </c>
      <c r="D114" s="20">
        <f ca="1">_xll.meMathNormalDistributionPDF(B114)</f>
        <v>0.33322460289180339</v>
      </c>
      <c r="G114" s="7">
        <v>0.53000000000000036</v>
      </c>
      <c r="H114" s="3">
        <f ca="1">_xll.meMathNormalDistributionStandardInverse(G114)</f>
        <v>7.5269862099830734E-2</v>
      </c>
      <c r="I114" s="3"/>
      <c r="J114" s="9">
        <f t="shared" si="12"/>
        <v>7.5269862099830748E-2</v>
      </c>
      <c r="K114" s="17">
        <f t="shared" ca="1" si="13"/>
        <v>0</v>
      </c>
      <c r="M114" s="1">
        <v>0.59999999999998122</v>
      </c>
      <c r="N114" s="3">
        <f ca="1">_xll.meMathNormalDistribution(M114,$N$4,$N$5)</f>
        <v>0.72574688224992012</v>
      </c>
      <c r="O114" s="20">
        <f ca="1">_xll.meMathNormalDistributionPDF(M114,$N$4,$N$5)</f>
        <v>0.33322460289180339</v>
      </c>
      <c r="P114" s="8" t="b">
        <f t="shared" ca="1" si="10"/>
        <v>1</v>
      </c>
      <c r="R114" s="7">
        <v>0.53000000000000036</v>
      </c>
      <c r="S114" s="3">
        <f ca="1">_xll.meMathNormalDistributionInverse(R114,$S$4,$S$5)</f>
        <v>7.5269862099830734E-2</v>
      </c>
      <c r="T114" s="12" t="b">
        <f t="shared" ca="1" si="11"/>
        <v>1</v>
      </c>
    </row>
    <row r="115" spans="2:20" x14ac:dyDescent="0.25">
      <c r="B115" s="1">
        <v>0.69999999999998119</v>
      </c>
      <c r="C115" s="3">
        <f ca="1">_xll.meMathNormalDistributionStandard(B115)</f>
        <v>0.75803634777692108</v>
      </c>
      <c r="D115" s="20">
        <f ca="1">_xll.meMathNormalDistributionPDF(B115)</f>
        <v>0.31225393336676538</v>
      </c>
      <c r="G115" s="7">
        <v>0.53500000000000036</v>
      </c>
      <c r="H115" s="3">
        <f ca="1">_xll.meMathNormalDistributionStandardInverse(G115)</f>
        <v>8.7844837895872677E-2</v>
      </c>
      <c r="I115" s="3"/>
      <c r="J115" s="9">
        <f t="shared" si="12"/>
        <v>8.7844837895872649E-2</v>
      </c>
      <c r="K115" s="17">
        <f t="shared" ca="1" si="13"/>
        <v>0</v>
      </c>
      <c r="M115" s="1">
        <v>0.69999999999998119</v>
      </c>
      <c r="N115" s="3">
        <f ca="1">_xll.meMathNormalDistribution(M115,$N$4,$N$5)</f>
        <v>0.75803634777692108</v>
      </c>
      <c r="O115" s="20">
        <f ca="1">_xll.meMathNormalDistributionPDF(M115,$N$4,$N$5)</f>
        <v>0.31225393336676538</v>
      </c>
      <c r="P115" s="8" t="b">
        <f t="shared" ca="1" si="10"/>
        <v>1</v>
      </c>
      <c r="R115" s="7">
        <v>0.53500000000000036</v>
      </c>
      <c r="S115" s="3">
        <f ca="1">_xll.meMathNormalDistributionInverse(R115,$S$4,$S$5)</f>
        <v>8.7844837895872677E-2</v>
      </c>
      <c r="T115" s="12" t="b">
        <f t="shared" ca="1" si="11"/>
        <v>1</v>
      </c>
    </row>
    <row r="116" spans="2:20" x14ac:dyDescent="0.25">
      <c r="B116" s="1">
        <v>0.79999999999998117</v>
      </c>
      <c r="C116" s="3">
        <f ca="1">_xll.meMathNormalDistributionStandard(B116)</f>
        <v>0.78814460141659792</v>
      </c>
      <c r="D116" s="20">
        <f ca="1">_xll.meMathNormalDistributionPDF(B116)</f>
        <v>0.28969155276148711</v>
      </c>
      <c r="G116" s="7">
        <v>0.54000000000000037</v>
      </c>
      <c r="H116" s="3">
        <f ca="1">_xll.meMathNormalDistributionStandardInverse(G116)</f>
        <v>0.10043372051147079</v>
      </c>
      <c r="I116" s="3"/>
      <c r="J116" s="9">
        <f t="shared" si="12"/>
        <v>0.10043372051147072</v>
      </c>
      <c r="K116" s="17">
        <f t="shared" ca="1" si="13"/>
        <v>0</v>
      </c>
      <c r="M116" s="1">
        <v>0.79999999999998117</v>
      </c>
      <c r="N116" s="3">
        <f ca="1">_xll.meMathNormalDistribution(M116,$N$4,$N$5)</f>
        <v>0.78814460141659792</v>
      </c>
      <c r="O116" s="20">
        <f ca="1">_xll.meMathNormalDistributionPDF(M116,$N$4,$N$5)</f>
        <v>0.28969155276148711</v>
      </c>
      <c r="P116" s="8" t="b">
        <f t="shared" ca="1" si="10"/>
        <v>1</v>
      </c>
      <c r="R116" s="7">
        <v>0.54000000000000037</v>
      </c>
      <c r="S116" s="3">
        <f ca="1">_xll.meMathNormalDistributionInverse(R116,$S$4,$S$5)</f>
        <v>0.10043372051147079</v>
      </c>
      <c r="T116" s="12" t="b">
        <f t="shared" ca="1" si="11"/>
        <v>1</v>
      </c>
    </row>
    <row r="117" spans="2:20" x14ac:dyDescent="0.25">
      <c r="B117" s="1">
        <v>0.89999999999998115</v>
      </c>
      <c r="C117" s="3">
        <f ca="1">_xll.meMathNormalDistributionStandard(B117)</f>
        <v>0.81593987465323548</v>
      </c>
      <c r="D117" s="20">
        <f ca="1">_xll.meMathNormalDistributionPDF(B117)</f>
        <v>0.26608524989875937</v>
      </c>
      <c r="G117" s="7">
        <v>0.54500000000000037</v>
      </c>
      <c r="H117" s="3">
        <f ca="1">_xll.meMathNormalDistributionStandardInverse(G117)</f>
        <v>0.11303854064456606</v>
      </c>
      <c r="I117" s="3"/>
      <c r="J117" s="9">
        <f t="shared" si="12"/>
        <v>0.11303854064456609</v>
      </c>
      <c r="K117" s="17">
        <f t="shared" ca="1" si="13"/>
        <v>0</v>
      </c>
      <c r="M117" s="1">
        <v>0.89999999999998115</v>
      </c>
      <c r="N117" s="3">
        <f ca="1">_xll.meMathNormalDistribution(M117,$N$4,$N$5)</f>
        <v>0.81593987465323548</v>
      </c>
      <c r="O117" s="20">
        <f ca="1">_xll.meMathNormalDistributionPDF(M117,$N$4,$N$5)</f>
        <v>0.26608524989875937</v>
      </c>
      <c r="P117" s="8" t="b">
        <f t="shared" ca="1" si="10"/>
        <v>1</v>
      </c>
      <c r="R117" s="7">
        <v>0.54500000000000037</v>
      </c>
      <c r="S117" s="3">
        <f ca="1">_xll.meMathNormalDistributionInverse(R117,$S$4,$S$5)</f>
        <v>0.11303854064456606</v>
      </c>
      <c r="T117" s="12" t="b">
        <f t="shared" ca="1" si="11"/>
        <v>1</v>
      </c>
    </row>
    <row r="118" spans="2:20" x14ac:dyDescent="0.25">
      <c r="B118" s="1">
        <v>0.99999999999998113</v>
      </c>
      <c r="C118" s="3">
        <f ca="1">_xll.meMathNormalDistributionStandard(B118)</f>
        <v>0.84134474606853837</v>
      </c>
      <c r="D118" s="20">
        <f ca="1">_xll.meMathNormalDistributionPDF(B118)</f>
        <v>0.24197072451914792</v>
      </c>
      <c r="G118" s="7">
        <v>0.55000000000000038</v>
      </c>
      <c r="H118" s="3">
        <f ca="1">_xll.meMathNormalDistributionStandardInverse(G118)</f>
        <v>0.12566134685507505</v>
      </c>
      <c r="I118" s="3"/>
      <c r="J118" s="9">
        <f t="shared" si="12"/>
        <v>0.12566134685507499</v>
      </c>
      <c r="K118" s="17">
        <f t="shared" ca="1" si="13"/>
        <v>0</v>
      </c>
      <c r="M118" s="1">
        <v>0.99999999999998113</v>
      </c>
      <c r="N118" s="3">
        <f ca="1">_xll.meMathNormalDistribution(M118,$N$4,$N$5)</f>
        <v>0.84134474606853837</v>
      </c>
      <c r="O118" s="20">
        <f ca="1">_xll.meMathNormalDistributionPDF(M118,$N$4,$N$5)</f>
        <v>0.24197072451914792</v>
      </c>
      <c r="P118" s="8" t="b">
        <f t="shared" ca="1" si="10"/>
        <v>1</v>
      </c>
      <c r="R118" s="7">
        <v>0.55000000000000038</v>
      </c>
      <c r="S118" s="3">
        <f ca="1">_xll.meMathNormalDistributionInverse(R118,$S$4,$S$5)</f>
        <v>0.12566134685507505</v>
      </c>
      <c r="T118" s="12" t="b">
        <f t="shared" ca="1" si="11"/>
        <v>1</v>
      </c>
    </row>
    <row r="119" spans="2:20" x14ac:dyDescent="0.25">
      <c r="B119" s="1">
        <v>1.0999999999999812</v>
      </c>
      <c r="C119" s="3">
        <f ca="1">_xll.meMathNormalDistributionStandard(B119)</f>
        <v>0.86433393905361333</v>
      </c>
      <c r="D119" s="20">
        <f ca="1">_xll.meMathNormalDistributionPDF(B119)</f>
        <v>0.21785217703255505</v>
      </c>
      <c r="G119" s="7">
        <v>0.55500000000000038</v>
      </c>
      <c r="H119" s="3">
        <f ca="1">_xll.meMathNormalDistributionStandardInverse(G119)</f>
        <v>0.13830420796140547</v>
      </c>
      <c r="I119" s="3"/>
      <c r="J119" s="9">
        <f t="shared" si="12"/>
        <v>0.1383042079614055</v>
      </c>
      <c r="K119" s="17">
        <f t="shared" ca="1" si="13"/>
        <v>0</v>
      </c>
      <c r="M119" s="1">
        <v>1.0999999999999812</v>
      </c>
      <c r="N119" s="3">
        <f ca="1">_xll.meMathNormalDistribution(M119,$N$4,$N$5)</f>
        <v>0.86433393905361333</v>
      </c>
      <c r="O119" s="20">
        <f ca="1">_xll.meMathNormalDistributionPDF(M119,$N$4,$N$5)</f>
        <v>0.21785217703255505</v>
      </c>
      <c r="P119" s="8" t="b">
        <f t="shared" ca="1" si="10"/>
        <v>1</v>
      </c>
      <c r="R119" s="7">
        <v>0.55500000000000038</v>
      </c>
      <c r="S119" s="3">
        <f ca="1">_xll.meMathNormalDistributionInverse(R119,$S$4,$S$5)</f>
        <v>0.13830420796140547</v>
      </c>
      <c r="T119" s="12" t="b">
        <f t="shared" ca="1" si="11"/>
        <v>1</v>
      </c>
    </row>
    <row r="120" spans="2:20" x14ac:dyDescent="0.25">
      <c r="B120" s="1">
        <v>1.1999999999999813</v>
      </c>
      <c r="C120" s="3">
        <f ca="1">_xll.meMathNormalDistributionStandard(B120)</f>
        <v>0.88493032977828812</v>
      </c>
      <c r="D120" s="20">
        <f ca="1">_xll.meMathNormalDistributionPDF(B120)</f>
        <v>0.19418605498321731</v>
      </c>
      <c r="G120" s="7">
        <v>0.56000000000000039</v>
      </c>
      <c r="H120" s="3">
        <f ca="1">_xll.meMathNormalDistributionStandardInverse(G120)</f>
        <v>0.15096921549677825</v>
      </c>
      <c r="I120" s="3"/>
      <c r="J120" s="9">
        <f t="shared" si="12"/>
        <v>0.15096921549677825</v>
      </c>
      <c r="K120" s="17">
        <f t="shared" ca="1" si="13"/>
        <v>0</v>
      </c>
      <c r="M120" s="1">
        <v>1.1999999999999813</v>
      </c>
      <c r="N120" s="3">
        <f ca="1">_xll.meMathNormalDistribution(M120,$N$4,$N$5)</f>
        <v>0.88493032977828812</v>
      </c>
      <c r="O120" s="20">
        <f ca="1">_xll.meMathNormalDistributionPDF(M120,$N$4,$N$5)</f>
        <v>0.19418605498321731</v>
      </c>
      <c r="P120" s="8" t="b">
        <f t="shared" ca="1" si="10"/>
        <v>1</v>
      </c>
      <c r="R120" s="7">
        <v>0.56000000000000039</v>
      </c>
      <c r="S120" s="3">
        <f ca="1">_xll.meMathNormalDistributionInverse(R120,$S$4,$S$5)</f>
        <v>0.15096921549677825</v>
      </c>
      <c r="T120" s="12" t="b">
        <f t="shared" ca="1" si="11"/>
        <v>1</v>
      </c>
    </row>
    <row r="121" spans="2:20" x14ac:dyDescent="0.25">
      <c r="B121" s="1">
        <v>1.2999999999999814</v>
      </c>
      <c r="C121" s="3">
        <f ca="1">_xll.meMathNormalDistributionStandard(B121)</f>
        <v>0.90319951541438648</v>
      </c>
      <c r="D121" s="20">
        <f ca="1">_xll.meMathNormalDistributionPDF(B121)</f>
        <v>0.17136859204781152</v>
      </c>
      <c r="G121" s="7">
        <v>0.56500000000000039</v>
      </c>
      <c r="H121" s="3">
        <f ca="1">_xll.meMathNormalDistributionStandardInverse(G121)</f>
        <v>0.16365848623314233</v>
      </c>
      <c r="I121" s="3"/>
      <c r="J121" s="9">
        <f t="shared" si="12"/>
        <v>0.16365848623314225</v>
      </c>
      <c r="K121" s="17">
        <f t="shared" ca="1" si="13"/>
        <v>0</v>
      </c>
      <c r="M121" s="1">
        <v>1.2999999999999814</v>
      </c>
      <c r="N121" s="3">
        <f ca="1">_xll.meMathNormalDistribution(M121,$N$4,$N$5)</f>
        <v>0.90319951541438648</v>
      </c>
      <c r="O121" s="20">
        <f ca="1">_xll.meMathNormalDistributionPDF(M121,$N$4,$N$5)</f>
        <v>0.17136859204781152</v>
      </c>
      <c r="P121" s="8" t="b">
        <f t="shared" ca="1" si="10"/>
        <v>1</v>
      </c>
      <c r="R121" s="7">
        <v>0.56500000000000039</v>
      </c>
      <c r="S121" s="3">
        <f ca="1">_xll.meMathNormalDistributionInverse(R121,$S$4,$S$5)</f>
        <v>0.16365848623314233</v>
      </c>
      <c r="T121" s="12" t="b">
        <f t="shared" ca="1" si="11"/>
        <v>1</v>
      </c>
    </row>
    <row r="122" spans="2:20" x14ac:dyDescent="0.25">
      <c r="B122" s="1">
        <v>1.3999999999999815</v>
      </c>
      <c r="C122" s="3">
        <f ca="1">_xll.meMathNormalDistributionStandard(B122)</f>
        <v>0.91924334076622616</v>
      </c>
      <c r="D122" s="20">
        <f ca="1">_xll.meMathNormalDistributionPDF(B122)</f>
        <v>0.14972746563574874</v>
      </c>
      <c r="G122" s="7">
        <v>0.5700000000000004</v>
      </c>
      <c r="H122" s="3">
        <f ca="1">_xll.meMathNormalDistributionStandardInverse(G122)</f>
        <v>0.17637416478086235</v>
      </c>
      <c r="I122" s="3"/>
      <c r="J122" s="9">
        <f t="shared" si="12"/>
        <v>0.17637416478086232</v>
      </c>
      <c r="K122" s="17">
        <f t="shared" ca="1" si="13"/>
        <v>0</v>
      </c>
      <c r="M122" s="1">
        <v>1.3999999999999815</v>
      </c>
      <c r="N122" s="3">
        <f ca="1">_xll.meMathNormalDistribution(M122,$N$4,$N$5)</f>
        <v>0.91924334076622616</v>
      </c>
      <c r="O122" s="20">
        <f ca="1">_xll.meMathNormalDistributionPDF(M122,$N$4,$N$5)</f>
        <v>0.14972746563574874</v>
      </c>
      <c r="P122" s="8" t="b">
        <f t="shared" ca="1" si="10"/>
        <v>1</v>
      </c>
      <c r="R122" s="7">
        <v>0.5700000000000004</v>
      </c>
      <c r="S122" s="3">
        <f ca="1">_xll.meMathNormalDistributionInverse(R122,$S$4,$S$5)</f>
        <v>0.17637416478086235</v>
      </c>
      <c r="T122" s="12" t="b">
        <f t="shared" ca="1" si="11"/>
        <v>1</v>
      </c>
    </row>
    <row r="123" spans="2:20" x14ac:dyDescent="0.25">
      <c r="B123" s="1">
        <v>1.4999999999999816</v>
      </c>
      <c r="C123" s="3">
        <f ca="1">_xll.meMathNormalDistributionStandard(B123)</f>
        <v>0.93319279873113958</v>
      </c>
      <c r="D123" s="20">
        <f ca="1">_xll.meMathNormalDistributionPDF(B123)</f>
        <v>0.1295175956658953</v>
      </c>
      <c r="G123" s="7">
        <v>0.5750000000000004</v>
      </c>
      <c r="H123" s="3">
        <f ca="1">_xll.meMathNormalDistributionStandardInverse(G123)</f>
        <v>0.18911842627279352</v>
      </c>
      <c r="I123" s="3"/>
      <c r="J123" s="9">
        <f t="shared" si="12"/>
        <v>0.18911842627279352</v>
      </c>
      <c r="K123" s="17">
        <f t="shared" ca="1" si="13"/>
        <v>0</v>
      </c>
      <c r="M123" s="1">
        <v>1.4999999999999816</v>
      </c>
      <c r="N123" s="3">
        <f ca="1">_xll.meMathNormalDistribution(M123,$N$4,$N$5)</f>
        <v>0.93319279873113958</v>
      </c>
      <c r="O123" s="20">
        <f ca="1">_xll.meMathNormalDistributionPDF(M123,$N$4,$N$5)</f>
        <v>0.1295175956658953</v>
      </c>
      <c r="P123" s="8" t="b">
        <f t="shared" ca="1" si="10"/>
        <v>1</v>
      </c>
      <c r="R123" s="7">
        <v>0.5750000000000004</v>
      </c>
      <c r="S123" s="3">
        <f ca="1">_xll.meMathNormalDistributionInverse(R123,$S$4,$S$5)</f>
        <v>0.18911842627279352</v>
      </c>
      <c r="T123" s="12" t="b">
        <f t="shared" ca="1" si="11"/>
        <v>1</v>
      </c>
    </row>
    <row r="124" spans="2:20" x14ac:dyDescent="0.25">
      <c r="B124" s="1">
        <v>1.5999999999999817</v>
      </c>
      <c r="C124" s="3">
        <f ca="1">_xll.meMathNormalDistributionStandard(B124)</f>
        <v>0.94520070830044001</v>
      </c>
      <c r="D124" s="20">
        <f ca="1">_xll.meMathNormalDistributionPDF(B124)</f>
        <v>0.11092083467945882</v>
      </c>
      <c r="G124" s="7">
        <v>0.5800000000000004</v>
      </c>
      <c r="H124" s="3">
        <f ca="1">_xll.meMathNormalDistributionStandardInverse(G124)</f>
        <v>0.20189347914185191</v>
      </c>
      <c r="I124" s="3"/>
      <c r="J124" s="9">
        <f t="shared" si="12"/>
        <v>0.20189347914185188</v>
      </c>
      <c r="K124" s="17">
        <f t="shared" ca="1" si="13"/>
        <v>0</v>
      </c>
      <c r="M124" s="1">
        <v>1.5999999999999817</v>
      </c>
      <c r="N124" s="3">
        <f ca="1">_xll.meMathNormalDistribution(M124,$N$4,$N$5)</f>
        <v>0.94520070830044001</v>
      </c>
      <c r="O124" s="20">
        <f ca="1">_xll.meMathNormalDistributionPDF(M124,$N$4,$N$5)</f>
        <v>0.11092083467945882</v>
      </c>
      <c r="P124" s="8" t="b">
        <f t="shared" ca="1" si="10"/>
        <v>1</v>
      </c>
      <c r="R124" s="7">
        <v>0.5800000000000004</v>
      </c>
      <c r="S124" s="3">
        <f ca="1">_xll.meMathNormalDistributionInverse(R124,$S$4,$S$5)</f>
        <v>0.20189347914185191</v>
      </c>
      <c r="T124" s="12" t="b">
        <f t="shared" ca="1" si="11"/>
        <v>1</v>
      </c>
    </row>
    <row r="125" spans="2:20" x14ac:dyDescent="0.25">
      <c r="B125" s="1">
        <v>1.6999999999999817</v>
      </c>
      <c r="C125" s="3">
        <f ca="1">_xll.meMathNormalDistributionStandard(B125)</f>
        <v>0.95543453724145522</v>
      </c>
      <c r="D125" s="20">
        <f ca="1">_xll.meMathNormalDistributionPDF(B125)</f>
        <v>9.4049077376889847E-2</v>
      </c>
      <c r="G125" s="7">
        <v>0.58500000000000041</v>
      </c>
      <c r="H125" s="3">
        <f ca="1">_xll.meMathNormalDistributionStandardInverse(G125)</f>
        <v>0.21470156800174564</v>
      </c>
      <c r="I125" s="3"/>
      <c r="J125" s="9">
        <f t="shared" si="12"/>
        <v>0.21470156800174559</v>
      </c>
      <c r="K125" s="17">
        <f t="shared" ca="1" si="13"/>
        <v>0</v>
      </c>
      <c r="M125" s="1">
        <v>1.6999999999999817</v>
      </c>
      <c r="N125" s="3">
        <f ca="1">_xll.meMathNormalDistribution(M125,$N$4,$N$5)</f>
        <v>0.95543453724145522</v>
      </c>
      <c r="O125" s="20">
        <f ca="1">_xll.meMathNormalDistributionPDF(M125,$N$4,$N$5)</f>
        <v>9.4049077376889847E-2</v>
      </c>
      <c r="P125" s="8" t="b">
        <f t="shared" ca="1" si="10"/>
        <v>1</v>
      </c>
      <c r="R125" s="7">
        <v>0.58500000000000041</v>
      </c>
      <c r="S125" s="3">
        <f ca="1">_xll.meMathNormalDistributionInverse(R125,$S$4,$S$5)</f>
        <v>0.21470156800174564</v>
      </c>
      <c r="T125" s="12" t="b">
        <f t="shared" ca="1" si="11"/>
        <v>1</v>
      </c>
    </row>
    <row r="126" spans="2:20" x14ac:dyDescent="0.25">
      <c r="B126" s="1">
        <v>1.7999999999999818</v>
      </c>
      <c r="C126" s="3">
        <f ca="1">_xll.meMathNormalDistributionStandard(B126)</f>
        <v>0.96406968088707279</v>
      </c>
      <c r="D126" s="20">
        <f ca="1">_xll.meMathNormalDistributionPDF(B126)</f>
        <v>7.8950158300896744E-2</v>
      </c>
      <c r="G126" s="7">
        <v>0.59000000000000041</v>
      </c>
      <c r="H126" s="3">
        <f ca="1">_xll.meMathNormalDistributionStandardInverse(G126)</f>
        <v>0.2275449766411505</v>
      </c>
      <c r="I126" s="3"/>
      <c r="J126" s="9">
        <f t="shared" si="12"/>
        <v>0.22754497664115048</v>
      </c>
      <c r="K126" s="17">
        <f t="shared" ca="1" si="13"/>
        <v>0</v>
      </c>
      <c r="M126" s="1">
        <v>1.7999999999999818</v>
      </c>
      <c r="N126" s="3">
        <f ca="1">_xll.meMathNormalDistribution(M126,$N$4,$N$5)</f>
        <v>0.96406968088707279</v>
      </c>
      <c r="O126" s="20">
        <f ca="1">_xll.meMathNormalDistributionPDF(M126,$N$4,$N$5)</f>
        <v>7.8950158300896744E-2</v>
      </c>
      <c r="P126" s="8" t="b">
        <f t="shared" ca="1" si="10"/>
        <v>1</v>
      </c>
      <c r="R126" s="7">
        <v>0.59000000000000041</v>
      </c>
      <c r="S126" s="3">
        <f ca="1">_xll.meMathNormalDistributionInverse(R126,$S$4,$S$5)</f>
        <v>0.2275449766411505</v>
      </c>
      <c r="T126" s="12" t="b">
        <f t="shared" ca="1" si="11"/>
        <v>1</v>
      </c>
    </row>
    <row r="127" spans="2:20" x14ac:dyDescent="0.25">
      <c r="B127" s="1">
        <v>1.8999999999999819</v>
      </c>
      <c r="C127" s="3">
        <f ca="1">_xll.meMathNormalDistributionStandard(B127)</f>
        <v>0.97128344018399704</v>
      </c>
      <c r="D127" s="20">
        <f ca="1">_xll.meMathNormalDistributionPDF(B127)</f>
        <v>6.5615814774678843E-2</v>
      </c>
      <c r="G127" s="7">
        <v>0.59500000000000042</v>
      </c>
      <c r="H127" s="3">
        <f ca="1">_xll.meMathNormalDistributionStandardInverse(G127)</f>
        <v>0.24042603114230912</v>
      </c>
      <c r="I127" s="3"/>
      <c r="J127" s="9">
        <f t="shared" si="12"/>
        <v>0.24042603114230904</v>
      </c>
      <c r="K127" s="17">
        <f t="shared" ca="1" si="13"/>
        <v>0</v>
      </c>
      <c r="M127" s="1">
        <v>1.8999999999999819</v>
      </c>
      <c r="N127" s="3">
        <f ca="1">_xll.meMathNormalDistribution(M127,$N$4,$N$5)</f>
        <v>0.97128344018399704</v>
      </c>
      <c r="O127" s="20">
        <f ca="1">_xll.meMathNormalDistributionPDF(M127,$N$4,$N$5)</f>
        <v>6.5615814774678843E-2</v>
      </c>
      <c r="P127" s="8" t="b">
        <f t="shared" ca="1" si="10"/>
        <v>1</v>
      </c>
      <c r="R127" s="7">
        <v>0.59500000000000042</v>
      </c>
      <c r="S127" s="3">
        <f ca="1">_xll.meMathNormalDistributionInverse(R127,$S$4,$S$5)</f>
        <v>0.24042603114230912</v>
      </c>
      <c r="T127" s="12" t="b">
        <f t="shared" ca="1" si="11"/>
        <v>1</v>
      </c>
    </row>
    <row r="128" spans="2:20" x14ac:dyDescent="0.25">
      <c r="B128" s="1">
        <v>1.999999999999982</v>
      </c>
      <c r="C128" s="3">
        <f ca="1">_xll.meMathNormalDistributionStandard(B128)</f>
        <v>0.97724986805181979</v>
      </c>
      <c r="D128" s="20">
        <f ca="1">_xll.meMathNormalDistributionPDF(B128)</f>
        <v>5.3990966513189999E-2</v>
      </c>
      <c r="G128" s="7">
        <v>0.60000000000000042</v>
      </c>
      <c r="H128" s="3">
        <f ca="1">_xll.meMathNormalDistributionStandardInverse(G128)</f>
        <v>0.253347103135801</v>
      </c>
      <c r="I128" s="3"/>
      <c r="J128" s="9">
        <f t="shared" si="12"/>
        <v>0.25334710313580094</v>
      </c>
      <c r="K128" s="17">
        <f t="shared" ca="1" si="13"/>
        <v>0</v>
      </c>
      <c r="M128" s="1">
        <v>1.999999999999982</v>
      </c>
      <c r="N128" s="3">
        <f ca="1">_xll.meMathNormalDistribution(M128,$N$4,$N$5)</f>
        <v>0.97724986805181979</v>
      </c>
      <c r="O128" s="20">
        <f ca="1">_xll.meMathNormalDistributionPDF(M128,$N$4,$N$5)</f>
        <v>5.3990966513189999E-2</v>
      </c>
      <c r="P128" s="8" t="b">
        <f t="shared" ca="1" si="10"/>
        <v>1</v>
      </c>
      <c r="R128" s="7">
        <v>0.60000000000000042</v>
      </c>
      <c r="S128" s="3">
        <f ca="1">_xll.meMathNormalDistributionInverse(R128,$S$4,$S$5)</f>
        <v>0.253347103135801</v>
      </c>
      <c r="T128" s="12" t="b">
        <f t="shared" ca="1" si="11"/>
        <v>1</v>
      </c>
    </row>
    <row r="129" spans="2:20" x14ac:dyDescent="0.25">
      <c r="B129" s="1">
        <v>2.0999999999999819</v>
      </c>
      <c r="C129" s="3">
        <f ca="1">_xll.meMathNormalDistributionStandard(B129)</f>
        <v>0.98213557943718266</v>
      </c>
      <c r="D129" s="20">
        <f ca="1">_xll.meMathNormalDistributionPDF(B129)</f>
        <v>4.3983595980428877E-2</v>
      </c>
      <c r="G129" s="7">
        <v>0.60500000000000043</v>
      </c>
      <c r="H129" s="3">
        <f ca="1">_xll.meMathNormalDistributionStandardInverse(G129)</f>
        <v>0.26631061320409605</v>
      </c>
      <c r="I129" s="3"/>
      <c r="J129" s="9">
        <f t="shared" si="12"/>
        <v>0.2663106132040961</v>
      </c>
      <c r="K129" s="17">
        <f t="shared" ca="1" si="13"/>
        <v>0</v>
      </c>
      <c r="M129" s="1">
        <v>2.0999999999999819</v>
      </c>
      <c r="N129" s="3">
        <f ca="1">_xll.meMathNormalDistribution(M129,$N$4,$N$5)</f>
        <v>0.98213557943718266</v>
      </c>
      <c r="O129" s="20">
        <f ca="1">_xll.meMathNormalDistributionPDF(M129,$N$4,$N$5)</f>
        <v>4.3983595980428877E-2</v>
      </c>
      <c r="P129" s="8" t="b">
        <f t="shared" ca="1" si="10"/>
        <v>1</v>
      </c>
      <c r="R129" s="7">
        <v>0.60500000000000043</v>
      </c>
      <c r="S129" s="3">
        <f ca="1">_xll.meMathNormalDistributionInverse(R129,$S$4,$S$5)</f>
        <v>0.26631061320409605</v>
      </c>
      <c r="T129" s="12" t="b">
        <f t="shared" ca="1" si="11"/>
        <v>1</v>
      </c>
    </row>
    <row r="130" spans="2:20" x14ac:dyDescent="0.25">
      <c r="B130" s="1">
        <v>2.199999999999982</v>
      </c>
      <c r="C130" s="3">
        <f ca="1">_xll.meMathNormalDistributionStandard(B130)</f>
        <v>0.98609655248650074</v>
      </c>
      <c r="D130" s="20">
        <f ca="1">_xll.meMathNormalDistributionPDF(B130)</f>
        <v>3.547459284623284E-2</v>
      </c>
      <c r="G130" s="7">
        <v>0.61000000000000043</v>
      </c>
      <c r="H130" s="3">
        <f ca="1">_xll.meMathNormalDistributionStandardInverse(G130)</f>
        <v>0.27931903444745537</v>
      </c>
      <c r="I130" s="3"/>
      <c r="J130" s="9">
        <f t="shared" si="12"/>
        <v>0.27931903444745532</v>
      </c>
      <c r="K130" s="17">
        <f t="shared" ca="1" si="13"/>
        <v>0</v>
      </c>
      <c r="M130" s="1">
        <v>2.199999999999982</v>
      </c>
      <c r="N130" s="3">
        <f ca="1">_xll.meMathNormalDistribution(M130,$N$4,$N$5)</f>
        <v>0.98609655248650074</v>
      </c>
      <c r="O130" s="20">
        <f ca="1">_xll.meMathNormalDistributionPDF(M130,$N$4,$N$5)</f>
        <v>3.547459284623284E-2</v>
      </c>
      <c r="P130" s="8" t="b">
        <f t="shared" ca="1" si="10"/>
        <v>1</v>
      </c>
      <c r="R130" s="7">
        <v>0.61000000000000043</v>
      </c>
      <c r="S130" s="3">
        <f ca="1">_xll.meMathNormalDistributionInverse(R130,$S$4,$S$5)</f>
        <v>0.27931903444745537</v>
      </c>
      <c r="T130" s="12" t="b">
        <f t="shared" ca="1" si="11"/>
        <v>1</v>
      </c>
    </row>
    <row r="131" spans="2:20" x14ac:dyDescent="0.25">
      <c r="B131" s="1">
        <v>2.2999999999999821</v>
      </c>
      <c r="C131" s="3">
        <f ca="1">_xll.meMathNormalDistributionStandard(B131)</f>
        <v>0.98927588997832372</v>
      </c>
      <c r="D131" s="20">
        <f ca="1">_xll.meMathNormalDistributionPDF(B131)</f>
        <v>2.8327037741602345E-2</v>
      </c>
      <c r="G131" s="7">
        <v>0.61500000000000044</v>
      </c>
      <c r="H131" s="3">
        <f ca="1">_xll.meMathNormalDistributionStandardInverse(G131)</f>
        <v>0.29237489622680546</v>
      </c>
      <c r="I131" s="3"/>
      <c r="J131" s="9">
        <f t="shared" si="12"/>
        <v>0.29237489622680535</v>
      </c>
      <c r="K131" s="17">
        <f t="shared" ca="1" si="13"/>
        <v>0</v>
      </c>
      <c r="M131" s="1">
        <v>2.2999999999999821</v>
      </c>
      <c r="N131" s="3">
        <f ca="1">_xll.meMathNormalDistribution(M131,$N$4,$N$5)</f>
        <v>0.98927588997832372</v>
      </c>
      <c r="O131" s="20">
        <f ca="1">_xll.meMathNormalDistributionPDF(M131,$N$4,$N$5)</f>
        <v>2.8327037741602345E-2</v>
      </c>
      <c r="P131" s="8" t="b">
        <f t="shared" ca="1" si="10"/>
        <v>1</v>
      </c>
      <c r="R131" s="7">
        <v>0.61500000000000044</v>
      </c>
      <c r="S131" s="3">
        <f ca="1">_xll.meMathNormalDistributionInverse(R131,$S$4,$S$5)</f>
        <v>0.29237489622680546</v>
      </c>
      <c r="T131" s="12" t="b">
        <f t="shared" ca="1" si="11"/>
        <v>1</v>
      </c>
    </row>
    <row r="132" spans="2:20" x14ac:dyDescent="0.25">
      <c r="B132" s="1">
        <v>2.3999999999999821</v>
      </c>
      <c r="C132" s="3">
        <f ca="1">_xll.meMathNormalDistributionStandard(B132)</f>
        <v>0.99180246407540351</v>
      </c>
      <c r="D132" s="20">
        <f ca="1">_xll.meMathNormalDistributionPDF(B132)</f>
        <v>2.2394530294843853E-2</v>
      </c>
      <c r="G132" s="7">
        <v>0.62000000000000044</v>
      </c>
      <c r="H132" s="3">
        <f ca="1">_xll.meMathNormalDistributionStandardInverse(G132)</f>
        <v>0.30548078809939855</v>
      </c>
      <c r="I132" s="3"/>
      <c r="J132" s="9">
        <f t="shared" si="12"/>
        <v>0.30548078809939849</v>
      </c>
      <c r="K132" s="17">
        <f t="shared" ca="1" si="13"/>
        <v>0</v>
      </c>
      <c r="M132" s="1">
        <v>2.3999999999999821</v>
      </c>
      <c r="N132" s="3">
        <f ca="1">_xll.meMathNormalDistribution(M132,$N$4,$N$5)</f>
        <v>0.99180246407540351</v>
      </c>
      <c r="O132" s="20">
        <f ca="1">_xll.meMathNormalDistributionPDF(M132,$N$4,$N$5)</f>
        <v>2.2394530294843853E-2</v>
      </c>
      <c r="P132" s="8" t="b">
        <f t="shared" ca="1" si="10"/>
        <v>1</v>
      </c>
      <c r="R132" s="7">
        <v>0.62000000000000044</v>
      </c>
      <c r="S132" s="3">
        <f ca="1">_xll.meMathNormalDistributionInverse(R132,$S$4,$S$5)</f>
        <v>0.30548078809939855</v>
      </c>
      <c r="T132" s="12" t="b">
        <f t="shared" ca="1" si="11"/>
        <v>1</v>
      </c>
    </row>
    <row r="133" spans="2:20" x14ac:dyDescent="0.25">
      <c r="B133" s="1">
        <v>2.4999999999999822</v>
      </c>
      <c r="C133" s="3">
        <f ca="1">_xll.meMathNormalDistributionStandard(B133)</f>
        <v>0.99379033467422351</v>
      </c>
      <c r="D133" s="20">
        <f ca="1">_xll.meMathNormalDistributionPDF(B133)</f>
        <v>1.7528300493569317E-2</v>
      </c>
      <c r="G133" s="7">
        <v>0.62500000000000044</v>
      </c>
      <c r="H133" s="3">
        <f ca="1">_xll.meMathNormalDistributionStandardInverse(G133)</f>
        <v>0.31863936396437648</v>
      </c>
      <c r="I133" s="3"/>
      <c r="J133" s="9">
        <f t="shared" si="12"/>
        <v>0.31863936396437637</v>
      </c>
      <c r="K133" s="17">
        <f t="shared" ca="1" si="13"/>
        <v>0</v>
      </c>
      <c r="M133" s="1">
        <v>2.4999999999999822</v>
      </c>
      <c r="N133" s="3">
        <f ca="1">_xll.meMathNormalDistribution(M133,$N$4,$N$5)</f>
        <v>0.99379033467422351</v>
      </c>
      <c r="O133" s="20">
        <f ca="1">_xll.meMathNormalDistributionPDF(M133,$N$4,$N$5)</f>
        <v>1.7528300493569317E-2</v>
      </c>
      <c r="P133" s="8" t="b">
        <f t="shared" ca="1" si="10"/>
        <v>1</v>
      </c>
      <c r="R133" s="7">
        <v>0.62500000000000044</v>
      </c>
      <c r="S133" s="3">
        <f ca="1">_xll.meMathNormalDistributionInverse(R133,$S$4,$S$5)</f>
        <v>0.31863936396437648</v>
      </c>
      <c r="T133" s="12" t="b">
        <f t="shared" ca="1" si="11"/>
        <v>1</v>
      </c>
    </row>
    <row r="134" spans="2:20" x14ac:dyDescent="0.25">
      <c r="B134" s="1">
        <v>2.5999999999999823</v>
      </c>
      <c r="C134" s="3">
        <f ca="1">_xll.meMathNormalDistributionStandard(B134)</f>
        <v>0.99533881197628105</v>
      </c>
      <c r="D134" s="20">
        <f ca="1">_xll.meMathNormalDistributionPDF(B134)</f>
        <v>1.3582969233686243E-2</v>
      </c>
      <c r="G134" s="7">
        <v>0.63000000000000045</v>
      </c>
      <c r="H134" s="3">
        <f ca="1">_xll.meMathNormalDistributionStandardInverse(G134)</f>
        <v>0.33185334643681785</v>
      </c>
      <c r="I134" s="3"/>
      <c r="J134" s="9">
        <f t="shared" si="12"/>
        <v>0.3318533464368178</v>
      </c>
      <c r="K134" s="17">
        <f t="shared" ca="1" si="13"/>
        <v>0</v>
      </c>
      <c r="M134" s="1">
        <v>2.5999999999999823</v>
      </c>
      <c r="N134" s="3">
        <f ca="1">_xll.meMathNormalDistribution(M134,$N$4,$N$5)</f>
        <v>0.99533881197628105</v>
      </c>
      <c r="O134" s="20">
        <f ca="1">_xll.meMathNormalDistributionPDF(M134,$N$4,$N$5)</f>
        <v>1.3582969233686243E-2</v>
      </c>
      <c r="P134" s="8" t="b">
        <f t="shared" ca="1" si="10"/>
        <v>1</v>
      </c>
      <c r="R134" s="7">
        <v>0.63000000000000045</v>
      </c>
      <c r="S134" s="3">
        <f ca="1">_xll.meMathNormalDistributionInverse(R134,$S$4,$S$5)</f>
        <v>0.33185334643681785</v>
      </c>
      <c r="T134" s="12" t="b">
        <f t="shared" ca="1" si="11"/>
        <v>1</v>
      </c>
    </row>
    <row r="135" spans="2:20" x14ac:dyDescent="0.25">
      <c r="B135" s="1">
        <v>2.6999999999999824</v>
      </c>
      <c r="C135" s="3">
        <f ca="1">_xll.meMathNormalDistributionStandard(B135)</f>
        <v>0.99653302619695916</v>
      </c>
      <c r="D135" s="20">
        <f ca="1">_xll.meMathNormalDistributionPDF(B135)</f>
        <v>1.0420934814423091E-2</v>
      </c>
      <c r="G135" s="7">
        <v>0.63500000000000045</v>
      </c>
      <c r="H135" s="3">
        <f ca="1">_xll.meMathNormalDistributionStandardInverse(G135)</f>
        <v>0.3451255314704737</v>
      </c>
      <c r="I135" s="3"/>
      <c r="J135" s="9">
        <f t="shared" si="12"/>
        <v>0.34512553147047359</v>
      </c>
      <c r="K135" s="17">
        <f t="shared" ca="1" si="13"/>
        <v>0</v>
      </c>
      <c r="M135" s="1">
        <v>2.6999999999999824</v>
      </c>
      <c r="N135" s="3">
        <f ca="1">_xll.meMathNormalDistribution(M135,$N$4,$N$5)</f>
        <v>0.99653302619695916</v>
      </c>
      <c r="O135" s="20">
        <f ca="1">_xll.meMathNormalDistributionPDF(M135,$N$4,$N$5)</f>
        <v>1.0420934814423091E-2</v>
      </c>
      <c r="P135" s="8" t="b">
        <f t="shared" ca="1" si="10"/>
        <v>1</v>
      </c>
      <c r="R135" s="7">
        <v>0.63500000000000045</v>
      </c>
      <c r="S135" s="3">
        <f ca="1">_xll.meMathNormalDistributionInverse(R135,$S$4,$S$5)</f>
        <v>0.3451255314704737</v>
      </c>
      <c r="T135" s="12" t="b">
        <f t="shared" ca="1" si="11"/>
        <v>1</v>
      </c>
    </row>
    <row r="136" spans="2:20" x14ac:dyDescent="0.25">
      <c r="B136" s="1">
        <v>2.7999999999999825</v>
      </c>
      <c r="C136" s="3">
        <f ca="1">_xll.meMathNormalDistributionStandard(B136)</f>
        <v>0.99744486966957191</v>
      </c>
      <c r="D136" s="20">
        <f ca="1">_xll.meMathNormalDistributionPDF(B136)</f>
        <v>7.9154515829803502E-3</v>
      </c>
      <c r="G136" s="7">
        <v>0.64000000000000046</v>
      </c>
      <c r="H136" s="3">
        <f ca="1">_xll.meMathNormalDistributionStandardInverse(G136)</f>
        <v>0.35845879325119517</v>
      </c>
      <c r="I136" s="3"/>
      <c r="J136" s="9">
        <f t="shared" si="12"/>
        <v>0.35845879325119501</v>
      </c>
      <c r="K136" s="17">
        <f t="shared" ca="1" si="13"/>
        <v>0</v>
      </c>
      <c r="M136" s="1">
        <v>2.7999999999999825</v>
      </c>
      <c r="N136" s="3">
        <f ca="1">_xll.meMathNormalDistribution(M136,$N$4,$N$5)</f>
        <v>0.99744486966957191</v>
      </c>
      <c r="O136" s="20">
        <f ca="1">_xll.meMathNormalDistributionPDF(M136,$N$4,$N$5)</f>
        <v>7.9154515829803502E-3</v>
      </c>
      <c r="P136" s="8" t="b">
        <f t="shared" ca="1" si="10"/>
        <v>1</v>
      </c>
      <c r="R136" s="7">
        <v>0.64000000000000046</v>
      </c>
      <c r="S136" s="3">
        <f ca="1">_xll.meMathNormalDistributionInverse(R136,$S$4,$S$5)</f>
        <v>0.35845879325119517</v>
      </c>
      <c r="T136" s="12" t="b">
        <f t="shared" ca="1" si="11"/>
        <v>1</v>
      </c>
    </row>
    <row r="137" spans="2:20" x14ac:dyDescent="0.25">
      <c r="B137" s="1">
        <v>2.8999999999999826</v>
      </c>
      <c r="C137" s="3">
        <f ca="1">_xll.meMathNormalDistributionStandard(B137)</f>
        <v>0.99813418669961584</v>
      </c>
      <c r="D137" s="20">
        <f ca="1">_xll.meMathNormalDistributionPDF(B137)</f>
        <v>5.9525324197761548E-3</v>
      </c>
      <c r="G137" s="7">
        <v>0.64500000000000046</v>
      </c>
      <c r="H137" s="3">
        <f ca="1">_xll.meMathNormalDistributionStandardInverse(G137)</f>
        <v>0.37185608938507614</v>
      </c>
      <c r="I137" s="3"/>
      <c r="J137" s="9">
        <f t="shared" ref="J137:J168" si="14">NORMSINV(G137)</f>
        <v>0.37185608938507597</v>
      </c>
      <c r="K137" s="17">
        <f t="shared" ref="K137:K168" ca="1" si="15">H137-J137</f>
        <v>0</v>
      </c>
      <c r="M137" s="1">
        <v>2.8999999999999826</v>
      </c>
      <c r="N137" s="3">
        <f ca="1">_xll.meMathNormalDistribution(M137,$N$4,$N$5)</f>
        <v>0.99813418669961584</v>
      </c>
      <c r="O137" s="20">
        <f ca="1">_xll.meMathNormalDistributionPDF(M137,$N$4,$N$5)</f>
        <v>5.9525324197761548E-3</v>
      </c>
      <c r="P137" s="8" t="b">
        <f t="shared" ca="1" si="10"/>
        <v>1</v>
      </c>
      <c r="R137" s="7">
        <v>0.64500000000000046</v>
      </c>
      <c r="S137" s="3">
        <f ca="1">_xll.meMathNormalDistributionInverse(R137,$S$4,$S$5)</f>
        <v>0.37185608938507614</v>
      </c>
      <c r="T137" s="12" t="b">
        <f t="shared" ca="1" si="11"/>
        <v>1</v>
      </c>
    </row>
    <row r="138" spans="2:20" x14ac:dyDescent="0.25">
      <c r="B138" s="1">
        <v>2.9999999999999827</v>
      </c>
      <c r="C138" s="3">
        <f ca="1">_xll.meMathNormalDistributionStandard(B138)</f>
        <v>0.99865010196836979</v>
      </c>
      <c r="D138" s="20">
        <f ca="1">_xll.meMathNormalDistributionPDF(B138)</f>
        <v>4.4318484119382356E-3</v>
      </c>
      <c r="G138" s="7">
        <v>0.65000000000000047</v>
      </c>
      <c r="H138" s="3">
        <f ca="1">_xll.meMathNormalDistributionStandardInverse(G138)</f>
        <v>0.38532046640756906</v>
      </c>
      <c r="I138" s="3"/>
      <c r="J138" s="9">
        <f t="shared" si="14"/>
        <v>0.38532046640756895</v>
      </c>
      <c r="K138" s="17">
        <f t="shared" ca="1" si="15"/>
        <v>0</v>
      </c>
      <c r="M138" s="1">
        <v>2.9999999999999827</v>
      </c>
      <c r="N138" s="3">
        <f ca="1">_xll.meMathNormalDistribution(M138,$N$4,$N$5)</f>
        <v>0.99865010196836979</v>
      </c>
      <c r="O138" s="20">
        <f ca="1">_xll.meMathNormalDistributionPDF(M138,$N$4,$N$5)</f>
        <v>4.4318484119382356E-3</v>
      </c>
      <c r="P138" s="8" t="b">
        <f t="shared" ref="P138:P201" ca="1" si="16">C138=N138</f>
        <v>1</v>
      </c>
      <c r="R138" s="7">
        <v>0.65000000000000047</v>
      </c>
      <c r="S138" s="3">
        <f ca="1">_xll.meMathNormalDistributionInverse(R138,$S$4,$S$5)</f>
        <v>0.38532046640756906</v>
      </c>
      <c r="T138" s="12" t="b">
        <f t="shared" ref="T138:T201" ca="1" si="17">S138=H138</f>
        <v>1</v>
      </c>
    </row>
    <row r="139" spans="2:20" x14ac:dyDescent="0.25">
      <c r="B139" s="1">
        <v>3.0999999999999828</v>
      </c>
      <c r="C139" s="3">
        <f ca="1">_xll.meMathNormalDistributionStandard(B139)</f>
        <v>0.99903239678678157</v>
      </c>
      <c r="D139" s="20">
        <f ca="1">_xll.meMathNormalDistributionPDF(B139)</f>
        <v>3.2668190562000956E-3</v>
      </c>
      <c r="G139" s="7">
        <v>0.65500000000000047</v>
      </c>
      <c r="H139" s="3">
        <f ca="1">_xll.meMathNormalDistributionStandardInverse(G139)</f>
        <v>0.39885506564233814</v>
      </c>
      <c r="I139" s="3"/>
      <c r="J139" s="9">
        <f t="shared" si="14"/>
        <v>0.39885506564233808</v>
      </c>
      <c r="K139" s="17">
        <f t="shared" ca="1" si="15"/>
        <v>0</v>
      </c>
      <c r="M139" s="1">
        <v>3.0999999999999828</v>
      </c>
      <c r="N139" s="3">
        <f ca="1">_xll.meMathNormalDistribution(M139,$N$4,$N$5)</f>
        <v>0.99903239678678157</v>
      </c>
      <c r="O139" s="20">
        <f ca="1">_xll.meMathNormalDistributionPDF(M139,$N$4,$N$5)</f>
        <v>3.2668190562000956E-3</v>
      </c>
      <c r="P139" s="8" t="b">
        <f t="shared" ca="1" si="16"/>
        <v>1</v>
      </c>
      <c r="R139" s="7">
        <v>0.65500000000000047</v>
      </c>
      <c r="S139" s="3">
        <f ca="1">_xll.meMathNormalDistributionInverse(R139,$S$4,$S$5)</f>
        <v>0.39885506564233814</v>
      </c>
      <c r="T139" s="12" t="b">
        <f t="shared" ca="1" si="17"/>
        <v>1</v>
      </c>
    </row>
    <row r="140" spans="2:20" x14ac:dyDescent="0.25">
      <c r="B140" s="1">
        <v>3.1999999999999829</v>
      </c>
      <c r="C140" s="3">
        <f ca="1">_xll.meMathNormalDistributionStandard(B140)</f>
        <v>0.99931286206208414</v>
      </c>
      <c r="D140" s="20">
        <f ca="1">_xll.meMathNormalDistributionPDF(B140)</f>
        <v>2.3840882014649735E-3</v>
      </c>
      <c r="G140" s="7">
        <v>0.66000000000000048</v>
      </c>
      <c r="H140" s="3">
        <f ca="1">_xll.meMathNormalDistributionStandardInverse(G140)</f>
        <v>0.41246312944140628</v>
      </c>
      <c r="I140" s="3"/>
      <c r="J140" s="9">
        <f t="shared" si="14"/>
        <v>0.41246312944140606</v>
      </c>
      <c r="K140" s="17">
        <f t="shared" ca="1" si="15"/>
        <v>0</v>
      </c>
      <c r="M140" s="1">
        <v>3.1999999999999829</v>
      </c>
      <c r="N140" s="3">
        <f ca="1">_xll.meMathNormalDistribution(M140,$N$4,$N$5)</f>
        <v>0.99931286206208414</v>
      </c>
      <c r="O140" s="20">
        <f ca="1">_xll.meMathNormalDistributionPDF(M140,$N$4,$N$5)</f>
        <v>2.3840882014649735E-3</v>
      </c>
      <c r="P140" s="8" t="b">
        <f t="shared" ca="1" si="16"/>
        <v>1</v>
      </c>
      <c r="R140" s="7">
        <v>0.66000000000000048</v>
      </c>
      <c r="S140" s="3">
        <f ca="1">_xll.meMathNormalDistributionInverse(R140,$S$4,$S$5)</f>
        <v>0.41246312944140628</v>
      </c>
      <c r="T140" s="12" t="b">
        <f t="shared" ca="1" si="17"/>
        <v>1</v>
      </c>
    </row>
    <row r="141" spans="2:20" x14ac:dyDescent="0.25">
      <c r="B141" s="1">
        <v>3.2999999999999829</v>
      </c>
      <c r="C141" s="3">
        <f ca="1">_xll.meMathNormalDistributionStandard(B141)</f>
        <v>0.99951657585761622</v>
      </c>
      <c r="D141" s="20">
        <f ca="1">_xll.meMathNormalDistributionPDF(B141)</f>
        <v>1.7225689390537777E-3</v>
      </c>
      <c r="G141" s="7">
        <v>0.66500000000000048</v>
      </c>
      <c r="H141" s="3">
        <f ca="1">_xll.meMathNormalDistributionStandardInverse(G141)</f>
        <v>0.42614800784127965</v>
      </c>
      <c r="I141" s="3"/>
      <c r="J141" s="9">
        <f t="shared" si="14"/>
        <v>0.4261480078412796</v>
      </c>
      <c r="K141" s="17">
        <f t="shared" ca="1" si="15"/>
        <v>0</v>
      </c>
      <c r="M141" s="1">
        <v>3.2999999999999829</v>
      </c>
      <c r="N141" s="3">
        <f ca="1">_xll.meMathNormalDistribution(M141,$N$4,$N$5)</f>
        <v>0.99951657585761622</v>
      </c>
      <c r="O141" s="20">
        <f ca="1">_xll.meMathNormalDistributionPDF(M141,$N$4,$N$5)</f>
        <v>1.7225689390537777E-3</v>
      </c>
      <c r="P141" s="8" t="b">
        <f t="shared" ca="1" si="16"/>
        <v>1</v>
      </c>
      <c r="R141" s="7">
        <v>0.66500000000000048</v>
      </c>
      <c r="S141" s="3">
        <f ca="1">_xll.meMathNormalDistributionInverse(R141,$S$4,$S$5)</f>
        <v>0.42614800784127965</v>
      </c>
      <c r="T141" s="12" t="b">
        <f t="shared" ca="1" si="17"/>
        <v>1</v>
      </c>
    </row>
    <row r="142" spans="2:20" x14ac:dyDescent="0.25">
      <c r="B142" s="1">
        <v>3.399999999999983</v>
      </c>
      <c r="C142" s="3">
        <f ca="1">_xll.meMathNormalDistributionStandard(B142)</f>
        <v>0.99966307073432314</v>
      </c>
      <c r="D142" s="20">
        <f ca="1">_xll.meMathNormalDistributionPDF(B142)</f>
        <v>1.23221916847309E-3</v>
      </c>
      <c r="G142" s="7">
        <v>0.67000000000000048</v>
      </c>
      <c r="H142" s="3">
        <f ca="1">_xll.meMathNormalDistributionStandardInverse(G142)</f>
        <v>0.4399131656732353</v>
      </c>
      <c r="I142" s="3"/>
      <c r="J142" s="9">
        <f t="shared" si="14"/>
        <v>0.43991316567323524</v>
      </c>
      <c r="K142" s="17">
        <f t="shared" ca="1" si="15"/>
        <v>0</v>
      </c>
      <c r="M142" s="1">
        <v>3.399999999999983</v>
      </c>
      <c r="N142" s="3">
        <f ca="1">_xll.meMathNormalDistribution(M142,$N$4,$N$5)</f>
        <v>0.99966307073432314</v>
      </c>
      <c r="O142" s="20">
        <f ca="1">_xll.meMathNormalDistributionPDF(M142,$N$4,$N$5)</f>
        <v>1.23221916847309E-3</v>
      </c>
      <c r="P142" s="8" t="b">
        <f t="shared" ca="1" si="16"/>
        <v>1</v>
      </c>
      <c r="R142" s="7">
        <v>0.67000000000000048</v>
      </c>
      <c r="S142" s="3">
        <f ca="1">_xll.meMathNormalDistributionInverse(R142,$S$4,$S$5)</f>
        <v>0.4399131656732353</v>
      </c>
      <c r="T142" s="12" t="b">
        <f t="shared" ca="1" si="17"/>
        <v>1</v>
      </c>
    </row>
    <row r="143" spans="2:20" x14ac:dyDescent="0.25">
      <c r="B143" s="1">
        <v>3.4999999999999831</v>
      </c>
      <c r="C143" s="3">
        <f ca="1">_xll.meMathNormalDistributionStandard(B143)</f>
        <v>0.99976737092096446</v>
      </c>
      <c r="D143" s="20">
        <f ca="1">_xll.meMathNormalDistributionPDF(B143)</f>
        <v>8.7268269504581133E-4</v>
      </c>
      <c r="G143" s="7">
        <v>0.67500000000000049</v>
      </c>
      <c r="H143" s="3">
        <f ca="1">_xll.meMathNormalDistributionStandardInverse(G143)</f>
        <v>0.45376219016988084</v>
      </c>
      <c r="I143" s="3"/>
      <c r="J143" s="9">
        <f t="shared" si="14"/>
        <v>0.45376219016988084</v>
      </c>
      <c r="K143" s="17">
        <f t="shared" ca="1" si="15"/>
        <v>0</v>
      </c>
      <c r="M143" s="1">
        <v>3.4999999999999831</v>
      </c>
      <c r="N143" s="3">
        <f ca="1">_xll.meMathNormalDistribution(M143,$N$4,$N$5)</f>
        <v>0.99976737092096446</v>
      </c>
      <c r="O143" s="20">
        <f ca="1">_xll.meMathNormalDistributionPDF(M143,$N$4,$N$5)</f>
        <v>8.7268269504581133E-4</v>
      </c>
      <c r="P143" s="8" t="b">
        <f t="shared" ca="1" si="16"/>
        <v>1</v>
      </c>
      <c r="R143" s="7">
        <v>0.67500000000000049</v>
      </c>
      <c r="S143" s="3">
        <f ca="1">_xll.meMathNormalDistributionInverse(R143,$S$4,$S$5)</f>
        <v>0.45376219016988084</v>
      </c>
      <c r="T143" s="12" t="b">
        <f t="shared" ca="1" si="17"/>
        <v>1</v>
      </c>
    </row>
    <row r="144" spans="2:20" x14ac:dyDescent="0.25">
      <c r="B144" s="1">
        <v>3.5999999999999832</v>
      </c>
      <c r="C144" s="3">
        <f ca="1">_xll.meMathNormalDistributionStandard(B144)</f>
        <v>0.99984089140984245</v>
      </c>
      <c r="D144" s="20">
        <f ca="1">_xll.meMathNormalDistributionPDF(B144)</f>
        <v>6.1190193011380941E-4</v>
      </c>
      <c r="G144" s="7">
        <v>0.68000000000000049</v>
      </c>
      <c r="H144" s="3">
        <f ca="1">_xll.meMathNormalDistributionStandardInverse(G144)</f>
        <v>0.46769879911450979</v>
      </c>
      <c r="I144" s="3"/>
      <c r="J144" s="9">
        <f t="shared" si="14"/>
        <v>0.46769879911450968</v>
      </c>
      <c r="K144" s="17">
        <f t="shared" ca="1" si="15"/>
        <v>0</v>
      </c>
      <c r="M144" s="1">
        <v>3.5999999999999832</v>
      </c>
      <c r="N144" s="3">
        <f ca="1">_xll.meMathNormalDistribution(M144,$N$4,$N$5)</f>
        <v>0.99984089140984245</v>
      </c>
      <c r="O144" s="20">
        <f ca="1">_xll.meMathNormalDistributionPDF(M144,$N$4,$N$5)</f>
        <v>6.1190193011380941E-4</v>
      </c>
      <c r="P144" s="8" t="b">
        <f t="shared" ca="1" si="16"/>
        <v>1</v>
      </c>
      <c r="R144" s="7">
        <v>0.68000000000000049</v>
      </c>
      <c r="S144" s="3">
        <f ca="1">_xll.meMathNormalDistributionInverse(R144,$S$4,$S$5)</f>
        <v>0.46769879911450979</v>
      </c>
      <c r="T144" s="12" t="b">
        <f t="shared" ca="1" si="17"/>
        <v>1</v>
      </c>
    </row>
    <row r="145" spans="2:20" x14ac:dyDescent="0.25">
      <c r="B145" s="1">
        <v>3.6999999999999833</v>
      </c>
      <c r="C145" s="3">
        <f ca="1">_xll.meMathNormalDistributionStandard(B145)</f>
        <v>0.99989220026652259</v>
      </c>
      <c r="D145" s="20">
        <f ca="1">_xll.meMathNormalDistributionPDF(B145)</f>
        <v>4.2478027055077783E-4</v>
      </c>
      <c r="G145" s="7">
        <v>0.6850000000000005</v>
      </c>
      <c r="H145" s="3">
        <f ca="1">_xll.meMathNormalDistributionStandardInverse(G145)</f>
        <v>0.48172684958473194</v>
      </c>
      <c r="I145" s="3"/>
      <c r="J145" s="9">
        <f t="shared" si="14"/>
        <v>0.48172684958473161</v>
      </c>
      <c r="K145" s="17">
        <f t="shared" ca="1" si="15"/>
        <v>0</v>
      </c>
      <c r="M145" s="1">
        <v>3.6999999999999833</v>
      </c>
      <c r="N145" s="3">
        <f ca="1">_xll.meMathNormalDistribution(M145,$N$4,$N$5)</f>
        <v>0.99989220026652259</v>
      </c>
      <c r="O145" s="20">
        <f ca="1">_xll.meMathNormalDistributionPDF(M145,$N$4,$N$5)</f>
        <v>4.2478027055077783E-4</v>
      </c>
      <c r="P145" s="8" t="b">
        <f t="shared" ca="1" si="16"/>
        <v>1</v>
      </c>
      <c r="R145" s="7">
        <v>0.6850000000000005</v>
      </c>
      <c r="S145" s="3">
        <f ca="1">_xll.meMathNormalDistributionInverse(R145,$S$4,$S$5)</f>
        <v>0.48172684958473194</v>
      </c>
      <c r="T145" s="12" t="b">
        <f t="shared" ca="1" si="17"/>
        <v>1</v>
      </c>
    </row>
    <row r="146" spans="2:20" x14ac:dyDescent="0.25">
      <c r="B146" s="1">
        <v>3.7999999999999834</v>
      </c>
      <c r="C146" s="3">
        <f ca="1">_xll.meMathNormalDistributionStandard(B146)</f>
        <v>0.99992765195607491</v>
      </c>
      <c r="D146" s="20">
        <f ca="1">_xll.meMathNormalDistributionPDF(B146)</f>
        <v>2.9194692579147865E-4</v>
      </c>
      <c r="G146" s="7">
        <v>0.6900000000000005</v>
      </c>
      <c r="H146" s="3">
        <f ca="1">_xll.meMathNormalDistributionStandardInverse(G146)</f>
        <v>0.49585034734745492</v>
      </c>
      <c r="I146" s="3"/>
      <c r="J146" s="9">
        <f t="shared" si="14"/>
        <v>0.49585034734745487</v>
      </c>
      <c r="K146" s="17">
        <f t="shared" ca="1" si="15"/>
        <v>0</v>
      </c>
      <c r="M146" s="1">
        <v>3.7999999999999834</v>
      </c>
      <c r="N146" s="3">
        <f ca="1">_xll.meMathNormalDistribution(M146,$N$4,$N$5)</f>
        <v>0.99992765195607491</v>
      </c>
      <c r="O146" s="20">
        <f ca="1">_xll.meMathNormalDistributionPDF(M146,$N$4,$N$5)</f>
        <v>2.9194692579147865E-4</v>
      </c>
      <c r="P146" s="8" t="b">
        <f t="shared" ca="1" si="16"/>
        <v>1</v>
      </c>
      <c r="R146" s="7">
        <v>0.6900000000000005</v>
      </c>
      <c r="S146" s="3">
        <f ca="1">_xll.meMathNormalDistributionInverse(R146,$S$4,$S$5)</f>
        <v>0.49585034734745492</v>
      </c>
      <c r="T146" s="12" t="b">
        <f t="shared" ca="1" si="17"/>
        <v>1</v>
      </c>
    </row>
    <row r="147" spans="2:20" x14ac:dyDescent="0.25">
      <c r="B147" s="1">
        <v>3.8999999999999835</v>
      </c>
      <c r="C147" s="3">
        <f ca="1">_xll.meMathNormalDistributionStandard(B147)</f>
        <v>0.99995190365598241</v>
      </c>
      <c r="D147" s="20">
        <f ca="1">_xll.meMathNormalDistributionPDF(B147)</f>
        <v>1.9865547139278543E-4</v>
      </c>
      <c r="G147" s="7">
        <v>0.69500000000000051</v>
      </c>
      <c r="H147" s="3">
        <f ca="1">_xll.meMathNormalDistributionStandardInverse(G147)</f>
        <v>0.51007345696859641</v>
      </c>
      <c r="I147" s="3"/>
      <c r="J147" s="9">
        <f t="shared" si="14"/>
        <v>0.51007345696859629</v>
      </c>
      <c r="K147" s="17">
        <f t="shared" ca="1" si="15"/>
        <v>0</v>
      </c>
      <c r="M147" s="1">
        <v>3.8999999999999835</v>
      </c>
      <c r="N147" s="3">
        <f ca="1">_xll.meMathNormalDistribution(M147,$N$4,$N$5)</f>
        <v>0.99995190365598241</v>
      </c>
      <c r="O147" s="20">
        <f ca="1">_xll.meMathNormalDistributionPDF(M147,$N$4,$N$5)</f>
        <v>1.9865547139278543E-4</v>
      </c>
      <c r="P147" s="8" t="b">
        <f t="shared" ca="1" si="16"/>
        <v>1</v>
      </c>
      <c r="R147" s="7">
        <v>0.69500000000000051</v>
      </c>
      <c r="S147" s="3">
        <f ca="1">_xll.meMathNormalDistributionInverse(R147,$S$4,$S$5)</f>
        <v>0.51007345696859641</v>
      </c>
      <c r="T147" s="12" t="b">
        <f t="shared" ca="1" si="17"/>
        <v>1</v>
      </c>
    </row>
    <row r="148" spans="2:20" x14ac:dyDescent="0.25">
      <c r="B148" s="1">
        <v>3.9999999999999836</v>
      </c>
      <c r="C148" s="3">
        <f ca="1">_xll.meMathNormalDistributionStandard(B148)</f>
        <v>0.99996832875816688</v>
      </c>
      <c r="D148" s="20">
        <f ca="1">_xll.meMathNormalDistributionPDF(B148)</f>
        <v>1.3383022576489415E-4</v>
      </c>
      <c r="G148" s="7">
        <v>0.70000000000000051</v>
      </c>
      <c r="H148" s="3">
        <f ca="1">_xll.meMathNormalDistributionStandardInverse(G148)</f>
        <v>0.52440051270804244</v>
      </c>
      <c r="I148" s="3"/>
      <c r="J148" s="9">
        <f t="shared" si="14"/>
        <v>0.52440051270804233</v>
      </c>
      <c r="K148" s="17">
        <f t="shared" ca="1" si="15"/>
        <v>0</v>
      </c>
      <c r="M148" s="1">
        <v>3.9999999999999836</v>
      </c>
      <c r="N148" s="3">
        <f ca="1">_xll.meMathNormalDistribution(M148,$N$4,$N$5)</f>
        <v>0.99996832875816688</v>
      </c>
      <c r="O148" s="20">
        <f ca="1">_xll.meMathNormalDistributionPDF(M148,$N$4,$N$5)</f>
        <v>1.3383022576489415E-4</v>
      </c>
      <c r="P148" s="8" t="b">
        <f t="shared" ca="1" si="16"/>
        <v>1</v>
      </c>
      <c r="R148" s="7">
        <v>0.70000000000000051</v>
      </c>
      <c r="S148" s="3">
        <f ca="1">_xll.meMathNormalDistributionInverse(R148,$S$4,$S$5)</f>
        <v>0.52440051270804244</v>
      </c>
      <c r="T148" s="12" t="b">
        <f t="shared" ca="1" si="17"/>
        <v>1</v>
      </c>
    </row>
    <row r="149" spans="2:20" x14ac:dyDescent="0.25">
      <c r="B149" s="1">
        <v>4.0999999999999837</v>
      </c>
      <c r="C149" s="3">
        <f ca="1">_xll.meMathNormalDistributionStandard(B149)</f>
        <v>0.9999793424930874</v>
      </c>
      <c r="D149" s="20">
        <f ca="1">_xll.meMathNormalDistributionPDF(B149)</f>
        <v>8.9261657177138796E-5</v>
      </c>
      <c r="G149" s="7">
        <v>0.70500000000000052</v>
      </c>
      <c r="H149" s="3">
        <f ca="1">_xll.meMathNormalDistributionStandardInverse(G149)</f>
        <v>0.53883603027845195</v>
      </c>
      <c r="I149" s="3"/>
      <c r="J149" s="9">
        <f t="shared" si="14"/>
        <v>0.53883603027845173</v>
      </c>
      <c r="K149" s="17">
        <f t="shared" ca="1" si="15"/>
        <v>0</v>
      </c>
      <c r="M149" s="1">
        <v>4.0999999999999837</v>
      </c>
      <c r="N149" s="3">
        <f ca="1">_xll.meMathNormalDistribution(M149,$N$4,$N$5)</f>
        <v>0.9999793424930874</v>
      </c>
      <c r="O149" s="20">
        <f ca="1">_xll.meMathNormalDistributionPDF(M149,$N$4,$N$5)</f>
        <v>8.9261657177138796E-5</v>
      </c>
      <c r="P149" s="8" t="b">
        <f t="shared" ca="1" si="16"/>
        <v>1</v>
      </c>
      <c r="R149" s="7">
        <v>0.70500000000000052</v>
      </c>
      <c r="S149" s="3">
        <f ca="1">_xll.meMathNormalDistributionInverse(R149,$S$4,$S$5)</f>
        <v>0.53883603027845195</v>
      </c>
      <c r="T149" s="12" t="b">
        <f t="shared" ca="1" si="17"/>
        <v>1</v>
      </c>
    </row>
    <row r="150" spans="2:20" x14ac:dyDescent="0.25">
      <c r="B150" s="1">
        <v>4.1999999999999833</v>
      </c>
      <c r="C150" s="3">
        <f ca="1">_xll.meMathNormalDistributionStandard(B150)</f>
        <v>0.9999866542509841</v>
      </c>
      <c r="D150" s="20">
        <f ca="1">_xll.meMathNormalDistributionPDF(B150)</f>
        <v>5.8943067756544036E-5</v>
      </c>
      <c r="G150" s="7">
        <v>0.71000000000000052</v>
      </c>
      <c r="H150" s="3">
        <f ca="1">_xll.meMathNormalDistributionStandardInverse(G150)</f>
        <v>0.55338471955567436</v>
      </c>
      <c r="I150" s="3"/>
      <c r="J150" s="9">
        <f t="shared" si="14"/>
        <v>0.55338471955567436</v>
      </c>
      <c r="K150" s="17">
        <f t="shared" ca="1" si="15"/>
        <v>0</v>
      </c>
      <c r="M150" s="1">
        <v>4.1999999999999833</v>
      </c>
      <c r="N150" s="3">
        <f ca="1">_xll.meMathNormalDistribution(M150,$N$4,$N$5)</f>
        <v>0.9999866542509841</v>
      </c>
      <c r="O150" s="20">
        <f ca="1">_xll.meMathNormalDistributionPDF(M150,$N$4,$N$5)</f>
        <v>5.8943067756544036E-5</v>
      </c>
      <c r="P150" s="8" t="b">
        <f t="shared" ca="1" si="16"/>
        <v>1</v>
      </c>
      <c r="R150" s="7">
        <v>0.71000000000000052</v>
      </c>
      <c r="S150" s="3">
        <f ca="1">_xll.meMathNormalDistributionInverse(R150,$S$4,$S$5)</f>
        <v>0.55338471955567436</v>
      </c>
      <c r="T150" s="12" t="b">
        <f t="shared" ca="1" si="17"/>
        <v>1</v>
      </c>
    </row>
    <row r="151" spans="2:20" x14ac:dyDescent="0.25">
      <c r="B151" s="1">
        <v>4.2999999999999829</v>
      </c>
      <c r="C151" s="3">
        <f ca="1">_xll.meMathNormalDistributionStandard(B151)</f>
        <v>0.99999146009452899</v>
      </c>
      <c r="D151" s="20">
        <f ca="1">_xll.meMathNormalDistributionPDF(B151)</f>
        <v>3.8535196742089935E-5</v>
      </c>
      <c r="G151" s="7">
        <v>0.71500000000000052</v>
      </c>
      <c r="H151" s="3">
        <f ca="1">_xll.meMathNormalDistributionStandardInverse(G151)</f>
        <v>0.56805149833898438</v>
      </c>
      <c r="I151" s="3"/>
      <c r="J151" s="9">
        <f t="shared" si="14"/>
        <v>0.56805149833898427</v>
      </c>
      <c r="K151" s="17">
        <f t="shared" ca="1" si="15"/>
        <v>0</v>
      </c>
      <c r="M151" s="1">
        <v>4.2999999999999829</v>
      </c>
      <c r="N151" s="3">
        <f ca="1">_xll.meMathNormalDistribution(M151,$N$4,$N$5)</f>
        <v>0.99999146009452899</v>
      </c>
      <c r="O151" s="20">
        <f ca="1">_xll.meMathNormalDistributionPDF(M151,$N$4,$N$5)</f>
        <v>3.8535196742089935E-5</v>
      </c>
      <c r="P151" s="8" t="b">
        <f t="shared" ca="1" si="16"/>
        <v>1</v>
      </c>
      <c r="R151" s="7">
        <v>0.71500000000000052</v>
      </c>
      <c r="S151" s="3">
        <f ca="1">_xll.meMathNormalDistributionInverse(R151,$S$4,$S$5)</f>
        <v>0.56805149833898438</v>
      </c>
      <c r="T151" s="12" t="b">
        <f t="shared" ca="1" si="17"/>
        <v>1</v>
      </c>
    </row>
    <row r="152" spans="2:20" x14ac:dyDescent="0.25">
      <c r="B152" s="1">
        <v>4.3999999999999826</v>
      </c>
      <c r="C152" s="3">
        <f ca="1">_xll.meMathNormalDistributionStandard(B152)</f>
        <v>0.99999458745609227</v>
      </c>
      <c r="D152" s="20">
        <f ca="1">_xll.meMathNormalDistributionPDF(B152)</f>
        <v>2.494247129005548E-5</v>
      </c>
      <c r="G152" s="7">
        <v>0.72000000000000053</v>
      </c>
      <c r="H152" s="3">
        <f ca="1">_xll.meMathNormalDistributionStandardInverse(G152)</f>
        <v>0.58284150727121808</v>
      </c>
      <c r="I152" s="3"/>
      <c r="J152" s="9">
        <f t="shared" si="14"/>
        <v>0.58284150727121786</v>
      </c>
      <c r="K152" s="17">
        <f t="shared" ca="1" si="15"/>
        <v>0</v>
      </c>
      <c r="M152" s="1">
        <v>4.3999999999999826</v>
      </c>
      <c r="N152" s="3">
        <f ca="1">_xll.meMathNormalDistribution(M152,$N$4,$N$5)</f>
        <v>0.99999458745609227</v>
      </c>
      <c r="O152" s="20">
        <f ca="1">_xll.meMathNormalDistributionPDF(M152,$N$4,$N$5)</f>
        <v>2.494247129005548E-5</v>
      </c>
      <c r="P152" s="8" t="b">
        <f t="shared" ca="1" si="16"/>
        <v>1</v>
      </c>
      <c r="R152" s="7">
        <v>0.72000000000000053</v>
      </c>
      <c r="S152" s="3">
        <f ca="1">_xll.meMathNormalDistributionInverse(R152,$S$4,$S$5)</f>
        <v>0.58284150727121808</v>
      </c>
      <c r="T152" s="12" t="b">
        <f t="shared" ca="1" si="17"/>
        <v>1</v>
      </c>
    </row>
    <row r="153" spans="2:20" x14ac:dyDescent="0.25">
      <c r="B153" s="1">
        <v>4.4999999999999822</v>
      </c>
      <c r="C153" s="3">
        <f ca="1">_xll.meMathNormalDistributionStandard(B153)</f>
        <v>0.99999660232687526</v>
      </c>
      <c r="D153" s="20">
        <f ca="1">_xll.meMathNormalDistributionPDF(B153)</f>
        <v>1.5983741106906752E-5</v>
      </c>
      <c r="G153" s="7">
        <v>0.72500000000000053</v>
      </c>
      <c r="H153" s="3">
        <f ca="1">_xll.meMathNormalDistributionStandardInverse(G153)</f>
        <v>0.59776012604248019</v>
      </c>
      <c r="I153" s="3"/>
      <c r="J153" s="9">
        <f t="shared" si="14"/>
        <v>0.59776012604248008</v>
      </c>
      <c r="K153" s="17">
        <f t="shared" ca="1" si="15"/>
        <v>0</v>
      </c>
      <c r="M153" s="1">
        <v>4.4999999999999822</v>
      </c>
      <c r="N153" s="3">
        <f ca="1">_xll.meMathNormalDistribution(M153,$N$4,$N$5)</f>
        <v>0.99999660232687526</v>
      </c>
      <c r="O153" s="20">
        <f ca="1">_xll.meMathNormalDistributionPDF(M153,$N$4,$N$5)</f>
        <v>1.5983741106906752E-5</v>
      </c>
      <c r="P153" s="8" t="b">
        <f t="shared" ca="1" si="16"/>
        <v>1</v>
      </c>
      <c r="R153" s="7">
        <v>0.72500000000000053</v>
      </c>
      <c r="S153" s="3">
        <f ca="1">_xll.meMathNormalDistributionInverse(R153,$S$4,$S$5)</f>
        <v>0.59776012604248019</v>
      </c>
      <c r="T153" s="12" t="b">
        <f t="shared" ca="1" si="17"/>
        <v>1</v>
      </c>
    </row>
    <row r="154" spans="2:20" x14ac:dyDescent="0.25">
      <c r="B154" s="1">
        <v>4.5999999999999819</v>
      </c>
      <c r="C154" s="3">
        <f ca="1">_xll.meMathNormalDistributionStandard(B154)</f>
        <v>0.9999978875452975</v>
      </c>
      <c r="D154" s="20">
        <f ca="1">_xll.meMathNormalDistributionPDF(B154)</f>
        <v>1.0140852065487588E-5</v>
      </c>
      <c r="G154" s="7">
        <v>0.73000000000000054</v>
      </c>
      <c r="H154" s="3">
        <f ca="1">_xll.meMathNormalDistributionStandardInverse(G154)</f>
        <v>0.61281299101662912</v>
      </c>
      <c r="I154" s="3"/>
      <c r="J154" s="9">
        <f t="shared" si="14"/>
        <v>0.61281299101662901</v>
      </c>
      <c r="K154" s="17">
        <f t="shared" ca="1" si="15"/>
        <v>0</v>
      </c>
      <c r="M154" s="1">
        <v>4.5999999999999819</v>
      </c>
      <c r="N154" s="3">
        <f ca="1">_xll.meMathNormalDistribution(M154,$N$4,$N$5)</f>
        <v>0.9999978875452975</v>
      </c>
      <c r="O154" s="20">
        <f ca="1">_xll.meMathNormalDistributionPDF(M154,$N$4,$N$5)</f>
        <v>1.0140852065487588E-5</v>
      </c>
      <c r="P154" s="8" t="b">
        <f t="shared" ca="1" si="16"/>
        <v>1</v>
      </c>
      <c r="R154" s="7">
        <v>0.73000000000000054</v>
      </c>
      <c r="S154" s="3">
        <f ca="1">_xll.meMathNormalDistributionInverse(R154,$S$4,$S$5)</f>
        <v>0.61281299101662912</v>
      </c>
      <c r="T154" s="12" t="b">
        <f t="shared" ca="1" si="17"/>
        <v>1</v>
      </c>
    </row>
    <row r="155" spans="2:20" x14ac:dyDescent="0.25">
      <c r="B155" s="1">
        <v>4.6999999999999815</v>
      </c>
      <c r="C155" s="3">
        <f ca="1">_xll.meMathNormalDistributionStandard(B155)</f>
        <v>0.99999869919254614</v>
      </c>
      <c r="D155" s="20">
        <f ca="1">_xll.meMathNormalDistributionPDF(B155)</f>
        <v>6.3698251788676566E-6</v>
      </c>
      <c r="G155" s="7">
        <v>0.73500000000000054</v>
      </c>
      <c r="H155" s="3">
        <f ca="1">_xll.meMathNormalDistributionStandardInverse(G155)</f>
        <v>0.62800601443757142</v>
      </c>
      <c r="I155" s="3"/>
      <c r="J155" s="9">
        <f t="shared" si="14"/>
        <v>0.62800601443757131</v>
      </c>
      <c r="K155" s="17">
        <f t="shared" ca="1" si="15"/>
        <v>0</v>
      </c>
      <c r="M155" s="1">
        <v>4.6999999999999815</v>
      </c>
      <c r="N155" s="3">
        <f ca="1">_xll.meMathNormalDistribution(M155,$N$4,$N$5)</f>
        <v>0.99999869919254614</v>
      </c>
      <c r="O155" s="20">
        <f ca="1">_xll.meMathNormalDistributionPDF(M155,$N$4,$N$5)</f>
        <v>6.3698251788676566E-6</v>
      </c>
      <c r="P155" s="8" t="b">
        <f t="shared" ca="1" si="16"/>
        <v>1</v>
      </c>
      <c r="R155" s="7">
        <v>0.73500000000000054</v>
      </c>
      <c r="S155" s="3">
        <f ca="1">_xll.meMathNormalDistributionInverse(R155,$S$4,$S$5)</f>
        <v>0.62800601443757142</v>
      </c>
      <c r="T155" s="12" t="b">
        <f t="shared" ca="1" si="17"/>
        <v>1</v>
      </c>
    </row>
    <row r="156" spans="2:20" x14ac:dyDescent="0.25">
      <c r="B156" s="1">
        <v>4.7999999999999812</v>
      </c>
      <c r="C156" s="3">
        <f ca="1">_xll.meMathNormalDistributionStandard(B156)</f>
        <v>0.99999920667184805</v>
      </c>
      <c r="D156" s="20">
        <f ca="1">_xll.meMathNormalDistributionPDF(B156)</f>
        <v>3.9612990910324344E-6</v>
      </c>
      <c r="G156" s="7">
        <v>0.74000000000000055</v>
      </c>
      <c r="H156" s="3">
        <f ca="1">_xll.meMathNormalDistributionStandardInverse(G156)</f>
        <v>0.64334540539291885</v>
      </c>
      <c r="I156" s="3"/>
      <c r="J156" s="9">
        <f t="shared" si="14"/>
        <v>0.64334540539291862</v>
      </c>
      <c r="K156" s="17">
        <f t="shared" ca="1" si="15"/>
        <v>0</v>
      </c>
      <c r="M156" s="1">
        <v>4.7999999999999812</v>
      </c>
      <c r="N156" s="3">
        <f ca="1">_xll.meMathNormalDistribution(M156,$N$4,$N$5)</f>
        <v>0.99999920667184805</v>
      </c>
      <c r="O156" s="20">
        <f ca="1">_xll.meMathNormalDistributionPDF(M156,$N$4,$N$5)</f>
        <v>3.9612990910324344E-6</v>
      </c>
      <c r="P156" s="8" t="b">
        <f t="shared" ca="1" si="16"/>
        <v>1</v>
      </c>
      <c r="R156" s="7">
        <v>0.74000000000000055</v>
      </c>
      <c r="S156" s="3">
        <f ca="1">_xll.meMathNormalDistributionInverse(R156,$S$4,$S$5)</f>
        <v>0.64334540539291885</v>
      </c>
      <c r="T156" s="12" t="b">
        <f t="shared" ca="1" si="17"/>
        <v>1</v>
      </c>
    </row>
    <row r="157" spans="2:20" x14ac:dyDescent="0.25">
      <c r="B157" s="1">
        <v>4.8999999999999808</v>
      </c>
      <c r="C157" s="3">
        <f ca="1">_xll.meMathNormalDistributionStandard(B157)</f>
        <v>0.99999952081672339</v>
      </c>
      <c r="D157" s="20">
        <f ca="1">_xll.meMathNormalDistributionPDF(B157)</f>
        <v>2.4389607458935864E-6</v>
      </c>
      <c r="G157" s="7">
        <v>0.74500000000000055</v>
      </c>
      <c r="H157" s="3">
        <f ca="1">_xll.meMathNormalDistributionStandardInverse(G157)</f>
        <v>0.65883769273618975</v>
      </c>
      <c r="I157" s="3"/>
      <c r="J157" s="9">
        <f t="shared" si="14"/>
        <v>0.65883769273618931</v>
      </c>
      <c r="K157" s="17">
        <f t="shared" ca="1" si="15"/>
        <v>0</v>
      </c>
      <c r="M157" s="1">
        <v>4.8999999999999808</v>
      </c>
      <c r="N157" s="3">
        <f ca="1">_xll.meMathNormalDistribution(M157,$N$4,$N$5)</f>
        <v>0.99999952081672339</v>
      </c>
      <c r="O157" s="20">
        <f ca="1">_xll.meMathNormalDistributionPDF(M157,$N$4,$N$5)</f>
        <v>2.4389607458935864E-6</v>
      </c>
      <c r="P157" s="8" t="b">
        <f t="shared" ca="1" si="16"/>
        <v>1</v>
      </c>
      <c r="R157" s="7">
        <v>0.74500000000000055</v>
      </c>
      <c r="S157" s="3">
        <f ca="1">_xll.meMathNormalDistributionInverse(R157,$S$4,$S$5)</f>
        <v>0.65883769273618975</v>
      </c>
      <c r="T157" s="12" t="b">
        <f t="shared" ca="1" si="17"/>
        <v>1</v>
      </c>
    </row>
    <row r="158" spans="2:20" x14ac:dyDescent="0.25">
      <c r="B158" s="1">
        <v>4.9999999999999805</v>
      </c>
      <c r="C158" s="3">
        <f ca="1">_xll.meMathNormalDistributionStandard(B158)</f>
        <v>0.99999971334842808</v>
      </c>
      <c r="D158" s="20">
        <f ca="1">_xll.meMathNormalDistributionPDF(B158)</f>
        <v>1.4867195147344432E-6</v>
      </c>
      <c r="G158" s="7">
        <v>0.75000000000000056</v>
      </c>
      <c r="H158" s="3">
        <f ca="1">_xll.meMathNormalDistributionStandardInverse(G158)</f>
        <v>0.67448975019608348</v>
      </c>
      <c r="I158" s="3"/>
      <c r="J158" s="9">
        <f t="shared" si="14"/>
        <v>0.67448975019608348</v>
      </c>
      <c r="K158" s="17">
        <f t="shared" ca="1" si="15"/>
        <v>0</v>
      </c>
      <c r="M158" s="1">
        <v>4.9999999999999805</v>
      </c>
      <c r="N158" s="3">
        <f ca="1">_xll.meMathNormalDistribution(M158,$N$4,$N$5)</f>
        <v>0.99999971334842808</v>
      </c>
      <c r="O158" s="20">
        <f ca="1">_xll.meMathNormalDistributionPDF(M158,$N$4,$N$5)</f>
        <v>1.4867195147344432E-6</v>
      </c>
      <c r="P158" s="8" t="b">
        <f t="shared" ca="1" si="16"/>
        <v>1</v>
      </c>
      <c r="R158" s="7">
        <v>0.75000000000000056</v>
      </c>
      <c r="S158" s="3">
        <f ca="1">_xll.meMathNormalDistributionInverse(R158,$S$4,$S$5)</f>
        <v>0.67448975019608348</v>
      </c>
      <c r="T158" s="12" t="b">
        <f t="shared" ca="1" si="17"/>
        <v>1</v>
      </c>
    </row>
    <row r="159" spans="2:20" x14ac:dyDescent="0.25">
      <c r="B159" s="1">
        <v>5.0999999999999801</v>
      </c>
      <c r="C159" s="3">
        <f ca="1">_xll.meMathNormalDistributionStandard(B159)</f>
        <v>0.99999983017325933</v>
      </c>
      <c r="D159" s="20">
        <f ca="1">_xll.meMathNormalDistributionPDF(B159)</f>
        <v>8.9724351623842458E-7</v>
      </c>
      <c r="G159" s="7">
        <v>0.75500000000000056</v>
      </c>
      <c r="H159" s="3">
        <f ca="1">_xll.meMathNormalDistributionStandardInverse(G159)</f>
        <v>0.69030882393303561</v>
      </c>
      <c r="I159" s="3"/>
      <c r="J159" s="9">
        <f t="shared" si="14"/>
        <v>0.69030882393303605</v>
      </c>
      <c r="K159" s="17">
        <f t="shared" ca="1" si="15"/>
        <v>0</v>
      </c>
      <c r="M159" s="1">
        <v>5.0999999999999801</v>
      </c>
      <c r="N159" s="3">
        <f ca="1">_xll.meMathNormalDistribution(M159,$N$4,$N$5)</f>
        <v>0.99999983017325933</v>
      </c>
      <c r="O159" s="20">
        <f ca="1">_xll.meMathNormalDistributionPDF(M159,$N$4,$N$5)</f>
        <v>8.9724351623842458E-7</v>
      </c>
      <c r="P159" s="8" t="b">
        <f t="shared" ca="1" si="16"/>
        <v>1</v>
      </c>
      <c r="R159" s="7">
        <v>0.75500000000000056</v>
      </c>
      <c r="S159" s="3">
        <f ca="1">_xll.meMathNormalDistributionInverse(R159,$S$4,$S$5)</f>
        <v>0.69030882393303561</v>
      </c>
      <c r="T159" s="12" t="b">
        <f t="shared" ca="1" si="17"/>
        <v>1</v>
      </c>
    </row>
    <row r="160" spans="2:20" x14ac:dyDescent="0.25">
      <c r="B160" s="1">
        <v>5.1999999999999797</v>
      </c>
      <c r="C160" s="3">
        <f ca="1">_xll.meMathNormalDistributionStandard(B160)</f>
        <v>0.99999990035573683</v>
      </c>
      <c r="D160" s="20">
        <f ca="1">_xll.meMathNormalDistributionPDF(B160)</f>
        <v>5.3610353446981852E-7</v>
      </c>
      <c r="G160" s="7">
        <v>0.76000000000000056</v>
      </c>
      <c r="H160" s="3">
        <f ca="1">_xll.meMathNormalDistributionStandardInverse(G160)</f>
        <v>0.70630256284008919</v>
      </c>
      <c r="I160" s="3"/>
      <c r="J160" s="9">
        <f t="shared" si="14"/>
        <v>0.70630256284008919</v>
      </c>
      <c r="K160" s="17">
        <f t="shared" ca="1" si="15"/>
        <v>0</v>
      </c>
      <c r="M160" s="1">
        <v>5.1999999999999797</v>
      </c>
      <c r="N160" s="3">
        <f ca="1">_xll.meMathNormalDistribution(M160,$N$4,$N$5)</f>
        <v>0.99999990035573683</v>
      </c>
      <c r="O160" s="20">
        <f ca="1">_xll.meMathNormalDistributionPDF(M160,$N$4,$N$5)</f>
        <v>5.3610353446981852E-7</v>
      </c>
      <c r="P160" s="8" t="b">
        <f t="shared" ca="1" si="16"/>
        <v>1</v>
      </c>
      <c r="R160" s="7">
        <v>0.76000000000000056</v>
      </c>
      <c r="S160" s="3">
        <f ca="1">_xll.meMathNormalDistributionInverse(R160,$S$4,$S$5)</f>
        <v>0.70630256284008919</v>
      </c>
      <c r="T160" s="12" t="b">
        <f t="shared" ca="1" si="17"/>
        <v>1</v>
      </c>
    </row>
    <row r="161" spans="2:20" x14ac:dyDescent="0.25">
      <c r="B161" s="1">
        <v>5.2999999999999794</v>
      </c>
      <c r="C161" s="3">
        <f ca="1">_xll.meMathNormalDistributionStandard(B161)</f>
        <v>0.99999994209865961</v>
      </c>
      <c r="D161" s="20">
        <f ca="1">_xll.meMathNormalDistributionPDF(B161)</f>
        <v>3.171349216716319E-7</v>
      </c>
      <c r="G161" s="7">
        <v>0.76500000000000057</v>
      </c>
      <c r="H161" s="3">
        <f ca="1">_xll.meMathNormalDistributionStandardInverse(G161)</f>
        <v>0.7224790519280645</v>
      </c>
      <c r="I161" s="3"/>
      <c r="J161" s="9">
        <f t="shared" si="14"/>
        <v>0.72247905192806416</v>
      </c>
      <c r="K161" s="17">
        <f t="shared" ca="1" si="15"/>
        <v>0</v>
      </c>
      <c r="M161" s="1">
        <v>5.2999999999999794</v>
      </c>
      <c r="N161" s="3">
        <f ca="1">_xll.meMathNormalDistribution(M161,$N$4,$N$5)</f>
        <v>0.99999994209865961</v>
      </c>
      <c r="O161" s="20">
        <f ca="1">_xll.meMathNormalDistributionPDF(M161,$N$4,$N$5)</f>
        <v>3.171349216716319E-7</v>
      </c>
      <c r="P161" s="8" t="b">
        <f t="shared" ca="1" si="16"/>
        <v>1</v>
      </c>
      <c r="R161" s="7">
        <v>0.76500000000000057</v>
      </c>
      <c r="S161" s="3">
        <f ca="1">_xll.meMathNormalDistributionInverse(R161,$S$4,$S$5)</f>
        <v>0.7224790519280645</v>
      </c>
      <c r="T161" s="12" t="b">
        <f t="shared" ca="1" si="17"/>
        <v>1</v>
      </c>
    </row>
    <row r="162" spans="2:20" x14ac:dyDescent="0.25">
      <c r="B162" s="1">
        <v>5.399999999999979</v>
      </c>
      <c r="C162" s="3">
        <f ca="1">_xll.meMathNormalDistributionStandard(B162)</f>
        <v>0.99999996667955149</v>
      </c>
      <c r="D162" s="20">
        <f ca="1">_xll.meMathNormalDistributionPDF(B162)</f>
        <v>1.8573618445555041E-7</v>
      </c>
      <c r="G162" s="7">
        <v>0.77000000000000057</v>
      </c>
      <c r="H162" s="3">
        <f ca="1">_xll.meMathNormalDistributionStandardInverse(G162)</f>
        <v>0.73884684918521548</v>
      </c>
      <c r="I162" s="3"/>
      <c r="J162" s="9">
        <f t="shared" si="14"/>
        <v>0.73884684918521537</v>
      </c>
      <c r="K162" s="17">
        <f t="shared" ca="1" si="15"/>
        <v>0</v>
      </c>
      <c r="M162" s="1">
        <v>5.399999999999979</v>
      </c>
      <c r="N162" s="3">
        <f ca="1">_xll.meMathNormalDistribution(M162,$N$4,$N$5)</f>
        <v>0.99999996667955149</v>
      </c>
      <c r="O162" s="20">
        <f ca="1">_xll.meMathNormalDistributionPDF(M162,$N$4,$N$5)</f>
        <v>1.8573618445555041E-7</v>
      </c>
      <c r="P162" s="8" t="b">
        <f t="shared" ca="1" si="16"/>
        <v>1</v>
      </c>
      <c r="R162" s="7">
        <v>0.77000000000000057</v>
      </c>
      <c r="S162" s="3">
        <f ca="1">_xll.meMathNormalDistributionInverse(R162,$S$4,$S$5)</f>
        <v>0.73884684918521548</v>
      </c>
      <c r="T162" s="12" t="b">
        <f t="shared" ca="1" si="17"/>
        <v>1</v>
      </c>
    </row>
    <row r="163" spans="2:20" x14ac:dyDescent="0.25">
      <c r="B163" s="1">
        <v>5.4999999999999787</v>
      </c>
      <c r="C163" s="3">
        <f ca="1">_xll.meMathNormalDistributionStandard(B163)</f>
        <v>0.99999998101043752</v>
      </c>
      <c r="D163" s="20">
        <f ca="1">_xll.meMathNormalDistributionPDF(B163)</f>
        <v>1.0769760042544539E-7</v>
      </c>
      <c r="G163" s="7">
        <v>0.77500000000000058</v>
      </c>
      <c r="H163" s="3">
        <f ca="1">_xll.meMathNormalDistributionStandardInverse(G163)</f>
        <v>0.7554150263604712</v>
      </c>
      <c r="I163" s="3"/>
      <c r="J163" s="9">
        <f t="shared" si="14"/>
        <v>0.7554150263604712</v>
      </c>
      <c r="K163" s="17">
        <f t="shared" ca="1" si="15"/>
        <v>0</v>
      </c>
      <c r="M163" s="1">
        <v>5.4999999999999787</v>
      </c>
      <c r="N163" s="3">
        <f ca="1">_xll.meMathNormalDistribution(M163,$N$4,$N$5)</f>
        <v>0.99999998101043752</v>
      </c>
      <c r="O163" s="20">
        <f ca="1">_xll.meMathNormalDistributionPDF(M163,$N$4,$N$5)</f>
        <v>1.0769760042544539E-7</v>
      </c>
      <c r="P163" s="8" t="b">
        <f t="shared" ca="1" si="16"/>
        <v>1</v>
      </c>
      <c r="R163" s="7">
        <v>0.77500000000000058</v>
      </c>
      <c r="S163" s="3">
        <f ca="1">_xll.meMathNormalDistributionInverse(R163,$S$4,$S$5)</f>
        <v>0.7554150263604712</v>
      </c>
      <c r="T163" s="12" t="b">
        <f t="shared" ca="1" si="17"/>
        <v>1</v>
      </c>
    </row>
    <row r="164" spans="2:20" x14ac:dyDescent="0.25">
      <c r="B164" s="1">
        <v>5.5999999999999783</v>
      </c>
      <c r="C164" s="3">
        <f ca="1">_xll.meMathNormalDistributionStandard(B164)</f>
        <v>0.99999998928240974</v>
      </c>
      <c r="D164" s="20">
        <f ca="1">_xll.meMathNormalDistributionPDF(B164)</f>
        <v>6.1826205001665932E-8</v>
      </c>
      <c r="G164" s="7">
        <v>0.78000000000000058</v>
      </c>
      <c r="H164" s="3">
        <f ca="1">_xll.meMathNormalDistributionStandardInverse(G164)</f>
        <v>0.77219321418868658</v>
      </c>
      <c r="I164" s="3"/>
      <c r="J164" s="9">
        <f t="shared" si="14"/>
        <v>0.77219321418868669</v>
      </c>
      <c r="K164" s="17">
        <f t="shared" ca="1" si="15"/>
        <v>0</v>
      </c>
      <c r="M164" s="1">
        <v>5.5999999999999783</v>
      </c>
      <c r="N164" s="3">
        <f ca="1">_xll.meMathNormalDistribution(M164,$N$4,$N$5)</f>
        <v>0.99999998928240974</v>
      </c>
      <c r="O164" s="20">
        <f ca="1">_xll.meMathNormalDistributionPDF(M164,$N$4,$N$5)</f>
        <v>6.1826205001665932E-8</v>
      </c>
      <c r="P164" s="8" t="b">
        <f t="shared" ca="1" si="16"/>
        <v>1</v>
      </c>
      <c r="R164" s="7">
        <v>0.78000000000000058</v>
      </c>
      <c r="S164" s="3">
        <f ca="1">_xll.meMathNormalDistributionInverse(R164,$S$4,$S$5)</f>
        <v>0.77219321418868658</v>
      </c>
      <c r="T164" s="12" t="b">
        <f t="shared" ca="1" si="17"/>
        <v>1</v>
      </c>
    </row>
    <row r="165" spans="2:20" x14ac:dyDescent="0.25">
      <c r="B165" s="1">
        <v>5.699999999999978</v>
      </c>
      <c r="C165" s="3">
        <f ca="1">_xll.meMathNormalDistributionStandard(B165)</f>
        <v>0.99999999400962858</v>
      </c>
      <c r="D165" s="20">
        <f ca="1">_xll.meMathNormalDistributionPDF(B165)</f>
        <v>3.5139550948208834E-8</v>
      </c>
      <c r="G165" s="7">
        <v>0.78500000000000059</v>
      </c>
      <c r="H165" s="3">
        <f ca="1">_xll.meMathNormalDistributionStandardInverse(G165)</f>
        <v>0.78919165265822433</v>
      </c>
      <c r="I165" s="3"/>
      <c r="J165" s="9">
        <f t="shared" si="14"/>
        <v>0.78919165265822455</v>
      </c>
      <c r="K165" s="17">
        <f t="shared" ca="1" si="15"/>
        <v>0</v>
      </c>
      <c r="M165" s="1">
        <v>5.699999999999978</v>
      </c>
      <c r="N165" s="3">
        <f ca="1">_xll.meMathNormalDistribution(M165,$N$4,$N$5)</f>
        <v>0.99999999400962858</v>
      </c>
      <c r="O165" s="20">
        <f ca="1">_xll.meMathNormalDistributionPDF(M165,$N$4,$N$5)</f>
        <v>3.5139550948208834E-8</v>
      </c>
      <c r="P165" s="8" t="b">
        <f t="shared" ca="1" si="16"/>
        <v>1</v>
      </c>
      <c r="R165" s="7">
        <v>0.78500000000000059</v>
      </c>
      <c r="S165" s="3">
        <f ca="1">_xll.meMathNormalDistributionInverse(R165,$S$4,$S$5)</f>
        <v>0.78919165265822433</v>
      </c>
      <c r="T165" s="12" t="b">
        <f t="shared" ca="1" si="17"/>
        <v>1</v>
      </c>
    </row>
    <row r="166" spans="2:20" x14ac:dyDescent="0.25">
      <c r="B166" s="1">
        <v>5.7999999999999776</v>
      </c>
      <c r="C166" s="3">
        <f ca="1">_xll.meMathNormalDistributionStandard(B166)</f>
        <v>0.99999999668425399</v>
      </c>
      <c r="D166" s="20">
        <f ca="1">_xll.meMathNormalDistributionPDF(B166)</f>
        <v>1.9773196406247269E-8</v>
      </c>
      <c r="G166" s="7">
        <v>0.79000000000000059</v>
      </c>
      <c r="H166" s="3">
        <f ca="1">_xll.meMathNormalDistributionStandardInverse(G166)</f>
        <v>0.80642124701824203</v>
      </c>
      <c r="I166" s="3"/>
      <c r="J166" s="9">
        <f t="shared" si="14"/>
        <v>0.80642124701824247</v>
      </c>
      <c r="K166" s="17">
        <f t="shared" ca="1" si="15"/>
        <v>0</v>
      </c>
      <c r="M166" s="1">
        <v>5.7999999999999776</v>
      </c>
      <c r="N166" s="3">
        <f ca="1">_xll.meMathNormalDistribution(M166,$N$4,$N$5)</f>
        <v>0.99999999668425399</v>
      </c>
      <c r="O166" s="20">
        <f ca="1">_xll.meMathNormalDistributionPDF(M166,$N$4,$N$5)</f>
        <v>1.9773196406247269E-8</v>
      </c>
      <c r="P166" s="8" t="b">
        <f t="shared" ca="1" si="16"/>
        <v>1</v>
      </c>
      <c r="R166" s="7">
        <v>0.79000000000000059</v>
      </c>
      <c r="S166" s="3">
        <f ca="1">_xll.meMathNormalDistributionInverse(R166,$S$4,$S$5)</f>
        <v>0.80642124701824203</v>
      </c>
      <c r="T166" s="12" t="b">
        <f t="shared" ca="1" si="17"/>
        <v>1</v>
      </c>
    </row>
    <row r="167" spans="2:20" x14ac:dyDescent="0.25">
      <c r="B167" s="1">
        <v>5.8999999999999773</v>
      </c>
      <c r="C167" s="3">
        <f ca="1">_xll.meMathNormalDistributionStandard(B167)</f>
        <v>0.99999999818249219</v>
      </c>
      <c r="D167" s="20">
        <f ca="1">_xll.meMathNormalDistributionPDF(B167)</f>
        <v>1.1015763624683796E-8</v>
      </c>
      <c r="G167" s="7">
        <v>0.7950000000000006</v>
      </c>
      <c r="H167" s="3">
        <f ca="1">_xll.meMathNormalDistributionStandardInverse(G167)</f>
        <v>0.82389363033855956</v>
      </c>
      <c r="I167" s="3"/>
      <c r="J167" s="9">
        <f t="shared" si="14"/>
        <v>0.82389363033855911</v>
      </c>
      <c r="K167" s="17">
        <f t="shared" ca="1" si="15"/>
        <v>0</v>
      </c>
      <c r="M167" s="1">
        <v>5.8999999999999773</v>
      </c>
      <c r="N167" s="3">
        <f ca="1">_xll.meMathNormalDistribution(M167,$N$4,$N$5)</f>
        <v>0.99999999818249219</v>
      </c>
      <c r="O167" s="20">
        <f ca="1">_xll.meMathNormalDistributionPDF(M167,$N$4,$N$5)</f>
        <v>1.1015763624683796E-8</v>
      </c>
      <c r="P167" s="8" t="b">
        <f t="shared" ca="1" si="16"/>
        <v>1</v>
      </c>
      <c r="R167" s="7">
        <v>0.7950000000000006</v>
      </c>
      <c r="S167" s="3">
        <f ca="1">_xll.meMathNormalDistributionInverse(R167,$S$4,$S$5)</f>
        <v>0.82389363033855956</v>
      </c>
      <c r="T167" s="12" t="b">
        <f t="shared" ca="1" si="17"/>
        <v>1</v>
      </c>
    </row>
    <row r="168" spans="2:20" x14ac:dyDescent="0.25">
      <c r="B168" s="1">
        <v>5.9999999999999769</v>
      </c>
      <c r="C168" s="3">
        <f ca="1">_xll.meMathNormalDistributionStandard(B168)</f>
        <v>0.9999999990134123</v>
      </c>
      <c r="D168" s="20">
        <f ca="1">_xll.meMathNormalDistributionPDF(B168)</f>
        <v>6.0758828498241282E-9</v>
      </c>
      <c r="G168" s="7">
        <v>0.8000000000000006</v>
      </c>
      <c r="H168" s="3">
        <f ca="1">_xll.meMathNormalDistributionStandardInverse(G168)</f>
        <v>0.84162123357291629</v>
      </c>
      <c r="I168" s="3"/>
      <c r="J168" s="9">
        <f t="shared" si="14"/>
        <v>0.84162123357291629</v>
      </c>
      <c r="K168" s="17">
        <f t="shared" ca="1" si="15"/>
        <v>0</v>
      </c>
      <c r="M168" s="1">
        <v>5.9999999999999769</v>
      </c>
      <c r="N168" s="3">
        <f ca="1">_xll.meMathNormalDistribution(M168,$N$4,$N$5)</f>
        <v>0.9999999990134123</v>
      </c>
      <c r="O168" s="20">
        <f ca="1">_xll.meMathNormalDistributionPDF(M168,$N$4,$N$5)</f>
        <v>6.0758828498241282E-9</v>
      </c>
      <c r="P168" s="8" t="b">
        <f t="shared" ca="1" si="16"/>
        <v>1</v>
      </c>
      <c r="R168" s="7">
        <v>0.8000000000000006</v>
      </c>
      <c r="S168" s="3">
        <f ca="1">_xll.meMathNormalDistributionInverse(R168,$S$4,$S$5)</f>
        <v>0.84162123357291629</v>
      </c>
      <c r="T168" s="12" t="b">
        <f t="shared" ca="1" si="17"/>
        <v>1</v>
      </c>
    </row>
    <row r="169" spans="2:20" x14ac:dyDescent="0.25">
      <c r="B169" s="1">
        <v>6.0999999999999766</v>
      </c>
      <c r="C169" s="3">
        <f ca="1">_xll.meMathNormalDistributionStandard(B169)</f>
        <v>0.99999999946965767</v>
      </c>
      <c r="D169" s="20">
        <f ca="1">_xll.meMathNormalDistributionPDF(B169)</f>
        <v>3.3178842435477648E-9</v>
      </c>
      <c r="G169" s="7">
        <v>0.8050000000000006</v>
      </c>
      <c r="H169" s="3">
        <f ca="1">_xll.meMathNormalDistributionStandardInverse(G169)</f>
        <v>0.85961736424191382</v>
      </c>
      <c r="I169" s="3"/>
      <c r="J169" s="9">
        <f t="shared" ref="J169:J200" si="18">NORMSINV(G169)</f>
        <v>0.85961736424191304</v>
      </c>
      <c r="K169" s="17">
        <f t="shared" ref="K169:K200" ca="1" si="19">H169-J169</f>
        <v>0</v>
      </c>
      <c r="M169" s="1">
        <v>6.0999999999999766</v>
      </c>
      <c r="N169" s="3">
        <f ca="1">_xll.meMathNormalDistribution(M169,$N$4,$N$5)</f>
        <v>0.99999999946965767</v>
      </c>
      <c r="O169" s="20">
        <f ca="1">_xll.meMathNormalDistributionPDF(M169,$N$4,$N$5)</f>
        <v>3.3178842435477648E-9</v>
      </c>
      <c r="P169" s="8" t="b">
        <f t="shared" ca="1" si="16"/>
        <v>1</v>
      </c>
      <c r="R169" s="7">
        <v>0.8050000000000006</v>
      </c>
      <c r="S169" s="3">
        <f ca="1">_xll.meMathNormalDistributionInverse(R169,$S$4,$S$5)</f>
        <v>0.85961736424191382</v>
      </c>
      <c r="T169" s="12" t="b">
        <f t="shared" ca="1" si="17"/>
        <v>1</v>
      </c>
    </row>
    <row r="170" spans="2:20" x14ac:dyDescent="0.25">
      <c r="B170" s="1">
        <v>6.1999999999999762</v>
      </c>
      <c r="C170" s="3">
        <f ca="1">_xll.meMathNormalDistributionStandard(B170)</f>
        <v>0.99999999971768416</v>
      </c>
      <c r="D170" s="20">
        <f ca="1">_xll.meMathNormalDistributionPDF(B170)</f>
        <v>1.793783907964347E-9</v>
      </c>
      <c r="G170" s="7">
        <v>0.81000000000000061</v>
      </c>
      <c r="H170" s="3">
        <f ca="1">_xll.meMathNormalDistributionStandardInverse(G170)</f>
        <v>0.8778962950512309</v>
      </c>
      <c r="I170" s="3"/>
      <c r="J170" s="9">
        <f t="shared" si="18"/>
        <v>0.87789629505123135</v>
      </c>
      <c r="K170" s="17">
        <f t="shared" ca="1" si="19"/>
        <v>0</v>
      </c>
      <c r="M170" s="1">
        <v>6.1999999999999762</v>
      </c>
      <c r="N170" s="3">
        <f ca="1">_xll.meMathNormalDistribution(M170,$N$4,$N$5)</f>
        <v>0.99999999971768416</v>
      </c>
      <c r="O170" s="20">
        <f ca="1">_xll.meMathNormalDistributionPDF(M170,$N$4,$N$5)</f>
        <v>1.793783907964347E-9</v>
      </c>
      <c r="P170" s="8" t="b">
        <f t="shared" ca="1" si="16"/>
        <v>1</v>
      </c>
      <c r="R170" s="7">
        <v>0.81000000000000061</v>
      </c>
      <c r="S170" s="3">
        <f ca="1">_xll.meMathNormalDistributionInverse(R170,$S$4,$S$5)</f>
        <v>0.8778962950512309</v>
      </c>
      <c r="T170" s="12" t="b">
        <f t="shared" ca="1" si="17"/>
        <v>1</v>
      </c>
    </row>
    <row r="171" spans="2:20" x14ac:dyDescent="0.25">
      <c r="B171" s="1">
        <v>6.2999999999999758</v>
      </c>
      <c r="C171" s="3">
        <f ca="1">_xll.meMathNormalDistributionStandard(B171)</f>
        <v>0.99999999985117716</v>
      </c>
      <c r="D171" s="20">
        <f ca="1">_xll.meMathNormalDistributionPDF(B171)</f>
        <v>9.6014333703138025E-10</v>
      </c>
      <c r="G171" s="7">
        <v>0.81500000000000061</v>
      </c>
      <c r="H171" s="3">
        <f ca="1">_xll.meMathNormalDistributionStandardInverse(G171)</f>
        <v>0.89647336400191846</v>
      </c>
      <c r="I171" s="3"/>
      <c r="J171" s="9">
        <f t="shared" si="18"/>
        <v>0.89647336400191857</v>
      </c>
      <c r="K171" s="17">
        <f t="shared" ca="1" si="19"/>
        <v>0</v>
      </c>
      <c r="M171" s="1">
        <v>6.2999999999999758</v>
      </c>
      <c r="N171" s="3">
        <f ca="1">_xll.meMathNormalDistribution(M171,$N$4,$N$5)</f>
        <v>0.99999999985117716</v>
      </c>
      <c r="O171" s="20">
        <f ca="1">_xll.meMathNormalDistributionPDF(M171,$N$4,$N$5)</f>
        <v>9.6014333703138025E-10</v>
      </c>
      <c r="P171" s="8" t="b">
        <f t="shared" ca="1" si="16"/>
        <v>1</v>
      </c>
      <c r="R171" s="7">
        <v>0.81500000000000061</v>
      </c>
      <c r="S171" s="3">
        <f ca="1">_xll.meMathNormalDistributionInverse(R171,$S$4,$S$5)</f>
        <v>0.89647336400191846</v>
      </c>
      <c r="T171" s="12" t="b">
        <f t="shared" ca="1" si="17"/>
        <v>1</v>
      </c>
    </row>
    <row r="172" spans="2:20" x14ac:dyDescent="0.25">
      <c r="B172" s="1">
        <v>6.3999999999999755</v>
      </c>
      <c r="C172" s="3">
        <f ca="1">_xll.meMathNormalDistributionStandard(B172)</f>
        <v>0.99999999992231148</v>
      </c>
      <c r="D172" s="20">
        <f ca="1">_xll.meMathNormalDistributionPDF(B172)</f>
        <v>5.0881402816458526E-10</v>
      </c>
      <c r="G172" s="7">
        <v>0.82000000000000062</v>
      </c>
      <c r="H172" s="3">
        <f ca="1">_xll.meMathNormalDistributionStandardInverse(G172)</f>
        <v>0.91536508784281645</v>
      </c>
      <c r="I172" s="3"/>
      <c r="J172" s="9">
        <f t="shared" si="18"/>
        <v>0.91536508784281612</v>
      </c>
      <c r="K172" s="17">
        <f t="shared" ca="1" si="19"/>
        <v>0</v>
      </c>
      <c r="M172" s="1">
        <v>6.3999999999999755</v>
      </c>
      <c r="N172" s="3">
        <f ca="1">_xll.meMathNormalDistribution(M172,$N$4,$N$5)</f>
        <v>0.99999999992231148</v>
      </c>
      <c r="O172" s="20">
        <f ca="1">_xll.meMathNormalDistributionPDF(M172,$N$4,$N$5)</f>
        <v>5.0881402816458526E-10</v>
      </c>
      <c r="P172" s="8" t="b">
        <f t="shared" ca="1" si="16"/>
        <v>1</v>
      </c>
      <c r="R172" s="7">
        <v>0.82000000000000062</v>
      </c>
      <c r="S172" s="3">
        <f ca="1">_xll.meMathNormalDistributionInverse(R172,$S$4,$S$5)</f>
        <v>0.91536508784281645</v>
      </c>
      <c r="T172" s="12" t="b">
        <f t="shared" ca="1" si="17"/>
        <v>1</v>
      </c>
    </row>
    <row r="173" spans="2:20" x14ac:dyDescent="0.25">
      <c r="B173" s="1">
        <v>6.4999999999999751</v>
      </c>
      <c r="C173" s="3">
        <f ca="1">_xll.meMathNormalDistributionStandard(B173)</f>
        <v>0.99999999995984001</v>
      </c>
      <c r="D173" s="20">
        <f ca="1">_xll.meMathNormalDistributionPDF(B173)</f>
        <v>2.669556614763279E-10</v>
      </c>
      <c r="G173" s="7">
        <v>0.82500000000000062</v>
      </c>
      <c r="H173" s="3">
        <f ca="1">_xll.meMathNormalDistributionStandardInverse(G173)</f>
        <v>0.93458929107348265</v>
      </c>
      <c r="I173" s="3"/>
      <c r="J173" s="9">
        <f t="shared" si="18"/>
        <v>0.9345892910734831</v>
      </c>
      <c r="K173" s="17">
        <f t="shared" ca="1" si="19"/>
        <v>0</v>
      </c>
      <c r="M173" s="1">
        <v>6.4999999999999751</v>
      </c>
      <c r="N173" s="3">
        <f ca="1">_xll.meMathNormalDistribution(M173,$N$4,$N$5)</f>
        <v>0.99999999995984001</v>
      </c>
      <c r="O173" s="20">
        <f ca="1">_xll.meMathNormalDistributionPDF(M173,$N$4,$N$5)</f>
        <v>2.669556614763279E-10</v>
      </c>
      <c r="P173" s="8" t="b">
        <f t="shared" ca="1" si="16"/>
        <v>1</v>
      </c>
      <c r="R173" s="7">
        <v>0.82500000000000062</v>
      </c>
      <c r="S173" s="3">
        <f ca="1">_xll.meMathNormalDistributionInverse(R173,$S$4,$S$5)</f>
        <v>0.93458929107348265</v>
      </c>
      <c r="T173" s="12" t="b">
        <f t="shared" ca="1" si="17"/>
        <v>1</v>
      </c>
    </row>
    <row r="174" spans="2:20" x14ac:dyDescent="0.25">
      <c r="B174" s="1">
        <v>6.5999999999999748</v>
      </c>
      <c r="C174" s="3">
        <f ca="1">_xll.meMathNormalDistributionStandard(B174)</f>
        <v>0.99999999997944211</v>
      </c>
      <c r="D174" s="20">
        <f ca="1">_xll.meMathNormalDistributionPDF(B174)</f>
        <v>1.3866799941655437E-10</v>
      </c>
      <c r="G174" s="7">
        <v>0.83000000000000063</v>
      </c>
      <c r="H174" s="3">
        <f ca="1">_xll.meMathNormalDistributionStandardInverse(G174)</f>
        <v>0.95416525314619705</v>
      </c>
      <c r="I174" s="3"/>
      <c r="J174" s="9">
        <f t="shared" si="18"/>
        <v>0.9541652531461956</v>
      </c>
      <c r="K174" s="17">
        <f t="shared" ca="1" si="19"/>
        <v>1.4432899320127035E-15</v>
      </c>
      <c r="M174" s="1">
        <v>6.5999999999999748</v>
      </c>
      <c r="N174" s="3">
        <f ca="1">_xll.meMathNormalDistribution(M174,$N$4,$N$5)</f>
        <v>0.99999999997944211</v>
      </c>
      <c r="O174" s="20">
        <f ca="1">_xll.meMathNormalDistributionPDF(M174,$N$4,$N$5)</f>
        <v>1.3866799941655437E-10</v>
      </c>
      <c r="P174" s="8" t="b">
        <f t="shared" ca="1" si="16"/>
        <v>1</v>
      </c>
      <c r="R174" s="7">
        <v>0.83000000000000063</v>
      </c>
      <c r="S174" s="3">
        <f ca="1">_xll.meMathNormalDistributionInverse(R174,$S$4,$S$5)</f>
        <v>0.95416525314619705</v>
      </c>
      <c r="T174" s="12" t="b">
        <f t="shared" ca="1" si="17"/>
        <v>1</v>
      </c>
    </row>
    <row r="175" spans="2:20" x14ac:dyDescent="0.25">
      <c r="B175" s="1">
        <v>6.6999999999999744</v>
      </c>
      <c r="C175" s="3">
        <f ca="1">_xll.meMathNormalDistributionStandard(B175)</f>
        <v>0.999999999989579</v>
      </c>
      <c r="D175" s="20">
        <f ca="1">_xll.meMathNormalDistributionPDF(B175)</f>
        <v>7.1313281239972913E-11</v>
      </c>
      <c r="G175" s="7">
        <v>0.83500000000000063</v>
      </c>
      <c r="H175" s="3">
        <f ca="1">_xll.meMathNormalDistributionStandardInverse(G175)</f>
        <v>0.97411387705931185</v>
      </c>
      <c r="I175" s="3"/>
      <c r="J175" s="9">
        <f t="shared" si="18"/>
        <v>0.97411387705931207</v>
      </c>
      <c r="K175" s="17">
        <f t="shared" ca="1" si="19"/>
        <v>0</v>
      </c>
      <c r="M175" s="1">
        <v>6.6999999999999744</v>
      </c>
      <c r="N175" s="3">
        <f ca="1">_xll.meMathNormalDistribution(M175,$N$4,$N$5)</f>
        <v>0.999999999989579</v>
      </c>
      <c r="O175" s="20">
        <f ca="1">_xll.meMathNormalDistributionPDF(M175,$N$4,$N$5)</f>
        <v>7.1313281239972913E-11</v>
      </c>
      <c r="P175" s="8" t="b">
        <f t="shared" ca="1" si="16"/>
        <v>1</v>
      </c>
      <c r="R175" s="7">
        <v>0.83500000000000063</v>
      </c>
      <c r="S175" s="3">
        <f ca="1">_xll.meMathNormalDistributionInverse(R175,$S$4,$S$5)</f>
        <v>0.97411387705931185</v>
      </c>
      <c r="T175" s="12" t="b">
        <f t="shared" ca="1" si="17"/>
        <v>1</v>
      </c>
    </row>
    <row r="176" spans="2:20" x14ac:dyDescent="0.25">
      <c r="B176" s="1">
        <v>6.7999999999999741</v>
      </c>
      <c r="C176" s="3">
        <f ca="1">_xll.meMathNormalDistributionStandard(B176)</f>
        <v>0.99999999999476907</v>
      </c>
      <c r="D176" s="20">
        <f ca="1">_xll.meMathNormalDistributionPDF(B176)</f>
        <v>3.6309615017924331E-11</v>
      </c>
      <c r="G176" s="7">
        <v>0.84000000000000064</v>
      </c>
      <c r="H176" s="3">
        <f ca="1">_xll.meMathNormalDistributionStandardInverse(G176)</f>
        <v>0.99445788320975581</v>
      </c>
      <c r="I176" s="3"/>
      <c r="J176" s="9">
        <f t="shared" si="18"/>
        <v>0.99445788320975548</v>
      </c>
      <c r="K176" s="17">
        <f t="shared" ca="1" si="19"/>
        <v>0</v>
      </c>
      <c r="M176" s="1">
        <v>6.7999999999999741</v>
      </c>
      <c r="N176" s="3">
        <f ca="1">_xll.meMathNormalDistribution(M176,$N$4,$N$5)</f>
        <v>0.99999999999476907</v>
      </c>
      <c r="O176" s="20">
        <f ca="1">_xll.meMathNormalDistributionPDF(M176,$N$4,$N$5)</f>
        <v>3.6309615017924331E-11</v>
      </c>
      <c r="P176" s="8" t="b">
        <f t="shared" ca="1" si="16"/>
        <v>1</v>
      </c>
      <c r="R176" s="7">
        <v>0.84000000000000064</v>
      </c>
      <c r="S176" s="3">
        <f ca="1">_xll.meMathNormalDistributionInverse(R176,$S$4,$S$5)</f>
        <v>0.99445788320975581</v>
      </c>
      <c r="T176" s="12" t="b">
        <f t="shared" ca="1" si="17"/>
        <v>1</v>
      </c>
    </row>
    <row r="177" spans="2:20" x14ac:dyDescent="0.25">
      <c r="B177" s="1">
        <v>6.8999999999999737</v>
      </c>
      <c r="C177" s="3">
        <f ca="1">_xll.meMathNormalDistributionStandard(B177)</f>
        <v>0.99999999999739986</v>
      </c>
      <c r="D177" s="20">
        <f ca="1">_xll.meMathNormalDistributionPDF(B177)</f>
        <v>1.8303322170159097E-11</v>
      </c>
      <c r="G177" s="7">
        <v>0.84500000000000064</v>
      </c>
      <c r="H177" s="3">
        <f ca="1">_xll.meMathNormalDistributionStandardInverse(G177)</f>
        <v>1.0152220332170308</v>
      </c>
      <c r="I177" s="3"/>
      <c r="J177" s="9">
        <f t="shared" si="18"/>
        <v>1.0152220332170299</v>
      </c>
      <c r="K177" s="17">
        <f t="shared" ca="1" si="19"/>
        <v>0</v>
      </c>
      <c r="M177" s="1">
        <v>6.8999999999999737</v>
      </c>
      <c r="N177" s="3">
        <f ca="1">_xll.meMathNormalDistribution(M177,$N$4,$N$5)</f>
        <v>0.99999999999739986</v>
      </c>
      <c r="O177" s="20">
        <f ca="1">_xll.meMathNormalDistributionPDF(M177,$N$4,$N$5)</f>
        <v>1.8303322170159097E-11</v>
      </c>
      <c r="P177" s="8" t="b">
        <f t="shared" ca="1" si="16"/>
        <v>1</v>
      </c>
      <c r="R177" s="7">
        <v>0.84500000000000064</v>
      </c>
      <c r="S177" s="3">
        <f ca="1">_xll.meMathNormalDistributionInverse(R177,$S$4,$S$5)</f>
        <v>1.0152220332170308</v>
      </c>
      <c r="T177" s="12" t="b">
        <f t="shared" ca="1" si="17"/>
        <v>1</v>
      </c>
    </row>
    <row r="178" spans="2:20" x14ac:dyDescent="0.25">
      <c r="B178" s="1">
        <v>6.9999999999999734</v>
      </c>
      <c r="C178" s="3">
        <f ca="1">_xll.meMathNormalDistributionStandard(B178)</f>
        <v>0.99999999999872013</v>
      </c>
      <c r="D178" s="20">
        <f ca="1">_xll.meMathNormalDistributionPDF(B178)</f>
        <v>9.1347204083662819E-12</v>
      </c>
      <c r="G178" s="7">
        <v>0.85000000000000064</v>
      </c>
      <c r="H178" s="3">
        <f ca="1">_xll.meMathNormalDistributionStandardInverse(G178)</f>
        <v>1.036433389493792</v>
      </c>
      <c r="I178" s="3"/>
      <c r="J178" s="9">
        <f t="shared" si="18"/>
        <v>1.0364333894937909</v>
      </c>
      <c r="K178" s="17">
        <f t="shared" ca="1" si="19"/>
        <v>0</v>
      </c>
      <c r="M178" s="1">
        <v>6.9999999999999734</v>
      </c>
      <c r="N178" s="3">
        <f ca="1">_xll.meMathNormalDistribution(M178,$N$4,$N$5)</f>
        <v>0.99999999999872013</v>
      </c>
      <c r="O178" s="20">
        <f ca="1">_xll.meMathNormalDistributionPDF(M178,$N$4,$N$5)</f>
        <v>9.1347204083662819E-12</v>
      </c>
      <c r="P178" s="8" t="b">
        <f t="shared" ca="1" si="16"/>
        <v>1</v>
      </c>
      <c r="R178" s="7">
        <v>0.85000000000000064</v>
      </c>
      <c r="S178" s="3">
        <f ca="1">_xll.meMathNormalDistributionInverse(R178,$S$4,$S$5)</f>
        <v>1.036433389493792</v>
      </c>
      <c r="T178" s="12" t="b">
        <f t="shared" ca="1" si="17"/>
        <v>1</v>
      </c>
    </row>
    <row r="179" spans="2:20" x14ac:dyDescent="0.25">
      <c r="B179" s="1">
        <v>7.099999999999973</v>
      </c>
      <c r="C179" s="3">
        <f ca="1">_xll.meMathNormalDistributionStandard(B179)</f>
        <v>0.99999999999937617</v>
      </c>
      <c r="D179" s="20">
        <f ca="1">_xll.meMathNormalDistributionPDF(B179)</f>
        <v>4.5135436772063672E-12</v>
      </c>
      <c r="G179" s="7">
        <v>0.85500000000000065</v>
      </c>
      <c r="H179" s="3">
        <f ca="1">_xll.meMathNormalDistributionStandardInverse(G179)</f>
        <v>1.0581216176847796</v>
      </c>
      <c r="I179" s="3"/>
      <c r="J179" s="9">
        <f t="shared" si="18"/>
        <v>1.0581216176847796</v>
      </c>
      <c r="K179" s="17">
        <f t="shared" ca="1" si="19"/>
        <v>0</v>
      </c>
      <c r="M179" s="1">
        <v>7.099999999999973</v>
      </c>
      <c r="N179" s="3">
        <f ca="1">_xll.meMathNormalDistribution(M179,$N$4,$N$5)</f>
        <v>0.99999999999937617</v>
      </c>
      <c r="O179" s="20">
        <f ca="1">_xll.meMathNormalDistributionPDF(M179,$N$4,$N$5)</f>
        <v>4.5135436772063672E-12</v>
      </c>
      <c r="P179" s="8" t="b">
        <f t="shared" ca="1" si="16"/>
        <v>1</v>
      </c>
      <c r="R179" s="7">
        <v>0.85500000000000065</v>
      </c>
      <c r="S179" s="3">
        <f ca="1">_xll.meMathNormalDistributionInverse(R179,$S$4,$S$5)</f>
        <v>1.0581216176847796</v>
      </c>
      <c r="T179" s="12" t="b">
        <f t="shared" ca="1" si="17"/>
        <v>1</v>
      </c>
    </row>
    <row r="180" spans="2:20" x14ac:dyDescent="0.25">
      <c r="B180" s="1">
        <v>7.1999999999999726</v>
      </c>
      <c r="C180" s="3">
        <f ca="1">_xll.meMathNormalDistributionStandard(B180)</f>
        <v>0.99999999999969891</v>
      </c>
      <c r="D180" s="20">
        <f ca="1">_xll.meMathNormalDistributionPDF(B180)</f>
        <v>2.2079899631375787E-12</v>
      </c>
      <c r="G180" s="7">
        <v>0.86000000000000065</v>
      </c>
      <c r="H180" s="3">
        <f ca="1">_xll.meMathNormalDistributionStandardInverse(G180)</f>
        <v>1.080319340814959</v>
      </c>
      <c r="I180" s="3"/>
      <c r="J180" s="9">
        <f t="shared" si="18"/>
        <v>1.0803193408149592</v>
      </c>
      <c r="K180" s="17">
        <f t="shared" ca="1" si="19"/>
        <v>0</v>
      </c>
      <c r="M180" s="1">
        <v>7.1999999999999726</v>
      </c>
      <c r="N180" s="3">
        <f ca="1">_xll.meMathNormalDistribution(M180,$N$4,$N$5)</f>
        <v>0.99999999999969891</v>
      </c>
      <c r="O180" s="20">
        <f ca="1">_xll.meMathNormalDistributionPDF(M180,$N$4,$N$5)</f>
        <v>2.2079899631375787E-12</v>
      </c>
      <c r="P180" s="8" t="b">
        <f t="shared" ca="1" si="16"/>
        <v>1</v>
      </c>
      <c r="R180" s="7">
        <v>0.86000000000000065</v>
      </c>
      <c r="S180" s="3">
        <f ca="1">_xll.meMathNormalDistributionInverse(R180,$S$4,$S$5)</f>
        <v>1.080319340814959</v>
      </c>
      <c r="T180" s="12" t="b">
        <f t="shared" ca="1" si="17"/>
        <v>1</v>
      </c>
    </row>
    <row r="181" spans="2:20" x14ac:dyDescent="0.25">
      <c r="B181" s="1">
        <v>7.2999999999999723</v>
      </c>
      <c r="C181" s="3">
        <f ca="1">_xll.meMathNormalDistributionStandard(B181)</f>
        <v>0.99999999999985612</v>
      </c>
      <c r="D181" s="20">
        <f ca="1">_xll.meMathNormalDistributionPDF(B181)</f>
        <v>1.0693837871543805E-12</v>
      </c>
      <c r="G181" s="7">
        <v>0.86500000000000066</v>
      </c>
      <c r="H181" s="3">
        <f ca="1">_xll.meMathNormalDistributionStandardInverse(G181)</f>
        <v>1.1030625561996004</v>
      </c>
      <c r="I181" s="3"/>
      <c r="J181" s="9">
        <f t="shared" si="18"/>
        <v>1.103062556199601</v>
      </c>
      <c r="K181" s="17">
        <f t="shared" ca="1" si="19"/>
        <v>0</v>
      </c>
      <c r="M181" s="1">
        <v>7.2999999999999723</v>
      </c>
      <c r="N181" s="3">
        <f ca="1">_xll.meMathNormalDistribution(M181,$N$4,$N$5)</f>
        <v>0.99999999999985612</v>
      </c>
      <c r="O181" s="20">
        <f ca="1">_xll.meMathNormalDistributionPDF(M181,$N$4,$N$5)</f>
        <v>1.0693837871543805E-12</v>
      </c>
      <c r="P181" s="8" t="b">
        <f t="shared" ca="1" si="16"/>
        <v>1</v>
      </c>
      <c r="R181" s="7">
        <v>0.86500000000000066</v>
      </c>
      <c r="S181" s="3">
        <f ca="1">_xll.meMathNormalDistributionInverse(R181,$S$4,$S$5)</f>
        <v>1.1030625561996004</v>
      </c>
      <c r="T181" s="12" t="b">
        <f t="shared" ca="1" si="17"/>
        <v>1</v>
      </c>
    </row>
    <row r="182" spans="2:20" x14ac:dyDescent="0.25">
      <c r="B182" s="1">
        <v>7.3999999999999719</v>
      </c>
      <c r="C182" s="3">
        <f ca="1">_xll.meMathNormalDistributionStandard(B182)</f>
        <v>0.99999999999993194</v>
      </c>
      <c r="D182" s="20">
        <f ca="1">_xll.meMathNormalDistributionPDF(B182)</f>
        <v>5.1277536367977383E-13</v>
      </c>
      <c r="G182" s="7">
        <v>0.87000000000000066</v>
      </c>
      <c r="H182" s="3">
        <f ca="1">_xll.meMathNormalDistributionStandardInverse(G182)</f>
        <v>1.1263911290388036</v>
      </c>
      <c r="I182" s="3"/>
      <c r="J182" s="9">
        <f t="shared" si="18"/>
        <v>1.126391129038804</v>
      </c>
      <c r="K182" s="17">
        <f t="shared" ca="1" si="19"/>
        <v>0</v>
      </c>
      <c r="M182" s="1">
        <v>7.3999999999999719</v>
      </c>
      <c r="N182" s="3">
        <f ca="1">_xll.meMathNormalDistribution(M182,$N$4,$N$5)</f>
        <v>0.99999999999993194</v>
      </c>
      <c r="O182" s="20">
        <f ca="1">_xll.meMathNormalDistributionPDF(M182,$N$4,$N$5)</f>
        <v>5.1277536367977383E-13</v>
      </c>
      <c r="P182" s="8" t="b">
        <f t="shared" ca="1" si="16"/>
        <v>1</v>
      </c>
      <c r="R182" s="7">
        <v>0.87000000000000066</v>
      </c>
      <c r="S182" s="3">
        <f ca="1">_xll.meMathNormalDistributionInverse(R182,$S$4,$S$5)</f>
        <v>1.1263911290388036</v>
      </c>
      <c r="T182" s="12" t="b">
        <f t="shared" ca="1" si="17"/>
        <v>1</v>
      </c>
    </row>
    <row r="183" spans="2:20" x14ac:dyDescent="0.25">
      <c r="B183" s="1">
        <v>7.4999999999999716</v>
      </c>
      <c r="C183" s="3">
        <f ca="1">_xll.meMathNormalDistributionStandard(B183)</f>
        <v>0.99999999999996814</v>
      </c>
      <c r="D183" s="20">
        <f ca="1">_xll.meMathNormalDistributionPDF(B183)</f>
        <v>2.4343205330295291E-13</v>
      </c>
      <c r="G183" s="7">
        <v>0.87500000000000067</v>
      </c>
      <c r="H183" s="3">
        <f ca="1">_xll.meMathNormalDistributionStandardInverse(G183)</f>
        <v>1.1503493803760112</v>
      </c>
      <c r="I183" s="3"/>
      <c r="J183" s="9">
        <f t="shared" si="18"/>
        <v>1.1503493803760121</v>
      </c>
      <c r="K183" s="17">
        <f t="shared" ca="1" si="19"/>
        <v>0</v>
      </c>
      <c r="M183" s="1">
        <v>7.4999999999999716</v>
      </c>
      <c r="N183" s="3">
        <f ca="1">_xll.meMathNormalDistribution(M183,$N$4,$N$5)</f>
        <v>0.99999999999996814</v>
      </c>
      <c r="O183" s="20">
        <f ca="1">_xll.meMathNormalDistributionPDF(M183,$N$4,$N$5)</f>
        <v>2.4343205330295291E-13</v>
      </c>
      <c r="P183" s="8" t="b">
        <f t="shared" ca="1" si="16"/>
        <v>1</v>
      </c>
      <c r="R183" s="7">
        <v>0.87500000000000067</v>
      </c>
      <c r="S183" s="3">
        <f ca="1">_xll.meMathNormalDistributionInverse(R183,$S$4,$S$5)</f>
        <v>1.1503493803760112</v>
      </c>
      <c r="T183" s="12" t="b">
        <f t="shared" ca="1" si="17"/>
        <v>1</v>
      </c>
    </row>
    <row r="184" spans="2:20" x14ac:dyDescent="0.25">
      <c r="B184" s="1">
        <v>7.5999999999999712</v>
      </c>
      <c r="C184" s="3">
        <f ca="1">_xll.meMathNormalDistributionStandard(B184)</f>
        <v>0.99999999999998523</v>
      </c>
      <c r="D184" s="20">
        <f ca="1">_xll.meMathNormalDistributionPDF(B184)</f>
        <v>1.1441564901803849E-13</v>
      </c>
      <c r="G184" s="7">
        <v>0.88000000000000067</v>
      </c>
      <c r="H184" s="3">
        <f ca="1">_xll.meMathNormalDistributionStandardInverse(G184)</f>
        <v>1.1749867920660935</v>
      </c>
      <c r="I184" s="3"/>
      <c r="J184" s="9">
        <f t="shared" si="18"/>
        <v>1.1749867920660937</v>
      </c>
      <c r="K184" s="17">
        <f t="shared" ca="1" si="19"/>
        <v>0</v>
      </c>
      <c r="M184" s="1">
        <v>7.5999999999999712</v>
      </c>
      <c r="N184" s="3">
        <f ca="1">_xll.meMathNormalDistribution(M184,$N$4,$N$5)</f>
        <v>0.99999999999998523</v>
      </c>
      <c r="O184" s="20">
        <f ca="1">_xll.meMathNormalDistributionPDF(M184,$N$4,$N$5)</f>
        <v>1.1441564901803849E-13</v>
      </c>
      <c r="P184" s="8" t="b">
        <f t="shared" ca="1" si="16"/>
        <v>1</v>
      </c>
      <c r="R184" s="7">
        <v>0.88000000000000067</v>
      </c>
      <c r="S184" s="3">
        <f ca="1">_xll.meMathNormalDistributionInverse(R184,$S$4,$S$5)</f>
        <v>1.1749867920660935</v>
      </c>
      <c r="T184" s="12" t="b">
        <f t="shared" ca="1" si="17"/>
        <v>1</v>
      </c>
    </row>
    <row r="185" spans="2:20" x14ac:dyDescent="0.25">
      <c r="B185" s="1">
        <v>7.6999999999999709</v>
      </c>
      <c r="C185" s="3">
        <f ca="1">_xll.meMathNormalDistributionStandard(B185)</f>
        <v>0.99999999999999323</v>
      </c>
      <c r="D185" s="20">
        <f ca="1">_xll.meMathNormalDistributionPDF(B185)</f>
        <v>5.3241483722541546E-14</v>
      </c>
      <c r="G185" s="7">
        <v>0.88500000000000068</v>
      </c>
      <c r="H185" s="3">
        <f ca="1">_xll.meMathNormalDistributionStandardInverse(G185)</f>
        <v>1.2003588580308626</v>
      </c>
      <c r="I185" s="3"/>
      <c r="J185" s="9">
        <f t="shared" si="18"/>
        <v>1.2003588580308626</v>
      </c>
      <c r="K185" s="17">
        <f t="shared" ca="1" si="19"/>
        <v>0</v>
      </c>
      <c r="M185" s="1">
        <v>7.6999999999999709</v>
      </c>
      <c r="N185" s="3">
        <f ca="1">_xll.meMathNormalDistribution(M185,$N$4,$N$5)</f>
        <v>0.99999999999999323</v>
      </c>
      <c r="O185" s="20">
        <f ca="1">_xll.meMathNormalDistributionPDF(M185,$N$4,$N$5)</f>
        <v>5.3241483722541546E-14</v>
      </c>
      <c r="P185" s="8" t="b">
        <f t="shared" ca="1" si="16"/>
        <v>1</v>
      </c>
      <c r="R185" s="7">
        <v>0.88500000000000068</v>
      </c>
      <c r="S185" s="3">
        <f ca="1">_xll.meMathNormalDistributionInverse(R185,$S$4,$S$5)</f>
        <v>1.2003588580308626</v>
      </c>
      <c r="T185" s="12" t="b">
        <f t="shared" ca="1" si="17"/>
        <v>1</v>
      </c>
    </row>
    <row r="186" spans="2:20" x14ac:dyDescent="0.25">
      <c r="B186" s="1">
        <v>7.7999999999999705</v>
      </c>
      <c r="C186" s="3">
        <f ca="1">_xll.meMathNormalDistributionStandard(B186)</f>
        <v>0.99999999999999689</v>
      </c>
      <c r="D186" s="20">
        <f ca="1">_xll.meMathNormalDistributionPDF(B186)</f>
        <v>2.4528552856969902E-14</v>
      </c>
      <c r="G186" s="7">
        <v>0.89000000000000068</v>
      </c>
      <c r="H186" s="3">
        <f ca="1">_xll.meMathNormalDistributionStandardInverse(G186)</f>
        <v>1.2265281200366138</v>
      </c>
      <c r="I186" s="3"/>
      <c r="J186" s="9">
        <f t="shared" si="18"/>
        <v>1.2265281200366147</v>
      </c>
      <c r="K186" s="17">
        <f t="shared" ca="1" si="19"/>
        <v>0</v>
      </c>
      <c r="M186" s="1">
        <v>7.7999999999999705</v>
      </c>
      <c r="N186" s="3">
        <f ca="1">_xll.meMathNormalDistribution(M186,$N$4,$N$5)</f>
        <v>0.99999999999999689</v>
      </c>
      <c r="O186" s="20">
        <f ca="1">_xll.meMathNormalDistributionPDF(M186,$N$4,$N$5)</f>
        <v>2.4528552856969902E-14</v>
      </c>
      <c r="P186" s="8" t="b">
        <f t="shared" ca="1" si="16"/>
        <v>1</v>
      </c>
      <c r="R186" s="7">
        <v>0.89000000000000068</v>
      </c>
      <c r="S186" s="3">
        <f ca="1">_xll.meMathNormalDistributionInverse(R186,$S$4,$S$5)</f>
        <v>1.2265281200366138</v>
      </c>
      <c r="T186" s="12" t="b">
        <f t="shared" ca="1" si="17"/>
        <v>1</v>
      </c>
    </row>
    <row r="187" spans="2:20" x14ac:dyDescent="0.25">
      <c r="B187" s="1">
        <v>7.8999999999999702</v>
      </c>
      <c r="C187" s="3">
        <f ca="1">_xll.meMathNormalDistributionStandard(B187)</f>
        <v>0.99999999999999856</v>
      </c>
      <c r="D187" s="20">
        <f ca="1">_xll.meMathNormalDistributionPDF(B187)</f>
        <v>1.1187956214354479E-14</v>
      </c>
      <c r="G187" s="7">
        <v>0.89500000000000068</v>
      </c>
      <c r="H187" s="3">
        <f ca="1">_xll.meMathNormalDistributionStandardInverse(G187)</f>
        <v>1.2535654384704544</v>
      </c>
      <c r="I187" s="3"/>
      <c r="J187" s="9">
        <f t="shared" si="18"/>
        <v>1.2535654384704547</v>
      </c>
      <c r="K187" s="17">
        <f t="shared" ca="1" si="19"/>
        <v>0</v>
      </c>
      <c r="M187" s="1">
        <v>7.8999999999999702</v>
      </c>
      <c r="N187" s="3">
        <f ca="1">_xll.meMathNormalDistribution(M187,$N$4,$N$5)</f>
        <v>0.99999999999999856</v>
      </c>
      <c r="O187" s="20">
        <f ca="1">_xll.meMathNormalDistributionPDF(M187,$N$4,$N$5)</f>
        <v>1.1187956214354479E-14</v>
      </c>
      <c r="P187" s="8" t="b">
        <f t="shared" ca="1" si="16"/>
        <v>1</v>
      </c>
      <c r="R187" s="7">
        <v>0.89500000000000068</v>
      </c>
      <c r="S187" s="3">
        <f ca="1">_xll.meMathNormalDistributionInverse(R187,$S$4,$S$5)</f>
        <v>1.2535654384704544</v>
      </c>
      <c r="T187" s="12" t="b">
        <f t="shared" ca="1" si="17"/>
        <v>1</v>
      </c>
    </row>
    <row r="188" spans="2:20" x14ac:dyDescent="0.25">
      <c r="B188" s="1">
        <v>7.9999999999999698</v>
      </c>
      <c r="C188" s="3">
        <f ca="1">_xll.meMathNormalDistributionStandard(B188)</f>
        <v>0.99999999999999933</v>
      </c>
      <c r="D188" s="20">
        <f ca="1">_xll.meMathNormalDistributionPDF(B188)</f>
        <v>5.0522710835381131E-15</v>
      </c>
      <c r="G188" s="7">
        <v>0.90000000000000069</v>
      </c>
      <c r="H188" s="3">
        <f ca="1">_xll.meMathNormalDistributionStandardInverse(G188)</f>
        <v>1.2815515655446044</v>
      </c>
      <c r="I188" s="3"/>
      <c r="J188" s="9">
        <f t="shared" si="18"/>
        <v>1.2815515655446041</v>
      </c>
      <c r="K188" s="17">
        <f t="shared" ca="1" si="19"/>
        <v>0</v>
      </c>
      <c r="M188" s="1">
        <v>7.9999999999999698</v>
      </c>
      <c r="N188" s="3">
        <f ca="1">_xll.meMathNormalDistribution(M188,$N$4,$N$5)</f>
        <v>0.99999999999999933</v>
      </c>
      <c r="O188" s="20">
        <f ca="1">_xll.meMathNormalDistributionPDF(M188,$N$4,$N$5)</f>
        <v>5.0522710835381131E-15</v>
      </c>
      <c r="P188" s="8" t="b">
        <f t="shared" ca="1" si="16"/>
        <v>1</v>
      </c>
      <c r="R188" s="7">
        <v>0.90000000000000069</v>
      </c>
      <c r="S188" s="3">
        <f ca="1">_xll.meMathNormalDistributionInverse(R188,$S$4,$S$5)</f>
        <v>1.2815515655446044</v>
      </c>
      <c r="T188" s="12" t="b">
        <f t="shared" ca="1" si="17"/>
        <v>1</v>
      </c>
    </row>
    <row r="189" spans="2:20" x14ac:dyDescent="0.25">
      <c r="B189" s="1">
        <v>8.0999999999999694</v>
      </c>
      <c r="C189" s="3">
        <f ca="1">_xll.meMathNormalDistributionStandard(B189)</f>
        <v>0.99999999999999978</v>
      </c>
      <c r="D189" s="20">
        <f ca="1">_xll.meMathNormalDistributionPDF(B189)</f>
        <v>2.2588094031548648E-15</v>
      </c>
      <c r="G189" s="7">
        <v>0.90500000000000069</v>
      </c>
      <c r="H189" s="3">
        <f ca="1">_xll.meMathNormalDistributionStandardInverse(G189)</f>
        <v>1.3105791121681329</v>
      </c>
      <c r="I189" s="3"/>
      <c r="J189" s="9">
        <f t="shared" si="18"/>
        <v>1.3105791121681334</v>
      </c>
      <c r="K189" s="17">
        <f t="shared" ca="1" si="19"/>
        <v>0</v>
      </c>
      <c r="M189" s="1">
        <v>8.0999999999999694</v>
      </c>
      <c r="N189" s="3">
        <f ca="1">_xll.meMathNormalDistribution(M189,$N$4,$N$5)</f>
        <v>0.99999999999999978</v>
      </c>
      <c r="O189" s="20">
        <f ca="1">_xll.meMathNormalDistributionPDF(M189,$N$4,$N$5)</f>
        <v>2.2588094031548648E-15</v>
      </c>
      <c r="P189" s="8" t="b">
        <f t="shared" ca="1" si="16"/>
        <v>1</v>
      </c>
      <c r="R189" s="7">
        <v>0.90500000000000069</v>
      </c>
      <c r="S189" s="3">
        <f ca="1">_xll.meMathNormalDistributionInverse(R189,$S$4,$S$5)</f>
        <v>1.3105791121681329</v>
      </c>
      <c r="T189" s="12" t="b">
        <f t="shared" ca="1" si="17"/>
        <v>1</v>
      </c>
    </row>
    <row r="190" spans="2:20" x14ac:dyDescent="0.25">
      <c r="B190" s="1">
        <v>8.1999999999999691</v>
      </c>
      <c r="C190" s="3">
        <f ca="1">_xll.meMathNormalDistributionStandard(B190)</f>
        <v>0.99999999999999989</v>
      </c>
      <c r="D190" s="20">
        <f ca="1">_xll.meMathNormalDistributionPDF(B190)</f>
        <v>9.9983787484996662E-16</v>
      </c>
      <c r="G190" s="7">
        <v>0.9100000000000007</v>
      </c>
      <c r="H190" s="3">
        <f ca="1">_xll.meMathNormalDistributionStandardInverse(G190)</f>
        <v>1.3407550336902205</v>
      </c>
      <c r="I190" s="3"/>
      <c r="J190" s="9">
        <f t="shared" si="18"/>
        <v>1.3407550336902199</v>
      </c>
      <c r="K190" s="17">
        <f t="shared" ca="1" si="19"/>
        <v>0</v>
      </c>
      <c r="M190" s="1">
        <v>8.1999999999999691</v>
      </c>
      <c r="N190" s="3">
        <f ca="1">_xll.meMathNormalDistribution(M190,$N$4,$N$5)</f>
        <v>0.99999999999999989</v>
      </c>
      <c r="O190" s="20">
        <f ca="1">_xll.meMathNormalDistributionPDF(M190,$N$4,$N$5)</f>
        <v>9.9983787484996662E-16</v>
      </c>
      <c r="P190" s="8" t="b">
        <f t="shared" ca="1" si="16"/>
        <v>1</v>
      </c>
      <c r="R190" s="7">
        <v>0.9100000000000007</v>
      </c>
      <c r="S190" s="3">
        <f ca="1">_xll.meMathNormalDistributionInverse(R190,$S$4,$S$5)</f>
        <v>1.3407550336902205</v>
      </c>
      <c r="T190" s="12" t="b">
        <f t="shared" ca="1" si="17"/>
        <v>1</v>
      </c>
    </row>
    <row r="191" spans="2:20" x14ac:dyDescent="0.25">
      <c r="B191" s="1">
        <v>8.2999999999999687</v>
      </c>
      <c r="C191" s="3">
        <f ca="1">_xll.meMathNormalDistributionStandard(B191)</f>
        <v>1</v>
      </c>
      <c r="D191" s="20">
        <f ca="1">_xll.meMathNormalDistributionPDF(B191)</f>
        <v>4.3816394355105099E-16</v>
      </c>
      <c r="G191" s="7">
        <v>0.9150000000000007</v>
      </c>
      <c r="H191" s="3">
        <f ca="1">_xll.meMathNormalDistributionStandardInverse(G191)</f>
        <v>1.3722038089987305</v>
      </c>
      <c r="I191" s="3"/>
      <c r="J191" s="9">
        <f t="shared" si="18"/>
        <v>1.372203808998731</v>
      </c>
      <c r="K191" s="17">
        <f t="shared" ca="1" si="19"/>
        <v>0</v>
      </c>
      <c r="M191" s="1">
        <v>8.2999999999999687</v>
      </c>
      <c r="N191" s="3">
        <f ca="1">_xll.meMathNormalDistribution(M191,$N$4,$N$5)</f>
        <v>1</v>
      </c>
      <c r="O191" s="20">
        <f ca="1">_xll.meMathNormalDistributionPDF(M191,$N$4,$N$5)</f>
        <v>4.3816394355105099E-16</v>
      </c>
      <c r="P191" s="8" t="b">
        <f t="shared" ca="1" si="16"/>
        <v>1</v>
      </c>
      <c r="R191" s="7">
        <v>0.9150000000000007</v>
      </c>
      <c r="S191" s="3">
        <f ca="1">_xll.meMathNormalDistributionInverse(R191,$S$4,$S$5)</f>
        <v>1.3722038089987305</v>
      </c>
      <c r="T191" s="12" t="b">
        <f t="shared" ca="1" si="17"/>
        <v>1</v>
      </c>
    </row>
    <row r="192" spans="2:20" x14ac:dyDescent="0.25">
      <c r="B192" s="1">
        <v>8.3999999999999684</v>
      </c>
      <c r="C192" s="3">
        <f ca="1">_xll.meMathNormalDistributionStandard(B192)</f>
        <v>1</v>
      </c>
      <c r="D192" s="20">
        <f ca="1">_xll.meMathNormalDistributionPDF(B192)</f>
        <v>1.9010815379084772E-16</v>
      </c>
      <c r="G192" s="7">
        <v>0.92000000000000071</v>
      </c>
      <c r="H192" s="3">
        <f ca="1">_xll.meMathNormalDistributionStandardInverse(G192)</f>
        <v>1.4050715603096373</v>
      </c>
      <c r="I192" s="3"/>
      <c r="J192" s="9">
        <f t="shared" si="18"/>
        <v>1.405071560309638</v>
      </c>
      <c r="K192" s="17">
        <f t="shared" ca="1" si="19"/>
        <v>0</v>
      </c>
      <c r="M192" s="1">
        <v>8.3999999999999684</v>
      </c>
      <c r="N192" s="3">
        <f ca="1">_xll.meMathNormalDistribution(M192,$N$4,$N$5)</f>
        <v>1</v>
      </c>
      <c r="O192" s="20">
        <f ca="1">_xll.meMathNormalDistributionPDF(M192,$N$4,$N$5)</f>
        <v>1.9010815379084772E-16</v>
      </c>
      <c r="P192" s="8" t="b">
        <f t="shared" ca="1" si="16"/>
        <v>1</v>
      </c>
      <c r="R192" s="7">
        <v>0.92000000000000071</v>
      </c>
      <c r="S192" s="3">
        <f ca="1">_xll.meMathNormalDistributionInverse(R192,$S$4,$S$5)</f>
        <v>1.4050715603096373</v>
      </c>
      <c r="T192" s="12" t="b">
        <f t="shared" ca="1" si="17"/>
        <v>1</v>
      </c>
    </row>
    <row r="193" spans="2:20" x14ac:dyDescent="0.25">
      <c r="B193" s="1">
        <v>8.499999999999968</v>
      </c>
      <c r="C193" s="3">
        <f ca="1">_xll.meMathNormalDistributionStandard(B193)</f>
        <v>1</v>
      </c>
      <c r="D193" s="20">
        <f ca="1">_xll.meMathNormalDistributionPDF(B193)</f>
        <v>8.1662356316717553E-17</v>
      </c>
      <c r="G193" s="7">
        <v>0.92500000000000071</v>
      </c>
      <c r="H193" s="3">
        <f ca="1">_xll.meMathNormalDistributionStandardInverse(G193)</f>
        <v>1.439531470938461</v>
      </c>
      <c r="I193" s="3"/>
      <c r="J193" s="9">
        <f t="shared" si="18"/>
        <v>1.439531470938461</v>
      </c>
      <c r="K193" s="17">
        <f t="shared" ca="1" si="19"/>
        <v>0</v>
      </c>
      <c r="M193" s="1">
        <v>8.499999999999968</v>
      </c>
      <c r="N193" s="3">
        <f ca="1">_xll.meMathNormalDistribution(M193,$N$4,$N$5)</f>
        <v>1</v>
      </c>
      <c r="O193" s="20">
        <f ca="1">_xll.meMathNormalDistributionPDF(M193,$N$4,$N$5)</f>
        <v>8.1662356316717553E-17</v>
      </c>
      <c r="P193" s="8" t="b">
        <f t="shared" ca="1" si="16"/>
        <v>1</v>
      </c>
      <c r="R193" s="7">
        <v>0.92500000000000071</v>
      </c>
      <c r="S193" s="3">
        <f ca="1">_xll.meMathNormalDistributionInverse(R193,$S$4,$S$5)</f>
        <v>1.439531470938461</v>
      </c>
      <c r="T193" s="12" t="b">
        <f t="shared" ca="1" si="17"/>
        <v>1</v>
      </c>
    </row>
    <row r="194" spans="2:20" x14ac:dyDescent="0.25">
      <c r="B194" s="1">
        <v>8.5999999999999677</v>
      </c>
      <c r="C194" s="3">
        <f ca="1">_xll.meMathNormalDistributionStandard(B194)</f>
        <v>1</v>
      </c>
      <c r="D194" s="20">
        <f ca="1">_xll.meMathNormalDistributionPDF(B194)</f>
        <v>3.4729627485671702E-17</v>
      </c>
      <c r="G194" s="7">
        <v>0.93000000000000071</v>
      </c>
      <c r="H194" s="3">
        <f ca="1">_xll.meMathNormalDistributionStandardInverse(G194)</f>
        <v>1.4757910281791762</v>
      </c>
      <c r="I194" s="3"/>
      <c r="J194" s="9">
        <f t="shared" si="18"/>
        <v>1.4757910281791764</v>
      </c>
      <c r="K194" s="17">
        <f t="shared" ca="1" si="19"/>
        <v>0</v>
      </c>
      <c r="M194" s="1">
        <v>8.5999999999999677</v>
      </c>
      <c r="N194" s="3">
        <f ca="1">_xll.meMathNormalDistribution(M194,$N$4,$N$5)</f>
        <v>1</v>
      </c>
      <c r="O194" s="20">
        <f ca="1">_xll.meMathNormalDistributionPDF(M194,$N$4,$N$5)</f>
        <v>3.4729627485671702E-17</v>
      </c>
      <c r="P194" s="8" t="b">
        <f t="shared" ca="1" si="16"/>
        <v>1</v>
      </c>
      <c r="R194" s="7">
        <v>0.93000000000000071</v>
      </c>
      <c r="S194" s="3">
        <f ca="1">_xll.meMathNormalDistributionInverse(R194,$S$4,$S$5)</f>
        <v>1.4757910281791762</v>
      </c>
      <c r="T194" s="12" t="b">
        <f t="shared" ca="1" si="17"/>
        <v>1</v>
      </c>
    </row>
    <row r="195" spans="2:20" x14ac:dyDescent="0.25">
      <c r="B195" s="1">
        <v>8.6999999999999673</v>
      </c>
      <c r="C195" s="3">
        <f ca="1">_xll.meMathNormalDistributionStandard(B195)</f>
        <v>1</v>
      </c>
      <c r="D195" s="20">
        <f ca="1">_xll.meMathNormalDistributionPDF(B195)</f>
        <v>1.4622963575010631E-17</v>
      </c>
      <c r="G195" s="7">
        <v>0.93500000000000072</v>
      </c>
      <c r="H195" s="3">
        <f ca="1">_xll.meMathNormalDistributionStandardInverse(G195)</f>
        <v>1.5141018876192893</v>
      </c>
      <c r="I195" s="3"/>
      <c r="J195" s="9">
        <f t="shared" si="18"/>
        <v>1.5141018876192898</v>
      </c>
      <c r="K195" s="17">
        <f t="shared" ca="1" si="19"/>
        <v>0</v>
      </c>
      <c r="M195" s="1">
        <v>8.6999999999999673</v>
      </c>
      <c r="N195" s="3">
        <f ca="1">_xll.meMathNormalDistribution(M195,$N$4,$N$5)</f>
        <v>1</v>
      </c>
      <c r="O195" s="20">
        <f ca="1">_xll.meMathNormalDistributionPDF(M195,$N$4,$N$5)</f>
        <v>1.4622963575010631E-17</v>
      </c>
      <c r="P195" s="8" t="b">
        <f t="shared" ca="1" si="16"/>
        <v>1</v>
      </c>
      <c r="R195" s="7">
        <v>0.93500000000000072</v>
      </c>
      <c r="S195" s="3">
        <f ca="1">_xll.meMathNormalDistributionInverse(R195,$S$4,$S$5)</f>
        <v>1.5141018876192893</v>
      </c>
      <c r="T195" s="12" t="b">
        <f t="shared" ca="1" si="17"/>
        <v>1</v>
      </c>
    </row>
    <row r="196" spans="2:20" x14ac:dyDescent="0.25">
      <c r="B196" s="1">
        <v>8.799999999999967</v>
      </c>
      <c r="C196" s="3">
        <f ca="1">_xll.meMathNormalDistributionStandard(B196)</f>
        <v>1</v>
      </c>
      <c r="D196" s="20">
        <f ca="1">_xll.meMathNormalDistributionPDF(B196)</f>
        <v>6.0957581295642369E-18</v>
      </c>
      <c r="G196" s="7">
        <v>0.94000000000000072</v>
      </c>
      <c r="H196" s="3">
        <f ca="1">_xll.meMathNormalDistributionStandardInverse(G196)</f>
        <v>1.5547735945968597</v>
      </c>
      <c r="I196" s="3"/>
      <c r="J196" s="9">
        <f t="shared" si="18"/>
        <v>1.5547735945968597</v>
      </c>
      <c r="K196" s="17">
        <f t="shared" ca="1" si="19"/>
        <v>0</v>
      </c>
      <c r="M196" s="1">
        <v>8.799999999999967</v>
      </c>
      <c r="N196" s="3">
        <f ca="1">_xll.meMathNormalDistribution(M196,$N$4,$N$5)</f>
        <v>1</v>
      </c>
      <c r="O196" s="20">
        <f ca="1">_xll.meMathNormalDistributionPDF(M196,$N$4,$N$5)</f>
        <v>6.0957581295642369E-18</v>
      </c>
      <c r="P196" s="8" t="b">
        <f t="shared" ca="1" si="16"/>
        <v>1</v>
      </c>
      <c r="R196" s="7">
        <v>0.94000000000000072</v>
      </c>
      <c r="S196" s="3">
        <f ca="1">_xll.meMathNormalDistributionInverse(R196,$S$4,$S$5)</f>
        <v>1.5547735945968597</v>
      </c>
      <c r="T196" s="12" t="b">
        <f t="shared" ca="1" si="17"/>
        <v>1</v>
      </c>
    </row>
    <row r="197" spans="2:20" x14ac:dyDescent="0.25">
      <c r="B197" s="1">
        <v>8.8999999999999666</v>
      </c>
      <c r="C197" s="3">
        <f ca="1">_xll.meMathNormalDistributionStandard(B197)</f>
        <v>1</v>
      </c>
      <c r="D197" s="20">
        <f ca="1">_xll.meMathNormalDistributionPDF(B197)</f>
        <v>2.5158057769521555E-18</v>
      </c>
      <c r="G197" s="7">
        <v>0.94500000000000073</v>
      </c>
      <c r="H197" s="3">
        <f ca="1">_xll.meMathNormalDistributionStandardInverse(G197)</f>
        <v>1.5981931399228242</v>
      </c>
      <c r="I197" s="3"/>
      <c r="J197" s="9">
        <f t="shared" si="18"/>
        <v>1.5981931399228242</v>
      </c>
      <c r="K197" s="17">
        <f t="shared" ca="1" si="19"/>
        <v>0</v>
      </c>
      <c r="M197" s="1">
        <v>8.8999999999999666</v>
      </c>
      <c r="N197" s="3">
        <f ca="1">_xll.meMathNormalDistribution(M197,$N$4,$N$5)</f>
        <v>1</v>
      </c>
      <c r="O197" s="20">
        <f ca="1">_xll.meMathNormalDistributionPDF(M197,$N$4,$N$5)</f>
        <v>2.5158057769521555E-18</v>
      </c>
      <c r="P197" s="8" t="b">
        <f t="shared" ca="1" si="16"/>
        <v>1</v>
      </c>
      <c r="R197" s="7">
        <v>0.94500000000000073</v>
      </c>
      <c r="S197" s="3">
        <f ca="1">_xll.meMathNormalDistributionInverse(R197,$S$4,$S$5)</f>
        <v>1.5981931399228242</v>
      </c>
      <c r="T197" s="12" t="b">
        <f t="shared" ca="1" si="17"/>
        <v>1</v>
      </c>
    </row>
    <row r="198" spans="2:20" x14ac:dyDescent="0.25">
      <c r="B198" s="1">
        <v>8.9999999999999662</v>
      </c>
      <c r="C198" s="3">
        <f ca="1">_xll.meMathNormalDistributionStandard(B198)</f>
        <v>1</v>
      </c>
      <c r="D198" s="20">
        <f ca="1">_xll.meMathNormalDistributionPDF(B198)</f>
        <v>1.0279773571672058E-18</v>
      </c>
      <c r="G198" s="7">
        <v>0.95000000000000073</v>
      </c>
      <c r="H198" s="3">
        <f ca="1">_xll.meMathNormalDistributionStandardInverse(G198)</f>
        <v>1.6448536269514797</v>
      </c>
      <c r="I198" s="3"/>
      <c r="J198" s="9">
        <f t="shared" si="18"/>
        <v>1.6448536269514795</v>
      </c>
      <c r="K198" s="17">
        <f t="shared" ca="1" si="19"/>
        <v>0</v>
      </c>
      <c r="M198" s="1">
        <v>8.9999999999999662</v>
      </c>
      <c r="N198" s="3">
        <f ca="1">_xll.meMathNormalDistribution(M198,$N$4,$N$5)</f>
        <v>1</v>
      </c>
      <c r="O198" s="20">
        <f ca="1">_xll.meMathNormalDistributionPDF(M198,$N$4,$N$5)</f>
        <v>1.0279773571672058E-18</v>
      </c>
      <c r="P198" s="8" t="b">
        <f t="shared" ca="1" si="16"/>
        <v>1</v>
      </c>
      <c r="R198" s="7">
        <v>0.95000000000000073</v>
      </c>
      <c r="S198" s="3">
        <f ca="1">_xll.meMathNormalDistributionInverse(R198,$S$4,$S$5)</f>
        <v>1.6448536269514797</v>
      </c>
      <c r="T198" s="12" t="b">
        <f t="shared" ca="1" si="17"/>
        <v>1</v>
      </c>
    </row>
    <row r="199" spans="2:20" x14ac:dyDescent="0.25">
      <c r="B199" s="1">
        <v>9.0999999999999659</v>
      </c>
      <c r="C199" s="3">
        <f ca="1">_xll.meMathNormalDistributionStandard(B199)</f>
        <v>1</v>
      </c>
      <c r="D199" s="20">
        <f ca="1">_xll.meMathNormalDistributionPDF(B199)</f>
        <v>4.1585989791164308E-19</v>
      </c>
      <c r="G199" s="7">
        <v>0.95500000000000074</v>
      </c>
      <c r="H199" s="3">
        <f ca="1">_xll.meMathNormalDistributionStandardInverse(G199)</f>
        <v>1.6953977102721443</v>
      </c>
      <c r="I199" s="3"/>
      <c r="J199" s="9">
        <f t="shared" si="18"/>
        <v>1.6953977102721438</v>
      </c>
      <c r="K199" s="17">
        <f t="shared" ca="1" si="19"/>
        <v>0</v>
      </c>
      <c r="M199" s="1">
        <v>9.0999999999999659</v>
      </c>
      <c r="N199" s="3">
        <f ca="1">_xll.meMathNormalDistribution(M199,$N$4,$N$5)</f>
        <v>1</v>
      </c>
      <c r="O199" s="20">
        <f ca="1">_xll.meMathNormalDistributionPDF(M199,$N$4,$N$5)</f>
        <v>4.1585989791164308E-19</v>
      </c>
      <c r="P199" s="8" t="b">
        <f t="shared" ca="1" si="16"/>
        <v>1</v>
      </c>
      <c r="R199" s="7">
        <v>0.95500000000000074</v>
      </c>
      <c r="S199" s="3">
        <f ca="1">_xll.meMathNormalDistributionInverse(R199,$S$4,$S$5)</f>
        <v>1.6953977102721443</v>
      </c>
      <c r="T199" s="12" t="b">
        <f t="shared" ca="1" si="17"/>
        <v>1</v>
      </c>
    </row>
    <row r="200" spans="2:20" x14ac:dyDescent="0.25">
      <c r="B200" s="1">
        <v>9.1999999999999655</v>
      </c>
      <c r="C200" s="3">
        <f ca="1">_xll.meMathNormalDistributionStandard(B200)</f>
        <v>1</v>
      </c>
      <c r="D200" s="20">
        <f ca="1">_xll.meMathNormalDistributionPDF(B200)</f>
        <v>1.6655880323804497E-19</v>
      </c>
      <c r="G200" s="7">
        <v>0.96000000000000074</v>
      </c>
      <c r="H200" s="3">
        <f ca="1">_xll.meMathNormalDistributionStandardInverse(G200)</f>
        <v>1.7506860712521786</v>
      </c>
      <c r="I200" s="3"/>
      <c r="J200" s="9">
        <f t="shared" si="18"/>
        <v>1.7506860712521779</v>
      </c>
      <c r="K200" s="17">
        <f t="shared" ca="1" si="19"/>
        <v>0</v>
      </c>
      <c r="M200" s="1">
        <v>9.1999999999999655</v>
      </c>
      <c r="N200" s="3">
        <f ca="1">_xll.meMathNormalDistribution(M200,$N$4,$N$5)</f>
        <v>1</v>
      </c>
      <c r="O200" s="20">
        <f ca="1">_xll.meMathNormalDistributionPDF(M200,$N$4,$N$5)</f>
        <v>1.6655880323804497E-19</v>
      </c>
      <c r="P200" s="8" t="b">
        <f t="shared" ca="1" si="16"/>
        <v>1</v>
      </c>
      <c r="R200" s="7">
        <v>0.96000000000000074</v>
      </c>
      <c r="S200" s="3">
        <f ca="1">_xll.meMathNormalDistributionInverse(R200,$S$4,$S$5)</f>
        <v>1.7506860712521786</v>
      </c>
      <c r="T200" s="12" t="b">
        <f t="shared" ca="1" si="17"/>
        <v>1</v>
      </c>
    </row>
    <row r="201" spans="2:20" x14ac:dyDescent="0.25">
      <c r="B201" s="1">
        <v>9.2999999999999652</v>
      </c>
      <c r="C201" s="3">
        <f ca="1">_xll.meMathNormalDistributionStandard(B201)</f>
        <v>1</v>
      </c>
      <c r="D201" s="20">
        <f ca="1">_xll.meMathNormalDistributionPDF(B201)</f>
        <v>6.6045798607414678E-20</v>
      </c>
      <c r="G201" s="7">
        <v>0.96500000000000075</v>
      </c>
      <c r="H201" s="3">
        <f ca="1">_xll.meMathNormalDistributionStandardInverse(G201)</f>
        <v>1.8119106729526073</v>
      </c>
      <c r="I201" s="3"/>
      <c r="J201" s="9">
        <f t="shared" ref="J201:J207" si="20">NORMSINV(G201)</f>
        <v>1.8119106729526071</v>
      </c>
      <c r="K201" s="17">
        <f t="shared" ref="K201:K232" ca="1" si="21">H201-J201</f>
        <v>0</v>
      </c>
      <c r="M201" s="1">
        <v>9.2999999999999652</v>
      </c>
      <c r="N201" s="3">
        <f ca="1">_xll.meMathNormalDistribution(M201,$N$4,$N$5)</f>
        <v>1</v>
      </c>
      <c r="O201" s="20">
        <f ca="1">_xll.meMathNormalDistributionPDF(M201,$N$4,$N$5)</f>
        <v>6.6045798607414678E-20</v>
      </c>
      <c r="P201" s="8" t="b">
        <f t="shared" ca="1" si="16"/>
        <v>1</v>
      </c>
      <c r="R201" s="7">
        <v>0.96500000000000075</v>
      </c>
      <c r="S201" s="3">
        <f ca="1">_xll.meMathNormalDistributionInverse(R201,$S$4,$S$5)</f>
        <v>1.8119106729526073</v>
      </c>
      <c r="T201" s="12" t="b">
        <f t="shared" ca="1" si="17"/>
        <v>1</v>
      </c>
    </row>
    <row r="202" spans="2:20" x14ac:dyDescent="0.25">
      <c r="B202" s="1">
        <v>9.3999999999999648</v>
      </c>
      <c r="C202" s="3">
        <f ca="1">_xll.meMathNormalDistributionStandard(B202)</f>
        <v>1</v>
      </c>
      <c r="D202" s="20">
        <f ca="1">_xll.meMathNormalDistributionPDF(B202)</f>
        <v>2.5928647011012368E-20</v>
      </c>
      <c r="G202" s="7">
        <v>0.97000000000000075</v>
      </c>
      <c r="H202" s="3">
        <f ca="1">_xll.meMathNormalDistributionStandardInverse(G202)</f>
        <v>1.880793608151262</v>
      </c>
      <c r="I202" s="3"/>
      <c r="J202" s="9">
        <f t="shared" si="20"/>
        <v>1.8807936081512615</v>
      </c>
      <c r="K202" s="17">
        <f t="shared" ca="1" si="21"/>
        <v>0</v>
      </c>
      <c r="M202" s="1">
        <v>9.3999999999999648</v>
      </c>
      <c r="N202" s="3">
        <f ca="1">_xll.meMathNormalDistribution(M202,$N$4,$N$5)</f>
        <v>1</v>
      </c>
      <c r="O202" s="20">
        <f ca="1">_xll.meMathNormalDistributionPDF(M202,$N$4,$N$5)</f>
        <v>2.5928647011012368E-20</v>
      </c>
      <c r="P202" s="8" t="b">
        <f t="shared" ref="P202:P208" ca="1" si="22">C202=N202</f>
        <v>1</v>
      </c>
      <c r="R202" s="7">
        <v>0.97000000000000075</v>
      </c>
      <c r="S202" s="3">
        <f ca="1">_xll.meMathNormalDistributionInverse(R202,$S$4,$S$5)</f>
        <v>1.880793608151262</v>
      </c>
      <c r="T202" s="12" t="b">
        <f t="shared" ref="T202:T208" ca="1" si="23">S202=H202</f>
        <v>1</v>
      </c>
    </row>
    <row r="203" spans="2:20" x14ac:dyDescent="0.25">
      <c r="B203" s="1">
        <v>9.4999999999999645</v>
      </c>
      <c r="C203" s="3">
        <f ca="1">_xll.meMathNormalDistributionStandard(B203)</f>
        <v>1</v>
      </c>
      <c r="D203" s="20">
        <f ca="1">_xll.meMathNormalDistributionPDF(B203)</f>
        <v>1.0077935394303376E-20</v>
      </c>
      <c r="G203" s="7">
        <v>0.97500000000000075</v>
      </c>
      <c r="H203" s="3">
        <f ca="1">_xll.meMathNormalDistributionStandardInverse(G203)</f>
        <v>1.9599639845400672</v>
      </c>
      <c r="I203" s="3"/>
      <c r="J203" s="9">
        <f t="shared" si="20"/>
        <v>1.9599639845400669</v>
      </c>
      <c r="K203" s="17">
        <f t="shared" ca="1" si="21"/>
        <v>0</v>
      </c>
      <c r="M203" s="1">
        <v>9.4999999999999645</v>
      </c>
      <c r="N203" s="3">
        <f ca="1">_xll.meMathNormalDistribution(M203,$N$4,$N$5)</f>
        <v>1</v>
      </c>
      <c r="O203" s="20">
        <f ca="1">_xll.meMathNormalDistributionPDF(M203,$N$4,$N$5)</f>
        <v>1.0077935394303376E-20</v>
      </c>
      <c r="P203" s="8" t="b">
        <f t="shared" ca="1" si="22"/>
        <v>1</v>
      </c>
      <c r="R203" s="7">
        <v>0.97500000000000075</v>
      </c>
      <c r="S203" s="3">
        <f ca="1">_xll.meMathNormalDistributionInverse(R203,$S$4,$S$5)</f>
        <v>1.9599639845400672</v>
      </c>
      <c r="T203" s="12" t="b">
        <f t="shared" ca="1" si="23"/>
        <v>1</v>
      </c>
    </row>
    <row r="204" spans="2:20" x14ac:dyDescent="0.25">
      <c r="B204" s="1">
        <v>9.5999999999999641</v>
      </c>
      <c r="C204" s="3">
        <f ca="1">_xll.meMathNormalDistributionStandard(B204)</f>
        <v>1</v>
      </c>
      <c r="D204" s="20">
        <f ca="1">_xll.meMathNormalDistributionPDF(B204)</f>
        <v>3.878111931748284E-21</v>
      </c>
      <c r="G204" s="7">
        <v>0.98000000000000076</v>
      </c>
      <c r="H204" s="3">
        <f ca="1">_xll.meMathNormalDistributionStandardInverse(G204)</f>
        <v>2.053748910631839</v>
      </c>
      <c r="I204" s="3"/>
      <c r="J204" s="9">
        <f t="shared" si="20"/>
        <v>2.053748910631839</v>
      </c>
      <c r="K204" s="17">
        <f t="shared" ca="1" si="21"/>
        <v>0</v>
      </c>
      <c r="M204" s="1">
        <v>9.5999999999999641</v>
      </c>
      <c r="N204" s="3">
        <f ca="1">_xll.meMathNormalDistribution(M204,$N$4,$N$5)</f>
        <v>1</v>
      </c>
      <c r="O204" s="20">
        <f ca="1">_xll.meMathNormalDistributionPDF(M204,$N$4,$N$5)</f>
        <v>3.878111931748284E-21</v>
      </c>
      <c r="P204" s="8" t="b">
        <f t="shared" ca="1" si="22"/>
        <v>1</v>
      </c>
      <c r="R204" s="7">
        <v>0.98000000000000076</v>
      </c>
      <c r="S204" s="3">
        <f ca="1">_xll.meMathNormalDistributionInverse(R204,$S$4,$S$5)</f>
        <v>2.053748910631839</v>
      </c>
      <c r="T204" s="12" t="b">
        <f t="shared" ca="1" si="23"/>
        <v>1</v>
      </c>
    </row>
    <row r="205" spans="2:20" x14ac:dyDescent="0.25">
      <c r="B205" s="1">
        <v>9.6999999999999638</v>
      </c>
      <c r="C205" s="3">
        <f ca="1">_xll.meMathNormalDistributionStandard(B205)</f>
        <v>1</v>
      </c>
      <c r="D205" s="20">
        <f ca="1">_xll.meMathNormalDistributionPDF(B205)</f>
        <v>1.4774954927047792E-21</v>
      </c>
      <c r="G205" s="7">
        <v>0.98500000000000076</v>
      </c>
      <c r="H205" s="3">
        <f ca="1">_xll.meMathNormalDistributionStandardInverse(G205)</f>
        <v>2.170090377584581</v>
      </c>
      <c r="I205" s="3"/>
      <c r="J205" s="9">
        <f t="shared" si="20"/>
        <v>2.1700903775845801</v>
      </c>
      <c r="K205" s="17">
        <f t="shared" ca="1" si="21"/>
        <v>0</v>
      </c>
      <c r="M205" s="1">
        <v>9.6999999999999638</v>
      </c>
      <c r="N205" s="3">
        <f ca="1">_xll.meMathNormalDistribution(M205,$N$4,$N$5)</f>
        <v>1</v>
      </c>
      <c r="O205" s="20">
        <f ca="1">_xll.meMathNormalDistributionPDF(M205,$N$4,$N$5)</f>
        <v>1.4774954927047792E-21</v>
      </c>
      <c r="P205" s="8" t="b">
        <f t="shared" ca="1" si="22"/>
        <v>1</v>
      </c>
      <c r="R205" s="7">
        <v>0.98500000000000076</v>
      </c>
      <c r="S205" s="3">
        <f ca="1">_xll.meMathNormalDistributionInverse(R205,$S$4,$S$5)</f>
        <v>2.170090377584581</v>
      </c>
      <c r="T205" s="12" t="b">
        <f t="shared" ca="1" si="23"/>
        <v>1</v>
      </c>
    </row>
    <row r="206" spans="2:20" x14ac:dyDescent="0.25">
      <c r="B206" s="1">
        <v>9.7999999999999634</v>
      </c>
      <c r="C206" s="3">
        <f ca="1">_xll.meMathNormalDistributionStandard(B206)</f>
        <v>1</v>
      </c>
      <c r="D206" s="20">
        <f ca="1">_xll.meMathNormalDistributionPDF(B206)</f>
        <v>5.5730000227227497E-22</v>
      </c>
      <c r="G206" s="7">
        <v>0.99000000000000077</v>
      </c>
      <c r="H206" s="3">
        <f ca="1">_xll.meMathNormalDistributionStandardInverse(G206)</f>
        <v>2.3263478740408701</v>
      </c>
      <c r="I206" s="3"/>
      <c r="J206" s="9">
        <f t="shared" si="20"/>
        <v>2.3263478740408692</v>
      </c>
      <c r="K206" s="17">
        <f t="shared" ca="1" si="21"/>
        <v>0</v>
      </c>
      <c r="M206" s="1">
        <v>9.7999999999999634</v>
      </c>
      <c r="N206" s="3">
        <f ca="1">_xll.meMathNormalDistribution(M206,$N$4,$N$5)</f>
        <v>1</v>
      </c>
      <c r="O206" s="20">
        <f ca="1">_xll.meMathNormalDistributionPDF(M206,$N$4,$N$5)</f>
        <v>5.5730000227227497E-22</v>
      </c>
      <c r="P206" s="8" t="b">
        <f t="shared" ca="1" si="22"/>
        <v>1</v>
      </c>
      <c r="R206" s="7">
        <v>0.99000000000000077</v>
      </c>
      <c r="S206" s="3">
        <f ca="1">_xll.meMathNormalDistributionInverse(R206,$S$4,$S$5)</f>
        <v>2.3263478740408701</v>
      </c>
      <c r="T206" s="12" t="b">
        <f t="shared" ca="1" si="23"/>
        <v>1</v>
      </c>
    </row>
    <row r="207" spans="2:20" x14ac:dyDescent="0.25">
      <c r="B207" s="1">
        <v>9.8999999999999631</v>
      </c>
      <c r="C207" s="3">
        <f ca="1">_xll.meMathNormalDistributionStandard(B207)</f>
        <v>1</v>
      </c>
      <c r="D207" s="20">
        <f ca="1">_xll.meMathNormalDistributionPDF(B207)</f>
        <v>2.0811768202035936E-22</v>
      </c>
      <c r="G207" s="7">
        <v>0.99500000000000077</v>
      </c>
      <c r="H207" s="3">
        <f ca="1">_xll.meMathNormalDistributionStandardInverse(G207)</f>
        <v>2.5758293035489541</v>
      </c>
      <c r="I207" s="3"/>
      <c r="J207" s="9">
        <f t="shared" si="20"/>
        <v>2.5758293035489541</v>
      </c>
      <c r="K207" s="17">
        <f t="shared" ca="1" si="21"/>
        <v>0</v>
      </c>
      <c r="M207" s="1">
        <v>9.8999999999999631</v>
      </c>
      <c r="N207" s="3">
        <f ca="1">_xll.meMathNormalDistribution(M207,$N$4,$N$5)</f>
        <v>1</v>
      </c>
      <c r="O207" s="20">
        <f ca="1">_xll.meMathNormalDistributionPDF(M207,$N$4,$N$5)</f>
        <v>2.0811768202035936E-22</v>
      </c>
      <c r="P207" s="8" t="b">
        <f t="shared" ca="1" si="22"/>
        <v>1</v>
      </c>
      <c r="R207" s="7">
        <v>0.99500000000000077</v>
      </c>
      <c r="S207" s="3">
        <f ca="1">_xll.meMathNormalDistributionInverse(R207,$S$4,$S$5)</f>
        <v>2.5758293035489541</v>
      </c>
      <c r="T207" s="12" t="b">
        <f t="shared" ca="1" si="23"/>
        <v>1</v>
      </c>
    </row>
    <row r="208" spans="2:20" x14ac:dyDescent="0.25">
      <c r="B208" s="1">
        <v>9.9999999999999627</v>
      </c>
      <c r="C208" s="3">
        <f ca="1">_xll.meMathNormalDistributionStandard(B208)</f>
        <v>1</v>
      </c>
      <c r="D208" s="20">
        <f ca="1">_xll.meMathNormalDistributionPDF(B208)</f>
        <v>7.6945986267092623E-23</v>
      </c>
      <c r="G208" s="7">
        <v>1.0000000000000007</v>
      </c>
      <c r="H208" s="3">
        <f ca="1">_xll.meMathNormalDistributionStandardInverse(G208)</f>
        <v>10</v>
      </c>
      <c r="I208" s="3"/>
      <c r="J208" s="10" t="s">
        <v>10</v>
      </c>
      <c r="K208" s="18" t="s">
        <v>10</v>
      </c>
      <c r="M208" s="1">
        <v>9.9999999999999627</v>
      </c>
      <c r="N208" s="3">
        <f ca="1">_xll.meMathNormalDistribution(M208,$N$4,$N$5)</f>
        <v>1</v>
      </c>
      <c r="O208" s="20">
        <f ca="1">_xll.meMathNormalDistributionPDF(M208,$N$4,$N$5)</f>
        <v>7.6945986267092623E-23</v>
      </c>
      <c r="P208" s="8" t="b">
        <f t="shared" ca="1" si="22"/>
        <v>1</v>
      </c>
      <c r="R208" s="7">
        <v>1.0000000000000007</v>
      </c>
      <c r="S208" s="3">
        <f ca="1">_xll.meMathNormalDistributionInverse(R208,$S$4,$S$5)</f>
        <v>10</v>
      </c>
      <c r="T208" s="12" t="b">
        <f t="shared" ca="1" si="23"/>
        <v>1</v>
      </c>
    </row>
    <row r="209" spans="2:19" x14ac:dyDescent="0.25">
      <c r="B209" s="1"/>
      <c r="C209" s="3"/>
      <c r="D209" s="3"/>
      <c r="G209" s="1"/>
      <c r="H209" s="3"/>
      <c r="I209" s="3"/>
      <c r="M209" s="1"/>
      <c r="N209" s="3"/>
      <c r="O209" s="3"/>
      <c r="P209" s="3"/>
      <c r="R209" s="1"/>
      <c r="S209" s="3"/>
    </row>
    <row r="210" spans="2:19" x14ac:dyDescent="0.25">
      <c r="B210" s="1"/>
      <c r="C210" s="3"/>
      <c r="D210" s="3"/>
      <c r="G210" s="1"/>
      <c r="H210" s="3"/>
      <c r="I210" s="3"/>
      <c r="M210" s="1"/>
      <c r="N210" s="3"/>
      <c r="O210" s="3"/>
      <c r="P210" s="3"/>
      <c r="R210" s="1"/>
      <c r="S210" s="3"/>
    </row>
    <row r="211" spans="2:19" x14ac:dyDescent="0.25">
      <c r="B211" s="1"/>
      <c r="C211" s="3"/>
      <c r="D211" s="3"/>
      <c r="G211" s="1"/>
      <c r="H211" s="3"/>
      <c r="I211" s="3"/>
      <c r="M211" s="1"/>
      <c r="N211" s="3"/>
      <c r="O211" s="3"/>
      <c r="P211" s="3"/>
      <c r="R211" s="1"/>
      <c r="S211" s="3"/>
    </row>
    <row r="212" spans="2:19" x14ac:dyDescent="0.25">
      <c r="B212" s="1"/>
      <c r="C212" s="3"/>
      <c r="D212" s="3"/>
      <c r="G212" s="1"/>
      <c r="H212" s="3"/>
      <c r="I212" s="3"/>
      <c r="M212" s="1"/>
      <c r="N212" s="3"/>
      <c r="O212" s="3"/>
      <c r="P212" s="3"/>
      <c r="R212" s="1"/>
      <c r="S212" s="3"/>
    </row>
    <row r="213" spans="2:19" x14ac:dyDescent="0.25">
      <c r="B213" s="1"/>
      <c r="C213" s="3"/>
      <c r="D213" s="3"/>
      <c r="G213" s="1"/>
      <c r="H213" s="3"/>
      <c r="I213" s="3"/>
      <c r="M213" s="1"/>
      <c r="N213" s="3"/>
      <c r="O213" s="3"/>
      <c r="P213" s="3"/>
      <c r="R213" s="1"/>
      <c r="S213" s="3"/>
    </row>
    <row r="214" spans="2:19" x14ac:dyDescent="0.25">
      <c r="B214" s="1"/>
      <c r="C214" s="3"/>
      <c r="D214" s="3"/>
      <c r="G214" s="1"/>
      <c r="H214" s="3"/>
      <c r="I214" s="3"/>
      <c r="M214" s="1"/>
      <c r="N214" s="3"/>
      <c r="O214" s="3"/>
      <c r="P214" s="3"/>
      <c r="R214" s="1"/>
      <c r="S214" s="3"/>
    </row>
    <row r="215" spans="2:19" x14ac:dyDescent="0.25">
      <c r="B215" s="1"/>
      <c r="C215" s="3"/>
      <c r="D215" s="3"/>
      <c r="G215" s="1"/>
      <c r="H215" s="3"/>
      <c r="I215" s="3"/>
      <c r="M215" s="1"/>
      <c r="N215" s="3"/>
      <c r="O215" s="3"/>
      <c r="P215" s="3"/>
      <c r="R215" s="1"/>
      <c r="S215" s="3"/>
    </row>
    <row r="216" spans="2:19" x14ac:dyDescent="0.25">
      <c r="B216" s="1"/>
      <c r="C216" s="3"/>
      <c r="D216" s="3"/>
      <c r="G216" s="1"/>
      <c r="H216" s="3"/>
      <c r="I216" s="3"/>
      <c r="M216" s="1"/>
      <c r="N216" s="3"/>
      <c r="O216" s="3"/>
      <c r="P216" s="3"/>
      <c r="R216" s="1"/>
      <c r="S216" s="3"/>
    </row>
    <row r="217" spans="2:19" x14ac:dyDescent="0.25">
      <c r="B217" s="1"/>
      <c r="C217" s="3"/>
      <c r="D217" s="3"/>
      <c r="G217" s="1"/>
      <c r="H217" s="3"/>
      <c r="I217" s="3"/>
      <c r="M217" s="1"/>
      <c r="N217" s="3"/>
      <c r="O217" s="3"/>
      <c r="P217" s="3"/>
      <c r="R217" s="1"/>
      <c r="S217" s="3"/>
    </row>
    <row r="218" spans="2:19" x14ac:dyDescent="0.25">
      <c r="B218" s="1"/>
      <c r="C218" s="3"/>
      <c r="D218" s="3"/>
      <c r="G218" s="1"/>
      <c r="H218" s="3"/>
      <c r="I218" s="3"/>
      <c r="M218" s="1"/>
      <c r="N218" s="3"/>
      <c r="O218" s="3"/>
      <c r="P218" s="3"/>
      <c r="R218" s="1"/>
      <c r="S218" s="3"/>
    </row>
    <row r="219" spans="2:19" x14ac:dyDescent="0.25">
      <c r="B219" s="1"/>
      <c r="C219" s="3"/>
      <c r="D219" s="3"/>
      <c r="G219" s="1"/>
      <c r="H219" s="3"/>
      <c r="I219" s="3"/>
      <c r="M219" s="1"/>
      <c r="N219" s="3"/>
      <c r="O219" s="3"/>
      <c r="P219" s="3"/>
      <c r="R219" s="1"/>
      <c r="S219" s="3"/>
    </row>
    <row r="220" spans="2:19" x14ac:dyDescent="0.25">
      <c r="B220" s="1"/>
      <c r="C220" s="3"/>
      <c r="D220" s="3"/>
      <c r="G220" s="1"/>
      <c r="H220" s="3"/>
      <c r="I220" s="3"/>
      <c r="M220" s="1"/>
      <c r="N220" s="3"/>
      <c r="O220" s="3"/>
      <c r="P220" s="3"/>
      <c r="R220" s="1"/>
      <c r="S220" s="3"/>
    </row>
    <row r="221" spans="2:19" x14ac:dyDescent="0.25">
      <c r="B221" s="1"/>
      <c r="C221" s="3"/>
      <c r="D221" s="3"/>
      <c r="G221" s="1"/>
      <c r="H221" s="3"/>
      <c r="I221" s="3"/>
      <c r="M221" s="1"/>
      <c r="N221" s="3"/>
      <c r="O221" s="3"/>
      <c r="P221" s="3"/>
      <c r="R221" s="1"/>
      <c r="S221" s="3"/>
    </row>
    <row r="222" spans="2:19" x14ac:dyDescent="0.25">
      <c r="B222" s="1"/>
      <c r="C222" s="3"/>
      <c r="D222" s="3"/>
      <c r="G222" s="1"/>
      <c r="H222" s="3"/>
      <c r="I222" s="3"/>
      <c r="M222" s="1"/>
      <c r="N222" s="3"/>
      <c r="O222" s="3"/>
      <c r="P222" s="3"/>
      <c r="R222" s="1"/>
      <c r="S222" s="3"/>
    </row>
    <row r="223" spans="2:19" x14ac:dyDescent="0.25">
      <c r="B223" s="1"/>
      <c r="C223" s="3"/>
      <c r="D223" s="3"/>
      <c r="G223" s="1"/>
      <c r="H223" s="3"/>
      <c r="I223" s="3"/>
      <c r="M223" s="1"/>
      <c r="N223" s="3"/>
      <c r="O223" s="3"/>
      <c r="P223" s="3"/>
      <c r="R223" s="1"/>
      <c r="S223" s="3"/>
    </row>
    <row r="224" spans="2:19" x14ac:dyDescent="0.25">
      <c r="B224" s="1"/>
      <c r="C224" s="3"/>
      <c r="D224" s="3"/>
      <c r="G224" s="1"/>
      <c r="H224" s="3"/>
      <c r="I224" s="3"/>
      <c r="M224" s="1"/>
      <c r="N224" s="3"/>
      <c r="O224" s="3"/>
      <c r="P224" s="3"/>
      <c r="R224" s="1"/>
      <c r="S224" s="3"/>
    </row>
    <row r="225" spans="2:19" x14ac:dyDescent="0.25">
      <c r="B225" s="1"/>
      <c r="C225" s="3"/>
      <c r="D225" s="3"/>
      <c r="G225" s="1"/>
      <c r="H225" s="3"/>
      <c r="I225" s="3"/>
      <c r="M225" s="1"/>
      <c r="N225" s="3"/>
      <c r="O225" s="3"/>
      <c r="P225" s="3"/>
      <c r="R225" s="1"/>
      <c r="S225" s="3"/>
    </row>
    <row r="226" spans="2:19" x14ac:dyDescent="0.25">
      <c r="B226" s="1"/>
      <c r="C226" s="3"/>
      <c r="D226" s="3"/>
      <c r="G226" s="1"/>
      <c r="H226" s="3"/>
      <c r="I226" s="3"/>
      <c r="M226" s="1"/>
      <c r="N226" s="3"/>
      <c r="O226" s="3"/>
      <c r="P226" s="3"/>
      <c r="R226" s="1"/>
      <c r="S226" s="3"/>
    </row>
    <row r="227" spans="2:19" x14ac:dyDescent="0.25">
      <c r="B227" s="1"/>
      <c r="C227" s="3"/>
      <c r="D227" s="3"/>
      <c r="G227" s="1"/>
      <c r="H227" s="3"/>
      <c r="I227" s="3"/>
      <c r="M227" s="1"/>
      <c r="N227" s="3"/>
      <c r="O227" s="3"/>
      <c r="P227" s="3"/>
      <c r="R227" s="1"/>
      <c r="S227" s="3"/>
    </row>
    <row r="228" spans="2:19" x14ac:dyDescent="0.25">
      <c r="B228" s="1"/>
      <c r="C228" s="3"/>
      <c r="D228" s="3"/>
      <c r="G228" s="1"/>
      <c r="H228" s="3"/>
      <c r="I228" s="3"/>
      <c r="M228" s="1"/>
      <c r="N228" s="3"/>
      <c r="O228" s="3"/>
      <c r="P228" s="3"/>
      <c r="R228" s="1"/>
      <c r="S228" s="3"/>
    </row>
    <row r="229" spans="2:19" x14ac:dyDescent="0.25">
      <c r="B229" s="1"/>
      <c r="C229" s="3"/>
      <c r="D229" s="3"/>
      <c r="G229" s="1"/>
      <c r="H229" s="3"/>
      <c r="I229" s="3"/>
      <c r="M229" s="1"/>
      <c r="N229" s="3"/>
      <c r="O229" s="3"/>
      <c r="P229" s="3"/>
      <c r="R229" s="1"/>
      <c r="S229" s="3"/>
    </row>
    <row r="230" spans="2:19" x14ac:dyDescent="0.25">
      <c r="B230" s="1"/>
      <c r="C230" s="3"/>
      <c r="D230" s="3"/>
      <c r="G230" s="1"/>
      <c r="H230" s="3"/>
      <c r="I230" s="3"/>
      <c r="M230" s="1"/>
      <c r="N230" s="3"/>
      <c r="O230" s="3"/>
      <c r="P230" s="3"/>
      <c r="R230" s="1"/>
      <c r="S230" s="3"/>
    </row>
    <row r="231" spans="2:19" x14ac:dyDescent="0.25">
      <c r="B231" s="1"/>
      <c r="C231" s="3"/>
      <c r="D231" s="3"/>
      <c r="G231" s="1"/>
      <c r="H231" s="3"/>
      <c r="I231" s="3"/>
      <c r="M231" s="1"/>
      <c r="N231" s="3"/>
      <c r="O231" s="3"/>
      <c r="P231" s="3"/>
      <c r="R231" s="1"/>
      <c r="S231" s="3"/>
    </row>
    <row r="232" spans="2:19" x14ac:dyDescent="0.25">
      <c r="B232" s="1"/>
      <c r="C232" s="3"/>
      <c r="D232" s="3"/>
      <c r="G232" s="1"/>
      <c r="H232" s="3"/>
      <c r="I232" s="3"/>
      <c r="M232" s="1"/>
      <c r="N232" s="3"/>
      <c r="O232" s="3"/>
      <c r="P232" s="3"/>
      <c r="R232" s="1"/>
      <c r="S232" s="3"/>
    </row>
    <row r="233" spans="2:19" x14ac:dyDescent="0.25">
      <c r="B233" s="1"/>
      <c r="C233" s="3"/>
      <c r="D233" s="3"/>
      <c r="G233" s="1"/>
      <c r="H233" s="3"/>
      <c r="I233" s="3"/>
      <c r="M233" s="1"/>
      <c r="N233" s="3"/>
      <c r="O233" s="3"/>
      <c r="P233" s="3"/>
      <c r="R233" s="1"/>
      <c r="S233" s="3"/>
    </row>
    <row r="234" spans="2:19" x14ac:dyDescent="0.25">
      <c r="B234" s="1"/>
      <c r="C234" s="3"/>
      <c r="D234" s="3"/>
      <c r="G234" s="1"/>
      <c r="H234" s="3"/>
      <c r="I234" s="3"/>
      <c r="M234" s="1"/>
      <c r="N234" s="3"/>
      <c r="O234" s="3"/>
      <c r="P234" s="3"/>
      <c r="R234" s="1"/>
      <c r="S234" s="3"/>
    </row>
    <row r="235" spans="2:19" x14ac:dyDescent="0.25">
      <c r="B235" s="1"/>
      <c r="C235" s="3"/>
      <c r="D235" s="3"/>
      <c r="G235" s="1"/>
      <c r="H235" s="3"/>
      <c r="I235" s="3"/>
      <c r="M235" s="1"/>
      <c r="N235" s="3"/>
      <c r="O235" s="3"/>
      <c r="P235" s="3"/>
      <c r="R235" s="1"/>
      <c r="S235" s="3"/>
    </row>
    <row r="236" spans="2:19" x14ac:dyDescent="0.25">
      <c r="B236" s="1"/>
      <c r="C236" s="3"/>
      <c r="D236" s="3"/>
      <c r="G236" s="1"/>
      <c r="H236" s="3"/>
      <c r="I236" s="3"/>
      <c r="M236" s="1"/>
      <c r="N236" s="3"/>
      <c r="O236" s="3"/>
      <c r="P236" s="3"/>
      <c r="R236" s="1"/>
      <c r="S236" s="3"/>
    </row>
    <row r="237" spans="2:19" x14ac:dyDescent="0.25">
      <c r="B237" s="1"/>
      <c r="C237" s="3"/>
      <c r="D237" s="3"/>
      <c r="G237" s="1"/>
      <c r="H237" s="3"/>
      <c r="I237" s="3"/>
      <c r="M237" s="1"/>
      <c r="N237" s="3"/>
      <c r="O237" s="3"/>
      <c r="P237" s="3"/>
      <c r="R237" s="1"/>
      <c r="S237" s="3"/>
    </row>
    <row r="238" spans="2:19" x14ac:dyDescent="0.25">
      <c r="B238" s="1"/>
      <c r="C238" s="3"/>
      <c r="D238" s="3"/>
      <c r="G238" s="1"/>
      <c r="H238" s="3"/>
      <c r="I238" s="3"/>
      <c r="M238" s="1"/>
      <c r="N238" s="3"/>
      <c r="O238" s="3"/>
      <c r="P238" s="3"/>
      <c r="R238" s="1"/>
      <c r="S238" s="3"/>
    </row>
    <row r="239" spans="2:19" x14ac:dyDescent="0.25">
      <c r="B239" s="1"/>
      <c r="C239" s="3"/>
      <c r="D239" s="3"/>
      <c r="G239" s="1"/>
      <c r="H239" s="3"/>
      <c r="I239" s="3"/>
      <c r="M239" s="1"/>
      <c r="N239" s="3"/>
      <c r="O239" s="3"/>
      <c r="P239" s="3"/>
      <c r="R239" s="1"/>
      <c r="S239" s="3"/>
    </row>
    <row r="240" spans="2:19" x14ac:dyDescent="0.25">
      <c r="B240" s="1"/>
      <c r="C240" s="3"/>
      <c r="D240" s="3"/>
      <c r="G240" s="1"/>
      <c r="H240" s="3"/>
      <c r="I240" s="3"/>
      <c r="M240" s="1"/>
      <c r="N240" s="3"/>
      <c r="O240" s="3"/>
      <c r="P240" s="3"/>
      <c r="R240" s="1"/>
      <c r="S240" s="3"/>
    </row>
    <row r="241" spans="2:19" x14ac:dyDescent="0.25">
      <c r="B241" s="1"/>
      <c r="C241" s="3"/>
      <c r="D241" s="3"/>
      <c r="G241" s="1"/>
      <c r="H241" s="3"/>
      <c r="I241" s="3"/>
      <c r="M241" s="1"/>
      <c r="N241" s="3"/>
      <c r="O241" s="3"/>
      <c r="P241" s="3"/>
      <c r="R241" s="1"/>
      <c r="S241" s="3"/>
    </row>
    <row r="242" spans="2:19" x14ac:dyDescent="0.25">
      <c r="B242" s="1"/>
      <c r="C242" s="3"/>
      <c r="D242" s="3"/>
      <c r="G242" s="1"/>
      <c r="H242" s="3"/>
      <c r="I242" s="3"/>
      <c r="M242" s="1"/>
      <c r="N242" s="3"/>
      <c r="O242" s="3"/>
      <c r="P242" s="3"/>
      <c r="R242" s="1"/>
      <c r="S242" s="3"/>
    </row>
    <row r="243" spans="2:19" x14ac:dyDescent="0.25">
      <c r="B243" s="1"/>
      <c r="C243" s="3"/>
      <c r="D243" s="3"/>
      <c r="G243" s="1"/>
      <c r="H243" s="3"/>
      <c r="I243" s="3"/>
      <c r="M243" s="1"/>
      <c r="N243" s="3"/>
      <c r="O243" s="3"/>
      <c r="P243" s="3"/>
      <c r="R243" s="1"/>
      <c r="S243" s="3"/>
    </row>
    <row r="244" spans="2:19" x14ac:dyDescent="0.25">
      <c r="B244" s="1"/>
      <c r="C244" s="3"/>
      <c r="D244" s="3"/>
      <c r="G244" s="1"/>
      <c r="H244" s="3"/>
      <c r="I244" s="3"/>
      <c r="M244" s="1"/>
      <c r="N244" s="3"/>
      <c r="O244" s="3"/>
      <c r="P244" s="3"/>
      <c r="R244" s="1"/>
      <c r="S244" s="3"/>
    </row>
    <row r="245" spans="2:19" x14ac:dyDescent="0.25">
      <c r="B245" s="1"/>
      <c r="C245" s="3"/>
      <c r="D245" s="3"/>
      <c r="G245" s="1"/>
      <c r="H245" s="3"/>
      <c r="I245" s="3"/>
      <c r="M245" s="1"/>
      <c r="N245" s="3"/>
      <c r="O245" s="3"/>
      <c r="P245" s="3"/>
      <c r="R245" s="1"/>
      <c r="S245" s="3"/>
    </row>
    <row r="246" spans="2:19" x14ac:dyDescent="0.25">
      <c r="B246" s="1"/>
      <c r="C246" s="3"/>
      <c r="D246" s="3"/>
      <c r="G246" s="1"/>
      <c r="H246" s="3"/>
      <c r="I246" s="3"/>
      <c r="M246" s="1"/>
      <c r="N246" s="3"/>
      <c r="O246" s="3"/>
      <c r="P246" s="3"/>
      <c r="R246" s="1"/>
      <c r="S246" s="3"/>
    </row>
    <row r="247" spans="2:19" x14ac:dyDescent="0.25">
      <c r="B247" s="1"/>
      <c r="C247" s="3"/>
      <c r="D247" s="3"/>
      <c r="G247" s="1"/>
      <c r="H247" s="3"/>
      <c r="I247" s="3"/>
      <c r="M247" s="1"/>
      <c r="N247" s="3"/>
      <c r="O247" s="3"/>
      <c r="P247" s="3"/>
      <c r="R247" s="1"/>
      <c r="S247" s="3"/>
    </row>
    <row r="248" spans="2:19" x14ac:dyDescent="0.25">
      <c r="B248" s="1"/>
      <c r="C248" s="3"/>
      <c r="D248" s="3"/>
      <c r="G248" s="1"/>
      <c r="H248" s="3"/>
      <c r="I248" s="3"/>
      <c r="M248" s="1"/>
      <c r="N248" s="3"/>
      <c r="O248" s="3"/>
      <c r="P248" s="3"/>
      <c r="R248" s="1"/>
      <c r="S248" s="3"/>
    </row>
    <row r="249" spans="2:19" x14ac:dyDescent="0.25">
      <c r="B249" s="1"/>
      <c r="C249" s="3"/>
      <c r="D249" s="3"/>
      <c r="G249" s="1"/>
      <c r="H249" s="3"/>
      <c r="I249" s="3"/>
      <c r="M249" s="1"/>
      <c r="N249" s="3"/>
      <c r="O249" s="3"/>
      <c r="P249" s="3"/>
      <c r="R249" s="1"/>
      <c r="S249" s="3"/>
    </row>
    <row r="250" spans="2:19" x14ac:dyDescent="0.25">
      <c r="B250" s="1"/>
      <c r="C250" s="3"/>
      <c r="D250" s="3"/>
      <c r="G250" s="1"/>
      <c r="H250" s="3"/>
      <c r="I250" s="3"/>
      <c r="M250" s="1"/>
      <c r="N250" s="3"/>
      <c r="O250" s="3"/>
      <c r="P250" s="3"/>
      <c r="R250" s="1"/>
      <c r="S250" s="3"/>
    </row>
    <row r="251" spans="2:19" x14ac:dyDescent="0.25">
      <c r="B251" s="1"/>
      <c r="C251" s="3"/>
      <c r="D251" s="3"/>
      <c r="G251" s="1"/>
      <c r="H251" s="3"/>
      <c r="I251" s="3"/>
      <c r="M251" s="1"/>
      <c r="N251" s="3"/>
      <c r="O251" s="3"/>
      <c r="P251" s="3"/>
      <c r="R251" s="1"/>
      <c r="S251" s="3"/>
    </row>
    <row r="252" spans="2:19" x14ac:dyDescent="0.25">
      <c r="B252" s="1"/>
      <c r="C252" s="3"/>
      <c r="D252" s="3"/>
      <c r="G252" s="1"/>
      <c r="H252" s="3"/>
      <c r="I252" s="3"/>
      <c r="M252" s="1"/>
      <c r="N252" s="3"/>
      <c r="O252" s="3"/>
      <c r="P252" s="3"/>
      <c r="R252" s="1"/>
      <c r="S252" s="3"/>
    </row>
    <row r="253" spans="2:19" x14ac:dyDescent="0.25">
      <c r="B253" s="1"/>
      <c r="C253" s="3"/>
      <c r="D253" s="3"/>
      <c r="G253" s="1"/>
      <c r="H253" s="3"/>
      <c r="I253" s="3"/>
      <c r="M253" s="1"/>
      <c r="N253" s="3"/>
      <c r="O253" s="3"/>
      <c r="P253" s="3"/>
      <c r="R253" s="1"/>
      <c r="S253" s="3"/>
    </row>
    <row r="254" spans="2:19" x14ac:dyDescent="0.25">
      <c r="B254" s="1"/>
      <c r="C254" s="3"/>
      <c r="D254" s="3"/>
      <c r="G254" s="1"/>
      <c r="H254" s="3"/>
      <c r="I254" s="3"/>
      <c r="M254" s="1"/>
      <c r="N254" s="3"/>
      <c r="O254" s="3"/>
      <c r="P254" s="3"/>
      <c r="R254" s="1"/>
      <c r="S254" s="3"/>
    </row>
    <row r="255" spans="2:19" x14ac:dyDescent="0.25">
      <c r="B255" s="1"/>
      <c r="C255" s="3"/>
      <c r="D255" s="3"/>
      <c r="G255" s="1"/>
      <c r="H255" s="3"/>
      <c r="I255" s="3"/>
      <c r="M255" s="1"/>
      <c r="N255" s="3"/>
      <c r="O255" s="3"/>
      <c r="P255" s="3"/>
      <c r="R255" s="1"/>
      <c r="S255" s="3"/>
    </row>
    <row r="256" spans="2:19" x14ac:dyDescent="0.25">
      <c r="B256" s="1"/>
      <c r="C256" s="3"/>
      <c r="D256" s="3"/>
      <c r="G256" s="1"/>
      <c r="H256" s="3"/>
      <c r="I256" s="3"/>
      <c r="M256" s="1"/>
      <c r="N256" s="3"/>
      <c r="O256" s="3"/>
      <c r="P256" s="3"/>
      <c r="R256" s="1"/>
      <c r="S256" s="3"/>
    </row>
    <row r="257" spans="2:19" x14ac:dyDescent="0.25">
      <c r="B257" s="1"/>
      <c r="C257" s="3"/>
      <c r="D257" s="3"/>
      <c r="G257" s="1"/>
      <c r="H257" s="3"/>
      <c r="I257" s="3"/>
      <c r="M257" s="1"/>
      <c r="N257" s="3"/>
      <c r="O257" s="3"/>
      <c r="P257" s="3"/>
      <c r="R257" s="1"/>
      <c r="S257" s="3"/>
    </row>
    <row r="258" spans="2:19" x14ac:dyDescent="0.25">
      <c r="B258" s="1"/>
      <c r="C258" s="3"/>
      <c r="D258" s="3"/>
      <c r="G258" s="1"/>
      <c r="H258" s="3"/>
      <c r="I258" s="3"/>
      <c r="M258" s="1"/>
      <c r="N258" s="3"/>
      <c r="O258" s="3"/>
      <c r="P258" s="3"/>
      <c r="R258" s="1"/>
      <c r="S258" s="3"/>
    </row>
    <row r="259" spans="2:19" x14ac:dyDescent="0.25">
      <c r="B259" s="1"/>
      <c r="C259" s="3"/>
      <c r="D259" s="3"/>
      <c r="G259" s="1"/>
      <c r="H259" s="3"/>
      <c r="I259" s="3"/>
      <c r="M259" s="1"/>
      <c r="N259" s="3"/>
      <c r="O259" s="3"/>
      <c r="P259" s="3"/>
      <c r="R259" s="1"/>
      <c r="S259" s="3"/>
    </row>
    <row r="260" spans="2:19" x14ac:dyDescent="0.25">
      <c r="B260" s="1"/>
      <c r="C260" s="3"/>
      <c r="D260" s="3"/>
      <c r="G260" s="1"/>
      <c r="H260" s="3"/>
      <c r="I260" s="3"/>
      <c r="M260" s="1"/>
      <c r="N260" s="3"/>
      <c r="O260" s="3"/>
      <c r="P260" s="3"/>
      <c r="R260" s="1"/>
      <c r="S260" s="3"/>
    </row>
    <row r="261" spans="2:19" x14ac:dyDescent="0.25">
      <c r="B261" s="1"/>
      <c r="C261" s="3"/>
      <c r="D261" s="3"/>
      <c r="G261" s="1"/>
      <c r="H261" s="3"/>
      <c r="I261" s="3"/>
      <c r="M261" s="1"/>
      <c r="N261" s="3"/>
      <c r="O261" s="3"/>
      <c r="P261" s="3"/>
      <c r="R261" s="1"/>
      <c r="S261" s="3"/>
    </row>
    <row r="262" spans="2:19" x14ac:dyDescent="0.25">
      <c r="B262" s="1"/>
      <c r="C262" s="3"/>
      <c r="D262" s="3"/>
      <c r="G262" s="1"/>
      <c r="H262" s="3"/>
      <c r="I262" s="3"/>
      <c r="M262" s="1"/>
      <c r="N262" s="3"/>
      <c r="O262" s="3"/>
      <c r="P262" s="3"/>
      <c r="R262" s="1"/>
      <c r="S262" s="3"/>
    </row>
    <row r="263" spans="2:19" x14ac:dyDescent="0.25">
      <c r="B263" s="1"/>
      <c r="C263" s="3"/>
      <c r="D263" s="3"/>
      <c r="G263" s="1"/>
      <c r="H263" s="3"/>
      <c r="I263" s="3"/>
      <c r="M263" s="1"/>
      <c r="N263" s="3"/>
      <c r="O263" s="3"/>
      <c r="P263" s="3"/>
      <c r="R263" s="1"/>
      <c r="S263" s="3"/>
    </row>
    <row r="264" spans="2:19" x14ac:dyDescent="0.25">
      <c r="B264" s="1"/>
      <c r="C264" s="3"/>
      <c r="D264" s="3"/>
      <c r="G264" s="1"/>
      <c r="H264" s="3"/>
      <c r="I264" s="3"/>
      <c r="M264" s="1"/>
      <c r="N264" s="3"/>
      <c r="O264" s="3"/>
      <c r="P264" s="3"/>
      <c r="R264" s="1"/>
      <c r="S264" s="3"/>
    </row>
    <row r="265" spans="2:19" x14ac:dyDescent="0.25">
      <c r="B265" s="1"/>
      <c r="C265" s="3"/>
      <c r="D265" s="3"/>
      <c r="G265" s="1"/>
      <c r="H265" s="3"/>
      <c r="I265" s="3"/>
      <c r="M265" s="1"/>
      <c r="N265" s="3"/>
      <c r="O265" s="3"/>
      <c r="P265" s="3"/>
      <c r="R265" s="1"/>
      <c r="S265" s="3"/>
    </row>
    <row r="266" spans="2:19" x14ac:dyDescent="0.25">
      <c r="B266" s="1"/>
      <c r="C266" s="3"/>
      <c r="D266" s="3"/>
      <c r="G266" s="1"/>
      <c r="H266" s="3"/>
      <c r="I266" s="3"/>
      <c r="M266" s="1"/>
      <c r="N266" s="3"/>
      <c r="O266" s="3"/>
      <c r="P266" s="3"/>
      <c r="R266" s="1"/>
      <c r="S266" s="3"/>
    </row>
    <row r="267" spans="2:19" x14ac:dyDescent="0.25">
      <c r="B267" s="1"/>
      <c r="C267" s="3"/>
      <c r="D267" s="3"/>
      <c r="G267" s="1"/>
      <c r="H267" s="3"/>
      <c r="I267" s="3"/>
      <c r="M267" s="1"/>
      <c r="N267" s="3"/>
      <c r="O267" s="3"/>
      <c r="P267" s="3"/>
      <c r="R267" s="1"/>
      <c r="S267" s="3"/>
    </row>
    <row r="268" spans="2:19" x14ac:dyDescent="0.25">
      <c r="B268" s="1"/>
      <c r="C268" s="3"/>
      <c r="D268" s="3"/>
      <c r="G268" s="1"/>
      <c r="H268" s="3"/>
      <c r="I268" s="3"/>
      <c r="M268" s="1"/>
      <c r="N268" s="3"/>
      <c r="O268" s="3"/>
      <c r="P268" s="3"/>
      <c r="R268" s="1"/>
      <c r="S268" s="3"/>
    </row>
    <row r="269" spans="2:19" x14ac:dyDescent="0.25">
      <c r="B269" s="1"/>
      <c r="C269" s="3"/>
      <c r="D269" s="3"/>
      <c r="G269" s="1"/>
      <c r="H269" s="3"/>
      <c r="I269" s="3"/>
      <c r="M269" s="1"/>
      <c r="N269" s="3"/>
      <c r="O269" s="3"/>
      <c r="P269" s="3"/>
      <c r="R269" s="1"/>
      <c r="S269" s="3"/>
    </row>
    <row r="270" spans="2:19" x14ac:dyDescent="0.25">
      <c r="B270" s="1"/>
      <c r="C270" s="3"/>
      <c r="D270" s="3"/>
      <c r="G270" s="1"/>
      <c r="H270" s="3"/>
      <c r="I270" s="3"/>
      <c r="M270" s="1"/>
      <c r="N270" s="3"/>
      <c r="O270" s="3"/>
      <c r="P270" s="3"/>
      <c r="R270" s="1"/>
      <c r="S270" s="3"/>
    </row>
    <row r="271" spans="2:19" x14ac:dyDescent="0.25">
      <c r="B271" s="1"/>
      <c r="C271" s="3"/>
      <c r="D271" s="3"/>
      <c r="G271" s="1"/>
      <c r="H271" s="3"/>
      <c r="I271" s="3"/>
      <c r="M271" s="1"/>
      <c r="N271" s="3"/>
      <c r="O271" s="3"/>
      <c r="P271" s="3"/>
      <c r="R271" s="1"/>
      <c r="S271" s="3"/>
    </row>
    <row r="272" spans="2:19" x14ac:dyDescent="0.25">
      <c r="B272" s="1"/>
      <c r="C272" s="3"/>
      <c r="D272" s="3"/>
      <c r="G272" s="1"/>
      <c r="H272" s="3"/>
      <c r="I272" s="3"/>
      <c r="M272" s="1"/>
      <c r="N272" s="3"/>
      <c r="O272" s="3"/>
      <c r="P272" s="3"/>
      <c r="R272" s="1"/>
      <c r="S272" s="3"/>
    </row>
    <row r="273" spans="2:19" x14ac:dyDescent="0.25">
      <c r="B273" s="1"/>
      <c r="C273" s="3"/>
      <c r="D273" s="3"/>
      <c r="G273" s="1"/>
      <c r="H273" s="3"/>
      <c r="I273" s="3"/>
      <c r="M273" s="1"/>
      <c r="N273" s="3"/>
      <c r="O273" s="3"/>
      <c r="P273" s="3"/>
      <c r="R273" s="1"/>
      <c r="S273" s="3"/>
    </row>
    <row r="274" spans="2:19" x14ac:dyDescent="0.25">
      <c r="B274" s="1"/>
      <c r="C274" s="3"/>
      <c r="D274" s="3"/>
      <c r="G274" s="1"/>
      <c r="H274" s="3"/>
      <c r="I274" s="3"/>
      <c r="M274" s="1"/>
      <c r="N274" s="3"/>
      <c r="O274" s="3"/>
      <c r="P274" s="3"/>
      <c r="R274" s="1"/>
      <c r="S274" s="3"/>
    </row>
    <row r="275" spans="2:19" x14ac:dyDescent="0.25">
      <c r="B275" s="1"/>
      <c r="C275" s="3"/>
      <c r="D275" s="3"/>
      <c r="G275" s="1"/>
      <c r="H275" s="3"/>
      <c r="I275" s="3"/>
      <c r="M275" s="1"/>
      <c r="N275" s="3"/>
      <c r="O275" s="3"/>
      <c r="P275" s="3"/>
      <c r="R275" s="1"/>
      <c r="S275" s="3"/>
    </row>
    <row r="276" spans="2:19" x14ac:dyDescent="0.25">
      <c r="B276" s="1"/>
      <c r="C276" s="3"/>
      <c r="D276" s="3"/>
      <c r="G276" s="1"/>
      <c r="H276" s="3"/>
      <c r="I276" s="3"/>
      <c r="M276" s="1"/>
      <c r="N276" s="3"/>
      <c r="O276" s="3"/>
      <c r="P276" s="3"/>
      <c r="R276" s="1"/>
      <c r="S276" s="3"/>
    </row>
    <row r="277" spans="2:19" x14ac:dyDescent="0.25">
      <c r="B277" s="1"/>
      <c r="C277" s="3"/>
      <c r="D277" s="3"/>
      <c r="G277" s="1"/>
      <c r="H277" s="3"/>
      <c r="I277" s="3"/>
      <c r="M277" s="1"/>
      <c r="N277" s="3"/>
      <c r="O277" s="3"/>
      <c r="P277" s="3"/>
      <c r="R277" s="1"/>
      <c r="S277" s="3"/>
    </row>
    <row r="278" spans="2:19" x14ac:dyDescent="0.25">
      <c r="B278" s="1"/>
      <c r="C278" s="3"/>
      <c r="D278" s="3"/>
      <c r="G278" s="1"/>
      <c r="H278" s="3"/>
      <c r="I278" s="3"/>
      <c r="M278" s="1"/>
      <c r="N278" s="3"/>
      <c r="O278" s="3"/>
      <c r="P278" s="3"/>
      <c r="R278" s="1"/>
      <c r="S278" s="3"/>
    </row>
    <row r="279" spans="2:19" x14ac:dyDescent="0.25">
      <c r="B279" s="1"/>
      <c r="C279" s="3"/>
      <c r="D279" s="3"/>
      <c r="G279" s="1"/>
      <c r="H279" s="3"/>
      <c r="I279" s="3"/>
      <c r="M279" s="1"/>
      <c r="N279" s="3"/>
      <c r="O279" s="3"/>
      <c r="P279" s="3"/>
      <c r="R279" s="1"/>
      <c r="S279" s="3"/>
    </row>
    <row r="280" spans="2:19" x14ac:dyDescent="0.25">
      <c r="B280" s="1"/>
      <c r="C280" s="3"/>
      <c r="D280" s="3"/>
      <c r="G280" s="1"/>
      <c r="H280" s="3"/>
      <c r="I280" s="3"/>
      <c r="M280" s="1"/>
      <c r="N280" s="3"/>
      <c r="O280" s="3"/>
      <c r="P280" s="3"/>
      <c r="R280" s="1"/>
      <c r="S280" s="3"/>
    </row>
    <row r="281" spans="2:19" x14ac:dyDescent="0.25">
      <c r="B281" s="1"/>
      <c r="C281" s="3"/>
      <c r="D281" s="3"/>
      <c r="G281" s="1"/>
      <c r="H281" s="3"/>
      <c r="I281" s="3"/>
      <c r="M281" s="1"/>
      <c r="N281" s="3"/>
      <c r="O281" s="3"/>
      <c r="P281" s="3"/>
      <c r="R281" s="1"/>
      <c r="S281" s="3"/>
    </row>
    <row r="282" spans="2:19" x14ac:dyDescent="0.25">
      <c r="B282" s="1"/>
      <c r="C282" s="3"/>
      <c r="D282" s="3"/>
      <c r="G282" s="1"/>
      <c r="H282" s="3"/>
      <c r="I282" s="3"/>
      <c r="M282" s="1"/>
      <c r="N282" s="3"/>
      <c r="O282" s="3"/>
      <c r="P282" s="3"/>
      <c r="R282" s="1"/>
      <c r="S282" s="3"/>
    </row>
    <row r="283" spans="2:19" x14ac:dyDescent="0.25">
      <c r="B283" s="1"/>
      <c r="C283" s="3"/>
      <c r="D283" s="3"/>
      <c r="G283" s="1"/>
      <c r="H283" s="3"/>
      <c r="I283" s="3"/>
      <c r="M283" s="1"/>
      <c r="N283" s="3"/>
      <c r="O283" s="3"/>
      <c r="P283" s="3"/>
      <c r="R283" s="1"/>
      <c r="S283" s="3"/>
    </row>
    <row r="284" spans="2:19" x14ac:dyDescent="0.25">
      <c r="B284" s="1"/>
      <c r="C284" s="3"/>
      <c r="D284" s="3"/>
      <c r="G284" s="1"/>
      <c r="H284" s="3"/>
      <c r="I284" s="3"/>
      <c r="M284" s="1"/>
      <c r="N284" s="3"/>
      <c r="O284" s="3"/>
      <c r="P284" s="3"/>
      <c r="R284" s="1"/>
      <c r="S284" s="3"/>
    </row>
    <row r="285" spans="2:19" x14ac:dyDescent="0.25">
      <c r="B285" s="1"/>
      <c r="C285" s="3"/>
      <c r="D285" s="3"/>
      <c r="G285" s="1"/>
      <c r="H285" s="3"/>
      <c r="I285" s="3"/>
      <c r="M285" s="1"/>
      <c r="N285" s="3"/>
      <c r="O285" s="3"/>
      <c r="P285" s="3"/>
      <c r="R285" s="1"/>
      <c r="S285" s="3"/>
    </row>
    <row r="286" spans="2:19" x14ac:dyDescent="0.25">
      <c r="B286" s="1"/>
      <c r="C286" s="3"/>
      <c r="D286" s="3"/>
      <c r="G286" s="1"/>
      <c r="H286" s="3"/>
      <c r="I286" s="3"/>
      <c r="M286" s="1"/>
      <c r="N286" s="3"/>
      <c r="O286" s="3"/>
      <c r="P286" s="3"/>
      <c r="R286" s="1"/>
      <c r="S286" s="3"/>
    </row>
    <row r="287" spans="2:19" x14ac:dyDescent="0.25">
      <c r="B287" s="1"/>
      <c r="C287" s="3"/>
      <c r="D287" s="3"/>
      <c r="G287" s="1"/>
      <c r="H287" s="3"/>
      <c r="I287" s="3"/>
      <c r="M287" s="1"/>
      <c r="N287" s="3"/>
      <c r="O287" s="3"/>
      <c r="P287" s="3"/>
      <c r="R287" s="1"/>
      <c r="S287" s="3"/>
    </row>
    <row r="288" spans="2:19" x14ac:dyDescent="0.25">
      <c r="B288" s="1"/>
      <c r="C288" s="3"/>
      <c r="D288" s="3"/>
      <c r="G288" s="1"/>
      <c r="H288" s="3"/>
      <c r="I288" s="3"/>
      <c r="M288" s="1"/>
      <c r="N288" s="3"/>
      <c r="O288" s="3"/>
      <c r="P288" s="3"/>
      <c r="R288" s="1"/>
      <c r="S288" s="3"/>
    </row>
    <row r="289" spans="2:19" x14ac:dyDescent="0.25">
      <c r="B289" s="1"/>
      <c r="C289" s="3"/>
      <c r="D289" s="3"/>
      <c r="G289" s="1"/>
      <c r="H289" s="3"/>
      <c r="I289" s="3"/>
      <c r="M289" s="1"/>
      <c r="N289" s="3"/>
      <c r="O289" s="3"/>
      <c r="P289" s="3"/>
      <c r="R289" s="1"/>
      <c r="S289" s="3"/>
    </row>
    <row r="290" spans="2:19" x14ac:dyDescent="0.25">
      <c r="B290" s="1"/>
      <c r="C290" s="3"/>
      <c r="D290" s="3"/>
      <c r="G290" s="1"/>
      <c r="H290" s="3"/>
      <c r="I290" s="3"/>
      <c r="M290" s="1"/>
      <c r="N290" s="3"/>
      <c r="O290" s="3"/>
      <c r="P290" s="3"/>
      <c r="R290" s="1"/>
      <c r="S290" s="3"/>
    </row>
    <row r="291" spans="2:19" x14ac:dyDescent="0.25">
      <c r="B291" s="1"/>
      <c r="C291" s="3"/>
      <c r="D291" s="3"/>
      <c r="G291" s="1"/>
      <c r="H291" s="3"/>
      <c r="I291" s="3"/>
      <c r="M291" s="1"/>
      <c r="N291" s="3"/>
      <c r="O291" s="3"/>
      <c r="P291" s="3"/>
      <c r="R291" s="1"/>
      <c r="S291" s="3"/>
    </row>
    <row r="292" spans="2:19" x14ac:dyDescent="0.25">
      <c r="B292" s="1"/>
      <c r="C292" s="3"/>
      <c r="D292" s="3"/>
      <c r="G292" s="1"/>
      <c r="H292" s="3"/>
      <c r="I292" s="3"/>
      <c r="M292" s="1"/>
      <c r="N292" s="3"/>
      <c r="O292" s="3"/>
      <c r="P292" s="3"/>
      <c r="R292" s="1"/>
      <c r="S292" s="3"/>
    </row>
    <row r="293" spans="2:19" x14ac:dyDescent="0.25">
      <c r="B293" s="1"/>
      <c r="C293" s="3"/>
      <c r="D293" s="3"/>
      <c r="G293" s="1"/>
      <c r="H293" s="3"/>
      <c r="I293" s="3"/>
      <c r="M293" s="1"/>
      <c r="N293" s="3"/>
      <c r="O293" s="3"/>
      <c r="P293" s="3"/>
      <c r="R293" s="1"/>
      <c r="S293" s="3"/>
    </row>
    <row r="294" spans="2:19" x14ac:dyDescent="0.25">
      <c r="B294" s="1"/>
      <c r="C294" s="3"/>
      <c r="D294" s="3"/>
      <c r="G294" s="1"/>
      <c r="H294" s="3"/>
      <c r="I294" s="3"/>
      <c r="M294" s="1"/>
      <c r="N294" s="3"/>
      <c r="O294" s="3"/>
      <c r="P294" s="3"/>
      <c r="R294" s="1"/>
      <c r="S294" s="3"/>
    </row>
    <row r="295" spans="2:19" x14ac:dyDescent="0.25">
      <c r="B295" s="1"/>
      <c r="C295" s="3"/>
      <c r="D295" s="3"/>
      <c r="G295" s="1"/>
      <c r="H295" s="3"/>
      <c r="I295" s="3"/>
      <c r="M295" s="1"/>
      <c r="N295" s="3"/>
      <c r="O295" s="3"/>
      <c r="P295" s="3"/>
      <c r="R295" s="1"/>
      <c r="S295" s="3"/>
    </row>
    <row r="296" spans="2:19" x14ac:dyDescent="0.25">
      <c r="B296" s="1"/>
      <c r="C296" s="3"/>
      <c r="D296" s="3"/>
      <c r="G296" s="1"/>
      <c r="H296" s="3"/>
      <c r="I296" s="3"/>
      <c r="M296" s="1"/>
      <c r="N296" s="3"/>
      <c r="O296" s="3"/>
      <c r="P296" s="3"/>
      <c r="R296" s="1"/>
      <c r="S296" s="3"/>
    </row>
    <row r="297" spans="2:19" x14ac:dyDescent="0.25">
      <c r="B297" s="1"/>
      <c r="C297" s="3"/>
      <c r="D297" s="3"/>
      <c r="G297" s="1"/>
      <c r="H297" s="3"/>
      <c r="I297" s="3"/>
      <c r="M297" s="1"/>
      <c r="N297" s="3"/>
      <c r="O297" s="3"/>
      <c r="P297" s="3"/>
      <c r="R297" s="1"/>
      <c r="S297" s="3"/>
    </row>
    <row r="298" spans="2:19" x14ac:dyDescent="0.25">
      <c r="B298" s="1"/>
      <c r="C298" s="3"/>
      <c r="D298" s="3"/>
      <c r="G298" s="1"/>
      <c r="H298" s="3"/>
      <c r="I298" s="3"/>
      <c r="M298" s="1"/>
      <c r="N298" s="3"/>
      <c r="O298" s="3"/>
      <c r="P298" s="3"/>
      <c r="R298" s="1"/>
      <c r="S298" s="3"/>
    </row>
    <row r="299" spans="2:19" x14ac:dyDescent="0.25">
      <c r="B299" s="1"/>
      <c r="C299" s="3"/>
      <c r="D299" s="3"/>
      <c r="G299" s="1"/>
      <c r="H299" s="3"/>
      <c r="I299" s="3"/>
      <c r="M299" s="1"/>
      <c r="N299" s="3"/>
      <c r="O299" s="3"/>
      <c r="P299" s="3"/>
      <c r="R299" s="1"/>
      <c r="S299" s="3"/>
    </row>
    <row r="300" spans="2:19" x14ac:dyDescent="0.25">
      <c r="B300" s="1"/>
      <c r="C300" s="3"/>
      <c r="D300" s="3"/>
      <c r="G300" s="1"/>
      <c r="H300" s="3"/>
      <c r="I300" s="3"/>
      <c r="M300" s="1"/>
      <c r="N300" s="3"/>
      <c r="O300" s="3"/>
      <c r="P300" s="3"/>
      <c r="R300" s="1"/>
      <c r="S300" s="3"/>
    </row>
    <row r="301" spans="2:19" x14ac:dyDescent="0.25">
      <c r="B301" s="1"/>
      <c r="C301" s="3"/>
      <c r="D301" s="3"/>
      <c r="G301" s="1"/>
      <c r="H301" s="3"/>
      <c r="I301" s="3"/>
      <c r="M301" s="1"/>
      <c r="N301" s="3"/>
      <c r="O301" s="3"/>
      <c r="P301" s="3"/>
      <c r="R301" s="1"/>
      <c r="S301" s="3"/>
    </row>
    <row r="302" spans="2:19" x14ac:dyDescent="0.25">
      <c r="B302" s="1"/>
      <c r="C302" s="3"/>
      <c r="D302" s="3"/>
      <c r="G302" s="1"/>
      <c r="H302" s="3"/>
      <c r="I302" s="3"/>
      <c r="M302" s="1"/>
      <c r="N302" s="3"/>
      <c r="O302" s="3"/>
      <c r="P302" s="3"/>
      <c r="R302" s="1"/>
      <c r="S302" s="3"/>
    </row>
    <row r="303" spans="2:19" x14ac:dyDescent="0.25">
      <c r="B303" s="1"/>
      <c r="C303" s="3"/>
      <c r="D303" s="3"/>
      <c r="G303" s="1"/>
      <c r="H303" s="3"/>
      <c r="I303" s="3"/>
      <c r="M303" s="1"/>
      <c r="N303" s="3"/>
      <c r="O303" s="3"/>
      <c r="P303" s="3"/>
      <c r="R303" s="1"/>
      <c r="S303" s="3"/>
    </row>
    <row r="304" spans="2:19" x14ac:dyDescent="0.25">
      <c r="B304" s="1"/>
      <c r="C304" s="3"/>
      <c r="D304" s="3"/>
      <c r="G304" s="1"/>
      <c r="H304" s="3"/>
      <c r="I304" s="3"/>
      <c r="M304" s="1"/>
      <c r="N304" s="3"/>
      <c r="O304" s="3"/>
      <c r="P304" s="3"/>
      <c r="R304" s="1"/>
      <c r="S304" s="3"/>
    </row>
    <row r="305" spans="2:19" x14ac:dyDescent="0.25">
      <c r="B305" s="1"/>
      <c r="C305" s="3"/>
      <c r="D305" s="3"/>
      <c r="G305" s="1"/>
      <c r="H305" s="3"/>
      <c r="I305" s="3"/>
      <c r="M305" s="1"/>
      <c r="N305" s="3"/>
      <c r="O305" s="3"/>
      <c r="P305" s="3"/>
      <c r="R305" s="1"/>
      <c r="S305" s="3"/>
    </row>
    <row r="306" spans="2:19" x14ac:dyDescent="0.25">
      <c r="B306" s="1"/>
      <c r="C306" s="3"/>
      <c r="D306" s="3"/>
      <c r="G306" s="1"/>
      <c r="H306" s="3"/>
      <c r="I306" s="3"/>
      <c r="M306" s="1"/>
      <c r="N306" s="3"/>
      <c r="O306" s="3"/>
      <c r="P306" s="3"/>
      <c r="R306" s="1"/>
      <c r="S306" s="3"/>
    </row>
    <row r="307" spans="2:19" x14ac:dyDescent="0.25">
      <c r="B307" s="1"/>
      <c r="C307" s="3"/>
      <c r="D307" s="3"/>
      <c r="G307" s="1"/>
      <c r="H307" s="3"/>
      <c r="I307" s="3"/>
      <c r="M307" s="1"/>
      <c r="N307" s="3"/>
      <c r="O307" s="3"/>
      <c r="P307" s="3"/>
      <c r="R307" s="1"/>
      <c r="S307" s="3"/>
    </row>
    <row r="308" spans="2:19" x14ac:dyDescent="0.25">
      <c r="B308" s="1"/>
      <c r="C308" s="3"/>
      <c r="D308" s="3"/>
      <c r="G308" s="1"/>
      <c r="H308" s="3"/>
      <c r="I308" s="3"/>
      <c r="M308" s="1"/>
      <c r="N308" s="3"/>
      <c r="O308" s="3"/>
      <c r="P308" s="3"/>
      <c r="R308" s="1"/>
      <c r="S308" s="3"/>
    </row>
    <row r="309" spans="2:19" x14ac:dyDescent="0.25">
      <c r="B309" s="1"/>
      <c r="C309" s="3"/>
      <c r="D309" s="3"/>
      <c r="G309" s="1"/>
      <c r="H309" s="3"/>
      <c r="I309" s="3"/>
      <c r="M309" s="1"/>
      <c r="N309" s="3"/>
      <c r="O309" s="3"/>
      <c r="P309" s="3"/>
      <c r="R309" s="1"/>
      <c r="S309" s="3"/>
    </row>
    <row r="310" spans="2:19" x14ac:dyDescent="0.25">
      <c r="B310" s="1"/>
      <c r="C310" s="3"/>
      <c r="D310" s="3"/>
      <c r="G310" s="1"/>
      <c r="H310" s="3"/>
      <c r="I310" s="3"/>
      <c r="M310" s="1"/>
      <c r="N310" s="3"/>
      <c r="O310" s="3"/>
      <c r="P310" s="3"/>
      <c r="R310" s="1"/>
      <c r="S310" s="3"/>
    </row>
    <row r="311" spans="2:19" x14ac:dyDescent="0.25">
      <c r="B311" s="1"/>
      <c r="C311" s="3"/>
      <c r="D311" s="3"/>
      <c r="G311" s="1"/>
      <c r="H311" s="3"/>
      <c r="I311" s="3"/>
      <c r="M311" s="1"/>
      <c r="N311" s="3"/>
      <c r="O311" s="3"/>
      <c r="P311" s="3"/>
      <c r="R311" s="1"/>
      <c r="S311" s="3"/>
    </row>
    <row r="312" spans="2:19" x14ac:dyDescent="0.25">
      <c r="B312" s="1"/>
      <c r="C312" s="3"/>
      <c r="D312" s="3"/>
      <c r="G312" s="1"/>
      <c r="H312" s="3"/>
      <c r="I312" s="3"/>
      <c r="M312" s="1"/>
      <c r="N312" s="3"/>
      <c r="O312" s="3"/>
      <c r="P312" s="3"/>
      <c r="R312" s="1"/>
      <c r="S312" s="3"/>
    </row>
    <row r="313" spans="2:19" x14ac:dyDescent="0.25">
      <c r="B313" s="1"/>
      <c r="C313" s="3"/>
      <c r="D313" s="3"/>
      <c r="G313" s="1"/>
      <c r="H313" s="3"/>
      <c r="I313" s="3"/>
      <c r="M313" s="1"/>
      <c r="N313" s="3"/>
      <c r="O313" s="3"/>
      <c r="P313" s="3"/>
      <c r="R313" s="1"/>
      <c r="S313" s="3"/>
    </row>
    <row r="314" spans="2:19" x14ac:dyDescent="0.25">
      <c r="B314" s="1"/>
      <c r="C314" s="3"/>
      <c r="D314" s="3"/>
      <c r="G314" s="1"/>
      <c r="H314" s="3"/>
      <c r="I314" s="3"/>
      <c r="M314" s="1"/>
      <c r="N314" s="3"/>
      <c r="O314" s="3"/>
      <c r="P314" s="3"/>
      <c r="R314" s="1"/>
      <c r="S314" s="3"/>
    </row>
    <row r="315" spans="2:19" x14ac:dyDescent="0.25">
      <c r="B315" s="1"/>
      <c r="C315" s="3"/>
      <c r="D315" s="3"/>
      <c r="G315" s="1"/>
      <c r="H315" s="3"/>
      <c r="I315" s="3"/>
      <c r="M315" s="1"/>
      <c r="N315" s="3"/>
      <c r="O315" s="3"/>
      <c r="P315" s="3"/>
      <c r="R315" s="1"/>
      <c r="S315" s="3"/>
    </row>
    <row r="316" spans="2:19" x14ac:dyDescent="0.25">
      <c r="B316" s="1"/>
      <c r="C316" s="3"/>
      <c r="D316" s="3"/>
      <c r="G316" s="1"/>
      <c r="H316" s="3"/>
      <c r="I316" s="3"/>
      <c r="M316" s="1"/>
      <c r="N316" s="3"/>
      <c r="O316" s="3"/>
      <c r="P316" s="3"/>
      <c r="R316" s="1"/>
      <c r="S316" s="3"/>
    </row>
    <row r="317" spans="2:19" x14ac:dyDescent="0.25">
      <c r="B317" s="1"/>
      <c r="C317" s="3"/>
      <c r="D317" s="3"/>
      <c r="G317" s="1"/>
      <c r="H317" s="3"/>
      <c r="I317" s="3"/>
      <c r="M317" s="1"/>
      <c r="N317" s="3"/>
      <c r="O317" s="3"/>
      <c r="P317" s="3"/>
      <c r="R317" s="1"/>
      <c r="S317" s="3"/>
    </row>
    <row r="318" spans="2:19" x14ac:dyDescent="0.25">
      <c r="B318" s="1"/>
      <c r="C318" s="3"/>
      <c r="D318" s="3"/>
      <c r="G318" s="1"/>
      <c r="H318" s="3"/>
      <c r="I318" s="3"/>
      <c r="M318" s="1"/>
      <c r="N318" s="3"/>
      <c r="O318" s="3"/>
      <c r="P318" s="3"/>
      <c r="R318" s="1"/>
      <c r="S318" s="3"/>
    </row>
    <row r="319" spans="2:19" x14ac:dyDescent="0.25">
      <c r="B319" s="1"/>
      <c r="C319" s="3"/>
      <c r="D319" s="3"/>
      <c r="G319" s="1"/>
      <c r="H319" s="3"/>
      <c r="I319" s="3"/>
      <c r="M319" s="1"/>
      <c r="N319" s="3"/>
      <c r="O319" s="3"/>
      <c r="P319" s="3"/>
      <c r="R319" s="1"/>
      <c r="S319" s="3"/>
    </row>
    <row r="320" spans="2:19" x14ac:dyDescent="0.25">
      <c r="B320" s="1"/>
      <c r="C320" s="3"/>
      <c r="D320" s="3"/>
      <c r="G320" s="1"/>
      <c r="H320" s="3"/>
      <c r="I320" s="3"/>
      <c r="M320" s="1"/>
      <c r="N320" s="3"/>
      <c r="O320" s="3"/>
      <c r="P320" s="3"/>
      <c r="R320" s="1"/>
      <c r="S320" s="3"/>
    </row>
    <row r="321" spans="2:19" x14ac:dyDescent="0.25">
      <c r="B321" s="1"/>
      <c r="C321" s="3"/>
      <c r="D321" s="3"/>
      <c r="G321" s="1"/>
      <c r="H321" s="3"/>
      <c r="I321" s="3"/>
      <c r="M321" s="1"/>
      <c r="N321" s="3"/>
      <c r="O321" s="3"/>
      <c r="P321" s="3"/>
      <c r="R321" s="1"/>
      <c r="S321" s="3"/>
    </row>
    <row r="322" spans="2:19" x14ac:dyDescent="0.25">
      <c r="B322" s="1"/>
      <c r="C322" s="3"/>
      <c r="D322" s="3"/>
      <c r="G322" s="1"/>
      <c r="H322" s="3"/>
      <c r="I322" s="3"/>
      <c r="M322" s="1"/>
      <c r="N322" s="3"/>
      <c r="O322" s="3"/>
      <c r="P322" s="3"/>
      <c r="R322" s="1"/>
      <c r="S322" s="3"/>
    </row>
    <row r="323" spans="2:19" x14ac:dyDescent="0.25">
      <c r="B323" s="1"/>
      <c r="C323" s="3"/>
      <c r="D323" s="3"/>
      <c r="G323" s="1"/>
      <c r="H323" s="3"/>
      <c r="I323" s="3"/>
      <c r="M323" s="1"/>
      <c r="N323" s="3"/>
      <c r="O323" s="3"/>
      <c r="P323" s="3"/>
      <c r="R323" s="1"/>
      <c r="S323" s="3"/>
    </row>
    <row r="324" spans="2:19" x14ac:dyDescent="0.25">
      <c r="B324" s="1"/>
      <c r="C324" s="3"/>
      <c r="D324" s="3"/>
      <c r="G324" s="1"/>
      <c r="H324" s="3"/>
      <c r="I324" s="3"/>
      <c r="M324" s="1"/>
      <c r="N324" s="3"/>
      <c r="O324" s="3"/>
      <c r="P324" s="3"/>
      <c r="R324" s="1"/>
      <c r="S324" s="3"/>
    </row>
    <row r="325" spans="2:19" x14ac:dyDescent="0.25">
      <c r="B325" s="1"/>
      <c r="C325" s="3"/>
      <c r="D325" s="3"/>
      <c r="G325" s="1"/>
      <c r="H325" s="3"/>
      <c r="I325" s="3"/>
      <c r="M325" s="1"/>
      <c r="N325" s="3"/>
      <c r="O325" s="3"/>
      <c r="P325" s="3"/>
      <c r="R325" s="1"/>
      <c r="S325" s="3"/>
    </row>
    <row r="326" spans="2:19" x14ac:dyDescent="0.25">
      <c r="B326" s="1"/>
      <c r="C326" s="3"/>
      <c r="D326" s="3"/>
      <c r="G326" s="1"/>
      <c r="H326" s="3"/>
      <c r="I326" s="3"/>
      <c r="M326" s="1"/>
      <c r="N326" s="3"/>
      <c r="O326" s="3"/>
      <c r="P326" s="3"/>
      <c r="R326" s="1"/>
      <c r="S326" s="3"/>
    </row>
    <row r="327" spans="2:19" x14ac:dyDescent="0.25">
      <c r="B327" s="1"/>
      <c r="C327" s="3"/>
      <c r="D327" s="3"/>
      <c r="G327" s="1"/>
      <c r="H327" s="3"/>
      <c r="I327" s="3"/>
      <c r="M327" s="1"/>
      <c r="N327" s="3"/>
      <c r="O327" s="3"/>
      <c r="P327" s="3"/>
      <c r="R327" s="1"/>
      <c r="S327" s="3"/>
    </row>
    <row r="328" spans="2:19" x14ac:dyDescent="0.25">
      <c r="B328" s="1"/>
      <c r="C328" s="3"/>
      <c r="D328" s="3"/>
      <c r="G328" s="1"/>
      <c r="H328" s="3"/>
      <c r="I328" s="3"/>
      <c r="M328" s="1"/>
      <c r="N328" s="3"/>
      <c r="O328" s="3"/>
      <c r="P328" s="3"/>
      <c r="R328" s="1"/>
      <c r="S328" s="3"/>
    </row>
    <row r="329" spans="2:19" x14ac:dyDescent="0.25">
      <c r="B329" s="1"/>
      <c r="C329" s="3"/>
      <c r="D329" s="3"/>
      <c r="G329" s="1"/>
      <c r="H329" s="3"/>
      <c r="I329" s="3"/>
      <c r="M329" s="1"/>
      <c r="N329" s="3"/>
      <c r="O329" s="3"/>
      <c r="P329" s="3"/>
      <c r="R329" s="1"/>
      <c r="S329" s="3"/>
    </row>
    <row r="330" spans="2:19" x14ac:dyDescent="0.25">
      <c r="B330" s="1"/>
      <c r="C330" s="3"/>
      <c r="D330" s="3"/>
      <c r="G330" s="1"/>
      <c r="H330" s="3"/>
      <c r="I330" s="3"/>
      <c r="M330" s="1"/>
      <c r="N330" s="3"/>
      <c r="O330" s="3"/>
      <c r="P330" s="3"/>
      <c r="R330" s="1"/>
      <c r="S330" s="3"/>
    </row>
    <row r="331" spans="2:19" x14ac:dyDescent="0.25">
      <c r="B331" s="1"/>
      <c r="C331" s="3"/>
      <c r="D331" s="3"/>
      <c r="G331" s="1"/>
      <c r="H331" s="3"/>
      <c r="I331" s="3"/>
      <c r="M331" s="1"/>
      <c r="N331" s="3"/>
      <c r="O331" s="3"/>
      <c r="P331" s="3"/>
      <c r="R331" s="1"/>
      <c r="S331" s="3"/>
    </row>
    <row r="332" spans="2:19" x14ac:dyDescent="0.25">
      <c r="B332" s="1"/>
      <c r="C332" s="3"/>
      <c r="D332" s="3"/>
      <c r="G332" s="1"/>
      <c r="H332" s="3"/>
      <c r="I332" s="3"/>
      <c r="M332" s="1"/>
      <c r="N332" s="3"/>
      <c r="O332" s="3"/>
      <c r="P332" s="3"/>
      <c r="R332" s="1"/>
      <c r="S332" s="3"/>
    </row>
    <row r="333" spans="2:19" x14ac:dyDescent="0.25">
      <c r="B333" s="1"/>
      <c r="C333" s="3"/>
      <c r="D333" s="3"/>
      <c r="G333" s="1"/>
      <c r="H333" s="3"/>
      <c r="I333" s="3"/>
      <c r="M333" s="1"/>
      <c r="N333" s="3"/>
      <c r="O333" s="3"/>
      <c r="P333" s="3"/>
      <c r="R333" s="1"/>
      <c r="S333" s="3"/>
    </row>
    <row r="334" spans="2:19" x14ac:dyDescent="0.25">
      <c r="B334" s="1"/>
      <c r="C334" s="3"/>
      <c r="D334" s="3"/>
      <c r="G334" s="1"/>
      <c r="H334" s="3"/>
      <c r="I334" s="3"/>
      <c r="M334" s="1"/>
      <c r="N334" s="3"/>
      <c r="O334" s="3"/>
      <c r="P334" s="3"/>
      <c r="R334" s="1"/>
      <c r="S334" s="3"/>
    </row>
    <row r="335" spans="2:19" x14ac:dyDescent="0.25">
      <c r="B335" s="1"/>
      <c r="C335" s="3"/>
      <c r="D335" s="3"/>
      <c r="G335" s="1"/>
      <c r="H335" s="3"/>
      <c r="I335" s="3"/>
      <c r="M335" s="1"/>
      <c r="N335" s="3"/>
      <c r="O335" s="3"/>
      <c r="P335" s="3"/>
      <c r="R335" s="1"/>
      <c r="S335" s="3"/>
    </row>
    <row r="336" spans="2:19" x14ac:dyDescent="0.25">
      <c r="B336" s="1"/>
      <c r="C336" s="3"/>
      <c r="D336" s="3"/>
      <c r="G336" s="1"/>
      <c r="H336" s="3"/>
      <c r="I336" s="3"/>
      <c r="M336" s="1"/>
      <c r="N336" s="3"/>
      <c r="O336" s="3"/>
      <c r="P336" s="3"/>
      <c r="R336" s="1"/>
      <c r="S336" s="3"/>
    </row>
    <row r="337" spans="2:19" x14ac:dyDescent="0.25">
      <c r="B337" s="1"/>
      <c r="C337" s="3"/>
      <c r="D337" s="3"/>
      <c r="G337" s="1"/>
      <c r="H337" s="3"/>
      <c r="I337" s="3"/>
      <c r="M337" s="1"/>
      <c r="N337" s="3"/>
      <c r="O337" s="3"/>
      <c r="P337" s="3"/>
      <c r="R337" s="1"/>
      <c r="S337" s="3"/>
    </row>
    <row r="338" spans="2:19" x14ac:dyDescent="0.25">
      <c r="B338" s="1"/>
      <c r="C338" s="3"/>
      <c r="D338" s="3"/>
      <c r="G338" s="1"/>
      <c r="H338" s="3"/>
      <c r="I338" s="3"/>
      <c r="M338" s="1"/>
      <c r="N338" s="3"/>
      <c r="O338" s="3"/>
      <c r="P338" s="3"/>
      <c r="R338" s="1"/>
      <c r="S338" s="3"/>
    </row>
    <row r="339" spans="2:19" x14ac:dyDescent="0.25">
      <c r="B339" s="1"/>
      <c r="C339" s="3"/>
      <c r="D339" s="3"/>
      <c r="G339" s="1"/>
      <c r="H339" s="3"/>
      <c r="I339" s="3"/>
      <c r="M339" s="1"/>
      <c r="N339" s="3"/>
      <c r="O339" s="3"/>
      <c r="P339" s="3"/>
      <c r="R339" s="1"/>
      <c r="S339" s="3"/>
    </row>
    <row r="340" spans="2:19" x14ac:dyDescent="0.25">
      <c r="B340" s="1"/>
      <c r="C340" s="3"/>
      <c r="D340" s="3"/>
      <c r="G340" s="1"/>
      <c r="H340" s="3"/>
      <c r="I340" s="3"/>
      <c r="M340" s="1"/>
      <c r="N340" s="3"/>
      <c r="O340" s="3"/>
      <c r="P340" s="3"/>
      <c r="R340" s="1"/>
      <c r="S340" s="3"/>
    </row>
    <row r="341" spans="2:19" x14ac:dyDescent="0.25">
      <c r="B341" s="1"/>
      <c r="C341" s="3"/>
      <c r="D341" s="3"/>
      <c r="G341" s="1"/>
      <c r="H341" s="3"/>
      <c r="I341" s="3"/>
      <c r="M341" s="1"/>
      <c r="N341" s="3"/>
      <c r="O341" s="3"/>
      <c r="P341" s="3"/>
      <c r="R341" s="1"/>
      <c r="S341" s="3"/>
    </row>
    <row r="342" spans="2:19" x14ac:dyDescent="0.25">
      <c r="B342" s="1"/>
      <c r="C342" s="3"/>
      <c r="D342" s="3"/>
      <c r="G342" s="1"/>
      <c r="H342" s="3"/>
      <c r="I342" s="3"/>
      <c r="M342" s="1"/>
      <c r="N342" s="3"/>
      <c r="O342" s="3"/>
      <c r="P342" s="3"/>
      <c r="R342" s="1"/>
      <c r="S342" s="3"/>
    </row>
    <row r="343" spans="2:19" x14ac:dyDescent="0.25">
      <c r="B343" s="1"/>
      <c r="C343" s="3"/>
      <c r="D343" s="3"/>
      <c r="G343" s="1"/>
      <c r="H343" s="3"/>
      <c r="I343" s="3"/>
      <c r="M343" s="1"/>
      <c r="N343" s="3"/>
      <c r="O343" s="3"/>
      <c r="P343" s="3"/>
      <c r="R343" s="1"/>
      <c r="S343" s="3"/>
    </row>
    <row r="344" spans="2:19" x14ac:dyDescent="0.25">
      <c r="B344" s="1"/>
      <c r="C344" s="3"/>
      <c r="D344" s="3"/>
      <c r="G344" s="1"/>
      <c r="H344" s="3"/>
      <c r="I344" s="3"/>
      <c r="M344" s="1"/>
      <c r="N344" s="3"/>
      <c r="O344" s="3"/>
      <c r="P344" s="3"/>
      <c r="R344" s="1"/>
      <c r="S344" s="3"/>
    </row>
    <row r="345" spans="2:19" x14ac:dyDescent="0.25">
      <c r="B345" s="1"/>
      <c r="C345" s="3"/>
      <c r="D345" s="3"/>
      <c r="G345" s="1"/>
      <c r="H345" s="3"/>
      <c r="I345" s="3"/>
      <c r="M345" s="1"/>
      <c r="N345" s="3"/>
      <c r="O345" s="3"/>
      <c r="P345" s="3"/>
      <c r="R345" s="1"/>
      <c r="S345" s="3"/>
    </row>
    <row r="346" spans="2:19" x14ac:dyDescent="0.25">
      <c r="B346" s="1"/>
      <c r="C346" s="3"/>
      <c r="D346" s="3"/>
      <c r="G346" s="1"/>
      <c r="H346" s="3"/>
      <c r="I346" s="3"/>
      <c r="M346" s="1"/>
      <c r="N346" s="3"/>
      <c r="O346" s="3"/>
      <c r="P346" s="3"/>
      <c r="R346" s="1"/>
      <c r="S346" s="3"/>
    </row>
    <row r="347" spans="2:19" x14ac:dyDescent="0.25">
      <c r="B347" s="1"/>
      <c r="C347" s="3"/>
      <c r="D347" s="3"/>
      <c r="G347" s="1"/>
      <c r="H347" s="3"/>
      <c r="I347" s="3"/>
      <c r="M347" s="1"/>
      <c r="N347" s="3"/>
      <c r="O347" s="3"/>
      <c r="P347" s="3"/>
      <c r="R347" s="1"/>
      <c r="S347" s="3"/>
    </row>
    <row r="348" spans="2:19" x14ac:dyDescent="0.25">
      <c r="B348" s="1"/>
      <c r="C348" s="3"/>
      <c r="D348" s="3"/>
      <c r="G348" s="1"/>
      <c r="H348" s="3"/>
      <c r="I348" s="3"/>
      <c r="M348" s="1"/>
      <c r="N348" s="3"/>
      <c r="O348" s="3"/>
      <c r="P348" s="3"/>
      <c r="R348" s="1"/>
      <c r="S348" s="3"/>
    </row>
    <row r="349" spans="2:19" x14ac:dyDescent="0.25">
      <c r="B349" s="1"/>
      <c r="C349" s="3"/>
      <c r="D349" s="3"/>
      <c r="G349" s="1"/>
      <c r="H349" s="3"/>
      <c r="I349" s="3"/>
      <c r="M349" s="1"/>
      <c r="N349" s="3"/>
      <c r="O349" s="3"/>
      <c r="P349" s="3"/>
      <c r="R349" s="1"/>
      <c r="S349" s="3"/>
    </row>
    <row r="350" spans="2:19" x14ac:dyDescent="0.25">
      <c r="B350" s="1"/>
      <c r="C350" s="3"/>
      <c r="D350" s="3"/>
      <c r="G350" s="1"/>
      <c r="H350" s="3"/>
      <c r="I350" s="3"/>
      <c r="M350" s="1"/>
      <c r="N350" s="3"/>
      <c r="O350" s="3"/>
      <c r="P350" s="3"/>
      <c r="R350" s="1"/>
      <c r="S350" s="3"/>
    </row>
    <row r="351" spans="2:19" x14ac:dyDescent="0.25">
      <c r="B351" s="1"/>
      <c r="C351" s="3"/>
      <c r="D351" s="3"/>
      <c r="G351" s="1"/>
      <c r="H351" s="3"/>
      <c r="I351" s="3"/>
      <c r="M351" s="1"/>
      <c r="N351" s="3"/>
      <c r="O351" s="3"/>
      <c r="P351" s="3"/>
      <c r="R351" s="1"/>
      <c r="S351" s="3"/>
    </row>
    <row r="352" spans="2:19" x14ac:dyDescent="0.25">
      <c r="B352" s="1"/>
      <c r="C352" s="3"/>
      <c r="D352" s="3"/>
      <c r="G352" s="1"/>
      <c r="H352" s="3"/>
      <c r="I352" s="3"/>
      <c r="M352" s="1"/>
      <c r="N352" s="3"/>
      <c r="O352" s="3"/>
      <c r="P352" s="3"/>
      <c r="R352" s="1"/>
      <c r="S352" s="3"/>
    </row>
    <row r="353" spans="2:19" x14ac:dyDescent="0.25">
      <c r="B353" s="1"/>
      <c r="C353" s="3"/>
      <c r="D353" s="3"/>
      <c r="G353" s="1"/>
      <c r="H353" s="3"/>
      <c r="I353" s="3"/>
      <c r="M353" s="1"/>
      <c r="N353" s="3"/>
      <c r="O353" s="3"/>
      <c r="P353" s="3"/>
      <c r="R353" s="1"/>
      <c r="S353" s="3"/>
    </row>
    <row r="354" spans="2:19" x14ac:dyDescent="0.25">
      <c r="B354" s="1"/>
      <c r="C354" s="3"/>
      <c r="D354" s="3"/>
      <c r="G354" s="1"/>
      <c r="H354" s="3"/>
      <c r="I354" s="3"/>
      <c r="M354" s="1"/>
      <c r="N354" s="3"/>
      <c r="O354" s="3"/>
      <c r="P354" s="3"/>
      <c r="R354" s="1"/>
      <c r="S354" s="3"/>
    </row>
    <row r="355" spans="2:19" x14ac:dyDescent="0.25">
      <c r="B355" s="1"/>
      <c r="C355" s="3"/>
      <c r="D355" s="3"/>
      <c r="G355" s="1"/>
      <c r="H355" s="3"/>
      <c r="I355" s="3"/>
      <c r="M355" s="1"/>
      <c r="N355" s="3"/>
      <c r="O355" s="3"/>
      <c r="P355" s="3"/>
      <c r="R355" s="1"/>
      <c r="S355" s="3"/>
    </row>
    <row r="356" spans="2:19" x14ac:dyDescent="0.25">
      <c r="B356" s="1"/>
      <c r="C356" s="3"/>
      <c r="D356" s="3"/>
      <c r="G356" s="1"/>
      <c r="H356" s="3"/>
      <c r="I356" s="3"/>
      <c r="M356" s="1"/>
      <c r="N356" s="3"/>
      <c r="O356" s="3"/>
      <c r="P356" s="3"/>
      <c r="R356" s="1"/>
      <c r="S356" s="3"/>
    </row>
    <row r="357" spans="2:19" x14ac:dyDescent="0.25">
      <c r="B357" s="1"/>
      <c r="C357" s="3"/>
      <c r="D357" s="3"/>
      <c r="G357" s="1"/>
      <c r="H357" s="3"/>
      <c r="I357" s="3"/>
      <c r="M357" s="1"/>
      <c r="N357" s="3"/>
      <c r="O357" s="3"/>
      <c r="P357" s="3"/>
      <c r="R357" s="1"/>
      <c r="S357" s="3"/>
    </row>
    <row r="358" spans="2:19" x14ac:dyDescent="0.25">
      <c r="B358" s="1"/>
      <c r="C358" s="3"/>
      <c r="D358" s="3"/>
      <c r="G358" s="1"/>
      <c r="H358" s="3"/>
      <c r="I358" s="3"/>
      <c r="M358" s="1"/>
      <c r="N358" s="3"/>
      <c r="O358" s="3"/>
      <c r="P358" s="3"/>
      <c r="R358" s="1"/>
      <c r="S358" s="3"/>
    </row>
    <row r="359" spans="2:19" x14ac:dyDescent="0.25">
      <c r="B359" s="1"/>
      <c r="C359" s="3"/>
      <c r="D359" s="3"/>
      <c r="G359" s="1"/>
      <c r="H359" s="3"/>
      <c r="I359" s="3"/>
      <c r="M359" s="1"/>
      <c r="N359" s="3"/>
      <c r="O359" s="3"/>
      <c r="P359" s="3"/>
      <c r="R359" s="1"/>
      <c r="S359" s="3"/>
    </row>
    <row r="360" spans="2:19" x14ac:dyDescent="0.25">
      <c r="B360" s="1"/>
      <c r="C360" s="3"/>
      <c r="D360" s="3"/>
      <c r="G360" s="1"/>
      <c r="H360" s="3"/>
      <c r="I360" s="3"/>
      <c r="M360" s="1"/>
      <c r="N360" s="3"/>
      <c r="O360" s="3"/>
      <c r="P360" s="3"/>
      <c r="R360" s="1"/>
      <c r="S360" s="3"/>
    </row>
    <row r="361" spans="2:19" x14ac:dyDescent="0.25">
      <c r="B361" s="1"/>
      <c r="C361" s="3"/>
      <c r="D361" s="3"/>
      <c r="G361" s="1"/>
      <c r="H361" s="3"/>
      <c r="I361" s="3"/>
      <c r="M361" s="1"/>
      <c r="N361" s="3"/>
      <c r="O361" s="3"/>
      <c r="P361" s="3"/>
      <c r="R361" s="1"/>
      <c r="S361" s="3"/>
    </row>
    <row r="362" spans="2:19" x14ac:dyDescent="0.25">
      <c r="B362" s="1"/>
      <c r="C362" s="3"/>
      <c r="D362" s="3"/>
      <c r="G362" s="1"/>
      <c r="H362" s="3"/>
      <c r="I362" s="3"/>
      <c r="M362" s="1"/>
      <c r="N362" s="3"/>
      <c r="O362" s="3"/>
      <c r="P362" s="3"/>
      <c r="R362" s="1"/>
      <c r="S362" s="3"/>
    </row>
    <row r="363" spans="2:19" x14ac:dyDescent="0.25">
      <c r="B363" s="1"/>
      <c r="C363" s="3"/>
      <c r="D363" s="3"/>
      <c r="G363" s="1"/>
      <c r="H363" s="3"/>
      <c r="I363" s="3"/>
      <c r="M363" s="1"/>
      <c r="N363" s="3"/>
      <c r="O363" s="3"/>
      <c r="P363" s="3"/>
      <c r="R363" s="1"/>
      <c r="S363" s="3"/>
    </row>
    <row r="364" spans="2:19" x14ac:dyDescent="0.25">
      <c r="B364" s="1"/>
      <c r="C364" s="3"/>
      <c r="D364" s="3"/>
      <c r="G364" s="1"/>
      <c r="H364" s="3"/>
      <c r="I364" s="3"/>
      <c r="M364" s="1"/>
      <c r="N364" s="3"/>
      <c r="O364" s="3"/>
      <c r="P364" s="3"/>
      <c r="R364" s="1"/>
      <c r="S364" s="3"/>
    </row>
    <row r="365" spans="2:19" x14ac:dyDescent="0.25">
      <c r="B365" s="1"/>
      <c r="C365" s="3"/>
      <c r="D365" s="3"/>
      <c r="G365" s="1"/>
      <c r="H365" s="3"/>
      <c r="I365" s="3"/>
      <c r="M365" s="1"/>
      <c r="N365" s="3"/>
      <c r="O365" s="3"/>
      <c r="P365" s="3"/>
      <c r="R365" s="1"/>
      <c r="S365" s="3"/>
    </row>
    <row r="366" spans="2:19" x14ac:dyDescent="0.25">
      <c r="B366" s="1"/>
      <c r="C366" s="3"/>
      <c r="D366" s="3"/>
      <c r="G366" s="1"/>
      <c r="H366" s="3"/>
      <c r="I366" s="3"/>
      <c r="M366" s="1"/>
      <c r="N366" s="3"/>
      <c r="O366" s="3"/>
      <c r="P366" s="3"/>
      <c r="R366" s="1"/>
      <c r="S366" s="3"/>
    </row>
    <row r="367" spans="2:19" x14ac:dyDescent="0.25">
      <c r="B367" s="1"/>
      <c r="C367" s="3"/>
      <c r="D367" s="3"/>
      <c r="G367" s="1"/>
      <c r="H367" s="3"/>
      <c r="I367" s="3"/>
      <c r="M367" s="1"/>
      <c r="N367" s="3"/>
      <c r="O367" s="3"/>
      <c r="P367" s="3"/>
      <c r="R367" s="1"/>
      <c r="S367" s="3"/>
    </row>
    <row r="368" spans="2:19" x14ac:dyDescent="0.25">
      <c r="B368" s="1"/>
      <c r="C368" s="3"/>
      <c r="D368" s="3"/>
      <c r="G368" s="1"/>
      <c r="H368" s="3"/>
      <c r="I368" s="3"/>
      <c r="M368" s="1"/>
      <c r="N368" s="3"/>
      <c r="O368" s="3"/>
      <c r="P368" s="3"/>
      <c r="R368" s="1"/>
      <c r="S368" s="3"/>
    </row>
    <row r="369" spans="2:19" x14ac:dyDescent="0.25">
      <c r="B369" s="1"/>
      <c r="C369" s="3"/>
      <c r="D369" s="3"/>
      <c r="G369" s="1"/>
      <c r="H369" s="3"/>
      <c r="I369" s="3"/>
      <c r="M369" s="1"/>
      <c r="N369" s="3"/>
      <c r="O369" s="3"/>
      <c r="P369" s="3"/>
      <c r="R369" s="1"/>
      <c r="S369" s="3"/>
    </row>
    <row r="370" spans="2:19" x14ac:dyDescent="0.25">
      <c r="B370" s="1"/>
      <c r="C370" s="3"/>
      <c r="D370" s="3"/>
      <c r="G370" s="1"/>
      <c r="H370" s="3"/>
      <c r="I370" s="3"/>
      <c r="M370" s="1"/>
      <c r="N370" s="3"/>
      <c r="O370" s="3"/>
      <c r="P370" s="3"/>
      <c r="R370" s="1"/>
      <c r="S370" s="3"/>
    </row>
    <row r="371" spans="2:19" x14ac:dyDescent="0.25">
      <c r="B371" s="1"/>
      <c r="C371" s="3"/>
      <c r="D371" s="3"/>
      <c r="G371" s="1"/>
      <c r="H371" s="3"/>
      <c r="I371" s="3"/>
      <c r="M371" s="1"/>
      <c r="N371" s="3"/>
      <c r="O371" s="3"/>
      <c r="P371" s="3"/>
      <c r="R371" s="1"/>
      <c r="S371" s="3"/>
    </row>
    <row r="372" spans="2:19" x14ac:dyDescent="0.25">
      <c r="B372" s="1"/>
      <c r="C372" s="3"/>
      <c r="D372" s="3"/>
      <c r="G372" s="1"/>
      <c r="H372" s="3"/>
      <c r="I372" s="3"/>
      <c r="M372" s="1"/>
      <c r="N372" s="3"/>
      <c r="O372" s="3"/>
      <c r="P372" s="3"/>
      <c r="R372" s="1"/>
      <c r="S372" s="3"/>
    </row>
    <row r="373" spans="2:19" x14ac:dyDescent="0.25">
      <c r="B373" s="1"/>
      <c r="C373" s="3"/>
      <c r="D373" s="3"/>
      <c r="G373" s="1"/>
      <c r="H373" s="3"/>
      <c r="I373" s="3"/>
      <c r="M373" s="1"/>
      <c r="N373" s="3"/>
      <c r="O373" s="3"/>
      <c r="P373" s="3"/>
      <c r="R373" s="1"/>
      <c r="S373" s="3"/>
    </row>
    <row r="374" spans="2:19" x14ac:dyDescent="0.25">
      <c r="B374" s="1"/>
      <c r="C374" s="3"/>
      <c r="D374" s="3"/>
      <c r="G374" s="1"/>
      <c r="H374" s="3"/>
      <c r="I374" s="3"/>
      <c r="M374" s="1"/>
      <c r="N374" s="3"/>
      <c r="O374" s="3"/>
      <c r="P374" s="3"/>
      <c r="R374" s="1"/>
      <c r="S374" s="3"/>
    </row>
    <row r="375" spans="2:19" x14ac:dyDescent="0.25">
      <c r="B375" s="1"/>
      <c r="C375" s="3"/>
      <c r="D375" s="3"/>
      <c r="G375" s="1"/>
      <c r="H375" s="3"/>
      <c r="I375" s="3"/>
      <c r="M375" s="1"/>
      <c r="N375" s="3"/>
      <c r="O375" s="3"/>
      <c r="P375" s="3"/>
      <c r="R375" s="1"/>
      <c r="S375" s="3"/>
    </row>
    <row r="376" spans="2:19" x14ac:dyDescent="0.25">
      <c r="B376" s="1"/>
      <c r="C376" s="3"/>
      <c r="D376" s="3"/>
      <c r="G376" s="1"/>
      <c r="H376" s="3"/>
      <c r="I376" s="3"/>
      <c r="M376" s="1"/>
      <c r="N376" s="3"/>
      <c r="O376" s="3"/>
      <c r="P376" s="3"/>
      <c r="R376" s="1"/>
      <c r="S376" s="3"/>
    </row>
    <row r="377" spans="2:19" x14ac:dyDescent="0.25">
      <c r="B377" s="1"/>
      <c r="C377" s="3"/>
      <c r="D377" s="3"/>
      <c r="G377" s="1"/>
      <c r="H377" s="3"/>
      <c r="I377" s="3"/>
      <c r="M377" s="1"/>
      <c r="N377" s="3"/>
      <c r="O377" s="3"/>
      <c r="P377" s="3"/>
      <c r="R377" s="1"/>
      <c r="S377" s="3"/>
    </row>
    <row r="378" spans="2:19" x14ac:dyDescent="0.25">
      <c r="B378" s="1"/>
      <c r="C378" s="3"/>
      <c r="D378" s="3"/>
      <c r="G378" s="1"/>
      <c r="H378" s="3"/>
      <c r="I378" s="3"/>
      <c r="M378" s="1"/>
      <c r="N378" s="3"/>
      <c r="O378" s="3"/>
      <c r="P378" s="3"/>
      <c r="R378" s="1"/>
      <c r="S378" s="3"/>
    </row>
    <row r="379" spans="2:19" x14ac:dyDescent="0.25">
      <c r="B379" s="1"/>
      <c r="C379" s="3"/>
      <c r="D379" s="3"/>
      <c r="G379" s="1"/>
      <c r="H379" s="3"/>
      <c r="I379" s="3"/>
      <c r="M379" s="1"/>
      <c r="N379" s="3"/>
      <c r="O379" s="3"/>
      <c r="P379" s="3"/>
      <c r="R379" s="1"/>
      <c r="S379" s="3"/>
    </row>
    <row r="380" spans="2:19" x14ac:dyDescent="0.25">
      <c r="B380" s="1"/>
      <c r="C380" s="3"/>
      <c r="D380" s="3"/>
      <c r="G380" s="1"/>
      <c r="H380" s="3"/>
      <c r="I380" s="3"/>
      <c r="M380" s="1"/>
      <c r="N380" s="3"/>
      <c r="O380" s="3"/>
      <c r="P380" s="3"/>
      <c r="R380" s="1"/>
      <c r="S380" s="3"/>
    </row>
    <row r="381" spans="2:19" x14ac:dyDescent="0.25">
      <c r="B381" s="1"/>
      <c r="C381" s="3"/>
      <c r="D381" s="3"/>
      <c r="G381" s="1"/>
      <c r="H381" s="3"/>
      <c r="I381" s="3"/>
      <c r="M381" s="1"/>
      <c r="N381" s="3"/>
      <c r="O381" s="3"/>
      <c r="P381" s="3"/>
      <c r="R381" s="1"/>
      <c r="S381" s="3"/>
    </row>
    <row r="382" spans="2:19" x14ac:dyDescent="0.25">
      <c r="B382" s="1"/>
      <c r="C382" s="3"/>
      <c r="D382" s="3"/>
      <c r="G382" s="1"/>
      <c r="H382" s="3"/>
      <c r="I382" s="3"/>
      <c r="M382" s="1"/>
      <c r="N382" s="3"/>
      <c r="O382" s="3"/>
      <c r="P382" s="3"/>
      <c r="R382" s="1"/>
      <c r="S382" s="3"/>
    </row>
    <row r="383" spans="2:19" x14ac:dyDescent="0.25">
      <c r="B383" s="1"/>
      <c r="C383" s="3"/>
      <c r="D383" s="3"/>
      <c r="G383" s="1"/>
      <c r="H383" s="3"/>
      <c r="I383" s="3"/>
      <c r="M383" s="1"/>
      <c r="N383" s="3"/>
      <c r="O383" s="3"/>
      <c r="P383" s="3"/>
      <c r="R383" s="1"/>
      <c r="S383" s="3"/>
    </row>
    <row r="384" spans="2:19" x14ac:dyDescent="0.25">
      <c r="B384" s="1"/>
      <c r="C384" s="3"/>
      <c r="D384" s="3"/>
      <c r="G384" s="1"/>
      <c r="H384" s="3"/>
      <c r="I384" s="3"/>
      <c r="M384" s="1"/>
      <c r="N384" s="3"/>
      <c r="O384" s="3"/>
      <c r="P384" s="3"/>
      <c r="R384" s="1"/>
      <c r="S384" s="3"/>
    </row>
    <row r="385" spans="2:19" x14ac:dyDescent="0.25">
      <c r="B385" s="1"/>
      <c r="C385" s="3"/>
      <c r="D385" s="3"/>
      <c r="G385" s="1"/>
      <c r="H385" s="3"/>
      <c r="I385" s="3"/>
      <c r="M385" s="1"/>
      <c r="N385" s="3"/>
      <c r="O385" s="3"/>
      <c r="P385" s="3"/>
      <c r="R385" s="1"/>
      <c r="S385" s="3"/>
    </row>
    <row r="386" spans="2:19" x14ac:dyDescent="0.25">
      <c r="B386" s="1"/>
      <c r="C386" s="3"/>
      <c r="D386" s="3"/>
      <c r="G386" s="1"/>
      <c r="H386" s="3"/>
      <c r="I386" s="3"/>
      <c r="M386" s="1"/>
      <c r="N386" s="3"/>
      <c r="O386" s="3"/>
      <c r="P386" s="3"/>
      <c r="R386" s="1"/>
      <c r="S386" s="3"/>
    </row>
    <row r="387" spans="2:19" x14ac:dyDescent="0.25">
      <c r="B387" s="1"/>
      <c r="C387" s="3"/>
      <c r="D387" s="3"/>
      <c r="G387" s="1"/>
      <c r="H387" s="3"/>
      <c r="I387" s="3"/>
      <c r="M387" s="1"/>
      <c r="N387" s="3"/>
      <c r="O387" s="3"/>
      <c r="P387" s="3"/>
      <c r="R387" s="1"/>
      <c r="S387" s="3"/>
    </row>
    <row r="388" spans="2:19" x14ac:dyDescent="0.25">
      <c r="B388" s="1"/>
      <c r="C388" s="3"/>
      <c r="D388" s="3"/>
      <c r="G388" s="1"/>
      <c r="H388" s="3"/>
      <c r="I388" s="3"/>
      <c r="M388" s="1"/>
      <c r="N388" s="3"/>
      <c r="O388" s="3"/>
      <c r="P388" s="3"/>
      <c r="R388" s="1"/>
      <c r="S388" s="3"/>
    </row>
    <row r="389" spans="2:19" x14ac:dyDescent="0.25">
      <c r="B389" s="1"/>
      <c r="C389" s="3"/>
      <c r="D389" s="3"/>
      <c r="G389" s="1"/>
      <c r="H389" s="3"/>
      <c r="I389" s="3"/>
      <c r="M389" s="1"/>
      <c r="N389" s="3"/>
      <c r="O389" s="3"/>
      <c r="P389" s="3"/>
      <c r="R389" s="1"/>
      <c r="S389" s="3"/>
    </row>
    <row r="390" spans="2:19" x14ac:dyDescent="0.25">
      <c r="B390" s="1"/>
      <c r="C390" s="3"/>
      <c r="D390" s="3"/>
      <c r="G390" s="1"/>
      <c r="H390" s="3"/>
      <c r="I390" s="3"/>
      <c r="M390" s="1"/>
      <c r="N390" s="3"/>
      <c r="O390" s="3"/>
      <c r="P390" s="3"/>
      <c r="R390" s="1"/>
      <c r="S390" s="3"/>
    </row>
    <row r="391" spans="2:19" x14ac:dyDescent="0.25">
      <c r="B391" s="1"/>
      <c r="C391" s="3"/>
      <c r="D391" s="3"/>
      <c r="G391" s="1"/>
      <c r="H391" s="3"/>
      <c r="I391" s="3"/>
      <c r="M391" s="1"/>
      <c r="N391" s="3"/>
      <c r="O391" s="3"/>
      <c r="P391" s="3"/>
      <c r="R391" s="1"/>
      <c r="S391" s="3"/>
    </row>
    <row r="392" spans="2:19" x14ac:dyDescent="0.25">
      <c r="B392" s="1"/>
      <c r="C392" s="3"/>
      <c r="D392" s="3"/>
      <c r="G392" s="1"/>
      <c r="H392" s="3"/>
      <c r="I392" s="3"/>
      <c r="M392" s="1"/>
      <c r="N392" s="3"/>
      <c r="O392" s="3"/>
      <c r="P392" s="3"/>
      <c r="R392" s="1"/>
      <c r="S392" s="3"/>
    </row>
    <row r="393" spans="2:19" x14ac:dyDescent="0.25">
      <c r="B393" s="1"/>
      <c r="C393" s="3"/>
      <c r="D393" s="3"/>
      <c r="G393" s="1"/>
      <c r="H393" s="3"/>
      <c r="I393" s="3"/>
      <c r="M393" s="1"/>
      <c r="N393" s="3"/>
      <c r="O393" s="3"/>
      <c r="P393" s="3"/>
      <c r="R393" s="1"/>
      <c r="S393" s="3"/>
    </row>
    <row r="394" spans="2:19" x14ac:dyDescent="0.25">
      <c r="B394" s="1"/>
      <c r="C394" s="3"/>
      <c r="D394" s="3"/>
      <c r="G394" s="1"/>
      <c r="H394" s="3"/>
      <c r="I394" s="3"/>
      <c r="M394" s="1"/>
      <c r="N394" s="3"/>
      <c r="O394" s="3"/>
      <c r="P394" s="3"/>
      <c r="R394" s="1"/>
      <c r="S394" s="3"/>
    </row>
    <row r="395" spans="2:19" x14ac:dyDescent="0.25">
      <c r="B395" s="1"/>
      <c r="C395" s="3"/>
      <c r="D395" s="3"/>
      <c r="G395" s="1"/>
      <c r="H395" s="3"/>
      <c r="I395" s="3"/>
      <c r="M395" s="1"/>
      <c r="N395" s="3"/>
      <c r="O395" s="3"/>
      <c r="P395" s="3"/>
      <c r="R395" s="1"/>
      <c r="S395" s="3"/>
    </row>
    <row r="396" spans="2:19" x14ac:dyDescent="0.25">
      <c r="B396" s="1"/>
      <c r="C396" s="3"/>
      <c r="D396" s="3"/>
      <c r="G396" s="1"/>
      <c r="H396" s="3"/>
      <c r="I396" s="3"/>
      <c r="M396" s="1"/>
      <c r="N396" s="3"/>
      <c r="O396" s="3"/>
      <c r="P396" s="3"/>
      <c r="R396" s="1"/>
      <c r="S396" s="3"/>
    </row>
    <row r="397" spans="2:19" x14ac:dyDescent="0.25">
      <c r="B397" s="1"/>
      <c r="C397" s="3"/>
      <c r="D397" s="3"/>
      <c r="G397" s="1"/>
      <c r="H397" s="3"/>
      <c r="I397" s="3"/>
      <c r="M397" s="1"/>
      <c r="N397" s="3"/>
      <c r="O397" s="3"/>
      <c r="P397" s="3"/>
      <c r="R397" s="1"/>
      <c r="S397" s="3"/>
    </row>
    <row r="398" spans="2:19" x14ac:dyDescent="0.25">
      <c r="B398" s="1"/>
      <c r="C398" s="3"/>
      <c r="D398" s="3"/>
      <c r="G398" s="1"/>
      <c r="H398" s="3"/>
      <c r="I398" s="3"/>
      <c r="M398" s="1"/>
      <c r="N398" s="3"/>
      <c r="O398" s="3"/>
      <c r="P398" s="3"/>
      <c r="R398" s="1"/>
      <c r="S398" s="3"/>
    </row>
    <row r="399" spans="2:19" x14ac:dyDescent="0.25">
      <c r="B399" s="1"/>
      <c r="C399" s="3"/>
      <c r="D399" s="3"/>
      <c r="G399" s="1"/>
      <c r="H399" s="3"/>
      <c r="I399" s="3"/>
      <c r="M399" s="1"/>
      <c r="N399" s="3"/>
      <c r="O399" s="3"/>
      <c r="P399" s="3"/>
      <c r="R399" s="1"/>
      <c r="S399" s="3"/>
    </row>
    <row r="400" spans="2:19" x14ac:dyDescent="0.25">
      <c r="B400" s="1"/>
      <c r="C400" s="3"/>
      <c r="D400" s="3"/>
      <c r="G400" s="1"/>
      <c r="H400" s="3"/>
      <c r="I400" s="3"/>
      <c r="M400" s="1"/>
      <c r="N400" s="3"/>
      <c r="O400" s="3"/>
      <c r="P400" s="3"/>
      <c r="R400" s="1"/>
      <c r="S400" s="3"/>
    </row>
    <row r="401" spans="2:19" x14ac:dyDescent="0.25">
      <c r="B401" s="1"/>
      <c r="C401" s="3"/>
      <c r="D401" s="3"/>
      <c r="G401" s="1"/>
      <c r="H401" s="3"/>
      <c r="I401" s="3"/>
      <c r="M401" s="1"/>
      <c r="N401" s="3"/>
      <c r="O401" s="3"/>
      <c r="P401" s="3"/>
      <c r="R401" s="1"/>
      <c r="S401" s="3"/>
    </row>
    <row r="402" spans="2:19" x14ac:dyDescent="0.25">
      <c r="B402" s="1"/>
      <c r="C402" s="3"/>
      <c r="D402" s="3"/>
      <c r="G402" s="1"/>
      <c r="H402" s="3"/>
      <c r="I402" s="3"/>
      <c r="M402" s="1"/>
      <c r="N402" s="3"/>
      <c r="O402" s="3"/>
      <c r="P402" s="3"/>
      <c r="R402" s="1"/>
      <c r="S402" s="3"/>
    </row>
    <row r="403" spans="2:19" x14ac:dyDescent="0.25">
      <c r="B403" s="1"/>
      <c r="C403" s="3"/>
      <c r="D403" s="3"/>
      <c r="G403" s="1"/>
      <c r="H403" s="3"/>
      <c r="I403" s="3"/>
      <c r="M403" s="1"/>
      <c r="N403" s="3"/>
      <c r="O403" s="3"/>
      <c r="P403" s="3"/>
      <c r="R403" s="1"/>
      <c r="S403" s="3"/>
    </row>
    <row r="404" spans="2:19" x14ac:dyDescent="0.25">
      <c r="B404" s="1"/>
      <c r="C404" s="3"/>
      <c r="D404" s="3"/>
      <c r="G404" s="1"/>
      <c r="H404" s="3"/>
      <c r="I404" s="3"/>
      <c r="M404" s="1"/>
      <c r="N404" s="3"/>
      <c r="O404" s="3"/>
      <c r="P404" s="3"/>
      <c r="R404" s="1"/>
      <c r="S404" s="3"/>
    </row>
    <row r="405" spans="2:19" x14ac:dyDescent="0.25">
      <c r="B405" s="1"/>
      <c r="C405" s="3"/>
      <c r="D405" s="3"/>
      <c r="G405" s="1"/>
      <c r="H405" s="3"/>
      <c r="I405" s="3"/>
      <c r="M405" s="1"/>
      <c r="N405" s="3"/>
      <c r="O405" s="3"/>
      <c r="P405" s="3"/>
      <c r="R405" s="1"/>
      <c r="S405" s="3"/>
    </row>
    <row r="406" spans="2:19" x14ac:dyDescent="0.25">
      <c r="B406" s="1"/>
      <c r="C406" s="3"/>
      <c r="D406" s="3"/>
      <c r="G406" s="1"/>
      <c r="H406" s="3"/>
      <c r="I406" s="3"/>
      <c r="M406" s="1"/>
      <c r="N406" s="3"/>
      <c r="O406" s="3"/>
      <c r="P406" s="3"/>
      <c r="R406" s="1"/>
      <c r="S406" s="3"/>
    </row>
    <row r="407" spans="2:19" x14ac:dyDescent="0.25">
      <c r="B407" s="1"/>
      <c r="C407" s="3"/>
      <c r="D407" s="3"/>
      <c r="G407" s="1"/>
      <c r="H407" s="3"/>
      <c r="I407" s="3"/>
      <c r="M407" s="1"/>
      <c r="N407" s="3"/>
      <c r="O407" s="3"/>
      <c r="P407" s="3"/>
      <c r="R407" s="1"/>
      <c r="S407" s="3"/>
    </row>
    <row r="408" spans="2:19" x14ac:dyDescent="0.25">
      <c r="B408" s="1"/>
      <c r="C408" s="3"/>
      <c r="D408" s="3"/>
      <c r="G408" s="1"/>
      <c r="H408" s="3"/>
      <c r="I408" s="3"/>
      <c r="M408" s="1"/>
      <c r="N408" s="3"/>
      <c r="O408" s="3"/>
      <c r="P408" s="3"/>
      <c r="R408" s="1"/>
      <c r="S408" s="3"/>
    </row>
    <row r="409" spans="2:19" x14ac:dyDescent="0.25">
      <c r="B409" s="1"/>
      <c r="C409" s="3"/>
      <c r="D409" s="3"/>
      <c r="G409" s="1"/>
      <c r="H409" s="3"/>
      <c r="I409" s="3"/>
      <c r="M409" s="1"/>
      <c r="N409" s="3"/>
      <c r="O409" s="3"/>
      <c r="P409" s="3"/>
      <c r="R409" s="1"/>
      <c r="S409" s="3"/>
    </row>
    <row r="410" spans="2:19" x14ac:dyDescent="0.25">
      <c r="B410" s="1"/>
      <c r="C410" s="3"/>
      <c r="D410" s="3"/>
      <c r="G410" s="1"/>
      <c r="H410" s="3"/>
      <c r="I410" s="3"/>
      <c r="M410" s="1"/>
      <c r="N410" s="3"/>
      <c r="O410" s="3"/>
      <c r="P410" s="3"/>
      <c r="R410" s="1"/>
      <c r="S410" s="3"/>
    </row>
    <row r="411" spans="2:19" x14ac:dyDescent="0.25">
      <c r="B411" s="1"/>
      <c r="C411" s="3"/>
      <c r="D411" s="3"/>
      <c r="G411" s="1"/>
      <c r="H411" s="3"/>
      <c r="I411" s="3"/>
      <c r="M411" s="1"/>
      <c r="N411" s="3"/>
      <c r="O411" s="3"/>
      <c r="P411" s="3"/>
      <c r="R411" s="1"/>
      <c r="S411" s="3"/>
    </row>
    <row r="412" spans="2:19" x14ac:dyDescent="0.25">
      <c r="B412" s="1"/>
      <c r="C412" s="3"/>
      <c r="D412" s="3"/>
      <c r="G412" s="1"/>
      <c r="H412" s="3"/>
      <c r="I412" s="3"/>
      <c r="M412" s="1"/>
      <c r="N412" s="3"/>
      <c r="O412" s="3"/>
      <c r="P412" s="3"/>
      <c r="R412" s="1"/>
      <c r="S412" s="3"/>
    </row>
    <row r="413" spans="2:19" x14ac:dyDescent="0.25">
      <c r="B413" s="1"/>
      <c r="C413" s="3"/>
      <c r="D413" s="3"/>
      <c r="G413" s="1"/>
      <c r="H413" s="3"/>
      <c r="I413" s="3"/>
      <c r="M413" s="1"/>
      <c r="N413" s="3"/>
      <c r="O413" s="3"/>
      <c r="P413" s="3"/>
      <c r="R413" s="1"/>
      <c r="S413" s="3"/>
    </row>
    <row r="414" spans="2:19" x14ac:dyDescent="0.25">
      <c r="B414" s="1"/>
      <c r="C414" s="3"/>
      <c r="D414" s="3"/>
      <c r="G414" s="1"/>
      <c r="H414" s="3"/>
      <c r="I414" s="3"/>
      <c r="M414" s="1"/>
      <c r="N414" s="3"/>
      <c r="O414" s="3"/>
      <c r="P414" s="3"/>
      <c r="R414" s="1"/>
      <c r="S414" s="3"/>
    </row>
    <row r="415" spans="2:19" x14ac:dyDescent="0.25">
      <c r="B415" s="1"/>
      <c r="C415" s="3"/>
      <c r="D415" s="3"/>
      <c r="G415" s="1"/>
      <c r="H415" s="3"/>
      <c r="I415" s="3"/>
      <c r="M415" s="1"/>
      <c r="N415" s="3"/>
      <c r="O415" s="3"/>
      <c r="P415" s="3"/>
      <c r="R415" s="1"/>
      <c r="S415" s="3"/>
    </row>
    <row r="416" spans="2:19" x14ac:dyDescent="0.25">
      <c r="B416" s="1"/>
      <c r="C416" s="3"/>
      <c r="D416" s="3"/>
      <c r="G416" s="1"/>
      <c r="H416" s="3"/>
      <c r="I416" s="3"/>
      <c r="M416" s="1"/>
      <c r="N416" s="3"/>
      <c r="O416" s="3"/>
      <c r="P416" s="3"/>
      <c r="R416" s="1"/>
      <c r="S416" s="3"/>
    </row>
    <row r="417" spans="2:19" x14ac:dyDescent="0.25">
      <c r="B417" s="1"/>
      <c r="C417" s="3"/>
      <c r="D417" s="3"/>
      <c r="G417" s="1"/>
      <c r="H417" s="3"/>
      <c r="I417" s="3"/>
      <c r="M417" s="1"/>
      <c r="N417" s="3"/>
      <c r="O417" s="3"/>
      <c r="P417" s="3"/>
      <c r="R417" s="1"/>
      <c r="S417" s="3"/>
    </row>
    <row r="418" spans="2:19" x14ac:dyDescent="0.25">
      <c r="B418" s="1"/>
    </row>
    <row r="419" spans="2:19" x14ac:dyDescent="0.25">
      <c r="B419" s="1"/>
    </row>
    <row r="420" spans="2:19" x14ac:dyDescent="0.25">
      <c r="B420" s="1"/>
    </row>
    <row r="421" spans="2:19" x14ac:dyDescent="0.25">
      <c r="B421" s="1"/>
    </row>
    <row r="422" spans="2:19" x14ac:dyDescent="0.25">
      <c r="B422" s="1"/>
    </row>
    <row r="423" spans="2:19" x14ac:dyDescent="0.25">
      <c r="B423" s="1"/>
    </row>
    <row r="424" spans="2:19" x14ac:dyDescent="0.25">
      <c r="B424" s="1"/>
    </row>
    <row r="425" spans="2:19" x14ac:dyDescent="0.25">
      <c r="B425" s="1"/>
    </row>
    <row r="426" spans="2:19" x14ac:dyDescent="0.25">
      <c r="B426" s="1"/>
    </row>
    <row r="427" spans="2:19" x14ac:dyDescent="0.25">
      <c r="B427" s="1"/>
    </row>
    <row r="428" spans="2:19" x14ac:dyDescent="0.25">
      <c r="B428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Mizuho International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Burgess</dc:creator>
  <cp:lastModifiedBy>Nicholas Burgess</cp:lastModifiedBy>
  <dcterms:created xsi:type="dcterms:W3CDTF">2017-08-10T11:56:55Z</dcterms:created>
  <dcterms:modified xsi:type="dcterms:W3CDTF">2017-08-11T09:09:20Z</dcterms:modified>
</cp:coreProperties>
</file>