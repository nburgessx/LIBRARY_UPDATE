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 activeTab="2"/>
  </bookViews>
  <sheets>
    <sheet name="OIS Curve" sheetId="2" r:id="rId1"/>
    <sheet name="Swap Curve" sheetId="3" r:id="rId2"/>
    <sheet name="Tenor Basis Curve" sheetId="4" r:id="rId3"/>
  </sheets>
  <functionGroups builtInGroupCount="17"/>
  <externalReferences>
    <externalReference r:id="rId4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OnSave="0"/>
</workbook>
</file>

<file path=xl/calcChain.xml><?xml version="1.0" encoding="utf-8"?>
<calcChain xmlns="http://schemas.openxmlformats.org/spreadsheetml/2006/main">
  <c r="D12" i="4" l="1"/>
  <c r="D7" i="2"/>
  <c r="D8" i="3" l="1"/>
  <c r="D7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<sst xmlns="http://schemas.openxmlformats.org/spreadsheetml/2006/main" count="467" uniqueCount="211">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</sst>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210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148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t="s">
        <v>152</v>
      </c>
    </row>
    <row r="3" spans="2:12" x14ac:dyDescent="0.25">
      <c r="B3" t="s">
        <v>153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116" t="e">
        <f ca="1">IF(AND(NOW(),LEFT('OIS Curve'!D7,3)="OIS"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Please build the OIS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203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101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102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103</v>
      </c>
      <c r="D37" s="10"/>
      <c r="E37" s="10"/>
      <c r="F37" s="49" t="s">
        <v>110</v>
      </c>
      <c r="G37" s="10"/>
      <c r="H37" s="10"/>
      <c r="I37" s="49" t="s">
        <v>149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104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205</v>
      </c>
      <c r="J39" s="75">
        <v>-2.8E-3</v>
      </c>
      <c r="K39" s="78"/>
      <c r="L39" s="55"/>
    </row>
    <row r="40" spans="2:12" x14ac:dyDescent="0.25">
      <c r="B40" s="5"/>
      <c r="C40" s="28" t="s">
        <v>105</v>
      </c>
      <c r="D40" s="35" t="s">
        <v>106</v>
      </c>
      <c r="E40" s="9"/>
      <c r="F40" s="29" t="s">
        <v>27</v>
      </c>
      <c r="G40" s="35" t="s">
        <v>107</v>
      </c>
      <c r="H40" s="10"/>
      <c r="I40" s="72" t="s">
        <v>187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108</v>
      </c>
      <c r="G41" s="69">
        <v>2</v>
      </c>
      <c r="H41" s="10"/>
      <c r="I41" s="72" t="s">
        <v>111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112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113</v>
      </c>
      <c r="D50" s="10"/>
      <c r="E50" s="10"/>
      <c r="F50" s="49" t="s">
        <v>150</v>
      </c>
      <c r="G50" s="10"/>
      <c r="H50" s="10"/>
      <c r="I50" s="49" t="s">
        <v>151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104</v>
      </c>
      <c r="D52" s="35" t="s">
        <v>6</v>
      </c>
      <c r="E52" s="9"/>
      <c r="F52" s="71"/>
      <c r="G52" s="75"/>
      <c r="H52" s="10"/>
      <c r="I52" s="71" t="s">
        <v>117</v>
      </c>
      <c r="J52" s="75">
        <v>-1.2900000000000001E-3</v>
      </c>
      <c r="K52" s="78"/>
      <c r="L52" s="55"/>
    </row>
    <row r="53" spans="2:12" x14ac:dyDescent="0.25">
      <c r="B53" s="5"/>
      <c r="C53" s="28" t="s">
        <v>114</v>
      </c>
      <c r="D53" s="35">
        <v>2</v>
      </c>
      <c r="E53" s="9"/>
      <c r="F53" s="72"/>
      <c r="G53" s="76"/>
      <c r="H53" s="10"/>
      <c r="I53" s="72" t="s">
        <v>118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119</v>
      </c>
      <c r="J54" s="76">
        <v>-1.33E-3</v>
      </c>
      <c r="K54" s="78"/>
      <c r="L54" s="55"/>
    </row>
    <row r="55" spans="2:12" x14ac:dyDescent="0.25">
      <c r="B55" s="5"/>
      <c r="C55" s="28" t="s">
        <v>109</v>
      </c>
      <c r="D55" s="35" t="b">
        <v>0</v>
      </c>
      <c r="E55" s="9"/>
      <c r="F55" s="72"/>
      <c r="G55" s="76"/>
      <c r="H55" s="10"/>
      <c r="I55" s="72" t="s">
        <v>120</v>
      </c>
      <c r="J55" s="76">
        <v>-1.3900000000000002E-3</v>
      </c>
      <c r="K55" s="78"/>
      <c r="L55" s="55"/>
    </row>
    <row r="56" spans="2:12" x14ac:dyDescent="0.25">
      <c r="B56" s="5"/>
      <c r="C56" s="28" t="s">
        <v>115</v>
      </c>
      <c r="D56" s="35" t="b">
        <v>1</v>
      </c>
      <c r="E56" s="9"/>
      <c r="F56" s="72"/>
      <c r="G56" s="76"/>
      <c r="H56" s="10"/>
      <c r="I56" s="72" t="s">
        <v>121</v>
      </c>
      <c r="J56" s="76">
        <v>-1.4399999999999999E-3</v>
      </c>
      <c r="K56" s="78"/>
      <c r="L56" s="55"/>
    </row>
    <row r="57" spans="2:12" x14ac:dyDescent="0.25">
      <c r="B57" s="5"/>
      <c r="C57" s="28" t="s">
        <v>116</v>
      </c>
      <c r="D57" s="35">
        <v>2</v>
      </c>
      <c r="E57" s="9"/>
      <c r="F57" s="72"/>
      <c r="G57" s="76"/>
      <c r="H57" s="10"/>
      <c r="I57" s="72" t="s">
        <v>122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124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125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126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127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128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129</v>
      </c>
      <c r="D71" s="10"/>
      <c r="E71" s="10"/>
      <c r="F71" s="49" t="s">
        <v>132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154</v>
      </c>
      <c r="G72" s="97" t="s">
        <v>13</v>
      </c>
      <c r="H72" s="97" t="s">
        <v>14</v>
      </c>
      <c r="I72" s="97" t="s">
        <v>12</v>
      </c>
      <c r="J72" s="97" t="s">
        <v>131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133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134</v>
      </c>
      <c r="D92" s="10"/>
      <c r="E92" s="10"/>
      <c r="F92" s="49" t="s">
        <v>135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104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136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137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139</v>
      </c>
      <c r="D98" s="35" t="s">
        <v>138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140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109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108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141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142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143</v>
      </c>
      <c r="D105" s="35" t="s">
        <v>144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145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146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147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148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82"/>
  <sheetViews>
    <sheetView showGridLines="0" tabSelected="1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e">
        <f ca="1">IF(AND(NOW(),LEFT('Swap Curve'!D8,3)="STD"),_xll.mirSetUpBasisSwapCurve(TenorBasisCurve3M6M.CollectionName,TenorBasisCurve3M6M.StaticDataTable,TenorBasisCurve3M6M.BuildProperties,TenorBasisSwap3M6M.Conventions,TenorBasisSwap3M6M.MarketData,TenorBasisCurve3M6M.IndexName),"Please build the Swap Curve")</f>
        <v>#NAME?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158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159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204</v>
      </c>
      <c r="D37" s="10"/>
      <c r="E37" s="10"/>
      <c r="F37" s="49" t="s">
        <v>208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162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0</v>
      </c>
      <c r="E39" s="9"/>
      <c r="F39" s="71" t="s">
        <v>201</v>
      </c>
      <c r="G39" s="75">
        <v>1.1300000000000001E-3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1.1925E-3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1.2425000000000001E-3</v>
      </c>
      <c r="H41" s="10"/>
      <c r="I41" s="55"/>
    </row>
    <row r="42" spans="2:9" x14ac:dyDescent="0.25">
      <c r="B42" s="5"/>
      <c r="C42" s="28" t="s">
        <v>167</v>
      </c>
      <c r="D42" s="68" t="s">
        <v>138</v>
      </c>
      <c r="E42" s="9"/>
      <c r="F42" s="72" t="s">
        <v>50</v>
      </c>
      <c r="G42" s="76">
        <v>1.2975E-3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1.3324999999999999E-3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1.3074999999999999E-3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1.2725E-3</v>
      </c>
      <c r="H45" s="10"/>
      <c r="I45" s="55"/>
    </row>
    <row r="46" spans="2:9" x14ac:dyDescent="0.25">
      <c r="B46" s="5"/>
      <c r="C46" s="28" t="s">
        <v>171</v>
      </c>
      <c r="D46" s="35" t="s">
        <v>209</v>
      </c>
      <c r="E46" s="9"/>
      <c r="F46" s="72" t="s">
        <v>58</v>
      </c>
      <c r="G46" s="76">
        <v>1.2275000000000001E-3</v>
      </c>
      <c r="H46" s="10"/>
      <c r="I46" s="55"/>
    </row>
    <row r="47" spans="2:9" x14ac:dyDescent="0.25">
      <c r="B47" s="5"/>
      <c r="C47" s="28" t="s">
        <v>172</v>
      </c>
      <c r="D47" s="35" t="s">
        <v>111</v>
      </c>
      <c r="E47" s="9"/>
      <c r="F47" s="72" t="s">
        <v>60</v>
      </c>
      <c r="G47" s="76">
        <v>1.1675000000000001E-3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1.1025E-3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62</v>
      </c>
      <c r="G49" s="76">
        <v>1.0425E-3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63</v>
      </c>
      <c r="G50" s="76">
        <v>9.9250000000000011E-4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64</v>
      </c>
      <c r="G51" s="76">
        <v>8.6249999999999999E-4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65</v>
      </c>
      <c r="G52" s="76">
        <v>6.8749999999999996E-4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 t="s">
        <v>66</v>
      </c>
      <c r="G53" s="76">
        <v>5.8250000000000001E-4</v>
      </c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 t="s">
        <v>67</v>
      </c>
      <c r="G54" s="76">
        <v>5.1250000000000004E-4</v>
      </c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28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187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187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OIS Curve</vt:lpstr>
      <vt:lpstr>Swap Curve</vt:lpstr>
      <vt:lpstr>Tenor Basis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2016-10-18T08:59:20Z</dcterms:modified>
</cp:coreProperties>
</file>