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 activeTab="1"/>
  </bookViews>
  <sheets>
    <sheet name="OIS Curve" sheetId="2" r:id="rId1"/>
    <sheet name="Zero Rates" sheetId="7" r:id="rId2"/>
  </sheets>
  <functionGroups builtInGroupCount="17"/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'Zero Rates'!$C$5</definedName>
    <definedName name="ForwardCurves.Interpolation">'Zero Rates'!$C$6</definedName>
    <definedName name="ForwardCurves.Periodicity">'Zero Rates'!$F$22</definedName>
    <definedName name="Forwards.EUR12ML">'Zero Rates'!#REF!</definedName>
    <definedName name="Forwards.EUR1ML">'Zero Rates'!#REF!</definedName>
    <definedName name="Forwards.EUR3ML">'Zero Rates'!#REF!</definedName>
    <definedName name="Forwards.EUR6ML">'Zero Rates'!#REF!</definedName>
    <definedName name="Forwards.OIS">'Zero Rates'!#REF!</definedName>
    <definedName name="Forwards.StartDate">'Zero Rates'!#REF!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C18" i="7" l="1"/>
  <c r="D14" i="7" l="1"/>
  <c r="D7" i="2" l="1"/>
  <c r="D20" i="7" l="1" a="1"/>
  <c r="G20" i="7" a="1"/>
  <c r="D20" i="7" l="1"/>
  <c r="D28" i="7"/>
  <c r="D21" i="7"/>
  <c r="D29" i="7"/>
  <c r="D22" i="7"/>
  <c r="D23" i="7"/>
  <c r="D27" i="7"/>
  <c r="D24" i="7"/>
  <c r="D25" i="7"/>
  <c r="D26" i="7"/>
  <c r="G21" i="7"/>
  <c r="G24" i="7"/>
  <c r="G28" i="7"/>
  <c r="G29" i="7"/>
  <c r="G25" i="7"/>
  <c r="G22" i="7"/>
  <c r="G26" i="7"/>
  <c r="G23" i="7"/>
  <c r="G27" i="7"/>
  <c r="G20" i="7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<sst xmlns="http://schemas.openxmlformats.org/spreadsheetml/2006/main" count="240" uniqueCount="114">
  <si>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</si>
  <si>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</si>
  <si>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</si>
  <si>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</si>
  <si>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</si>
  <si>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</si>
  <si>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</si>
  <si>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</si>
  <si>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</si>
  <si>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</si>
  <si>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</si>
  <si>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</si>
  <si>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</si>
  <si>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</si>
  <si>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</si>
  <si>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</si>
  <si>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</si>
  <si>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</si>
  <si>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</si>
  <si>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</si>
  <si>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</si>
  <si>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</si>
  <si>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</si>
  <si>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</si>
  <si>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</si>
  <si>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</si>
  <si>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</si>
  <si>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</si>
  <si>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</si>
  <si>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</si>
  <si>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</si>
  <si>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</si>
  <si>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</si>
  <si>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</si>
  <si>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</si>
  <si>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</si>
  <si>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</si>
  <si>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</si>
  <si>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</si>
  <si>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</si>
  <si>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</si>
  <si>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</si>
  <si>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</si>
  <si>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</si>
  <si>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</si>
  <si>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</si>
  <si>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</si>
  <si>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</si>
  <si>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</si>
  <si>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</si>
  <si>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</si>
  <si>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</si>
  <si>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</si>
  <si>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</si>
  <si>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</si>
  <si>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</si>
  <si>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</si>
  <si>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</si>
  <si>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</si>
  <si>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</si>
  <si>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</si>
  <si>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</si>
  <si>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</si>
  <si>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</si>
  <si>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</si>
  <si>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</si>
  <si>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</si>
  <si>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</si>
  <si>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</si>
  <si>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</si>
  <si>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</si>
  <si>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</si>
  <si>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</si>
  <si>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</si>
  <si>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</si>
  <si>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</si>
  <si>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</si>
  <si>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</si>
  <si>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</si>
  <si>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</si>
  <si>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</si>
  <si>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</si>
  <si>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</si>
  <si>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</si>
  <si>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</si>
  <si>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</si>
  <si>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</si>
  <si>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</si>
  <si>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</si>
  <si>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</si>
  <si>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</si>
  <si>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</si>
  <si>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</si>
  <si>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Simple</t>
  </si>
  <si>
    <t>Interpolation</t>
  </si>
  <si>
    <t>Epsilon</t>
  </si>
  <si>
    <t>MaxLoop</t>
  </si>
  <si>
    <t>Act/360</t>
  </si>
  <si>
    <t>InterpForwards</t>
  </si>
  <si>
    <t>MonotoneConvex</t>
  </si>
  <si>
    <t>IndexName</t>
  </si>
  <si>
    <t>OIS:EUROIS:EURDF</t>
  </si>
  <si>
    <t>=mirGetZeroRate1("Term(s)","CurveID","Frequency","DayCount","Interpolation","CurveName","IsFWDInter")</t>
  </si>
  <si>
    <t>=mirGetZeroRate2("Term(s)","CurveID","Frequency","DayCount","SlidingRule","Calendar","Interpolation","CurveName","IsFWDInter")</t>
  </si>
  <si>
    <t>6M</t>
  </si>
  <si>
    <t>1Y</t>
  </si>
  <si>
    <t>1Y6M</t>
  </si>
  <si>
    <t>2Y6M</t>
  </si>
  <si>
    <t>3Y6M</t>
  </si>
  <si>
    <t>4Y6M</t>
  </si>
  <si>
    <t>mirGetZeroRate1</t>
  </si>
  <si>
    <t>mirGetZeroRate2</t>
  </si>
  <si>
    <t>Terms (fraction)</t>
  </si>
  <si>
    <t>Terms (tenor)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</si>
</sst>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000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0" tint="-0.14999847407452621"/>
      <name val="Calibri"/>
      <family val="2"/>
      <scheme val="minor"/>
    </font>
    <font>
      <u/>
      <sz val="12"/>
      <color indexed="39"/>
      <name val="Tahoma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</borders>
  <cellStyleXfs count="2">
    <xf numFmtId="0" fontId="0" fillId="0" borderId="0"/>
    <xf numFmtId="0" fontId="10" fillId="0" borderId="0">
      <alignment vertical="center"/>
    </xf>
  </cellStyleXfs>
  <cellXfs count="9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0" borderId="24" xfId="0" applyFill="1" applyBorder="1"/>
    <xf numFmtId="0" fontId="9" fillId="0" borderId="24" xfId="0" applyFont="1" applyFill="1" applyBorder="1" applyAlignment="1">
      <alignment horizontal="center" vertical="center"/>
    </xf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18" fillId="0" borderId="0" xfId="0" applyFont="1"/>
    <xf numFmtId="165" fontId="9" fillId="0" borderId="18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0" fillId="2" borderId="0" xfId="0" applyNumberFormat="1" applyFill="1" applyBorder="1"/>
    <xf numFmtId="2" fontId="9" fillId="0" borderId="19" xfId="0" applyNumberFormat="1" applyFont="1" applyFill="1" applyBorder="1" applyAlignment="1">
      <alignment horizontal="center" vertical="center"/>
    </xf>
    <xf numFmtId="4" fontId="20" fillId="0" borderId="0" xfId="0" applyNumberFormat="1" applyFont="1"/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69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70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71" t="s">
        <v>101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96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31"/>
  <sheetViews>
    <sheetView showGridLines="0" tabSelected="1" workbookViewId="0"/>
  </sheetViews>
  <sheetFormatPr defaultRowHeight="15" x14ac:dyDescent="0.25"/>
  <cols>
    <col min="1" max="1" width="9.140625" style="88"/>
    <col min="2" max="2" width="2.7109375" customWidth="1"/>
    <col min="3" max="3" width="17.85546875" customWidth="1"/>
    <col min="4" max="4" width="20.7109375" customWidth="1"/>
    <col min="5" max="5" width="5.85546875" customWidth="1"/>
    <col min="6" max="7" width="20.7109375" customWidth="1"/>
    <col min="8" max="8" width="2.7109375" customWidth="1"/>
    <col min="9" max="10" width="15.7109375" customWidth="1"/>
    <col min="11" max="11" width="10.140625" bestFit="1" customWidth="1"/>
  </cols>
  <sheetData>
    <row r="2" spans="2:11" x14ac:dyDescent="0.25">
      <c r="B2" s="67" t="s">
        <v>102</v>
      </c>
    </row>
    <row r="3" spans="2:11" x14ac:dyDescent="0.25">
      <c r="B3" s="67" t="s">
        <v>103</v>
      </c>
    </row>
    <row r="4" spans="2:11" x14ac:dyDescent="0.25">
      <c r="B4" s="67"/>
    </row>
    <row r="5" spans="2:11" x14ac:dyDescent="0.25">
      <c r="B5" s="56"/>
    </row>
    <row r="6" spans="2:11" x14ac:dyDescent="0.25">
      <c r="B6" s="73"/>
      <c r="C6" s="74"/>
      <c r="D6" s="74"/>
      <c r="E6" s="74"/>
      <c r="F6" s="74"/>
      <c r="G6" s="74"/>
      <c r="H6" s="75"/>
    </row>
    <row r="7" spans="2:11" x14ac:dyDescent="0.25">
      <c r="B7" s="76"/>
      <c r="C7" s="87" t="s">
        <v>9</v>
      </c>
      <c r="D7" s="7"/>
      <c r="E7" s="7"/>
      <c r="F7" s="7"/>
      <c r="G7" s="7"/>
      <c r="H7" s="78"/>
    </row>
    <row r="8" spans="2:11" x14ac:dyDescent="0.25">
      <c r="B8" s="76"/>
      <c r="C8" s="82" t="s">
        <v>90</v>
      </c>
      <c r="D8" s="83" t="s">
        <v>81</v>
      </c>
      <c r="E8" s="7"/>
      <c r="F8" s="7"/>
      <c r="G8" s="7"/>
      <c r="H8" s="78"/>
    </row>
    <row r="9" spans="2:11" x14ac:dyDescent="0.25">
      <c r="B9" s="76"/>
      <c r="C9" s="84" t="s">
        <v>27</v>
      </c>
      <c r="D9" s="85" t="s">
        <v>93</v>
      </c>
      <c r="E9" s="7"/>
      <c r="F9" s="7"/>
      <c r="G9" s="7"/>
      <c r="H9" s="78"/>
    </row>
    <row r="10" spans="2:11" x14ac:dyDescent="0.25">
      <c r="B10" s="76"/>
      <c r="C10" s="84" t="s">
        <v>18</v>
      </c>
      <c r="D10" s="85" t="s">
        <v>97</v>
      </c>
      <c r="E10" s="7"/>
      <c r="F10" s="7"/>
      <c r="G10" s="7"/>
      <c r="H10" s="78"/>
    </row>
    <row r="11" spans="2:11" x14ac:dyDescent="0.25">
      <c r="B11" s="76"/>
      <c r="C11" s="84" t="s">
        <v>21</v>
      </c>
      <c r="D11" s="86" t="s">
        <v>22</v>
      </c>
      <c r="E11" s="7"/>
      <c r="F11" s="7"/>
      <c r="G11" s="7"/>
      <c r="H11" s="78"/>
    </row>
    <row r="12" spans="2:11" x14ac:dyDescent="0.25">
      <c r="B12" s="76"/>
      <c r="C12" s="84" t="s">
        <v>1</v>
      </c>
      <c r="D12" s="85" t="s">
        <v>2</v>
      </c>
      <c r="E12" s="7"/>
      <c r="F12" s="7"/>
      <c r="G12" s="7"/>
      <c r="H12" s="78"/>
    </row>
    <row r="13" spans="2:11" x14ac:dyDescent="0.25">
      <c r="B13" s="76"/>
      <c r="C13" s="84" t="s">
        <v>94</v>
      </c>
      <c r="D13" s="86" t="s">
        <v>99</v>
      </c>
      <c r="E13" s="7"/>
      <c r="F13" s="7"/>
      <c r="G13" s="7"/>
      <c r="H13" s="78"/>
    </row>
    <row r="14" spans="2:11" x14ac:dyDescent="0.25">
      <c r="B14" s="76"/>
      <c r="C14" s="84" t="s">
        <v>100</v>
      </c>
      <c r="D14" s="85" t="str">
        <f>C7</f>
        <v>OIS</v>
      </c>
      <c r="E14" s="7"/>
      <c r="F14" s="7"/>
      <c r="G14" s="7"/>
      <c r="H14" s="78"/>
    </row>
    <row r="15" spans="2:11" x14ac:dyDescent="0.25">
      <c r="B15" s="76"/>
      <c r="C15" s="84" t="s">
        <v>98</v>
      </c>
      <c r="D15" s="85" t="b">
        <v>0</v>
      </c>
      <c r="E15" s="7"/>
      <c r="F15" s="7"/>
      <c r="G15" s="7"/>
      <c r="H15" s="78"/>
    </row>
    <row r="16" spans="2:11" x14ac:dyDescent="0.25">
      <c r="B16" s="76"/>
      <c r="C16" s="7"/>
      <c r="D16" s="7"/>
      <c r="E16" s="7"/>
      <c r="F16" s="7"/>
      <c r="G16" s="7"/>
      <c r="H16" s="78"/>
      <c r="K16" s="93"/>
    </row>
    <row r="17" spans="1:8" x14ac:dyDescent="0.25">
      <c r="B17" s="76"/>
      <c r="C17" s="7"/>
      <c r="D17" s="7"/>
      <c r="E17" s="91"/>
      <c r="F17" s="91"/>
      <c r="G17" s="91"/>
      <c r="H17" s="78"/>
    </row>
    <row r="18" spans="1:8" x14ac:dyDescent="0.25">
      <c r="B18" s="76"/>
      <c r="C18" s="87" t="str">
        <f>C7&amp;" Zero Rates"</f>
        <v>OIS Zero Rates</v>
      </c>
      <c r="D18" s="7"/>
      <c r="E18" s="91"/>
      <c r="F18" s="91"/>
      <c r="G18" s="91"/>
      <c r="H18" s="78"/>
    </row>
    <row r="19" spans="1:8" x14ac:dyDescent="0.25">
      <c r="B19" s="76"/>
      <c r="C19" s="77" t="s">
        <v>112</v>
      </c>
      <c r="D19" s="77" t="s">
        <v>110</v>
      </c>
      <c r="E19" s="91"/>
      <c r="F19" s="77" t="s">
        <v>113</v>
      </c>
      <c r="G19" s="77" t="s">
        <v>111</v>
      </c>
      <c r="H19" s="78"/>
    </row>
    <row r="20" spans="1:8" x14ac:dyDescent="0.25">
      <c r="A20" s="88">
        <v>1</v>
      </c>
      <c r="B20" s="76"/>
      <c r="C20" s="92">
        <v>0.5</v>
      </c>
      <c r="D20" s="89" t="e">
        <f t="array" aca="1" ref="D20:D29" ca="1">IF(AND(NOW(),LEFT('OIS Curve'!D7,3)="OIS"),_xll.mirGetZeroRate1(C20:C29,D$8,D$9,D$10,D$13,D$14,D$15),"Please build the OIS Curve")</f>
        <v>#NAME?</v>
      </c>
      <c r="E20" s="91"/>
      <c r="F20" s="92" t="s">
        <v>104</v>
      </c>
      <c r="G20" s="89" t="e">
        <f t="array" aca="1" ref="G20:G29" ca="1">IF(AND(NOW(),LEFT('OIS Curve'!D7,3)="OIS"),_xll.mirGetZeroRate2(F20:F29,D$8,D$9,D$10,D$11,D$12,D$13,D$14,D$15),"Please build the OIS Curve")</f>
        <v>#NAME?</v>
      </c>
      <c r="H20" s="78" t="s">
        <v>4</v>
      </c>
    </row>
    <row r="21" spans="1:8" x14ac:dyDescent="0.25">
      <c r="A21" s="88">
        <v>2</v>
      </c>
      <c r="B21" s="76"/>
      <c r="C21" s="92">
        <v>1</v>
      </c>
      <c r="D21" s="90" t="e">
        <f ca="1"/>
        <v>#NAME?</v>
      </c>
      <c r="E21" s="91"/>
      <c r="F21" s="92" t="s">
        <v>105</v>
      </c>
      <c r="G21" s="90" t="e">
        <f ca="1"/>
        <v>#NAME?</v>
      </c>
      <c r="H21" s="78" t="s">
        <v>4</v>
      </c>
    </row>
    <row r="22" spans="1:8" x14ac:dyDescent="0.25">
      <c r="A22" s="88">
        <v>3</v>
      </c>
      <c r="B22" s="76"/>
      <c r="C22" s="92">
        <v>1.5</v>
      </c>
      <c r="D22" s="90" t="e">
        <f ca="1"/>
        <v>#NAME?</v>
      </c>
      <c r="E22" s="91"/>
      <c r="F22" s="92" t="s">
        <v>106</v>
      </c>
      <c r="G22" s="90" t="e">
        <f ca="1"/>
        <v>#NAME?</v>
      </c>
      <c r="H22" s="78" t="s">
        <v>4</v>
      </c>
    </row>
    <row r="23" spans="1:8" x14ac:dyDescent="0.25">
      <c r="A23" s="88">
        <v>4</v>
      </c>
      <c r="B23" s="76"/>
      <c r="C23" s="92">
        <v>2</v>
      </c>
      <c r="D23" s="90" t="e">
        <f ca="1"/>
        <v>#NAME?</v>
      </c>
      <c r="E23" s="91"/>
      <c r="F23" s="92" t="s">
        <v>47</v>
      </c>
      <c r="G23" s="90" t="e">
        <f ca="1"/>
        <v>#NAME?</v>
      </c>
      <c r="H23" s="78" t="s">
        <v>4</v>
      </c>
    </row>
    <row r="24" spans="1:8" x14ac:dyDescent="0.25">
      <c r="A24" s="88">
        <v>5</v>
      </c>
      <c r="B24" s="76"/>
      <c r="C24" s="92">
        <v>2.5</v>
      </c>
      <c r="D24" s="90" t="e">
        <f ca="1"/>
        <v>#NAME?</v>
      </c>
      <c r="E24" s="91"/>
      <c r="F24" s="92" t="s">
        <v>107</v>
      </c>
      <c r="G24" s="90" t="e">
        <f ca="1"/>
        <v>#NAME?</v>
      </c>
      <c r="H24" s="78" t="s">
        <v>4</v>
      </c>
    </row>
    <row r="25" spans="1:8" x14ac:dyDescent="0.25">
      <c r="A25" s="88">
        <v>6</v>
      </c>
      <c r="B25" s="76"/>
      <c r="C25" s="92">
        <v>3</v>
      </c>
      <c r="D25" s="90" t="e">
        <f ca="1"/>
        <v>#NAME?</v>
      </c>
      <c r="E25" s="91"/>
      <c r="F25" s="92" t="s">
        <v>43</v>
      </c>
      <c r="G25" s="90" t="e">
        <f ca="1"/>
        <v>#NAME?</v>
      </c>
      <c r="H25" s="78" t="s">
        <v>4</v>
      </c>
    </row>
    <row r="26" spans="1:8" x14ac:dyDescent="0.25">
      <c r="A26" s="88">
        <v>7</v>
      </c>
      <c r="B26" s="76"/>
      <c r="C26" s="92">
        <v>3.5</v>
      </c>
      <c r="D26" s="90" t="e">
        <f ca="1"/>
        <v>#NAME?</v>
      </c>
      <c r="E26" s="91"/>
      <c r="F26" s="92" t="s">
        <v>108</v>
      </c>
      <c r="G26" s="90" t="e">
        <f ca="1"/>
        <v>#NAME?</v>
      </c>
      <c r="H26" s="78" t="s">
        <v>4</v>
      </c>
    </row>
    <row r="27" spans="1:8" x14ac:dyDescent="0.25">
      <c r="A27" s="88">
        <v>8</v>
      </c>
      <c r="B27" s="76"/>
      <c r="C27" s="92">
        <v>4</v>
      </c>
      <c r="D27" s="90" t="e">
        <f ca="1"/>
        <v>#NAME?</v>
      </c>
      <c r="E27" s="91"/>
      <c r="F27" s="92" t="s">
        <v>50</v>
      </c>
      <c r="G27" s="90" t="e">
        <f ca="1"/>
        <v>#NAME?</v>
      </c>
      <c r="H27" s="78" t="s">
        <v>4</v>
      </c>
    </row>
    <row r="28" spans="1:8" x14ac:dyDescent="0.25">
      <c r="A28" s="88">
        <v>9</v>
      </c>
      <c r="B28" s="76"/>
      <c r="C28" s="92">
        <v>4.5</v>
      </c>
      <c r="D28" s="90" t="e">
        <f ca="1"/>
        <v>#NAME?</v>
      </c>
      <c r="E28" s="91"/>
      <c r="F28" s="92" t="s">
        <v>109</v>
      </c>
      <c r="G28" s="90" t="e">
        <f ca="1"/>
        <v>#NAME?</v>
      </c>
      <c r="H28" s="78" t="s">
        <v>4</v>
      </c>
    </row>
    <row r="29" spans="1:8" x14ac:dyDescent="0.25">
      <c r="A29" s="88">
        <v>10</v>
      </c>
      <c r="B29" s="76"/>
      <c r="C29" s="92">
        <v>5</v>
      </c>
      <c r="D29" s="90" t="e">
        <f ca="1"/>
        <v>#NAME?</v>
      </c>
      <c r="E29" s="91"/>
      <c r="F29" s="92" t="s">
        <v>52</v>
      </c>
      <c r="G29" s="90" t="e">
        <f ca="1"/>
        <v>#NAME?</v>
      </c>
      <c r="H29" s="78" t="s">
        <v>4</v>
      </c>
    </row>
    <row r="30" spans="1:8" x14ac:dyDescent="0.25">
      <c r="B30" s="79"/>
      <c r="C30" s="80"/>
      <c r="D30" s="80"/>
      <c r="E30" s="80"/>
      <c r="F30" s="80"/>
      <c r="G30" s="80"/>
      <c r="H30" s="81"/>
    </row>
    <row r="31" spans="1:8" x14ac:dyDescent="0.25">
      <c r="A31" s="88" t="s">
        <v>4</v>
      </c>
      <c r="B31" s="88" t="s">
        <v>4</v>
      </c>
      <c r="C31" s="88" t="s">
        <v>4</v>
      </c>
      <c r="D31" s="88" t="s">
        <v>4</v>
      </c>
      <c r="E31" s="88" t="s">
        <v>4</v>
      </c>
      <c r="F31" s="88"/>
      <c r="G31" s="88" t="s">
        <v>4</v>
      </c>
      <c r="H31" s="88" t="s">
        <v>4</v>
      </c>
    </row>
  </sheetData>
  <dataValidations disablePrompts="1" count="2">
    <dataValidation type="list" allowBlank="1" showInputMessage="1" showErrorMessage="1" sqref="D13">
      <formula1>"Step,Linear,MonotoneConvex,Spline,ConstrainedSpline"</formula1>
    </dataValidation>
    <dataValidation type="list" allowBlank="1" showInputMessage="1" showErrorMessage="1" sqref="D11">
      <formula1>"FOLLOWING,MOD_FOLLOWING,PRECEDING,MOD_PRECEEDING,NO_CHANGE"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OIS Curve</vt:lpstr>
      <vt:lpstr>Zero Rates</vt:lpstr>
      <vt:lpstr>Curve.BuildProperties</vt:lpstr>
      <vt:lpstr>Curve.CollectionName</vt:lpstr>
      <vt:lpstr>Curve.MarketDataTable</vt:lpstr>
      <vt:lpstr>Curve.OISIndexName</vt:lpstr>
      <vt:lpstr>ForwardCurves.CurveID</vt:lpstr>
      <vt:lpstr>ForwardCurves.Interpolation</vt:lpstr>
      <vt:lpstr>ForwardCurves.Periodicity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2016-10-18T08:58:03Z</dcterms:modified>
</cp:coreProperties>
</file>