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8195" windowHeight="11310"/>
  </bookViews>
  <sheets>
    <sheet name="mirSwapSchedule" sheetId="1" r:id="rId1"/>
  </sheets>
  <functionGroups builtInGroupCount="17"/>
  <externalReferences>
    <externalReference r:id="rId2"/>
    <externalReference r:id="rId3"/>
    <externalReference r:id="rId4"/>
  </externalReferences>
  <definedNames>
    <definedName name="BasisConv1x3">'[1]USD Curve Config'!$BA$9:$BB$52</definedName>
    <definedName name="BasisConv3x12">'[1]USD Curve Config'!$BG$9:$BH$52</definedName>
    <definedName name="BasisConv3x6">'[1]USD Curve Config'!$AU$9:$AV$52</definedName>
    <definedName name="BasisData1x3">'[1]USD Curve Config'!$BD$9:$BE$52</definedName>
    <definedName name="BasisData3x12">'[1]USD Curve Config'!$BJ$9:$BK$52</definedName>
    <definedName name="BasisData3x6">'[1]USD Curve Config'!$AX$9:$AY$52</definedName>
    <definedName name="BloombergCurveDate">[1]Settings!$P$3</definedName>
    <definedName name="BloombergFRATenorMappingTableX6">[1]Settings!$U$3:$V$22</definedName>
    <definedName name="BloombergHeadersHide">[1]Settings!$P$7</definedName>
    <definedName name="BloombergOutput">[1]Settings!$P$4</definedName>
    <definedName name="BloombergTenorMappingTable">[1]Settings!$O$23:$P$26</definedName>
    <definedName name="BloombergViewExtended">[1]Settings!$P$6</definedName>
    <definedName name="BloombergViewSimple">[1]Settings!$P$5</definedName>
    <definedName name="COB">[1]Settings!$E$3</definedName>
    <definedName name="ConfigurationFolder">[1]Settings!$D$38</definedName>
    <definedName name="ConstForwardFXEURCSA">'[1]USD Curve Config'!$BY$8:$BZ$52</definedName>
    <definedName name="ConstForwardFXGBPCSA">'[1]USD Curve Config'!$CB$8:$CC$52</definedName>
    <definedName name="ConstForwardFXJPYCSA">'[1]USD Curve Config'!$CE$8:$CF$52</definedName>
    <definedName name="ConstForwardFXProperties">'[1]USD Curve Config'!$BV$8:$BW$52</definedName>
    <definedName name="ConvexityVolEUR">[1]Settings!$G$14</definedName>
    <definedName name="ConvexityVolGBP">[1]Settings!$G$15</definedName>
    <definedName name="ConvexityVolJPY">[1]Settings!$G$16</definedName>
    <definedName name="ConvexityVolUSD">[1]Settings!$G$13</definedName>
    <definedName name="Currency_DF">[2]Convention!$B$122:$B$142</definedName>
    <definedName name="Currency_FWD_SR">[2]Convention!$B$147:$B$167</definedName>
    <definedName name="CurveErrorsEUR">'[1]Multi-Curves'!$AG$15</definedName>
    <definedName name="CurveErrorsGBP">'[1]Multi-Curves'!$AG$24</definedName>
    <definedName name="CurveErrorsJPY">'[1]Multi-Curves'!$AG$33</definedName>
    <definedName name="CurveErrorsUSD">'[1]Multi-Curves'!$AG$6</definedName>
    <definedName name="CurveID_EUROIS">[1]Settings!$P$12</definedName>
    <definedName name="CurveID_EURSwaps">[1]Settings!$P$18</definedName>
    <definedName name="CurveID_GBPOIS">[1]Settings!$P$13</definedName>
    <definedName name="CurveID_GBPSwaps">[1]Settings!$P$19</definedName>
    <definedName name="CurveID_JPYOIS">[1]Settings!$P$14</definedName>
    <definedName name="CurveID_JPYSwaps">[1]Settings!$P$20</definedName>
    <definedName name="CurveID_USDOIS">[1]Settings!$P$11</definedName>
    <definedName name="CurveID_USDSwaps">[1]Settings!$P$17</definedName>
    <definedName name="CurveLabels">'[1]Multi-Curves'!$D:$D,'[1]Multi-Curves'!$H:$H,'[1]Multi-Curves'!$L:$L,'[1]Multi-Curves'!$P:$P</definedName>
    <definedName name="CurveName_DF">[2]Convention!$C$122:$V$142</definedName>
    <definedName name="CurveName_FWD">[2]Convention!$C$97:$V$117</definedName>
    <definedName name="CurveName_FWD_SR">[2]Convention!$C$147:$V$167</definedName>
    <definedName name="CurveValuationDateLag">[1]Settings!$O$29:$P$32</definedName>
    <definedName name="CustomSwapOverrideBaseDates2">'[3]Custom Swap'!$BL$18:OFFSET('[3]Custom Swap'!$BL$18,MAX('[3]Custom Swap'!$BL$15-1,0),0)</definedName>
    <definedName name="DiscFactTableCount12ML">'[1]Display Curves'!$AC$285</definedName>
    <definedName name="DiscFactTableCount1ML">'[1]Display Curves'!$Q$285</definedName>
    <definedName name="DiscFactTableCount3ML">'[1]Display Curves'!$U$285</definedName>
    <definedName name="DiscFactTableCount6ML">'[1]Display Curves'!$Y$285</definedName>
    <definedName name="DiscFactTableCountDF">'[1]Display Curves'!$M$285</definedName>
    <definedName name="Display12MLRates">'[1]Display Curves'!$AD$10:OFFSET('[1]Display Curves'!$AD$10,'[1]Display Curves'!$AD$285-1,0)</definedName>
    <definedName name="Display12MLTenors">'[1]Display Curves'!$AB$10:OFFSET('[1]Display Curves'!$AB$10,'[1]Display Curves'!$AB$285-1,0)</definedName>
    <definedName name="Display1MLRates">'[1]Display Curves'!$R$10:OFFSET('[1]Display Curves'!$R$10,'[1]Display Curves'!$R$285-1,0)</definedName>
    <definedName name="Display1MLTenors">'[1]Display Curves'!$P$10:OFFSET('[1]Display Curves'!$P$10,'[1]Display Curves'!$P$285-1,0)</definedName>
    <definedName name="Display3MLRates">'[1]Display Curves'!$V$10:OFFSET('[1]Display Curves'!$V$10,'[1]Display Curves'!$V$285-1,0)</definedName>
    <definedName name="Display3MLTenors">'[1]Display Curves'!$T$10:OFFSET('[1]Display Curves'!$T$10,'[1]Display Curves'!$T$285-1,0)</definedName>
    <definedName name="Display6MLRates">'[1]Display Curves'!$Z$10:OFFSET('[1]Display Curves'!$Z$10,'[1]Display Curves'!$Z$285-1,0)</definedName>
    <definedName name="Display6MLTenors">'[1]Display Curves'!$X$10:OFFSET('[1]Display Curves'!$X$10,'[1]Display Curves'!$X$285-1,0)</definedName>
    <definedName name="DisplayCurve">[1]Settings!$B$32</definedName>
    <definedName name="DisplayDiscountRates">'[1]Display Curves'!$N$10:OFFSET('[1]Display Curves'!$N$10,'[1]Display Curves'!$N$285-1,0)</definedName>
    <definedName name="DisplayDiscountTenors">'[1]Display Curves'!$L$10:OFFSET('[1]Display Curves'!$L$10,'[1]Display Curves'!$L$285-1,0)</definedName>
    <definedName name="DisplayOISRates">'[1]Display Curves'!$J$10:OFFSET('[1]Display Curves'!$J$10,'[1]Display Curves'!$J$285-1,0)</definedName>
    <definedName name="DisplayOISTenors">'[1]Display Curves'!$H$10:OFFSET('[1]Display Curves'!$H$10,'[1]Display Curves'!$H$285-1,0)</definedName>
    <definedName name="EnableConvexityEUR">[1]Settings!$E$14</definedName>
    <definedName name="EnableConvexityGBP">[1]Settings!$E$15</definedName>
    <definedName name="EnableConvexityJPY">[1]Settings!$E$16</definedName>
    <definedName name="EnableConvexityUSD">[1]Settings!$E$13</definedName>
    <definedName name="ErrorCountEUREURCSA">'[1]Multi-Curves'!$AC$15:$AC$21</definedName>
    <definedName name="ErrorCountEURGBPCSA">'[1]Multi-Curves'!$AD$15:$AD$21</definedName>
    <definedName name="ErrorCountEURJPYCSA">'[1]Multi-Curves'!$AE$15:$AE$21</definedName>
    <definedName name="ErrorCountEURUSDCSA">'[1]Multi-Curves'!$AB$15:$AB$21</definedName>
    <definedName name="ErrorCountGBPEURCSA">'[1]Multi-Curves'!$AC$24:$AC$30</definedName>
    <definedName name="ErrorCountGBPGBPCSA">'[1]Multi-Curves'!$AD$24:$AD$30</definedName>
    <definedName name="ErrorCountGBPJPYCSA">'[1]Multi-Curves'!$AE$24:$AE$30</definedName>
    <definedName name="ErrorCountGBPUSDCSA">'[1]Multi-Curves'!$AB$24:$AB$30</definedName>
    <definedName name="ErrorCountJPYEURCSA">'[1]Multi-Curves'!$AC$33:$AC$39</definedName>
    <definedName name="ErrorCountJPYGBPCSA">'[1]Multi-Curves'!$AD$33:$AD$39</definedName>
    <definedName name="ErrorCountJPYJPYCSA">'[1]Multi-Curves'!$AE$33:$AE$39</definedName>
    <definedName name="ErrorCountJPYUSDCSA">'[1]Multi-Curves'!$AB$33:$AB$39</definedName>
    <definedName name="ErrorCountUSDEURCSA">'[1]Multi-Curves'!$AC$6:$AC$12</definedName>
    <definedName name="ErrorCountUSDGBPCSA">'[1]Multi-Curves'!$AD$6:$AD$12</definedName>
    <definedName name="ErrorCountUSDJPYCSA">'[1]Multi-Curves'!$AE$6:$AE$12</definedName>
    <definedName name="ErrorCountUSDUSDCSA">'[1]Multi-Curves'!$AB$6:$AB$12</definedName>
    <definedName name="FixingTable.BloombergDisplayOrder">'[1]Fixing Table'!$C$7</definedName>
    <definedName name="FixingTable.BloombergFixingField">'[1]Fixing Table'!$C$5</definedName>
    <definedName name="FixingTable.BloombergShowDates">'[1]Fixing Table'!$C$6</definedName>
    <definedName name="FixingTable.EndDate">'[1]Fixing Table'!$C$4</definedName>
    <definedName name="FixingTable.StartDate">'[1]Fixing Table'!$C$3</definedName>
    <definedName name="FRAConv">'[1]USD Curve Config'!$AB$8:$AC$12</definedName>
    <definedName name="FRADatax3">'[1]USD Curve Config'!$AB$16:$AC$25</definedName>
    <definedName name="FRADatax6">'[1]USD Curve Config'!$AB$29:$AC$52</definedName>
    <definedName name="Frequency">[2]Convention!$B$3:$D$8</definedName>
    <definedName name="FuturesConv">'[1]USD Curve Config'!$AE$8:$AF$12</definedName>
    <definedName name="FuturesData">'[1]USD Curve Config'!$AE$16:$AI$52</definedName>
    <definedName name="FwdFXConstCurveNamesFWDFX">'[1]USD Curve Config'!$C$43</definedName>
    <definedName name="FXConvention">[2]Convention!$B$72:$E$92</definedName>
    <definedName name="IncludeTodaysPayments">[1]Settings!$E$4</definedName>
    <definedName name="isLivePrice">[1]Settings!$E$5</definedName>
    <definedName name="isLoadedCurveUSD_EURCSA">'[1]Multi-Curves'!$V$10</definedName>
    <definedName name="isLoadedCurveUSD_GBPCSA">'[1]Multi-Curves'!$W$10</definedName>
    <definedName name="isLoadedCurveUSD_JPYCSA">'[1]Multi-Curves'!$X$10</definedName>
    <definedName name="isLoadedCurveUSD_USDCSA">'[1]Multi-Curves'!$U$10</definedName>
    <definedName name="isLoadedXccyEUR_EURCSA">'[1]Multi-Curves'!$V$20</definedName>
    <definedName name="isLoadedXccyGBP_GBPCSA">'[1]Multi-Curves'!$W$29</definedName>
    <definedName name="isLoadedXccyJPY_JPYCSA">'[1]Multi-Curves'!$X$38</definedName>
    <definedName name="LiborConv">'[1]USD Curve Config'!$Y$15:$Z$25</definedName>
    <definedName name="LIBORConvention">[2]Convention!$B$20:$H$39</definedName>
    <definedName name="LiborData">'[1]USD Curve Config'!$Y$29:$Z$52</definedName>
    <definedName name="MeanReversionEUR">[1]Settings!$F$14</definedName>
    <definedName name="MeanReversionGBP">[1]Settings!$F$15</definedName>
    <definedName name="MeanReversionJPY">[1]Settings!$F$16</definedName>
    <definedName name="MeanReversionUSD">[1]Settings!$F$13</definedName>
    <definedName name="MoneyMarketData">'[1]USD Curve Config'!$Y$8:$Z$12</definedName>
    <definedName name="OISConv">'[1]USD Curve Config'!$J$8:$K$15</definedName>
    <definedName name="OISCurveNamesFWDFX">'[1]USD Curve Config'!$C$38</definedName>
    <definedName name="OISCurveNamesNativeCSA">'[1]USD Curve Config'!$C$8</definedName>
    <definedName name="OISHistoricalRates">'[1]USD Curve Config'!$S$9:$T$52</definedName>
    <definedName name="OISRates">'[1]USD Curve Config'!$M$9:$Q$52</definedName>
    <definedName name="SlidingRule">[2]Convention!$B$12:$C$16</definedName>
    <definedName name="SwapConvention">[2]Convention!$B$43:$H$62</definedName>
    <definedName name="SwapCouponFrequencyStringTable">[1]Settings!$O$36:$P$40</definedName>
    <definedName name="SwapCurveNameDF2">'[1]USD Curve Config'!$C$20</definedName>
    <definedName name="SwapCurveNamesFWDFX">'[1]USD Curve Config'!$C$39</definedName>
    <definedName name="SwapCurveNamesNativeCSA">'[1]USD Curve Config'!$C$9</definedName>
    <definedName name="SwapDefaultsCalculationEUR">'[1]Swap Defaults'!$X$15:$Y$21</definedName>
    <definedName name="SwapDefaultsCalculationGBP">'[1]Swap Defaults'!$X$24:$Y$30</definedName>
    <definedName name="SwapDefaultsCalculationJPY">'[1]Swap Defaults'!$X$33:$Y$39</definedName>
    <definedName name="SwapDefaultsCalculationUSD">'[1]Swap Defaults'!$X$6:$Y$12</definedName>
    <definedName name="SwapDefaultsCurveEUR">'[1]Swap Defaults'!$U$15:$V$21</definedName>
    <definedName name="SwapDefaultsCurveGBP">'[1]Swap Defaults'!$U$24:$V$30</definedName>
    <definedName name="SwapDefaultsCurveJPY">'[1]Swap Defaults'!$U$33:$V$39</definedName>
    <definedName name="SwapDefaultsCurveUSD">'[1]Swap Defaults'!$U$6:$V$12</definedName>
    <definedName name="SwapDefaultsTradeEUR">'[1]Swap Defaults'!$AA$15:$AB$21</definedName>
    <definedName name="SwapDefaultsTradeGBP">'[1]Swap Defaults'!$AA$24:$AB$30</definedName>
    <definedName name="SwapDefaultsTradeJPY">'[1]Swap Defaults'!$AA$33:$AB$39</definedName>
    <definedName name="SwapDefaultsTradeUSD">'[1]Swap Defaults'!$AA$6:$AB$12</definedName>
    <definedName name="SwapsConv">'[1]USD Curve Config'!$AK$8:$AL$52</definedName>
    <definedName name="SwapsData">'[1]USD Curve Config'!$AN$9:$AP$52</definedName>
    <definedName name="TenorBasis1x3CurveNamesFWDFX">'[1]USD Curve Config'!$C$41</definedName>
    <definedName name="TenorBasis1x3CurveNamesNativeCSA">'[1]USD Curve Config'!$C$11</definedName>
    <definedName name="TenorBasis3x12CurveNamesFWDFX">'[1]USD Curve Config'!$C$42</definedName>
    <definedName name="TenorBasis3x12CurveNamesNativeCSA">'[1]USD Curve Config'!$C$12</definedName>
    <definedName name="TenorBasis3x6CurveNamesFWDFX">'[1]USD Curve Config'!$C$40</definedName>
    <definedName name="TenorBasis3x6CurveNamesNativeCSA">'[1]USD Curve Config'!$C$10</definedName>
    <definedName name="UseLiveBloombergData">[1]Settings!$E$9</definedName>
    <definedName name="YieldCurvePropertiesOIS">'[1]USD Curve Config'!$G$8:$H$24</definedName>
    <definedName name="YieldCurvePropertiesSTD">'[1]USD Curve Config'!$V$8:$W$52</definedName>
    <definedName name="YieldCurvePropertiesTenorBasis">'[1]USD Curve Config'!$AR$8:$AS$52</definedName>
  </definedNames>
  <calcPr calcId="145621" calcMode="manual" calcOnSave="0"/>
</workbook>
</file>

<file path=xl/calcChain.xml><?xml version="1.0" encoding="utf-8"?>
<calcChain xmlns="http://schemas.openxmlformats.org/spreadsheetml/2006/main">
  <c r="E3" i="1" l="1" a="1"/>
  <c r="L4" i="1" a="1"/>
  <c r="C24" i="1"/>
  <c r="K4" i="1" a="1"/>
  <c r="K5" i="1" l="1"/>
  <c r="K4" i="1"/>
  <c r="K12" i="1"/>
  <c r="K11" i="1"/>
  <c r="K8" i="1"/>
  <c r="K10" i="1"/>
  <c r="K15" i="1"/>
  <c r="K7" i="1"/>
  <c r="K18" i="1"/>
  <c r="K20" i="1"/>
  <c r="K13" i="1"/>
  <c r="K21" i="1"/>
  <c r="K17" i="1"/>
  <c r="K6" i="1"/>
  <c r="K16" i="1"/>
  <c r="K14" i="1"/>
  <c r="K19" i="1"/>
  <c r="K9" i="1"/>
  <c r="L19" i="1"/>
  <c r="L9" i="1"/>
  <c r="L17" i="1"/>
  <c r="L7" i="1"/>
  <c r="L6" i="1"/>
  <c r="L21" i="1"/>
  <c r="L4" i="1"/>
  <c r="L15" i="1"/>
  <c r="L18" i="1"/>
  <c r="L13" i="1"/>
  <c r="L5" i="1"/>
  <c r="L10" i="1"/>
  <c r="L14" i="1"/>
  <c r="L20" i="1"/>
  <c r="L11" i="1"/>
  <c r="L16" i="1"/>
  <c r="L8" i="1"/>
  <c r="L12" i="1"/>
  <c r="G4" i="1"/>
  <c r="I21" i="1"/>
  <c r="E9" i="1"/>
  <c r="F15" i="1"/>
  <c r="G21" i="1"/>
  <c r="H8" i="1"/>
  <c r="H3" i="1"/>
  <c r="E5" i="1"/>
  <c r="F11" i="1"/>
  <c r="G17" i="1"/>
  <c r="H4" i="1"/>
  <c r="E10" i="1"/>
  <c r="H15" i="1"/>
  <c r="F20" i="1"/>
  <c r="G7" i="1"/>
  <c r="H13" i="1"/>
  <c r="I19" i="1"/>
  <c r="E7" i="1"/>
  <c r="G19" i="1"/>
  <c r="G3" i="1"/>
  <c r="H9" i="1"/>
  <c r="I15" i="1"/>
  <c r="E3" i="1"/>
  <c r="F5" i="1"/>
  <c r="E14" i="1"/>
  <c r="H18" i="1"/>
  <c r="I5" i="1"/>
  <c r="E12" i="1"/>
  <c r="F18" i="1"/>
  <c r="G5" i="1"/>
  <c r="I17" i="1"/>
  <c r="I20" i="1"/>
  <c r="E8" i="1"/>
  <c r="F14" i="1"/>
  <c r="G16" i="1"/>
  <c r="E21" i="1"/>
  <c r="G12" i="1"/>
  <c r="E17" i="1"/>
  <c r="F4" i="1"/>
  <c r="G10" i="1"/>
  <c r="H16" i="1"/>
  <c r="I3" i="1"/>
  <c r="H14" i="1"/>
  <c r="F19" i="1"/>
  <c r="G6" i="1"/>
  <c r="H12" i="1"/>
  <c r="G8" i="1"/>
  <c r="F16" i="1"/>
  <c r="I10" i="1"/>
  <c r="G15" i="1"/>
  <c r="H21" i="1"/>
  <c r="I8" i="1"/>
  <c r="E15" i="1"/>
  <c r="H19" i="1"/>
  <c r="G11" i="1"/>
  <c r="H17" i="1"/>
  <c r="I4" i="1"/>
  <c r="E11" i="1"/>
  <c r="E6" i="1"/>
  <c r="E13" i="1"/>
  <c r="F9" i="1"/>
  <c r="I13" i="1"/>
  <c r="E20" i="1"/>
  <c r="F7" i="1"/>
  <c r="G13" i="1"/>
  <c r="I14" i="1"/>
  <c r="I9" i="1"/>
  <c r="E16" i="1"/>
  <c r="F3" i="1"/>
  <c r="G9" i="1"/>
  <c r="F21" i="1"/>
  <c r="G20" i="1"/>
  <c r="H7" i="1"/>
  <c r="E4" i="1"/>
  <c r="F10" i="1"/>
  <c r="H6" i="1"/>
  <c r="I12" i="1"/>
  <c r="F6" i="1"/>
  <c r="F17" i="1"/>
  <c r="F12" i="1"/>
  <c r="G18" i="1"/>
  <c r="H5" i="1"/>
  <c r="I11" i="1"/>
  <c r="H11" i="1"/>
  <c r="F8" i="1"/>
  <c r="G14" i="1"/>
  <c r="H20" i="1"/>
  <c r="I7" i="1"/>
  <c r="E18" i="1"/>
  <c r="I18" i="1"/>
  <c r="H10" i="1"/>
  <c r="I16" i="1"/>
  <c r="I6" i="1"/>
  <c r="E19" i="1"/>
  <c r="F13" i="1"/>
  <c r="M18" i="1"/>
  <c r="M20" i="1"/>
  <c r="M6" i="1"/>
  <c r="M5" i="1"/>
  <c r="M7" i="1"/>
  <c r="M12" i="1"/>
  <c r="M11" i="1"/>
  <c r="M4" i="1"/>
  <c r="M21" i="1"/>
  <c r="M17" i="1"/>
  <c r="M13" i="1"/>
  <c r="M16" i="1"/>
  <c r="M8" i="1"/>
  <c r="M14" i="1"/>
  <c r="M10" i="1"/>
  <c r="M15" i="1"/>
  <c r="M19" i="1"/>
  <c r="M9" i="1"/>
</calcChain>
</file>

<file path=xl/sharedStrings.xml><?xml version="1.0" encoding="utf-8"?>
<sst xmlns="http://schemas.openxmlformats.org/spreadsheetml/2006/main" count="61" uniqueCount="35">
  <si>
    <t>AccrualEndDate</t>
  </si>
  <si>
    <t>AccrualCalendar</t>
  </si>
  <si>
    <t>PaymentRollConv</t>
  </si>
  <si>
    <t>PaymentCalendar</t>
  </si>
  <si>
    <t>PaymentLag</t>
  </si>
  <si>
    <t>FixingLag</t>
  </si>
  <si>
    <t>FixingRollConv</t>
  </si>
  <si>
    <t>FixingCalendar</t>
  </si>
  <si>
    <t>FirstStub</t>
  </si>
  <si>
    <t>LastStub</t>
  </si>
  <si>
    <t>AccrualRollConv</t>
  </si>
  <si>
    <t>AccrualFreq</t>
  </si>
  <si>
    <t>PaymentFreq</t>
  </si>
  <si>
    <t>TGT</t>
  </si>
  <si>
    <t>AccrualStartDate</t>
  </si>
  <si>
    <t>mirCalcDates</t>
  </si>
  <si>
    <t>Schedule Parameters</t>
  </si>
  <si>
    <t xml:space="preserve"> </t>
  </si>
  <si>
    <t>FixingAdvOrArrears</t>
  </si>
  <si>
    <t>ShowHeaders</t>
  </si>
  <si>
    <t>ADVANCE</t>
  </si>
  <si>
    <t>Annual</t>
  </si>
  <si>
    <t>Pay Dates</t>
  </si>
  <si>
    <t>Accrual Dates</t>
  </si>
  <si>
    <t>RollDayOrConv</t>
  </si>
  <si>
    <t>mirGetTerm</t>
  </si>
  <si>
    <t>Accrual Period</t>
  </si>
  <si>
    <t>AccrualDaycount</t>
  </si>
  <si>
    <t>mirSwapSchedule</t>
  </si>
  <si>
    <t>30/360</t>
  </si>
  <si>
    <t>NO_CHANGE</t>
  </si>
  <si>
    <t>0D</t>
  </si>
  <si>
    <t>mirGetDate</t>
  </si>
  <si>
    <t>5Y</t>
  </si>
  <si>
    <t>AccrualEndDtOrTenor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</si>
</sst>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64" formatCode="0.000%"/>
    <numFmt numFmtId="165" formatCode="dd/m/yy"/>
    <numFmt numFmtId="166" formatCode="_(* #,##0_);_(* \(#,##0\);_(* &quot;-&quot;_);_(@_)"/>
    <numFmt numFmtId="167" formatCode="_(* #,##0.00_);_(* \(#,##0.00\);_(* &quot;-&quot;??_);_(@_)"/>
    <numFmt numFmtId="168" formatCode="_(&quot;$&quot;* #,##0_);_(&quot;$&quot;* \(#,##0\);_(&quot;$&quot;* &quot;-&quot;_);_(@_)"/>
    <numFmt numFmtId="169" formatCode="_(&quot;$&quot;* #,##0.00_);_(&quot;$&quot;* \(#,##0.00\);_(&quot;$&quot;* &quot;-&quot;??_);_(@_)"/>
    <numFmt numFmtId="170" formatCode="dd\-mmm\-yy;dd\-mmm\-yy;"/>
    <numFmt numFmtId="171" formatCode="_ * #,##0_ ;_ * \-#,##0_ ;_ * &quot;-&quot;_ ;_ @_ "/>
    <numFmt numFmtId="172" formatCode="#,##0.0000"/>
    <numFmt numFmtId="173" formatCode="#,##0.0000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0"/>
      <name val="Courier"/>
      <family val="3"/>
    </font>
    <font>
      <sz val="8"/>
      <name val="Arial"/>
      <family val="2"/>
    </font>
    <font>
      <b/>
      <sz val="9"/>
      <color indexed="12"/>
      <name val="Tahoma"/>
      <family val="2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0"/>
      <name val="Arial"/>
      <family val="2"/>
    </font>
    <font>
      <sz val="10"/>
      <name val="MS Sans Serif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MS Sans Serif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</borders>
  <cellStyleXfs count="54">
    <xf numFmtId="0" fontId="0" fillId="0" borderId="0"/>
    <xf numFmtId="0" fontId="3" fillId="0" borderId="0">
      <alignment vertical="center"/>
    </xf>
    <xf numFmtId="0" fontId="4" fillId="4" borderId="0" applyNumberFormat="0" applyFont="0" applyBorder="0" applyAlignment="0" applyProtection="0"/>
    <xf numFmtId="164" fontId="5" fillId="5" borderId="0"/>
    <xf numFmtId="38" fontId="6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0" fontId="9" fillId="6" borderId="6" applyNumberFormat="0" applyFont="0" applyBorder="0" applyAlignment="0" applyProtection="0">
      <alignment horizontal="centerContinuous"/>
    </xf>
    <xf numFmtId="0" fontId="10" fillId="7" borderId="0" applyNumberFormat="0" applyBorder="0" applyAlignment="0">
      <alignment horizontal="center"/>
    </xf>
    <xf numFmtId="0" fontId="11" fillId="8" borderId="7">
      <alignment horizontal="center"/>
      <protection locked="0"/>
    </xf>
    <xf numFmtId="0" fontId="12" fillId="9" borderId="8" applyNumberFormat="0" applyFont="0" applyBorder="0" applyAlignment="0">
      <alignment horizontal="centerContinuous"/>
    </xf>
    <xf numFmtId="0" fontId="13" fillId="10" borderId="0" applyNumberFormat="0" applyFont="0" applyBorder="0" applyAlignment="0" applyProtection="0"/>
    <xf numFmtId="2" fontId="8" fillId="11" borderId="9" applyNumberFormat="0" applyBorder="0">
      <alignment horizontal="right" vertical="center"/>
    </xf>
    <xf numFmtId="2" fontId="14" fillId="12" borderId="10" applyBorder="0">
      <alignment horizontal="left" vertical="center"/>
    </xf>
    <xf numFmtId="10" fontId="15" fillId="13" borderId="0" applyBorder="0">
      <alignment horizontal="right"/>
      <protection locked="0"/>
    </xf>
    <xf numFmtId="15" fontId="15" fillId="13" borderId="11" applyBorder="0">
      <alignment horizontal="center"/>
      <protection locked="0"/>
    </xf>
    <xf numFmtId="15" fontId="15" fillId="13" borderId="0" applyBorder="0">
      <alignment horizontal="left"/>
      <protection locked="0"/>
    </xf>
    <xf numFmtId="2" fontId="16" fillId="14" borderId="10" applyNumberFormat="0">
      <alignment horizontal="center" vertical="center"/>
    </xf>
    <xf numFmtId="165" fontId="17" fillId="15" borderId="8" applyBorder="0">
      <alignment horizontal="left"/>
      <protection locked="0"/>
    </xf>
    <xf numFmtId="165" fontId="17" fillId="15" borderId="12" applyBorder="0">
      <alignment horizontal="right"/>
      <protection locked="0"/>
    </xf>
    <xf numFmtId="166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0" fontId="8" fillId="0" borderId="0"/>
    <xf numFmtId="0" fontId="6" fillId="0" borderId="0">
      <alignment vertical="center"/>
    </xf>
    <xf numFmtId="0" fontId="7" fillId="0" borderId="0">
      <alignment vertical="center"/>
    </xf>
    <xf numFmtId="0" fontId="18" fillId="16" borderId="0" applyNumberFormat="0" applyFont="0" applyBorder="0" applyAlignment="0" applyProtection="0"/>
    <xf numFmtId="0" fontId="18" fillId="17" borderId="0" applyNumberFormat="0" applyFont="0" applyBorder="0" applyAlignment="0" applyProtection="0"/>
    <xf numFmtId="0" fontId="18" fillId="18" borderId="0" applyNumberFormat="0" applyFont="0" applyBorder="0" applyAlignment="0" applyProtection="0">
      <alignment horizontal="center"/>
    </xf>
    <xf numFmtId="0" fontId="18" fillId="19" borderId="13" applyNumberFormat="0" applyFont="0" applyBorder="0" applyAlignment="0" applyProtection="0"/>
    <xf numFmtId="0" fontId="18" fillId="20" borderId="13" applyNumberFormat="0" applyFont="0" applyBorder="0" applyAlignment="0"/>
    <xf numFmtId="0" fontId="18" fillId="21" borderId="13" applyNumberFormat="0" applyFont="0" applyBorder="0" applyAlignment="0"/>
    <xf numFmtId="0" fontId="4" fillId="22" borderId="0" applyNumberFormat="0" applyFont="0" applyBorder="0" applyAlignment="0" applyProtection="0">
      <alignment horizontal="center"/>
      <protection hidden="1"/>
    </xf>
    <xf numFmtId="0" fontId="8" fillId="4" borderId="0" applyNumberFormat="0" applyFont="0" applyBorder="0" applyAlignment="0" applyProtection="0">
      <protection hidden="1"/>
    </xf>
    <xf numFmtId="0" fontId="8" fillId="23" borderId="0" applyNumberFormat="0" applyFont="0" applyBorder="0" applyAlignment="0" applyProtection="0">
      <protection hidden="1"/>
    </xf>
    <xf numFmtId="0" fontId="8" fillId="24" borderId="0" applyNumberFormat="0" applyFont="0" applyBorder="0" applyAlignment="0" applyProtection="0">
      <protection hidden="1"/>
    </xf>
    <xf numFmtId="0" fontId="8" fillId="25" borderId="0" applyNumberFormat="0" applyFont="0" applyBorder="0" applyAlignment="0" applyProtection="0">
      <protection hidden="1"/>
    </xf>
    <xf numFmtId="0" fontId="8" fillId="26" borderId="0" applyNumberFormat="0" applyFont="0" applyBorder="0" applyAlignment="0" applyProtection="0">
      <protection hidden="1"/>
    </xf>
    <xf numFmtId="0" fontId="8" fillId="27" borderId="0" applyNumberFormat="0" applyFont="0" applyBorder="0" applyAlignment="0" applyProtection="0">
      <protection hidden="1"/>
    </xf>
    <xf numFmtId="9" fontId="8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0" fontId="19" fillId="0" borderId="14" applyBorder="0">
      <alignment horizontal="center"/>
      <protection locked="0"/>
    </xf>
    <xf numFmtId="0" fontId="8" fillId="0" borderId="0">
      <alignment horizontal="left" wrapText="1"/>
    </xf>
    <xf numFmtId="9" fontId="6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171" fontId="8" fillId="0" borderId="0" applyFont="0" applyFill="0" applyBorder="0" applyAlignment="0" applyProtection="0"/>
    <xf numFmtId="0" fontId="6" fillId="0" borderId="0">
      <alignment vertical="center"/>
    </xf>
    <xf numFmtId="0" fontId="20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</cellStyleXfs>
  <cellXfs count="46">
    <xf numFmtId="0" fontId="0" fillId="0" borderId="0" xfId="0"/>
    <xf numFmtId="0" fontId="1" fillId="0" borderId="0" xfId="0" applyFont="1"/>
    <xf numFmtId="0" fontId="2" fillId="0" borderId="0" xfId="0" applyFont="1"/>
    <xf numFmtId="15" fontId="0" fillId="2" borderId="1" xfId="0" applyNumberFormat="1" applyFill="1" applyBorder="1" applyAlignment="1">
      <alignment horizontal="center" vertical="center"/>
    </xf>
    <xf numFmtId="15" fontId="0" fillId="0" borderId="0" xfId="0" applyNumberFormat="1"/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15" fontId="0" fillId="0" borderId="2" xfId="0" applyNumberFormat="1" applyBorder="1" applyAlignment="1">
      <alignment horizontal="center" vertic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15" fontId="2" fillId="3" borderId="4" xfId="0" applyNumberFormat="1" applyFont="1" applyFill="1" applyBorder="1" applyAlignment="1">
      <alignment horizontal="center" vertical="center"/>
    </xf>
    <xf numFmtId="15" fontId="2" fillId="3" borderId="15" xfId="0" applyNumberFormat="1" applyFont="1" applyFill="1" applyBorder="1" applyAlignment="1">
      <alignment horizontal="center" vertical="center"/>
    </xf>
    <xf numFmtId="15" fontId="2" fillId="3" borderId="16" xfId="0" applyNumberFormat="1" applyFont="1" applyFill="1" applyBorder="1" applyAlignment="1">
      <alignment horizontal="center" vertical="center"/>
    </xf>
    <xf numFmtId="15" fontId="2" fillId="3" borderId="17" xfId="0" applyNumberFormat="1" applyFont="1" applyFill="1" applyBorder="1" applyAlignment="1">
      <alignment horizontal="center" vertical="center"/>
    </xf>
    <xf numFmtId="15" fontId="2" fillId="3" borderId="0" xfId="0" applyNumberFormat="1" applyFont="1" applyFill="1" applyBorder="1" applyAlignment="1">
      <alignment horizontal="center" vertical="center"/>
    </xf>
    <xf numFmtId="15" fontId="2" fillId="3" borderId="18" xfId="0" applyNumberFormat="1" applyFont="1" applyFill="1" applyBorder="1" applyAlignment="1">
      <alignment horizontal="center" vertical="center"/>
    </xf>
    <xf numFmtId="15" fontId="2" fillId="3" borderId="5" xfId="0" applyNumberFormat="1" applyFont="1" applyFill="1" applyBorder="1" applyAlignment="1">
      <alignment horizontal="center" vertical="center"/>
    </xf>
    <xf numFmtId="15" fontId="2" fillId="3" borderId="19" xfId="0" applyNumberFormat="1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15" fontId="0" fillId="2" borderId="2" xfId="0" applyNumberFormat="1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28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15" fontId="0" fillId="0" borderId="0" xfId="0" applyNumberFormat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49" fontId="0" fillId="0" borderId="2" xfId="0" quotePrefix="1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73" fontId="0" fillId="0" borderId="0" xfId="0" applyNumberFormat="1"/>
    <xf numFmtId="15" fontId="21" fillId="3" borderId="4" xfId="0" applyNumberFormat="1" applyFont="1" applyFill="1" applyBorder="1" applyAlignment="1">
      <alignment horizontal="center" vertical="center"/>
    </xf>
    <xf numFmtId="172" fontId="2" fillId="3" borderId="18" xfId="0" applyNumberFormat="1" applyFont="1" applyFill="1" applyBorder="1" applyAlignment="1">
      <alignment horizontal="center" vertical="center"/>
    </xf>
    <xf numFmtId="172" fontId="2" fillId="3" borderId="20" xfId="0" applyNumberFormat="1" applyFont="1" applyFill="1" applyBorder="1" applyAlignment="1">
      <alignment horizontal="center" vertical="center"/>
    </xf>
    <xf numFmtId="4" fontId="21" fillId="3" borderId="16" xfId="0" applyNumberFormat="1" applyFont="1" applyFill="1" applyBorder="1" applyAlignment="1">
      <alignment horizontal="center" vertical="center"/>
    </xf>
    <xf numFmtId="15" fontId="21" fillId="3" borderId="15" xfId="0" applyNumberFormat="1" applyFont="1" applyFill="1" applyBorder="1" applyAlignment="1">
      <alignment horizontal="center" vertical="center"/>
    </xf>
    <xf numFmtId="172" fontId="2" fillId="3" borderId="0" xfId="0" applyNumberFormat="1" applyFont="1" applyFill="1" applyBorder="1" applyAlignment="1">
      <alignment horizontal="center" vertical="center"/>
    </xf>
    <xf numFmtId="172" fontId="2" fillId="3" borderId="15" xfId="0" applyNumberFormat="1" applyFont="1" applyFill="1" applyBorder="1" applyAlignment="1">
      <alignment horizontal="center" vertical="center"/>
    </xf>
    <xf numFmtId="172" fontId="2" fillId="3" borderId="19" xfId="0" applyNumberFormat="1" applyFont="1" applyFill="1" applyBorder="1" applyAlignment="1">
      <alignment horizontal="center" vertical="center"/>
    </xf>
    <xf numFmtId="15" fontId="2" fillId="3" borderId="20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15" fontId="0" fillId="0" borderId="3" xfId="0" applyNumberForma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</cellXfs>
  <cellStyles count="54">
    <cellStyle name="=C:\WINNT35\SYSTEM32\COMMAND.COM" xfId="1"/>
    <cellStyle name="Background" xfId="2"/>
    <cellStyle name="calc" xfId="3"/>
    <cellStyle name="Comma [0] 2" xfId="4"/>
    <cellStyle name="Comma [0] 3" xfId="5"/>
    <cellStyle name="Comma 2" xfId="6"/>
    <cellStyle name="Data" xfId="7"/>
    <cellStyle name="Data2" xfId="8"/>
    <cellStyle name="Data5" xfId="9"/>
    <cellStyle name="Header" xfId="10"/>
    <cellStyle name="Hidden" xfId="11"/>
    <cellStyle name="InputDataRow" xfId="12"/>
    <cellStyle name="InputLabelRow" xfId="13"/>
    <cellStyle name="InputPc2Right" xfId="14"/>
    <cellStyle name="InputShortText" xfId="15"/>
    <cellStyle name="InputTextLeft" xfId="16"/>
    <cellStyle name="IntermediateLabelColumn" xfId="17"/>
    <cellStyle name="LabelLeft" xfId="18"/>
    <cellStyle name="LabelRight" xfId="19"/>
    <cellStyle name="Milliers [0]_Open&amp;Close" xfId="20"/>
    <cellStyle name="Milliers_Open&amp;Close" xfId="21"/>
    <cellStyle name="Mon?taire [0]_Open&amp;Close" xfId="22"/>
    <cellStyle name="Mon?taire_Open&amp;Close" xfId="23"/>
    <cellStyle name="Monétaire [0]_Open&amp;Close" xfId="24"/>
    <cellStyle name="Monétaire_Open&amp;Close" xfId="25"/>
    <cellStyle name="Normal" xfId="0" builtinId="0"/>
    <cellStyle name="Normal 2" xfId="26"/>
    <cellStyle name="Normal 3" xfId="27"/>
    <cellStyle name="Normal 4" xfId="28"/>
    <cellStyle name="Page 1" xfId="29"/>
    <cellStyle name="Page 2" xfId="30"/>
    <cellStyle name="Page 3" xfId="31"/>
    <cellStyle name="Page 4" xfId="32"/>
    <cellStyle name="Page 5" xfId="33"/>
    <cellStyle name="Page 6" xfId="34"/>
    <cellStyle name="Page 7" xfId="35"/>
    <cellStyle name="Page1" xfId="36"/>
    <cellStyle name="Page2" xfId="37"/>
    <cellStyle name="Page3" xfId="38"/>
    <cellStyle name="Page4" xfId="39"/>
    <cellStyle name="Page5" xfId="40"/>
    <cellStyle name="Page6" xfId="41"/>
    <cellStyle name="Percent 2" xfId="42"/>
    <cellStyle name="Percent 3" xfId="43"/>
    <cellStyle name="Percent 4" xfId="44"/>
    <cellStyle name="ResultDateCenter" xfId="45"/>
    <cellStyle name="Style 1" xfId="46"/>
    <cellStyle name="パーセント 2" xfId="47"/>
    <cellStyle name="桁区切り 2" xfId="48"/>
    <cellStyle name="桁区切り_DegitalOption_test" xfId="49"/>
    <cellStyle name="標準 2" xfId="50"/>
    <cellStyle name="標準 3" xfId="51"/>
    <cellStyle name="標準 4" xfId="52"/>
    <cellStyle name="標準_examplePortfolio" xfId="53"/>
  </cellStyles>
  <dxfs count="0"/>
  <tableStyles count="0" defaultTableStyle="TableStyleMedium2" defaultPivotStyle="PivotStyleLight16"/>
  <colors>
    <mruColors>
      <color rgb="FF006600"/>
      <color rgb="FF0000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Quant/Excel/M-LIB%20Swap%20Pricer/Swap%20Pricer%20v0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Quant/Excel/Vanilla%20Pricer/APPL/pricer/CCYSwap%20Pric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3\BurgNi$\My%20Documents\Quant\Dev\Libs\MLIB%20Patches\M-LIB%20Swap%20Schedule\SwapSchedu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Notepad"/>
      <sheetName val="USD Market Data"/>
      <sheetName val="EUR Market Data"/>
      <sheetName val="GBP Market Data"/>
      <sheetName val="JPY Market Data"/>
      <sheetName val="USD Curve Config"/>
      <sheetName val="EUR Curve Config"/>
      <sheetName val="GBP Curve Config"/>
      <sheetName val="JPY Curve Config"/>
      <sheetName val="Multi-Curves"/>
      <sheetName val="Display Curves"/>
      <sheetName val="Curve Charts"/>
      <sheetName val="Swap Defaults"/>
      <sheetName val="Vanilla Swaps"/>
      <sheetName val="Fixing Table"/>
      <sheetName val="Custom Swap"/>
    </sheetNames>
    <sheetDataSet>
      <sheetData sheetId="0">
        <row r="3">
          <cell r="E3">
            <v>42156</v>
          </cell>
          <cell r="P3" t="str">
            <v>CurveDate=Now</v>
          </cell>
          <cell r="U3" t="str">
            <v>1 MO X 7 MO</v>
          </cell>
          <cell r="V3" t="str">
            <v>1X7</v>
          </cell>
        </row>
        <row r="4">
          <cell r="E4" t="b">
            <v>0</v>
          </cell>
          <cell r="P4" t="str">
            <v>Output=Mid</v>
          </cell>
          <cell r="U4" t="str">
            <v>2 MO X 8 MO</v>
          </cell>
          <cell r="V4" t="str">
            <v>2X8</v>
          </cell>
        </row>
        <row r="5">
          <cell r="E5" t="b">
            <v>1</v>
          </cell>
          <cell r="P5" t="str">
            <v>View=Simple</v>
          </cell>
          <cell r="U5" t="str">
            <v>3 MO X 9 MO</v>
          </cell>
          <cell r="V5" t="str">
            <v>3X9</v>
          </cell>
        </row>
        <row r="6">
          <cell r="P6" t="str">
            <v>View=Extended</v>
          </cell>
          <cell r="U6" t="str">
            <v>4 MO X 10 MO</v>
          </cell>
          <cell r="V6" t="str">
            <v>4X10</v>
          </cell>
        </row>
        <row r="7">
          <cell r="P7" t="str">
            <v>Headers=FALSE</v>
          </cell>
          <cell r="U7" t="str">
            <v>5 MO X 11 MO</v>
          </cell>
          <cell r="V7" t="str">
            <v>5X11</v>
          </cell>
        </row>
        <row r="8">
          <cell r="U8" t="str">
            <v>6 MO X 12 MO</v>
          </cell>
          <cell r="V8" t="str">
            <v>6X12</v>
          </cell>
        </row>
        <row r="9">
          <cell r="E9" t="b">
            <v>1</v>
          </cell>
          <cell r="U9" t="str">
            <v>7 MO X 13 MO</v>
          </cell>
          <cell r="V9" t="str">
            <v>7X13</v>
          </cell>
        </row>
        <row r="10">
          <cell r="U10" t="str">
            <v>8 MO X 14 MO</v>
          </cell>
          <cell r="V10" t="str">
            <v>8X14</v>
          </cell>
        </row>
        <row r="11">
          <cell r="P11" t="str">
            <v>S42</v>
          </cell>
          <cell r="U11" t="str">
            <v>9 MO X 15 MO</v>
          </cell>
          <cell r="V11" t="str">
            <v>9X15</v>
          </cell>
        </row>
        <row r="12">
          <cell r="P12" t="str">
            <v>S133</v>
          </cell>
          <cell r="U12" t="str">
            <v>10 MO X 16 MO</v>
          </cell>
          <cell r="V12" t="str">
            <v>10X16</v>
          </cell>
        </row>
        <row r="13">
          <cell r="E13" t="b">
            <v>0</v>
          </cell>
          <cell r="F13">
            <v>0.03</v>
          </cell>
          <cell r="G13">
            <v>8.9999999999999993E-3</v>
          </cell>
          <cell r="P13" t="str">
            <v>S141</v>
          </cell>
          <cell r="U13" t="str">
            <v>11 MO X 17 MO</v>
          </cell>
          <cell r="V13" t="str">
            <v>11X17</v>
          </cell>
        </row>
        <row r="14">
          <cell r="E14" t="b">
            <v>0</v>
          </cell>
          <cell r="F14">
            <v>0.03</v>
          </cell>
          <cell r="G14">
            <v>8.9999999999999993E-3</v>
          </cell>
          <cell r="P14" t="str">
            <v>S195</v>
          </cell>
          <cell r="U14" t="str">
            <v>12 MO X 18 MO</v>
          </cell>
          <cell r="V14" t="str">
            <v>12X18</v>
          </cell>
        </row>
        <row r="15">
          <cell r="E15" t="b">
            <v>0</v>
          </cell>
          <cell r="F15">
            <v>0.03</v>
          </cell>
          <cell r="G15">
            <v>8.9999999999999993E-3</v>
          </cell>
          <cell r="U15" t="str">
            <v>13 MO x 19 MO</v>
          </cell>
          <cell r="V15" t="str">
            <v>13X19</v>
          </cell>
        </row>
        <row r="16">
          <cell r="E16" t="b">
            <v>0</v>
          </cell>
          <cell r="F16">
            <v>0.03</v>
          </cell>
          <cell r="G16">
            <v>8.9999999999999993E-3</v>
          </cell>
          <cell r="U16" t="str">
            <v>14 MO x 20 MO</v>
          </cell>
          <cell r="V16" t="str">
            <v>14X20</v>
          </cell>
        </row>
        <row r="17">
          <cell r="P17" t="str">
            <v>S23</v>
          </cell>
          <cell r="U17" t="str">
            <v>15 MO x 21 MO</v>
          </cell>
          <cell r="V17" t="str">
            <v>15X21</v>
          </cell>
        </row>
        <row r="18">
          <cell r="P18" t="str">
            <v>S45</v>
          </cell>
          <cell r="U18" t="str">
            <v>16 MO x 22 MO</v>
          </cell>
          <cell r="V18" t="str">
            <v>16X22</v>
          </cell>
        </row>
        <row r="19">
          <cell r="P19" t="str">
            <v>S22</v>
          </cell>
          <cell r="U19" t="str">
            <v>17 MO x 23 MO</v>
          </cell>
          <cell r="V19" t="str">
            <v>17X23</v>
          </cell>
        </row>
        <row r="20">
          <cell r="P20" t="str">
            <v>S13</v>
          </cell>
          <cell r="U20" t="str">
            <v>18 MO x 24 MO</v>
          </cell>
          <cell r="V20" t="str">
            <v>18X24</v>
          </cell>
        </row>
        <row r="21">
          <cell r="U21" t="str">
            <v>19 MO x 25 MO</v>
          </cell>
          <cell r="V21" t="str">
            <v>19X25</v>
          </cell>
        </row>
        <row r="22">
          <cell r="U22" t="str">
            <v>20 MO x 26 MO</v>
          </cell>
          <cell r="V22" t="str">
            <v>20X26</v>
          </cell>
        </row>
        <row r="23">
          <cell r="O23" t="str">
            <v>DY</v>
          </cell>
          <cell r="P23" t="str">
            <v>ON</v>
          </cell>
        </row>
        <row r="24">
          <cell r="O24" t="str">
            <v>WK</v>
          </cell>
          <cell r="P24" t="str">
            <v>W</v>
          </cell>
        </row>
        <row r="25">
          <cell r="O25" t="str">
            <v>MO</v>
          </cell>
          <cell r="P25" t="str">
            <v>M</v>
          </cell>
        </row>
        <row r="26">
          <cell r="O26" t="str">
            <v>YR</v>
          </cell>
          <cell r="P26" t="str">
            <v>Y</v>
          </cell>
        </row>
        <row r="29">
          <cell r="O29" t="str">
            <v>USD</v>
          </cell>
          <cell r="P29" t="str">
            <v>2D</v>
          </cell>
        </row>
        <row r="30">
          <cell r="O30" t="str">
            <v>EUR</v>
          </cell>
          <cell r="P30" t="str">
            <v>2D</v>
          </cell>
        </row>
        <row r="31">
          <cell r="O31" t="str">
            <v>GBP</v>
          </cell>
          <cell r="P31" t="str">
            <v>0D</v>
          </cell>
        </row>
        <row r="32">
          <cell r="B32" t="str">
            <v>EUR_EURCSA</v>
          </cell>
          <cell r="O32" t="str">
            <v>JPY</v>
          </cell>
          <cell r="P32" t="str">
            <v>2D</v>
          </cell>
        </row>
        <row r="36">
          <cell r="O36" t="str">
            <v>1D</v>
          </cell>
          <cell r="P36" t="str">
            <v>Daily</v>
          </cell>
        </row>
        <row r="37">
          <cell r="O37" t="str">
            <v>1M</v>
          </cell>
          <cell r="P37" t="str">
            <v>Monthly</v>
          </cell>
        </row>
        <row r="38">
          <cell r="D38" t="str">
            <v>H:\My Documents\Quant\Excel\M-LIB Swap Pricer\configuration</v>
          </cell>
          <cell r="O38" t="str">
            <v>3M</v>
          </cell>
          <cell r="P38" t="str">
            <v>Quarterly</v>
          </cell>
        </row>
        <row r="39">
          <cell r="O39" t="str">
            <v>6M</v>
          </cell>
          <cell r="P39" t="str">
            <v>Semi-Annual</v>
          </cell>
        </row>
        <row r="40">
          <cell r="O40" t="str">
            <v>12M</v>
          </cell>
          <cell r="P40" t="str">
            <v>Annual</v>
          </cell>
        </row>
      </sheetData>
      <sheetData sheetId="1"/>
      <sheetData sheetId="2"/>
      <sheetData sheetId="3"/>
      <sheetData sheetId="4"/>
      <sheetData sheetId="5"/>
      <sheetData sheetId="6">
        <row r="8">
          <cell r="C8" t="str">
            <v>OIS:USDOIS:USDDISCOUNT:USDDF:DF</v>
          </cell>
          <cell r="G8" t="str">
            <v>AsOfDate</v>
          </cell>
          <cell r="H8">
            <v>42156</v>
          </cell>
          <cell r="J8" t="str">
            <v>calendar</v>
          </cell>
          <cell r="K8" t="str">
            <v>NYB</v>
          </cell>
          <cell r="V8" t="str">
            <v>AsOfDate</v>
          </cell>
          <cell r="W8">
            <v>42156</v>
          </cell>
          <cell r="Y8" t="str">
            <v>calendar</v>
          </cell>
          <cell r="Z8" t="str">
            <v>NYB</v>
          </cell>
          <cell r="AB8" t="str">
            <v>calendar</v>
          </cell>
          <cell r="AC8" t="str">
            <v>NYB</v>
          </cell>
          <cell r="AE8" t="str">
            <v>calendar</v>
          </cell>
          <cell r="AF8" t="str">
            <v>NYB</v>
          </cell>
          <cell r="AK8" t="str">
            <v>Calendar</v>
          </cell>
          <cell r="AL8" t="str">
            <v>LNB:NYB</v>
          </cell>
          <cell r="AR8" t="str">
            <v>AsOfDate</v>
          </cell>
          <cell r="AS8">
            <v>42156</v>
          </cell>
          <cell r="BV8" t="str">
            <v>AsOfDate</v>
          </cell>
          <cell r="BW8">
            <v>42156</v>
          </cell>
          <cell r="BY8" t="str">
            <v>leg1discount</v>
          </cell>
          <cell r="BZ8" t="str">
            <v>EUR_EURCSA:OIS</v>
          </cell>
          <cell r="CB8" t="str">
            <v>leg1discount</v>
          </cell>
          <cell r="CC8" t="str">
            <v>GBP_GBPCSA:OIS</v>
          </cell>
          <cell r="CE8" t="str">
            <v>leg1discount</v>
          </cell>
          <cell r="CF8" t="str">
            <v>JPY_JPYCSA:OIS</v>
          </cell>
        </row>
        <row r="9">
          <cell r="C9" t="str">
            <v>STD:USD3MLFORECAST:3ML</v>
          </cell>
          <cell r="G9" t="str">
            <v>Currency</v>
          </cell>
          <cell r="H9" t="str">
            <v>USD</v>
          </cell>
          <cell r="J9" t="str">
            <v>daycount</v>
          </cell>
          <cell r="K9" t="str">
            <v>ACT/360</v>
          </cell>
          <cell r="M9" t="str">
            <v>ON</v>
          </cell>
          <cell r="N9">
            <v>1.1999999999999999E-3</v>
          </cell>
          <cell r="Q9" t="b">
            <v>1</v>
          </cell>
          <cell r="V9" t="str">
            <v>Currency</v>
          </cell>
          <cell r="W9" t="str">
            <v>USD</v>
          </cell>
          <cell r="Y9" t="str">
            <v>daycount</v>
          </cell>
          <cell r="Z9" t="str">
            <v>act/360</v>
          </cell>
          <cell r="AB9" t="str">
            <v>daycount</v>
          </cell>
          <cell r="AC9" t="str">
            <v>act/360</v>
          </cell>
          <cell r="AE9" t="str">
            <v>daycount</v>
          </cell>
          <cell r="AF9" t="str">
            <v>act/360</v>
          </cell>
          <cell r="AK9" t="str">
            <v>DayCount</v>
          </cell>
          <cell r="AL9" t="str">
            <v>30/360</v>
          </cell>
          <cell r="AN9" t="str">
            <v>4Y</v>
          </cell>
          <cell r="AO9">
            <v>1.4336999999999999E-2</v>
          </cell>
          <cell r="AP9" t="b">
            <v>1</v>
          </cell>
          <cell r="AR9" t="str">
            <v>Currency</v>
          </cell>
          <cell r="AS9" t="str">
            <v>USD</v>
          </cell>
          <cell r="AU9" t="str">
            <v>IsLeg1Spread</v>
          </cell>
          <cell r="AV9" t="str">
            <v>FALSE</v>
          </cell>
          <cell r="AX9" t="str">
            <v>1Y</v>
          </cell>
          <cell r="AY9">
            <v>8.3124999999999996E-4</v>
          </cell>
          <cell r="BA9" t="str">
            <v>IsLeg1Spread</v>
          </cell>
          <cell r="BB9" t="str">
            <v>FALSE</v>
          </cell>
          <cell r="BD9" t="str">
            <v>1Y</v>
          </cell>
          <cell r="BE9">
            <v>1.0397500000000001E-3</v>
          </cell>
          <cell r="BG9" t="str">
            <v>IsLeg1Spread</v>
          </cell>
          <cell r="BH9" t="str">
            <v>FALSE</v>
          </cell>
          <cell r="BJ9" t="str">
            <v>1Y</v>
          </cell>
          <cell r="BK9">
            <v>2.6124999999999998E-3</v>
          </cell>
          <cell r="BV9" t="str">
            <v>Currency</v>
          </cell>
          <cell r="BW9" t="str">
            <v>USD</v>
          </cell>
          <cell r="BY9" t="str">
            <v>leg1forecast</v>
          </cell>
          <cell r="BZ9" t="str">
            <v>EUR_EURCSA:XccyBasis_USDCSA</v>
          </cell>
          <cell r="CB9" t="str">
            <v>leg1forecast</v>
          </cell>
          <cell r="CC9" t="str">
            <v>GBP_GBPCSA:XccyBasis_USDCSA</v>
          </cell>
          <cell r="CE9" t="str">
            <v>leg1forecast</v>
          </cell>
          <cell r="CF9" t="str">
            <v>JPY_JPYCSA:XccyBasis_USDCSA</v>
          </cell>
        </row>
        <row r="10">
          <cell r="C10" t="str">
            <v>3M6MBasis:USD6MLFORECAST:6ML</v>
          </cell>
          <cell r="G10" t="str">
            <v>basis.interpolation</v>
          </cell>
          <cell r="H10" t="str">
            <v>fn_splineinterpolation</v>
          </cell>
          <cell r="J10" t="str">
            <v>frequency</v>
          </cell>
          <cell r="K10" t="str">
            <v>Annual</v>
          </cell>
          <cell r="M10" t="str">
            <v>1W</v>
          </cell>
          <cell r="N10">
            <v>1.2470000000000001E-3</v>
          </cell>
          <cell r="Q10" t="b">
            <v>1</v>
          </cell>
          <cell r="V10" t="str">
            <v>basis.interpolation</v>
          </cell>
          <cell r="W10" t="str">
            <v>fn_splineinterpolation</v>
          </cell>
          <cell r="Y10" t="str">
            <v>slidingrule</v>
          </cell>
          <cell r="Z10" t="str">
            <v>following</v>
          </cell>
          <cell r="AB10" t="str">
            <v>resetlag</v>
          </cell>
          <cell r="AC10" t="str">
            <v>2</v>
          </cell>
          <cell r="AE10" t="str">
            <v>resetlag</v>
          </cell>
          <cell r="AF10" t="str">
            <v>2</v>
          </cell>
          <cell r="AK10" t="str">
            <v>DayCountFix</v>
          </cell>
          <cell r="AL10" t="str">
            <v>30/360</v>
          </cell>
          <cell r="AN10" t="str">
            <v>5Y</v>
          </cell>
          <cell r="AO10">
            <v>1.6399999999999998E-2</v>
          </cell>
          <cell r="AP10" t="b">
            <v>1</v>
          </cell>
          <cell r="AR10" t="str">
            <v>basis.interpolation</v>
          </cell>
          <cell r="AS10" t="str">
            <v>fn_splineinterpolation</v>
          </cell>
          <cell r="AU10" t="str">
            <v>Leg1cashlet.calendar</v>
          </cell>
          <cell r="AV10" t="str">
            <v>NYB</v>
          </cell>
          <cell r="AX10" t="str">
            <v>2Y</v>
          </cell>
          <cell r="AY10">
            <v>7.8750000000000001E-4</v>
          </cell>
          <cell r="BA10" t="str">
            <v>Leg1cashlet.calendar</v>
          </cell>
          <cell r="BB10" t="str">
            <v>NYB</v>
          </cell>
          <cell r="BD10" t="str">
            <v>2Y</v>
          </cell>
          <cell r="BE10">
            <v>1.2106999999999999E-3</v>
          </cell>
          <cell r="BG10" t="str">
            <v>Leg1cashlet.calendar</v>
          </cell>
          <cell r="BH10" t="str">
            <v>NYB</v>
          </cell>
          <cell r="BJ10" t="str">
            <v>2Y</v>
          </cell>
          <cell r="BK10">
            <v>2.2625000000000002E-3</v>
          </cell>
          <cell r="BV10" t="str">
            <v>basis.interpolation</v>
          </cell>
          <cell r="BW10" t="str">
            <v>fn_splineinterpolation</v>
          </cell>
          <cell r="BY10" t="str">
            <v>leg2discount</v>
          </cell>
          <cell r="BZ10" t="str">
            <v>USD_EURCSA:OIS</v>
          </cell>
          <cell r="CB10" t="str">
            <v>leg2discount</v>
          </cell>
          <cell r="CC10" t="str">
            <v>USD_GBPCSA:OIS</v>
          </cell>
          <cell r="CE10" t="str">
            <v>leg2discount</v>
          </cell>
          <cell r="CF10" t="str">
            <v>USD_JPYCSA:OIS</v>
          </cell>
        </row>
        <row r="11">
          <cell r="C11" t="str">
            <v>1M3MBasis:USD1MLFORECAST:1ML</v>
          </cell>
          <cell r="G11" t="str">
            <v>future.interpolation</v>
          </cell>
          <cell r="H11" t="str">
            <v>fn_splineinterpolation</v>
          </cell>
          <cell r="J11" t="str">
            <v>generatemethod</v>
          </cell>
          <cell r="K11" t="str">
            <v>dailycompounding</v>
          </cell>
          <cell r="M11" t="str">
            <v>2W</v>
          </cell>
          <cell r="N11">
            <v>1.2970000000000002E-3</v>
          </cell>
          <cell r="Q11" t="b">
            <v>1</v>
          </cell>
          <cell r="V11" t="str">
            <v>future.interpolation</v>
          </cell>
          <cell r="W11" t="str">
            <v>fn_splineinterpolation</v>
          </cell>
          <cell r="AB11" t="str">
            <v>slidingrule</v>
          </cell>
          <cell r="AC11" t="str">
            <v>MOD_FOLLOWING</v>
          </cell>
          <cell r="AE11" t="str">
            <v>slidingrule</v>
          </cell>
          <cell r="AF11" t="str">
            <v>MOD_FOLLOWING</v>
          </cell>
          <cell r="AK11" t="str">
            <v>DayCountFloat</v>
          </cell>
          <cell r="AL11" t="str">
            <v>ACT/360</v>
          </cell>
          <cell r="AN11" t="str">
            <v>6Y</v>
          </cell>
          <cell r="AO11">
            <v>1.8079999999999999E-2</v>
          </cell>
          <cell r="AP11" t="b">
            <v>1</v>
          </cell>
          <cell r="AR11" t="str">
            <v>future.interpolation</v>
          </cell>
          <cell r="AS11" t="str">
            <v>fn_splineinterpolation</v>
          </cell>
          <cell r="AU11" t="str">
            <v>Leg1cashlet.daycount</v>
          </cell>
          <cell r="AV11" t="str">
            <v>Act/360</v>
          </cell>
          <cell r="AX11" t="str">
            <v>3Y</v>
          </cell>
          <cell r="AY11">
            <v>7.8125000000000004E-4</v>
          </cell>
          <cell r="BA11" t="str">
            <v>Leg1cashlet.daycount</v>
          </cell>
          <cell r="BB11" t="str">
            <v>Act/360</v>
          </cell>
          <cell r="BD11" t="str">
            <v>3Y</v>
          </cell>
          <cell r="BE11">
            <v>1.31605E-3</v>
          </cell>
          <cell r="BG11" t="str">
            <v>Leg1cashlet.daycount</v>
          </cell>
          <cell r="BH11" t="str">
            <v>Act/360</v>
          </cell>
          <cell r="BJ11" t="str">
            <v>3Y</v>
          </cell>
          <cell r="BK11">
            <v>2.1124999999999998E-3</v>
          </cell>
          <cell r="BV11" t="str">
            <v>future.interpolation</v>
          </cell>
          <cell r="BW11" t="str">
            <v>fn_splineinterpolation</v>
          </cell>
          <cell r="BY11" t="str">
            <v>leg2forecast</v>
          </cell>
          <cell r="BZ11" t="str">
            <v>USD_EURCSA:OIS</v>
          </cell>
          <cell r="CB11" t="str">
            <v>leg2forecast</v>
          </cell>
          <cell r="CC11" t="str">
            <v>USD_GBPCSA:OIS</v>
          </cell>
          <cell r="CE11" t="str">
            <v>leg2forecast</v>
          </cell>
          <cell r="CF11" t="str">
            <v>USD_JPYCSA:OIS</v>
          </cell>
        </row>
        <row r="12">
          <cell r="C12" t="str">
            <v>3M12MBasis:USD12MLFORECAST:12ML</v>
          </cell>
          <cell r="G12" t="str">
            <v>interpolation</v>
          </cell>
          <cell r="H12" t="str">
            <v>fn_splineinterpolation</v>
          </cell>
          <cell r="J12" t="str">
            <v>resetlag</v>
          </cell>
          <cell r="K12" t="str">
            <v>2d</v>
          </cell>
          <cell r="M12" t="str">
            <v>3W</v>
          </cell>
          <cell r="N12">
            <v>1.2700000000000001E-3</v>
          </cell>
          <cell r="Q12" t="b">
            <v>1</v>
          </cell>
          <cell r="V12" t="str">
            <v>interpolation</v>
          </cell>
          <cell r="W12" t="str">
            <v>fn_splineinterpolation</v>
          </cell>
          <cell r="AB12" t="str">
            <v>IsEomRoll</v>
          </cell>
          <cell r="AC12" t="b">
            <v>1</v>
          </cell>
          <cell r="AE12" t="str">
            <v/>
          </cell>
          <cell r="AF12" t="str">
            <v/>
          </cell>
          <cell r="AK12" t="str">
            <v>Frequency</v>
          </cell>
          <cell r="AL12" t="str">
            <v>Semi-Annual</v>
          </cell>
          <cell r="AN12" t="str">
            <v>7Y</v>
          </cell>
          <cell r="AO12">
            <v>1.9427E-2</v>
          </cell>
          <cell r="AP12" t="b">
            <v>1</v>
          </cell>
          <cell r="AR12" t="str">
            <v>interpolation</v>
          </cell>
          <cell r="AS12" t="str">
            <v>fn_splineinterpolation</v>
          </cell>
          <cell r="AU12" t="str">
            <v>Leg1cashlet.frequency</v>
          </cell>
          <cell r="AV12" t="str">
            <v>Semi-Annual</v>
          </cell>
          <cell r="AX12" t="str">
            <v>4Y</v>
          </cell>
          <cell r="AY12">
            <v>7.8125000000000004E-4</v>
          </cell>
          <cell r="BA12" t="str">
            <v>Leg1cashlet.frequency</v>
          </cell>
          <cell r="BB12" t="str">
            <v>Quarterly</v>
          </cell>
          <cell r="BD12" t="str">
            <v>4Y</v>
          </cell>
          <cell r="BE12">
            <v>1.35625E-3</v>
          </cell>
          <cell r="BG12" t="str">
            <v>Leg1cashlet.frequency</v>
          </cell>
          <cell r="BH12" t="str">
            <v>Annual</v>
          </cell>
          <cell r="BJ12" t="str">
            <v>4Y</v>
          </cell>
          <cell r="BK12">
            <v>2.0625000000000001E-3</v>
          </cell>
          <cell r="BV12" t="str">
            <v>interpolation</v>
          </cell>
          <cell r="BW12" t="str">
            <v>fn_splineinterpolation</v>
          </cell>
          <cell r="BY12" t="str">
            <v>target</v>
          </cell>
          <cell r="BZ12" t="str">
            <v>Leg2Discount</v>
          </cell>
          <cell r="CB12" t="str">
            <v>target</v>
          </cell>
          <cell r="CC12" t="str">
            <v>Leg2Discount</v>
          </cell>
          <cell r="CE12" t="str">
            <v>target</v>
          </cell>
          <cell r="CF12" t="str">
            <v>Leg2Discount</v>
          </cell>
        </row>
        <row r="13">
          <cell r="G13" t="str">
            <v>isadjustdf</v>
          </cell>
          <cell r="H13" t="b">
            <v>0</v>
          </cell>
          <cell r="J13" t="str">
            <v>firstrate</v>
          </cell>
          <cell r="K13" t="str">
            <v>ShortMarket</v>
          </cell>
          <cell r="M13" t="str">
            <v>1M</v>
          </cell>
          <cell r="N13">
            <v>1.2900000000000001E-3</v>
          </cell>
          <cell r="Q13" t="b">
            <v>1</v>
          </cell>
          <cell r="V13" t="str">
            <v>isadjustdf</v>
          </cell>
          <cell r="W13" t="b">
            <v>0</v>
          </cell>
          <cell r="AK13" t="str">
            <v>FrequencyFloat</v>
          </cell>
          <cell r="AL13" t="str">
            <v>Quarterly</v>
          </cell>
          <cell r="AN13" t="str">
            <v>8Y</v>
          </cell>
          <cell r="AO13">
            <v>2.053E-2</v>
          </cell>
          <cell r="AP13" t="b">
            <v>1</v>
          </cell>
          <cell r="AR13" t="str">
            <v>isadjustdf</v>
          </cell>
          <cell r="AS13" t="b">
            <v>0</v>
          </cell>
          <cell r="AU13" t="str">
            <v>Leg1cashlet.slidingrule</v>
          </cell>
          <cell r="AV13" t="str">
            <v>MOD_FOLLOWING</v>
          </cell>
          <cell r="AX13" t="str">
            <v>5Y</v>
          </cell>
          <cell r="AY13">
            <v>7.8125000000000004E-4</v>
          </cell>
          <cell r="BA13" t="str">
            <v>Leg1cashlet.slidingrule</v>
          </cell>
          <cell r="BB13" t="str">
            <v>MOD_FOLLOWING</v>
          </cell>
          <cell r="BD13" t="str">
            <v>5Y</v>
          </cell>
          <cell r="BE13">
            <v>1.3803999999999999E-3</v>
          </cell>
          <cell r="BG13" t="str">
            <v>Leg1cashlet.slidingrule</v>
          </cell>
          <cell r="BH13" t="str">
            <v>MOD_FOLLOWING</v>
          </cell>
          <cell r="BJ13" t="str">
            <v>5Y</v>
          </cell>
          <cell r="BK13">
            <v>2E-3</v>
          </cell>
          <cell r="BV13" t="str">
            <v>isadjustdf</v>
          </cell>
          <cell r="BW13" t="b">
            <v>0</v>
          </cell>
        </row>
        <row r="14">
          <cell r="G14" t="str">
            <v>isfutureuse</v>
          </cell>
          <cell r="H14" t="b">
            <v>1</v>
          </cell>
          <cell r="J14" t="str">
            <v>slidingrule</v>
          </cell>
          <cell r="K14" t="str">
            <v>MOD_FOLLOWING</v>
          </cell>
          <cell r="M14" t="str">
            <v>2M</v>
          </cell>
          <cell r="N14">
            <v>1.3500000000000001E-3</v>
          </cell>
          <cell r="Q14" t="b">
            <v>1</v>
          </cell>
          <cell r="V14" t="str">
            <v>isfutureuse</v>
          </cell>
          <cell r="W14" t="b">
            <v>1</v>
          </cell>
          <cell r="AK14" t="str">
            <v>Interpolation</v>
          </cell>
          <cell r="AL14" t="str">
            <v>fn_splineinterpolation</v>
          </cell>
          <cell r="AN14" t="str">
            <v>9Y</v>
          </cell>
          <cell r="AO14">
            <v>2.1434000000000002E-2</v>
          </cell>
          <cell r="AP14" t="b">
            <v>1</v>
          </cell>
          <cell r="AR14" t="str">
            <v>isfutureuse</v>
          </cell>
          <cell r="AS14" t="b">
            <v>1</v>
          </cell>
          <cell r="AU14" t="str">
            <v>Leg1cashlet.spotlag</v>
          </cell>
          <cell r="AV14" t="str">
            <v>2</v>
          </cell>
          <cell r="AX14" t="str">
            <v>6Y</v>
          </cell>
          <cell r="AY14">
            <v>7.8125000000000004E-4</v>
          </cell>
          <cell r="BA14" t="str">
            <v>Leg1cashlet.spotlag</v>
          </cell>
          <cell r="BB14" t="str">
            <v>2</v>
          </cell>
          <cell r="BD14" t="str">
            <v>6Y</v>
          </cell>
          <cell r="BE14">
            <v>1.3812E-3</v>
          </cell>
          <cell r="BG14" t="str">
            <v>Leg1cashlet.spotlag</v>
          </cell>
          <cell r="BH14" t="str">
            <v>2</v>
          </cell>
          <cell r="BJ14" t="str">
            <v>7Y</v>
          </cell>
          <cell r="BK14">
            <v>1.9250000000000001E-3</v>
          </cell>
          <cell r="BV14" t="str">
            <v>isfutureuse</v>
          </cell>
          <cell r="BW14" t="b">
            <v>1</v>
          </cell>
        </row>
        <row r="15">
          <cell r="G15" t="str">
            <v>isspotuse</v>
          </cell>
          <cell r="H15" t="b">
            <v>0</v>
          </cell>
          <cell r="J15" t="str">
            <v>shorttermconvention</v>
          </cell>
          <cell r="K15" t="str">
            <v>arithmeticaverage</v>
          </cell>
          <cell r="M15" t="str">
            <v>3M</v>
          </cell>
          <cell r="N15">
            <v>1.4199999999999998E-3</v>
          </cell>
          <cell r="Q15" t="b">
            <v>1</v>
          </cell>
          <cell r="V15" t="str">
            <v>isspotuse</v>
          </cell>
          <cell r="W15" t="b">
            <v>0</v>
          </cell>
          <cell r="Y15" t="str">
            <v>calendar</v>
          </cell>
          <cell r="Z15" t="str">
            <v>LnB:NYB</v>
          </cell>
          <cell r="AK15" t="str">
            <v>IsEomRoll</v>
          </cell>
          <cell r="AL15" t="b">
            <v>1</v>
          </cell>
          <cell r="AN15" t="str">
            <v>10Y</v>
          </cell>
          <cell r="AO15">
            <v>2.2185E-2</v>
          </cell>
          <cell r="AP15" t="b">
            <v>1</v>
          </cell>
          <cell r="AR15" t="str">
            <v>isspotuse</v>
          </cell>
          <cell r="AS15" t="b">
            <v>0</v>
          </cell>
          <cell r="AU15" t="str">
            <v>Leg1discount</v>
          </cell>
          <cell r="AV15" t="str">
            <v>OIS</v>
          </cell>
          <cell r="AX15" t="str">
            <v>7Y</v>
          </cell>
          <cell r="AY15">
            <v>7.9374999999999997E-4</v>
          </cell>
          <cell r="BA15" t="str">
            <v>Leg1discount</v>
          </cell>
          <cell r="BB15" t="str">
            <v>OIS</v>
          </cell>
          <cell r="BD15" t="str">
            <v>7Y</v>
          </cell>
          <cell r="BE15">
            <v>1.3625E-3</v>
          </cell>
          <cell r="BG15" t="str">
            <v>Leg1discount</v>
          </cell>
          <cell r="BH15" t="str">
            <v>OIS</v>
          </cell>
          <cell r="BJ15" t="str">
            <v>10Y</v>
          </cell>
          <cell r="BK15">
            <v>1.9624999999999998E-3</v>
          </cell>
          <cell r="BV15" t="str">
            <v>isspotuse</v>
          </cell>
          <cell r="BW15" t="b">
            <v>0</v>
          </cell>
        </row>
        <row r="16">
          <cell r="G16" t="str">
            <v>isswaptenoradjust</v>
          </cell>
          <cell r="H16" t="b">
            <v>0</v>
          </cell>
          <cell r="M16" t="str">
            <v>4M</v>
          </cell>
          <cell r="N16">
            <v>1.58E-3</v>
          </cell>
          <cell r="Q16" t="b">
            <v>1</v>
          </cell>
          <cell r="V16" t="str">
            <v>isswaptenoradjust</v>
          </cell>
          <cell r="W16" t="b">
            <v>0</v>
          </cell>
          <cell r="Y16" t="str">
            <v>daycount</v>
          </cell>
          <cell r="Z16" t="str">
            <v>act/360</v>
          </cell>
          <cell r="AE16" t="str">
            <v>EDM5</v>
          </cell>
          <cell r="AF16">
            <v>42172</v>
          </cell>
          <cell r="AG16">
            <v>42263</v>
          </cell>
          <cell r="AH16">
            <v>99.710000000000008</v>
          </cell>
          <cell r="AI16" t="str">
            <v/>
          </cell>
          <cell r="AK16" t="str">
            <v>IsNewtonraphson</v>
          </cell>
          <cell r="AL16" t="b">
            <v>1</v>
          </cell>
          <cell r="AN16" t="str">
            <v>11Y</v>
          </cell>
          <cell r="AO16">
            <v>2.283E-2</v>
          </cell>
          <cell r="AP16" t="b">
            <v>1</v>
          </cell>
          <cell r="AR16" t="str">
            <v>isswaptenoradjust</v>
          </cell>
          <cell r="AS16" t="b">
            <v>0</v>
          </cell>
          <cell r="AU16" t="str">
            <v>Leg1forecast</v>
          </cell>
          <cell r="AV16" t="str">
            <v>STD</v>
          </cell>
          <cell r="AX16" t="str">
            <v>8Y</v>
          </cell>
          <cell r="AY16">
            <v>8.1249999999999996E-4</v>
          </cell>
          <cell r="BA16" t="str">
            <v>Leg1forecast</v>
          </cell>
          <cell r="BB16" t="str">
            <v>STD</v>
          </cell>
          <cell r="BD16" t="str">
            <v>8Y</v>
          </cell>
          <cell r="BE16">
            <v>1.33125E-3</v>
          </cell>
          <cell r="BG16" t="str">
            <v>Leg1forecast</v>
          </cell>
          <cell r="BH16" t="str">
            <v>STD</v>
          </cell>
          <cell r="BJ16" t="str">
            <v>12Y</v>
          </cell>
          <cell r="BK16">
            <v>1.9875000000000001E-3</v>
          </cell>
          <cell r="BV16" t="str">
            <v>isswaptenoradjust</v>
          </cell>
          <cell r="BW16" t="b">
            <v>0</v>
          </cell>
        </row>
        <row r="17">
          <cell r="G17" t="str">
            <v>yieldgen.interpolation</v>
          </cell>
          <cell r="H17" t="str">
            <v>fn_splineinterpolation</v>
          </cell>
          <cell r="M17" t="str">
            <v>5M</v>
          </cell>
          <cell r="N17">
            <v>1.7299999999999998E-3</v>
          </cell>
          <cell r="Q17" t="b">
            <v>1</v>
          </cell>
          <cell r="V17" t="str">
            <v>yieldgen.interpolation</v>
          </cell>
          <cell r="W17" t="str">
            <v>fn_splineinterpolation</v>
          </cell>
          <cell r="Y17" t="str">
            <v>frequency</v>
          </cell>
          <cell r="Z17" t="str">
            <v>simple</v>
          </cell>
          <cell r="AE17" t="str">
            <v>EDN5</v>
          </cell>
          <cell r="AF17">
            <v>42200</v>
          </cell>
          <cell r="AG17">
            <v>42298</v>
          </cell>
          <cell r="AH17">
            <v>99.68</v>
          </cell>
          <cell r="AI17" t="str">
            <v/>
          </cell>
          <cell r="AK17" t="str">
            <v>IsTimeInterpolation</v>
          </cell>
          <cell r="AL17" t="b">
            <v>1</v>
          </cell>
          <cell r="AN17" t="str">
            <v>12Y</v>
          </cell>
          <cell r="AO17">
            <v>2.3375E-2</v>
          </cell>
          <cell r="AP17" t="b">
            <v>1</v>
          </cell>
          <cell r="AR17" t="str">
            <v>yieldgen.interpolation</v>
          </cell>
          <cell r="AS17" t="str">
            <v>fn_splineinterpolation</v>
          </cell>
          <cell r="AU17" t="str">
            <v>Leg1index.accessary</v>
          </cell>
          <cell r="AV17" t="str">
            <v>6M</v>
          </cell>
          <cell r="AX17" t="str">
            <v>9Y</v>
          </cell>
          <cell r="AY17">
            <v>8.3750000000000003E-4</v>
          </cell>
          <cell r="BA17" t="str">
            <v>Leg1index.accessary</v>
          </cell>
          <cell r="BB17" t="str">
            <v>3M</v>
          </cell>
          <cell r="BD17" t="str">
            <v>9Y</v>
          </cell>
          <cell r="BE17">
            <v>1.2985500000000001E-3</v>
          </cell>
          <cell r="BG17" t="str">
            <v>Leg1index.accessary</v>
          </cell>
          <cell r="BH17" t="str">
            <v>12M</v>
          </cell>
          <cell r="BJ17" t="str">
            <v>15Y</v>
          </cell>
          <cell r="BK17">
            <v>2.1124999999999998E-3</v>
          </cell>
          <cell r="BV17" t="str">
            <v>yieldgen.interpolation</v>
          </cell>
          <cell r="BW17" t="str">
            <v>fn_splineinterpolation</v>
          </cell>
        </row>
        <row r="18">
          <cell r="G18" t="str">
            <v>isfrause</v>
          </cell>
          <cell r="H18" t="b">
            <v>0</v>
          </cell>
          <cell r="M18" t="str">
            <v>6M</v>
          </cell>
          <cell r="N18">
            <v>1.8809999999999999E-3</v>
          </cell>
          <cell r="Q18" t="b">
            <v>1</v>
          </cell>
          <cell r="V18" t="str">
            <v>isfrause</v>
          </cell>
          <cell r="W18" t="b">
            <v>0</v>
          </cell>
          <cell r="Y18" t="str">
            <v>resetlag</v>
          </cell>
          <cell r="Z18" t="str">
            <v>2</v>
          </cell>
          <cell r="AE18" t="str">
            <v>EDQ5</v>
          </cell>
          <cell r="AF18">
            <v>42235</v>
          </cell>
          <cell r="AG18">
            <v>42326</v>
          </cell>
          <cell r="AH18">
            <v>99.634990000000002</v>
          </cell>
          <cell r="AI18" t="str">
            <v/>
          </cell>
          <cell r="AK18" t="str">
            <v>Resetlag</v>
          </cell>
          <cell r="AL18" t="str">
            <v>2</v>
          </cell>
          <cell r="AN18" t="str">
            <v>15Y</v>
          </cell>
          <cell r="AO18">
            <v>2.4563999999999999E-2</v>
          </cell>
          <cell r="AP18" t="b">
            <v>1</v>
          </cell>
          <cell r="AR18" t="str">
            <v>isfrause</v>
          </cell>
          <cell r="AS18" t="b">
            <v>0</v>
          </cell>
          <cell r="AU18" t="str">
            <v>Leg1index.daycount</v>
          </cell>
          <cell r="AV18" t="str">
            <v>Act/360</v>
          </cell>
          <cell r="AX18" t="str">
            <v>10Y</v>
          </cell>
          <cell r="AY18">
            <v>8.5625000000000002E-4</v>
          </cell>
          <cell r="BA18" t="str">
            <v>Leg1index.daycount</v>
          </cell>
          <cell r="BB18" t="str">
            <v>Act/360</v>
          </cell>
          <cell r="BD18" t="str">
            <v>10Y</v>
          </cell>
          <cell r="BE18">
            <v>1.2676999999999999E-3</v>
          </cell>
          <cell r="BG18" t="str">
            <v>Leg1index.daycount</v>
          </cell>
          <cell r="BH18" t="str">
            <v>Act/360</v>
          </cell>
          <cell r="BJ18" t="str">
            <v>20Y</v>
          </cell>
          <cell r="BK18">
            <v>2.225E-3</v>
          </cell>
          <cell r="BV18" t="str">
            <v>isfrause</v>
          </cell>
          <cell r="BW18" t="b">
            <v>0</v>
          </cell>
        </row>
        <row r="19">
          <cell r="G19" t="str">
            <v>isrenotionaladjust</v>
          </cell>
          <cell r="H19" t="b">
            <v>1</v>
          </cell>
          <cell r="M19" t="str">
            <v>9M</v>
          </cell>
          <cell r="N19">
            <v>2.5300000000000001E-3</v>
          </cell>
          <cell r="Q19" t="b">
            <v>1</v>
          </cell>
          <cell r="V19" t="str">
            <v>isrenotionaladjust</v>
          </cell>
          <cell r="W19" t="b">
            <v>1</v>
          </cell>
          <cell r="Y19" t="str">
            <v>slidingrule</v>
          </cell>
          <cell r="Z19" t="str">
            <v>mod_following</v>
          </cell>
          <cell r="AE19" t="str">
            <v>EDU5</v>
          </cell>
          <cell r="AF19">
            <v>42263</v>
          </cell>
          <cell r="AG19">
            <v>42354</v>
          </cell>
          <cell r="AH19">
            <v>99.594999999999999</v>
          </cell>
          <cell r="AI19" t="str">
            <v/>
          </cell>
          <cell r="AK19" t="str">
            <v>SlidingRule</v>
          </cell>
          <cell r="AL19" t="str">
            <v>MOD_FOLLOWING</v>
          </cell>
          <cell r="AN19" t="str">
            <v>20Y</v>
          </cell>
          <cell r="AO19">
            <v>2.5717E-2</v>
          </cell>
          <cell r="AP19" t="b">
            <v>1</v>
          </cell>
          <cell r="AR19" t="str">
            <v>isrenotionaladjust</v>
          </cell>
          <cell r="AS19" t="b">
            <v>1</v>
          </cell>
          <cell r="AU19" t="str">
            <v>Leg1index.fixing.calendar</v>
          </cell>
          <cell r="AV19" t="str">
            <v>LnB</v>
          </cell>
          <cell r="AX19" t="str">
            <v>12Y</v>
          </cell>
          <cell r="AY19">
            <v>8.9375000000000001E-4</v>
          </cell>
          <cell r="BA19" t="str">
            <v>Leg1index.fixing.calendar</v>
          </cell>
          <cell r="BB19" t="str">
            <v>LnB</v>
          </cell>
          <cell r="BD19" t="str">
            <v>12Y</v>
          </cell>
          <cell r="BE19">
            <v>1.2176999999999999E-3</v>
          </cell>
          <cell r="BG19" t="str">
            <v>Leg1index.fixing.calendar</v>
          </cell>
          <cell r="BH19" t="str">
            <v>LnB</v>
          </cell>
          <cell r="BJ19" t="str">
            <v>25Y</v>
          </cell>
          <cell r="BK19">
            <v>2.2374999999999999E-3</v>
          </cell>
          <cell r="BV19" t="str">
            <v>isrenotionaladjust</v>
          </cell>
          <cell r="BW19" t="b">
            <v>1</v>
          </cell>
        </row>
        <row r="20">
          <cell r="C20" t="str">
            <v>USDBASISDISCOUNT</v>
          </cell>
          <cell r="G20" t="str">
            <v>basis.interpolation.3m6mbasis</v>
          </cell>
          <cell r="H20" t="str">
            <v>fn_splineinterpolation</v>
          </cell>
          <cell r="M20" t="str">
            <v>12M</v>
          </cell>
          <cell r="N20">
            <v>3.2300000000000002E-3</v>
          </cell>
          <cell r="Q20" t="b">
            <v>1</v>
          </cell>
          <cell r="V20" t="str">
            <v>basis.interpolation.3m6mbasis</v>
          </cell>
          <cell r="W20" t="str">
            <v>fn_splineinterpolation</v>
          </cell>
          <cell r="Y20" t="str">
            <v>IsEomRoll</v>
          </cell>
          <cell r="Z20" t="b">
            <v>1</v>
          </cell>
          <cell r="AE20" t="str">
            <v>EDV5</v>
          </cell>
          <cell r="AF20">
            <v>42298</v>
          </cell>
          <cell r="AG20">
            <v>42389</v>
          </cell>
          <cell r="AH20">
            <v>99.534999999999997</v>
          </cell>
          <cell r="AI20" t="str">
            <v/>
          </cell>
          <cell r="AK20" t="str">
            <v>issimultaneouseq</v>
          </cell>
          <cell r="AL20" t="b">
            <v>1</v>
          </cell>
          <cell r="AN20" t="str">
            <v>25Y</v>
          </cell>
          <cell r="AO20">
            <v>2.6249999999999999E-2</v>
          </cell>
          <cell r="AP20" t="b">
            <v>1</v>
          </cell>
          <cell r="AR20" t="str">
            <v>basis.interpolation.3m6mbasis</v>
          </cell>
          <cell r="AS20" t="str">
            <v>fn_splineinterpolation</v>
          </cell>
          <cell r="AU20" t="str">
            <v>Leg1index.frequency</v>
          </cell>
          <cell r="AV20" t="str">
            <v>Simple</v>
          </cell>
          <cell r="AX20" t="str">
            <v>15Y</v>
          </cell>
          <cell r="AY20">
            <v>9.3125E-4</v>
          </cell>
          <cell r="BA20" t="str">
            <v>Leg1index.frequency</v>
          </cell>
          <cell r="BB20" t="str">
            <v>Simple</v>
          </cell>
          <cell r="BD20" t="str">
            <v>15Y</v>
          </cell>
          <cell r="BE20">
            <v>1.18015E-3</v>
          </cell>
          <cell r="BG20" t="str">
            <v>Leg1index.frequency</v>
          </cell>
          <cell r="BH20" t="str">
            <v>Simple</v>
          </cell>
          <cell r="BJ20" t="str">
            <v>30Y</v>
          </cell>
          <cell r="BK20">
            <v>2.2625000000000002E-3</v>
          </cell>
          <cell r="BV20" t="str">
            <v>basis.interpolation.3m6mbasis</v>
          </cell>
          <cell r="BW20" t="str">
            <v>fn_splineinterpolation</v>
          </cell>
        </row>
        <row r="21">
          <cell r="M21" t="str">
            <v>18M</v>
          </cell>
          <cell r="N21">
            <v>4.875E-3</v>
          </cell>
          <cell r="Q21" t="b">
            <v>1</v>
          </cell>
          <cell r="V21" t="str">
            <v>dfcurvename</v>
          </cell>
          <cell r="W21" t="str">
            <v>OIS</v>
          </cell>
          <cell r="AE21" t="str">
            <v>EDX5</v>
          </cell>
          <cell r="AF21">
            <v>42326</v>
          </cell>
          <cell r="AG21">
            <v>42417</v>
          </cell>
          <cell r="AH21">
            <v>99.49</v>
          </cell>
          <cell r="AI21" t="str">
            <v/>
          </cell>
          <cell r="AK21" t="str">
            <v>optimizemethod</v>
          </cell>
          <cell r="AL21" t="str">
            <v>NL2SOL</v>
          </cell>
          <cell r="AN21" t="str">
            <v>30Y</v>
          </cell>
          <cell r="AO21">
            <v>2.6533000000000001E-2</v>
          </cell>
          <cell r="AP21" t="b">
            <v>1</v>
          </cell>
          <cell r="AR21" t="str">
            <v>dfcurvename</v>
          </cell>
          <cell r="AS21" t="str">
            <v>OIS</v>
          </cell>
          <cell r="AU21" t="str">
            <v>Leg1index.payment.calendar</v>
          </cell>
          <cell r="AV21" t="str">
            <v>LnB</v>
          </cell>
          <cell r="AX21" t="str">
            <v>20Y</v>
          </cell>
          <cell r="AY21">
            <v>9.6250000000000003E-4</v>
          </cell>
          <cell r="BA21" t="str">
            <v>Leg1index.payment.calendar</v>
          </cell>
          <cell r="BB21" t="str">
            <v>LnB</v>
          </cell>
          <cell r="BD21" t="str">
            <v>20Y</v>
          </cell>
          <cell r="BE21">
            <v>1.1801000000000001E-3</v>
          </cell>
          <cell r="BG21" t="str">
            <v>Leg1index.payment.calendar</v>
          </cell>
          <cell r="BH21" t="str">
            <v>LnB</v>
          </cell>
          <cell r="BJ21" t="str">
            <v/>
          </cell>
          <cell r="BK21" t="str">
            <v/>
          </cell>
          <cell r="BV21" t="str">
            <v>dfcurvename</v>
          </cell>
          <cell r="BW21" t="str">
            <v>OIS</v>
          </cell>
        </row>
        <row r="22">
          <cell r="M22" t="str">
            <v>2Y</v>
          </cell>
          <cell r="N22">
            <v>6.5900000000000004E-3</v>
          </cell>
          <cell r="O22" t="str">
            <v/>
          </cell>
          <cell r="P22" t="str">
            <v/>
          </cell>
          <cell r="Q22" t="b">
            <v>1</v>
          </cell>
          <cell r="AE22" t="str">
            <v>EDZ5</v>
          </cell>
          <cell r="AF22">
            <v>42354</v>
          </cell>
          <cell r="AG22">
            <v>42445</v>
          </cell>
          <cell r="AH22">
            <v>99.43</v>
          </cell>
          <cell r="AI22" t="str">
            <v/>
          </cell>
          <cell r="AN22" t="str">
            <v>40Y</v>
          </cell>
          <cell r="AO22">
            <v>2.6709999999999998E-2</v>
          </cell>
          <cell r="AP22" t="b">
            <v>1</v>
          </cell>
          <cell r="AU22" t="str">
            <v>Leg1index.resetlag</v>
          </cell>
          <cell r="AV22" t="str">
            <v>2</v>
          </cell>
          <cell r="AX22" t="str">
            <v>25Y</v>
          </cell>
          <cell r="AY22">
            <v>9.875000000000001E-4</v>
          </cell>
          <cell r="BA22" t="str">
            <v>Leg1index.resetlag</v>
          </cell>
          <cell r="BB22" t="str">
            <v>2</v>
          </cell>
          <cell r="BD22" t="str">
            <v>25Y</v>
          </cell>
          <cell r="BE22">
            <v>1.1862999999999999E-3</v>
          </cell>
          <cell r="BG22" t="str">
            <v>Leg1index.resetlag</v>
          </cell>
          <cell r="BH22" t="str">
            <v>2</v>
          </cell>
          <cell r="BJ22" t="str">
            <v/>
          </cell>
          <cell r="BK22" t="str">
            <v/>
          </cell>
        </row>
        <row r="23">
          <cell r="M23" t="str">
            <v>3Y</v>
          </cell>
          <cell r="N23">
            <v>9.5999999999999992E-3</v>
          </cell>
          <cell r="O23" t="str">
            <v/>
          </cell>
          <cell r="P23" t="str">
            <v/>
          </cell>
          <cell r="Q23" t="b">
            <v>1</v>
          </cell>
          <cell r="AE23" t="str">
            <v>EDH6</v>
          </cell>
          <cell r="AF23">
            <v>42445</v>
          </cell>
          <cell r="AG23">
            <v>42536</v>
          </cell>
          <cell r="AH23">
            <v>99.245000000000005</v>
          </cell>
          <cell r="AI23" t="str">
            <v/>
          </cell>
          <cell r="AN23" t="str">
            <v>50Y</v>
          </cell>
          <cell r="AO23">
            <v>2.6549999999999997E-2</v>
          </cell>
          <cell r="AP23" t="b">
            <v>1</v>
          </cell>
          <cell r="AU23" t="str">
            <v>Leg1index.slidingrule</v>
          </cell>
          <cell r="AV23" t="str">
            <v>MOD_FOLLOWING</v>
          </cell>
          <cell r="AX23" t="str">
            <v>30Y</v>
          </cell>
          <cell r="AY23">
            <v>9.875000000000001E-4</v>
          </cell>
          <cell r="BA23" t="str">
            <v>Leg1index.slidingrule</v>
          </cell>
          <cell r="BB23" t="str">
            <v>MOD_FOLLOWING</v>
          </cell>
          <cell r="BD23" t="str">
            <v>30Y</v>
          </cell>
          <cell r="BE23">
            <v>1.1937499999999999E-3</v>
          </cell>
          <cell r="BG23" t="str">
            <v>Leg1index.slidingrule</v>
          </cell>
          <cell r="BH23" t="str">
            <v>MOD_FOLLOWING</v>
          </cell>
          <cell r="BJ23" t="str">
            <v/>
          </cell>
          <cell r="BK23" t="str">
            <v/>
          </cell>
        </row>
        <row r="24">
          <cell r="M24" t="str">
            <v>4Y</v>
          </cell>
          <cell r="N24">
            <v>1.206E-2</v>
          </cell>
          <cell r="O24" t="str">
            <v/>
          </cell>
          <cell r="P24" t="str">
            <v/>
          </cell>
          <cell r="Q24" t="b">
            <v>1</v>
          </cell>
          <cell r="AE24" t="str">
            <v>EDM6</v>
          </cell>
          <cell r="AF24">
            <v>42536</v>
          </cell>
          <cell r="AG24">
            <v>42634</v>
          </cell>
          <cell r="AH24">
            <v>99.04</v>
          </cell>
          <cell r="AI24" t="str">
            <v/>
          </cell>
          <cell r="AN24" t="str">
            <v/>
          </cell>
          <cell r="AO24" t="str">
            <v/>
          </cell>
          <cell r="AP24" t="b">
            <v>0</v>
          </cell>
          <cell r="AU24" t="str">
            <v>Leg2cashlet.calendar</v>
          </cell>
          <cell r="AV24" t="str">
            <v>NYB</v>
          </cell>
          <cell r="AX24" t="str">
            <v/>
          </cell>
          <cell r="AY24" t="str">
            <v/>
          </cell>
          <cell r="BA24" t="str">
            <v>Leg2cashlet.calendar</v>
          </cell>
          <cell r="BB24" t="str">
            <v>NYB</v>
          </cell>
          <cell r="BD24" t="str">
            <v/>
          </cell>
          <cell r="BE24" t="str">
            <v/>
          </cell>
          <cell r="BG24" t="str">
            <v>Leg2cashlet.calendar</v>
          </cell>
          <cell r="BH24" t="str">
            <v>NYB</v>
          </cell>
          <cell r="BJ24" t="str">
            <v/>
          </cell>
          <cell r="BK24" t="str">
            <v/>
          </cell>
        </row>
        <row r="25">
          <cell r="M25" t="str">
            <v>5Y</v>
          </cell>
          <cell r="N25">
            <v>1.4039999999999999E-2</v>
          </cell>
          <cell r="Q25" t="b">
            <v>1</v>
          </cell>
          <cell r="AE25" t="str">
            <v>EDU6</v>
          </cell>
          <cell r="AF25">
            <v>42634</v>
          </cell>
          <cell r="AG25">
            <v>42725</v>
          </cell>
          <cell r="AH25">
            <v>98.825000000000003</v>
          </cell>
          <cell r="AI25" t="str">
            <v/>
          </cell>
          <cell r="AN25" t="str">
            <v/>
          </cell>
          <cell r="AO25" t="str">
            <v/>
          </cell>
          <cell r="AP25" t="b">
            <v>0</v>
          </cell>
          <cell r="AU25" t="str">
            <v>Leg2cashlet.daycount</v>
          </cell>
          <cell r="AV25" t="str">
            <v>Act/360</v>
          </cell>
          <cell r="AX25" t="str">
            <v/>
          </cell>
          <cell r="AY25" t="str">
            <v/>
          </cell>
          <cell r="BA25" t="str">
            <v>Leg2cashlet.daycount</v>
          </cell>
          <cell r="BB25" t="str">
            <v>Act/360</v>
          </cell>
          <cell r="BD25" t="str">
            <v/>
          </cell>
          <cell r="BE25" t="str">
            <v/>
          </cell>
          <cell r="BG25" t="str">
            <v>Leg2cashlet.daycount</v>
          </cell>
          <cell r="BH25" t="str">
            <v>Act/360</v>
          </cell>
          <cell r="BJ25" t="str">
            <v/>
          </cell>
          <cell r="BK25" t="str">
            <v/>
          </cell>
        </row>
        <row r="26">
          <cell r="M26" t="str">
            <v>7Y</v>
          </cell>
          <cell r="N26">
            <v>1.6984300000000001E-2</v>
          </cell>
          <cell r="Q26" t="b">
            <v>1</v>
          </cell>
          <cell r="AE26" t="str">
            <v>EDZ6</v>
          </cell>
          <cell r="AF26">
            <v>42725</v>
          </cell>
          <cell r="AG26">
            <v>42809</v>
          </cell>
          <cell r="AH26">
            <v>98.625</v>
          </cell>
          <cell r="AI26" t="str">
            <v/>
          </cell>
          <cell r="AN26" t="str">
            <v/>
          </cell>
          <cell r="AO26" t="str">
            <v/>
          </cell>
          <cell r="AP26" t="b">
            <v>0</v>
          </cell>
          <cell r="AU26" t="str">
            <v>Leg2cashlet.frequency</v>
          </cell>
          <cell r="AV26" t="str">
            <v>Quarterly</v>
          </cell>
          <cell r="AX26" t="str">
            <v/>
          </cell>
          <cell r="AY26" t="str">
            <v/>
          </cell>
          <cell r="BA26" t="str">
            <v>Leg2cashlet.frequency</v>
          </cell>
          <cell r="BB26" t="str">
            <v>Monthly</v>
          </cell>
          <cell r="BD26" t="str">
            <v/>
          </cell>
          <cell r="BE26" t="str">
            <v/>
          </cell>
          <cell r="BG26" t="str">
            <v>Leg2cashlet.frequency</v>
          </cell>
          <cell r="BH26" t="str">
            <v>Quarterly</v>
          </cell>
          <cell r="BJ26" t="str">
            <v/>
          </cell>
          <cell r="BK26" t="str">
            <v/>
          </cell>
        </row>
        <row r="27">
          <cell r="M27" t="str">
            <v>10Y</v>
          </cell>
          <cell r="N27">
            <v>1.9723000000000001E-2</v>
          </cell>
          <cell r="Q27" t="b">
            <v>1</v>
          </cell>
          <cell r="AE27" t="str">
            <v>EDH7</v>
          </cell>
          <cell r="AF27">
            <v>42809</v>
          </cell>
          <cell r="AG27">
            <v>42907</v>
          </cell>
          <cell r="AH27">
            <v>98.460000000000008</v>
          </cell>
          <cell r="AI27" t="str">
            <v/>
          </cell>
          <cell r="AN27" t="str">
            <v/>
          </cell>
          <cell r="AO27" t="str">
            <v/>
          </cell>
          <cell r="AP27" t="b">
            <v>0</v>
          </cell>
          <cell r="AU27" t="str">
            <v>Leg2cashlet.frequencycompound</v>
          </cell>
          <cell r="AV27" t="str">
            <v>Semi-Annual</v>
          </cell>
          <cell r="AX27" t="str">
            <v/>
          </cell>
          <cell r="AY27" t="str">
            <v/>
          </cell>
          <cell r="BA27" t="str">
            <v>Leg2cashlet.frequencycompound</v>
          </cell>
          <cell r="BB27" t="str">
            <v>Quarterly</v>
          </cell>
          <cell r="BD27" t="str">
            <v/>
          </cell>
          <cell r="BE27" t="str">
            <v/>
          </cell>
          <cell r="BG27" t="str">
            <v>Leg2cashlet.frequencycompound</v>
          </cell>
          <cell r="BH27" t="str">
            <v>Annual</v>
          </cell>
          <cell r="BJ27" t="str">
            <v/>
          </cell>
          <cell r="BK27" t="str">
            <v/>
          </cell>
        </row>
        <row r="28">
          <cell r="M28" t="str">
            <v>12Y</v>
          </cell>
          <cell r="N28">
            <v>2.09138E-2</v>
          </cell>
          <cell r="Q28" t="b">
            <v>1</v>
          </cell>
          <cell r="AE28" t="str">
            <v>EDM7</v>
          </cell>
          <cell r="AF28">
            <v>42907</v>
          </cell>
          <cell r="AG28">
            <v>42998</v>
          </cell>
          <cell r="AH28">
            <v>98.305000000000007</v>
          </cell>
          <cell r="AI28" t="str">
            <v/>
          </cell>
          <cell r="AN28" t="str">
            <v/>
          </cell>
          <cell r="AO28" t="str">
            <v/>
          </cell>
          <cell r="AP28" t="b">
            <v>0</v>
          </cell>
          <cell r="AU28" t="str">
            <v>Leg2cashlet.slidingrule</v>
          </cell>
          <cell r="AV28" t="str">
            <v>MOD_FOLLOWING</v>
          </cell>
          <cell r="AX28" t="str">
            <v/>
          </cell>
          <cell r="AY28" t="str">
            <v/>
          </cell>
          <cell r="BA28" t="str">
            <v>Leg2cashlet.slidingrule</v>
          </cell>
          <cell r="BB28" t="str">
            <v>MOD_FOLLOWING</v>
          </cell>
          <cell r="BD28" t="str">
            <v/>
          </cell>
          <cell r="BE28" t="str">
            <v/>
          </cell>
          <cell r="BG28" t="str">
            <v>Leg2cashlet.slidingrule</v>
          </cell>
          <cell r="BH28" t="str">
            <v>MOD_FOLLOWING</v>
          </cell>
          <cell r="BJ28" t="str">
            <v/>
          </cell>
          <cell r="BK28" t="str">
            <v/>
          </cell>
        </row>
        <row r="29">
          <cell r="M29" t="str">
            <v>15Y</v>
          </cell>
          <cell r="N29">
            <v>2.21067E-2</v>
          </cell>
          <cell r="Q29" t="b">
            <v>1</v>
          </cell>
          <cell r="Y29" t="str">
            <v>3M</v>
          </cell>
          <cell r="Z29">
            <v>2.8249999999999998E-3</v>
          </cell>
          <cell r="AE29" t="str">
            <v>EDU7</v>
          </cell>
          <cell r="AF29">
            <v>42998</v>
          </cell>
          <cell r="AG29">
            <v>43089</v>
          </cell>
          <cell r="AH29">
            <v>98.174999999999997</v>
          </cell>
          <cell r="AI29" t="str">
            <v/>
          </cell>
          <cell r="AN29" t="str">
            <v/>
          </cell>
          <cell r="AO29" t="str">
            <v/>
          </cell>
          <cell r="AP29" t="b">
            <v>0</v>
          </cell>
          <cell r="AU29" t="str">
            <v>Leg2cashlet.spotlag</v>
          </cell>
          <cell r="AV29" t="str">
            <v>2</v>
          </cell>
          <cell r="AX29" t="str">
            <v/>
          </cell>
          <cell r="AY29" t="str">
            <v/>
          </cell>
          <cell r="BA29" t="str">
            <v>Leg2cashlet.spotlag</v>
          </cell>
          <cell r="BB29" t="str">
            <v>2</v>
          </cell>
          <cell r="BD29" t="str">
            <v/>
          </cell>
          <cell r="BE29" t="str">
            <v/>
          </cell>
          <cell r="BG29" t="str">
            <v>Leg2cashlet.spotlag</v>
          </cell>
          <cell r="BH29" t="str">
            <v>2</v>
          </cell>
          <cell r="BJ29" t="str">
            <v/>
          </cell>
          <cell r="BK29" t="str">
            <v/>
          </cell>
        </row>
        <row r="30">
          <cell r="M30" t="str">
            <v>20Y</v>
          </cell>
          <cell r="N30">
            <v>2.3271199999999999E-2</v>
          </cell>
          <cell r="Q30" t="b">
            <v>1</v>
          </cell>
          <cell r="AE30" t="str">
            <v>EDZ7</v>
          </cell>
          <cell r="AF30">
            <v>43089</v>
          </cell>
          <cell r="AG30">
            <v>43180</v>
          </cell>
          <cell r="AH30">
            <v>98.045000000000002</v>
          </cell>
          <cell r="AI30" t="str">
            <v/>
          </cell>
          <cell r="AN30" t="str">
            <v/>
          </cell>
          <cell r="AO30" t="str">
            <v/>
          </cell>
          <cell r="AP30" t="b">
            <v>0</v>
          </cell>
          <cell r="AU30" t="str">
            <v>Leg2discount</v>
          </cell>
          <cell r="AV30" t="str">
            <v>OIS</v>
          </cell>
          <cell r="AX30" t="str">
            <v/>
          </cell>
          <cell r="AY30" t="str">
            <v/>
          </cell>
          <cell r="BA30" t="str">
            <v>Leg2discount</v>
          </cell>
          <cell r="BB30" t="str">
            <v>OIS</v>
          </cell>
          <cell r="BD30" t="str">
            <v/>
          </cell>
          <cell r="BE30" t="str">
            <v/>
          </cell>
          <cell r="BG30" t="str">
            <v>Leg2discount</v>
          </cell>
          <cell r="BH30" t="str">
            <v>OIS</v>
          </cell>
          <cell r="BJ30" t="str">
            <v/>
          </cell>
          <cell r="BK30" t="str">
            <v/>
          </cell>
        </row>
        <row r="31">
          <cell r="M31" t="str">
            <v>25Y</v>
          </cell>
          <cell r="N31">
            <v>2.3803000000000001E-2</v>
          </cell>
          <cell r="Q31" t="b">
            <v>1</v>
          </cell>
          <cell r="AE31" t="str">
            <v>EDH8</v>
          </cell>
          <cell r="AF31">
            <v>43180</v>
          </cell>
          <cell r="AG31">
            <v>43271</v>
          </cell>
          <cell r="AH31">
            <v>97.945000000000007</v>
          </cell>
          <cell r="AI31" t="str">
            <v/>
          </cell>
          <cell r="AN31" t="str">
            <v/>
          </cell>
          <cell r="AO31" t="str">
            <v/>
          </cell>
          <cell r="AP31" t="b">
            <v>0</v>
          </cell>
          <cell r="AU31" t="str">
            <v>Leg2forecast</v>
          </cell>
          <cell r="AV31" t="str">
            <v>STD</v>
          </cell>
          <cell r="AX31" t="str">
            <v/>
          </cell>
          <cell r="AY31" t="str">
            <v/>
          </cell>
          <cell r="BA31" t="str">
            <v>Leg2forecast</v>
          </cell>
          <cell r="BB31" t="str">
            <v>STD</v>
          </cell>
          <cell r="BD31" t="str">
            <v/>
          </cell>
          <cell r="BE31" t="str">
            <v/>
          </cell>
          <cell r="BG31" t="str">
            <v>Leg2forecast</v>
          </cell>
          <cell r="BH31" t="str">
            <v>STD</v>
          </cell>
          <cell r="BJ31" t="str">
            <v/>
          </cell>
          <cell r="BK31" t="str">
            <v/>
          </cell>
        </row>
        <row r="32">
          <cell r="M32" t="str">
            <v>30Y</v>
          </cell>
          <cell r="N32">
            <v>2.4107199999999999E-2</v>
          </cell>
          <cell r="Q32" t="b">
            <v>1</v>
          </cell>
          <cell r="AE32" t="str">
            <v xml:space="preserve"> </v>
          </cell>
          <cell r="AF32" t="str">
            <v xml:space="preserve"> </v>
          </cell>
          <cell r="AG32" t="str">
            <v xml:space="preserve"> </v>
          </cell>
          <cell r="AH32" t="str">
            <v/>
          </cell>
          <cell r="AI32" t="str">
            <v/>
          </cell>
          <cell r="AN32" t="str">
            <v/>
          </cell>
          <cell r="AO32" t="str">
            <v/>
          </cell>
          <cell r="AP32" t="b">
            <v>0</v>
          </cell>
          <cell r="AU32" t="str">
            <v>Leg2index.accessary</v>
          </cell>
          <cell r="AV32" t="str">
            <v>3M</v>
          </cell>
          <cell r="AX32" t="str">
            <v/>
          </cell>
          <cell r="AY32" t="str">
            <v/>
          </cell>
          <cell r="BA32" t="str">
            <v>Leg2index.accessary</v>
          </cell>
          <cell r="BB32" t="str">
            <v>1M</v>
          </cell>
          <cell r="BD32" t="str">
            <v/>
          </cell>
          <cell r="BE32" t="str">
            <v/>
          </cell>
          <cell r="BG32" t="str">
            <v>Leg2index.accessary</v>
          </cell>
          <cell r="BH32" t="str">
            <v>3M</v>
          </cell>
          <cell r="BJ32" t="str">
            <v/>
          </cell>
          <cell r="BK32" t="str">
            <v/>
          </cell>
        </row>
        <row r="33">
          <cell r="M33" t="str">
            <v>40Y</v>
          </cell>
          <cell r="N33">
            <v>2.4284199999999999E-2</v>
          </cell>
          <cell r="Q33" t="b">
            <v>1</v>
          </cell>
          <cell r="AE33" t="str">
            <v xml:space="preserve"> </v>
          </cell>
          <cell r="AF33" t="str">
            <v xml:space="preserve"> </v>
          </cell>
          <cell r="AG33" t="str">
            <v xml:space="preserve"> </v>
          </cell>
          <cell r="AH33" t="str">
            <v/>
          </cell>
          <cell r="AI33" t="str">
            <v/>
          </cell>
          <cell r="AN33" t="str">
            <v/>
          </cell>
          <cell r="AO33" t="str">
            <v/>
          </cell>
          <cell r="AP33" t="b">
            <v>0</v>
          </cell>
          <cell r="AU33" t="str">
            <v>Leg2index.daycount</v>
          </cell>
          <cell r="AV33" t="str">
            <v>Act/360</v>
          </cell>
          <cell r="AX33" t="str">
            <v/>
          </cell>
          <cell r="AY33" t="str">
            <v/>
          </cell>
          <cell r="BA33" t="str">
            <v>Leg2index.daycount</v>
          </cell>
          <cell r="BB33" t="str">
            <v>Act/360</v>
          </cell>
          <cell r="BD33" t="str">
            <v/>
          </cell>
          <cell r="BE33" t="str">
            <v/>
          </cell>
          <cell r="BG33" t="str">
            <v>Leg2index.daycount</v>
          </cell>
          <cell r="BH33" t="str">
            <v>Act/360</v>
          </cell>
          <cell r="BJ33" t="str">
            <v/>
          </cell>
          <cell r="BK33" t="str">
            <v/>
          </cell>
        </row>
        <row r="34">
          <cell r="M34" t="str">
            <v>50Y</v>
          </cell>
          <cell r="N34">
            <v>2.4124199999999998E-2</v>
          </cell>
          <cell r="Q34" t="b">
            <v>1</v>
          </cell>
          <cell r="AE34" t="str">
            <v xml:space="preserve"> </v>
          </cell>
          <cell r="AF34" t="str">
            <v xml:space="preserve"> </v>
          </cell>
          <cell r="AG34" t="str">
            <v xml:space="preserve"> </v>
          </cell>
          <cell r="AH34" t="str">
            <v/>
          </cell>
          <cell r="AI34" t="str">
            <v/>
          </cell>
          <cell r="AN34" t="str">
            <v/>
          </cell>
          <cell r="AO34" t="str">
            <v/>
          </cell>
          <cell r="AP34" t="b">
            <v>0</v>
          </cell>
          <cell r="AU34" t="str">
            <v>Leg2index.fixing.calendar</v>
          </cell>
          <cell r="AV34" t="str">
            <v>LnB</v>
          </cell>
          <cell r="AX34" t="str">
            <v/>
          </cell>
          <cell r="AY34" t="str">
            <v/>
          </cell>
          <cell r="BA34" t="str">
            <v>Leg2index.fixing.calendar</v>
          </cell>
          <cell r="BB34" t="str">
            <v>LnB</v>
          </cell>
          <cell r="BD34" t="str">
            <v/>
          </cell>
          <cell r="BE34" t="str">
            <v/>
          </cell>
          <cell r="BG34" t="str">
            <v>Leg2index.fixing.calendar</v>
          </cell>
          <cell r="BH34" t="str">
            <v>LnB</v>
          </cell>
          <cell r="BJ34" t="str">
            <v/>
          </cell>
          <cell r="BK34" t="str">
            <v/>
          </cell>
        </row>
        <row r="35">
          <cell r="M35" t="str">
            <v/>
          </cell>
          <cell r="N35" t="str">
            <v/>
          </cell>
          <cell r="Q35" t="b">
            <v>0</v>
          </cell>
          <cell r="AE35" t="str">
            <v xml:space="preserve"> </v>
          </cell>
          <cell r="AF35" t="str">
            <v xml:space="preserve"> </v>
          </cell>
          <cell r="AG35" t="str">
            <v xml:space="preserve"> </v>
          </cell>
          <cell r="AH35" t="str">
            <v/>
          </cell>
          <cell r="AI35" t="str">
            <v/>
          </cell>
          <cell r="AN35" t="str">
            <v/>
          </cell>
          <cell r="AO35" t="str">
            <v/>
          </cell>
          <cell r="AP35" t="b">
            <v>0</v>
          </cell>
          <cell r="AU35" t="str">
            <v>Leg2index.frequency</v>
          </cell>
          <cell r="AV35" t="str">
            <v>Simple</v>
          </cell>
          <cell r="AX35" t="str">
            <v/>
          </cell>
          <cell r="AY35" t="str">
            <v/>
          </cell>
          <cell r="BA35" t="str">
            <v>Leg2index.frequency</v>
          </cell>
          <cell r="BB35" t="str">
            <v>Simple</v>
          </cell>
          <cell r="BD35" t="str">
            <v/>
          </cell>
          <cell r="BE35" t="str">
            <v/>
          </cell>
          <cell r="BG35" t="str">
            <v>Leg2index.frequency</v>
          </cell>
          <cell r="BH35" t="str">
            <v>Simple</v>
          </cell>
          <cell r="BJ35" t="str">
            <v/>
          </cell>
          <cell r="BK35" t="str">
            <v/>
          </cell>
        </row>
        <row r="36">
          <cell r="M36" t="str">
            <v/>
          </cell>
          <cell r="N36" t="str">
            <v/>
          </cell>
          <cell r="Q36" t="b">
            <v>0</v>
          </cell>
          <cell r="AE36" t="str">
            <v xml:space="preserve"> </v>
          </cell>
          <cell r="AF36" t="str">
            <v xml:space="preserve"> </v>
          </cell>
          <cell r="AG36" t="str">
            <v xml:space="preserve"> </v>
          </cell>
          <cell r="AH36" t="str">
            <v/>
          </cell>
          <cell r="AI36" t="str">
            <v/>
          </cell>
          <cell r="AN36" t="str">
            <v/>
          </cell>
          <cell r="AO36" t="str">
            <v/>
          </cell>
          <cell r="AP36" t="b">
            <v>0</v>
          </cell>
          <cell r="AU36" t="str">
            <v>Leg2index.payment.calendar</v>
          </cell>
          <cell r="AV36" t="str">
            <v>LnB</v>
          </cell>
          <cell r="AX36" t="str">
            <v/>
          </cell>
          <cell r="AY36" t="str">
            <v/>
          </cell>
          <cell r="BA36" t="str">
            <v>Leg2index.payment.calendar</v>
          </cell>
          <cell r="BB36" t="str">
            <v>LnB</v>
          </cell>
          <cell r="BD36" t="str">
            <v/>
          </cell>
          <cell r="BE36" t="str">
            <v/>
          </cell>
          <cell r="BG36" t="str">
            <v>Leg2index.payment.calendar</v>
          </cell>
          <cell r="BH36" t="str">
            <v>LnB</v>
          </cell>
          <cell r="BJ36" t="str">
            <v/>
          </cell>
          <cell r="BK36" t="str">
            <v/>
          </cell>
        </row>
        <row r="37">
          <cell r="M37" t="str">
            <v/>
          </cell>
          <cell r="N37" t="str">
            <v/>
          </cell>
          <cell r="Q37" t="b">
            <v>0</v>
          </cell>
          <cell r="AE37" t="str">
            <v xml:space="preserve"> </v>
          </cell>
          <cell r="AF37" t="str">
            <v xml:space="preserve"> </v>
          </cell>
          <cell r="AG37" t="str">
            <v xml:space="preserve"> </v>
          </cell>
          <cell r="AH37" t="str">
            <v/>
          </cell>
          <cell r="AI37" t="str">
            <v/>
          </cell>
          <cell r="AN37" t="str">
            <v/>
          </cell>
          <cell r="AO37" t="str">
            <v/>
          </cell>
          <cell r="AP37" t="b">
            <v>0</v>
          </cell>
          <cell r="AU37" t="str">
            <v>Leg2index.resetlag</v>
          </cell>
          <cell r="AV37" t="str">
            <v>2</v>
          </cell>
          <cell r="AX37" t="str">
            <v/>
          </cell>
          <cell r="AY37" t="str">
            <v/>
          </cell>
          <cell r="BA37" t="str">
            <v>Leg2index.resetlag</v>
          </cell>
          <cell r="BB37" t="str">
            <v>2</v>
          </cell>
          <cell r="BD37" t="str">
            <v/>
          </cell>
          <cell r="BE37" t="str">
            <v/>
          </cell>
          <cell r="BG37" t="str">
            <v>Leg2index.resetlag</v>
          </cell>
          <cell r="BH37" t="str">
            <v>2</v>
          </cell>
          <cell r="BJ37" t="str">
            <v/>
          </cell>
          <cell r="BK37" t="str">
            <v/>
          </cell>
        </row>
        <row r="38">
          <cell r="C38" t="str">
            <v>OIS:USDOIS</v>
          </cell>
          <cell r="M38" t="str">
            <v/>
          </cell>
          <cell r="N38" t="str">
            <v/>
          </cell>
          <cell r="Q38" t="b">
            <v>0</v>
          </cell>
          <cell r="AE38" t="str">
            <v xml:space="preserve"> </v>
          </cell>
          <cell r="AF38" t="str">
            <v xml:space="preserve"> </v>
          </cell>
          <cell r="AG38" t="str">
            <v xml:space="preserve"> </v>
          </cell>
          <cell r="AH38" t="str">
            <v/>
          </cell>
          <cell r="AI38" t="str">
            <v/>
          </cell>
          <cell r="AN38" t="str">
            <v/>
          </cell>
          <cell r="AO38" t="str">
            <v/>
          </cell>
          <cell r="AP38" t="b">
            <v>0</v>
          </cell>
          <cell r="AU38" t="str">
            <v>Leg2index.slidingrule</v>
          </cell>
          <cell r="AV38" t="str">
            <v>MOD_FOLLOWING</v>
          </cell>
          <cell r="AX38" t="str">
            <v/>
          </cell>
          <cell r="AY38" t="str">
            <v/>
          </cell>
          <cell r="BA38" t="str">
            <v>Leg2index.slidingrule</v>
          </cell>
          <cell r="BB38" t="str">
            <v>MOD_FOLLOWING</v>
          </cell>
          <cell r="BD38" t="str">
            <v/>
          </cell>
          <cell r="BE38" t="str">
            <v/>
          </cell>
          <cell r="BG38" t="str">
            <v>Leg2index.slidingrule</v>
          </cell>
          <cell r="BH38" t="str">
            <v>MOD_FOLLOWING</v>
          </cell>
          <cell r="BJ38" t="str">
            <v/>
          </cell>
          <cell r="BK38" t="str">
            <v/>
          </cell>
        </row>
        <row r="39">
          <cell r="C39" t="str">
            <v>STD:USD3MLFORECAST:3ML</v>
          </cell>
          <cell r="M39" t="str">
            <v/>
          </cell>
          <cell r="N39" t="str">
            <v/>
          </cell>
          <cell r="Q39" t="b">
            <v>0</v>
          </cell>
          <cell r="AE39" t="str">
            <v xml:space="preserve"> </v>
          </cell>
          <cell r="AF39" t="str">
            <v xml:space="preserve"> </v>
          </cell>
          <cell r="AG39" t="str">
            <v xml:space="preserve"> </v>
          </cell>
          <cell r="AH39" t="str">
            <v/>
          </cell>
          <cell r="AI39" t="str">
            <v/>
          </cell>
          <cell r="AN39" t="str">
            <v/>
          </cell>
          <cell r="AO39" t="str">
            <v/>
          </cell>
          <cell r="AP39" t="b">
            <v>0</v>
          </cell>
          <cell r="AU39" t="str">
            <v>Target</v>
          </cell>
          <cell r="AV39" t="str">
            <v>Leg1Forecast</v>
          </cell>
          <cell r="AX39" t="str">
            <v/>
          </cell>
          <cell r="AY39" t="str">
            <v/>
          </cell>
          <cell r="BA39" t="str">
            <v>Target</v>
          </cell>
          <cell r="BB39" t="str">
            <v>Leg2Forecast</v>
          </cell>
          <cell r="BD39" t="str">
            <v/>
          </cell>
          <cell r="BE39" t="str">
            <v/>
          </cell>
          <cell r="BG39" t="str">
            <v>Target</v>
          </cell>
          <cell r="BH39" t="str">
            <v>Leg1Forecast</v>
          </cell>
          <cell r="BJ39" t="str">
            <v/>
          </cell>
          <cell r="BK39" t="str">
            <v/>
          </cell>
        </row>
        <row r="40">
          <cell r="C40" t="str">
            <v>3M6MBasis:USD6MLFORECAST:6ML</v>
          </cell>
          <cell r="M40" t="str">
            <v/>
          </cell>
          <cell r="N40" t="str">
            <v/>
          </cell>
          <cell r="Q40" t="b">
            <v>0</v>
          </cell>
          <cell r="AE40" t="str">
            <v xml:space="preserve"> </v>
          </cell>
          <cell r="AF40" t="str">
            <v xml:space="preserve"> </v>
          </cell>
          <cell r="AG40" t="str">
            <v xml:space="preserve"> </v>
          </cell>
          <cell r="AH40" t="str">
            <v/>
          </cell>
          <cell r="AI40" t="str">
            <v/>
          </cell>
          <cell r="AN40" t="str">
            <v/>
          </cell>
          <cell r="AO40" t="str">
            <v/>
          </cell>
          <cell r="AP40" t="b">
            <v>0</v>
          </cell>
          <cell r="AU40" t="str">
            <v>issimultaneouseq</v>
          </cell>
          <cell r="AV40" t="b">
            <v>1</v>
          </cell>
          <cell r="AX40" t="str">
            <v/>
          </cell>
          <cell r="AY40" t="str">
            <v/>
          </cell>
          <cell r="BA40" t="str">
            <v>issimultaneouseq</v>
          </cell>
          <cell r="BB40" t="b">
            <v>1</v>
          </cell>
          <cell r="BD40" t="str">
            <v/>
          </cell>
          <cell r="BE40" t="str">
            <v/>
          </cell>
          <cell r="BG40" t="str">
            <v>issimultaneouseq</v>
          </cell>
          <cell r="BH40" t="b">
            <v>1</v>
          </cell>
          <cell r="BJ40" t="str">
            <v/>
          </cell>
          <cell r="BK40" t="str">
            <v/>
          </cell>
        </row>
        <row r="41">
          <cell r="C41" t="str">
            <v>1M3MBasis:USD1MLFORECAST:1ML</v>
          </cell>
          <cell r="M41" t="str">
            <v/>
          </cell>
          <cell r="N41" t="str">
            <v/>
          </cell>
          <cell r="Q41" t="b">
            <v>0</v>
          </cell>
          <cell r="AE41" t="str">
            <v xml:space="preserve"> </v>
          </cell>
          <cell r="AF41" t="str">
            <v xml:space="preserve"> </v>
          </cell>
          <cell r="AG41" t="str">
            <v xml:space="preserve"> </v>
          </cell>
          <cell r="AH41" t="str">
            <v/>
          </cell>
          <cell r="AI41" t="str">
            <v/>
          </cell>
          <cell r="AN41" t="str">
            <v/>
          </cell>
          <cell r="AO41" t="str">
            <v/>
          </cell>
          <cell r="AP41" t="b">
            <v>0</v>
          </cell>
          <cell r="AU41" t="str">
            <v>isfwdinter</v>
          </cell>
          <cell r="AV41" t="b">
            <v>1</v>
          </cell>
          <cell r="AX41" t="str">
            <v/>
          </cell>
          <cell r="AY41" t="str">
            <v/>
          </cell>
          <cell r="BA41" t="str">
            <v>isfwdinter</v>
          </cell>
          <cell r="BB41" t="b">
            <v>1</v>
          </cell>
          <cell r="BD41" t="str">
            <v/>
          </cell>
          <cell r="BE41" t="str">
            <v/>
          </cell>
          <cell r="BG41" t="str">
            <v>isfwdinter</v>
          </cell>
          <cell r="BH41" t="b">
            <v>1</v>
          </cell>
          <cell r="BJ41" t="str">
            <v/>
          </cell>
          <cell r="BK41" t="str">
            <v/>
          </cell>
        </row>
        <row r="42">
          <cell r="C42" t="str">
            <v>3M12MBasis:USD12MLFORECAST:12ML</v>
          </cell>
          <cell r="M42" t="str">
            <v/>
          </cell>
          <cell r="N42" t="str">
            <v/>
          </cell>
          <cell r="Q42" t="b">
            <v>0</v>
          </cell>
          <cell r="AE42" t="str">
            <v xml:space="preserve"> </v>
          </cell>
          <cell r="AF42" t="str">
            <v xml:space="preserve"> </v>
          </cell>
          <cell r="AG42" t="str">
            <v xml:space="preserve"> </v>
          </cell>
          <cell r="AH42" t="str">
            <v/>
          </cell>
          <cell r="AI42" t="str">
            <v/>
          </cell>
          <cell r="AN42" t="str">
            <v/>
          </cell>
          <cell r="AO42" t="str">
            <v/>
          </cell>
          <cell r="AP42" t="b">
            <v>0</v>
          </cell>
          <cell r="AU42" t="str">
            <v>fwdinterpolation</v>
          </cell>
          <cell r="AV42" t="str">
            <v>fn_splineinterpolation</v>
          </cell>
          <cell r="AX42" t="str">
            <v/>
          </cell>
          <cell r="AY42" t="str">
            <v/>
          </cell>
          <cell r="BA42" t="str">
            <v>fwdinterpolation</v>
          </cell>
          <cell r="BB42" t="str">
            <v>fn_splineinterpolation</v>
          </cell>
          <cell r="BD42" t="str">
            <v/>
          </cell>
          <cell r="BE42" t="str">
            <v/>
          </cell>
          <cell r="BG42" t="str">
            <v>fwdinterpolation</v>
          </cell>
          <cell r="BH42" t="str">
            <v>fn_splineinterpolation</v>
          </cell>
          <cell r="BJ42" t="str">
            <v/>
          </cell>
          <cell r="BK42" t="str">
            <v/>
          </cell>
        </row>
        <row r="43">
          <cell r="C43" t="str">
            <v>XccyBasis:USDDISCOUNT:USDDF:DF</v>
          </cell>
          <cell r="M43" t="str">
            <v/>
          </cell>
          <cell r="N43" t="str">
            <v/>
          </cell>
          <cell r="Q43" t="b">
            <v>0</v>
          </cell>
          <cell r="AE43" t="str">
            <v xml:space="preserve"> </v>
          </cell>
          <cell r="AF43" t="str">
            <v xml:space="preserve"> </v>
          </cell>
          <cell r="AG43" t="str">
            <v xml:space="preserve"> </v>
          </cell>
          <cell r="AH43" t="str">
            <v/>
          </cell>
          <cell r="AI43" t="str">
            <v/>
          </cell>
          <cell r="AN43" t="str">
            <v/>
          </cell>
          <cell r="AO43" t="str">
            <v/>
          </cell>
          <cell r="AP43" t="b">
            <v>0</v>
          </cell>
          <cell r="AU43" t="str">
            <v>issamegridindex</v>
          </cell>
          <cell r="AV43" t="b">
            <v>1</v>
          </cell>
          <cell r="AX43" t="str">
            <v/>
          </cell>
          <cell r="AY43" t="str">
            <v/>
          </cell>
          <cell r="BA43" t="str">
            <v>issamegridindex</v>
          </cell>
          <cell r="BB43" t="b">
            <v>1</v>
          </cell>
          <cell r="BD43" t="str">
            <v/>
          </cell>
          <cell r="BE43" t="str">
            <v/>
          </cell>
          <cell r="BG43" t="str">
            <v>issamegridindex</v>
          </cell>
          <cell r="BH43" t="b">
            <v>1</v>
          </cell>
          <cell r="BJ43" t="str">
            <v/>
          </cell>
          <cell r="BK43" t="str">
            <v/>
          </cell>
        </row>
        <row r="44">
          <cell r="M44" t="str">
            <v/>
          </cell>
          <cell r="N44" t="str">
            <v/>
          </cell>
          <cell r="Q44" t="b">
            <v>0</v>
          </cell>
          <cell r="AE44" t="str">
            <v xml:space="preserve"> </v>
          </cell>
          <cell r="AF44" t="str">
            <v xml:space="preserve"> </v>
          </cell>
          <cell r="AG44" t="str">
            <v xml:space="preserve"> </v>
          </cell>
          <cell r="AH44" t="str">
            <v/>
          </cell>
          <cell r="AI44" t="str">
            <v/>
          </cell>
          <cell r="AN44" t="str">
            <v/>
          </cell>
          <cell r="AO44" t="str">
            <v/>
          </cell>
          <cell r="AP44" t="b">
            <v>0</v>
          </cell>
          <cell r="AU44" t="str">
            <v>isyieldspreadcalc</v>
          </cell>
          <cell r="AV44" t="b">
            <v>0</v>
          </cell>
          <cell r="AX44" t="str">
            <v/>
          </cell>
          <cell r="AY44" t="str">
            <v/>
          </cell>
          <cell r="BA44" t="str">
            <v>isyieldspreadcalc</v>
          </cell>
          <cell r="BB44" t="b">
            <v>0</v>
          </cell>
          <cell r="BD44" t="str">
            <v/>
          </cell>
          <cell r="BE44" t="str">
            <v/>
          </cell>
          <cell r="BG44" t="str">
            <v>isyieldspreadcalc</v>
          </cell>
          <cell r="BH44" t="b">
            <v>0</v>
          </cell>
          <cell r="BJ44" t="str">
            <v/>
          </cell>
          <cell r="BK44" t="str">
            <v/>
          </cell>
        </row>
        <row r="45">
          <cell r="M45" t="str">
            <v/>
          </cell>
          <cell r="N45" t="str">
            <v/>
          </cell>
          <cell r="Q45" t="b">
            <v>0</v>
          </cell>
          <cell r="AE45" t="str">
            <v xml:space="preserve"> </v>
          </cell>
          <cell r="AF45" t="str">
            <v xml:space="preserve"> </v>
          </cell>
          <cell r="AG45" t="str">
            <v xml:space="preserve"> </v>
          </cell>
          <cell r="AH45" t="str">
            <v/>
          </cell>
          <cell r="AI45" t="str">
            <v/>
          </cell>
          <cell r="AN45" t="str">
            <v/>
          </cell>
          <cell r="AO45" t="str">
            <v/>
          </cell>
          <cell r="AP45" t="b">
            <v>0</v>
          </cell>
          <cell r="AU45" t="str">
            <v>spotrateterm</v>
          </cell>
          <cell r="AV45" t="str">
            <v>6M</v>
          </cell>
          <cell r="AX45" t="str">
            <v/>
          </cell>
          <cell r="AY45" t="str">
            <v/>
          </cell>
          <cell r="BA45" t="str">
            <v>spotrateterm</v>
          </cell>
          <cell r="BB45" t="str">
            <v>1M</v>
          </cell>
          <cell r="BD45" t="str">
            <v/>
          </cell>
          <cell r="BE45" t="str">
            <v/>
          </cell>
          <cell r="BG45" t="str">
            <v>spotrateterm</v>
          </cell>
          <cell r="BH45" t="str">
            <v>12M</v>
          </cell>
          <cell r="BJ45" t="str">
            <v/>
          </cell>
          <cell r="BK45" t="str">
            <v/>
          </cell>
        </row>
        <row r="46">
          <cell r="M46" t="str">
            <v/>
          </cell>
          <cell r="N46" t="str">
            <v/>
          </cell>
          <cell r="Q46" t="b">
            <v>0</v>
          </cell>
          <cell r="AE46" t="str">
            <v xml:space="preserve"> </v>
          </cell>
          <cell r="AF46" t="str">
            <v xml:space="preserve"> </v>
          </cell>
          <cell r="AG46" t="str">
            <v xml:space="preserve"> </v>
          </cell>
          <cell r="AH46" t="str">
            <v/>
          </cell>
          <cell r="AI46" t="str">
            <v/>
          </cell>
          <cell r="AN46" t="str">
            <v/>
          </cell>
          <cell r="AO46" t="str">
            <v/>
          </cell>
          <cell r="AP46" t="b">
            <v>0</v>
          </cell>
          <cell r="AU46" t="str">
            <v>eomday</v>
          </cell>
          <cell r="AV46">
            <v>31</v>
          </cell>
          <cell r="AX46" t="str">
            <v/>
          </cell>
          <cell r="AY46" t="str">
            <v/>
          </cell>
          <cell r="BA46" t="str">
            <v>eomday</v>
          </cell>
          <cell r="BB46">
            <v>31</v>
          </cell>
          <cell r="BD46" t="str">
            <v/>
          </cell>
          <cell r="BE46" t="str">
            <v/>
          </cell>
          <cell r="BG46" t="str">
            <v>eomday</v>
          </cell>
          <cell r="BH46">
            <v>31</v>
          </cell>
          <cell r="BJ46" t="str">
            <v/>
          </cell>
          <cell r="BK46" t="str">
            <v/>
          </cell>
        </row>
        <row r="47">
          <cell r="M47" t="str">
            <v/>
          </cell>
          <cell r="N47" t="str">
            <v/>
          </cell>
          <cell r="Q47" t="b">
            <v>0</v>
          </cell>
          <cell r="AE47" t="str">
            <v xml:space="preserve"> </v>
          </cell>
          <cell r="AF47" t="str">
            <v xml:space="preserve"> </v>
          </cell>
          <cell r="AG47" t="str">
            <v xml:space="preserve"> </v>
          </cell>
          <cell r="AH47" t="str">
            <v/>
          </cell>
          <cell r="AI47" t="str">
            <v/>
          </cell>
          <cell r="AN47" t="str">
            <v/>
          </cell>
          <cell r="AO47" t="str">
            <v/>
          </cell>
          <cell r="AP47" t="b">
            <v>0</v>
          </cell>
          <cell r="AX47" t="str">
            <v/>
          </cell>
          <cell r="AY47" t="str">
            <v/>
          </cell>
          <cell r="BD47" t="str">
            <v/>
          </cell>
          <cell r="BE47" t="str">
            <v/>
          </cell>
          <cell r="BJ47" t="str">
            <v/>
          </cell>
          <cell r="BK47" t="str">
            <v/>
          </cell>
        </row>
        <row r="48">
          <cell r="M48" t="str">
            <v/>
          </cell>
          <cell r="N48" t="str">
            <v/>
          </cell>
          <cell r="Q48" t="b">
            <v>0</v>
          </cell>
          <cell r="AE48" t="str">
            <v xml:space="preserve"> </v>
          </cell>
          <cell r="AF48" t="str">
            <v xml:space="preserve"> </v>
          </cell>
          <cell r="AG48" t="str">
            <v xml:space="preserve"> </v>
          </cell>
          <cell r="AH48" t="str">
            <v/>
          </cell>
          <cell r="AI48" t="str">
            <v/>
          </cell>
          <cell r="AN48" t="str">
            <v/>
          </cell>
          <cell r="AO48" t="str">
            <v/>
          </cell>
          <cell r="AP48" t="b">
            <v>0</v>
          </cell>
          <cell r="AX48" t="str">
            <v/>
          </cell>
          <cell r="AY48" t="str">
            <v/>
          </cell>
          <cell r="BD48" t="str">
            <v/>
          </cell>
          <cell r="BE48" t="str">
            <v/>
          </cell>
          <cell r="BJ48" t="str">
            <v/>
          </cell>
          <cell r="BK48" t="str">
            <v/>
          </cell>
        </row>
        <row r="49">
          <cell r="Q49" t="b">
            <v>0</v>
          </cell>
          <cell r="AE49" t="str">
            <v xml:space="preserve"> </v>
          </cell>
          <cell r="AF49" t="str">
            <v xml:space="preserve"> </v>
          </cell>
          <cell r="AG49" t="str">
            <v xml:space="preserve"> </v>
          </cell>
          <cell r="AH49" t="str">
            <v/>
          </cell>
          <cell r="AI49" t="str">
            <v/>
          </cell>
          <cell r="AP49" t="b">
            <v>0</v>
          </cell>
        </row>
        <row r="50">
          <cell r="Q50" t="b">
            <v>0</v>
          </cell>
          <cell r="AE50" t="str">
            <v xml:space="preserve"> </v>
          </cell>
          <cell r="AF50" t="str">
            <v xml:space="preserve"> </v>
          </cell>
          <cell r="AG50" t="str">
            <v xml:space="preserve"> </v>
          </cell>
          <cell r="AH50" t="str">
            <v/>
          </cell>
          <cell r="AI50" t="str">
            <v/>
          </cell>
          <cell r="AP50" t="b">
            <v>0</v>
          </cell>
        </row>
        <row r="51">
          <cell r="Q51" t="b">
            <v>0</v>
          </cell>
          <cell r="AE51" t="str">
            <v xml:space="preserve"> </v>
          </cell>
          <cell r="AF51" t="str">
            <v xml:space="preserve"> </v>
          </cell>
          <cell r="AG51" t="str">
            <v xml:space="preserve"> </v>
          </cell>
          <cell r="AH51" t="str">
            <v/>
          </cell>
          <cell r="AI51" t="str">
            <v/>
          </cell>
          <cell r="AP51" t="b">
            <v>0</v>
          </cell>
        </row>
        <row r="52">
          <cell r="Q52" t="b">
            <v>0</v>
          </cell>
          <cell r="AE52" t="str">
            <v xml:space="preserve"> </v>
          </cell>
          <cell r="AF52" t="str">
            <v xml:space="preserve"> </v>
          </cell>
          <cell r="AG52" t="str">
            <v xml:space="preserve"> </v>
          </cell>
          <cell r="AH52" t="str">
            <v/>
          </cell>
          <cell r="AI52" t="str">
            <v/>
          </cell>
          <cell r="AP52" t="b">
            <v>0</v>
          </cell>
        </row>
      </sheetData>
      <sheetData sheetId="7"/>
      <sheetData sheetId="8"/>
      <sheetData sheetId="9"/>
      <sheetData sheetId="10">
        <row r="5">
          <cell r="D5" t="str">
            <v>Instruments Used</v>
          </cell>
          <cell r="H5" t="str">
            <v>Instruments Used</v>
          </cell>
          <cell r="L5" t="str">
            <v>Instruments Used</v>
          </cell>
          <cell r="P5" t="str">
            <v>Instruments Used</v>
          </cell>
        </row>
        <row r="6">
          <cell r="D6" t="str">
            <v>FED Funds vs 12m Fixed</v>
          </cell>
          <cell r="H6" t="str">
            <v>FED Funds vs 12m Fixed</v>
          </cell>
          <cell r="L6" t="str">
            <v>FED Funds vs 12m Fixed</v>
          </cell>
          <cell r="P6" t="str">
            <v>FED Funds vs 12m Fixed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G6">
            <v>0</v>
          </cell>
        </row>
        <row r="7">
          <cell r="D7" t="str">
            <v>3m Float vs 6m Fixed</v>
          </cell>
          <cell r="H7" t="str">
            <v>3m Float vs 6m Fixed</v>
          </cell>
          <cell r="L7" t="str">
            <v>3m Float vs 6m Fixed</v>
          </cell>
          <cell r="P7" t="str">
            <v>3m Float vs 6m Fixed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</row>
        <row r="8">
          <cell r="D8" t="str">
            <v>Tenor Basis 3x6</v>
          </cell>
          <cell r="H8" t="str">
            <v>Tenor Basis 3x6</v>
          </cell>
          <cell r="L8" t="str">
            <v>Tenor Basis 3x6</v>
          </cell>
          <cell r="P8" t="str">
            <v>Tenor Basis 3x6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</row>
        <row r="9">
          <cell r="D9" t="str">
            <v>Tenor Basis 1x3</v>
          </cell>
          <cell r="H9" t="str">
            <v>Tenor Basis 1x3</v>
          </cell>
          <cell r="L9" t="str">
            <v>Tenor Basis 1x3</v>
          </cell>
          <cell r="P9" t="str">
            <v>Tenor Basis 1x3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</row>
        <row r="10">
          <cell r="D10" t="str">
            <v>Tenor Basis 3x12</v>
          </cell>
          <cell r="H10" t="str">
            <v>Tenor Basis 3x12</v>
          </cell>
          <cell r="L10" t="str">
            <v>Tenor Basis 3x12</v>
          </cell>
          <cell r="P10" t="str">
            <v>Tenor Basis 3x12</v>
          </cell>
          <cell r="U10" t="b">
            <v>1</v>
          </cell>
          <cell r="V10" t="b">
            <v>1</v>
          </cell>
          <cell r="W10" t="b">
            <v>1</v>
          </cell>
          <cell r="X10" t="b">
            <v>1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</row>
        <row r="11">
          <cell r="D11" t="str">
            <v>Xccy Basis USD/USD</v>
          </cell>
          <cell r="H11" t="str">
            <v>Xccy Basis USD/USD</v>
          </cell>
          <cell r="L11" t="str">
            <v>Xccy Basis USD/USD</v>
          </cell>
          <cell r="P11" t="str">
            <v>Xccy Basis USD/USD</v>
          </cell>
          <cell r="AB11" t="str">
            <v>-</v>
          </cell>
          <cell r="AC11" t="str">
            <v>-</v>
          </cell>
          <cell r="AD11" t="str">
            <v>-</v>
          </cell>
          <cell r="AE11" t="str">
            <v>-</v>
          </cell>
        </row>
        <row r="12">
          <cell r="D12" t="str">
            <v>Proxy: Xccy Basis USD/USD</v>
          </cell>
          <cell r="H12" t="str">
            <v>Proxy: Xccy Basis USD/EUR</v>
          </cell>
          <cell r="L12" t="str">
            <v>Proxy: Xccy Basis USD/GBP</v>
          </cell>
          <cell r="P12" t="str">
            <v>Proxy: Xccy Basis USD/JPY</v>
          </cell>
          <cell r="AB12" t="str">
            <v>-</v>
          </cell>
          <cell r="AC12">
            <v>0</v>
          </cell>
          <cell r="AD12">
            <v>0</v>
          </cell>
          <cell r="AE12">
            <v>0</v>
          </cell>
        </row>
        <row r="14">
          <cell r="D14" t="str">
            <v>Instruments Used</v>
          </cell>
          <cell r="H14" t="str">
            <v>Instruments Used</v>
          </cell>
          <cell r="L14" t="str">
            <v>Instruments Used</v>
          </cell>
          <cell r="P14" t="str">
            <v>Instruments Used</v>
          </cell>
        </row>
        <row r="15">
          <cell r="D15" t="str">
            <v>EONIA vs 12m Fixed</v>
          </cell>
          <cell r="H15" t="str">
            <v>EONIA vs 12m Fixed</v>
          </cell>
          <cell r="L15" t="str">
            <v>EONIA vs 12m Fixed</v>
          </cell>
          <cell r="P15" t="str">
            <v>EONIA vs 12m Fixed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G15">
            <v>0</v>
          </cell>
        </row>
        <row r="16">
          <cell r="D16" t="str">
            <v>6m Float vs 12m Fixed</v>
          </cell>
          <cell r="H16" t="str">
            <v>6m Float vs 12m Fixed</v>
          </cell>
          <cell r="L16" t="str">
            <v>6m Float vs 12m Fixed</v>
          </cell>
          <cell r="P16" t="str">
            <v>6m Float vs 12m Fixed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</row>
        <row r="17">
          <cell r="D17" t="str">
            <v>Tenor Basis 3x6</v>
          </cell>
          <cell r="H17" t="str">
            <v>Tenor Basis 3x6</v>
          </cell>
          <cell r="L17" t="str">
            <v>Tenor Basis 3x6</v>
          </cell>
          <cell r="P17" t="str">
            <v>Tenor Basis 3x6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</row>
        <row r="18">
          <cell r="D18" t="str">
            <v>Tenor Basis 1x3</v>
          </cell>
          <cell r="H18" t="str">
            <v>Tenor Basis 1x3</v>
          </cell>
          <cell r="L18" t="str">
            <v>Tenor Basis 1x3</v>
          </cell>
          <cell r="P18" t="str">
            <v>Tenor Basis 1x3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</row>
        <row r="19">
          <cell r="D19" t="str">
            <v>Tenor Basis 6x12</v>
          </cell>
          <cell r="H19" t="str">
            <v>Tenor Basis 6x12</v>
          </cell>
          <cell r="L19" t="str">
            <v>Tenor Basis 6x12</v>
          </cell>
          <cell r="P19" t="str">
            <v>Tenor Basis 6x12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</row>
        <row r="20">
          <cell r="D20" t="str">
            <v>Xccy Basis EUR/USD</v>
          </cell>
          <cell r="H20" t="str">
            <v>Xccy Basis EUR/USD</v>
          </cell>
          <cell r="L20" t="str">
            <v>Xccy Basis EUR/USD</v>
          </cell>
          <cell r="P20" t="str">
            <v>Xccy Basis EUR/USD</v>
          </cell>
          <cell r="V20" t="b">
            <v>1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</row>
        <row r="21">
          <cell r="D21" t="str">
            <v>Proxy: Xccy Basis USD/USD</v>
          </cell>
          <cell r="H21" t="str">
            <v>Proxy: Xccy Basis USD/EUR</v>
          </cell>
          <cell r="L21" t="str">
            <v>Proxy: Xccy Basis USD/GBP</v>
          </cell>
          <cell r="P21" t="str">
            <v>Proxy: Xccy Basis USD/JPY</v>
          </cell>
          <cell r="AB21" t="str">
            <v>-</v>
          </cell>
          <cell r="AC21" t="str">
            <v>-</v>
          </cell>
          <cell r="AD21">
            <v>0</v>
          </cell>
          <cell r="AE21">
            <v>0</v>
          </cell>
        </row>
        <row r="23">
          <cell r="D23" t="str">
            <v>Instruments Used</v>
          </cell>
          <cell r="H23" t="str">
            <v>Instruments Used</v>
          </cell>
          <cell r="L23" t="str">
            <v>Instruments Used</v>
          </cell>
          <cell r="P23" t="str">
            <v>Instruments Used</v>
          </cell>
        </row>
        <row r="24">
          <cell r="D24" t="str">
            <v>SONIA vs 12m Fixed</v>
          </cell>
          <cell r="H24" t="str">
            <v>SONIA vs 12m Fixed</v>
          </cell>
          <cell r="L24" t="str">
            <v>SONIA vs 12m Fixed</v>
          </cell>
          <cell r="P24" t="str">
            <v>SONIA vs 12m Fixed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G24">
            <v>0</v>
          </cell>
        </row>
        <row r="25">
          <cell r="D25" t="str">
            <v>6m Float vs 6m Fixed</v>
          </cell>
          <cell r="H25" t="str">
            <v>6m Float vs 6m Fixed</v>
          </cell>
          <cell r="L25" t="str">
            <v>6m Float vs 6m Fixed</v>
          </cell>
          <cell r="P25" t="str">
            <v>6m Float vs 6m Fixed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</row>
        <row r="26">
          <cell r="D26" t="str">
            <v>Tenor Basis 3x6</v>
          </cell>
          <cell r="H26" t="str">
            <v>Tenor Basis 3x6</v>
          </cell>
          <cell r="L26" t="str">
            <v>Tenor Basis 3x6</v>
          </cell>
          <cell r="P26" t="str">
            <v>Tenor Basis 3x6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</row>
        <row r="27">
          <cell r="D27" t="str">
            <v>Tenor Basis 1x6</v>
          </cell>
          <cell r="H27" t="str">
            <v>Tenor Basis 1x6</v>
          </cell>
          <cell r="L27" t="str">
            <v>Tenor Basis 1x6</v>
          </cell>
          <cell r="P27" t="str">
            <v>Tenor Basis 1x6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</row>
        <row r="28">
          <cell r="D28" t="str">
            <v>Tenor Basis 6x12</v>
          </cell>
          <cell r="H28" t="str">
            <v>Tenor Basis 6x12</v>
          </cell>
          <cell r="L28" t="str">
            <v>Tenor Basis 6x12</v>
          </cell>
          <cell r="P28" t="str">
            <v>Tenor Basis 6x12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</row>
        <row r="29">
          <cell r="D29" t="str">
            <v>Xccy Basis GBP/USD</v>
          </cell>
          <cell r="H29" t="str">
            <v>Xccy Basis GBP/USD</v>
          </cell>
          <cell r="L29" t="str">
            <v>Xccy Basis GBP/USD</v>
          </cell>
          <cell r="P29" t="str">
            <v>Xccy Basis GBP/USD</v>
          </cell>
          <cell r="W29" t="b">
            <v>1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</row>
        <row r="30">
          <cell r="D30" t="str">
            <v>Proxy: Xccy Basis USD/USD</v>
          </cell>
          <cell r="H30" t="str">
            <v>Proxy: Xccy Basis USD/EUR</v>
          </cell>
          <cell r="L30" t="str">
            <v>Proxy: Xccy Basis USD/GBP</v>
          </cell>
          <cell r="P30" t="str">
            <v>Proxy: Xccy Basis USD/JPY</v>
          </cell>
          <cell r="AB30" t="str">
            <v>-</v>
          </cell>
          <cell r="AC30">
            <v>0</v>
          </cell>
          <cell r="AD30" t="str">
            <v>-</v>
          </cell>
          <cell r="AE30">
            <v>0</v>
          </cell>
        </row>
        <row r="32">
          <cell r="D32" t="str">
            <v>Instruments Used</v>
          </cell>
          <cell r="H32" t="str">
            <v>Instruments Used</v>
          </cell>
          <cell r="L32" t="str">
            <v>Instruments Used</v>
          </cell>
          <cell r="P32" t="str">
            <v>Instruments Used</v>
          </cell>
        </row>
        <row r="33">
          <cell r="D33" t="str">
            <v>BoJ O/N Call Rate vs 12m Fixed</v>
          </cell>
          <cell r="H33" t="str">
            <v>BoJ O/N Call Rate vs 12m Fixed</v>
          </cell>
          <cell r="L33" t="str">
            <v>BoJ O/N Call Rate vs 12m Fixed</v>
          </cell>
          <cell r="P33" t="str">
            <v>BoJ O/N Call Rate vs 12m Fixed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G33">
            <v>0</v>
          </cell>
        </row>
        <row r="34">
          <cell r="D34" t="str">
            <v>6m Float vs 6m Fixed</v>
          </cell>
          <cell r="H34" t="str">
            <v>6m Float vs 6m Fixed</v>
          </cell>
          <cell r="L34" t="str">
            <v>6m Float vs 6m Fixed</v>
          </cell>
          <cell r="P34" t="str">
            <v>6m Float vs 6m Fixed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</row>
        <row r="35">
          <cell r="D35" t="str">
            <v>Tenor Basis 3x6</v>
          </cell>
          <cell r="H35" t="str">
            <v>Tenor Basis 3x6</v>
          </cell>
          <cell r="L35" t="str">
            <v>Tenor Basis 3x6</v>
          </cell>
          <cell r="P35" t="str">
            <v>Tenor Basis 3x6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</row>
        <row r="36">
          <cell r="D36" t="str">
            <v>Tenor Basis 1x6</v>
          </cell>
          <cell r="H36" t="str">
            <v>Tenor Basis 1x6</v>
          </cell>
          <cell r="L36" t="str">
            <v>Tenor Basis 1x6</v>
          </cell>
          <cell r="P36" t="str">
            <v>Tenor Basis 1x6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</row>
        <row r="37">
          <cell r="D37" t="str">
            <v>Tenor Basis 6x12</v>
          </cell>
          <cell r="H37" t="str">
            <v>Tenor Basis 6x12</v>
          </cell>
          <cell r="L37" t="str">
            <v>Tenor Basis 6x12</v>
          </cell>
          <cell r="P37" t="str">
            <v>Tenor Basis 6x12</v>
          </cell>
          <cell r="AB37" t="str">
            <v>-</v>
          </cell>
          <cell r="AC37" t="str">
            <v>-</v>
          </cell>
          <cell r="AD37" t="str">
            <v>-</v>
          </cell>
          <cell r="AE37" t="str">
            <v>-</v>
          </cell>
        </row>
        <row r="38">
          <cell r="D38" t="str">
            <v>Xccy Basis JPY/USD</v>
          </cell>
          <cell r="H38" t="str">
            <v>Xccy Basis JPY/USD</v>
          </cell>
          <cell r="L38" t="str">
            <v>Xccy Basis JPY/USD</v>
          </cell>
          <cell r="P38" t="str">
            <v>Xccy Basis JPY/USD</v>
          </cell>
          <cell r="X38" t="b">
            <v>1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</row>
        <row r="39">
          <cell r="D39" t="str">
            <v>Proxy: Xccy Basis USD/USD</v>
          </cell>
          <cell r="H39" t="str">
            <v>Proxy: Xccy Basis USD/EUR</v>
          </cell>
          <cell r="L39" t="str">
            <v>Proxy: Xccy Basis USD/GBP</v>
          </cell>
          <cell r="P39" t="str">
            <v>Proxy: Xccy Basis USD/JPY</v>
          </cell>
          <cell r="AB39" t="str">
            <v>-</v>
          </cell>
          <cell r="AC39">
            <v>0</v>
          </cell>
          <cell r="AD39">
            <v>0</v>
          </cell>
          <cell r="AE39" t="str">
            <v>-</v>
          </cell>
        </row>
      </sheetData>
      <sheetData sheetId="11">
        <row r="10">
          <cell r="H10">
            <v>2.73972602739736E-3</v>
          </cell>
          <cell r="J10">
            <v>-8.1111201234844205E-4</v>
          </cell>
          <cell r="L10">
            <v>2.73972602739736E-3</v>
          </cell>
          <cell r="N10">
            <v>-8.1111201234844205E-4</v>
          </cell>
          <cell r="P10">
            <v>5.479452054794498E-3</v>
          </cell>
          <cell r="R10">
            <v>3.6423809170367972E-5</v>
          </cell>
          <cell r="T10">
            <v>5.479452054794498E-3</v>
          </cell>
          <cell r="V10">
            <v>-7.3991648653939118E-5</v>
          </cell>
          <cell r="X10">
            <v>2.73972602739736E-3</v>
          </cell>
          <cell r="Z10">
            <v>4.9680521746447255E-4</v>
          </cell>
          <cell r="AB10">
            <v>5.479452054794498E-3</v>
          </cell>
          <cell r="AD10">
            <v>1.2347606069502816E-3</v>
          </cell>
        </row>
        <row r="285">
          <cell r="H285">
            <v>71</v>
          </cell>
          <cell r="J285">
            <v>71</v>
          </cell>
          <cell r="L285">
            <v>71</v>
          </cell>
          <cell r="M285">
            <v>71</v>
          </cell>
          <cell r="N285">
            <v>71</v>
          </cell>
          <cell r="P285">
            <v>271</v>
          </cell>
          <cell r="Q285">
            <v>271</v>
          </cell>
          <cell r="R285">
            <v>271</v>
          </cell>
          <cell r="T285">
            <v>121</v>
          </cell>
          <cell r="U285">
            <v>121</v>
          </cell>
          <cell r="V285">
            <v>121</v>
          </cell>
          <cell r="X285">
            <v>70</v>
          </cell>
          <cell r="Y285">
            <v>70</v>
          </cell>
          <cell r="Z285">
            <v>70</v>
          </cell>
          <cell r="AB285">
            <v>31</v>
          </cell>
          <cell r="AC285">
            <v>31</v>
          </cell>
          <cell r="AD285">
            <v>31</v>
          </cell>
        </row>
      </sheetData>
      <sheetData sheetId="12"/>
      <sheetData sheetId="13">
        <row r="6">
          <cell r="U6" t="str">
            <v>CurveID</v>
          </cell>
          <cell r="V6" t="str">
            <v>USD_USDCSA</v>
          </cell>
          <cell r="X6" t="str">
            <v>Currency</v>
          </cell>
          <cell r="Y6" t="str">
            <v>USD</v>
          </cell>
          <cell r="AA6" t="str">
            <v>IsForwardRoll</v>
          </cell>
          <cell r="AB6" t="b">
            <v>0</v>
          </cell>
        </row>
        <row r="7">
          <cell r="U7" t="str">
            <v>1MForecast</v>
          </cell>
          <cell r="V7" t="str">
            <v>USD1MLFORECAST</v>
          </cell>
          <cell r="X7" t="str">
            <v>AsOfDate</v>
          </cell>
          <cell r="Y7">
            <v>42124</v>
          </cell>
          <cell r="AA7" t="str">
            <v>PaymentCalendar</v>
          </cell>
          <cell r="AB7" t="str">
            <v>NYB</v>
          </cell>
        </row>
        <row r="8">
          <cell r="U8" t="str">
            <v>3MForecast</v>
          </cell>
          <cell r="V8" t="str">
            <v>USD3MLFORECAST</v>
          </cell>
          <cell r="X8" t="str">
            <v>IsCalcSourceDelta</v>
          </cell>
          <cell r="Y8" t="b">
            <v>1</v>
          </cell>
          <cell r="AA8" t="str">
            <v>PaymentTiming</v>
          </cell>
          <cell r="AB8" t="str">
            <v>Arrear</v>
          </cell>
        </row>
        <row r="9">
          <cell r="U9" t="str">
            <v>6MForecast</v>
          </cell>
          <cell r="V9" t="str">
            <v>USD6MLFORECAST</v>
          </cell>
          <cell r="X9" t="str">
            <v>IsCalcZeroDelta</v>
          </cell>
          <cell r="Y9" t="b">
            <v>1</v>
          </cell>
          <cell r="AA9" t="str">
            <v>Libor/FixingCalendar</v>
          </cell>
          <cell r="AB9" t="str">
            <v>LNB:NYB</v>
          </cell>
        </row>
        <row r="10">
          <cell r="U10" t="str">
            <v>12MForecast</v>
          </cell>
          <cell r="V10" t="str">
            <v>USD12MLFORECAST</v>
          </cell>
          <cell r="X10" t="str">
            <v>IsCalcGamma</v>
          </cell>
          <cell r="Y10" t="b">
            <v>1</v>
          </cell>
          <cell r="AA10" t="str">
            <v>Libor/FixingLag</v>
          </cell>
          <cell r="AB10" t="str">
            <v>2D</v>
          </cell>
        </row>
        <row r="11">
          <cell r="U11" t="str">
            <v>OISForecast</v>
          </cell>
          <cell r="V11" t="str">
            <v>OIS</v>
          </cell>
          <cell r="AA11" t="str">
            <v>OIS/FixingCalendar</v>
          </cell>
          <cell r="AB11" t="str">
            <v>LNB:NYB</v>
          </cell>
        </row>
        <row r="12">
          <cell r="U12" t="str">
            <v>GlobalShift</v>
          </cell>
          <cell r="AA12" t="str">
            <v>BusinessDayConvention</v>
          </cell>
          <cell r="AB12" t="str">
            <v>MOD_FOLLOWING</v>
          </cell>
        </row>
        <row r="15">
          <cell r="U15" t="str">
            <v>CurveID</v>
          </cell>
          <cell r="V15" t="str">
            <v>EUR_EURCSA</v>
          </cell>
          <cell r="X15" t="str">
            <v>Currency</v>
          </cell>
          <cell r="Y15" t="str">
            <v>EUR</v>
          </cell>
          <cell r="AA15" t="str">
            <v>IsForwardRoll</v>
          </cell>
          <cell r="AB15" t="b">
            <v>0</v>
          </cell>
        </row>
        <row r="16">
          <cell r="U16" t="str">
            <v>1MForecast</v>
          </cell>
          <cell r="V16" t="str">
            <v>EUR1MLFORECAST</v>
          </cell>
          <cell r="X16" t="str">
            <v>AsOfDate</v>
          </cell>
          <cell r="Y16">
            <v>42142</v>
          </cell>
          <cell r="AA16" t="str">
            <v>PaymentCalendar</v>
          </cell>
          <cell r="AB16" t="str">
            <v>TGT</v>
          </cell>
        </row>
        <row r="17">
          <cell r="U17" t="str">
            <v>3MForecast</v>
          </cell>
          <cell r="V17" t="str">
            <v>EUR3MLFORECAST</v>
          </cell>
          <cell r="X17" t="str">
            <v>IsCalcSourceDelta</v>
          </cell>
          <cell r="Y17" t="b">
            <v>1</v>
          </cell>
          <cell r="AA17" t="str">
            <v>PaymentTiming</v>
          </cell>
          <cell r="AB17" t="str">
            <v>Arrear</v>
          </cell>
        </row>
        <row r="18">
          <cell r="U18" t="str">
            <v>6MForecast</v>
          </cell>
          <cell r="V18" t="str">
            <v>EUR6MLFORECAST</v>
          </cell>
          <cell r="X18" t="str">
            <v>IsCalcZeroDelta</v>
          </cell>
          <cell r="Y18" t="b">
            <v>1</v>
          </cell>
          <cell r="AA18" t="str">
            <v>Libor/FixingCalendar</v>
          </cell>
          <cell r="AB18" t="str">
            <v>LNB:TGT</v>
          </cell>
        </row>
        <row r="19">
          <cell r="U19" t="str">
            <v>12MForecast</v>
          </cell>
          <cell r="V19" t="str">
            <v>EUR12MLFORECAST</v>
          </cell>
          <cell r="X19" t="str">
            <v>IsCalcGamma</v>
          </cell>
          <cell r="Y19" t="b">
            <v>1</v>
          </cell>
          <cell r="AA19" t="str">
            <v>Libor/FixingLag</v>
          </cell>
          <cell r="AB19" t="str">
            <v>2D</v>
          </cell>
        </row>
        <row r="20">
          <cell r="U20" t="str">
            <v>OISForecast</v>
          </cell>
          <cell r="V20" t="str">
            <v>OIS</v>
          </cell>
          <cell r="AA20" t="str">
            <v>OIS/FixingCalendar</v>
          </cell>
          <cell r="AB20" t="str">
            <v>LNB:TGT</v>
          </cell>
        </row>
        <row r="21">
          <cell r="U21" t="str">
            <v>GlobalShift</v>
          </cell>
          <cell r="AA21" t="str">
            <v>BusinessDayConvention</v>
          </cell>
          <cell r="AB21" t="str">
            <v>MOD_FOLLOWING</v>
          </cell>
        </row>
        <row r="24">
          <cell r="U24" t="str">
            <v>CurveID</v>
          </cell>
          <cell r="V24" t="str">
            <v>GBP_GBPCSA</v>
          </cell>
          <cell r="X24" t="str">
            <v>Currency</v>
          </cell>
          <cell r="Y24" t="str">
            <v>GBP</v>
          </cell>
          <cell r="AA24" t="str">
            <v>IsForwardRoll</v>
          </cell>
          <cell r="AB24" t="b">
            <v>0</v>
          </cell>
        </row>
        <row r="25">
          <cell r="U25" t="str">
            <v>1MForecast</v>
          </cell>
          <cell r="V25" t="str">
            <v>GBP1MLFORECAST</v>
          </cell>
          <cell r="X25" t="str">
            <v>AsOfDate</v>
          </cell>
          <cell r="Y25">
            <v>42124</v>
          </cell>
          <cell r="AA25" t="str">
            <v>PaymentCalendar</v>
          </cell>
          <cell r="AB25" t="str">
            <v>LNB</v>
          </cell>
        </row>
        <row r="26">
          <cell r="U26" t="str">
            <v>3MForecast</v>
          </cell>
          <cell r="V26" t="str">
            <v>GBP3MLFORECAST</v>
          </cell>
          <cell r="X26" t="str">
            <v>IsCalcSourceDelta</v>
          </cell>
          <cell r="Y26" t="b">
            <v>1</v>
          </cell>
          <cell r="AA26" t="str">
            <v>PaymentTiming</v>
          </cell>
          <cell r="AB26" t="str">
            <v>Arrear</v>
          </cell>
        </row>
        <row r="27">
          <cell r="U27" t="str">
            <v>6MForecast</v>
          </cell>
          <cell r="V27" t="str">
            <v>GBP6MLFORECAST</v>
          </cell>
          <cell r="X27" t="str">
            <v>IsCalcZeroDelta</v>
          </cell>
          <cell r="Y27" t="b">
            <v>1</v>
          </cell>
          <cell r="AA27" t="str">
            <v>Libor/FixingCalendar</v>
          </cell>
          <cell r="AB27" t="str">
            <v>LNB</v>
          </cell>
        </row>
        <row r="28">
          <cell r="U28" t="str">
            <v>12MForecast</v>
          </cell>
          <cell r="V28" t="str">
            <v>GBP12MLFORECAST</v>
          </cell>
          <cell r="X28" t="str">
            <v>IsCalcGamma</v>
          </cell>
          <cell r="Y28" t="b">
            <v>1</v>
          </cell>
          <cell r="AA28" t="str">
            <v>Libor/FixingLag</v>
          </cell>
          <cell r="AB28" t="str">
            <v>2D</v>
          </cell>
        </row>
        <row r="29">
          <cell r="U29" t="str">
            <v>OISForecast</v>
          </cell>
          <cell r="V29" t="str">
            <v>OIS</v>
          </cell>
          <cell r="AA29" t="str">
            <v>OIS/FixingCalendar</v>
          </cell>
          <cell r="AB29" t="str">
            <v>LNB</v>
          </cell>
        </row>
        <row r="30">
          <cell r="U30" t="str">
            <v>GlobalShift</v>
          </cell>
          <cell r="AA30" t="str">
            <v>BusinessDayConvention</v>
          </cell>
          <cell r="AB30" t="str">
            <v>MOD_FOLLOWING</v>
          </cell>
        </row>
        <row r="33">
          <cell r="U33" t="str">
            <v>CurveID</v>
          </cell>
          <cell r="V33" t="str">
            <v>JPY_JPYCSA</v>
          </cell>
          <cell r="X33" t="str">
            <v>Currency</v>
          </cell>
          <cell r="Y33" t="str">
            <v>JPY</v>
          </cell>
          <cell r="AA33" t="str">
            <v>IsForwardRoll</v>
          </cell>
          <cell r="AB33" t="b">
            <v>0</v>
          </cell>
        </row>
        <row r="34">
          <cell r="U34" t="str">
            <v>1MForecast</v>
          </cell>
          <cell r="V34" t="str">
            <v>JPY1MLFORECAST</v>
          </cell>
          <cell r="X34" t="str">
            <v>AsOfDate</v>
          </cell>
          <cell r="Y34">
            <v>42124</v>
          </cell>
          <cell r="AA34" t="str">
            <v>PaymentCalendar</v>
          </cell>
          <cell r="AB34" t="str">
            <v>TKB</v>
          </cell>
        </row>
        <row r="35">
          <cell r="U35" t="str">
            <v>3MForecast</v>
          </cell>
          <cell r="V35" t="str">
            <v>JPY3MLFORECAST</v>
          </cell>
          <cell r="X35" t="str">
            <v>IsCalcSourceDelta</v>
          </cell>
          <cell r="Y35" t="b">
            <v>1</v>
          </cell>
          <cell r="AA35" t="str">
            <v>PaymentTiming</v>
          </cell>
          <cell r="AB35" t="str">
            <v>Arrear</v>
          </cell>
        </row>
        <row r="36">
          <cell r="U36" t="str">
            <v>6MForecast</v>
          </cell>
          <cell r="V36" t="str">
            <v>JPY6MLFORECAST</v>
          </cell>
          <cell r="X36" t="str">
            <v>IsCalcZeroDelta</v>
          </cell>
          <cell r="Y36" t="b">
            <v>1</v>
          </cell>
          <cell r="AA36" t="str">
            <v>Libor/FixingCalendar</v>
          </cell>
          <cell r="AB36" t="str">
            <v>LNB:TKB</v>
          </cell>
        </row>
        <row r="37">
          <cell r="U37" t="str">
            <v>12MForecast</v>
          </cell>
          <cell r="X37" t="str">
            <v>IsCalcGamma</v>
          </cell>
          <cell r="Y37" t="b">
            <v>1</v>
          </cell>
          <cell r="AA37" t="str">
            <v>Libor/FixingLag</v>
          </cell>
          <cell r="AB37" t="str">
            <v>2D</v>
          </cell>
        </row>
        <row r="38">
          <cell r="U38" t="str">
            <v>OISForecast</v>
          </cell>
          <cell r="V38" t="str">
            <v>OIS</v>
          </cell>
          <cell r="AA38" t="str">
            <v>OIS/FixingCalendar</v>
          </cell>
          <cell r="AB38" t="str">
            <v>LNB:TKB</v>
          </cell>
        </row>
        <row r="39">
          <cell r="U39" t="str">
            <v>GlobalShift</v>
          </cell>
          <cell r="AA39" t="str">
            <v>BusinessDayConvention</v>
          </cell>
          <cell r="AB39" t="str">
            <v>MOD_FOLLOWING</v>
          </cell>
        </row>
      </sheetData>
      <sheetData sheetId="14"/>
      <sheetData sheetId="15">
        <row r="3">
          <cell r="C3">
            <v>41756</v>
          </cell>
        </row>
        <row r="4">
          <cell r="C4">
            <v>42156</v>
          </cell>
        </row>
        <row r="5">
          <cell r="C5" t="str">
            <v>PX_LAST</v>
          </cell>
        </row>
        <row r="6">
          <cell r="C6" t="str">
            <v>Dts=True</v>
          </cell>
        </row>
        <row r="7">
          <cell r="C7" t="str">
            <v>Sort=R</v>
          </cell>
        </row>
      </sheetData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wap"/>
      <sheetName val="Swap_Compound"/>
      <sheetName val="Vanilla"/>
      <sheetName val="SingleBarrier"/>
      <sheetName val="FxDigital"/>
      <sheetName val="IRDigital"/>
      <sheetName val="Convention"/>
      <sheetName val="Vanilla_old"/>
      <sheetName val="SingleBarrier_old"/>
      <sheetName val="FxDigital_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B3" t="str">
            <v>BD</v>
          </cell>
          <cell r="C3" t="str">
            <v>Business_Days</v>
          </cell>
          <cell r="D3" t="str">
            <v>1D</v>
          </cell>
        </row>
        <row r="4">
          <cell r="B4" t="str">
            <v>M</v>
          </cell>
          <cell r="C4" t="str">
            <v>Monthly</v>
          </cell>
          <cell r="D4" t="str">
            <v>1M</v>
          </cell>
        </row>
        <row r="5">
          <cell r="B5" t="str">
            <v>Q</v>
          </cell>
          <cell r="C5" t="str">
            <v>Quarterly</v>
          </cell>
          <cell r="D5" t="str">
            <v>3M</v>
          </cell>
        </row>
        <row r="6">
          <cell r="B6" t="str">
            <v>S</v>
          </cell>
          <cell r="C6" t="str">
            <v>Semi-Annual</v>
          </cell>
          <cell r="D6" t="str">
            <v>6M</v>
          </cell>
        </row>
        <row r="7">
          <cell r="B7" t="str">
            <v>A</v>
          </cell>
          <cell r="C7" t="str">
            <v>Annual</v>
          </cell>
          <cell r="D7" t="str">
            <v>12M</v>
          </cell>
        </row>
        <row r="8">
          <cell r="B8" t="str">
            <v>Simple</v>
          </cell>
          <cell r="C8" t="str">
            <v>None</v>
          </cell>
        </row>
        <row r="12">
          <cell r="B12" t="str">
            <v>FOL</v>
          </cell>
          <cell r="C12" t="str">
            <v>FOLLOWING</v>
          </cell>
        </row>
        <row r="13">
          <cell r="B13" t="str">
            <v>MOD_FOL</v>
          </cell>
          <cell r="C13" t="str">
            <v>MOD_FOLLOWING</v>
          </cell>
        </row>
        <row r="14">
          <cell r="B14" t="str">
            <v>PRE</v>
          </cell>
          <cell r="C14" t="str">
            <v>PRECEDING</v>
          </cell>
        </row>
        <row r="15">
          <cell r="B15" t="str">
            <v>MOD_PRE</v>
          </cell>
          <cell r="C15" t="str">
            <v>MOD_PRECEDING</v>
          </cell>
        </row>
        <row r="16">
          <cell r="B16" t="str">
            <v>NO_CHG</v>
          </cell>
          <cell r="C16" t="str">
            <v>NO_CHANGE</v>
          </cell>
        </row>
        <row r="20">
          <cell r="B20" t="str">
            <v>AUD</v>
          </cell>
          <cell r="C20" t="str">
            <v>BBSW</v>
          </cell>
          <cell r="D20" t="str">
            <v>ACT/365</v>
          </cell>
          <cell r="E20" t="str">
            <v>MOD_FOLLOWING</v>
          </cell>
          <cell r="F20" t="str">
            <v>SYB</v>
          </cell>
          <cell r="G20" t="str">
            <v>SYB</v>
          </cell>
          <cell r="H20" t="str">
            <v>0D</v>
          </cell>
        </row>
        <row r="21">
          <cell r="B21" t="str">
            <v>BRL</v>
          </cell>
          <cell r="D21" t="str">
            <v>ACT/360</v>
          </cell>
          <cell r="E21" t="str">
            <v>MOD_FOLLOWING</v>
          </cell>
          <cell r="F21" t="str">
            <v>TGT</v>
          </cell>
          <cell r="G21" t="str">
            <v>LNB</v>
          </cell>
          <cell r="H21" t="str">
            <v>2D</v>
          </cell>
        </row>
        <row r="22">
          <cell r="B22" t="str">
            <v>CAD</v>
          </cell>
          <cell r="C22" t="str">
            <v>CDOR</v>
          </cell>
          <cell r="D22" t="str">
            <v>ACT/365</v>
          </cell>
          <cell r="E22" t="str">
            <v>MOD_FOLLOWING</v>
          </cell>
          <cell r="F22" t="str">
            <v>TRB</v>
          </cell>
          <cell r="G22" t="str">
            <v>LNB</v>
          </cell>
          <cell r="H22" t="str">
            <v>0D</v>
          </cell>
        </row>
        <row r="23">
          <cell r="B23" t="str">
            <v>CNY</v>
          </cell>
          <cell r="D23" t="str">
            <v>ACT/360</v>
          </cell>
          <cell r="E23" t="str">
            <v>MOD_FOLLOWING</v>
          </cell>
          <cell r="F23" t="str">
            <v>HKB:BEB</v>
          </cell>
          <cell r="G23" t="str">
            <v>LNB</v>
          </cell>
          <cell r="H23" t="str">
            <v>1D</v>
          </cell>
        </row>
        <row r="24">
          <cell r="B24" t="str">
            <v>EUR</v>
          </cell>
          <cell r="C24" t="str">
            <v>Euribor</v>
          </cell>
          <cell r="D24" t="str">
            <v>ACT/360</v>
          </cell>
          <cell r="E24" t="str">
            <v>MOD_FOLLOWING</v>
          </cell>
          <cell r="F24" t="str">
            <v>TGT</v>
          </cell>
          <cell r="G24" t="str">
            <v>TGT</v>
          </cell>
          <cell r="H24" t="str">
            <v>2D</v>
          </cell>
        </row>
        <row r="25">
          <cell r="B25" t="str">
            <v>GBP</v>
          </cell>
          <cell r="C25" t="str">
            <v>LIBOR</v>
          </cell>
          <cell r="D25" t="str">
            <v>ACT/365</v>
          </cell>
          <cell r="E25" t="str">
            <v>MOD_FOLLOWING</v>
          </cell>
          <cell r="F25" t="str">
            <v>LNB</v>
          </cell>
          <cell r="G25" t="str">
            <v>LNB</v>
          </cell>
          <cell r="H25" t="str">
            <v>0D</v>
          </cell>
        </row>
        <row r="26">
          <cell r="B26" t="str">
            <v>HKD</v>
          </cell>
          <cell r="C26" t="str">
            <v>HIBOR</v>
          </cell>
          <cell r="D26" t="str">
            <v>ACT/365</v>
          </cell>
          <cell r="E26" t="str">
            <v>MOD_FOLLOWING</v>
          </cell>
          <cell r="F26" t="str">
            <v>HKB</v>
          </cell>
          <cell r="G26" t="str">
            <v>LNB</v>
          </cell>
          <cell r="H26" t="str">
            <v>0D</v>
          </cell>
        </row>
        <row r="27">
          <cell r="B27" t="str">
            <v>IDR</v>
          </cell>
          <cell r="D27" t="str">
            <v>ACT/360</v>
          </cell>
          <cell r="E27" t="str">
            <v>MOD_FOLLOWING</v>
          </cell>
          <cell r="F27" t="str">
            <v>JAB</v>
          </cell>
          <cell r="G27" t="str">
            <v>JAB</v>
          </cell>
          <cell r="H27" t="str">
            <v>2D</v>
          </cell>
        </row>
        <row r="28">
          <cell r="B28" t="str">
            <v>INR</v>
          </cell>
          <cell r="D28" t="str">
            <v>ACT/360</v>
          </cell>
          <cell r="E28" t="str">
            <v>MOD_FOLLOWING</v>
          </cell>
          <cell r="F28" t="str">
            <v>BMB</v>
          </cell>
          <cell r="G28" t="str">
            <v>BMB</v>
          </cell>
          <cell r="H28" t="str">
            <v>2D</v>
          </cell>
        </row>
        <row r="29">
          <cell r="B29" t="str">
            <v>JPY</v>
          </cell>
          <cell r="C29" t="str">
            <v>LIBOR</v>
          </cell>
          <cell r="D29" t="str">
            <v>ACT/360</v>
          </cell>
          <cell r="E29" t="str">
            <v>MOD_FOLLOWING</v>
          </cell>
          <cell r="F29" t="str">
            <v>TKB:LNB</v>
          </cell>
          <cell r="G29" t="str">
            <v>LNB</v>
          </cell>
          <cell r="H29" t="str">
            <v>2D</v>
          </cell>
        </row>
        <row r="30">
          <cell r="B30" t="str">
            <v>KRW</v>
          </cell>
          <cell r="D30" t="str">
            <v>ACT/360</v>
          </cell>
          <cell r="E30" t="str">
            <v>MOD_FOLLOWING</v>
          </cell>
          <cell r="F30" t="str">
            <v>SEB</v>
          </cell>
          <cell r="G30" t="str">
            <v>SEB</v>
          </cell>
          <cell r="H30" t="str">
            <v>1D</v>
          </cell>
        </row>
        <row r="31">
          <cell r="B31" t="str">
            <v>MXN</v>
          </cell>
          <cell r="C31" t="str">
            <v>TIIE</v>
          </cell>
          <cell r="D31" t="str">
            <v>ACT/360</v>
          </cell>
          <cell r="E31" t="str">
            <v>MOD_FOLLOWING</v>
          </cell>
          <cell r="F31" t="str">
            <v>MXB</v>
          </cell>
          <cell r="G31" t="str">
            <v>MXB</v>
          </cell>
          <cell r="H31" t="str">
            <v>1D</v>
          </cell>
        </row>
        <row r="32">
          <cell r="B32" t="str">
            <v>MYR</v>
          </cell>
          <cell r="D32" t="str">
            <v>ACT/360</v>
          </cell>
          <cell r="E32" t="str">
            <v>MOD_FOLLOWING</v>
          </cell>
          <cell r="F32" t="str">
            <v>KLB</v>
          </cell>
          <cell r="G32" t="str">
            <v>KLB</v>
          </cell>
          <cell r="H32" t="str">
            <v>2D</v>
          </cell>
        </row>
        <row r="33">
          <cell r="B33" t="str">
            <v>NZD</v>
          </cell>
          <cell r="C33" t="str">
            <v>BKBM</v>
          </cell>
          <cell r="D33" t="str">
            <v>ACT/365</v>
          </cell>
          <cell r="E33" t="str">
            <v>MOD_FOLLOWING</v>
          </cell>
          <cell r="F33" t="str">
            <v>AUB:WEB</v>
          </cell>
          <cell r="G33" t="str">
            <v>AUB:WEB</v>
          </cell>
          <cell r="H33" t="str">
            <v>2D</v>
          </cell>
        </row>
        <row r="34">
          <cell r="B34" t="str">
            <v>RUB</v>
          </cell>
          <cell r="C34" t="str">
            <v>MOSPRIME</v>
          </cell>
          <cell r="D34" t="str">
            <v>ACT/365_ISDA</v>
          </cell>
          <cell r="E34" t="str">
            <v>MOD_FOLLOWING</v>
          </cell>
          <cell r="F34" t="str">
            <v>MWB</v>
          </cell>
          <cell r="G34" t="str">
            <v>MWB</v>
          </cell>
          <cell r="H34" t="str">
            <v>1D</v>
          </cell>
        </row>
        <row r="35">
          <cell r="B35" t="str">
            <v>SGD</v>
          </cell>
          <cell r="C35" t="str">
            <v>SIBOR</v>
          </cell>
          <cell r="D35" t="str">
            <v>ACT/365</v>
          </cell>
          <cell r="E35" t="str">
            <v>MOD_FOLLOWING</v>
          </cell>
          <cell r="F35" t="str">
            <v>SIB</v>
          </cell>
          <cell r="G35" t="str">
            <v>SIB</v>
          </cell>
          <cell r="H35" t="str">
            <v>2D</v>
          </cell>
        </row>
        <row r="36">
          <cell r="B36" t="str">
            <v>TRY</v>
          </cell>
          <cell r="D36" t="str">
            <v>ACT/360</v>
          </cell>
          <cell r="E36" t="str">
            <v>MOD_FOLLOWING</v>
          </cell>
          <cell r="F36" t="str">
            <v>ISB</v>
          </cell>
          <cell r="G36" t="str">
            <v>LNB</v>
          </cell>
          <cell r="H36" t="str">
            <v>2D</v>
          </cell>
        </row>
        <row r="37">
          <cell r="B37" t="str">
            <v>TWD</v>
          </cell>
          <cell r="D37" t="str">
            <v>ACT/360</v>
          </cell>
          <cell r="E37" t="str">
            <v>MOD_FOLLOWING</v>
          </cell>
          <cell r="F37" t="str">
            <v>TPB</v>
          </cell>
          <cell r="G37" t="str">
            <v>TPB</v>
          </cell>
          <cell r="H37" t="str">
            <v>2D</v>
          </cell>
        </row>
        <row r="38">
          <cell r="B38" t="str">
            <v>USD</v>
          </cell>
          <cell r="C38" t="str">
            <v>LIBOR</v>
          </cell>
          <cell r="D38" t="str">
            <v>ACT/360</v>
          </cell>
          <cell r="E38" t="str">
            <v>MOD_FOLLOWING</v>
          </cell>
          <cell r="F38" t="str">
            <v>NYB:LNB</v>
          </cell>
          <cell r="G38" t="str">
            <v>LNB</v>
          </cell>
          <cell r="H38" t="str">
            <v>2D</v>
          </cell>
        </row>
        <row r="39">
          <cell r="B39" t="str">
            <v>ZAR</v>
          </cell>
          <cell r="C39" t="str">
            <v>JIBAR</v>
          </cell>
          <cell r="D39" t="str">
            <v>ACT/365</v>
          </cell>
          <cell r="E39" t="str">
            <v>MOD_FOLLOWING</v>
          </cell>
          <cell r="F39" t="str">
            <v>JOB</v>
          </cell>
          <cell r="G39" t="str">
            <v>JOB</v>
          </cell>
          <cell r="H39" t="str">
            <v>0D</v>
          </cell>
        </row>
        <row r="43">
          <cell r="B43" t="str">
            <v>AUD</v>
          </cell>
          <cell r="C43" t="str">
            <v>Semi-Annual</v>
          </cell>
          <cell r="D43" t="str">
            <v>ACT/365</v>
          </cell>
          <cell r="E43" t="str">
            <v>MOD_FOLLOWING</v>
          </cell>
          <cell r="F43" t="str">
            <v>SYB</v>
          </cell>
          <cell r="G43" t="str">
            <v>SYB</v>
          </cell>
          <cell r="H43" t="str">
            <v>1D</v>
          </cell>
        </row>
        <row r="44">
          <cell r="B44" t="str">
            <v>BRL</v>
          </cell>
          <cell r="C44" t="str">
            <v>Annual</v>
          </cell>
          <cell r="D44" t="str">
            <v>30/360</v>
          </cell>
          <cell r="E44" t="str">
            <v>MOD_FOLLOWING</v>
          </cell>
          <cell r="F44" t="str">
            <v>TGT</v>
          </cell>
          <cell r="G44" t="str">
            <v>LNB</v>
          </cell>
          <cell r="H44" t="str">
            <v>2D</v>
          </cell>
        </row>
        <row r="45">
          <cell r="B45" t="str">
            <v>CAD</v>
          </cell>
          <cell r="C45" t="str">
            <v>Semi-Annual</v>
          </cell>
          <cell r="D45" t="str">
            <v>ACT/365</v>
          </cell>
          <cell r="E45" t="str">
            <v>MOD_FOLLOWING</v>
          </cell>
          <cell r="F45" t="str">
            <v>TRB</v>
          </cell>
          <cell r="G45" t="str">
            <v>TRB</v>
          </cell>
          <cell r="H45" t="str">
            <v>0D</v>
          </cell>
        </row>
        <row r="46">
          <cell r="B46" t="str">
            <v>CNY</v>
          </cell>
          <cell r="C46" t="str">
            <v>Quarterly</v>
          </cell>
          <cell r="D46" t="str">
            <v>ACT/365</v>
          </cell>
          <cell r="E46" t="str">
            <v>MOD_FOLLOWING</v>
          </cell>
          <cell r="F46" t="str">
            <v>HKB:BEB</v>
          </cell>
          <cell r="G46" t="str">
            <v>LNB</v>
          </cell>
          <cell r="H46" t="str">
            <v>2D</v>
          </cell>
        </row>
        <row r="47">
          <cell r="B47" t="str">
            <v>EUR</v>
          </cell>
          <cell r="C47" t="str">
            <v>Annual</v>
          </cell>
          <cell r="D47" t="str">
            <v>30/360</v>
          </cell>
          <cell r="E47" t="str">
            <v>MOD_FOLLOWING</v>
          </cell>
          <cell r="F47" t="str">
            <v>TGT</v>
          </cell>
          <cell r="G47" t="str">
            <v>TGT</v>
          </cell>
          <cell r="H47" t="str">
            <v>2D</v>
          </cell>
        </row>
        <row r="48">
          <cell r="B48" t="str">
            <v>GBP</v>
          </cell>
          <cell r="C48" t="str">
            <v>Semi-Annual</v>
          </cell>
          <cell r="D48" t="str">
            <v>ACT/365</v>
          </cell>
          <cell r="E48" t="str">
            <v>MOD_FOLLOWING</v>
          </cell>
          <cell r="F48" t="str">
            <v>LNB</v>
          </cell>
          <cell r="G48" t="str">
            <v>LNB</v>
          </cell>
          <cell r="H48" t="str">
            <v>0D</v>
          </cell>
        </row>
        <row r="49">
          <cell r="B49" t="str">
            <v>HKD</v>
          </cell>
          <cell r="C49" t="str">
            <v>Quarterly</v>
          </cell>
          <cell r="D49" t="str">
            <v>ACT/365</v>
          </cell>
          <cell r="E49" t="str">
            <v>MOD_FOLLOWING</v>
          </cell>
          <cell r="F49" t="str">
            <v>HKB</v>
          </cell>
          <cell r="G49" t="str">
            <v>HKB</v>
          </cell>
          <cell r="H49" t="str">
            <v>1D</v>
          </cell>
        </row>
        <row r="50">
          <cell r="B50" t="str">
            <v>IDR</v>
          </cell>
          <cell r="C50" t="str">
            <v>Annual</v>
          </cell>
          <cell r="D50" t="str">
            <v>30/360</v>
          </cell>
          <cell r="E50" t="str">
            <v>MOD_FOLLOWING</v>
          </cell>
          <cell r="F50" t="str">
            <v>JAB</v>
          </cell>
          <cell r="G50" t="str">
            <v>LNB</v>
          </cell>
          <cell r="H50" t="str">
            <v>2D</v>
          </cell>
        </row>
        <row r="51">
          <cell r="B51" t="str">
            <v>INR</v>
          </cell>
          <cell r="C51" t="str">
            <v>Annual</v>
          </cell>
          <cell r="D51" t="str">
            <v>30/360</v>
          </cell>
          <cell r="E51" t="str">
            <v>MOD_FOLLOWING</v>
          </cell>
          <cell r="F51" t="str">
            <v>BMB</v>
          </cell>
          <cell r="G51" t="str">
            <v>LNB</v>
          </cell>
          <cell r="H51" t="str">
            <v>2D</v>
          </cell>
        </row>
        <row r="52">
          <cell r="B52" t="str">
            <v>JPY</v>
          </cell>
          <cell r="C52" t="str">
            <v>Semi-Annual</v>
          </cell>
          <cell r="D52" t="str">
            <v>ACT/365</v>
          </cell>
          <cell r="E52" t="str">
            <v>MOD_FOLLOWING</v>
          </cell>
          <cell r="F52" t="str">
            <v>TKB:LNB</v>
          </cell>
          <cell r="G52" t="str">
            <v>TKB:LNB</v>
          </cell>
          <cell r="H52" t="str">
            <v>2D</v>
          </cell>
        </row>
        <row r="53">
          <cell r="B53" t="str">
            <v>KRW</v>
          </cell>
          <cell r="C53" t="str">
            <v>Quarterly</v>
          </cell>
          <cell r="D53" t="str">
            <v>ACT/360</v>
          </cell>
          <cell r="E53" t="str">
            <v>MOD_FOLLOWING</v>
          </cell>
          <cell r="F53" t="str">
            <v>SEB</v>
          </cell>
          <cell r="G53" t="str">
            <v>LNB</v>
          </cell>
          <cell r="H53" t="str">
            <v>2D</v>
          </cell>
        </row>
        <row r="54">
          <cell r="B54" t="str">
            <v>MXN</v>
          </cell>
          <cell r="C54" t="str">
            <v>Lunar</v>
          </cell>
          <cell r="D54" t="str">
            <v>ACT/360</v>
          </cell>
          <cell r="E54" t="str">
            <v>MOD_FOLLOWING</v>
          </cell>
          <cell r="F54" t="str">
            <v>MXB</v>
          </cell>
          <cell r="G54" t="str">
            <v>MXB</v>
          </cell>
          <cell r="H54" t="str">
            <v>1D</v>
          </cell>
        </row>
        <row r="55">
          <cell r="B55" t="str">
            <v>MYR</v>
          </cell>
          <cell r="C55" t="str">
            <v>Annual</v>
          </cell>
          <cell r="D55" t="str">
            <v>30/360</v>
          </cell>
          <cell r="E55" t="str">
            <v>MOD_FOLLOWING</v>
          </cell>
          <cell r="F55" t="str">
            <v>KLB</v>
          </cell>
          <cell r="G55" t="str">
            <v>LNB</v>
          </cell>
          <cell r="H55" t="str">
            <v>2D</v>
          </cell>
        </row>
        <row r="56">
          <cell r="B56" t="str">
            <v>NZD</v>
          </cell>
          <cell r="C56" t="str">
            <v>Semi-Annual</v>
          </cell>
          <cell r="D56" t="str">
            <v>ACT/365</v>
          </cell>
          <cell r="E56" t="str">
            <v>MOD_FOLLOWING</v>
          </cell>
          <cell r="F56" t="str">
            <v>AUB:WEB</v>
          </cell>
          <cell r="G56" t="str">
            <v>AUB:WEB</v>
          </cell>
          <cell r="H56" t="str">
            <v>2D</v>
          </cell>
        </row>
        <row r="57">
          <cell r="B57" t="str">
            <v>RUB</v>
          </cell>
          <cell r="C57" t="str">
            <v>Annual</v>
          </cell>
          <cell r="D57" t="str">
            <v>ACT/365_ISDA</v>
          </cell>
          <cell r="E57" t="str">
            <v>MOD_FOLLOWING</v>
          </cell>
          <cell r="F57" t="str">
            <v>MWB</v>
          </cell>
          <cell r="G57" t="str">
            <v>MWB</v>
          </cell>
          <cell r="H57" t="str">
            <v>2D</v>
          </cell>
        </row>
        <row r="58">
          <cell r="B58" t="str">
            <v>SGD</v>
          </cell>
          <cell r="C58" t="str">
            <v>Quarterly</v>
          </cell>
          <cell r="D58" t="str">
            <v>ACT/365</v>
          </cell>
          <cell r="E58" t="str">
            <v>MOD_FOLLOWING</v>
          </cell>
          <cell r="F58" t="str">
            <v>SIB</v>
          </cell>
          <cell r="G58" t="str">
            <v>SIB</v>
          </cell>
          <cell r="H58" t="str">
            <v>2D</v>
          </cell>
        </row>
        <row r="59">
          <cell r="B59" t="str">
            <v>TRY</v>
          </cell>
          <cell r="C59" t="str">
            <v>Annual</v>
          </cell>
          <cell r="D59" t="str">
            <v>ACT/360</v>
          </cell>
          <cell r="E59" t="str">
            <v>MOD_FOLLOWING</v>
          </cell>
          <cell r="F59" t="str">
            <v>LNB:NYB:ISB</v>
          </cell>
          <cell r="G59" t="str">
            <v>LNB</v>
          </cell>
          <cell r="H59" t="str">
            <v>2D</v>
          </cell>
        </row>
        <row r="60">
          <cell r="B60" t="str">
            <v>TWD</v>
          </cell>
          <cell r="C60" t="str">
            <v>Quarterly</v>
          </cell>
          <cell r="D60" t="str">
            <v>30/360</v>
          </cell>
          <cell r="E60" t="str">
            <v>MOD_FOLLOWING</v>
          </cell>
          <cell r="F60" t="str">
            <v>TPB</v>
          </cell>
          <cell r="G60" t="str">
            <v>LNB</v>
          </cell>
          <cell r="H60" t="str">
            <v>2D</v>
          </cell>
        </row>
        <row r="61">
          <cell r="B61" t="str">
            <v>USD</v>
          </cell>
          <cell r="C61" t="str">
            <v>Semi-Annual</v>
          </cell>
          <cell r="D61" t="str">
            <v>30/360</v>
          </cell>
          <cell r="E61" t="str">
            <v>MOD_FOLLOWING</v>
          </cell>
          <cell r="F61" t="str">
            <v>NYB:LNB</v>
          </cell>
          <cell r="G61" t="str">
            <v>NYB:LNB</v>
          </cell>
          <cell r="H61" t="str">
            <v>2D</v>
          </cell>
        </row>
        <row r="62">
          <cell r="B62" t="str">
            <v>ZAR</v>
          </cell>
          <cell r="C62" t="str">
            <v>Quarterly</v>
          </cell>
          <cell r="D62" t="str">
            <v>ACT/365</v>
          </cell>
          <cell r="E62" t="str">
            <v>MOD_FOLLOWING</v>
          </cell>
          <cell r="F62" t="str">
            <v>JoB</v>
          </cell>
          <cell r="G62" t="str">
            <v>LNB</v>
          </cell>
          <cell r="H62" t="str">
            <v>0D</v>
          </cell>
        </row>
        <row r="72">
          <cell r="B72" t="str">
            <v>USDJPY</v>
          </cell>
          <cell r="C72" t="str">
            <v>FOLLOWING</v>
          </cell>
          <cell r="D72" t="str">
            <v>TKB</v>
          </cell>
          <cell r="E72" t="str">
            <v>2d</v>
          </cell>
        </row>
        <row r="73">
          <cell r="B73" t="str">
            <v>AUDUSD</v>
          </cell>
          <cell r="C73" t="str">
            <v>FOLLOWING</v>
          </cell>
          <cell r="D73" t="str">
            <v>SYB</v>
          </cell>
          <cell r="E73" t="str">
            <v>2d</v>
          </cell>
        </row>
        <row r="74">
          <cell r="B74" t="str">
            <v>EURUSD</v>
          </cell>
          <cell r="C74" t="str">
            <v>FOLLOWING</v>
          </cell>
          <cell r="D74" t="str">
            <v>TGT</v>
          </cell>
          <cell r="E74" t="str">
            <v>2d</v>
          </cell>
        </row>
        <row r="75">
          <cell r="B75" t="str">
            <v>GBPUSD</v>
          </cell>
          <cell r="C75" t="str">
            <v>FOLLOWING</v>
          </cell>
          <cell r="D75" t="str">
            <v>LNB</v>
          </cell>
          <cell r="E75" t="str">
            <v>2d</v>
          </cell>
        </row>
        <row r="76">
          <cell r="B76" t="str">
            <v>NZDUSD</v>
          </cell>
          <cell r="C76" t="str">
            <v>FOLLOWING</v>
          </cell>
          <cell r="D76" t="str">
            <v>AUB:WEB</v>
          </cell>
          <cell r="E76" t="str">
            <v>2d</v>
          </cell>
        </row>
        <row r="77">
          <cell r="B77" t="str">
            <v>ZARUSD</v>
          </cell>
          <cell r="C77" t="str">
            <v>FOLLOWING</v>
          </cell>
          <cell r="D77" t="str">
            <v>JoB</v>
          </cell>
          <cell r="E77" t="str">
            <v>2d</v>
          </cell>
        </row>
        <row r="78">
          <cell r="B78" t="str">
            <v>CADUSD</v>
          </cell>
          <cell r="C78" t="str">
            <v>FOLLOWING</v>
          </cell>
          <cell r="D78" t="str">
            <v>TRB</v>
          </cell>
          <cell r="E78" t="str">
            <v>1d</v>
          </cell>
        </row>
        <row r="79">
          <cell r="B79" t="str">
            <v>HKDUSD</v>
          </cell>
          <cell r="C79" t="str">
            <v>FOLLOWING</v>
          </cell>
          <cell r="D79" t="str">
            <v>HKB</v>
          </cell>
          <cell r="E79" t="str">
            <v>2d</v>
          </cell>
        </row>
        <row r="80">
          <cell r="B80" t="str">
            <v>BRLUSD</v>
          </cell>
          <cell r="C80" t="str">
            <v>FOLLOWING</v>
          </cell>
          <cell r="D80" t="str">
            <v>TGT</v>
          </cell>
          <cell r="E80" t="str">
            <v>2d</v>
          </cell>
        </row>
        <row r="81">
          <cell r="B81" t="str">
            <v>TRYUSD</v>
          </cell>
          <cell r="C81" t="str">
            <v>FOLLOWING</v>
          </cell>
          <cell r="D81" t="str">
            <v>ISB</v>
          </cell>
          <cell r="E81" t="str">
            <v>1d</v>
          </cell>
        </row>
        <row r="82">
          <cell r="B82" t="str">
            <v>CNYUSD</v>
          </cell>
          <cell r="C82" t="str">
            <v>FOLLOWING</v>
          </cell>
          <cell r="D82" t="str">
            <v>HKB:BEB</v>
          </cell>
          <cell r="E82" t="str">
            <v>2d</v>
          </cell>
        </row>
        <row r="83">
          <cell r="B83" t="str">
            <v>MXNUSD</v>
          </cell>
          <cell r="C83" t="str">
            <v>FOLLOWING</v>
          </cell>
          <cell r="D83" t="str">
            <v>MXB</v>
          </cell>
          <cell r="E83" t="str">
            <v>2d</v>
          </cell>
        </row>
        <row r="84">
          <cell r="B84" t="str">
            <v>RUBUSD</v>
          </cell>
          <cell r="C84" t="str">
            <v>FOLLOWING</v>
          </cell>
          <cell r="D84" t="str">
            <v>MWB</v>
          </cell>
          <cell r="E84" t="str">
            <v>2d</v>
          </cell>
        </row>
        <row r="85">
          <cell r="B85" t="str">
            <v>KRWUSD</v>
          </cell>
          <cell r="C85" t="str">
            <v>FOLLOWING</v>
          </cell>
          <cell r="D85" t="str">
            <v>SEB</v>
          </cell>
          <cell r="E85" t="str">
            <v>2d</v>
          </cell>
        </row>
        <row r="86">
          <cell r="B86" t="str">
            <v>SGDUSD</v>
          </cell>
          <cell r="C86" t="str">
            <v>FOLLOWING</v>
          </cell>
          <cell r="D86" t="str">
            <v>SIB</v>
          </cell>
          <cell r="E86" t="str">
            <v>2d</v>
          </cell>
        </row>
        <row r="87">
          <cell r="B87" t="str">
            <v>MYRUSD</v>
          </cell>
          <cell r="C87" t="str">
            <v>FOLLOWING</v>
          </cell>
          <cell r="D87" t="str">
            <v>KLB</v>
          </cell>
          <cell r="E87" t="str">
            <v>2d</v>
          </cell>
        </row>
        <row r="88">
          <cell r="B88" t="str">
            <v>IDRUSD</v>
          </cell>
          <cell r="C88" t="str">
            <v>FOLLOWING</v>
          </cell>
          <cell r="D88" t="str">
            <v>JAB</v>
          </cell>
          <cell r="E88" t="str">
            <v>2d</v>
          </cell>
        </row>
        <row r="89">
          <cell r="B89" t="str">
            <v>INRUSD</v>
          </cell>
          <cell r="C89" t="str">
            <v>FOLLOWING</v>
          </cell>
          <cell r="D89" t="str">
            <v>BMB</v>
          </cell>
          <cell r="E89" t="str">
            <v>2d</v>
          </cell>
        </row>
        <row r="90">
          <cell r="B90" t="str">
            <v>TWDUSD</v>
          </cell>
          <cell r="C90" t="str">
            <v>FOLLOWING</v>
          </cell>
          <cell r="D90" t="str">
            <v>TPB</v>
          </cell>
          <cell r="E90" t="str">
            <v>2d</v>
          </cell>
        </row>
        <row r="97">
          <cell r="C97" t="str">
            <v>JPY3MLFORECAST</v>
          </cell>
          <cell r="D97" t="str">
            <v>STD</v>
          </cell>
          <cell r="E97" t="str">
            <v>3ML</v>
          </cell>
          <cell r="F97" t="str">
            <v>6ML</v>
          </cell>
          <cell r="G97" t="str">
            <v>JPY3MLFORECAST</v>
          </cell>
          <cell r="H97" t="str">
            <v>JPY6MLFORECAST</v>
          </cell>
          <cell r="I97" t="str">
            <v>3ML</v>
          </cell>
          <cell r="J97" t="str">
            <v>6ML</v>
          </cell>
          <cell r="K97" t="str">
            <v>3ML</v>
          </cell>
          <cell r="L97" t="str">
            <v>6ML</v>
          </cell>
          <cell r="M97" t="str">
            <v>JPY3MLFORECAST</v>
          </cell>
          <cell r="N97" t="str">
            <v>JPY6MLFORECAST</v>
          </cell>
          <cell r="O97" t="str">
            <v>3ML</v>
          </cell>
          <cell r="P97" t="str">
            <v>6ML</v>
          </cell>
          <cell r="Q97" t="str">
            <v>3ML</v>
          </cell>
          <cell r="R97" t="str">
            <v>6ML</v>
          </cell>
          <cell r="S97" t="str">
            <v>3ML</v>
          </cell>
          <cell r="T97" t="str">
            <v>6ML</v>
          </cell>
          <cell r="U97" t="str">
            <v>3ML</v>
          </cell>
          <cell r="V97" t="str">
            <v>6ML</v>
          </cell>
        </row>
        <row r="98">
          <cell r="C98" t="str">
            <v>STD</v>
          </cell>
          <cell r="D98" t="str">
            <v>USD6MLFORECAST</v>
          </cell>
          <cell r="E98" t="str">
            <v>USD3MLFORECAST</v>
          </cell>
          <cell r="F98" t="str">
            <v>USD6MLFORECAST</v>
          </cell>
          <cell r="G98" t="str">
            <v>USD3MLFORECAST</v>
          </cell>
          <cell r="H98" t="str">
            <v>USD6MLFORECAST</v>
          </cell>
          <cell r="I98" t="str">
            <v>USD3MLFORECAST</v>
          </cell>
          <cell r="J98" t="str">
            <v>USD6MLFORECAST_USDOIS</v>
          </cell>
          <cell r="K98" t="str">
            <v>3ML</v>
          </cell>
          <cell r="L98" t="str">
            <v>6ML</v>
          </cell>
          <cell r="M98" t="str">
            <v>USD3MLFORECAST</v>
          </cell>
          <cell r="N98" t="str">
            <v>USD6MLFORECAST</v>
          </cell>
          <cell r="O98" t="str">
            <v>USD3MLFORECAST</v>
          </cell>
          <cell r="P98" t="str">
            <v>USD6MLFORECAST_USDOIS</v>
          </cell>
          <cell r="Q98" t="str">
            <v>3ML</v>
          </cell>
          <cell r="R98" t="str">
            <v>6ML</v>
          </cell>
          <cell r="S98" t="str">
            <v>3ML</v>
          </cell>
          <cell r="T98" t="str">
            <v>6ML</v>
          </cell>
          <cell r="U98" t="str">
            <v>3ML</v>
          </cell>
          <cell r="V98" t="str">
            <v>6ML</v>
          </cell>
        </row>
        <row r="99">
          <cell r="C99" t="str">
            <v>STD</v>
          </cell>
          <cell r="D99" t="str">
            <v>AUD6MLFORECAST</v>
          </cell>
          <cell r="E99" t="str">
            <v>3ML</v>
          </cell>
          <cell r="F99" t="str">
            <v>6ML</v>
          </cell>
          <cell r="G99" t="str">
            <v>AUD3MLFORECAST</v>
          </cell>
          <cell r="H99" t="str">
            <v>AUD6MLFORECAST</v>
          </cell>
          <cell r="I99" t="str">
            <v>AUD3MLFORECAST</v>
          </cell>
          <cell r="J99" t="str">
            <v>AUD6MLFORECAST</v>
          </cell>
          <cell r="K99" t="str">
            <v>3ML</v>
          </cell>
          <cell r="L99" t="str">
            <v>6ML</v>
          </cell>
          <cell r="M99" t="str">
            <v>AUD3MLFORECAST</v>
          </cell>
          <cell r="N99" t="str">
            <v>AUD6MLFORECAST</v>
          </cell>
          <cell r="O99" t="str">
            <v>AUD3MLFORECAST</v>
          </cell>
          <cell r="P99" t="str">
            <v>AUD6MLFORECAST</v>
          </cell>
          <cell r="Q99" t="str">
            <v>AUD3MLFORECAST</v>
          </cell>
          <cell r="R99" t="str">
            <v>AUD6MLFORECAST</v>
          </cell>
          <cell r="S99" t="str">
            <v>AUD3MLFORECAST</v>
          </cell>
          <cell r="T99" t="str">
            <v>AUD6MLFORECAST</v>
          </cell>
          <cell r="U99" t="str">
            <v>AUD3MLFORECAST</v>
          </cell>
          <cell r="V99" t="str">
            <v>AUD6MLFORECAST</v>
          </cell>
        </row>
        <row r="100">
          <cell r="C100" t="str">
            <v>EUR3MLFORECAST</v>
          </cell>
          <cell r="D100" t="str">
            <v>STD</v>
          </cell>
          <cell r="E100" t="str">
            <v>3ML</v>
          </cell>
          <cell r="F100" t="str">
            <v>6ML</v>
          </cell>
          <cell r="G100" t="str">
            <v>EUR3MLFORECAST</v>
          </cell>
          <cell r="H100" t="str">
            <v>EUR6MLFORECAST</v>
          </cell>
          <cell r="I100" t="str">
            <v>3ML</v>
          </cell>
          <cell r="J100" t="str">
            <v>6ML</v>
          </cell>
          <cell r="K100" t="str">
            <v>EUR3MLFORECAST</v>
          </cell>
          <cell r="L100" t="str">
            <v>EUR6MLFORECAST</v>
          </cell>
          <cell r="M100" t="str">
            <v>EUR3MLFORECAST</v>
          </cell>
          <cell r="N100" t="str">
            <v>EUR6MLFORECAST</v>
          </cell>
          <cell r="O100" t="str">
            <v>3ML</v>
          </cell>
          <cell r="P100" t="str">
            <v>6ML</v>
          </cell>
          <cell r="Q100" t="str">
            <v>EUR3MLFORECAST</v>
          </cell>
          <cell r="R100" t="str">
            <v>EUR6MLFORECAST</v>
          </cell>
          <cell r="S100" t="str">
            <v>EUR3MLFORECAST</v>
          </cell>
          <cell r="T100" t="str">
            <v>EUR6MLFORECAST</v>
          </cell>
          <cell r="U100" t="str">
            <v>EUR3MLFORECAST</v>
          </cell>
          <cell r="V100" t="str">
            <v>EUR6MLFORECAST</v>
          </cell>
        </row>
        <row r="101">
          <cell r="C101" t="str">
            <v>EUR3MLFORECAST</v>
          </cell>
          <cell r="D101" t="str">
            <v>STD</v>
          </cell>
          <cell r="E101" t="str">
            <v>3ML</v>
          </cell>
          <cell r="F101" t="str">
            <v>6ML</v>
          </cell>
          <cell r="G101" t="str">
            <v>EUR3MLFORECAST</v>
          </cell>
          <cell r="H101" t="str">
            <v>EUR6MLFORECAST</v>
          </cell>
          <cell r="I101" t="str">
            <v>3ML</v>
          </cell>
          <cell r="J101" t="str">
            <v>6ML</v>
          </cell>
          <cell r="K101" t="str">
            <v>EUR3MLFORECAST</v>
          </cell>
          <cell r="L101" t="str">
            <v>EUR6MLFORECAST</v>
          </cell>
          <cell r="M101" t="str">
            <v>EUR3MLFORECAST</v>
          </cell>
          <cell r="N101" t="str">
            <v>EUR6MLFORECAST</v>
          </cell>
          <cell r="O101" t="str">
            <v>3ML</v>
          </cell>
          <cell r="P101" t="str">
            <v>6ML</v>
          </cell>
          <cell r="Q101" t="str">
            <v>EUR3MLFORECAST</v>
          </cell>
          <cell r="R101" t="str">
            <v>EUR6MLFORECAST</v>
          </cell>
          <cell r="S101" t="str">
            <v>EUR3MLFORECAST</v>
          </cell>
          <cell r="T101" t="str">
            <v>EUR6MLFORECAST</v>
          </cell>
          <cell r="U101" t="str">
            <v>EUR3MLFORECAST</v>
          </cell>
          <cell r="V101" t="str">
            <v>EUR6MLFORECAST</v>
          </cell>
        </row>
        <row r="102">
          <cell r="C102" t="str">
            <v>GBP3MLFORECAST</v>
          </cell>
          <cell r="D102" t="str">
            <v>STD</v>
          </cell>
          <cell r="E102" t="str">
            <v>3ML</v>
          </cell>
          <cell r="F102" t="str">
            <v>6ML</v>
          </cell>
          <cell r="G102" t="str">
            <v>GBP3MLFORECAST</v>
          </cell>
          <cell r="H102" t="str">
            <v>GBP6MLFORECAST</v>
          </cell>
          <cell r="I102" t="str">
            <v>3ML</v>
          </cell>
          <cell r="J102" t="str">
            <v>6ML</v>
          </cell>
          <cell r="K102" t="str">
            <v>3ML</v>
          </cell>
          <cell r="L102" t="str">
            <v>6ML</v>
          </cell>
          <cell r="M102" t="str">
            <v>GBP3MLFORECAST</v>
          </cell>
          <cell r="N102" t="str">
            <v>GBP6MLFORECAST</v>
          </cell>
          <cell r="O102" t="str">
            <v>3ML</v>
          </cell>
          <cell r="P102" t="str">
            <v>6ML</v>
          </cell>
          <cell r="Q102" t="str">
            <v>None</v>
          </cell>
          <cell r="R102" t="str">
            <v>None</v>
          </cell>
          <cell r="S102" t="str">
            <v>3ML</v>
          </cell>
          <cell r="T102" t="str">
            <v>6ML</v>
          </cell>
          <cell r="U102" t="str">
            <v>GBP3MLFORECAST</v>
          </cell>
          <cell r="V102" t="str">
            <v>GBP6MLFORECAST</v>
          </cell>
        </row>
        <row r="103">
          <cell r="C103" t="str">
            <v>STD</v>
          </cell>
          <cell r="D103" t="str">
            <v>STD</v>
          </cell>
          <cell r="E103" t="str">
            <v>3ML</v>
          </cell>
          <cell r="F103" t="str">
            <v>6ML</v>
          </cell>
          <cell r="G103" t="str">
            <v>NZD3MLFORECAST</v>
          </cell>
          <cell r="H103" t="str">
            <v>NZD6MLFORECAST</v>
          </cell>
          <cell r="I103" t="str">
            <v>NZD3MLFORECAST</v>
          </cell>
          <cell r="J103" t="str">
            <v>NZD6MLFORECAST</v>
          </cell>
          <cell r="K103" t="str">
            <v>NZD3MLFORECAST</v>
          </cell>
          <cell r="L103" t="str">
            <v>NZD6MLFORECAST</v>
          </cell>
          <cell r="M103" t="str">
            <v>NZD3MLFORECAST</v>
          </cell>
          <cell r="N103" t="str">
            <v>NZD6MLFORECAST</v>
          </cell>
          <cell r="O103" t="str">
            <v>NZD3MLFORECAST</v>
          </cell>
          <cell r="P103" t="str">
            <v>NZD6MLFORECAST</v>
          </cell>
          <cell r="Q103" t="str">
            <v>None</v>
          </cell>
          <cell r="R103" t="str">
            <v>None</v>
          </cell>
          <cell r="S103" t="str">
            <v>NZD3MLFORECAST</v>
          </cell>
          <cell r="T103" t="str">
            <v>NZD6MLFORECAST</v>
          </cell>
          <cell r="U103" t="str">
            <v>None</v>
          </cell>
          <cell r="V103" t="str">
            <v>None</v>
          </cell>
        </row>
        <row r="104">
          <cell r="C104" t="str">
            <v>ZAR3MLFORECAST</v>
          </cell>
          <cell r="D104" t="str">
            <v>STD</v>
          </cell>
          <cell r="E104" t="str">
            <v>3ML</v>
          </cell>
          <cell r="F104" t="str">
            <v>6ML</v>
          </cell>
          <cell r="G104" t="str">
            <v>ZAR3MLFORECAST</v>
          </cell>
          <cell r="H104" t="str">
            <v>ZAR6MLFORECAST</v>
          </cell>
          <cell r="I104" t="str">
            <v>ZAR3MLFORECAST</v>
          </cell>
          <cell r="J104" t="str">
            <v>ZAR6MLFORECAST</v>
          </cell>
          <cell r="K104" t="str">
            <v>ZAR3MLFORECAST</v>
          </cell>
          <cell r="L104" t="str">
            <v>ZAR6MLFORECAST</v>
          </cell>
          <cell r="M104" t="str">
            <v>ZAR3MLFORECAST</v>
          </cell>
          <cell r="N104" t="str">
            <v>ZAR6MLFORECAST</v>
          </cell>
          <cell r="O104" t="str">
            <v>ZAR3MLFORECAST</v>
          </cell>
          <cell r="P104" t="str">
            <v>ZAR6MLFORECAST</v>
          </cell>
          <cell r="Q104" t="str">
            <v>None</v>
          </cell>
          <cell r="R104" t="str">
            <v>None</v>
          </cell>
          <cell r="S104" t="str">
            <v>ZAR3MLFORECAST</v>
          </cell>
          <cell r="T104" t="str">
            <v>ZAR6MLFORECAST</v>
          </cell>
          <cell r="U104" t="str">
            <v>None</v>
          </cell>
          <cell r="V104" t="str">
            <v>None</v>
          </cell>
        </row>
        <row r="105">
          <cell r="C105" t="str">
            <v>STD</v>
          </cell>
          <cell r="D105" t="str">
            <v>STD</v>
          </cell>
          <cell r="E105" t="str">
            <v>3ML</v>
          </cell>
          <cell r="F105" t="str">
            <v>6ML</v>
          </cell>
          <cell r="G105" t="str">
            <v>CAD3MLFORECAST</v>
          </cell>
          <cell r="H105" t="str">
            <v>CAD6MLFORECAST</v>
          </cell>
          <cell r="I105" t="str">
            <v>CAD3MLFORECAST</v>
          </cell>
          <cell r="J105" t="str">
            <v>CAD6MLFORECAST</v>
          </cell>
          <cell r="K105" t="str">
            <v>CAD3MLFORECAST</v>
          </cell>
          <cell r="L105" t="str">
            <v>CAD6MLFORECAST</v>
          </cell>
          <cell r="M105" t="str">
            <v>CAD3MLFORECAST</v>
          </cell>
          <cell r="N105" t="str">
            <v>CAD6MLFORECAST</v>
          </cell>
          <cell r="O105" t="str">
            <v>CAD3MLFORECAST</v>
          </cell>
          <cell r="P105" t="str">
            <v>CAD6MLFORECAST</v>
          </cell>
          <cell r="Q105" t="str">
            <v>None</v>
          </cell>
          <cell r="R105" t="str">
            <v>None</v>
          </cell>
          <cell r="S105" t="str">
            <v>CAD3MLFORECAST</v>
          </cell>
          <cell r="T105" t="str">
            <v>CAD6MLFORECAST</v>
          </cell>
          <cell r="U105" t="str">
            <v>None</v>
          </cell>
          <cell r="V105" t="str">
            <v>None</v>
          </cell>
        </row>
        <row r="106">
          <cell r="C106" t="str">
            <v>STD</v>
          </cell>
          <cell r="D106" t="str">
            <v>HKD6MLFORECAST</v>
          </cell>
          <cell r="E106" t="str">
            <v>3ML</v>
          </cell>
          <cell r="F106" t="str">
            <v>6ML</v>
          </cell>
          <cell r="G106" t="str">
            <v>HKD3MLFORECAST</v>
          </cell>
          <cell r="H106" t="str">
            <v>HKD6MLFORECAST</v>
          </cell>
          <cell r="I106" t="str">
            <v>HKD3MLFORECAST</v>
          </cell>
          <cell r="J106" t="str">
            <v>HKD6MLFORECAST</v>
          </cell>
          <cell r="K106" t="str">
            <v>HKD3MLFORECAST</v>
          </cell>
          <cell r="L106" t="str">
            <v>HKD6MLFORECAST</v>
          </cell>
          <cell r="M106" t="str">
            <v>HKD3MLFORECAST</v>
          </cell>
          <cell r="N106" t="str">
            <v>HKD6MLFORECAST</v>
          </cell>
          <cell r="O106" t="str">
            <v>HKD3MLFORECAST</v>
          </cell>
          <cell r="P106" t="str">
            <v>HKD6MLFORECAST</v>
          </cell>
          <cell r="Q106" t="str">
            <v>None</v>
          </cell>
          <cell r="R106" t="str">
            <v>None</v>
          </cell>
          <cell r="S106" t="str">
            <v>HKD3MLFORECAST</v>
          </cell>
          <cell r="T106" t="str">
            <v>HKD6MLFORECAST</v>
          </cell>
          <cell r="U106" t="str">
            <v>None</v>
          </cell>
          <cell r="V106" t="str">
            <v>None</v>
          </cell>
        </row>
        <row r="107">
          <cell r="C107" t="str">
            <v>STD</v>
          </cell>
          <cell r="D107" t="str">
            <v>STD</v>
          </cell>
          <cell r="E107" t="str">
            <v>3ML</v>
          </cell>
          <cell r="F107" t="str">
            <v>6ML</v>
          </cell>
          <cell r="G107" t="str">
            <v>BRL3MLFORECAST</v>
          </cell>
          <cell r="H107" t="str">
            <v>BRL6MLFORECAST</v>
          </cell>
          <cell r="I107" t="str">
            <v>BRL3MLFORECAST</v>
          </cell>
          <cell r="J107" t="str">
            <v>BRL6MLFORECAST</v>
          </cell>
          <cell r="K107" t="str">
            <v>BRL3MLFORECAST</v>
          </cell>
          <cell r="L107" t="str">
            <v>BRL6MLFORECAST</v>
          </cell>
          <cell r="M107" t="str">
            <v>BRL3MLFORECAST</v>
          </cell>
          <cell r="N107" t="str">
            <v>BRL6MLFORECAST</v>
          </cell>
          <cell r="O107" t="str">
            <v>BRL3MLFORECAST</v>
          </cell>
          <cell r="P107" t="str">
            <v>BRL6MLFORECAST</v>
          </cell>
          <cell r="Q107" t="str">
            <v>None</v>
          </cell>
          <cell r="R107" t="str">
            <v>None</v>
          </cell>
          <cell r="S107" t="str">
            <v>BRL3MLFORECAST</v>
          </cell>
          <cell r="T107" t="str">
            <v>BRL6MLFORECAST</v>
          </cell>
          <cell r="U107" t="str">
            <v>None</v>
          </cell>
          <cell r="V107" t="str">
            <v>None</v>
          </cell>
        </row>
        <row r="108">
          <cell r="C108" t="str">
            <v>STD</v>
          </cell>
          <cell r="D108" t="str">
            <v>STD</v>
          </cell>
          <cell r="E108" t="str">
            <v>3ML</v>
          </cell>
          <cell r="F108" t="str">
            <v>6ML</v>
          </cell>
          <cell r="G108" t="str">
            <v>TRY3MLFORECAST</v>
          </cell>
          <cell r="H108" t="str">
            <v>TRY6MLFORECAST</v>
          </cell>
          <cell r="I108" t="str">
            <v>TRY3MLFORECAST</v>
          </cell>
          <cell r="J108" t="str">
            <v>TRY6MLFORECAST</v>
          </cell>
          <cell r="K108" t="str">
            <v>TRY3MLFORECAST</v>
          </cell>
          <cell r="L108" t="str">
            <v>TRY6MLFORECAST</v>
          </cell>
          <cell r="M108" t="str">
            <v>TRY3MLFORECAST</v>
          </cell>
          <cell r="N108" t="str">
            <v>TRY6MLFORECAST</v>
          </cell>
          <cell r="O108" t="str">
            <v>TRY3MLFORECAST</v>
          </cell>
          <cell r="P108" t="str">
            <v>TRY6MLFORECAST</v>
          </cell>
          <cell r="Q108" t="str">
            <v>None</v>
          </cell>
          <cell r="R108" t="str">
            <v>None</v>
          </cell>
          <cell r="S108" t="str">
            <v>TRY3MLFORECAST</v>
          </cell>
          <cell r="T108" t="str">
            <v>TRY6MLFORECAST</v>
          </cell>
          <cell r="U108" t="str">
            <v>None</v>
          </cell>
          <cell r="V108" t="str">
            <v>None</v>
          </cell>
        </row>
        <row r="109">
          <cell r="C109" t="str">
            <v>STD</v>
          </cell>
          <cell r="D109" t="str">
            <v>STD</v>
          </cell>
          <cell r="E109" t="str">
            <v>3ML</v>
          </cell>
          <cell r="F109" t="str">
            <v>6ML</v>
          </cell>
          <cell r="G109" t="str">
            <v>CNY3MLFORECAST</v>
          </cell>
          <cell r="H109" t="str">
            <v>CNY6MLFORECAST</v>
          </cell>
          <cell r="I109" t="str">
            <v>CNY3MLFORECAST</v>
          </cell>
          <cell r="J109" t="str">
            <v>CNY6MLFORECAST</v>
          </cell>
          <cell r="K109" t="str">
            <v>CNY3MLFORECAST</v>
          </cell>
          <cell r="L109" t="str">
            <v>CNY6MLFORECAST</v>
          </cell>
          <cell r="M109" t="str">
            <v>CNY3MLFORECAST</v>
          </cell>
          <cell r="N109" t="str">
            <v>CNY6MLFORECAST</v>
          </cell>
          <cell r="O109" t="str">
            <v>CNY3MLFORECAST</v>
          </cell>
          <cell r="P109" t="str">
            <v>CNY6MLFORECAST</v>
          </cell>
          <cell r="Q109" t="str">
            <v>None</v>
          </cell>
          <cell r="R109" t="str">
            <v>None</v>
          </cell>
          <cell r="S109" t="str">
            <v>CNY3MLFORECAST</v>
          </cell>
          <cell r="T109" t="str">
            <v>CNY6MLFORECAST</v>
          </cell>
          <cell r="U109" t="str">
            <v>None</v>
          </cell>
          <cell r="V109" t="str">
            <v>None</v>
          </cell>
        </row>
        <row r="110">
          <cell r="C110" t="str">
            <v>STD</v>
          </cell>
          <cell r="D110" t="str">
            <v>STD</v>
          </cell>
          <cell r="E110" t="str">
            <v>MXN1MLFORECAST</v>
          </cell>
          <cell r="F110" t="str">
            <v>MXN1MLFORECAST</v>
          </cell>
          <cell r="G110" t="str">
            <v>MXN1MLFORECAST</v>
          </cell>
          <cell r="H110" t="str">
            <v>MXN1MLFORECAST</v>
          </cell>
          <cell r="I110" t="str">
            <v>MXN1MLFORECAST</v>
          </cell>
          <cell r="J110" t="str">
            <v>MXN1MLFORECAST</v>
          </cell>
          <cell r="K110" t="str">
            <v>MXN1MLFORECAST</v>
          </cell>
          <cell r="L110" t="str">
            <v>MXN1MLFORECAST</v>
          </cell>
          <cell r="M110" t="str">
            <v>MXN1MLFORECAST</v>
          </cell>
          <cell r="N110" t="str">
            <v>MXN1MLFORECAST</v>
          </cell>
          <cell r="O110" t="str">
            <v>MXN1MLFORECAST</v>
          </cell>
          <cell r="P110" t="str">
            <v>MXN1MLFORECAST</v>
          </cell>
          <cell r="Q110" t="str">
            <v>None</v>
          </cell>
          <cell r="R110" t="str">
            <v>None</v>
          </cell>
          <cell r="S110" t="str">
            <v>MXN1MLFORECAST</v>
          </cell>
          <cell r="T110" t="str">
            <v>MXN1MLFORECAST</v>
          </cell>
          <cell r="U110" t="str">
            <v>None</v>
          </cell>
          <cell r="V110" t="str">
            <v>None</v>
          </cell>
        </row>
        <row r="111">
          <cell r="C111" t="str">
            <v>STD</v>
          </cell>
          <cell r="D111" t="str">
            <v>STD</v>
          </cell>
          <cell r="E111" t="str">
            <v>3ML</v>
          </cell>
          <cell r="F111" t="str">
            <v>6ML</v>
          </cell>
          <cell r="G111" t="str">
            <v>RUB3MLFORECAST</v>
          </cell>
          <cell r="H111" t="str">
            <v>RUB6MLFORECAST</v>
          </cell>
          <cell r="I111" t="str">
            <v>RUB3MLFORECAST</v>
          </cell>
          <cell r="J111" t="str">
            <v>RUB6MLFORECAST</v>
          </cell>
          <cell r="K111" t="str">
            <v>RUB3MLFORECAST</v>
          </cell>
          <cell r="L111" t="str">
            <v>RUB6MLFORECAST</v>
          </cell>
          <cell r="M111" t="str">
            <v>RUB3MLFORECAST</v>
          </cell>
          <cell r="N111" t="str">
            <v>RUB6MLFORECAST</v>
          </cell>
          <cell r="O111" t="str">
            <v>RUB3MLFORECAST</v>
          </cell>
          <cell r="P111" t="str">
            <v>RUB6MLFORECAST</v>
          </cell>
          <cell r="Q111" t="str">
            <v>None</v>
          </cell>
          <cell r="R111" t="str">
            <v>None</v>
          </cell>
          <cell r="S111" t="str">
            <v>RUB3MLFORECAST</v>
          </cell>
          <cell r="T111" t="str">
            <v>RUB6MLFORECAST</v>
          </cell>
          <cell r="U111" t="str">
            <v>None</v>
          </cell>
          <cell r="V111" t="str">
            <v>None</v>
          </cell>
        </row>
        <row r="112">
          <cell r="C112" t="str">
            <v>STD</v>
          </cell>
          <cell r="D112" t="str">
            <v>STD</v>
          </cell>
          <cell r="E112" t="str">
            <v>3ML</v>
          </cell>
          <cell r="F112" t="str">
            <v>6ML</v>
          </cell>
          <cell r="G112" t="str">
            <v>KRW3MLFORECAST</v>
          </cell>
          <cell r="H112" t="str">
            <v>KRW6MLFORECAST</v>
          </cell>
          <cell r="I112" t="str">
            <v>KRW3MLFORECAST</v>
          </cell>
          <cell r="J112" t="str">
            <v>KRW6MLFORECAST</v>
          </cell>
          <cell r="K112" t="str">
            <v>KRW3MLFORECAST</v>
          </cell>
          <cell r="L112" t="str">
            <v>KRW6MLFORECAST</v>
          </cell>
          <cell r="M112" t="str">
            <v>KRW3MLFORECAST</v>
          </cell>
          <cell r="N112" t="str">
            <v>KRW6MLFORECAST</v>
          </cell>
          <cell r="O112" t="str">
            <v>KRW3MLFORECAST</v>
          </cell>
          <cell r="P112" t="str">
            <v>KRW6MLFORECAST</v>
          </cell>
          <cell r="Q112" t="str">
            <v>None</v>
          </cell>
          <cell r="R112" t="str">
            <v>None</v>
          </cell>
          <cell r="S112" t="str">
            <v>KRW3MLFORECAST</v>
          </cell>
          <cell r="T112" t="str">
            <v>KRW6MLFORECAST</v>
          </cell>
          <cell r="U112" t="str">
            <v>None</v>
          </cell>
          <cell r="V112" t="str">
            <v>None</v>
          </cell>
        </row>
        <row r="113">
          <cell r="C113" t="str">
            <v>STD</v>
          </cell>
          <cell r="D113" t="str">
            <v>STD</v>
          </cell>
          <cell r="E113" t="str">
            <v>3ML</v>
          </cell>
          <cell r="F113" t="str">
            <v>6ML</v>
          </cell>
          <cell r="G113" t="str">
            <v>SGD3MLFORECAST</v>
          </cell>
          <cell r="H113" t="str">
            <v>SGD6MLFORECAST</v>
          </cell>
          <cell r="I113" t="str">
            <v>SGD3MLFORECAST</v>
          </cell>
          <cell r="J113" t="str">
            <v>SGD6MLFORECAST</v>
          </cell>
          <cell r="K113" t="str">
            <v>SGD3MLFORECAST</v>
          </cell>
          <cell r="L113" t="str">
            <v>SGD6MLFORECAST</v>
          </cell>
          <cell r="M113" t="str">
            <v>SGD3MLFORECAST</v>
          </cell>
          <cell r="N113" t="str">
            <v>SGD6MLFORECAST</v>
          </cell>
          <cell r="O113" t="str">
            <v>SGD3MLFORECAST</v>
          </cell>
          <cell r="P113" t="str">
            <v>SGD6MLFORECAST</v>
          </cell>
          <cell r="Q113" t="str">
            <v>None</v>
          </cell>
          <cell r="R113" t="str">
            <v>None</v>
          </cell>
          <cell r="S113" t="str">
            <v>SGD3MLFORECAST</v>
          </cell>
          <cell r="T113" t="str">
            <v>SGD6MLFORECAST</v>
          </cell>
          <cell r="U113" t="str">
            <v>None</v>
          </cell>
          <cell r="V113" t="str">
            <v>None</v>
          </cell>
        </row>
        <row r="114">
          <cell r="C114" t="str">
            <v>STD</v>
          </cell>
          <cell r="D114" t="str">
            <v>STD</v>
          </cell>
          <cell r="E114" t="str">
            <v>3ML</v>
          </cell>
          <cell r="F114" t="str">
            <v>6ML</v>
          </cell>
          <cell r="G114" t="str">
            <v>MYR3MLFORECAST</v>
          </cell>
          <cell r="H114" t="str">
            <v>MYR6MLFORECAST</v>
          </cell>
          <cell r="I114" t="str">
            <v>MYR3MLFORECAST</v>
          </cell>
          <cell r="J114" t="str">
            <v>MYR6MLFORECAST</v>
          </cell>
          <cell r="K114" t="str">
            <v>MYR3MLFORECAST</v>
          </cell>
          <cell r="L114" t="str">
            <v>MYR6MLFORECAST</v>
          </cell>
          <cell r="M114" t="str">
            <v>MYR3MLFORECAST</v>
          </cell>
          <cell r="N114" t="str">
            <v>MYR6MLFORECAST</v>
          </cell>
          <cell r="O114" t="str">
            <v>MYR3MLFORECAST</v>
          </cell>
          <cell r="P114" t="str">
            <v>MYR6MLFORECAST</v>
          </cell>
          <cell r="Q114" t="str">
            <v>None</v>
          </cell>
          <cell r="R114" t="str">
            <v>None</v>
          </cell>
          <cell r="S114" t="str">
            <v>MYR3MLFORECAST</v>
          </cell>
          <cell r="T114" t="str">
            <v>MYR6MLFORECAST</v>
          </cell>
          <cell r="U114" t="str">
            <v>None</v>
          </cell>
          <cell r="V114" t="str">
            <v>None</v>
          </cell>
        </row>
        <row r="115">
          <cell r="C115" t="str">
            <v>STD</v>
          </cell>
          <cell r="D115" t="str">
            <v>STD</v>
          </cell>
          <cell r="E115" t="str">
            <v>3ML</v>
          </cell>
          <cell r="F115" t="str">
            <v>6ML</v>
          </cell>
          <cell r="G115" t="str">
            <v>IDR3MLFORECAST</v>
          </cell>
          <cell r="H115" t="str">
            <v>IDR6MLFORECAST</v>
          </cell>
          <cell r="I115" t="str">
            <v>IDR3MLFORECAST</v>
          </cell>
          <cell r="J115" t="str">
            <v>IDR6MLFORECAST</v>
          </cell>
          <cell r="K115" t="str">
            <v>IDR3MLFORECAST</v>
          </cell>
          <cell r="L115" t="str">
            <v>IDR6MLFORECAST</v>
          </cell>
          <cell r="M115" t="str">
            <v>IDR3MLFORECAST</v>
          </cell>
          <cell r="N115" t="str">
            <v>IDR6MLFORECAST</v>
          </cell>
          <cell r="O115" t="str">
            <v>IDR3MLFORECAST</v>
          </cell>
          <cell r="P115" t="str">
            <v>IDR6MLFORECAST</v>
          </cell>
          <cell r="Q115" t="str">
            <v>None</v>
          </cell>
          <cell r="R115" t="str">
            <v>None</v>
          </cell>
          <cell r="S115" t="str">
            <v>IDR3MLFORECAST</v>
          </cell>
          <cell r="T115" t="str">
            <v>IDR6MLFORECAST</v>
          </cell>
          <cell r="U115" t="str">
            <v>None</v>
          </cell>
          <cell r="V115" t="str">
            <v>None</v>
          </cell>
        </row>
        <row r="116">
          <cell r="C116" t="str">
            <v>STD</v>
          </cell>
          <cell r="D116" t="str">
            <v>STD</v>
          </cell>
          <cell r="E116" t="str">
            <v>3ML</v>
          </cell>
          <cell r="F116" t="str">
            <v>6ML</v>
          </cell>
          <cell r="G116" t="str">
            <v>INR3MLFORECAST</v>
          </cell>
          <cell r="H116" t="str">
            <v>INR6MLFORECAST</v>
          </cell>
          <cell r="I116" t="str">
            <v>INR3MLFORECAST</v>
          </cell>
          <cell r="J116" t="str">
            <v>INR6MLFORECAST</v>
          </cell>
          <cell r="K116" t="str">
            <v>INR3MLFORECAST</v>
          </cell>
          <cell r="L116" t="str">
            <v>INR6MLFORECAST</v>
          </cell>
          <cell r="M116" t="str">
            <v>INR3MLFORECAST</v>
          </cell>
          <cell r="N116" t="str">
            <v>INR6MLFORECAST</v>
          </cell>
          <cell r="O116" t="str">
            <v>INR3MLFORECAST</v>
          </cell>
          <cell r="P116" t="str">
            <v>INR6MLFORECAST</v>
          </cell>
          <cell r="Q116" t="str">
            <v>None</v>
          </cell>
          <cell r="R116" t="str">
            <v>None</v>
          </cell>
          <cell r="S116" t="str">
            <v>INR3MLFORECAST</v>
          </cell>
          <cell r="T116" t="str">
            <v>INR6MLFORECAST</v>
          </cell>
          <cell r="U116" t="str">
            <v>None</v>
          </cell>
          <cell r="V116" t="str">
            <v>None</v>
          </cell>
        </row>
        <row r="117">
          <cell r="C117" t="str">
            <v>STD</v>
          </cell>
          <cell r="D117" t="str">
            <v>STD</v>
          </cell>
          <cell r="E117" t="str">
            <v>3ML</v>
          </cell>
          <cell r="F117" t="str">
            <v>6ML</v>
          </cell>
          <cell r="G117" t="str">
            <v>TWD3MLFORECAST</v>
          </cell>
          <cell r="H117" t="str">
            <v>TWD6MLFORECAST</v>
          </cell>
          <cell r="I117" t="str">
            <v>TWD3MLFORECAST</v>
          </cell>
          <cell r="J117" t="str">
            <v>TWD6MLFORECAST</v>
          </cell>
          <cell r="K117" t="str">
            <v>TWD3MLFORECAST</v>
          </cell>
          <cell r="L117" t="str">
            <v>TWD6MLFORECAST</v>
          </cell>
          <cell r="M117" t="str">
            <v>TWD3MLFORECAST</v>
          </cell>
          <cell r="N117" t="str">
            <v>TWD6MLFORECAST</v>
          </cell>
          <cell r="O117" t="str">
            <v>TWD3MLFORECAST</v>
          </cell>
          <cell r="P117" t="str">
            <v>TWD6MLFORECAST</v>
          </cell>
          <cell r="Q117" t="str">
            <v>None</v>
          </cell>
          <cell r="R117" t="str">
            <v>None</v>
          </cell>
          <cell r="S117" t="str">
            <v>TWD3MLFORECAST</v>
          </cell>
          <cell r="T117" t="str">
            <v>TWD6MLFORECAST</v>
          </cell>
          <cell r="U117" t="str">
            <v>None</v>
          </cell>
          <cell r="V117" t="str">
            <v>None</v>
          </cell>
        </row>
        <row r="122">
          <cell r="B122" t="str">
            <v>JPY</v>
          </cell>
          <cell r="C122" t="str">
            <v>JPYBASISDISCOUNT</v>
          </cell>
          <cell r="D122" t="str">
            <v>JPYBASISDISCOUNT</v>
          </cell>
          <cell r="E122" t="str">
            <v>DF</v>
          </cell>
          <cell r="F122" t="str">
            <v>DF</v>
          </cell>
          <cell r="G122" t="str">
            <v>JPYOIS</v>
          </cell>
          <cell r="H122" t="str">
            <v>JPYOIS</v>
          </cell>
          <cell r="I122" t="str">
            <v>DF</v>
          </cell>
          <cell r="J122" t="str">
            <v>DF</v>
          </cell>
          <cell r="K122" t="str">
            <v>DF</v>
          </cell>
          <cell r="L122" t="str">
            <v>DF</v>
          </cell>
          <cell r="M122" t="str">
            <v>JPYOIS</v>
          </cell>
          <cell r="N122" t="str">
            <v>JPYOIS</v>
          </cell>
          <cell r="O122" t="str">
            <v>DF</v>
          </cell>
          <cell r="P122" t="str">
            <v>DF</v>
          </cell>
          <cell r="Q122" t="str">
            <v>DF</v>
          </cell>
          <cell r="R122" t="str">
            <v>DF</v>
          </cell>
          <cell r="S122" t="str">
            <v>DF</v>
          </cell>
          <cell r="T122" t="str">
            <v>DF</v>
          </cell>
          <cell r="U122" t="str">
            <v>DF</v>
          </cell>
          <cell r="V122" t="str">
            <v>DF</v>
          </cell>
        </row>
        <row r="123">
          <cell r="B123" t="str">
            <v>USD</v>
          </cell>
          <cell r="C123" t="str">
            <v>STD</v>
          </cell>
          <cell r="D123" t="str">
            <v>STD</v>
          </cell>
          <cell r="E123" t="str">
            <v/>
          </cell>
          <cell r="F123" t="str">
            <v/>
          </cell>
          <cell r="G123" t="str">
            <v>USDDISCOUNT</v>
          </cell>
          <cell r="H123" t="str">
            <v>USDDISCOUNT</v>
          </cell>
          <cell r="I123" t="str">
            <v>USDBASISDISCOUNT</v>
          </cell>
          <cell r="J123" t="str">
            <v>USDDISCOUNT</v>
          </cell>
          <cell r="K123" t="str">
            <v>DF</v>
          </cell>
          <cell r="L123" t="str">
            <v>DF</v>
          </cell>
          <cell r="M123" t="str">
            <v>USDDISCOUNT</v>
          </cell>
          <cell r="N123" t="str">
            <v>USDDISCOUNT</v>
          </cell>
          <cell r="O123" t="str">
            <v>USDBASISDISCOUNT</v>
          </cell>
          <cell r="P123" t="str">
            <v>USDDISCOUNT</v>
          </cell>
          <cell r="Q123" t="str">
            <v>DF</v>
          </cell>
          <cell r="R123" t="str">
            <v>DF</v>
          </cell>
          <cell r="S123" t="str">
            <v>DF</v>
          </cell>
          <cell r="T123" t="str">
            <v>DF</v>
          </cell>
          <cell r="U123" t="str">
            <v>DF</v>
          </cell>
          <cell r="V123" t="str">
            <v>DF</v>
          </cell>
        </row>
        <row r="124">
          <cell r="B124" t="str">
            <v>AUD</v>
          </cell>
          <cell r="C124" t="str">
            <v>AUDBASISDISCOUNT</v>
          </cell>
          <cell r="D124" t="str">
            <v>AUDBASISDISCOUNT</v>
          </cell>
          <cell r="E124" t="str">
            <v>DF</v>
          </cell>
          <cell r="F124" t="str">
            <v>DF</v>
          </cell>
          <cell r="G124" t="str">
            <v>AUDBASISDISCOUNT</v>
          </cell>
          <cell r="H124" t="str">
            <v>AUDBASISDISCOUNT</v>
          </cell>
          <cell r="I124" t="str">
            <v>AUDDISCOUNT</v>
          </cell>
          <cell r="J124" t="str">
            <v>AUDDISCOUNT</v>
          </cell>
          <cell r="K124" t="str">
            <v>DF</v>
          </cell>
          <cell r="L124" t="str">
            <v>DF</v>
          </cell>
          <cell r="M124" t="str">
            <v>AUDBASISDISCOUNT</v>
          </cell>
          <cell r="N124" t="str">
            <v>AUDBASISDISCOUNT</v>
          </cell>
          <cell r="O124" t="str">
            <v>AUDDISCOUNT</v>
          </cell>
          <cell r="P124" t="str">
            <v>AUDDISCOUNT</v>
          </cell>
          <cell r="Q124" t="str">
            <v>AUDBASISDISCOUNT</v>
          </cell>
          <cell r="R124" t="str">
            <v>AUDBASISDISCOUNT</v>
          </cell>
          <cell r="S124" t="str">
            <v>AUDBASISDISCOUNT</v>
          </cell>
          <cell r="T124" t="str">
            <v>AUDBASISDISCOUNT</v>
          </cell>
          <cell r="U124" t="str">
            <v>AUDBASISDISCOUNT</v>
          </cell>
          <cell r="V124" t="str">
            <v>AUDBASISDISCOUNT</v>
          </cell>
        </row>
        <row r="125">
          <cell r="B125" t="str">
            <v>EUR</v>
          </cell>
          <cell r="C125" t="str">
            <v>EURBASISDISCOUNT</v>
          </cell>
          <cell r="D125" t="str">
            <v>EURBASISDISCOUNT</v>
          </cell>
          <cell r="E125" t="str">
            <v>DF</v>
          </cell>
          <cell r="F125" t="str">
            <v>DF</v>
          </cell>
          <cell r="G125" t="str">
            <v>EURBASISDISCOUNT</v>
          </cell>
          <cell r="H125" t="str">
            <v>EURBASISDISCOUNT</v>
          </cell>
          <cell r="I125" t="str">
            <v>DF</v>
          </cell>
          <cell r="J125" t="str">
            <v>DF</v>
          </cell>
          <cell r="K125" t="str">
            <v>EURDISCOUNT</v>
          </cell>
          <cell r="L125" t="str">
            <v>EURDISCOUNT</v>
          </cell>
          <cell r="M125" t="str">
            <v>EURBASISDISCOUNT</v>
          </cell>
          <cell r="N125" t="str">
            <v>EURBASISDISCOUNT</v>
          </cell>
          <cell r="O125" t="str">
            <v>DF</v>
          </cell>
          <cell r="P125" t="str">
            <v>DF</v>
          </cell>
          <cell r="Q125" t="str">
            <v>EURDISCOUNT</v>
          </cell>
          <cell r="R125" t="str">
            <v>EURDISCOUNT</v>
          </cell>
          <cell r="S125" t="str">
            <v>EURDISCOUNT</v>
          </cell>
          <cell r="T125" t="str">
            <v>EURDISCOUNT</v>
          </cell>
          <cell r="U125" t="str">
            <v>EURDISCOUNT</v>
          </cell>
          <cell r="V125" t="str">
            <v>EURDISCOUNT</v>
          </cell>
        </row>
        <row r="126">
          <cell r="B126" t="str">
            <v>EUR_1Y</v>
          </cell>
          <cell r="C126" t="str">
            <v>EURBASISDISCOUNT</v>
          </cell>
          <cell r="D126" t="str">
            <v>EURBASISDISCOUNT</v>
          </cell>
          <cell r="E126" t="str">
            <v>DF</v>
          </cell>
          <cell r="F126" t="str">
            <v>DF</v>
          </cell>
          <cell r="G126" t="str">
            <v>EURBASISDISCOUNT</v>
          </cell>
          <cell r="H126" t="str">
            <v>EURBASISDISCOUNT</v>
          </cell>
          <cell r="I126" t="str">
            <v>DF</v>
          </cell>
          <cell r="J126" t="str">
            <v>DF</v>
          </cell>
          <cell r="K126" t="str">
            <v>EURDISCOUNT</v>
          </cell>
          <cell r="L126" t="str">
            <v>EURDISCOUNT</v>
          </cell>
          <cell r="M126" t="str">
            <v>EURBASISDISCOUNT</v>
          </cell>
          <cell r="N126" t="str">
            <v>EURBASISDISCOUNT</v>
          </cell>
          <cell r="O126" t="str">
            <v>DF</v>
          </cell>
          <cell r="P126" t="str">
            <v>DF</v>
          </cell>
          <cell r="Q126" t="str">
            <v>EURDISCOUNT</v>
          </cell>
          <cell r="R126" t="str">
            <v>EURDISCOUNT</v>
          </cell>
          <cell r="S126" t="str">
            <v>EURDISCOUNT</v>
          </cell>
          <cell r="T126" t="str">
            <v>EURDISCOUNT</v>
          </cell>
          <cell r="U126" t="str">
            <v>EURDISCOUNT</v>
          </cell>
          <cell r="V126" t="str">
            <v>EURDISCOUNT</v>
          </cell>
        </row>
        <row r="127">
          <cell r="B127" t="str">
            <v>GBP</v>
          </cell>
          <cell r="C127" t="str">
            <v>GBPBASISDISCOUNT</v>
          </cell>
          <cell r="D127" t="str">
            <v>GBPBASISDISCOUNT</v>
          </cell>
          <cell r="E127" t="str">
            <v>3ML</v>
          </cell>
          <cell r="F127" t="str">
            <v>6ML</v>
          </cell>
          <cell r="G127" t="str">
            <v>GBPBASISDISCOUNT</v>
          </cell>
          <cell r="H127" t="str">
            <v>GBPBASISDISCOUNT</v>
          </cell>
          <cell r="I127" t="str">
            <v>DF</v>
          </cell>
          <cell r="J127" t="str">
            <v>DF</v>
          </cell>
          <cell r="K127" t="str">
            <v>DF</v>
          </cell>
          <cell r="L127" t="str">
            <v>DF</v>
          </cell>
          <cell r="M127" t="str">
            <v>GBPBASISDISCOUNT</v>
          </cell>
          <cell r="N127" t="str">
            <v>GBPBASISDISCOUNT</v>
          </cell>
          <cell r="O127" t="str">
            <v>DF</v>
          </cell>
          <cell r="P127" t="str">
            <v>DF</v>
          </cell>
          <cell r="Q127" t="str">
            <v>None</v>
          </cell>
          <cell r="R127" t="str">
            <v>None</v>
          </cell>
          <cell r="S127" t="str">
            <v>DF</v>
          </cell>
          <cell r="T127" t="str">
            <v>DF</v>
          </cell>
          <cell r="U127" t="str">
            <v>GBPBASISDISCOUNT</v>
          </cell>
          <cell r="V127" t="str">
            <v>GBPBASISDISCOUNT</v>
          </cell>
        </row>
        <row r="128">
          <cell r="B128" t="str">
            <v>NZD</v>
          </cell>
          <cell r="C128" t="str">
            <v>NZDBASISDISCOUNT</v>
          </cell>
          <cell r="D128" t="str">
            <v>NZDBASISDISCOUNT</v>
          </cell>
          <cell r="E128" t="str">
            <v>DF</v>
          </cell>
          <cell r="F128" t="str">
            <v>DF</v>
          </cell>
          <cell r="G128" t="str">
            <v>NZDBASISDISCOUNT</v>
          </cell>
          <cell r="H128" t="str">
            <v>NZDBASISDISCOUNT</v>
          </cell>
          <cell r="I128" t="str">
            <v>NZDBASISDISCOUNT</v>
          </cell>
          <cell r="J128" t="str">
            <v>NZDBASISDISCOUNT</v>
          </cell>
          <cell r="K128" t="str">
            <v>NZDBASISDISCOUNT</v>
          </cell>
          <cell r="L128" t="str">
            <v>NZDBASISDISCOUNT</v>
          </cell>
          <cell r="M128" t="str">
            <v>NZDBASISDISCOUNT</v>
          </cell>
          <cell r="N128" t="str">
            <v>NZDBASISDISCOUNT</v>
          </cell>
          <cell r="O128" t="str">
            <v>NZDBASISDISCOUNT</v>
          </cell>
          <cell r="P128" t="str">
            <v>NZDBASISDISCOUNT</v>
          </cell>
          <cell r="Q128" t="str">
            <v>None</v>
          </cell>
          <cell r="R128" t="str">
            <v>None</v>
          </cell>
          <cell r="S128" t="str">
            <v>NZDBASISDISCOUNT</v>
          </cell>
          <cell r="T128" t="str">
            <v>NZDBASISDISCOUNT</v>
          </cell>
          <cell r="U128" t="str">
            <v>None</v>
          </cell>
          <cell r="V128" t="str">
            <v>None</v>
          </cell>
        </row>
        <row r="129">
          <cell r="B129" t="str">
            <v>ZAR</v>
          </cell>
          <cell r="C129" t="str">
            <v>ZARBASISDISCOUNT</v>
          </cell>
          <cell r="D129" t="str">
            <v>ZARBASISDISCOUNT</v>
          </cell>
          <cell r="E129" t="str">
            <v>3ML</v>
          </cell>
          <cell r="F129" t="str">
            <v>DF</v>
          </cell>
          <cell r="G129" t="str">
            <v>ZARBASISDISCOUNT</v>
          </cell>
          <cell r="H129" t="str">
            <v>ZARBASISDISCOUNT</v>
          </cell>
          <cell r="I129" t="str">
            <v>ZARBASISDISCOUNT</v>
          </cell>
          <cell r="J129" t="str">
            <v>ZARBASISDISCOUNT</v>
          </cell>
          <cell r="K129" t="str">
            <v>ZARBASISDISCOUNT</v>
          </cell>
          <cell r="L129" t="str">
            <v>ZARBASISDISCOUNT</v>
          </cell>
          <cell r="M129" t="str">
            <v>ZARBASISDISCOUNT</v>
          </cell>
          <cell r="N129" t="str">
            <v>ZARBASISDISCOUNT</v>
          </cell>
          <cell r="O129" t="str">
            <v>ZARBASISDISCOUNT</v>
          </cell>
          <cell r="P129" t="str">
            <v>ZARBASISDISCOUNT</v>
          </cell>
          <cell r="Q129" t="str">
            <v>None</v>
          </cell>
          <cell r="R129" t="str">
            <v>None</v>
          </cell>
          <cell r="S129" t="str">
            <v>ZARBASISDISCOUNT</v>
          </cell>
          <cell r="T129" t="str">
            <v>ZARBASISDISCOUNT</v>
          </cell>
          <cell r="U129" t="str">
            <v>None</v>
          </cell>
          <cell r="V129" t="str">
            <v>None</v>
          </cell>
        </row>
        <row r="130">
          <cell r="B130" t="str">
            <v>CAD</v>
          </cell>
          <cell r="C130" t="str">
            <v>CADBASISDISCOUNT</v>
          </cell>
          <cell r="D130" t="str">
            <v>CADBASISDISCOUNT</v>
          </cell>
          <cell r="E130" t="str">
            <v>DF</v>
          </cell>
          <cell r="F130" t="str">
            <v>DF</v>
          </cell>
          <cell r="G130" t="str">
            <v>CADBASISDISCOUNT</v>
          </cell>
          <cell r="H130" t="str">
            <v>CADBASISDISCOUNT</v>
          </cell>
          <cell r="I130" t="str">
            <v>CADBASISDISCOUNT</v>
          </cell>
          <cell r="J130" t="str">
            <v>CADBASISDISCOUNT</v>
          </cell>
          <cell r="K130" t="str">
            <v>CADBASISDISCOUNT</v>
          </cell>
          <cell r="L130" t="str">
            <v>CADBASISDISCOUNT</v>
          </cell>
          <cell r="M130" t="str">
            <v>CADBASISDISCOUNT</v>
          </cell>
          <cell r="N130" t="str">
            <v>CADBASISDISCOUNT</v>
          </cell>
          <cell r="O130" t="str">
            <v>CADBASISDISCOUNT</v>
          </cell>
          <cell r="P130" t="str">
            <v>CADBASISDISCOUNT</v>
          </cell>
          <cell r="Q130" t="str">
            <v>None</v>
          </cell>
          <cell r="R130" t="str">
            <v>None</v>
          </cell>
          <cell r="S130" t="str">
            <v>CADBASISDISCOUNT</v>
          </cell>
          <cell r="T130" t="str">
            <v>CADBASISDISCOUNT</v>
          </cell>
          <cell r="U130" t="str">
            <v>None</v>
          </cell>
          <cell r="V130" t="str">
            <v>None</v>
          </cell>
        </row>
        <row r="131">
          <cell r="B131" t="str">
            <v>HKD</v>
          </cell>
          <cell r="C131" t="str">
            <v>HKDBASISDISCOUNT</v>
          </cell>
          <cell r="D131" t="str">
            <v>HKDBASISDISCOUNT</v>
          </cell>
          <cell r="E131" t="str">
            <v>DF</v>
          </cell>
          <cell r="F131" t="str">
            <v>DF</v>
          </cell>
          <cell r="G131" t="str">
            <v>HKDBASISDISCOUNT</v>
          </cell>
          <cell r="H131" t="str">
            <v>HKDBASISDISCOUNT</v>
          </cell>
          <cell r="I131" t="str">
            <v>HKDBASISDISCOUNT</v>
          </cell>
          <cell r="J131" t="str">
            <v>HKDBASISDISCOUNT</v>
          </cell>
          <cell r="K131" t="str">
            <v>HKDBASISDISCOUNT</v>
          </cell>
          <cell r="L131" t="str">
            <v>HKDBASISDISCOUNT</v>
          </cell>
          <cell r="M131" t="str">
            <v>HKDBASISDISCOUNT</v>
          </cell>
          <cell r="N131" t="str">
            <v>HKDBASISDISCOUNT</v>
          </cell>
          <cell r="O131" t="str">
            <v>HKDBASISDISCOUNT</v>
          </cell>
          <cell r="P131" t="str">
            <v>HKDBASISDISCOUNT</v>
          </cell>
          <cell r="Q131" t="str">
            <v>None</v>
          </cell>
          <cell r="R131" t="str">
            <v>None</v>
          </cell>
          <cell r="S131" t="str">
            <v>HKDBASISDISCOUNT</v>
          </cell>
          <cell r="T131" t="str">
            <v>HKDBASISDISCOUNT</v>
          </cell>
          <cell r="U131" t="str">
            <v>None</v>
          </cell>
          <cell r="V131" t="str">
            <v>None</v>
          </cell>
        </row>
        <row r="132">
          <cell r="B132" t="str">
            <v>BRL</v>
          </cell>
          <cell r="C132" t="str">
            <v>BRLBASISDISCOUNT</v>
          </cell>
          <cell r="D132" t="str">
            <v>BRLBASISDISCOUNT</v>
          </cell>
          <cell r="E132" t="str">
            <v>DF</v>
          </cell>
          <cell r="F132" t="str">
            <v>DF</v>
          </cell>
          <cell r="G132" t="str">
            <v>BRLBASISDISCOUNT</v>
          </cell>
          <cell r="H132" t="str">
            <v>BRLBASISDISCOUNT</v>
          </cell>
          <cell r="I132" t="str">
            <v>BRLBASISDISCOUNT</v>
          </cell>
          <cell r="J132" t="str">
            <v>BRLBASISDISCOUNT</v>
          </cell>
          <cell r="K132" t="str">
            <v>BRLBASISDISCOUNT</v>
          </cell>
          <cell r="L132" t="str">
            <v>BRLBASISDISCOUNT</v>
          </cell>
          <cell r="M132" t="str">
            <v>BRLBASISDISCOUNT</v>
          </cell>
          <cell r="N132" t="str">
            <v>BRLBASISDISCOUNT</v>
          </cell>
          <cell r="O132" t="str">
            <v>BRLBASISDISCOUNT</v>
          </cell>
          <cell r="P132" t="str">
            <v>BRLBASISDISCOUNT</v>
          </cell>
          <cell r="Q132" t="str">
            <v>None</v>
          </cell>
          <cell r="R132" t="str">
            <v>None</v>
          </cell>
          <cell r="S132" t="str">
            <v>BRLBASISDISCOUNT</v>
          </cell>
          <cell r="T132" t="str">
            <v>BRLBASISDISCOUNT</v>
          </cell>
          <cell r="U132" t="str">
            <v>None</v>
          </cell>
          <cell r="V132" t="str">
            <v>None</v>
          </cell>
        </row>
        <row r="133">
          <cell r="B133" t="str">
            <v>TRY</v>
          </cell>
          <cell r="C133" t="str">
            <v>TRYBASISDISCOUNT</v>
          </cell>
          <cell r="D133" t="str">
            <v>TRYBASISDISCOUNT</v>
          </cell>
          <cell r="E133" t="str">
            <v>DF</v>
          </cell>
          <cell r="F133" t="str">
            <v>DF</v>
          </cell>
          <cell r="G133" t="str">
            <v>TRYBASISDISCOUNT</v>
          </cell>
          <cell r="H133" t="str">
            <v>TRYBASISDISCOUNT</v>
          </cell>
          <cell r="I133" t="str">
            <v>TRYBASISDISCOUNT</v>
          </cell>
          <cell r="J133" t="str">
            <v>TRYBASISDISCOUNT</v>
          </cell>
          <cell r="K133" t="str">
            <v>TRYBASISDISCOUNT</v>
          </cell>
          <cell r="L133" t="str">
            <v>TRYBASISDISCOUNT</v>
          </cell>
          <cell r="M133" t="str">
            <v>TRYBASISDISCOUNT</v>
          </cell>
          <cell r="N133" t="str">
            <v>TRYBASISDISCOUNT</v>
          </cell>
          <cell r="O133" t="str">
            <v>TRYBASISDISCOUNT</v>
          </cell>
          <cell r="P133" t="str">
            <v>TRYBASISDISCOUNT</v>
          </cell>
          <cell r="Q133" t="str">
            <v>None</v>
          </cell>
          <cell r="R133" t="str">
            <v>None</v>
          </cell>
          <cell r="S133" t="str">
            <v>TRYBASISDISCOUNT</v>
          </cell>
          <cell r="T133" t="str">
            <v>TRYBASISDISCOUNT</v>
          </cell>
          <cell r="U133" t="str">
            <v>None</v>
          </cell>
          <cell r="V133" t="str">
            <v>None</v>
          </cell>
        </row>
        <row r="134">
          <cell r="B134" t="str">
            <v>CNY</v>
          </cell>
          <cell r="C134" t="str">
            <v>CNYBASISDISCOUNT</v>
          </cell>
          <cell r="D134" t="str">
            <v>CNYBASISDISCOUNT</v>
          </cell>
          <cell r="E134" t="str">
            <v>DF</v>
          </cell>
          <cell r="F134" t="str">
            <v>DF</v>
          </cell>
          <cell r="G134" t="str">
            <v>CNYBASISDISCOUNT</v>
          </cell>
          <cell r="H134" t="str">
            <v>CNYBASISDISCOUNT</v>
          </cell>
          <cell r="I134" t="str">
            <v>CNYBASISDISCOUNT</v>
          </cell>
          <cell r="J134" t="str">
            <v>CNYBASISDISCOUNT</v>
          </cell>
          <cell r="K134" t="str">
            <v>CNYBASISDISCOUNT</v>
          </cell>
          <cell r="L134" t="str">
            <v>CNYBASISDISCOUNT</v>
          </cell>
          <cell r="M134" t="str">
            <v>CNYBASISDISCOUNT</v>
          </cell>
          <cell r="N134" t="str">
            <v>CNYBASISDISCOUNT</v>
          </cell>
          <cell r="O134" t="str">
            <v>CNYBASISDISCOUNT</v>
          </cell>
          <cell r="P134" t="str">
            <v>CNYBASISDISCOUNT</v>
          </cell>
          <cell r="Q134" t="str">
            <v>None</v>
          </cell>
          <cell r="R134" t="str">
            <v>None</v>
          </cell>
          <cell r="S134" t="str">
            <v>CNYBASISDISCOUNT</v>
          </cell>
          <cell r="T134" t="str">
            <v>CNYBASISDISCOUNT</v>
          </cell>
          <cell r="U134" t="str">
            <v>None</v>
          </cell>
          <cell r="V134" t="str">
            <v>None</v>
          </cell>
        </row>
        <row r="135">
          <cell r="B135" t="str">
            <v>MXN</v>
          </cell>
          <cell r="C135" t="str">
            <v>MXNBASISDISCOUNT</v>
          </cell>
          <cell r="D135" t="str">
            <v>MXNBASISDISCOUNT</v>
          </cell>
          <cell r="E135" t="str">
            <v>DF</v>
          </cell>
          <cell r="F135" t="str">
            <v>DF</v>
          </cell>
          <cell r="G135" t="str">
            <v>MXNBASISDISCOUNT</v>
          </cell>
          <cell r="H135" t="str">
            <v>MXNBASISDISCOUNT</v>
          </cell>
          <cell r="I135" t="str">
            <v>MXNBASISDISCOUNT</v>
          </cell>
          <cell r="J135" t="str">
            <v>MXNBASISDISCOUNT</v>
          </cell>
          <cell r="K135" t="str">
            <v>MXNBASISDISCOUNT</v>
          </cell>
          <cell r="L135" t="str">
            <v>MXNBASISDISCOUNT</v>
          </cell>
          <cell r="M135" t="str">
            <v>MXNBASISDISCOUNT</v>
          </cell>
          <cell r="N135" t="str">
            <v>MXNBASISDISCOUNT</v>
          </cell>
          <cell r="O135" t="str">
            <v>MXNBASISDISCOUNT</v>
          </cell>
          <cell r="P135" t="str">
            <v>MXNBASISDISCOUNT</v>
          </cell>
          <cell r="Q135" t="str">
            <v>None</v>
          </cell>
          <cell r="R135" t="str">
            <v>None</v>
          </cell>
          <cell r="S135" t="str">
            <v>MXNBASISDISCOUNT</v>
          </cell>
          <cell r="T135" t="str">
            <v>MXNBASISDISCOUNT</v>
          </cell>
          <cell r="U135" t="str">
            <v>None</v>
          </cell>
          <cell r="V135" t="str">
            <v>None</v>
          </cell>
        </row>
        <row r="136">
          <cell r="B136" t="str">
            <v>RUB</v>
          </cell>
          <cell r="C136" t="str">
            <v>STD</v>
          </cell>
          <cell r="D136" t="str">
            <v>STD</v>
          </cell>
          <cell r="E136" t="str">
            <v>DF</v>
          </cell>
          <cell r="F136" t="str">
            <v>DF</v>
          </cell>
          <cell r="G136" t="str">
            <v>RUBBASISDISCOUNT</v>
          </cell>
          <cell r="H136" t="str">
            <v>RUBBASISDISCOUNT</v>
          </cell>
          <cell r="I136" t="str">
            <v>RUBBASISDISCOUNT</v>
          </cell>
          <cell r="J136" t="str">
            <v>RUBBASISDISCOUNT</v>
          </cell>
          <cell r="K136" t="str">
            <v>RUBBASISDISCOUNT</v>
          </cell>
          <cell r="L136" t="str">
            <v>RUBBASISDISCOUNT</v>
          </cell>
          <cell r="M136" t="str">
            <v>RUBBASISDISCOUNT</v>
          </cell>
          <cell r="N136" t="str">
            <v>RUBBASISDISCOUNT</v>
          </cell>
          <cell r="O136" t="str">
            <v>RUBBASISDISCOUNT</v>
          </cell>
          <cell r="P136" t="str">
            <v>RUBBASISDISCOUNT</v>
          </cell>
          <cell r="Q136" t="str">
            <v>None</v>
          </cell>
          <cell r="R136" t="str">
            <v>None</v>
          </cell>
          <cell r="S136" t="str">
            <v>RUBBASISDISCOUNT</v>
          </cell>
          <cell r="T136" t="str">
            <v>RUBBASISDISCOUNT</v>
          </cell>
          <cell r="U136" t="str">
            <v>None</v>
          </cell>
          <cell r="V136" t="str">
            <v>None</v>
          </cell>
        </row>
        <row r="137">
          <cell r="B137" t="str">
            <v>KRW</v>
          </cell>
          <cell r="C137" t="str">
            <v>KRWBASISDISCOUNT</v>
          </cell>
          <cell r="D137" t="str">
            <v>KRWBASISDISCOUNT</v>
          </cell>
          <cell r="E137" t="str">
            <v>DF</v>
          </cell>
          <cell r="F137" t="str">
            <v>DF</v>
          </cell>
          <cell r="G137" t="str">
            <v>KRWBASISDISCOUNT</v>
          </cell>
          <cell r="H137" t="str">
            <v>KRWBASISDISCOUNT</v>
          </cell>
          <cell r="I137" t="str">
            <v>KRWBASISDISCOUNT</v>
          </cell>
          <cell r="J137" t="str">
            <v>KRWBASISDISCOUNT</v>
          </cell>
          <cell r="K137" t="str">
            <v>KRWBASISDISCOUNT</v>
          </cell>
          <cell r="L137" t="str">
            <v>KRWBASISDISCOUNT</v>
          </cell>
          <cell r="M137" t="str">
            <v>KRWBASISDISCOUNT</v>
          </cell>
          <cell r="N137" t="str">
            <v>KRWBASISDISCOUNT</v>
          </cell>
          <cell r="O137" t="str">
            <v>KRWBASISDISCOUNT</v>
          </cell>
          <cell r="P137" t="str">
            <v>KRWBASISDISCOUNT</v>
          </cell>
          <cell r="Q137" t="str">
            <v>None</v>
          </cell>
          <cell r="R137" t="str">
            <v>None</v>
          </cell>
          <cell r="S137" t="str">
            <v>KRWBASISDISCOUNT</v>
          </cell>
          <cell r="T137" t="str">
            <v>KRWBASISDISCOUNT</v>
          </cell>
          <cell r="U137" t="str">
            <v>None</v>
          </cell>
          <cell r="V137" t="str">
            <v>None</v>
          </cell>
        </row>
        <row r="138">
          <cell r="B138" t="str">
            <v>SGD</v>
          </cell>
          <cell r="C138" t="str">
            <v>SGDBASISDISCOUNT</v>
          </cell>
          <cell r="D138" t="str">
            <v>SGDBASISDISCOUNT</v>
          </cell>
          <cell r="E138" t="str">
            <v>DF</v>
          </cell>
          <cell r="F138" t="str">
            <v>DF</v>
          </cell>
          <cell r="G138" t="str">
            <v>SGDBASISDISCOUNT</v>
          </cell>
          <cell r="H138" t="str">
            <v>SGDBASISDISCOUNT</v>
          </cell>
          <cell r="I138" t="str">
            <v>SGDBASISDISCOUNT</v>
          </cell>
          <cell r="J138" t="str">
            <v>SGDBASISDISCOUNT</v>
          </cell>
          <cell r="K138" t="str">
            <v>SGDBASISDISCOUNT</v>
          </cell>
          <cell r="L138" t="str">
            <v>SGDBASISDISCOUNT</v>
          </cell>
          <cell r="M138" t="str">
            <v>SGDBASISDISCOUNT</v>
          </cell>
          <cell r="N138" t="str">
            <v>SGDBASISDISCOUNT</v>
          </cell>
          <cell r="O138" t="str">
            <v>SGDBASISDISCOUNT</v>
          </cell>
          <cell r="P138" t="str">
            <v>SGDBASISDISCOUNT</v>
          </cell>
          <cell r="Q138" t="str">
            <v>None</v>
          </cell>
          <cell r="R138" t="str">
            <v>None</v>
          </cell>
          <cell r="S138" t="str">
            <v>SGDBASISDISCOUNT</v>
          </cell>
          <cell r="T138" t="str">
            <v>SGDBASISDISCOUNT</v>
          </cell>
          <cell r="U138" t="str">
            <v>None</v>
          </cell>
          <cell r="V138" t="str">
            <v>None</v>
          </cell>
        </row>
        <row r="139">
          <cell r="B139" t="str">
            <v>MYR</v>
          </cell>
          <cell r="C139" t="str">
            <v>MYRBASISDISCOUNT</v>
          </cell>
          <cell r="D139" t="str">
            <v>MYRBASISDISCOUNT</v>
          </cell>
          <cell r="E139" t="str">
            <v>DF</v>
          </cell>
          <cell r="F139" t="str">
            <v>DF</v>
          </cell>
          <cell r="G139" t="str">
            <v>MYRBASISDISCOUNT</v>
          </cell>
          <cell r="H139" t="str">
            <v>MYRBASISDISCOUNT</v>
          </cell>
          <cell r="I139" t="str">
            <v>MYRBASISDISCOUNT</v>
          </cell>
          <cell r="J139" t="str">
            <v>MYRBASISDISCOUNT</v>
          </cell>
          <cell r="K139" t="str">
            <v>MYRBASISDISCOUNT</v>
          </cell>
          <cell r="L139" t="str">
            <v>MYRBASISDISCOUNT</v>
          </cell>
          <cell r="M139" t="str">
            <v>MYRBASISDISCOUNT</v>
          </cell>
          <cell r="N139" t="str">
            <v>MYRBASISDISCOUNT</v>
          </cell>
          <cell r="O139" t="str">
            <v>MYRBASISDISCOUNT</v>
          </cell>
          <cell r="P139" t="str">
            <v>MYRBASISDISCOUNT</v>
          </cell>
          <cell r="Q139" t="str">
            <v>None</v>
          </cell>
          <cell r="R139" t="str">
            <v>None</v>
          </cell>
          <cell r="S139" t="str">
            <v>MYRBASISDISCOUNT</v>
          </cell>
          <cell r="T139" t="str">
            <v>MYRBASISDISCOUNT</v>
          </cell>
          <cell r="U139" t="str">
            <v>None</v>
          </cell>
          <cell r="V139" t="str">
            <v>None</v>
          </cell>
        </row>
        <row r="140">
          <cell r="B140" t="str">
            <v>IDR</v>
          </cell>
          <cell r="C140" t="str">
            <v>IDRBASISDISCOUNT</v>
          </cell>
          <cell r="D140" t="str">
            <v>IDRBASISDISCOUNT</v>
          </cell>
          <cell r="E140" t="str">
            <v>DF</v>
          </cell>
          <cell r="F140" t="str">
            <v>DF</v>
          </cell>
          <cell r="G140" t="str">
            <v>IDRBASISDISCOUNT</v>
          </cell>
          <cell r="H140" t="str">
            <v>IDRBASISDISCOUNT</v>
          </cell>
          <cell r="I140" t="str">
            <v>IDRBASISDISCOUNT</v>
          </cell>
          <cell r="J140" t="str">
            <v>IDRBASISDISCOUNT</v>
          </cell>
          <cell r="K140" t="str">
            <v>IDRBASISDISCOUNT</v>
          </cell>
          <cell r="L140" t="str">
            <v>IDRBASISDISCOUNT</v>
          </cell>
          <cell r="M140" t="str">
            <v>IDRBASISDISCOUNT</v>
          </cell>
          <cell r="N140" t="str">
            <v>IDRBASISDISCOUNT</v>
          </cell>
          <cell r="O140" t="str">
            <v>IDRBASISDISCOUNT</v>
          </cell>
          <cell r="P140" t="str">
            <v>IDRBASISDISCOUNT</v>
          </cell>
          <cell r="Q140" t="str">
            <v>None</v>
          </cell>
          <cell r="R140" t="str">
            <v>None</v>
          </cell>
          <cell r="S140" t="str">
            <v>IDRBASISDISCOUNT</v>
          </cell>
          <cell r="T140" t="str">
            <v>IDRBASISDISCOUNT</v>
          </cell>
          <cell r="U140" t="str">
            <v>None</v>
          </cell>
          <cell r="V140" t="str">
            <v>None</v>
          </cell>
        </row>
        <row r="141">
          <cell r="B141" t="str">
            <v>INR</v>
          </cell>
          <cell r="C141" t="str">
            <v>INRBASISDISCOUNT</v>
          </cell>
          <cell r="D141" t="str">
            <v>INRBASISDISCOUNT</v>
          </cell>
          <cell r="E141" t="str">
            <v>DF</v>
          </cell>
          <cell r="F141" t="str">
            <v>DF</v>
          </cell>
          <cell r="G141" t="str">
            <v>INRBASISDISCOUNT</v>
          </cell>
          <cell r="H141" t="str">
            <v>INRBASISDISCOUNT</v>
          </cell>
          <cell r="I141" t="str">
            <v>INRBASISDISCOUNT</v>
          </cell>
          <cell r="J141" t="str">
            <v>INRBASISDISCOUNT</v>
          </cell>
          <cell r="K141" t="str">
            <v>INRBASISDISCOUNT</v>
          </cell>
          <cell r="L141" t="str">
            <v>INRBASISDISCOUNT</v>
          </cell>
          <cell r="M141" t="str">
            <v>INRBASISDISCOUNT</v>
          </cell>
          <cell r="N141" t="str">
            <v>INRBASISDISCOUNT</v>
          </cell>
          <cell r="O141" t="str">
            <v>INRBASISDISCOUNT</v>
          </cell>
          <cell r="P141" t="str">
            <v>INRBASISDISCOUNT</v>
          </cell>
          <cell r="Q141" t="str">
            <v>None</v>
          </cell>
          <cell r="R141" t="str">
            <v>None</v>
          </cell>
          <cell r="S141" t="str">
            <v>INRBASISDISCOUNT</v>
          </cell>
          <cell r="T141" t="str">
            <v>INRBASISDISCOUNT</v>
          </cell>
          <cell r="U141" t="str">
            <v>None</v>
          </cell>
          <cell r="V141" t="str">
            <v>None</v>
          </cell>
        </row>
        <row r="142">
          <cell r="B142" t="str">
            <v>TWD</v>
          </cell>
          <cell r="C142" t="str">
            <v>TWDBASISDISCOUNT</v>
          </cell>
          <cell r="D142" t="str">
            <v>TWDBASISDISCOUNT</v>
          </cell>
          <cell r="E142" t="str">
            <v>DF</v>
          </cell>
          <cell r="F142" t="str">
            <v>DF</v>
          </cell>
          <cell r="G142" t="str">
            <v>TWDBASISDISCOUNT</v>
          </cell>
          <cell r="H142" t="str">
            <v>TWDBASISDISCOUNT</v>
          </cell>
          <cell r="I142" t="str">
            <v>TWDBASISDISCOUNT</v>
          </cell>
          <cell r="J142" t="str">
            <v>TWDBASISDISCOUNT</v>
          </cell>
          <cell r="K142" t="str">
            <v>TWDBASISDISCOUNT</v>
          </cell>
          <cell r="L142" t="str">
            <v>TWDBASISDISCOUNT</v>
          </cell>
          <cell r="M142" t="str">
            <v>TWDBASISDISCOUNT</v>
          </cell>
          <cell r="N142" t="str">
            <v>TWDBASISDISCOUNT</v>
          </cell>
          <cell r="O142" t="str">
            <v>TWDBASISDISCOUNT</v>
          </cell>
          <cell r="P142" t="str">
            <v>TWDBASISDISCOUNT</v>
          </cell>
          <cell r="Q142" t="str">
            <v>None</v>
          </cell>
          <cell r="R142" t="str">
            <v>None</v>
          </cell>
          <cell r="S142" t="str">
            <v>TWDBASISDISCOUNT</v>
          </cell>
          <cell r="T142" t="str">
            <v>TWDBASISDISCOUNT</v>
          </cell>
          <cell r="U142" t="str">
            <v>None</v>
          </cell>
          <cell r="V142" t="str">
            <v>None</v>
          </cell>
        </row>
        <row r="147">
          <cell r="B147" t="str">
            <v>JPY</v>
          </cell>
          <cell r="C147" t="str">
            <v>STD</v>
          </cell>
          <cell r="D147" t="str">
            <v>STD</v>
          </cell>
          <cell r="E147" t="str">
            <v>6ML</v>
          </cell>
          <cell r="F147" t="str">
            <v>6ML</v>
          </cell>
          <cell r="G147" t="str">
            <v>JPY6MLFORECAST</v>
          </cell>
          <cell r="H147" t="str">
            <v>JPY6MLFORECAST</v>
          </cell>
          <cell r="I147" t="str">
            <v>6ML</v>
          </cell>
          <cell r="J147" t="str">
            <v>6ML</v>
          </cell>
          <cell r="K147" t="str">
            <v>6ML</v>
          </cell>
          <cell r="L147" t="str">
            <v>6ML</v>
          </cell>
          <cell r="M147" t="str">
            <v>JPY6MLFORECAST</v>
          </cell>
          <cell r="N147" t="str">
            <v>JPY6MLFORECAST</v>
          </cell>
          <cell r="O147" t="str">
            <v>6ML</v>
          </cell>
          <cell r="P147" t="str">
            <v>6ML</v>
          </cell>
          <cell r="Q147" t="str">
            <v>6ML</v>
          </cell>
          <cell r="R147" t="str">
            <v>6ML</v>
          </cell>
          <cell r="S147" t="str">
            <v>6ML</v>
          </cell>
          <cell r="T147" t="str">
            <v>6ML</v>
          </cell>
          <cell r="U147" t="str">
            <v>6ML</v>
          </cell>
          <cell r="V147" t="str">
            <v>6ML</v>
          </cell>
        </row>
        <row r="148">
          <cell r="B148" t="str">
            <v>USD</v>
          </cell>
          <cell r="C148" t="str">
            <v>STD</v>
          </cell>
          <cell r="D148" t="str">
            <v>STD</v>
          </cell>
          <cell r="E148" t="str">
            <v>USD3MLFORECAST</v>
          </cell>
          <cell r="F148" t="str">
            <v>USD3MLFORECAST</v>
          </cell>
          <cell r="G148" t="str">
            <v>USD3MLFORECAST</v>
          </cell>
          <cell r="H148" t="str">
            <v>USD3MLFORECAST</v>
          </cell>
          <cell r="I148" t="str">
            <v>USD3MLFORECAST</v>
          </cell>
          <cell r="J148" t="str">
            <v>USD3MLFORECAST</v>
          </cell>
          <cell r="K148" t="str">
            <v>3ML</v>
          </cell>
          <cell r="L148" t="str">
            <v>3ML</v>
          </cell>
          <cell r="M148" t="str">
            <v>USD3MLFORECAST</v>
          </cell>
          <cell r="N148" t="str">
            <v>USD3MLFORECAST</v>
          </cell>
          <cell r="O148" t="str">
            <v>USD3MLFORECAST</v>
          </cell>
          <cell r="P148" t="str">
            <v>USD3MLFORECAST</v>
          </cell>
          <cell r="Q148" t="str">
            <v>3ML</v>
          </cell>
          <cell r="R148" t="str">
            <v>3ML</v>
          </cell>
          <cell r="S148" t="str">
            <v>3ML</v>
          </cell>
          <cell r="T148" t="str">
            <v>3ML</v>
          </cell>
          <cell r="U148" t="str">
            <v>3ML</v>
          </cell>
          <cell r="V148" t="str">
            <v>3ML</v>
          </cell>
        </row>
        <row r="149">
          <cell r="B149" t="str">
            <v>AUD</v>
          </cell>
          <cell r="C149" t="str">
            <v>AUD6MLFORECAST</v>
          </cell>
          <cell r="D149" t="str">
            <v>AUD6MLFORECAST</v>
          </cell>
          <cell r="E149" t="str">
            <v>6ML</v>
          </cell>
          <cell r="F149" t="str">
            <v>6ML</v>
          </cell>
          <cell r="G149" t="str">
            <v>AUD6MLFORECAST</v>
          </cell>
          <cell r="H149" t="str">
            <v>AUD6MLFORECAST</v>
          </cell>
          <cell r="I149" t="str">
            <v>AUD6MLFORECAST</v>
          </cell>
          <cell r="J149" t="str">
            <v>AUD6MLFORECAST</v>
          </cell>
          <cell r="K149" t="str">
            <v>6ML</v>
          </cell>
          <cell r="L149" t="str">
            <v>6ML</v>
          </cell>
          <cell r="M149" t="str">
            <v>AUD6MLFORECAST</v>
          </cell>
          <cell r="N149" t="str">
            <v>AUD6MLFORECAST</v>
          </cell>
          <cell r="O149" t="str">
            <v>AUD6MLFORECAST</v>
          </cell>
          <cell r="P149" t="str">
            <v>AUD6MLFORECAST</v>
          </cell>
          <cell r="Q149" t="str">
            <v>AUD6MLFORECAST</v>
          </cell>
          <cell r="R149" t="str">
            <v>AUD6MLFORECAST</v>
          </cell>
          <cell r="S149" t="str">
            <v>AUD6MLFORECAST</v>
          </cell>
          <cell r="T149" t="str">
            <v>AUD6MLFORECAST</v>
          </cell>
          <cell r="U149" t="str">
            <v>AUD6MLFORECAST</v>
          </cell>
          <cell r="V149" t="str">
            <v>AUD6MLFORECAST</v>
          </cell>
        </row>
        <row r="150">
          <cell r="B150" t="str">
            <v>EUR</v>
          </cell>
          <cell r="C150" t="str">
            <v>STD</v>
          </cell>
          <cell r="D150" t="str">
            <v>STD</v>
          </cell>
          <cell r="E150" t="str">
            <v>6ML</v>
          </cell>
          <cell r="F150" t="str">
            <v>6ML</v>
          </cell>
          <cell r="G150" t="str">
            <v>EUR6MLFORECAST</v>
          </cell>
          <cell r="H150" t="str">
            <v>EUR6MLFORECAST</v>
          </cell>
          <cell r="I150" t="str">
            <v>6ML</v>
          </cell>
          <cell r="J150" t="str">
            <v>6ML</v>
          </cell>
          <cell r="K150" t="str">
            <v>EUR6MLFORECAST</v>
          </cell>
          <cell r="L150" t="str">
            <v>EUR6MLFORECAST</v>
          </cell>
          <cell r="M150" t="str">
            <v>EUR6MLFORECAST</v>
          </cell>
          <cell r="N150" t="str">
            <v>EUR6MLFORECAST</v>
          </cell>
          <cell r="O150" t="str">
            <v>6ML</v>
          </cell>
          <cell r="P150" t="str">
            <v>6ML</v>
          </cell>
          <cell r="Q150" t="str">
            <v>EUR6MLFORECAST</v>
          </cell>
          <cell r="R150" t="str">
            <v>EUR6MLFORECAST</v>
          </cell>
          <cell r="S150" t="str">
            <v>EUR6MLFORECAST</v>
          </cell>
          <cell r="T150" t="str">
            <v>EUR6MLFORECAST</v>
          </cell>
          <cell r="U150" t="str">
            <v>EUR6MLFORECAST</v>
          </cell>
          <cell r="V150" t="str">
            <v>EUR6MLFORECAST</v>
          </cell>
        </row>
        <row r="151">
          <cell r="B151" t="str">
            <v>EUR_1Y</v>
          </cell>
          <cell r="C151" t="str">
            <v>EUR3MLFORECAST</v>
          </cell>
          <cell r="D151" t="str">
            <v>EUR3MLFORECAST</v>
          </cell>
          <cell r="E151" t="str">
            <v>3ML</v>
          </cell>
          <cell r="F151" t="str">
            <v>3ML</v>
          </cell>
          <cell r="G151" t="str">
            <v>EUR3MLFORECAST</v>
          </cell>
          <cell r="H151" t="str">
            <v>EUR3MLFORECAST</v>
          </cell>
          <cell r="I151" t="str">
            <v>3ML</v>
          </cell>
          <cell r="J151" t="str">
            <v>3ML</v>
          </cell>
          <cell r="K151" t="str">
            <v>EUR3MLFORECAST</v>
          </cell>
          <cell r="L151" t="str">
            <v>EUR3MLFORECAST</v>
          </cell>
          <cell r="M151" t="str">
            <v>EUR3MLFORECAST</v>
          </cell>
          <cell r="N151" t="str">
            <v>EUR3MLFORECAST</v>
          </cell>
          <cell r="O151" t="str">
            <v>3ML</v>
          </cell>
          <cell r="P151" t="str">
            <v>3ML</v>
          </cell>
          <cell r="Q151" t="str">
            <v>EUR3MLFORECAST</v>
          </cell>
          <cell r="R151" t="str">
            <v>EUR3MLFORECAST</v>
          </cell>
          <cell r="S151" t="str">
            <v>EUR3MLFORECAST</v>
          </cell>
          <cell r="T151" t="str">
            <v>EUR3MLFORECAST</v>
          </cell>
          <cell r="U151" t="str">
            <v>EUR3MLFORECAST</v>
          </cell>
          <cell r="V151" t="str">
            <v>EUR3MLFORECAST</v>
          </cell>
        </row>
        <row r="152">
          <cell r="B152" t="str">
            <v>GBP</v>
          </cell>
          <cell r="C152" t="str">
            <v>STD</v>
          </cell>
          <cell r="D152" t="str">
            <v>STD</v>
          </cell>
          <cell r="E152" t="str">
            <v>6ML</v>
          </cell>
          <cell r="F152" t="str">
            <v>6ML</v>
          </cell>
          <cell r="G152" t="str">
            <v>GBP6MLFORECAST</v>
          </cell>
          <cell r="H152" t="str">
            <v>GBP6MLFORECAST</v>
          </cell>
          <cell r="I152" t="str">
            <v>6ML</v>
          </cell>
          <cell r="J152" t="str">
            <v>6ML</v>
          </cell>
          <cell r="K152" t="str">
            <v>6ML</v>
          </cell>
          <cell r="L152" t="str">
            <v>6ML</v>
          </cell>
          <cell r="M152" t="str">
            <v>GBP6MLFORECAST</v>
          </cell>
          <cell r="N152" t="str">
            <v>GBP6MLFORECAST</v>
          </cell>
          <cell r="O152" t="str">
            <v>6ML</v>
          </cell>
          <cell r="P152" t="str">
            <v>6ML</v>
          </cell>
          <cell r="Q152" t="str">
            <v>None</v>
          </cell>
          <cell r="R152" t="str">
            <v>None</v>
          </cell>
          <cell r="S152" t="str">
            <v>6ML</v>
          </cell>
          <cell r="T152" t="str">
            <v>6ML</v>
          </cell>
          <cell r="U152" t="str">
            <v>GBP3MLFORECAST</v>
          </cell>
          <cell r="V152" t="str">
            <v>GBP6MLFORECAST</v>
          </cell>
        </row>
        <row r="153">
          <cell r="B153" t="str">
            <v>NZD</v>
          </cell>
          <cell r="C153" t="str">
            <v>STD</v>
          </cell>
          <cell r="D153" t="str">
            <v>STD</v>
          </cell>
          <cell r="E153" t="str">
            <v>3ML</v>
          </cell>
          <cell r="F153" t="str">
            <v>3ML</v>
          </cell>
          <cell r="G153" t="str">
            <v>NZD3MLFORECAST</v>
          </cell>
          <cell r="H153" t="str">
            <v>NZD3MLFORECAST</v>
          </cell>
          <cell r="I153" t="str">
            <v>NZD3MLFORECAST</v>
          </cell>
          <cell r="J153" t="str">
            <v>NZD3MLFORECAST</v>
          </cell>
          <cell r="K153" t="str">
            <v>NZD3MLFORECAST</v>
          </cell>
          <cell r="L153" t="str">
            <v>NZD3MLFORECAST</v>
          </cell>
          <cell r="M153" t="str">
            <v>NZD3MLFORECAST</v>
          </cell>
          <cell r="N153" t="str">
            <v>NZD3MLFORECAST</v>
          </cell>
          <cell r="O153" t="str">
            <v>NZD3MLFORECAST</v>
          </cell>
          <cell r="P153" t="str">
            <v>NZD3MLFORECAST</v>
          </cell>
          <cell r="Q153" t="str">
            <v>None</v>
          </cell>
          <cell r="R153" t="str">
            <v>None</v>
          </cell>
          <cell r="S153" t="str">
            <v>NZD3MLFORECAST</v>
          </cell>
          <cell r="T153" t="str">
            <v>NZD3MLFORECAST</v>
          </cell>
          <cell r="U153" t="str">
            <v>None</v>
          </cell>
          <cell r="V153" t="str">
            <v>None</v>
          </cell>
        </row>
        <row r="154">
          <cell r="B154" t="str">
            <v>ZAR</v>
          </cell>
          <cell r="C154" t="str">
            <v>ZAR3MLFORECAST</v>
          </cell>
          <cell r="D154" t="str">
            <v>ZAR3MLFORECAST</v>
          </cell>
          <cell r="E154" t="str">
            <v>3ML</v>
          </cell>
          <cell r="F154" t="str">
            <v>3ML</v>
          </cell>
          <cell r="G154" t="str">
            <v>ZAR3MLFORECAST</v>
          </cell>
          <cell r="H154" t="str">
            <v>ZAR3MLFORECAST</v>
          </cell>
          <cell r="I154" t="str">
            <v>ZAR3MLFORECAST</v>
          </cell>
          <cell r="J154" t="str">
            <v>ZAR3MLFORECAST</v>
          </cell>
          <cell r="K154" t="str">
            <v>ZAR3MLFORECAST</v>
          </cell>
          <cell r="L154" t="str">
            <v>ZAR3MLFORECAST</v>
          </cell>
          <cell r="M154" t="str">
            <v>ZAR3MLFORECAST</v>
          </cell>
          <cell r="N154" t="str">
            <v>ZAR3MLFORECAST</v>
          </cell>
          <cell r="O154" t="str">
            <v>ZAR3MLFORECAST</v>
          </cell>
          <cell r="P154" t="str">
            <v>ZAR3MLFORECAST</v>
          </cell>
          <cell r="Q154" t="str">
            <v>None</v>
          </cell>
          <cell r="R154" t="str">
            <v>None</v>
          </cell>
          <cell r="S154" t="str">
            <v>ZAR3MLFORECAST</v>
          </cell>
          <cell r="T154" t="str">
            <v>ZAR3MLFORECAST</v>
          </cell>
          <cell r="U154" t="str">
            <v>None</v>
          </cell>
          <cell r="V154" t="str">
            <v>None</v>
          </cell>
        </row>
        <row r="155">
          <cell r="B155" t="str">
            <v>CAD</v>
          </cell>
          <cell r="C155" t="str">
            <v>STD</v>
          </cell>
          <cell r="D155" t="str">
            <v>STD</v>
          </cell>
          <cell r="E155" t="str">
            <v>3ML</v>
          </cell>
          <cell r="F155" t="str">
            <v>3ML</v>
          </cell>
          <cell r="G155" t="str">
            <v>CAD3MLFORECAST</v>
          </cell>
          <cell r="H155" t="str">
            <v>CAD6MLFORECAST</v>
          </cell>
          <cell r="I155" t="str">
            <v>CAD3MLFORECAST</v>
          </cell>
          <cell r="J155" t="str">
            <v>CAD6MLFORECAST</v>
          </cell>
          <cell r="K155" t="str">
            <v>CAD3MLFORECAST</v>
          </cell>
          <cell r="L155" t="str">
            <v>CAD6MLFORECAST</v>
          </cell>
          <cell r="M155" t="str">
            <v>CAD3MLFORECAST</v>
          </cell>
          <cell r="N155" t="str">
            <v>CAD6MLFORECAST</v>
          </cell>
          <cell r="O155" t="str">
            <v>CAD3MLFORECAST</v>
          </cell>
          <cell r="P155" t="str">
            <v>CAD6MLFORECAST</v>
          </cell>
          <cell r="Q155" t="str">
            <v>None</v>
          </cell>
          <cell r="R155" t="str">
            <v>None</v>
          </cell>
          <cell r="S155" t="str">
            <v>CAD3MLFORECAST</v>
          </cell>
          <cell r="T155" t="str">
            <v>CAD6MLFORECAST</v>
          </cell>
          <cell r="U155" t="str">
            <v>None</v>
          </cell>
          <cell r="V155" t="str">
            <v>None</v>
          </cell>
        </row>
        <row r="156">
          <cell r="B156" t="str">
            <v>HKD</v>
          </cell>
          <cell r="C156" t="str">
            <v>STD</v>
          </cell>
          <cell r="D156" t="str">
            <v>STD</v>
          </cell>
          <cell r="E156" t="str">
            <v>3ML</v>
          </cell>
          <cell r="F156" t="str">
            <v>3ML</v>
          </cell>
          <cell r="G156" t="str">
            <v>HKD3MLFORECAST</v>
          </cell>
          <cell r="H156" t="str">
            <v>HKD6MLFORECAST</v>
          </cell>
          <cell r="I156" t="str">
            <v>HKD3MLFORECAST</v>
          </cell>
          <cell r="J156" t="str">
            <v>HKD6MLFORECAST</v>
          </cell>
          <cell r="K156" t="str">
            <v>HKD3MLFORECAST</v>
          </cell>
          <cell r="L156" t="str">
            <v>HKD6MLFORECAST</v>
          </cell>
          <cell r="M156" t="str">
            <v>HKD3MLFORECAST</v>
          </cell>
          <cell r="N156" t="str">
            <v>HKD6MLFORECAST</v>
          </cell>
          <cell r="O156" t="str">
            <v>HKD3MLFORECAST</v>
          </cell>
          <cell r="P156" t="str">
            <v>HKD6MLFORECAST</v>
          </cell>
          <cell r="Q156" t="str">
            <v>None</v>
          </cell>
          <cell r="R156" t="str">
            <v>None</v>
          </cell>
          <cell r="S156" t="str">
            <v>HKD3MLFORECAST</v>
          </cell>
          <cell r="T156" t="str">
            <v>HKD6MLFORECAST</v>
          </cell>
          <cell r="U156" t="str">
            <v>None</v>
          </cell>
          <cell r="V156" t="str">
            <v>None</v>
          </cell>
        </row>
        <row r="157">
          <cell r="B157" t="str">
            <v>BRL</v>
          </cell>
          <cell r="C157" t="str">
            <v>STD</v>
          </cell>
          <cell r="D157" t="str">
            <v>STD</v>
          </cell>
          <cell r="E157" t="str">
            <v>6ML</v>
          </cell>
          <cell r="F157" t="str">
            <v>6ML</v>
          </cell>
          <cell r="G157" t="str">
            <v>BRL6MLFORECAST</v>
          </cell>
          <cell r="H157" t="str">
            <v>BRL6MLFORECAST</v>
          </cell>
          <cell r="I157" t="str">
            <v>BRL6MLFORECAST</v>
          </cell>
          <cell r="J157" t="str">
            <v>BRL6MLFORECAST</v>
          </cell>
          <cell r="K157" t="str">
            <v>BRL6MLFORECAST</v>
          </cell>
          <cell r="L157" t="str">
            <v>BRL6MLFORECAST</v>
          </cell>
          <cell r="M157" t="str">
            <v>BRL6MLFORECAST</v>
          </cell>
          <cell r="N157" t="str">
            <v>BRL6MLFORECAST</v>
          </cell>
          <cell r="O157" t="str">
            <v>BRL6MLFORECAST</v>
          </cell>
          <cell r="P157" t="str">
            <v>BRL6MLFORECAST</v>
          </cell>
          <cell r="Q157" t="str">
            <v>None</v>
          </cell>
          <cell r="R157" t="str">
            <v>None</v>
          </cell>
          <cell r="S157" t="str">
            <v>BRL6MLFORECAST</v>
          </cell>
          <cell r="T157" t="str">
            <v>BRL6MLFORECAST</v>
          </cell>
          <cell r="U157" t="str">
            <v>None</v>
          </cell>
          <cell r="V157" t="str">
            <v>None</v>
          </cell>
        </row>
        <row r="158">
          <cell r="B158" t="str">
            <v>TRY</v>
          </cell>
          <cell r="C158" t="str">
            <v>STD</v>
          </cell>
          <cell r="D158" t="str">
            <v>STD</v>
          </cell>
          <cell r="E158" t="str">
            <v>6ML</v>
          </cell>
          <cell r="F158" t="str">
            <v>6ML</v>
          </cell>
          <cell r="G158" t="str">
            <v>TRY6MLFORECAST</v>
          </cell>
          <cell r="H158" t="str">
            <v>TRY6MLFORECAST</v>
          </cell>
          <cell r="I158" t="str">
            <v>TRY6MLFORECAST</v>
          </cell>
          <cell r="J158" t="str">
            <v>TRY6MLFORECAST</v>
          </cell>
          <cell r="K158" t="str">
            <v>TRY6MLFORECAST</v>
          </cell>
          <cell r="L158" t="str">
            <v>TRY6MLFORECAST</v>
          </cell>
          <cell r="M158" t="str">
            <v>TRY6MLFORECAST</v>
          </cell>
          <cell r="N158" t="str">
            <v>TRY6MLFORECAST</v>
          </cell>
          <cell r="O158" t="str">
            <v>TRY6MLFORECAST</v>
          </cell>
          <cell r="P158" t="str">
            <v>TRY6MLFORECAST</v>
          </cell>
          <cell r="Q158" t="str">
            <v>None</v>
          </cell>
          <cell r="R158" t="str">
            <v>None</v>
          </cell>
          <cell r="S158" t="str">
            <v>TRY6MLFORECAST</v>
          </cell>
          <cell r="T158" t="str">
            <v>TRY6MLFORECAST</v>
          </cell>
          <cell r="U158" t="str">
            <v>None</v>
          </cell>
          <cell r="V158" t="str">
            <v>None</v>
          </cell>
        </row>
        <row r="159">
          <cell r="B159" t="str">
            <v>CNY</v>
          </cell>
          <cell r="C159" t="str">
            <v>STD</v>
          </cell>
          <cell r="D159" t="str">
            <v>STD</v>
          </cell>
          <cell r="E159" t="str">
            <v>3ML</v>
          </cell>
          <cell r="F159" t="str">
            <v>3ML</v>
          </cell>
          <cell r="G159" t="str">
            <v>CNY3MLFORECAST</v>
          </cell>
          <cell r="H159" t="str">
            <v>CNY3MLFORECAST</v>
          </cell>
          <cell r="I159" t="str">
            <v>CNY3MLFORECAST</v>
          </cell>
          <cell r="J159" t="str">
            <v>CNY3MLFORECAST</v>
          </cell>
          <cell r="K159" t="str">
            <v>CNY3MLFORECAST</v>
          </cell>
          <cell r="L159" t="str">
            <v>CNY3MLFORECAST</v>
          </cell>
          <cell r="M159" t="str">
            <v>CNY3MLFORECAST</v>
          </cell>
          <cell r="N159" t="str">
            <v>CNY3MLFORECAST</v>
          </cell>
          <cell r="O159" t="str">
            <v>CNY3MLFORECAST</v>
          </cell>
          <cell r="P159" t="str">
            <v>CNY3MLFORECAST</v>
          </cell>
          <cell r="Q159" t="str">
            <v>None</v>
          </cell>
          <cell r="R159" t="str">
            <v>None</v>
          </cell>
          <cell r="S159" t="str">
            <v>CNY3MLFORECAST</v>
          </cell>
          <cell r="T159" t="str">
            <v>CNY3MLFORECAST</v>
          </cell>
          <cell r="U159" t="str">
            <v>None</v>
          </cell>
          <cell r="V159" t="str">
            <v>None</v>
          </cell>
        </row>
        <row r="160">
          <cell r="B160" t="str">
            <v>MXN</v>
          </cell>
          <cell r="C160" t="str">
            <v>STD</v>
          </cell>
          <cell r="D160" t="str">
            <v>STD</v>
          </cell>
          <cell r="E160" t="str">
            <v>MXN1MLFORECAST</v>
          </cell>
          <cell r="F160" t="str">
            <v>MXN1MLFORECAST</v>
          </cell>
          <cell r="G160" t="str">
            <v>MXN1MLFORECAST</v>
          </cell>
          <cell r="H160" t="str">
            <v>MXN1MLFORECAST</v>
          </cell>
          <cell r="I160" t="str">
            <v>MXN1MLFORECAST</v>
          </cell>
          <cell r="J160" t="str">
            <v>MXN1MLFORECAST</v>
          </cell>
          <cell r="K160" t="str">
            <v>MXN1MLFORECAST</v>
          </cell>
          <cell r="L160" t="str">
            <v>MXN1MLFORECAST</v>
          </cell>
          <cell r="M160" t="str">
            <v>MXN1MLFORECAST</v>
          </cell>
          <cell r="N160" t="str">
            <v>MXN1MLFORECAST</v>
          </cell>
          <cell r="O160" t="str">
            <v>MXN1MLFORECAST</v>
          </cell>
          <cell r="P160" t="str">
            <v>MXN1MLFORECAST</v>
          </cell>
          <cell r="Q160" t="str">
            <v>None</v>
          </cell>
          <cell r="R160" t="str">
            <v>None</v>
          </cell>
          <cell r="S160" t="str">
            <v>MXN1MLFORECAST</v>
          </cell>
          <cell r="T160" t="str">
            <v>MXN1MLFORECAST</v>
          </cell>
          <cell r="U160" t="str">
            <v>None</v>
          </cell>
          <cell r="V160" t="str">
            <v>None</v>
          </cell>
        </row>
        <row r="161">
          <cell r="B161" t="str">
            <v>RUB</v>
          </cell>
          <cell r="C161" t="str">
            <v>STD</v>
          </cell>
          <cell r="D161" t="str">
            <v>STD</v>
          </cell>
          <cell r="E161" t="str">
            <v>3ML</v>
          </cell>
          <cell r="F161" t="str">
            <v>3ML</v>
          </cell>
          <cell r="G161" t="str">
            <v>NZD3MLFORECAST</v>
          </cell>
          <cell r="H161" t="str">
            <v>NZD3MLFORECAST</v>
          </cell>
          <cell r="I161" t="str">
            <v>NZD3MLFORECAST</v>
          </cell>
          <cell r="J161" t="str">
            <v>NZD3MLFORECAST</v>
          </cell>
          <cell r="K161" t="str">
            <v>NZD3MLFORECAST</v>
          </cell>
          <cell r="L161" t="str">
            <v>NZD3MLFORECAST</v>
          </cell>
          <cell r="M161" t="str">
            <v>NZD3MLFORECAST</v>
          </cell>
          <cell r="N161" t="str">
            <v>NZD3MLFORECAST</v>
          </cell>
          <cell r="O161" t="str">
            <v>NZD3MLFORECAST</v>
          </cell>
          <cell r="P161" t="str">
            <v>NZD3MLFORECAST</v>
          </cell>
          <cell r="Q161" t="str">
            <v>None</v>
          </cell>
          <cell r="R161" t="str">
            <v>None</v>
          </cell>
          <cell r="S161" t="str">
            <v>NZD3MLFORECAST</v>
          </cell>
          <cell r="T161" t="str">
            <v>NZD3MLFORECAST</v>
          </cell>
          <cell r="U161" t="str">
            <v>None</v>
          </cell>
          <cell r="V161" t="str">
            <v>None</v>
          </cell>
        </row>
        <row r="162">
          <cell r="B162" t="str">
            <v>KRW</v>
          </cell>
          <cell r="C162" t="str">
            <v>STD</v>
          </cell>
          <cell r="D162" t="str">
            <v>STD</v>
          </cell>
          <cell r="E162" t="str">
            <v>3ML</v>
          </cell>
          <cell r="F162" t="str">
            <v>3ML</v>
          </cell>
          <cell r="G162" t="str">
            <v>KRW3MLFORECAST</v>
          </cell>
          <cell r="H162" t="str">
            <v>KRW3MLFORECAST</v>
          </cell>
          <cell r="I162" t="str">
            <v>KRW3MLFORECAST</v>
          </cell>
          <cell r="J162" t="str">
            <v>KRW3MLFORECAST</v>
          </cell>
          <cell r="K162" t="str">
            <v>KRW3MLFORECAST</v>
          </cell>
          <cell r="L162" t="str">
            <v>KRW3MLFORECAST</v>
          </cell>
          <cell r="M162" t="str">
            <v>KRW3MLFORECAST</v>
          </cell>
          <cell r="N162" t="str">
            <v>KRW3MLFORECAST</v>
          </cell>
          <cell r="O162" t="str">
            <v>KRW3MLFORECAST</v>
          </cell>
          <cell r="P162" t="str">
            <v>KRW3MLFORECAST</v>
          </cell>
          <cell r="Q162" t="str">
            <v>None</v>
          </cell>
          <cell r="R162" t="str">
            <v>None</v>
          </cell>
          <cell r="S162" t="str">
            <v>KRW3MLFORECAST</v>
          </cell>
          <cell r="T162" t="str">
            <v>KRW3MLFORECAST</v>
          </cell>
          <cell r="U162" t="str">
            <v>None</v>
          </cell>
          <cell r="V162" t="str">
            <v>None</v>
          </cell>
        </row>
        <row r="163">
          <cell r="B163" t="str">
            <v>SGD</v>
          </cell>
          <cell r="C163" t="str">
            <v>STD</v>
          </cell>
          <cell r="D163" t="str">
            <v>STD</v>
          </cell>
          <cell r="E163" t="str">
            <v>3ML</v>
          </cell>
          <cell r="F163" t="str">
            <v>3ML</v>
          </cell>
          <cell r="G163" t="str">
            <v>SGD3MLFORECAST</v>
          </cell>
          <cell r="H163" t="str">
            <v>SGD3MLFORECAST</v>
          </cell>
          <cell r="I163" t="str">
            <v>SGD3MLFORECAST</v>
          </cell>
          <cell r="J163" t="str">
            <v>SGD3MLFORECAST</v>
          </cell>
          <cell r="K163" t="str">
            <v>SGD3MLFORECAST</v>
          </cell>
          <cell r="L163" t="str">
            <v>SGD3MLFORECAST</v>
          </cell>
          <cell r="M163" t="str">
            <v>SGD3MLFORECAST</v>
          </cell>
          <cell r="N163" t="str">
            <v>SGD3MLFORECAST</v>
          </cell>
          <cell r="O163" t="str">
            <v>SGD3MLFORECAST</v>
          </cell>
          <cell r="P163" t="str">
            <v>SGD3MLFORECAST</v>
          </cell>
          <cell r="Q163" t="str">
            <v>None</v>
          </cell>
          <cell r="R163" t="str">
            <v>None</v>
          </cell>
          <cell r="S163" t="str">
            <v>SGD3MLFORECAST</v>
          </cell>
          <cell r="T163" t="str">
            <v>SGD3MLFORECAST</v>
          </cell>
          <cell r="U163" t="str">
            <v>None</v>
          </cell>
          <cell r="V163" t="str">
            <v>None</v>
          </cell>
        </row>
        <row r="164">
          <cell r="B164" t="str">
            <v>MYR</v>
          </cell>
          <cell r="C164" t="str">
            <v>STD</v>
          </cell>
          <cell r="D164" t="str">
            <v>STD</v>
          </cell>
          <cell r="E164" t="str">
            <v>3ML</v>
          </cell>
          <cell r="F164" t="str">
            <v>3ML</v>
          </cell>
          <cell r="G164" t="str">
            <v>MYR3MLFORECAST</v>
          </cell>
          <cell r="H164" t="str">
            <v>MYR3MLFORECAST</v>
          </cell>
          <cell r="I164" t="str">
            <v>MYR3MLFORECAST</v>
          </cell>
          <cell r="J164" t="str">
            <v>MYR3MLFORECAST</v>
          </cell>
          <cell r="K164" t="str">
            <v>MYR3MLFORECAST</v>
          </cell>
          <cell r="L164" t="str">
            <v>MYR3MLFORECAST</v>
          </cell>
          <cell r="M164" t="str">
            <v>MYR3MLFORECAST</v>
          </cell>
          <cell r="N164" t="str">
            <v>MYR3MLFORECAST</v>
          </cell>
          <cell r="O164" t="str">
            <v>MYR3MLFORECAST</v>
          </cell>
          <cell r="P164" t="str">
            <v>MYR3MLFORECAST</v>
          </cell>
          <cell r="Q164" t="str">
            <v>None</v>
          </cell>
          <cell r="R164" t="str">
            <v>None</v>
          </cell>
          <cell r="S164" t="str">
            <v>MYR3MLFORECAST</v>
          </cell>
          <cell r="T164" t="str">
            <v>MYR3MLFORECAST</v>
          </cell>
          <cell r="U164" t="str">
            <v>None</v>
          </cell>
          <cell r="V164" t="str">
            <v>None</v>
          </cell>
        </row>
        <row r="165">
          <cell r="B165" t="str">
            <v>IDR</v>
          </cell>
          <cell r="C165" t="str">
            <v>STD</v>
          </cell>
          <cell r="D165" t="str">
            <v>STD</v>
          </cell>
          <cell r="E165" t="str">
            <v>3ML</v>
          </cell>
          <cell r="F165" t="str">
            <v>3ML</v>
          </cell>
          <cell r="G165" t="str">
            <v>IDR3MLFORECAST</v>
          </cell>
          <cell r="H165" t="str">
            <v>IDR3MLFORECAST</v>
          </cell>
          <cell r="I165" t="str">
            <v>IDR3MLFORECAST</v>
          </cell>
          <cell r="J165" t="str">
            <v>IDR3MLFORECAST</v>
          </cell>
          <cell r="K165" t="str">
            <v>IDR3MLFORECAST</v>
          </cell>
          <cell r="L165" t="str">
            <v>IDR3MLFORECAST</v>
          </cell>
          <cell r="M165" t="str">
            <v>IDR3MLFORECAST</v>
          </cell>
          <cell r="N165" t="str">
            <v>IDR3MLFORECAST</v>
          </cell>
          <cell r="O165" t="str">
            <v>IDR3MLFORECAST</v>
          </cell>
          <cell r="P165" t="str">
            <v>IDR3MLFORECAST</v>
          </cell>
          <cell r="Q165" t="str">
            <v>None</v>
          </cell>
          <cell r="R165" t="str">
            <v>None</v>
          </cell>
          <cell r="S165" t="str">
            <v>IDR3MLFORECAST</v>
          </cell>
          <cell r="T165" t="str">
            <v>IDR3MLFORECAST</v>
          </cell>
          <cell r="U165" t="str">
            <v>None</v>
          </cell>
          <cell r="V165" t="str">
            <v>None</v>
          </cell>
        </row>
        <row r="166">
          <cell r="B166" t="str">
            <v>INR</v>
          </cell>
          <cell r="C166" t="str">
            <v>STD</v>
          </cell>
          <cell r="D166" t="str">
            <v>STD</v>
          </cell>
          <cell r="E166" t="str">
            <v>3ML</v>
          </cell>
          <cell r="F166" t="str">
            <v>3ML</v>
          </cell>
          <cell r="G166" t="str">
            <v>INR3MLFORECAST</v>
          </cell>
          <cell r="H166" t="str">
            <v>INR3MLFORECAST</v>
          </cell>
          <cell r="I166" t="str">
            <v>INR3MLFORECAST</v>
          </cell>
          <cell r="J166" t="str">
            <v>INR3MLFORECAST</v>
          </cell>
          <cell r="K166" t="str">
            <v>INR3MLFORECAST</v>
          </cell>
          <cell r="L166" t="str">
            <v>INR3MLFORECAST</v>
          </cell>
          <cell r="M166" t="str">
            <v>INR3MLFORECAST</v>
          </cell>
          <cell r="N166" t="str">
            <v>INR3MLFORECAST</v>
          </cell>
          <cell r="O166" t="str">
            <v>INR3MLFORECAST</v>
          </cell>
          <cell r="P166" t="str">
            <v>INR3MLFORECAST</v>
          </cell>
          <cell r="Q166" t="str">
            <v>None</v>
          </cell>
          <cell r="R166" t="str">
            <v>None</v>
          </cell>
          <cell r="S166" t="str">
            <v>INR3MLFORECAST</v>
          </cell>
          <cell r="T166" t="str">
            <v>INR3MLFORECAST</v>
          </cell>
          <cell r="U166" t="str">
            <v>None</v>
          </cell>
          <cell r="V166" t="str">
            <v>None</v>
          </cell>
        </row>
        <row r="167">
          <cell r="B167" t="str">
            <v>TWD</v>
          </cell>
          <cell r="C167" t="str">
            <v>STD</v>
          </cell>
          <cell r="D167" t="str">
            <v>STD</v>
          </cell>
          <cell r="E167" t="str">
            <v>3ML</v>
          </cell>
          <cell r="F167" t="str">
            <v>3ML</v>
          </cell>
          <cell r="G167" t="str">
            <v>TWD3MLFORECAST</v>
          </cell>
          <cell r="H167" t="str">
            <v>TWD3MLFORECAST</v>
          </cell>
          <cell r="I167" t="str">
            <v>TWD3MLFORECAST</v>
          </cell>
          <cell r="J167" t="str">
            <v>TWD3MLFORECAST</v>
          </cell>
          <cell r="K167" t="str">
            <v>TWD3MLFORECAST</v>
          </cell>
          <cell r="L167" t="str">
            <v>TWD3MLFORECAST</v>
          </cell>
          <cell r="M167" t="str">
            <v>TWD3MLFORECAST</v>
          </cell>
          <cell r="N167" t="str">
            <v>TWD3MLFORECAST</v>
          </cell>
          <cell r="O167" t="str">
            <v>TWD3MLFORECAST</v>
          </cell>
          <cell r="P167" t="str">
            <v>TWD3MLFORECAST</v>
          </cell>
          <cell r="Q167" t="str">
            <v>None</v>
          </cell>
          <cell r="R167" t="str">
            <v>None</v>
          </cell>
          <cell r="S167" t="str">
            <v>TWD3MLFORECAST</v>
          </cell>
          <cell r="T167" t="str">
            <v>TWD3MLFORECAST</v>
          </cell>
          <cell r="U167" t="str">
            <v>None</v>
          </cell>
          <cell r="V167" t="str">
            <v>None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 Swap"/>
      <sheetName val="Swap Schedule"/>
      <sheetName val="Swap Schedule2"/>
    </sheetNames>
    <sheetDataSet>
      <sheetData sheetId="0">
        <row r="15">
          <cell r="BL15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4"/>
  <sheetViews>
    <sheetView showGridLines="0" tabSelected="1" workbookViewId="0"/>
  </sheetViews>
  <sheetFormatPr defaultRowHeight="15"/>
  <cols>
    <col min="1" max="1" width="4.7109375" customWidth="1"/>
    <col min="2" max="2" width="20" customWidth="1"/>
    <col min="3" max="3" width="18.7109375" customWidth="1"/>
    <col min="4" max="4" width="4.7109375" customWidth="1"/>
    <col min="5" max="5" width="14.5703125" customWidth="1"/>
    <col min="6" max="6" width="14.28515625" customWidth="1"/>
    <col min="7" max="7" width="12" customWidth="1"/>
    <col min="8" max="9" width="14" customWidth="1"/>
    <col min="10" max="10" width="4.7109375" customWidth="1"/>
    <col min="11" max="12" width="14.7109375" customWidth="1"/>
    <col min="13" max="13" width="13.85546875" customWidth="1"/>
    <col min="14" max="14" width="4.7109375" customWidth="1"/>
  </cols>
  <sheetData>
    <row r="1" spans="2:14">
      <c r="K1" s="5"/>
      <c r="L1" s="5"/>
    </row>
    <row r="2" spans="2:14">
      <c r="B2" s="1" t="s">
        <v>16</v>
      </c>
      <c r="E2" s="1" t="s">
        <v>28</v>
      </c>
      <c r="K2" s="30" t="s">
        <v>15</v>
      </c>
      <c r="L2" s="30" t="s">
        <v>15</v>
      </c>
      <c r="M2" s="30" t="s">
        <v>25</v>
      </c>
    </row>
    <row r="3" spans="2:14">
      <c r="B3" s="8" t="s">
        <v>14</v>
      </c>
      <c r="C3" s="3">
        <v>42146</v>
      </c>
      <c r="D3" s="41">
        <v>0</v>
      </c>
      <c r="E3" s="11" t="e">
        <f t="array" aca="1" ref="E3:I21" ca="1">_xll.mirSwapSchedule(C3,C4,C5,C6,C7,C8,C9,C10,C11,C12,C13,C14,C15,C16,C17,C18,C19,C20)</f>
        <v>#NAME?</v>
      </c>
      <c r="F3" s="12" t="e">
        <f ca="1"/>
        <v>#NAME?</v>
      </c>
      <c r="G3" s="12" t="e">
        <f ca="1"/>
        <v>#NAME?</v>
      </c>
      <c r="H3" s="38" t="e">
        <f ca="1"/>
        <v>#NAME?</v>
      </c>
      <c r="I3" s="13" t="e">
        <f ca="1"/>
        <v>#NAME?</v>
      </c>
      <c r="J3" s="2" t="s">
        <v>17</v>
      </c>
      <c r="K3" s="32" t="s">
        <v>23</v>
      </c>
      <c r="L3" s="36" t="s">
        <v>22</v>
      </c>
      <c r="M3" s="35" t="s">
        <v>26</v>
      </c>
      <c r="N3" s="2" t="s">
        <v>17</v>
      </c>
    </row>
    <row r="4" spans="2:14">
      <c r="B4" s="9" t="s">
        <v>34</v>
      </c>
      <c r="C4" s="20">
        <v>43973</v>
      </c>
      <c r="D4" s="41">
        <v>1</v>
      </c>
      <c r="E4" s="14" t="e">
        <f ca="1"/>
        <v>#NAME?</v>
      </c>
      <c r="F4" s="15" t="e">
        <f ca="1"/>
        <v>#NAME?</v>
      </c>
      <c r="G4" s="15" t="e">
        <f ca="1"/>
        <v>#NAME?</v>
      </c>
      <c r="H4" s="37" t="e">
        <f ca="1"/>
        <v>#NAME?</v>
      </c>
      <c r="I4" s="16" t="e">
        <f ca="1"/>
        <v>#NAME?</v>
      </c>
      <c r="J4" s="41">
        <v>1</v>
      </c>
      <c r="K4" s="14" t="e">
        <f t="array" aca="1" ref="K4:K21" ca="1">_xll.mirCalcDates(C3,C4,C6,C7,C8,C17,C18,C19)</f>
        <v>#NAME?</v>
      </c>
      <c r="L4" s="15" t="e">
        <f t="array" aca="1" ref="L4:L21" ca="1">_xll.mirCalcDates(C3,C4,C9,C10,C11,C17,C18,C19)</f>
        <v>#NAME?</v>
      </c>
      <c r="M4" s="33" t="e">
        <f ca="1">IF(ISNA(F4),NA(),_xll.mirGetTerm(F4,G4,IF(ISBLANK($C$5),"Act/360",$C$5),TRUE))</f>
        <v>#NAME?</v>
      </c>
      <c r="N4" s="2" t="s">
        <v>17</v>
      </c>
    </row>
    <row r="5" spans="2:14">
      <c r="B5" s="9" t="s">
        <v>27</v>
      </c>
      <c r="C5" s="23" t="s">
        <v>29</v>
      </c>
      <c r="D5" s="41">
        <v>2</v>
      </c>
      <c r="E5" s="14" t="e">
        <f ca="1"/>
        <v>#NAME?</v>
      </c>
      <c r="F5" s="15" t="e">
        <f ca="1"/>
        <v>#NAME?</v>
      </c>
      <c r="G5" s="15" t="e">
        <f ca="1"/>
        <v>#NAME?</v>
      </c>
      <c r="H5" s="37" t="e">
        <f ca="1"/>
        <v>#NAME?</v>
      </c>
      <c r="I5" s="16" t="e">
        <f ca="1"/>
        <v>#NAME?</v>
      </c>
      <c r="J5" s="41">
        <v>2</v>
      </c>
      <c r="K5" s="14" t="e">
        <f ca="1"/>
        <v>#NAME?</v>
      </c>
      <c r="L5" s="15" t="e">
        <f ca="1"/>
        <v>#NAME?</v>
      </c>
      <c r="M5" s="33" t="e">
        <f ca="1">IF(ISNA(F5),NA(),_xll.mirGetTerm(F5,G5,IF(ISBLANK($C$5),"Act/360",$C$5),TRUE))</f>
        <v>#NAME?</v>
      </c>
      <c r="N5" s="2" t="s">
        <v>17</v>
      </c>
    </row>
    <row r="6" spans="2:14">
      <c r="B6" s="9" t="s">
        <v>11</v>
      </c>
      <c r="C6" s="21" t="s">
        <v>21</v>
      </c>
      <c r="D6" s="41">
        <v>3</v>
      </c>
      <c r="E6" s="14" t="e">
        <f ca="1"/>
        <v>#NAME?</v>
      </c>
      <c r="F6" s="15" t="e">
        <f ca="1"/>
        <v>#NAME?</v>
      </c>
      <c r="G6" s="15" t="e">
        <f ca="1"/>
        <v>#NAME?</v>
      </c>
      <c r="H6" s="37" t="e">
        <f ca="1"/>
        <v>#NAME?</v>
      </c>
      <c r="I6" s="16" t="e">
        <f ca="1"/>
        <v>#NAME?</v>
      </c>
      <c r="J6" s="41">
        <v>3</v>
      </c>
      <c r="K6" s="14" t="e">
        <f ca="1"/>
        <v>#NAME?</v>
      </c>
      <c r="L6" s="15" t="e">
        <f ca="1"/>
        <v>#NAME?</v>
      </c>
      <c r="M6" s="33" t="e">
        <f ca="1">IF(ISNA(F6),NA(),_xll.mirGetTerm(F6,G6,IF(ISBLANK($C$5),"Act/360",$C$5),TRUE))</f>
        <v>#NAME?</v>
      </c>
      <c r="N6" s="2" t="s">
        <v>17</v>
      </c>
    </row>
    <row r="7" spans="2:14">
      <c r="B7" s="9" t="s">
        <v>10</v>
      </c>
      <c r="C7" s="22" t="s">
        <v>30</v>
      </c>
      <c r="D7" s="41">
        <v>4</v>
      </c>
      <c r="E7" s="14" t="e">
        <f ca="1"/>
        <v>#NAME?</v>
      </c>
      <c r="F7" s="15" t="e">
        <f ca="1"/>
        <v>#NAME?</v>
      </c>
      <c r="G7" s="15" t="e">
        <f ca="1"/>
        <v>#NAME?</v>
      </c>
      <c r="H7" s="37" t="e">
        <f ca="1"/>
        <v>#NAME?</v>
      </c>
      <c r="I7" s="16" t="e">
        <f ca="1"/>
        <v>#NAME?</v>
      </c>
      <c r="J7" s="41">
        <v>4</v>
      </c>
      <c r="K7" s="14" t="e">
        <f ca="1"/>
        <v>#NAME?</v>
      </c>
      <c r="L7" s="15" t="e">
        <f ca="1"/>
        <v>#NAME?</v>
      </c>
      <c r="M7" s="33" t="e">
        <f ca="1">IF(ISNA(F7),NA(),_xll.mirGetTerm(F7,G7,IF(ISBLANK($C$5),"Act/360",$C$5),TRUE))</f>
        <v>#NAME?</v>
      </c>
      <c r="N7" s="2" t="s">
        <v>17</v>
      </c>
    </row>
    <row r="8" spans="2:14">
      <c r="B8" s="9" t="s">
        <v>1</v>
      </c>
      <c r="C8" s="26" t="s">
        <v>13</v>
      </c>
      <c r="D8" s="41">
        <v>5</v>
      </c>
      <c r="E8" s="14" t="e">
        <f ca="1"/>
        <v>#NAME?</v>
      </c>
      <c r="F8" s="15" t="e">
        <f ca="1"/>
        <v>#NAME?</v>
      </c>
      <c r="G8" s="15" t="e">
        <f ca="1"/>
        <v>#NAME?</v>
      </c>
      <c r="H8" s="37" t="e">
        <f ca="1"/>
        <v>#NAME?</v>
      </c>
      <c r="I8" s="16" t="e">
        <f ca="1"/>
        <v>#NAME?</v>
      </c>
      <c r="J8" s="41">
        <v>5</v>
      </c>
      <c r="K8" s="14" t="e">
        <f ca="1"/>
        <v>#NAME?</v>
      </c>
      <c r="L8" s="15" t="e">
        <f ca="1"/>
        <v>#NAME?</v>
      </c>
      <c r="M8" s="33" t="e">
        <f ca="1">IF(ISNA(F8),NA(),_xll.mirGetTerm(F8,G8,IF(ISBLANK($C$5),"Act/360",$C$5),TRUE))</f>
        <v>#NAME?</v>
      </c>
      <c r="N8" s="2" t="s">
        <v>17</v>
      </c>
    </row>
    <row r="9" spans="2:14">
      <c r="B9" s="9" t="s">
        <v>12</v>
      </c>
      <c r="C9" s="23" t="s">
        <v>21</v>
      </c>
      <c r="D9" s="41">
        <v>6</v>
      </c>
      <c r="E9" s="14" t="e">
        <f ca="1"/>
        <v>#NAME?</v>
      </c>
      <c r="F9" s="15" t="e">
        <f ca="1"/>
        <v>#NAME?</v>
      </c>
      <c r="G9" s="15" t="e">
        <f ca="1"/>
        <v>#NAME?</v>
      </c>
      <c r="H9" s="37" t="e">
        <f ca="1"/>
        <v>#NAME?</v>
      </c>
      <c r="I9" s="16" t="e">
        <f ca="1"/>
        <v>#NAME?</v>
      </c>
      <c r="J9" s="41">
        <v>6</v>
      </c>
      <c r="K9" s="14" t="e">
        <f ca="1"/>
        <v>#NAME?</v>
      </c>
      <c r="L9" s="15" t="e">
        <f ca="1"/>
        <v>#NAME?</v>
      </c>
      <c r="M9" s="33" t="e">
        <f ca="1">IF(ISNA(F9),NA(),_xll.mirGetTerm(F9,G9,IF(ISBLANK($C$5),"Act/360",$C$5),TRUE))</f>
        <v>#NAME?</v>
      </c>
      <c r="N9" s="2" t="s">
        <v>17</v>
      </c>
    </row>
    <row r="10" spans="2:14">
      <c r="B10" s="9" t="s">
        <v>2</v>
      </c>
      <c r="C10" s="22" t="s">
        <v>30</v>
      </c>
      <c r="D10" s="41">
        <v>7</v>
      </c>
      <c r="E10" s="14" t="e">
        <f ca="1"/>
        <v>#NAME?</v>
      </c>
      <c r="F10" s="15" t="e">
        <f ca="1"/>
        <v>#NAME?</v>
      </c>
      <c r="G10" s="15" t="e">
        <f ca="1"/>
        <v>#NAME?</v>
      </c>
      <c r="H10" s="37" t="e">
        <f ca="1"/>
        <v>#NAME?</v>
      </c>
      <c r="I10" s="16" t="e">
        <f ca="1"/>
        <v>#NAME?</v>
      </c>
      <c r="J10" s="41">
        <v>7</v>
      </c>
      <c r="K10" s="14" t="e">
        <f ca="1"/>
        <v>#NAME?</v>
      </c>
      <c r="L10" s="15" t="e">
        <f ca="1"/>
        <v>#NAME?</v>
      </c>
      <c r="M10" s="33" t="e">
        <f ca="1">IF(ISNA(F10),NA(),_xll.mirGetTerm(F10,G10,IF(ISBLANK($C$5),"Act/360",$C$5),TRUE))</f>
        <v>#NAME?</v>
      </c>
      <c r="N10" s="2" t="s">
        <v>17</v>
      </c>
    </row>
    <row r="11" spans="2:14">
      <c r="B11" s="9" t="s">
        <v>3</v>
      </c>
      <c r="C11" s="6" t="s">
        <v>13</v>
      </c>
      <c r="D11" s="41">
        <v>8</v>
      </c>
      <c r="E11" s="14" t="e">
        <f ca="1"/>
        <v>#NAME?</v>
      </c>
      <c r="F11" s="15" t="e">
        <f ca="1"/>
        <v>#NAME?</v>
      </c>
      <c r="G11" s="15" t="e">
        <f ca="1"/>
        <v>#NAME?</v>
      </c>
      <c r="H11" s="37" t="e">
        <f ca="1"/>
        <v>#NAME?</v>
      </c>
      <c r="I11" s="16" t="e">
        <f ca="1"/>
        <v>#NAME?</v>
      </c>
      <c r="J11" s="41">
        <v>8</v>
      </c>
      <c r="K11" s="14" t="e">
        <f ca="1"/>
        <v>#NAME?</v>
      </c>
      <c r="L11" s="15" t="e">
        <f ca="1"/>
        <v>#NAME?</v>
      </c>
      <c r="M11" s="33" t="e">
        <f ca="1">IF(ISNA(F11),NA(),_xll.mirGetTerm(F11,G11,IF(ISBLANK($C$5),"Act/360",$C$5),TRUE))</f>
        <v>#NAME?</v>
      </c>
      <c r="N11" s="2" t="s">
        <v>17</v>
      </c>
    </row>
    <row r="12" spans="2:14">
      <c r="B12" s="9" t="s">
        <v>4</v>
      </c>
      <c r="C12" s="19" t="s">
        <v>31</v>
      </c>
      <c r="D12" s="41">
        <v>9</v>
      </c>
      <c r="E12" s="14" t="e">
        <f ca="1"/>
        <v>#NAME?</v>
      </c>
      <c r="F12" s="15" t="e">
        <f ca="1"/>
        <v>#NAME?</v>
      </c>
      <c r="G12" s="15" t="e">
        <f ca="1"/>
        <v>#NAME?</v>
      </c>
      <c r="H12" s="37" t="e">
        <f ca="1"/>
        <v>#NAME?</v>
      </c>
      <c r="I12" s="16" t="e">
        <f ca="1"/>
        <v>#NAME?</v>
      </c>
      <c r="J12" s="41">
        <v>9</v>
      </c>
      <c r="K12" s="14" t="e">
        <f ca="1"/>
        <v>#NAME?</v>
      </c>
      <c r="L12" s="15" t="e">
        <f ca="1"/>
        <v>#NAME?</v>
      </c>
      <c r="M12" s="33" t="e">
        <f ca="1">IF(ISNA(F12),NA(),_xll.mirGetTerm(F12,G12,IF(ISBLANK($C$5),"Act/360",$C$5),TRUE))</f>
        <v>#NAME?</v>
      </c>
      <c r="N12" s="2" t="s">
        <v>17</v>
      </c>
    </row>
    <row r="13" spans="2:14">
      <c r="B13" s="9" t="s">
        <v>6</v>
      </c>
      <c r="C13" s="27" t="s">
        <v>30</v>
      </c>
      <c r="D13" s="41">
        <v>10</v>
      </c>
      <c r="E13" s="14" t="e">
        <f ca="1"/>
        <v>#NAME?</v>
      </c>
      <c r="F13" s="15" t="e">
        <f ca="1"/>
        <v>#NAME?</v>
      </c>
      <c r="G13" s="15" t="e">
        <f ca="1"/>
        <v>#NAME?</v>
      </c>
      <c r="H13" s="37" t="e">
        <f ca="1"/>
        <v>#NAME?</v>
      </c>
      <c r="I13" s="16" t="e">
        <f ca="1"/>
        <v>#NAME?</v>
      </c>
      <c r="J13" s="41">
        <v>10</v>
      </c>
      <c r="K13" s="14" t="e">
        <f ca="1"/>
        <v>#NAME?</v>
      </c>
      <c r="L13" s="15" t="e">
        <f ca="1"/>
        <v>#NAME?</v>
      </c>
      <c r="M13" s="33" t="e">
        <f ca="1">IF(ISNA(F13),NA(),_xll.mirGetTerm(F13,G13,IF(ISBLANK($C$5),"Act/360",$C$5),TRUE))</f>
        <v>#NAME?</v>
      </c>
      <c r="N13" s="2" t="s">
        <v>17</v>
      </c>
    </row>
    <row r="14" spans="2:14">
      <c r="B14" s="9" t="s">
        <v>7</v>
      </c>
      <c r="C14" s="6" t="s">
        <v>13</v>
      </c>
      <c r="D14" s="41">
        <v>11</v>
      </c>
      <c r="E14" s="14" t="e">
        <f ca="1"/>
        <v>#NAME?</v>
      </c>
      <c r="F14" s="15" t="e">
        <f ca="1"/>
        <v>#NAME?</v>
      </c>
      <c r="G14" s="15" t="e">
        <f ca="1"/>
        <v>#NAME?</v>
      </c>
      <c r="H14" s="37" t="e">
        <f ca="1"/>
        <v>#NAME?</v>
      </c>
      <c r="I14" s="16" t="e">
        <f ca="1"/>
        <v>#NAME?</v>
      </c>
      <c r="J14" s="41">
        <v>11</v>
      </c>
      <c r="K14" s="14" t="e">
        <f ca="1"/>
        <v>#NAME?</v>
      </c>
      <c r="L14" s="15" t="e">
        <f ca="1"/>
        <v>#NAME?</v>
      </c>
      <c r="M14" s="33" t="e">
        <f ca="1">IF(ISNA(F14),NA(),_xll.mirGetTerm(F14,G14,IF(ISBLANK($C$5),"Act/360",$C$5),TRUE))</f>
        <v>#NAME?</v>
      </c>
      <c r="N14" s="2" t="s">
        <v>17</v>
      </c>
    </row>
    <row r="15" spans="2:14">
      <c r="B15" s="9" t="s">
        <v>5</v>
      </c>
      <c r="C15" s="29" t="s">
        <v>31</v>
      </c>
      <c r="D15" s="41">
        <v>12</v>
      </c>
      <c r="E15" s="14" t="e">
        <f ca="1"/>
        <v>#NAME?</v>
      </c>
      <c r="F15" s="15" t="e">
        <f ca="1"/>
        <v>#NAME?</v>
      </c>
      <c r="G15" s="15" t="e">
        <f ca="1"/>
        <v>#NAME?</v>
      </c>
      <c r="H15" s="37" t="e">
        <f ca="1"/>
        <v>#NAME?</v>
      </c>
      <c r="I15" s="16" t="e">
        <f ca="1"/>
        <v>#NAME?</v>
      </c>
      <c r="J15" s="41">
        <v>12</v>
      </c>
      <c r="K15" s="14" t="e">
        <f ca="1"/>
        <v>#NAME?</v>
      </c>
      <c r="L15" s="15" t="e">
        <f ca="1"/>
        <v>#NAME?</v>
      </c>
      <c r="M15" s="33" t="e">
        <f ca="1">IF(ISNA(F15),NA(),_xll.mirGetTerm(F15,G15,IF(ISBLANK($C$5),"Act/360",$C$5),TRUE))</f>
        <v>#NAME?</v>
      </c>
      <c r="N15" s="2" t="s">
        <v>17</v>
      </c>
    </row>
    <row r="16" spans="2:14">
      <c r="B16" s="9" t="s">
        <v>18</v>
      </c>
      <c r="C16" s="28" t="s">
        <v>20</v>
      </c>
      <c r="D16" s="41">
        <v>13</v>
      </c>
      <c r="E16" s="14" t="e">
        <f ca="1"/>
        <v>#NAME?</v>
      </c>
      <c r="F16" s="15" t="e">
        <f ca="1"/>
        <v>#NAME?</v>
      </c>
      <c r="G16" s="15" t="e">
        <f ca="1"/>
        <v>#NAME?</v>
      </c>
      <c r="H16" s="37" t="e">
        <f ca="1"/>
        <v>#NAME?</v>
      </c>
      <c r="I16" s="16" t="e">
        <f ca="1"/>
        <v>#NAME?</v>
      </c>
      <c r="J16" s="41">
        <v>13</v>
      </c>
      <c r="K16" s="14" t="e">
        <f ca="1"/>
        <v>#NAME?</v>
      </c>
      <c r="L16" s="15" t="e">
        <f ca="1"/>
        <v>#NAME?</v>
      </c>
      <c r="M16" s="33" t="e">
        <f ca="1">IF(ISNA(F16),NA(),_xll.mirGetTerm(F16,G16,IF(ISBLANK($C$5),"Act/360",$C$5),TRUE))</f>
        <v>#NAME?</v>
      </c>
      <c r="N16" s="2" t="s">
        <v>17</v>
      </c>
    </row>
    <row r="17" spans="2:14">
      <c r="B17" s="9" t="s">
        <v>8</v>
      </c>
      <c r="C17" s="7"/>
      <c r="D17" s="41">
        <v>14</v>
      </c>
      <c r="E17" s="14" t="e">
        <f ca="1"/>
        <v>#NAME?</v>
      </c>
      <c r="F17" s="15" t="e">
        <f ca="1"/>
        <v>#NAME?</v>
      </c>
      <c r="G17" s="15" t="e">
        <f ca="1"/>
        <v>#NAME?</v>
      </c>
      <c r="H17" s="37" t="e">
        <f ca="1"/>
        <v>#NAME?</v>
      </c>
      <c r="I17" s="16" t="e">
        <f ca="1"/>
        <v>#NAME?</v>
      </c>
      <c r="J17" s="41">
        <v>14</v>
      </c>
      <c r="K17" s="14" t="e">
        <f ca="1"/>
        <v>#NAME?</v>
      </c>
      <c r="L17" s="15" t="e">
        <f ca="1"/>
        <v>#NAME?</v>
      </c>
      <c r="M17" s="33" t="e">
        <f ca="1">IF(ISNA(F17),NA(),_xll.mirGetTerm(F17,G17,IF(ISBLANK($C$5),"Act/360",$C$5),TRUE))</f>
        <v>#NAME?</v>
      </c>
      <c r="N17" s="2" t="s">
        <v>17</v>
      </c>
    </row>
    <row r="18" spans="2:14">
      <c r="B18" s="9" t="s">
        <v>9</v>
      </c>
      <c r="C18" s="7"/>
      <c r="D18" s="41">
        <v>15</v>
      </c>
      <c r="E18" s="14" t="e">
        <f ca="1"/>
        <v>#NAME?</v>
      </c>
      <c r="F18" s="15" t="e">
        <f ca="1"/>
        <v>#NAME?</v>
      </c>
      <c r="G18" s="15" t="e">
        <f ca="1"/>
        <v>#NAME?</v>
      </c>
      <c r="H18" s="37" t="e">
        <f ca="1"/>
        <v>#NAME?</v>
      </c>
      <c r="I18" s="16" t="e">
        <f ca="1"/>
        <v>#NAME?</v>
      </c>
      <c r="J18" s="41">
        <v>15</v>
      </c>
      <c r="K18" s="14" t="e">
        <f ca="1"/>
        <v>#NAME?</v>
      </c>
      <c r="L18" s="15" t="e">
        <f ca="1"/>
        <v>#NAME?</v>
      </c>
      <c r="M18" s="33" t="e">
        <f ca="1">IF(ISNA(F18),NA(),_xll.mirGetTerm(F18,G18,IF(ISBLANK($C$5),"Act/360",$C$5),TRUE))</f>
        <v>#NAME?</v>
      </c>
      <c r="N18" s="2" t="s">
        <v>17</v>
      </c>
    </row>
    <row r="19" spans="2:14">
      <c r="B19" s="9" t="s">
        <v>24</v>
      </c>
      <c r="C19" s="6"/>
      <c r="D19" s="41">
        <v>16</v>
      </c>
      <c r="E19" s="14" t="e">
        <f ca="1"/>
        <v>#NAME?</v>
      </c>
      <c r="F19" s="15" t="e">
        <f ca="1"/>
        <v>#NAME?</v>
      </c>
      <c r="G19" s="15" t="e">
        <f ca="1"/>
        <v>#NAME?</v>
      </c>
      <c r="H19" s="37" t="e">
        <f ca="1"/>
        <v>#NAME?</v>
      </c>
      <c r="I19" s="16" t="e">
        <f ca="1"/>
        <v>#NAME?</v>
      </c>
      <c r="J19" s="41">
        <v>16</v>
      </c>
      <c r="K19" s="14" t="e">
        <f ca="1"/>
        <v>#NAME?</v>
      </c>
      <c r="L19" s="15" t="e">
        <f ca="1"/>
        <v>#NAME?</v>
      </c>
      <c r="M19" s="33" t="e">
        <f ca="1">IF(ISNA(F19),NA(),_xll.mirGetTerm(F19,G19,IF(ISBLANK($C$5),"Act/360",$C$5),TRUE))</f>
        <v>#NAME?</v>
      </c>
      <c r="N19" s="2" t="s">
        <v>17</v>
      </c>
    </row>
    <row r="20" spans="2:14">
      <c r="B20" s="9" t="s">
        <v>19</v>
      </c>
      <c r="C20" s="22" t="b">
        <v>1</v>
      </c>
      <c r="D20" s="41">
        <v>17</v>
      </c>
      <c r="E20" s="14" t="e">
        <f ca="1"/>
        <v>#NAME?</v>
      </c>
      <c r="F20" s="15" t="e">
        <f ca="1"/>
        <v>#NAME?</v>
      </c>
      <c r="G20" s="15" t="e">
        <f ca="1"/>
        <v>#NAME?</v>
      </c>
      <c r="H20" s="37" t="e">
        <f ca="1"/>
        <v>#NAME?</v>
      </c>
      <c r="I20" s="16" t="e">
        <f ca="1"/>
        <v>#NAME?</v>
      </c>
      <c r="J20" s="41">
        <v>17</v>
      </c>
      <c r="K20" s="14" t="e">
        <f ca="1"/>
        <v>#NAME?</v>
      </c>
      <c r="L20" s="15" t="e">
        <f ca="1"/>
        <v>#NAME?</v>
      </c>
      <c r="M20" s="33" t="e">
        <f ca="1">IF(ISNA(F20),NA(),_xll.mirGetTerm(F20,G20,IF(ISBLANK($C$5),"Act/360",$C$5),TRUE))</f>
        <v>#NAME?</v>
      </c>
      <c r="N20" s="2" t="s">
        <v>17</v>
      </c>
    </row>
    <row r="21" spans="2:14">
      <c r="B21" s="10"/>
      <c r="C21" s="24"/>
      <c r="D21" s="41">
        <v>18</v>
      </c>
      <c r="E21" s="17" t="e">
        <f ca="1"/>
        <v>#NAME?</v>
      </c>
      <c r="F21" s="18" t="e">
        <f ca="1"/>
        <v>#NAME?</v>
      </c>
      <c r="G21" s="18" t="e">
        <f ca="1"/>
        <v>#NAME?</v>
      </c>
      <c r="H21" s="39" t="e">
        <f ca="1"/>
        <v>#NAME?</v>
      </c>
      <c r="I21" s="40" t="e">
        <f ca="1"/>
        <v>#NAME?</v>
      </c>
      <c r="J21" s="41">
        <v>18</v>
      </c>
      <c r="K21" s="17" t="e">
        <f ca="1"/>
        <v>#NAME?</v>
      </c>
      <c r="L21" s="18" t="e">
        <f ca="1"/>
        <v>#NAME?</v>
      </c>
      <c r="M21" s="34" t="e">
        <f ca="1">IF(ISNA(F21),NA(),_xll.mirGetTerm(F21,G21,IF(ISBLANK($C$5),"Act/360",$C$5),TRUE))</f>
        <v>#NAME?</v>
      </c>
      <c r="N21" s="2" t="s">
        <v>17</v>
      </c>
    </row>
    <row r="22" spans="2:14">
      <c r="E22" s="25"/>
      <c r="M22" s="31"/>
    </row>
    <row r="23" spans="2:14">
      <c r="B23" s="43" t="s">
        <v>32</v>
      </c>
      <c r="C23" s="44" t="s">
        <v>33</v>
      </c>
      <c r="E23" s="4"/>
    </row>
    <row r="24" spans="2:14">
      <c r="B24" s="45" t="s">
        <v>0</v>
      </c>
      <c r="C24" s="42" t="e">
        <f ca="1">_xll.mirGetDate(C3,C23,C7,C8,C19)</f>
        <v>#NAME?</v>
      </c>
    </row>
  </sheetData>
  <dataValidations count="5">
    <dataValidation type="list" allowBlank="1" showInputMessage="1" showErrorMessage="1" sqref="C9 C6">
      <formula1>"Annual,Semi-Annual,Quarterly,Monthly,Weekly"</formula1>
    </dataValidation>
    <dataValidation type="list" allowBlank="1" showInputMessage="1" showErrorMessage="1" sqref="C7 C13 C10">
      <formula1>"FOLLOWING,MOD_FOLLOWING,PRECEDING,MOD_PRECEDING,NO_CHANGE"</formula1>
    </dataValidation>
    <dataValidation type="list" allowBlank="1" showInputMessage="1" showErrorMessage="1" sqref="C16">
      <formula1>"ADVANCE,ARREARS"</formula1>
    </dataValidation>
    <dataValidation type="list" allowBlank="1" showInputMessage="1" showErrorMessage="1" sqref="C20:C21">
      <formula1>"TRUE,FALSE"</formula1>
    </dataValidation>
    <dataValidation type="list" allowBlank="1" showInputMessage="1" showErrorMessage="1" sqref="C5">
      <formula1>"ACT/365,ACT/365_ISDA,ACT/360,30/360,30E/360,ACT/365FJ"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mirSwapSchedule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2015-05-19T16:24:55Z</dcterms:created>
  <dcterms:modified xsi:type="dcterms:W3CDTF">2016-10-18T09:01:46Z</dcterms:modified>
</cp:coreProperties>
</file>