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firstSheet="1"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functionGroups builtInGroupCount="17"/>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OnSave="0"/>
</workbook>
</file>

<file path=xl/calcChain.xml><?xml version="1.0" encoding="utf-8"?>
<calcChain xmlns="http://schemas.openxmlformats.org/spreadsheetml/2006/main">
  <c r="D17" i="104" l="1"/>
  <c r="C5" i="104"/>
  <c r="H17" i="104" l="1"/>
  <c r="M23" i="32"/>
  <c r="L29" i="32"/>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AP9" i="54"/>
  <c r="AP10" i="54"/>
  <c r="AP11" i="54"/>
  <c r="AP12" i="54"/>
  <c r="AP13" i="54"/>
  <c r="AP14" i="54"/>
  <c r="AP15" i="54"/>
  <c r="AP16" i="54"/>
  <c r="AP17" i="54"/>
  <c r="AP18" i="54"/>
  <c r="AP19" i="54"/>
  <c r="AP20" i="54"/>
  <c r="AP21" i="54"/>
  <c r="AP22" i="54"/>
  <c r="AP23"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C28" i="104"/>
  <c r="G5" i="107"/>
  <c r="C5" i="105"/>
  <c r="E6" i="32"/>
  <c r="Q15" i="32"/>
  <c r="G5" i="105"/>
  <c r="I15" i="32"/>
  <c r="E15" i="32"/>
  <c r="I33" i="32"/>
  <c r="M15" i="32"/>
  <c r="Q24" i="32"/>
  <c r="I24" i="32"/>
  <c r="Q6" i="32"/>
  <c r="G5" i="104"/>
  <c r="I6" i="32"/>
  <c r="C5" i="107"/>
  <c r="M6" i="32"/>
  <c r="C5" i="106"/>
  <c r="M33" i="32"/>
  <c r="M24" i="32"/>
  <c r="Q33" i="32"/>
  <c r="E33" i="32"/>
  <c r="G5" i="106"/>
  <c r="E24" i="32"/>
  <c r="C8" i="104" l="1"/>
  <c r="H15" i="107"/>
  <c r="G15" i="107"/>
  <c r="C15" i="107"/>
  <c r="D15" i="107"/>
  <c r="D15" i="106"/>
  <c r="C15" i="106"/>
  <c r="H15" i="106"/>
  <c r="G15" i="106"/>
  <c r="C15" i="105"/>
  <c r="D15" i="105"/>
  <c r="H15" i="105"/>
  <c r="G15" i="105"/>
  <c r="X24" i="32"/>
  <c r="V15" i="32"/>
  <c r="U24" i="32"/>
  <c r="W6" i="32"/>
  <c r="X33" i="32"/>
  <c r="V24" i="32"/>
  <c r="W15" i="32"/>
  <c r="V6" i="32"/>
  <c r="U33" i="32"/>
  <c r="W33" i="32"/>
  <c r="X6" i="32"/>
  <c r="U6" i="32"/>
  <c r="W24" i="32"/>
  <c r="U15" i="32"/>
  <c r="V33" i="32"/>
  <c r="X15" i="32"/>
  <c r="H15" i="104"/>
  <c r="G15" i="104"/>
  <c r="G28" i="107"/>
  <c r="D28" i="104"/>
  <c r="H28" i="104"/>
  <c r="G28" i="105"/>
  <c r="C28" i="107"/>
  <c r="G28" i="104"/>
  <c r="H28" i="107"/>
  <c r="C28" i="106"/>
  <c r="H28" i="105"/>
  <c r="C28" i="105"/>
  <c r="H28" i="106"/>
  <c r="G28" i="106"/>
  <c r="C8" i="105" l="1"/>
  <c r="C8" i="106"/>
  <c r="C8" i="107"/>
  <c r="AC24" i="32"/>
  <c r="AE33" i="32"/>
  <c r="AD6" i="32"/>
  <c r="AB24" i="32"/>
  <c r="AE15" i="32"/>
  <c r="AC6" i="32"/>
  <c r="AC33" i="32"/>
  <c r="AD15" i="32"/>
  <c r="AB15" i="32"/>
  <c r="AD24" i="32"/>
  <c r="AB6" i="32"/>
  <c r="AE6" i="32"/>
  <c r="AD33" i="32"/>
  <c r="AC15" i="32"/>
  <c r="AB33" i="32"/>
  <c r="AE24" i="32"/>
  <c r="E34" i="32"/>
  <c r="I34" i="32"/>
  <c r="M34" i="32"/>
  <c r="Q34" i="32"/>
  <c r="I7" i="32"/>
  <c r="Q25" i="32"/>
  <c r="E25" i="32"/>
  <c r="I25" i="32"/>
  <c r="Q7" i="32"/>
  <c r="I16" i="32"/>
  <c r="E16" i="32"/>
  <c r="M7" i="32"/>
  <c r="E7" i="32"/>
  <c r="Q16" i="32"/>
  <c r="M25" i="32"/>
  <c r="M16" i="32"/>
  <c r="D28" i="105"/>
  <c r="D28" i="107"/>
  <c r="D28" i="106"/>
  <c r="V34" i="32" l="1"/>
  <c r="W25" i="32"/>
  <c r="X25" i="32"/>
  <c r="U25" i="32"/>
  <c r="X7" i="32"/>
  <c r="W16" i="32"/>
  <c r="X34" i="32"/>
  <c r="W7" i="32"/>
  <c r="V7" i="32"/>
  <c r="U34" i="32"/>
  <c r="U7" i="32"/>
  <c r="V16" i="32"/>
  <c r="U16" i="32"/>
  <c r="X16" i="32"/>
  <c r="V25" i="32"/>
  <c r="W34" i="32"/>
  <c r="AC25" i="32" l="1"/>
  <c r="AE16" i="32"/>
  <c r="AD16" i="32"/>
  <c r="AE7" i="32"/>
  <c r="AC16" i="32"/>
  <c r="AB7" i="32"/>
  <c r="AE25" i="32"/>
  <c r="AB34" i="32"/>
  <c r="AD25" i="32"/>
  <c r="AC7" i="32"/>
  <c r="AC34" i="32"/>
  <c r="AD34" i="32"/>
  <c r="AD7" i="32"/>
  <c r="AE34" i="32"/>
  <c r="AB25" i="32"/>
  <c r="AB16" i="32"/>
  <c r="E35" i="32"/>
  <c r="M35" i="32"/>
  <c r="Q35" i="32"/>
  <c r="I35" i="32"/>
  <c r="I26" i="32"/>
  <c r="Q17" i="32"/>
  <c r="M17" i="32"/>
  <c r="E26" i="32"/>
  <c r="E8" i="32"/>
  <c r="I8" i="32"/>
  <c r="I17" i="32"/>
  <c r="E17" i="32"/>
  <c r="M8" i="32"/>
  <c r="Q26" i="32"/>
  <c r="M26" i="32"/>
  <c r="Q8" i="32"/>
  <c r="U17" i="32" l="1"/>
  <c r="W35" i="32"/>
  <c r="X8" i="32"/>
  <c r="U35" i="32"/>
  <c r="W17" i="32"/>
  <c r="X26" i="32"/>
  <c r="U26" i="32"/>
  <c r="V35" i="32"/>
  <c r="X35" i="32"/>
  <c r="V8" i="32"/>
  <c r="U8" i="32"/>
  <c r="X17" i="32"/>
  <c r="W8" i="32"/>
  <c r="V17" i="32"/>
  <c r="V26" i="32"/>
  <c r="W26" i="32"/>
  <c r="AD8" i="32" l="1"/>
  <c r="AB8" i="32"/>
  <c r="AE8" i="32"/>
  <c r="AD26" i="32"/>
  <c r="AC35" i="32"/>
  <c r="AC26" i="32"/>
  <c r="AB26" i="32"/>
  <c r="AE26" i="32"/>
  <c r="AE17" i="32"/>
  <c r="AC8" i="32"/>
  <c r="AD35" i="32"/>
  <c r="AC17" i="32"/>
  <c r="AD17" i="32"/>
  <c r="AB35" i="32"/>
  <c r="AE35" i="32"/>
  <c r="AB17" i="32"/>
  <c r="M36" i="32"/>
  <c r="I36" i="32"/>
  <c r="Q36" i="32"/>
  <c r="E36" i="32"/>
  <c r="I27" i="32"/>
  <c r="I18" i="32"/>
  <c r="Q18" i="32"/>
  <c r="M9" i="32"/>
  <c r="M18" i="32"/>
  <c r="E18" i="32"/>
  <c r="E27" i="32"/>
  <c r="E9" i="32"/>
  <c r="Q9" i="32"/>
  <c r="M27" i="32"/>
  <c r="Q27" i="32"/>
  <c r="I9" i="32"/>
  <c r="V18" i="32" l="1"/>
  <c r="W27" i="32"/>
  <c r="U18" i="32"/>
  <c r="X27" i="32"/>
  <c r="U27" i="32"/>
  <c r="X9" i="32"/>
  <c r="V27" i="32"/>
  <c r="X36" i="32"/>
  <c r="V9" i="32"/>
  <c r="V36" i="32"/>
  <c r="W9" i="32"/>
  <c r="W36" i="32"/>
  <c r="U36" i="32"/>
  <c r="U9" i="32"/>
  <c r="W18" i="32"/>
  <c r="X18" i="32"/>
  <c r="AD36" i="32" l="1"/>
  <c r="AC9" i="32"/>
  <c r="AC18" i="32"/>
  <c r="AE18" i="32"/>
  <c r="AE36" i="32"/>
  <c r="AD18" i="32"/>
  <c r="AC27" i="32"/>
  <c r="AB9" i="32"/>
  <c r="AE9" i="32"/>
  <c r="AB36" i="32"/>
  <c r="AB27" i="32"/>
  <c r="AE27" i="32"/>
  <c r="AD9" i="32"/>
  <c r="AB18" i="32"/>
  <c r="AC36" i="32"/>
  <c r="AD27" i="32"/>
  <c r="M19" i="32"/>
  <c r="Q28" i="32"/>
  <c r="Q19" i="32"/>
  <c r="Q10" i="32"/>
  <c r="I19" i="32"/>
  <c r="I10" i="32"/>
  <c r="M10" i="32"/>
  <c r="E10" i="32"/>
  <c r="E28" i="32"/>
  <c r="I28" i="32"/>
  <c r="M28" i="32"/>
  <c r="E19" i="32"/>
  <c r="W10" i="32" l="1"/>
  <c r="X10" i="32"/>
  <c r="X28" i="32"/>
  <c r="U10" i="32"/>
  <c r="X19" i="32"/>
  <c r="W28" i="32"/>
  <c r="U28" i="32"/>
  <c r="V28" i="32"/>
  <c r="V19" i="32"/>
  <c r="U19" i="32"/>
  <c r="AB19" i="32" s="1"/>
  <c r="W19" i="32"/>
  <c r="V10" i="32"/>
  <c r="AD19" i="32" l="1"/>
  <c r="AC19" i="32"/>
  <c r="AC28" i="32"/>
  <c r="AB28" i="32"/>
  <c r="AD28" i="32"/>
  <c r="AE19" i="32"/>
  <c r="AC10" i="32"/>
  <c r="AB10" i="32"/>
  <c r="AE28" i="32"/>
  <c r="AE10" i="32"/>
  <c r="AD10" i="32"/>
  <c r="M38" i="32"/>
  <c r="E38" i="32"/>
  <c r="Q38" i="32"/>
  <c r="I38" i="32"/>
  <c r="E29" i="32"/>
  <c r="M29" i="32"/>
  <c r="Q20" i="32"/>
  <c r="I29" i="32"/>
  <c r="I20" i="32"/>
  <c r="Q29" i="32"/>
  <c r="M20" i="32"/>
  <c r="E20" i="32"/>
  <c r="U29" i="32" l="1"/>
  <c r="AB29" i="32" s="1"/>
  <c r="X38" i="32"/>
  <c r="V38" i="32"/>
  <c r="V29" i="32"/>
  <c r="X20" i="32"/>
  <c r="V20" i="32"/>
  <c r="W38" i="32"/>
  <c r="X29" i="32"/>
  <c r="W29" i="32"/>
  <c r="U20" i="32"/>
  <c r="AB20" i="32" s="1"/>
  <c r="U38" i="32"/>
  <c r="AB38" i="32" s="1"/>
  <c r="W20" i="32"/>
  <c r="AD38" i="32" l="1"/>
  <c r="AC20" i="32"/>
  <c r="AE20" i="32"/>
  <c r="AC29" i="32"/>
  <c r="AC38" i="32"/>
  <c r="AE29" i="32"/>
  <c r="AD20" i="32"/>
  <c r="AE38" i="32"/>
  <c r="AD29" i="32"/>
  <c r="Q12" i="32"/>
  <c r="I39" i="32"/>
  <c r="Q21" i="32"/>
  <c r="M39" i="32"/>
  <c r="Q30" i="32"/>
  <c r="M12" i="32"/>
  <c r="I12" i="32"/>
  <c r="I30" i="32"/>
  <c r="M21" i="32"/>
  <c r="W21" i="32" l="1"/>
  <c r="AD21" i="32" s="1"/>
  <c r="W12" i="32"/>
  <c r="AD12" i="32" s="1"/>
  <c r="V30" i="32"/>
  <c r="AC30" i="32" s="1"/>
  <c r="X21" i="32"/>
  <c r="AE21" i="32" s="1"/>
  <c r="X30" i="32"/>
  <c r="AE30" i="32" s="1"/>
  <c r="V12" i="32"/>
  <c r="AC12" i="32" s="1"/>
  <c r="V39" i="32"/>
  <c r="AC39" i="32" s="1"/>
  <c r="X12" i="32"/>
  <c r="AE12" i="32" s="1"/>
  <c r="W39" i="32"/>
  <c r="AD39" i="32" s="1"/>
  <c r="AG6" i="32" l="1"/>
  <c r="AG24" i="32"/>
  <c r="AG33" i="32"/>
  <c r="AG15" i="32"/>
  <c r="AG3" i="32" l="1"/>
</calcChain>
</file>

<file path=xl/sharedStrings.xml><?xml version="1.0" encoding="utf-8"?>
<sst xmlns="http://schemas.openxmlformats.org/spreadsheetml/2006/main" count="5754" uniqueCount="460">
  <si>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</si>
  <si>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</si>
  <si>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</si>
  <si>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</si>
  <si>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</si>
  <si>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</si>
  <si>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</si>
  <si>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</si>
  <si>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</si>
  <si>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</si>
  <si>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</si>
  <si>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</si>
  <si>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</si>
  <si>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</si>
  <si>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</si>
  <si>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</si>
  <si>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</si>
  <si>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</si>
  <si>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</si>
  <si>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</si>
  <si>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</si>
  <si>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</si>
  <si>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</si>
  <si>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</si>
  <si>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</si>
  <si>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</si>
  <si>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</si>
  <si>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</si>
  <si>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</si>
  <si>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</si>
  <si>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</si>
  <si>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</si>
  <si>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</si>
  <si>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</si>
  <si>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</si>
  <si>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</si>
  <si>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</si>
  <si>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</si>
  <si>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</si>
  <si>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</si>
  <si>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</si>
  <si>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</si>
  <si>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</si>
  <si>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</si>
  <si>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</si>
  <si>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</si>
  <si>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</si>
  <si>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</si>
  <si>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</si>
  <si>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</si>
  <si>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</si>
  <si>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</si>
  <si>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</si>
  <si>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</si>
  <si>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</si>
  <si>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</si>
  <si>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</si>
  <si>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</si>
  <si>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</si>
  <si>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</si>
  <si>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</si>
  <si>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</si>
  <si>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</si>
  <si>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</si>
  <si>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</si>
  <si>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</si>
  <si>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</si>
  <si>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</si>
  <si>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</si>
  <si>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</si>
  <si>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</si>
  <si>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</si>
  <si>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</si>
  <si>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</si>
  <si>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</si>
  <si>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</si>
  <si>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</si>
  <si>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</si>
  <si>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</si>
  <si>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</si>
  <si>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</si>
  <si>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</si>
  <si>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</si>
  <si>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</si>
  <si>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</si>
  <si>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</si>
  <si>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</si>
  <si>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</si>
  <si>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</si>
  <si>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</si>
  <si>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</si>
  <si>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</si>
  <si>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</si>
  <si>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</si>
  <si>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</si>
  <si>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</si>
  <si>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</si>
  <si>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</si>
  <si>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</si>
  <si>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</si>
  <si>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</si>
  <si>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</si>
  <si>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</si>
  <si>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</si>
  <si>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</si>
  <si>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</si>
  <si>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</si>
  <si>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</si>
  <si>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</si>
  <si>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</si>
  <si>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</si>
  <si>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</si>
  <si>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</si>
  <si>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</si>
  <si>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</si>
  <si>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</si>
  <si>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</si>
  <si>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</si>
  <si>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</si>
  <si>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</si>
  <si>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</si>
  <si>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</si>
  <si>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</si>
  <si>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</si>
  <si>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</si>
  <si>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</si>
  <si>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</si>
  <si>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</si>
  <si>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</si>
  <si>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</si>
  <si>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</si>
  <si>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</si>
  <si>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</si>
  <si>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</si>
  <si>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</si>
  <si>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</si>
  <si>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</si>
  <si>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</si>
  <si>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</si>
  <si>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</si>
  <si>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</si>
  <si>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</si>
  <si>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</si>
  <si>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</si>
  <si>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</si>
  <si>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</si>
  <si>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</si>
  <si>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</si>
  <si>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</si>
  <si>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</si>
  <si>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</si>
  <si>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</si>
  <si>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</si>
  <si>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</si>
  <si>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</si>
  <si>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</si>
  <si>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</si>
  <si>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</si>
  <si>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</si>
  <si>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</si>
  <si>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</si>
  <si>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</si>
  <si>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</si>
  <si>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</si>
  <si>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</si>
  <si>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</si>
  <si>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</si>
  <si>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</si>
  <si>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</si>
  <si>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</si>
  <si>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</si>
  <si>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</si>
  <si>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</si>
  <si>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</si>
  <si>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</si>
  <si>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</si>
  <si>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</si>
  <si>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</si>
  <si>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</si>
  <si>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</si>
  <si>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</si>
  <si>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</si>
  <si>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</si>
  <si>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</si>
  <si>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</si>
  <si>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</si>
  <si>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</si>
  <si>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</si>
  <si>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</si>
  <si>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</si>
  <si>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</si>
  <si>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</si>
  <si>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</si>
  <si>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</si>
  <si>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</si>
  <si>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</si>
  <si>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</si>
  <si>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</si>
  <si>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</si>
  <si>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</si>
  <si>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</si>
  <si>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</si>
  <si>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</si>
  <si>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</si>
  <si>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</si>
  <si>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</si>
  <si>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</si>
  <si>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</si>
  <si>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</si>
  <si>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</si>
  <si>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</si>
  <si>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</si>
  <si>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</si>
  <si>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</si>
  <si>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</si>
  <si>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</si>
  <si>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</si>
  <si>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</si>
  <si>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</si>
  <si>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</si>
  <si>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</si>
  <si>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</si>
  <si>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</si>
  <si>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</si>
  <si>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</si>
  <si>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</si>
  <si>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</si>
  <si>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</si>
  <si>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</si>
  <si>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</si>
  <si>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</si>
  <si>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</si>
  <si>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</si>
  <si>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</si>
  <si>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</si>
  <si>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</si>
  <si>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</si>
  <si>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</si>
  <si>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</si>
  <si>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</si>
  <si>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</si>
  <si>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</si>
  <si>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</si>
  <si>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</si>
  <si>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</si>
  <si>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</si>
  <si>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</si>
  <si>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</si>
  <si>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</si>
  <si>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</si>
  <si>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</si>
  <si>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</si>
  <si>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</si>
  <si>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</si>
  <si>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</si>
  <si>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</si>
  <si>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</si>
  <si>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</si>
  <si>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</si>
  <si>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</si>
  <si>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</si>
  <si>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</si>
  <si>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</si>
  <si>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</si>
  <si>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</si>
  <si>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</si>
  <si>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</si>
  <si>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</si>
  <si>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</si>
  <si>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</si>
  <si>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</si>
  <si>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</si>
  <si>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</si>
  <si>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</si>
  <si>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</si>
  <si>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</si>
  <si>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</si>
  <si>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</si>
  <si>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</si>
  <si>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</si>
  <si>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</si>
  <si>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</si>
  <si>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</si>
  <si>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</si>
  <si>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</si>
  <si>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</si>
  <si>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</si>
  <si>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</si>
  <si>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</si>
  <si>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</si>
  <si>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</si>
  <si>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</si>
  <si>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</si>
  <si>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</si>
  <si>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</si>
  <si>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</si>
  <si>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</si>
  <si>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</si>
  <si>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</si>
  <si>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</si>
  <si>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</si>
  <si>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</si>
  <si>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</si>
  <si>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</si>
  <si>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</si>
  <si>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</si>
  <si>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</si>
  <si>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</si>
  <si>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</si>
  <si>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</si>
  <si>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</si>
  <si>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</si>
  <si>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</si>
  <si>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</si>
  <si>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</si>
  <si>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</si>
  <si>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</si>
  <si>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</si>
  <si>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</si>
  <si>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</si>
  <si>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</si>
  <si>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</si>
  <si>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</si>
  <si>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</si>
  <si>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</si>
  <si>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</si>
  <si>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</si>
  <si>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</si>
  <si>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</si>
  <si>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</si>
  <si>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</si>
  <si>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</si>
  <si>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</si>
  <si>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</si>
  <si>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</si>
  <si>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</si>
  <si>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</si>
  <si>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</si>
  <si>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</si>
  <si>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</si>
  <si>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</si>
  <si>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</si>
  <si>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</si>
  <si>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</si>
  <si>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</si>
  <si>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</si>
  <si>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</si>
  <si>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</si>
  <si>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</si>
  <si>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</si>
  <si>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</si>
  <si>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</si>
  <si>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</si>
  <si>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</si>
  <si>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</si>
  <si>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</si>
  <si>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</si>
  <si>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</si>
  <si>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</si>
  <si>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</si>
  <si>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</si>
  <si>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</si>
  <si>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</si>
  <si>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</si>
  <si>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</si>
  <si>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</si>
  <si>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</si>
  <si>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</si>
  <si>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</si>
  <si>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</si>
  <si>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</si>
  <si>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</si>
  <si>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</si>
  <si>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</si>
  <si>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</si>
  <si>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</si>
  <si>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</si>
  <si>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</si>
  <si>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</si>
  <si>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</si>
  <si>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</si>
  <si>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</si>
  <si>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</si>
  <si>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</si>
  <si>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</si>
  <si>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</si>
  <si>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</si>
  <si>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</si>
  <si>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</si>
  <si>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</si>
  <si>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</si>
  <si>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</si>
  <si>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</si>
  <si>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</si>
  <si>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</si>
  <si>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</si>
  <si>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</si>
  <si>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</si>
  <si>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</si>
  <si>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</si>
  <si>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</si>
  <si>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</si>
  <si>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</si>
  <si>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</si>
  <si>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</si>
  <si>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</si>
  <si>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</si>
  <si>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</si>
  <si>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Act/365_isda</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</si>
  <si>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</si>
  <si>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</si>
  <si>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</si>
  <si>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</si>
  <si>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</si>
  <si>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</si>
  <si>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</si>
  <si>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</si>
  <si>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</si>
  <si>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</si>
  <si>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</si>
  <si>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</si>
  <si>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</si>
  <si>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</si>
  <si>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</si>
  <si>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</si>
  <si>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</si>
  <si>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</si>
  <si>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</si>
  <si>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</si>
  <si>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</si>
  <si>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</si>
  <si>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</si>
  <si>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</si>
  <si>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</si>
  <si>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</si>
  <si>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</si>
  <si>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</si>
  <si>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</si>
  <si>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</si>
  <si>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</si>
  <si>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</si>
  <si>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</si>
  <si>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</si>
  <si>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</si>
  <si>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</si>
  <si>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</si>
  <si>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</si>
  <si>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</si>
  <si>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</si>
  <si>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</si>
  <si>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</si>
  <si>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EUR Swap</t>
  </si>
  <si>
    <t>MaturityOrTenor</t>
  </si>
  <si>
    <t>Yield Curve ID</t>
  </si>
  <si>
    <t>mirSwapPV</t>
  </si>
  <si>
    <t>mirGetParRate4</t>
  </si>
  <si>
    <t>2D</t>
  </si>
  <si>
    <t>USD Swap</t>
  </si>
  <si>
    <t>GBP Swap</t>
  </si>
  <si>
    <t>JPY Swap</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</si>
</sst>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s>
  <fonts count="46">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5"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9">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6"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172" fontId="45" fillId="0" borderId="33" xfId="0" applyNumberFormat="1" applyFont="1" applyBorder="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0" fillId="33" borderId="4" xfId="0" applyNumberFormat="1" applyFill="1" applyBorder="1" applyAlignment="1">
      <alignment horizontal="center" vertical="center"/>
    </xf>
    <xf numFmtId="4" fontId="8" fillId="33" borderId="4" xfId="0" applyNumberFormat="1" applyFont="1" applyFill="1" applyBorder="1" applyAlignment="1">
      <alignment horizontal="center" vertical="center"/>
    </xf>
    <xf numFmtId="172" fontId="0" fillId="33" borderId="4" xfId="0" applyNumberForma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7" fontId="8" fillId="33" borderId="4" xfId="0" applyNumberFormat="1" applyFont="1" applyFill="1" applyBorder="1" applyAlignment="1">
      <alignment horizontal="center" vertical="center"/>
    </xf>
    <xf numFmtId="177" fontId="8" fillId="33" borderId="5" xfId="0" applyNumberFormat="1" applyFont="1" applyFill="1" applyBorder="1" applyAlignment="1">
      <alignment horizontal="center" vertical="center"/>
    </xf>
    <xf numFmtId="3" fontId="8" fillId="33" borderId="3" xfId="0" applyNumberFormat="1" applyFont="1" applyFill="1" applyBorder="1" applyAlignment="1">
      <alignment horizontal="center"/>
    </xf>
    <xf numFmtId="0" fontId="8" fillId="33" borderId="4" xfId="0" applyFont="1" applyFill="1" applyBorder="1" applyAlignment="1">
      <alignment horizontal="center"/>
    </xf>
    <xf numFmtId="0" fontId="0" fillId="33" borderId="4" xfId="0" quotePrefix="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0" fontId="0" fillId="0" borderId="0" xfId="0" applyAlignment="1">
      <alignment horizontal="right" vertical="center"/>
    </xf>
    <xf numFmtId="172" fontId="0" fillId="0" borderId="0" xfId="0" applyNumberFormat="1"/>
    <xf numFmtId="11" fontId="0" fillId="0" borderId="0" xfId="0" applyNumberFormat="1"/>
    <xf numFmtId="177" fontId="8" fillId="33" borderId="4" xfId="0" quotePrefix="1" applyNumberFormat="1" applyFont="1" applyFill="1" applyBorder="1" applyAlignment="1">
      <alignment horizontal="center" vertical="center"/>
    </xf>
    <xf numFmtId="0" fontId="34" fillId="0" borderId="0" xfId="0" applyFont="1"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34" fillId="0" borderId="0" xfId="0" applyFont="1" applyAlignment="1">
      <alignment horizontal="center"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423</v>
      </c>
      <c r="C2" s="218">
        <v>42200</v>
      </c>
    </row>
    <row r="3" spans="2:3" ht="15" customHeight="1"/>
    <row r="4" spans="2:3" ht="15" customHeight="1"/>
    <row r="5" spans="2:3" ht="15" customHeight="1"/>
    <row r="6" spans="2:3" ht="15" customHeight="1"/>
    <row r="9" spans="2:3">
      <c r="B9" s="23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topLeftCell="AG1" workbookViewId="0">
      <selection activeCell="AO9" sqref="AO9"/>
    </sheetView>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218">
        <v>42198</v>
      </c>
      <c r="J8" s="72" t="s">
        <v>174</v>
      </c>
      <c r="K8" s="34" t="s">
        <v>0</v>
      </c>
      <c r="M8" s="74" t="s">
        <v>76</v>
      </c>
      <c r="N8" s="75" t="s">
        <v>75</v>
      </c>
      <c r="O8" s="75" t="s">
        <v>139</v>
      </c>
      <c r="P8" s="75" t="s">
        <v>138</v>
      </c>
      <c r="Q8" s="76" t="s">
        <v>173</v>
      </c>
      <c r="S8" s="67" t="s">
        <v>172</v>
      </c>
      <c r="T8" s="68" t="s">
        <v>75</v>
      </c>
      <c r="V8" s="55" t="s">
        <v>170</v>
      </c>
      <c r="W8" s="218">
        <v>42198</v>
      </c>
      <c r="Y8" s="55" t="s">
        <v>117</v>
      </c>
      <c r="Z8" s="34" t="s">
        <v>0</v>
      </c>
      <c r="AB8" s="12" t="s">
        <v>117</v>
      </c>
      <c r="AC8" s="34" t="s">
        <v>0</v>
      </c>
      <c r="AE8" s="66"/>
      <c r="AF8" s="38"/>
      <c r="AG8" s="21"/>
      <c r="AH8" s="21"/>
      <c r="AI8" s="22"/>
      <c r="AK8" s="55" t="s">
        <v>117</v>
      </c>
      <c r="AL8" s="125" t="s">
        <v>0</v>
      </c>
      <c r="AN8" s="70" t="s">
        <v>76</v>
      </c>
      <c r="AO8" s="80" t="s">
        <v>75</v>
      </c>
      <c r="AP8" s="81" t="s">
        <v>175</v>
      </c>
      <c r="AQ8" s="6"/>
      <c r="AR8" s="55" t="s">
        <v>170</v>
      </c>
      <c r="AS8" s="218">
        <v>42198</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218">
        <v>42198</v>
      </c>
      <c r="BP8" s="77" t="s">
        <v>171</v>
      </c>
      <c r="BQ8" s="101" t="s">
        <v>167</v>
      </c>
      <c r="BS8" s="77" t="s">
        <v>171</v>
      </c>
      <c r="BT8" s="101" t="s">
        <v>167</v>
      </c>
      <c r="BV8" s="77" t="s">
        <v>171</v>
      </c>
      <c r="BW8" s="101" t="s">
        <v>167</v>
      </c>
      <c r="BY8" s="77" t="s">
        <v>171</v>
      </c>
      <c r="BZ8" s="101" t="s">
        <v>167</v>
      </c>
      <c r="CB8" s="74" t="s">
        <v>76</v>
      </c>
      <c r="CC8" s="76" t="s">
        <v>75</v>
      </c>
      <c r="CE8" s="55" t="s">
        <v>170</v>
      </c>
      <c r="CF8" s="218">
        <v>42198</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-1.1999999999999999E-3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1.33E-3</v>
      </c>
      <c r="AP9" s="83" t="b">
        <v>1</v>
      </c>
      <c r="AQ9" s="6"/>
      <c r="AR9" s="56" t="s">
        <v>162</v>
      </c>
      <c r="AS9" s="86" t="s">
        <v>2</v>
      </c>
      <c r="AU9" s="78" t="s">
        <v>169</v>
      </c>
      <c r="AV9" s="102" t="b">
        <v>0</v>
      </c>
      <c r="AX9" s="87" t="s">
        <v>160</v>
      </c>
      <c r="AY9" s="103">
        <v>7.2000000000000005E-4</v>
      </c>
      <c r="BA9" s="78" t="s">
        <v>169</v>
      </c>
      <c r="BB9" s="102" t="b">
        <v>0</v>
      </c>
      <c r="BD9" s="87" t="s">
        <v>160</v>
      </c>
      <c r="BE9" s="103">
        <v>7.2000000000000005E-4</v>
      </c>
      <c r="BG9" s="78" t="s">
        <v>169</v>
      </c>
      <c r="BH9" s="102" t="b">
        <v>0</v>
      </c>
      <c r="BJ9" s="87" t="s">
        <v>160</v>
      </c>
      <c r="BK9" s="103">
        <v>1.0349999999999999E-3</v>
      </c>
      <c r="BM9" s="56" t="s">
        <v>162</v>
      </c>
      <c r="BN9" s="86" t="s">
        <v>2</v>
      </c>
      <c r="BP9" s="78" t="s">
        <v>255</v>
      </c>
      <c r="BQ9" s="102" t="s">
        <v>29</v>
      </c>
      <c r="BS9" s="78" t="s">
        <v>255</v>
      </c>
      <c r="BT9" s="102" t="s">
        <v>29</v>
      </c>
      <c r="BV9" s="78" t="s">
        <v>255</v>
      </c>
      <c r="BW9" s="102" t="s">
        <v>29</v>
      </c>
      <c r="BY9" s="78" t="s">
        <v>255</v>
      </c>
      <c r="BZ9" s="102" t="s">
        <v>29</v>
      </c>
      <c r="CB9" s="87" t="s">
        <v>160</v>
      </c>
      <c r="CC9" s="103">
        <v>-2.3249999999999998E-3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-1.23E-3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2.4399999999999999E-3</v>
      </c>
      <c r="AP10" s="83" t="b">
        <v>1</v>
      </c>
      <c r="AQ10" s="6"/>
      <c r="AR10" s="56" t="s">
        <v>143</v>
      </c>
      <c r="AS10" s="86" t="s">
        <v>29</v>
      </c>
      <c r="AU10" s="56" t="s">
        <v>161</v>
      </c>
      <c r="AV10" s="17" t="s">
        <v>261</v>
      </c>
      <c r="AX10" s="87" t="s">
        <v>42</v>
      </c>
      <c r="AY10" s="103">
        <v>8.6249999999999999E-4</v>
      </c>
      <c r="BA10" s="56" t="s">
        <v>161</v>
      </c>
      <c r="BB10" s="17" t="s">
        <v>261</v>
      </c>
      <c r="BD10" s="87" t="s">
        <v>42</v>
      </c>
      <c r="BE10" s="103">
        <v>8.275E-4</v>
      </c>
      <c r="BG10" s="56" t="s">
        <v>161</v>
      </c>
      <c r="BH10" s="17" t="s">
        <v>261</v>
      </c>
      <c r="BJ10" s="87" t="s">
        <v>42</v>
      </c>
      <c r="BK10" s="103">
        <v>1.0150000000000001E-3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-1.245E-3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3.9199999999999999E-3</v>
      </c>
      <c r="AP11" s="83" t="b">
        <v>1</v>
      </c>
      <c r="AQ11" s="6"/>
      <c r="AR11" s="56" t="s">
        <v>136</v>
      </c>
      <c r="AS11" s="86" t="s">
        <v>135</v>
      </c>
      <c r="AU11" s="56" t="s">
        <v>154</v>
      </c>
      <c r="AV11" s="17" t="s">
        <v>55</v>
      </c>
      <c r="AX11" s="87" t="s">
        <v>39</v>
      </c>
      <c r="AY11" s="103">
        <v>9.1E-4</v>
      </c>
      <c r="BA11" s="56" t="s">
        <v>154</v>
      </c>
      <c r="BB11" s="17" t="s">
        <v>55</v>
      </c>
      <c r="BD11" s="87" t="s">
        <v>39</v>
      </c>
      <c r="BE11" s="103">
        <v>9.2750000000000005E-4</v>
      </c>
      <c r="BG11" s="56" t="s">
        <v>154</v>
      </c>
      <c r="BH11" s="17" t="s">
        <v>55</v>
      </c>
      <c r="BJ11" s="87" t="s">
        <v>39</v>
      </c>
      <c r="BK11" s="103">
        <v>1.0349999999999999E-3</v>
      </c>
      <c r="BM11" s="56" t="s">
        <v>136</v>
      </c>
      <c r="BN11" s="86" t="s">
        <v>135</v>
      </c>
      <c r="BP11" s="56" t="s">
        <v>218</v>
      </c>
      <c r="BQ11" s="86" t="s">
        <v>262</v>
      </c>
      <c r="BS11" s="56" t="s">
        <v>218</v>
      </c>
      <c r="BT11" s="86" t="s">
        <v>262</v>
      </c>
      <c r="BV11" s="56" t="s">
        <v>218</v>
      </c>
      <c r="BW11" s="86" t="s">
        <v>262</v>
      </c>
      <c r="BY11" s="56" t="s">
        <v>218</v>
      </c>
      <c r="BZ11" s="86" t="s">
        <v>262</v>
      </c>
      <c r="CB11" s="87" t="s">
        <v>39</v>
      </c>
      <c r="CC11" s="103">
        <v>-2.6749999999999999E-3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-1.2099999999999999E-3</v>
      </c>
      <c r="O12" s="89"/>
      <c r="P12" s="89"/>
      <c r="Q12" s="90" t="b">
        <v>1</v>
      </c>
      <c r="S12" s="97"/>
      <c r="T12" s="98"/>
      <c r="V12" s="56" t="s">
        <v>130</v>
      </c>
      <c r="W12" s="86" t="s">
        <v>408</v>
      </c>
      <c r="Y12" s="62"/>
      <c r="Z12" s="18"/>
      <c r="AB12" s="63" t="s">
        <v>123</v>
      </c>
      <c r="AC12" s="18" t="b">
        <v>1</v>
      </c>
      <c r="AE12" s="14" t="s">
        <v>88</v>
      </c>
      <c r="AF12" s="147" t="s">
        <v>88</v>
      </c>
      <c r="AG12" s="27"/>
      <c r="AH12" s="27"/>
      <c r="AI12" s="28"/>
      <c r="AK12" s="56" t="s">
        <v>1</v>
      </c>
      <c r="AL12" s="86" t="s">
        <v>152</v>
      </c>
      <c r="AN12" s="71" t="s">
        <v>33</v>
      </c>
      <c r="AO12" s="82">
        <v>5.6110000000000005E-3</v>
      </c>
      <c r="AP12" s="83" t="b">
        <v>1</v>
      </c>
      <c r="AQ12" s="6"/>
      <c r="AR12" s="56" t="s">
        <v>130</v>
      </c>
      <c r="AS12" s="86" t="s">
        <v>129</v>
      </c>
      <c r="AU12" s="56" t="s">
        <v>151</v>
      </c>
      <c r="AV12" s="17" t="s">
        <v>78</v>
      </c>
      <c r="AX12" s="87" t="s">
        <v>35</v>
      </c>
      <c r="AY12" s="103">
        <v>9.4250000000000009E-4</v>
      </c>
      <c r="BA12" s="56" t="s">
        <v>151</v>
      </c>
      <c r="BB12" s="17" t="s">
        <v>77</v>
      </c>
      <c r="BD12" s="87" t="s">
        <v>35</v>
      </c>
      <c r="BE12" s="103">
        <v>9.7499999999999996E-4</v>
      </c>
      <c r="BG12" s="56" t="s">
        <v>151</v>
      </c>
      <c r="BH12" s="17" t="s">
        <v>152</v>
      </c>
      <c r="BJ12" s="87" t="s">
        <v>35</v>
      </c>
      <c r="BK12" s="103">
        <v>1.2199999999999999E-3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-2.7374999999999999E-3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-1.25E-3</v>
      </c>
      <c r="O13" s="89"/>
      <c r="P13" s="89"/>
      <c r="Q13" s="90" t="b">
        <v>1</v>
      </c>
      <c r="S13" s="97"/>
      <c r="T13" s="98"/>
      <c r="V13" s="56" t="s">
        <v>122</v>
      </c>
      <c r="W13" s="86" t="s">
        <v>121</v>
      </c>
      <c r="Y13" s="6"/>
      <c r="Z13" s="4"/>
      <c r="AA13" s="6"/>
      <c r="AB13" s="8"/>
      <c r="AC13" s="4"/>
      <c r="AE13" s="4"/>
      <c r="AF13" s="4"/>
      <c r="AK13" s="56" t="s">
        <v>144</v>
      </c>
      <c r="AL13" s="86" t="s">
        <v>78</v>
      </c>
      <c r="AN13" s="71" t="s">
        <v>131</v>
      </c>
      <c r="AO13" s="82">
        <v>7.3000000000000001E-3</v>
      </c>
      <c r="AP13" s="83" t="b">
        <v>1</v>
      </c>
      <c r="AQ13" s="6"/>
      <c r="AR13" s="56" t="s">
        <v>122</v>
      </c>
      <c r="AS13" s="86" t="s">
        <v>121</v>
      </c>
      <c r="AU13" s="56" t="s">
        <v>148</v>
      </c>
      <c r="AV13" s="17" t="s">
        <v>40</v>
      </c>
      <c r="AX13" s="87" t="s">
        <v>33</v>
      </c>
      <c r="AY13" s="103">
        <v>9.3499999999999996E-4</v>
      </c>
      <c r="BA13" s="56" t="s">
        <v>148</v>
      </c>
      <c r="BB13" s="17" t="s">
        <v>40</v>
      </c>
      <c r="BD13" s="87" t="s">
        <v>33</v>
      </c>
      <c r="BE13" s="103">
        <v>1.0025000000000001E-3</v>
      </c>
      <c r="BG13" s="56" t="s">
        <v>148</v>
      </c>
      <c r="BH13" s="17" t="s">
        <v>40</v>
      </c>
      <c r="BJ13" s="87" t="s">
        <v>33</v>
      </c>
      <c r="BK13" s="103">
        <v>1.2199999999999999E-3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-2.7750000000000001E-3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-1.2600000000000001E-3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8.9020000000000002E-3</v>
      </c>
      <c r="AP14" s="83" t="b">
        <v>1</v>
      </c>
      <c r="AQ14" s="6"/>
      <c r="AR14" s="56" t="s">
        <v>140</v>
      </c>
      <c r="AS14" s="86" t="s">
        <v>29</v>
      </c>
      <c r="AU14" s="56" t="s">
        <v>141</v>
      </c>
      <c r="AV14" s="17" t="s">
        <v>43</v>
      </c>
      <c r="AX14" s="87" t="s">
        <v>131</v>
      </c>
      <c r="AY14" s="103">
        <v>9.3749999999999997E-4</v>
      </c>
      <c r="BA14" s="56" t="s">
        <v>141</v>
      </c>
      <c r="BB14" s="17" t="s">
        <v>43</v>
      </c>
      <c r="BD14" s="87" t="s">
        <v>131</v>
      </c>
      <c r="BE14" s="103">
        <v>1.0025000000000001E-3</v>
      </c>
      <c r="BG14" s="56" t="s">
        <v>141</v>
      </c>
      <c r="BH14" s="17" t="s">
        <v>43</v>
      </c>
      <c r="BJ14" s="87" t="s">
        <v>131</v>
      </c>
      <c r="BK14" s="103">
        <v>1.2099999999999999E-3</v>
      </c>
      <c r="BM14" s="56" t="s">
        <v>140</v>
      </c>
      <c r="BN14" s="86" t="s">
        <v>29</v>
      </c>
      <c r="BP14" s="56" t="s">
        <v>228</v>
      </c>
      <c r="BQ14" s="86" t="s">
        <v>40</v>
      </c>
      <c r="BS14" s="56" t="s">
        <v>228</v>
      </c>
      <c r="BT14" s="86" t="s">
        <v>40</v>
      </c>
      <c r="BV14" s="56" t="s">
        <v>228</v>
      </c>
      <c r="BW14" s="86" t="s">
        <v>40</v>
      </c>
      <c r="BY14" s="56" t="s">
        <v>228</v>
      </c>
      <c r="BZ14" s="86" t="s">
        <v>40</v>
      </c>
      <c r="CB14" s="87" t="s">
        <v>131</v>
      </c>
      <c r="CC14" s="103">
        <v>-2.7687499999999999E-3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-1.2920000000000002E-3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1.038E-2</v>
      </c>
      <c r="AP15" s="83" t="b">
        <v>1</v>
      </c>
      <c r="AQ15" s="6"/>
      <c r="AR15" s="56" t="s">
        <v>157</v>
      </c>
      <c r="AS15" s="86" t="s">
        <v>29</v>
      </c>
      <c r="AU15" s="56" t="s">
        <v>132</v>
      </c>
      <c r="AV15" s="31" t="s">
        <v>201</v>
      </c>
      <c r="AX15" s="87" t="s">
        <v>31</v>
      </c>
      <c r="AY15" s="103">
        <v>9.2249999999999993E-4</v>
      </c>
      <c r="BA15" s="56" t="s">
        <v>132</v>
      </c>
      <c r="BB15" s="31" t="s">
        <v>201</v>
      </c>
      <c r="BD15" s="87" t="s">
        <v>31</v>
      </c>
      <c r="BE15" s="103">
        <v>1.0025000000000001E-3</v>
      </c>
      <c r="BG15" s="56" t="s">
        <v>132</v>
      </c>
      <c r="BH15" s="31" t="s">
        <v>201</v>
      </c>
      <c r="BJ15" s="87" t="s">
        <v>31</v>
      </c>
      <c r="BK15" s="103">
        <v>1.1999999999999999E-3</v>
      </c>
      <c r="BM15" s="56" t="s">
        <v>157</v>
      </c>
      <c r="BN15" s="86" t="s">
        <v>29</v>
      </c>
      <c r="BP15" s="56" t="s">
        <v>231</v>
      </c>
      <c r="BQ15" s="86" t="s">
        <v>133</v>
      </c>
      <c r="BS15" s="56" t="s">
        <v>231</v>
      </c>
      <c r="BT15" s="86" t="s">
        <v>133</v>
      </c>
      <c r="BV15" s="56" t="s">
        <v>231</v>
      </c>
      <c r="BW15" s="86" t="s">
        <v>133</v>
      </c>
      <c r="BY15" s="56" t="s">
        <v>231</v>
      </c>
      <c r="BZ15" s="86" t="s">
        <v>133</v>
      </c>
      <c r="CB15" s="87" t="s">
        <v>31</v>
      </c>
      <c r="CC15" s="103">
        <v>-2.7625000000000002E-3</v>
      </c>
      <c r="CE15" s="56" t="s">
        <v>157</v>
      </c>
      <c r="CF15" s="86" t="s">
        <v>29</v>
      </c>
      <c r="CH15" s="56"/>
      <c r="CI15" s="86"/>
      <c r="CK15" s="150"/>
      <c r="CL15" s="151"/>
      <c r="CN15" s="56"/>
      <c r="CO15" s="86"/>
    </row>
    <row r="16" spans="2:93">
      <c r="F16" t="s">
        <v>12</v>
      </c>
      <c r="G16" s="56" t="s">
        <v>122</v>
      </c>
      <c r="H16" s="86" t="s">
        <v>121</v>
      </c>
      <c r="J16" s="73"/>
      <c r="K16" s="17"/>
      <c r="M16" s="87" t="s">
        <v>70</v>
      </c>
      <c r="N16" s="88">
        <v>-1.305E-3</v>
      </c>
      <c r="O16" s="89"/>
      <c r="P16" s="89"/>
      <c r="Q16" s="90" t="b">
        <v>1</v>
      </c>
      <c r="S16" s="97"/>
      <c r="T16" s="98"/>
      <c r="V16" s="56" t="s">
        <v>230</v>
      </c>
      <c r="W16" s="86" t="b">
        <v>1</v>
      </c>
      <c r="Y16" s="13" t="s">
        <v>124</v>
      </c>
      <c r="Z16" s="17" t="s">
        <v>3</v>
      </c>
      <c r="AB16" s="54"/>
      <c r="AC16" s="36"/>
      <c r="AE16" s="42"/>
      <c r="AF16" s="43"/>
      <c r="AG16" s="43"/>
      <c r="AH16" s="44"/>
      <c r="AI16" s="184" t="s">
        <v>88</v>
      </c>
      <c r="AK16" s="56" t="s">
        <v>123</v>
      </c>
      <c r="AL16" s="86" t="b">
        <v>1</v>
      </c>
      <c r="AN16" s="71" t="s">
        <v>113</v>
      </c>
      <c r="AO16" s="82">
        <v>1.171E-2</v>
      </c>
      <c r="AP16" s="83" t="b">
        <v>1</v>
      </c>
      <c r="AQ16" s="6"/>
      <c r="AR16" s="56" t="s">
        <v>230</v>
      </c>
      <c r="AS16" s="86" t="b">
        <v>0</v>
      </c>
      <c r="AU16" s="56" t="s">
        <v>126</v>
      </c>
      <c r="AV16" s="31" t="s">
        <v>63</v>
      </c>
      <c r="AX16" s="87" t="s">
        <v>119</v>
      </c>
      <c r="AY16" s="103">
        <v>9.0249999999999998E-4</v>
      </c>
      <c r="BA16" s="56" t="s">
        <v>126</v>
      </c>
      <c r="BB16" s="109" t="s">
        <v>364</v>
      </c>
      <c r="BD16" s="87" t="s">
        <v>119</v>
      </c>
      <c r="BE16" s="103">
        <v>1.0025000000000001E-3</v>
      </c>
      <c r="BG16" s="56" t="s">
        <v>126</v>
      </c>
      <c r="BH16" s="31" t="s">
        <v>63</v>
      </c>
      <c r="BJ16" s="87" t="s">
        <v>119</v>
      </c>
      <c r="BK16" s="103">
        <v>1.1800000000000001E-3</v>
      </c>
      <c r="BM16" s="56" t="s">
        <v>230</v>
      </c>
      <c r="BN16" s="86" t="b">
        <v>0</v>
      </c>
      <c r="BP16" s="56" t="s">
        <v>216</v>
      </c>
      <c r="BQ16" s="31" t="s">
        <v>201</v>
      </c>
      <c r="BS16" s="56" t="s">
        <v>216</v>
      </c>
      <c r="BT16" s="31" t="s">
        <v>201</v>
      </c>
      <c r="BV16" s="56" t="s">
        <v>216</v>
      </c>
      <c r="BW16" s="31" t="s">
        <v>201</v>
      </c>
      <c r="BY16" s="56" t="s">
        <v>216</v>
      </c>
      <c r="BZ16" s="31" t="s">
        <v>201</v>
      </c>
      <c r="CB16" s="87" t="s">
        <v>119</v>
      </c>
      <c r="CC16" s="103">
        <v>-2.7000000000000001E-3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1.2851999999999999E-2</v>
      </c>
      <c r="AP17" s="83" t="b">
        <v>1</v>
      </c>
      <c r="AQ17" s="6"/>
      <c r="AR17" s="56" t="s">
        <v>232</v>
      </c>
      <c r="AS17" s="86" t="b">
        <v>0</v>
      </c>
      <c r="AU17" s="56" t="s">
        <v>120</v>
      </c>
      <c r="AV17" s="109" t="s">
        <v>23</v>
      </c>
      <c r="AX17" s="87" t="s">
        <v>113</v>
      </c>
      <c r="AY17" s="103">
        <v>8.7750000000000002E-4</v>
      </c>
      <c r="BA17" s="56" t="s">
        <v>120</v>
      </c>
      <c r="BB17" s="109" t="s">
        <v>53</v>
      </c>
      <c r="BD17" s="87" t="s">
        <v>113</v>
      </c>
      <c r="BE17" s="103">
        <v>9.9250000000000011E-4</v>
      </c>
      <c r="BG17" s="56" t="s">
        <v>120</v>
      </c>
      <c r="BH17" s="109" t="s">
        <v>265</v>
      </c>
      <c r="BJ17" s="87" t="s">
        <v>113</v>
      </c>
      <c r="BK17" s="103">
        <v>1.16E-3</v>
      </c>
      <c r="BM17" s="56" t="s">
        <v>232</v>
      </c>
      <c r="BN17" s="86" t="b">
        <v>0</v>
      </c>
      <c r="BP17" s="56" t="s">
        <v>220</v>
      </c>
      <c r="BQ17" s="31" t="s">
        <v>381</v>
      </c>
      <c r="BS17" s="56" t="s">
        <v>220</v>
      </c>
      <c r="BT17" s="31" t="s">
        <v>381</v>
      </c>
      <c r="BV17" s="56" t="s">
        <v>220</v>
      </c>
      <c r="BW17" s="31" t="s">
        <v>381</v>
      </c>
      <c r="BY17" s="56" t="s">
        <v>220</v>
      </c>
      <c r="BZ17" s="31" t="s">
        <v>381</v>
      </c>
      <c r="CB17" s="87" t="s">
        <v>113</v>
      </c>
      <c r="CC17" s="103">
        <v>-2.6375000000000001E-3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-1.33E-3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1.3846000000000001E-2</v>
      </c>
      <c r="AP18" s="83" t="b">
        <v>1</v>
      </c>
      <c r="AQ18" s="6"/>
      <c r="AR18" s="56" t="s">
        <v>110</v>
      </c>
      <c r="AS18" s="86" t="b">
        <v>0</v>
      </c>
      <c r="AU18" s="56" t="s">
        <v>114</v>
      </c>
      <c r="AV18" s="17" t="s">
        <v>55</v>
      </c>
      <c r="AX18" s="87" t="s">
        <v>28</v>
      </c>
      <c r="AY18" s="103">
        <v>8.3000000000000012E-4</v>
      </c>
      <c r="BA18" s="56" t="s">
        <v>114</v>
      </c>
      <c r="BB18" s="17" t="s">
        <v>55</v>
      </c>
      <c r="BD18" s="87" t="s">
        <v>28</v>
      </c>
      <c r="BE18" s="103">
        <v>9.8249999999999987E-4</v>
      </c>
      <c r="BG18" s="56" t="s">
        <v>114</v>
      </c>
      <c r="BH18" s="17" t="s">
        <v>55</v>
      </c>
      <c r="BJ18" s="87" t="s">
        <v>28</v>
      </c>
      <c r="BK18" s="103">
        <v>1.1300000000000001E-3</v>
      </c>
      <c r="BM18" s="56" t="s">
        <v>110</v>
      </c>
      <c r="BN18" s="86" t="b">
        <v>0</v>
      </c>
      <c r="BP18" s="56" t="s">
        <v>233</v>
      </c>
      <c r="BQ18" s="86" t="s">
        <v>53</v>
      </c>
      <c r="BS18" s="56" t="s">
        <v>233</v>
      </c>
      <c r="BT18" s="86" t="s">
        <v>53</v>
      </c>
      <c r="BV18" s="56" t="s">
        <v>233</v>
      </c>
      <c r="BW18" s="86" t="s">
        <v>53</v>
      </c>
      <c r="BY18" s="56" t="s">
        <v>233</v>
      </c>
      <c r="BZ18" s="86" t="s">
        <v>53</v>
      </c>
      <c r="CB18" s="87" t="s">
        <v>28</v>
      </c>
      <c r="CC18" s="103">
        <v>-2.575E-3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-1.3270000000000001E-3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1.4710000000000001E-2</v>
      </c>
      <c r="AP19" s="83" t="b">
        <v>1</v>
      </c>
      <c r="AQ19" s="6"/>
      <c r="AR19" s="56" t="s">
        <v>107</v>
      </c>
      <c r="AS19" s="86" t="b">
        <v>0</v>
      </c>
      <c r="AU19" s="56" t="s">
        <v>109</v>
      </c>
      <c r="AV19" s="17" t="s">
        <v>261</v>
      </c>
      <c r="AX19" s="87" t="s">
        <v>366</v>
      </c>
      <c r="AY19" s="103">
        <v>8.0999999999999996E-4</v>
      </c>
      <c r="BA19" s="56" t="s">
        <v>109</v>
      </c>
      <c r="BB19" s="17" t="s">
        <v>261</v>
      </c>
      <c r="BD19" s="87" t="s">
        <v>366</v>
      </c>
      <c r="BE19" s="103">
        <v>9.7249999999999995E-4</v>
      </c>
      <c r="BG19" s="56" t="s">
        <v>109</v>
      </c>
      <c r="BH19" s="17" t="s">
        <v>261</v>
      </c>
      <c r="BJ19" s="87" t="s">
        <v>366</v>
      </c>
      <c r="BK19" s="103">
        <v>1.1000000000000001E-3</v>
      </c>
      <c r="BM19" s="56" t="s">
        <v>107</v>
      </c>
      <c r="BN19" s="86" t="b">
        <v>0</v>
      </c>
      <c r="BP19" s="56" t="s">
        <v>234</v>
      </c>
      <c r="BQ19" s="86" t="s">
        <v>55</v>
      </c>
      <c r="BS19" s="56" t="s">
        <v>234</v>
      </c>
      <c r="BT19" s="86" t="s">
        <v>55</v>
      </c>
      <c r="BV19" s="56" t="s">
        <v>234</v>
      </c>
      <c r="BW19" s="86" t="s">
        <v>55</v>
      </c>
      <c r="BY19" s="56" t="s">
        <v>234</v>
      </c>
      <c r="BZ19" s="86" t="s">
        <v>55</v>
      </c>
      <c r="CB19" s="87" t="s">
        <v>366</v>
      </c>
      <c r="CC19" s="103">
        <v>-2.4875000000000001E-3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-1.3500000000000001E-3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1.6576999999999998E-2</v>
      </c>
      <c r="AP20" s="83" t="b">
        <v>1</v>
      </c>
      <c r="AQ20" s="6"/>
      <c r="AR20" s="56" t="s">
        <v>115</v>
      </c>
      <c r="AS20" s="86" t="s">
        <v>104</v>
      </c>
      <c r="AU20" s="56" t="s">
        <v>105</v>
      </c>
      <c r="AV20" s="17" t="s">
        <v>48</v>
      </c>
      <c r="AX20" s="87" t="s">
        <v>26</v>
      </c>
      <c r="AY20" s="103">
        <v>7.7999999999999999E-4</v>
      </c>
      <c r="BA20" s="56" t="s">
        <v>105</v>
      </c>
      <c r="BB20" s="17" t="s">
        <v>48</v>
      </c>
      <c r="BD20" s="87" t="s">
        <v>26</v>
      </c>
      <c r="BE20" s="103">
        <v>9.6250000000000003E-4</v>
      </c>
      <c r="BG20" s="56" t="s">
        <v>105</v>
      </c>
      <c r="BH20" s="17" t="s">
        <v>48</v>
      </c>
      <c r="BJ20" s="87" t="s">
        <v>26</v>
      </c>
      <c r="BK20" s="103">
        <v>1.0499999999999999E-3</v>
      </c>
      <c r="BM20" s="56" t="s">
        <v>115</v>
      </c>
      <c r="BN20" s="86" t="s">
        <v>104</v>
      </c>
      <c r="BP20" s="56" t="s">
        <v>236</v>
      </c>
      <c r="BQ20" s="86" t="s">
        <v>46</v>
      </c>
      <c r="BS20" s="56" t="s">
        <v>236</v>
      </c>
      <c r="BT20" s="86" t="s">
        <v>46</v>
      </c>
      <c r="BV20" s="56" t="s">
        <v>236</v>
      </c>
      <c r="BW20" s="86" t="s">
        <v>46</v>
      </c>
      <c r="BY20" s="56" t="s">
        <v>236</v>
      </c>
      <c r="BZ20" s="86" t="s">
        <v>46</v>
      </c>
      <c r="CB20" s="87" t="s">
        <v>26</v>
      </c>
      <c r="CC20" s="103">
        <v>-2.39375E-3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1.806E-2</v>
      </c>
      <c r="AP21" s="83" t="b">
        <v>1</v>
      </c>
      <c r="AQ21" s="6"/>
      <c r="AR21" s="56" t="s">
        <v>100</v>
      </c>
      <c r="AS21" s="86" t="s">
        <v>29</v>
      </c>
      <c r="AU21" s="56" t="s">
        <v>101</v>
      </c>
      <c r="AV21" s="17" t="s">
        <v>261</v>
      </c>
      <c r="AX21" s="87" t="s">
        <v>376</v>
      </c>
      <c r="AY21" s="103">
        <v>7.2999999999999996E-4</v>
      </c>
      <c r="BA21" s="56" t="s">
        <v>101</v>
      </c>
      <c r="BB21" s="17" t="s">
        <v>261</v>
      </c>
      <c r="BD21" s="87" t="s">
        <v>24</v>
      </c>
      <c r="BE21" s="103">
        <v>9.1250000000000001E-4</v>
      </c>
      <c r="BG21" s="56" t="s">
        <v>101</v>
      </c>
      <c r="BH21" s="17" t="s">
        <v>261</v>
      </c>
      <c r="BJ21" s="87" t="s">
        <v>24</v>
      </c>
      <c r="BK21" s="103">
        <v>9.4000000000000008E-4</v>
      </c>
      <c r="BM21" s="56" t="s">
        <v>100</v>
      </c>
      <c r="BN21" s="86" t="s">
        <v>29</v>
      </c>
      <c r="BP21" s="56" t="s">
        <v>237</v>
      </c>
      <c r="BQ21" s="86" t="s">
        <v>48</v>
      </c>
      <c r="BS21" s="56" t="s">
        <v>237</v>
      </c>
      <c r="BT21" s="86" t="s">
        <v>48</v>
      </c>
      <c r="BV21" s="56" t="s">
        <v>237</v>
      </c>
      <c r="BW21" s="86" t="s">
        <v>48</v>
      </c>
      <c r="BY21" s="56" t="s">
        <v>237</v>
      </c>
      <c r="BZ21" s="86" t="s">
        <v>48</v>
      </c>
      <c r="CB21" s="87" t="s">
        <v>376</v>
      </c>
      <c r="CC21" s="103">
        <v>-2.3625E-3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-1.34E-3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1.8381999999999999E-2</v>
      </c>
      <c r="AP22" s="83" t="b">
        <v>1</v>
      </c>
      <c r="AQ22" s="6"/>
      <c r="AR22" s="56" t="s">
        <v>235</v>
      </c>
      <c r="AS22" s="86" t="b">
        <v>1</v>
      </c>
      <c r="AU22" s="56" t="s">
        <v>96</v>
      </c>
      <c r="AV22" s="17" t="s">
        <v>43</v>
      </c>
      <c r="AX22" s="87" t="s">
        <v>377</v>
      </c>
      <c r="AY22" s="103">
        <v>6.9999999999999999E-4</v>
      </c>
      <c r="BA22" s="56" t="s">
        <v>96</v>
      </c>
      <c r="BB22" s="17" t="s">
        <v>43</v>
      </c>
      <c r="BD22" s="87" t="s">
        <v>20</v>
      </c>
      <c r="BE22" s="103">
        <v>8.1249999999999996E-4</v>
      </c>
      <c r="BG22" s="56" t="s">
        <v>96</v>
      </c>
      <c r="BH22" s="17" t="s">
        <v>43</v>
      </c>
      <c r="BJ22" s="87" t="s">
        <v>20</v>
      </c>
      <c r="BK22" s="103">
        <v>8.3000000000000012E-4</v>
      </c>
      <c r="BM22" s="56" t="s">
        <v>235</v>
      </c>
      <c r="BN22" s="86" t="b">
        <v>1</v>
      </c>
      <c r="BP22" s="56" t="s">
        <v>238</v>
      </c>
      <c r="BQ22" s="86" t="s">
        <v>46</v>
      </c>
      <c r="BS22" s="56" t="s">
        <v>238</v>
      </c>
      <c r="BT22" s="86" t="s">
        <v>46</v>
      </c>
      <c r="BV22" s="56" t="s">
        <v>238</v>
      </c>
      <c r="BW22" s="86" t="s">
        <v>46</v>
      </c>
      <c r="BY22" s="56" t="s">
        <v>238</v>
      </c>
      <c r="BZ22" s="86" t="s">
        <v>46</v>
      </c>
      <c r="CB22" s="87" t="s">
        <v>377</v>
      </c>
      <c r="CC22" s="103">
        <v>-2.2875E-3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1.8489999999999999E-2</v>
      </c>
      <c r="AP23" s="83" t="b">
        <v>1</v>
      </c>
      <c r="AQ23" s="6"/>
      <c r="AR23" s="13" t="s">
        <v>91</v>
      </c>
      <c r="AS23" s="86" t="s">
        <v>29</v>
      </c>
      <c r="AU23" s="79" t="s">
        <v>92</v>
      </c>
      <c r="AV23" s="20" t="s">
        <v>40</v>
      </c>
      <c r="AX23" s="87" t="s">
        <v>24</v>
      </c>
      <c r="AY23" s="103">
        <v>6.7000000000000002E-4</v>
      </c>
      <c r="BA23" s="79" t="s">
        <v>92</v>
      </c>
      <c r="BB23" s="20" t="s">
        <v>40</v>
      </c>
      <c r="BD23" s="87" t="s">
        <v>18</v>
      </c>
      <c r="BE23" s="103">
        <v>7.2249999999999994E-4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-2.2125000000000001E-3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-1.2149999999999999E-3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1.8610000000000002E-2</v>
      </c>
      <c r="AP24" s="83" t="b">
        <v>1</v>
      </c>
      <c r="AQ24" s="6"/>
      <c r="AR24" s="13" t="s">
        <v>193</v>
      </c>
      <c r="AS24" s="86" t="s">
        <v>29</v>
      </c>
      <c r="AU24" s="78" t="s">
        <v>87</v>
      </c>
      <c r="AV24" s="102" t="s">
        <v>261</v>
      </c>
      <c r="AX24" s="87" t="s">
        <v>20</v>
      </c>
      <c r="AY24" s="103">
        <v>5.5999999999999995E-4</v>
      </c>
      <c r="BA24" s="78" t="s">
        <v>87</v>
      </c>
      <c r="BB24" s="102" t="s">
        <v>261</v>
      </c>
      <c r="BD24" s="87" t="s">
        <v>17</v>
      </c>
      <c r="BE24" s="103">
        <v>6.6500000000000001E-4</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-1.9124999999999999E-3</v>
      </c>
      <c r="CE24" s="13" t="s">
        <v>193</v>
      </c>
      <c r="CF24" s="86" t="s">
        <v>29</v>
      </c>
      <c r="CH24" s="56"/>
      <c r="CI24" s="86"/>
      <c r="CK24" s="56"/>
      <c r="CL24" s="86"/>
      <c r="CN24" s="56"/>
      <c r="CO24" s="86"/>
    </row>
    <row r="25" spans="2:95">
      <c r="B25" s="62"/>
      <c r="C25" s="135"/>
      <c r="D25" s="136"/>
      <c r="E25" s="137"/>
      <c r="F25" t="s">
        <v>12</v>
      </c>
      <c r="M25" s="87" t="s">
        <v>42</v>
      </c>
      <c r="N25" s="88">
        <v>-9.2000000000000003E-4</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1.8595E-2</v>
      </c>
      <c r="AP25" s="83" t="b">
        <v>1</v>
      </c>
      <c r="AQ25" s="6"/>
      <c r="AR25" s="13" t="s">
        <v>263</v>
      </c>
      <c r="AS25" s="86" t="b">
        <v>1</v>
      </c>
      <c r="AU25" s="56" t="s">
        <v>85</v>
      </c>
      <c r="AV25" s="17" t="s">
        <v>55</v>
      </c>
      <c r="AX25" s="87" t="s">
        <v>18</v>
      </c>
      <c r="AY25" s="103">
        <v>4.75E-4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-1.6624999999999999E-3</v>
      </c>
      <c r="CE25" s="13" t="s">
        <v>263</v>
      </c>
      <c r="CF25" s="86" t="b">
        <v>1</v>
      </c>
      <c r="CH25" s="56"/>
      <c r="CI25" s="86"/>
      <c r="CK25" s="56"/>
      <c r="CL25" s="86"/>
      <c r="CN25" s="56"/>
      <c r="CO25" s="86"/>
    </row>
    <row r="26" spans="2:95">
      <c r="F26" t="s">
        <v>12</v>
      </c>
      <c r="M26" s="87" t="s">
        <v>365</v>
      </c>
      <c r="N26" s="88">
        <v>-5.3499999999999999E-4</v>
      </c>
      <c r="O26" s="89"/>
      <c r="P26" s="89"/>
      <c r="Q26" s="90" t="b">
        <v>1</v>
      </c>
      <c r="S26" s="97"/>
      <c r="T26" s="98"/>
      <c r="V26" s="13" t="s">
        <v>81</v>
      </c>
      <c r="W26" s="86" t="s">
        <v>201</v>
      </c>
      <c r="Y26" s="215" t="s">
        <v>23</v>
      </c>
      <c r="Z26" s="216">
        <v>5.0999999999999993E-4</v>
      </c>
      <c r="AB26" s="54"/>
      <c r="AC26" s="36"/>
      <c r="AE26" s="50"/>
      <c r="AF26" s="51"/>
      <c r="AG26" s="51"/>
      <c r="AH26" s="51"/>
      <c r="AI26" s="186" t="s">
        <v>88</v>
      </c>
      <c r="AK26" s="56"/>
      <c r="AL26" s="86"/>
      <c r="AN26" s="71" t="s">
        <v>368</v>
      </c>
      <c r="AO26" s="82">
        <v>1.8402999999999999E-2</v>
      </c>
      <c r="AP26" s="83" t="b">
        <v>1</v>
      </c>
      <c r="AQ26" s="6"/>
      <c r="AR26" s="13" t="s">
        <v>81</v>
      </c>
      <c r="AS26" s="86" t="s">
        <v>201</v>
      </c>
      <c r="AU26" s="56" t="s">
        <v>83</v>
      </c>
      <c r="AV26" s="86" t="s">
        <v>77</v>
      </c>
      <c r="AX26" s="87" t="s">
        <v>17</v>
      </c>
      <c r="AY26" s="103">
        <v>4.2499999999999998E-4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-1.4875000000000001E-3</v>
      </c>
      <c r="CE26" s="13"/>
      <c r="CF26" s="86"/>
      <c r="CH26" s="56"/>
      <c r="CI26" s="86"/>
      <c r="CK26" s="56"/>
      <c r="CL26" s="86"/>
      <c r="CN26" s="56"/>
      <c r="CO26" s="86"/>
    </row>
    <row r="27" spans="2:95">
      <c r="B27" s="2" t="s">
        <v>356</v>
      </c>
      <c r="C27" s="9"/>
      <c r="F27" t="s">
        <v>12</v>
      </c>
      <c r="M27" s="87" t="s">
        <v>39</v>
      </c>
      <c r="N27" s="88">
        <v>1.4E-5</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1.8200000000000001E-2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-1.6624999999999999E-3</v>
      </c>
      <c r="CE27" s="13"/>
      <c r="CF27" s="86"/>
      <c r="CH27" s="56"/>
      <c r="CI27" s="86"/>
      <c r="CK27" s="56"/>
      <c r="CL27" s="86"/>
      <c r="CN27" s="56"/>
      <c r="CO27" s="86"/>
    </row>
    <row r="28" spans="2:95">
      <c r="B28" s="55" t="s">
        <v>201</v>
      </c>
      <c r="C28" s="126" t="s">
        <v>203</v>
      </c>
      <c r="D28" s="127"/>
      <c r="E28" s="128"/>
      <c r="F28" t="s">
        <v>12</v>
      </c>
      <c r="M28" s="87" t="s">
        <v>35</v>
      </c>
      <c r="N28" s="88">
        <v>1.4299999999999998E-3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-1.9499999999999999E-3</v>
      </c>
      <c r="CE28" s="13"/>
      <c r="CF28" s="86"/>
      <c r="CH28" s="56"/>
      <c r="CI28" s="86"/>
      <c r="CK28" s="56"/>
      <c r="CL28" s="86"/>
      <c r="CN28" s="56"/>
      <c r="CO28" s="86"/>
    </row>
    <row r="29" spans="2:95">
      <c r="B29" s="56" t="s">
        <v>63</v>
      </c>
      <c r="C29" s="129" t="s">
        <v>300</v>
      </c>
      <c r="D29" s="130"/>
      <c r="E29" s="131"/>
      <c r="F29" t="s">
        <v>12</v>
      </c>
      <c r="M29" s="87" t="s">
        <v>33</v>
      </c>
      <c r="N29" s="88">
        <v>3.075E-3</v>
      </c>
      <c r="O29" s="89"/>
      <c r="P29" s="89"/>
      <c r="Q29" s="90" t="b">
        <v>1</v>
      </c>
      <c r="S29" s="97"/>
      <c r="T29" s="98"/>
      <c r="V29" s="13"/>
      <c r="W29" s="86"/>
      <c r="Y29" s="54" t="s">
        <v>23</v>
      </c>
      <c r="Z29" s="36">
        <v>4.8999999999999998E-4</v>
      </c>
      <c r="AB29" s="54" t="s">
        <v>71</v>
      </c>
      <c r="AC29" s="36">
        <v>5.0999999999999993E-4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4.7299999999999998E-3</v>
      </c>
      <c r="O30" s="89"/>
      <c r="P30" s="89"/>
      <c r="Q30" s="90" t="b">
        <v>1</v>
      </c>
      <c r="S30" s="97"/>
      <c r="T30" s="98"/>
      <c r="V30" s="13"/>
      <c r="W30" s="86"/>
      <c r="Y30" s="54"/>
      <c r="Z30" s="36"/>
      <c r="AB30" s="54" t="s">
        <v>68</v>
      </c>
      <c r="AC30" s="36">
        <v>5.2999999999999998E-4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6.3400000000000001E-3</v>
      </c>
      <c r="O31" s="89"/>
      <c r="P31" s="89"/>
      <c r="Q31" s="90" t="b">
        <v>1</v>
      </c>
      <c r="S31" s="97"/>
      <c r="T31" s="98"/>
      <c r="V31" s="13"/>
      <c r="W31" s="86"/>
      <c r="Y31" s="54"/>
      <c r="Z31" s="36"/>
      <c r="AB31" s="54" t="s">
        <v>66</v>
      </c>
      <c r="AC31" s="36">
        <v>5.9999999999999995E-4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7.835E-3</v>
      </c>
      <c r="O32" s="89"/>
      <c r="P32" s="89"/>
      <c r="Q32" s="90" t="b">
        <v>1</v>
      </c>
      <c r="S32" s="97"/>
      <c r="T32" s="98"/>
      <c r="V32" s="13"/>
      <c r="W32" s="86"/>
      <c r="Y32" s="54"/>
      <c r="Z32" s="36"/>
      <c r="AA32" s="3"/>
      <c r="AB32" s="54" t="s">
        <v>62</v>
      </c>
      <c r="AC32" s="36">
        <v>6.4000000000000005E-4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9.1700000000000011E-3</v>
      </c>
      <c r="O33" s="89"/>
      <c r="P33" s="89"/>
      <c r="Q33" s="90" t="b">
        <v>1</v>
      </c>
      <c r="S33" s="97"/>
      <c r="T33" s="98"/>
      <c r="V33" s="13"/>
      <c r="W33" s="86"/>
      <c r="Y33" s="54"/>
      <c r="Z33" s="36"/>
      <c r="AA33" s="3"/>
      <c r="AB33" s="54" t="s">
        <v>58</v>
      </c>
      <c r="AC33" s="36">
        <v>6.9000000000000008E-4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1.0369999999999999E-2</v>
      </c>
      <c r="O34" s="89"/>
      <c r="P34" s="89"/>
      <c r="Q34" s="90" t="b">
        <v>1</v>
      </c>
      <c r="S34" s="97"/>
      <c r="T34" s="98"/>
      <c r="V34" s="13"/>
      <c r="W34" s="86"/>
      <c r="Y34" s="54"/>
      <c r="Z34" s="36"/>
      <c r="AA34" s="3"/>
      <c r="AB34" s="54" t="s">
        <v>369</v>
      </c>
      <c r="AC34" s="36">
        <v>7.6999999999999996E-4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1.142E-2</v>
      </c>
      <c r="O35" s="89"/>
      <c r="P35" s="89"/>
      <c r="Q35" s="90" t="b">
        <v>1</v>
      </c>
      <c r="S35" s="97"/>
      <c r="T35" s="98"/>
      <c r="V35" s="13"/>
      <c r="W35" s="86"/>
      <c r="Y35" s="54"/>
      <c r="Z35" s="36"/>
      <c r="AA35" s="3"/>
      <c r="AB35" s="54" t="s">
        <v>370</v>
      </c>
      <c r="AC35" s="36">
        <v>8.4000000000000003E-4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1.2319999999999999E-2</v>
      </c>
      <c r="O36" s="89"/>
      <c r="P36" s="89"/>
      <c r="Q36" s="90" t="b">
        <v>1</v>
      </c>
      <c r="S36" s="97"/>
      <c r="T36" s="98"/>
      <c r="V36" s="13"/>
      <c r="W36" s="86"/>
      <c r="Y36" s="54"/>
      <c r="Z36" s="36"/>
      <c r="AA36" s="3"/>
      <c r="AB36" s="54" t="s">
        <v>371</v>
      </c>
      <c r="AC36" s="36">
        <v>9.1E-4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1.4339999999999999E-2</v>
      </c>
      <c r="O37" s="89"/>
      <c r="P37" s="89"/>
      <c r="Q37" s="90" t="b">
        <v>1</v>
      </c>
      <c r="S37" s="97"/>
      <c r="T37" s="98"/>
      <c r="V37" s="13"/>
      <c r="W37" s="86"/>
      <c r="Y37" s="54"/>
      <c r="Z37" s="36"/>
      <c r="AA37" s="3"/>
      <c r="AB37" s="54" t="s">
        <v>372</v>
      </c>
      <c r="AC37" s="36">
        <v>1.0199999999999999E-3</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1.6091999999999999E-2</v>
      </c>
      <c r="O38" s="89"/>
      <c r="P38" s="89"/>
      <c r="Q38" s="90" t="b">
        <v>1</v>
      </c>
      <c r="S38" s="97"/>
      <c r="T38" s="98"/>
      <c r="V38" s="13"/>
      <c r="W38" s="86"/>
      <c r="Y38" s="54"/>
      <c r="Z38" s="36"/>
      <c r="AB38" s="54" t="s">
        <v>373</v>
      </c>
      <c r="AC38" s="36">
        <v>1.1299999999999999E-3</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1.66E-2</v>
      </c>
      <c r="O39" s="89"/>
      <c r="P39" s="89"/>
      <c r="Q39" s="90" t="b">
        <v>1</v>
      </c>
      <c r="S39" s="97"/>
      <c r="T39" s="98"/>
      <c r="V39" s="13"/>
      <c r="W39" s="86"/>
      <c r="Y39" s="54"/>
      <c r="Z39" s="36"/>
      <c r="AB39" s="54" t="s">
        <v>374</v>
      </c>
      <c r="AC39" s="36">
        <v>1.24E-3</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1.6827000000000002E-2</v>
      </c>
      <c r="O40" s="89"/>
      <c r="P40" s="89"/>
      <c r="Q40" s="90" t="b">
        <v>1</v>
      </c>
      <c r="S40" s="97"/>
      <c r="T40" s="98"/>
      <c r="V40" s="13"/>
      <c r="W40" s="86"/>
      <c r="Y40" s="54"/>
      <c r="Z40" s="36"/>
      <c r="AB40" s="54" t="s">
        <v>375</v>
      </c>
      <c r="AC40" s="36">
        <v>1.49E-3</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1.6605000000000002E-2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1.6695000000000002E-2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1.6854999999999998E-2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M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91">
      <c r="CI3" s="217"/>
      <c r="CJ3" s="214"/>
    </row>
    <row r="4" spans="2:91">
      <c r="CI4" s="217"/>
      <c r="CJ4" s="214"/>
    </row>
    <row r="5" spans="2:91"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91">
      <c r="CI6" s="217"/>
      <c r="CJ6" s="214"/>
    </row>
    <row r="7" spans="2:91">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91">
      <c r="B8" s="55" t="s">
        <v>201</v>
      </c>
      <c r="C8" s="126" t="s">
        <v>349</v>
      </c>
      <c r="D8" s="127"/>
      <c r="E8" s="128"/>
      <c r="G8" s="55" t="s">
        <v>170</v>
      </c>
      <c r="H8" s="110">
        <v>42198</v>
      </c>
      <c r="J8" s="72" t="s">
        <v>174</v>
      </c>
      <c r="K8" s="34" t="s">
        <v>86</v>
      </c>
      <c r="M8" s="74" t="s">
        <v>76</v>
      </c>
      <c r="N8" s="75" t="s">
        <v>75</v>
      </c>
      <c r="O8" s="75" t="s">
        <v>139</v>
      </c>
      <c r="P8" s="75" t="s">
        <v>138</v>
      </c>
      <c r="Q8" s="76" t="s">
        <v>173</v>
      </c>
      <c r="S8" s="67" t="s">
        <v>172</v>
      </c>
      <c r="T8" s="68" t="s">
        <v>75</v>
      </c>
      <c r="V8" s="55" t="s">
        <v>170</v>
      </c>
      <c r="W8" s="110">
        <v>42198</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42198</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42198</v>
      </c>
      <c r="BY8" s="55" t="s">
        <v>216</v>
      </c>
      <c r="BZ8" s="33" t="s">
        <v>307</v>
      </c>
      <c r="CB8" s="55" t="s">
        <v>216</v>
      </c>
      <c r="CC8" s="33" t="s">
        <v>308</v>
      </c>
      <c r="CE8" s="55" t="s">
        <v>216</v>
      </c>
      <c r="CF8" s="33" t="s">
        <v>309</v>
      </c>
      <c r="CI8" s="217"/>
      <c r="CJ8" s="214"/>
    </row>
    <row r="9" spans="2:91">
      <c r="B9" s="56" t="s">
        <v>63</v>
      </c>
      <c r="C9" s="129" t="s">
        <v>9</v>
      </c>
      <c r="D9" s="130"/>
      <c r="E9" s="131"/>
      <c r="G9" s="56" t="s">
        <v>162</v>
      </c>
      <c r="H9" s="86" t="s">
        <v>190</v>
      </c>
      <c r="J9" s="73" t="s">
        <v>130</v>
      </c>
      <c r="K9" s="17" t="s">
        <v>3</v>
      </c>
      <c r="M9" s="87" t="s">
        <v>72</v>
      </c>
      <c r="N9" s="88">
        <v>1.2999999999999999E-3</v>
      </c>
      <c r="O9" s="89"/>
      <c r="P9" s="89"/>
      <c r="Q9" s="90" t="b">
        <f>IF(OR(N9="",N9=0),FALSE,TRUE)</f>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1.5833E-2</v>
      </c>
      <c r="AP9" s="83" t="b">
        <f t="shared" ref="AP9:AP52" si="0">IF(OR(AO9="",AO9=0),FALSE,IF(OR(RIGHT(AN9,1)="M",AND(RIGHT(AN9,1)="Y",VALUE(LEFT(AN9,LEN(AN9)-1))&lt;=2)),FALSE,TRUE))</f>
        <v>1</v>
      </c>
      <c r="AR9" s="56" t="s">
        <v>162</v>
      </c>
      <c r="AS9" s="86" t="s">
        <v>190</v>
      </c>
      <c r="AU9" s="78" t="s">
        <v>169</v>
      </c>
      <c r="AV9" s="102" t="s">
        <v>168</v>
      </c>
      <c r="AX9" s="87" t="s">
        <v>160</v>
      </c>
      <c r="AY9" s="103">
        <v>8.7500000000000002E-4</v>
      </c>
      <c r="BA9" s="78" t="s">
        <v>169</v>
      </c>
      <c r="BB9" s="102" t="s">
        <v>168</v>
      </c>
      <c r="BD9" s="87" t="s">
        <v>160</v>
      </c>
      <c r="BE9" s="103">
        <v>9.5E-4</v>
      </c>
      <c r="BG9" s="78" t="s">
        <v>169</v>
      </c>
      <c r="BH9" s="102" t="s">
        <v>168</v>
      </c>
      <c r="BJ9" s="87" t="s">
        <v>160</v>
      </c>
      <c r="BK9" s="103">
        <v>2.6749999999999999E-3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91">
      <c r="B10" s="56" t="s">
        <v>206</v>
      </c>
      <c r="C10" s="132" t="s">
        <v>318</v>
      </c>
      <c r="D10" s="133"/>
      <c r="E10" s="134"/>
      <c r="G10" s="56" t="s">
        <v>143</v>
      </c>
      <c r="H10" s="86" t="s">
        <v>29</v>
      </c>
      <c r="J10" s="73" t="s">
        <v>122</v>
      </c>
      <c r="K10" s="17" t="s">
        <v>152</v>
      </c>
      <c r="M10" s="87" t="s">
        <v>97</v>
      </c>
      <c r="N10" s="88">
        <v>1.237E-3</v>
      </c>
      <c r="O10" s="89"/>
      <c r="P10" s="89"/>
      <c r="Q10" s="90" t="b">
        <f t="shared" ref="Q10:Q52" si="1">IF(OR(N10="",N10=0),FALSE,TRUE)</f>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1.8329999999999999E-2</v>
      </c>
      <c r="AP10" s="83" t="b">
        <f t="shared" si="0"/>
        <v>1</v>
      </c>
      <c r="AR10" s="56" t="s">
        <v>143</v>
      </c>
      <c r="AS10" s="86" t="s">
        <v>29</v>
      </c>
      <c r="AU10" s="56" t="s">
        <v>161</v>
      </c>
      <c r="AV10" s="17" t="s">
        <v>86</v>
      </c>
      <c r="AX10" s="87" t="s">
        <v>42</v>
      </c>
      <c r="AY10" s="103">
        <v>7.8750000000000001E-4</v>
      </c>
      <c r="BA10" s="56" t="s">
        <v>161</v>
      </c>
      <c r="BB10" s="17" t="s">
        <v>86</v>
      </c>
      <c r="BD10" s="87" t="s">
        <v>42</v>
      </c>
      <c r="BE10" s="103">
        <v>1.1125E-3</v>
      </c>
      <c r="BG10" s="56" t="s">
        <v>161</v>
      </c>
      <c r="BH10" s="17" t="s">
        <v>86</v>
      </c>
      <c r="BJ10" s="87" t="s">
        <v>42</v>
      </c>
      <c r="BK10" s="103">
        <v>2.0999999999999999E-3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91">
      <c r="B11" s="56" t="s">
        <v>207</v>
      </c>
      <c r="C11" s="132" t="s">
        <v>316</v>
      </c>
      <c r="D11" s="133"/>
      <c r="E11" s="134"/>
      <c r="G11" s="56" t="s">
        <v>140</v>
      </c>
      <c r="H11" s="86" t="s">
        <v>29</v>
      </c>
      <c r="J11" s="73" t="s">
        <v>150</v>
      </c>
      <c r="K11" s="17" t="s">
        <v>149</v>
      </c>
      <c r="M11" s="87" t="s">
        <v>93</v>
      </c>
      <c r="N11" s="88">
        <v>1.2850000000000001E-3</v>
      </c>
      <c r="O11" s="89"/>
      <c r="P11" s="89"/>
      <c r="Q11" s="90" t="b">
        <f t="shared" si="1"/>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2.0375999999999998E-2</v>
      </c>
      <c r="AP11" s="83" t="b">
        <f t="shared" si="0"/>
        <v>1</v>
      </c>
      <c r="AR11" s="56" t="s">
        <v>140</v>
      </c>
      <c r="AS11" s="86" t="s">
        <v>29</v>
      </c>
      <c r="AU11" s="56" t="s">
        <v>154</v>
      </c>
      <c r="AV11" s="17" t="s">
        <v>55</v>
      </c>
      <c r="AX11" s="87" t="s">
        <v>39</v>
      </c>
      <c r="AY11" s="103">
        <v>7.3749999999999998E-4</v>
      </c>
      <c r="BA11" s="56" t="s">
        <v>154</v>
      </c>
      <c r="BB11" s="17" t="s">
        <v>55</v>
      </c>
      <c r="BD11" s="87" t="s">
        <v>39</v>
      </c>
      <c r="BE11" s="103">
        <v>1.225E-3</v>
      </c>
      <c r="BG11" s="56" t="s">
        <v>154</v>
      </c>
      <c r="BH11" s="17" t="s">
        <v>55</v>
      </c>
      <c r="BJ11" s="87" t="s">
        <v>39</v>
      </c>
      <c r="BK11" s="103">
        <v>2.3E-3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91">
      <c r="B12" s="152" t="s">
        <v>287</v>
      </c>
      <c r="C12" s="132" t="s">
        <v>317</v>
      </c>
      <c r="D12" s="133"/>
      <c r="E12" s="134"/>
      <c r="G12" s="56" t="s">
        <v>157</v>
      </c>
      <c r="H12" s="86" t="s">
        <v>29</v>
      </c>
      <c r="J12" s="73" t="s">
        <v>134</v>
      </c>
      <c r="K12" s="17" t="s">
        <v>133</v>
      </c>
      <c r="M12" s="87" t="s">
        <v>89</v>
      </c>
      <c r="N12" s="88">
        <v>1.31E-3</v>
      </c>
      <c r="O12" s="89"/>
      <c r="P12" s="89"/>
      <c r="Q12" s="90" t="b">
        <f t="shared" si="1"/>
        <v>1</v>
      </c>
      <c r="S12" s="97"/>
      <c r="T12" s="98"/>
      <c r="V12" s="56" t="s">
        <v>157</v>
      </c>
      <c r="W12" s="86" t="s">
        <v>29</v>
      </c>
      <c r="Y12" s="62"/>
      <c r="Z12" s="18"/>
      <c r="AB12" s="63" t="s">
        <v>123</v>
      </c>
      <c r="AC12" s="18" t="b">
        <v>1</v>
      </c>
      <c r="AE12" s="14"/>
      <c r="AF12" s="147"/>
      <c r="AG12" s="27"/>
      <c r="AH12" s="27"/>
      <c r="AI12" s="28"/>
      <c r="AK12" s="56" t="s">
        <v>1</v>
      </c>
      <c r="AL12" s="86" t="s">
        <v>78</v>
      </c>
      <c r="AN12" s="71" t="s">
        <v>31</v>
      </c>
      <c r="AO12" s="82">
        <v>2.2040000000000001E-2</v>
      </c>
      <c r="AP12" s="83" t="b">
        <f t="shared" si="0"/>
        <v>1</v>
      </c>
      <c r="AR12" s="56" t="s">
        <v>157</v>
      </c>
      <c r="AS12" s="86" t="s">
        <v>29</v>
      </c>
      <c r="AU12" s="56" t="s">
        <v>151</v>
      </c>
      <c r="AV12" s="17" t="s">
        <v>78</v>
      </c>
      <c r="AX12" s="87" t="s">
        <v>35</v>
      </c>
      <c r="AY12" s="103">
        <v>7.1374999999999997E-4</v>
      </c>
      <c r="BA12" s="56" t="s">
        <v>151</v>
      </c>
      <c r="BB12" s="17" t="s">
        <v>77</v>
      </c>
      <c r="BD12" s="87" t="s">
        <v>35</v>
      </c>
      <c r="BE12" s="103">
        <v>1.25E-3</v>
      </c>
      <c r="BG12" s="56" t="s">
        <v>151</v>
      </c>
      <c r="BH12" s="17" t="s">
        <v>152</v>
      </c>
      <c r="BJ12" s="87" t="s">
        <v>35</v>
      </c>
      <c r="BK12" s="103">
        <v>2.225E-3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91">
      <c r="B13" s="56" t="s">
        <v>208</v>
      </c>
      <c r="C13" s="132" t="s">
        <v>354</v>
      </c>
      <c r="D13" s="133"/>
      <c r="E13" s="134"/>
      <c r="G13" s="56" t="s">
        <v>230</v>
      </c>
      <c r="H13" s="86" t="b">
        <v>0</v>
      </c>
      <c r="J13" s="73" t="s">
        <v>156</v>
      </c>
      <c r="K13" s="17" t="s">
        <v>155</v>
      </c>
      <c r="M13" s="87" t="s">
        <v>21</v>
      </c>
      <c r="N13" s="88">
        <v>1.32E-3</v>
      </c>
      <c r="O13" s="89"/>
      <c r="P13" s="89"/>
      <c r="Q13" s="90" t="b">
        <f t="shared" si="1"/>
        <v>1</v>
      </c>
      <c r="S13" s="97"/>
      <c r="T13" s="98"/>
      <c r="V13" s="56" t="s">
        <v>230</v>
      </c>
      <c r="W13" s="86" t="b">
        <v>0</v>
      </c>
      <c r="Y13" s="6"/>
      <c r="Z13" s="4"/>
      <c r="AA13" s="6"/>
      <c r="AB13" s="8"/>
      <c r="AC13" s="4"/>
      <c r="AK13" s="56" t="s">
        <v>144</v>
      </c>
      <c r="AL13" s="86" t="s">
        <v>77</v>
      </c>
      <c r="AN13" s="71" t="s">
        <v>119</v>
      </c>
      <c r="AO13" s="82">
        <v>2.3375E-2</v>
      </c>
      <c r="AP13" s="83" t="b">
        <f t="shared" si="0"/>
        <v>1</v>
      </c>
      <c r="AR13" s="56" t="s">
        <v>230</v>
      </c>
      <c r="AS13" s="86" t="b">
        <v>0</v>
      </c>
      <c r="AU13" s="56" t="s">
        <v>148</v>
      </c>
      <c r="AV13" s="17" t="s">
        <v>40</v>
      </c>
      <c r="AX13" s="87" t="s">
        <v>33</v>
      </c>
      <c r="AY13" s="103">
        <v>7.1250000000000003E-4</v>
      </c>
      <c r="BA13" s="56" t="s">
        <v>148</v>
      </c>
      <c r="BB13" s="17" t="s">
        <v>40</v>
      </c>
      <c r="BD13" s="87" t="s">
        <v>33</v>
      </c>
      <c r="BE13" s="103">
        <v>1.2625E-3</v>
      </c>
      <c r="BG13" s="56" t="s">
        <v>148</v>
      </c>
      <c r="BH13" s="17" t="s">
        <v>40</v>
      </c>
      <c r="BJ13" s="87" t="s">
        <v>33</v>
      </c>
      <c r="BK13" s="103">
        <v>2.2000000000000001E-3</v>
      </c>
      <c r="BM13" s="56"/>
      <c r="BN13" s="86"/>
      <c r="BP13" s="56"/>
      <c r="BQ13" s="86"/>
      <c r="BS13" s="87"/>
      <c r="BT13" s="103"/>
      <c r="BV13" s="56" t="s">
        <v>230</v>
      </c>
      <c r="BW13" s="86" t="b">
        <v>0</v>
      </c>
      <c r="BY13" s="56"/>
      <c r="BZ13" s="86"/>
      <c r="CB13" s="56"/>
      <c r="CC13" s="86"/>
      <c r="CE13" s="56"/>
      <c r="CF13" s="86"/>
      <c r="CI13" s="217"/>
      <c r="CJ13" s="214"/>
    </row>
    <row r="14" spans="2:91">
      <c r="B14" s="56"/>
      <c r="C14" s="132"/>
      <c r="D14" s="133"/>
      <c r="E14" s="134"/>
      <c r="G14" s="56" t="s">
        <v>232</v>
      </c>
      <c r="H14" s="86" t="b">
        <v>1</v>
      </c>
      <c r="J14" s="73" t="s">
        <v>115</v>
      </c>
      <c r="K14" s="17" t="s">
        <v>40</v>
      </c>
      <c r="M14" s="87" t="s">
        <v>59</v>
      </c>
      <c r="N14" s="88">
        <v>1.34E-3</v>
      </c>
      <c r="O14" s="89"/>
      <c r="P14" s="89"/>
      <c r="Q14" s="90" t="b">
        <f t="shared" si="1"/>
        <v>1</v>
      </c>
      <c r="S14" s="97"/>
      <c r="T14" s="98"/>
      <c r="V14" s="56" t="s">
        <v>232</v>
      </c>
      <c r="W14" s="86" t="b">
        <v>1</v>
      </c>
      <c r="Y14" s="7" t="s">
        <v>147</v>
      </c>
      <c r="Z14" s="4"/>
      <c r="AA14" s="6"/>
      <c r="AB14" s="5" t="s">
        <v>146</v>
      </c>
      <c r="AC14" s="4"/>
      <c r="AE14" s="2" t="s">
        <v>145</v>
      </c>
      <c r="AF14" s="4"/>
      <c r="AK14" s="56" t="s">
        <v>4</v>
      </c>
      <c r="AL14" s="86" t="s">
        <v>29</v>
      </c>
      <c r="AN14" s="71" t="s">
        <v>113</v>
      </c>
      <c r="AO14" s="82">
        <v>2.4462999999999999E-2</v>
      </c>
      <c r="AP14" s="83" t="b">
        <f t="shared" si="0"/>
        <v>1</v>
      </c>
      <c r="AR14" s="56" t="s">
        <v>232</v>
      </c>
      <c r="AS14" s="86" t="b">
        <v>1</v>
      </c>
      <c r="AU14" s="56" t="s">
        <v>141</v>
      </c>
      <c r="AV14" s="17" t="s">
        <v>43</v>
      </c>
      <c r="AX14" s="87" t="s">
        <v>131</v>
      </c>
      <c r="AY14" s="103">
        <v>7.3749999999999998E-4</v>
      </c>
      <c r="BA14" s="56" t="s">
        <v>141</v>
      </c>
      <c r="BB14" s="17" t="s">
        <v>43</v>
      </c>
      <c r="BD14" s="87" t="s">
        <v>131</v>
      </c>
      <c r="BE14" s="103">
        <v>1.2375000000000001E-3</v>
      </c>
      <c r="BG14" s="56" t="s">
        <v>141</v>
      </c>
      <c r="BH14" s="17" t="s">
        <v>43</v>
      </c>
      <c r="BJ14" s="87" t="s">
        <v>31</v>
      </c>
      <c r="BK14" s="103">
        <v>2.2125000000000001E-3</v>
      </c>
      <c r="BM14" s="56"/>
      <c r="BN14" s="86"/>
      <c r="BP14" s="56"/>
      <c r="BQ14" s="86"/>
      <c r="BS14" s="87"/>
      <c r="BT14" s="103"/>
      <c r="BV14" s="56" t="s">
        <v>232</v>
      </c>
      <c r="BW14" s="86" t="b">
        <v>1</v>
      </c>
      <c r="BY14" s="56"/>
      <c r="BZ14" s="86"/>
      <c r="CB14" s="56"/>
      <c r="CC14" s="86"/>
      <c r="CE14" s="56"/>
      <c r="CF14" s="86"/>
      <c r="CI14" s="217"/>
      <c r="CJ14" s="217"/>
      <c r="CK14" s="217"/>
      <c r="CL14" s="217"/>
      <c r="CM14" s="217"/>
    </row>
    <row r="15" spans="2:91">
      <c r="B15" s="62"/>
      <c r="C15" s="135"/>
      <c r="D15" s="136"/>
      <c r="E15" s="137"/>
      <c r="G15" s="56" t="s">
        <v>110</v>
      </c>
      <c r="H15" s="86" t="b">
        <v>0</v>
      </c>
      <c r="J15" s="73" t="s">
        <v>128</v>
      </c>
      <c r="K15" s="17" t="s">
        <v>127</v>
      </c>
      <c r="M15" s="87" t="s">
        <v>53</v>
      </c>
      <c r="N15" s="88">
        <v>1.6000000000000001E-3</v>
      </c>
      <c r="O15" s="89"/>
      <c r="P15" s="89"/>
      <c r="Q15" s="90" t="b">
        <f t="shared" si="1"/>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2.5365000000000002E-2</v>
      </c>
      <c r="AP15" s="83" t="b">
        <f t="shared" si="0"/>
        <v>1</v>
      </c>
      <c r="AR15" s="56" t="s">
        <v>110</v>
      </c>
      <c r="AS15" s="86" t="b">
        <v>0</v>
      </c>
      <c r="AU15" s="56" t="s">
        <v>132</v>
      </c>
      <c r="AV15" s="31" t="s">
        <v>201</v>
      </c>
      <c r="AX15" s="87" t="s">
        <v>31</v>
      </c>
      <c r="AY15" s="103">
        <v>7.5000000000000002E-4</v>
      </c>
      <c r="BA15" s="56" t="s">
        <v>132</v>
      </c>
      <c r="BB15" s="31" t="s">
        <v>201</v>
      </c>
      <c r="BD15" s="87" t="s">
        <v>31</v>
      </c>
      <c r="BE15" s="103">
        <v>1.1999999999999999E-3</v>
      </c>
      <c r="BG15" s="56" t="s">
        <v>132</v>
      </c>
      <c r="BH15" s="31" t="s">
        <v>201</v>
      </c>
      <c r="BJ15" s="87" t="s">
        <v>28</v>
      </c>
      <c r="BK15" s="103">
        <v>2.2499999999999998E-3</v>
      </c>
      <c r="BM15" s="56"/>
      <c r="BN15" s="86"/>
      <c r="BP15" s="56"/>
      <c r="BQ15" s="86"/>
      <c r="BS15" s="87"/>
      <c r="BT15" s="103"/>
      <c r="BV15" s="56" t="s">
        <v>110</v>
      </c>
      <c r="BW15" s="86" t="b">
        <v>0</v>
      </c>
      <c r="BY15" s="56"/>
      <c r="BZ15" s="86"/>
      <c r="CB15" s="56"/>
      <c r="CC15" s="86"/>
      <c r="CE15" s="56"/>
      <c r="CF15" s="86"/>
      <c r="CI15" s="217"/>
      <c r="CJ15" s="217"/>
      <c r="CK15" s="217"/>
      <c r="CL15" s="217"/>
      <c r="CM15" s="217"/>
    </row>
    <row r="16" spans="2:91">
      <c r="G16" s="56" t="s">
        <v>107</v>
      </c>
      <c r="H16" s="86" t="b">
        <v>0</v>
      </c>
      <c r="J16" s="73" t="s">
        <v>19</v>
      </c>
      <c r="K16" s="17">
        <v>31</v>
      </c>
      <c r="M16" s="87" t="s">
        <v>74</v>
      </c>
      <c r="N16" s="88">
        <v>1.7699999999999999E-3</v>
      </c>
      <c r="O16" s="89"/>
      <c r="P16" s="89"/>
      <c r="Q16" s="90" t="b">
        <f t="shared" si="1"/>
        <v>1</v>
      </c>
      <c r="S16" s="97"/>
      <c r="T16" s="98"/>
      <c r="V16" s="56" t="s">
        <v>107</v>
      </c>
      <c r="W16" s="86" t="b">
        <v>0</v>
      </c>
      <c r="Y16" s="13" t="s">
        <v>130</v>
      </c>
      <c r="Z16" s="17" t="s">
        <v>217</v>
      </c>
      <c r="AB16" s="54"/>
      <c r="AC16" s="36"/>
      <c r="AE16" s="181" t="s">
        <v>409</v>
      </c>
      <c r="AF16" s="43">
        <v>42235</v>
      </c>
      <c r="AG16" s="43">
        <v>42326</v>
      </c>
      <c r="AH16" s="176">
        <v>99.68</v>
      </c>
      <c r="AI16" s="184"/>
      <c r="AK16" s="56" t="s">
        <v>111</v>
      </c>
      <c r="AL16" s="86" t="b">
        <v>1</v>
      </c>
      <c r="AN16" s="71" t="s">
        <v>366</v>
      </c>
      <c r="AO16" s="82">
        <v>2.6099999999999998E-2</v>
      </c>
      <c r="AP16" s="83" t="b">
        <f t="shared" si="0"/>
        <v>1</v>
      </c>
      <c r="AR16" s="56" t="s">
        <v>107</v>
      </c>
      <c r="AS16" s="86" t="b">
        <v>0</v>
      </c>
      <c r="AU16" s="56" t="s">
        <v>126</v>
      </c>
      <c r="AV16" s="31" t="s">
        <v>63</v>
      </c>
      <c r="AX16" s="87" t="s">
        <v>119</v>
      </c>
      <c r="AY16" s="103">
        <v>7.7999999999999999E-4</v>
      </c>
      <c r="BA16" s="56" t="s">
        <v>126</v>
      </c>
      <c r="BB16" s="31" t="s">
        <v>63</v>
      </c>
      <c r="BD16" s="87" t="s">
        <v>119</v>
      </c>
      <c r="BE16" s="103">
        <v>1.1624999999999999E-3</v>
      </c>
      <c r="BG16" s="56" t="s">
        <v>126</v>
      </c>
      <c r="BH16" s="31" t="s">
        <v>63</v>
      </c>
      <c r="BJ16" s="87" t="s">
        <v>26</v>
      </c>
      <c r="BK16" s="103">
        <v>2.2374999999999999E-3</v>
      </c>
      <c r="BM16" s="56"/>
      <c r="BN16" s="86"/>
      <c r="BP16" s="78"/>
      <c r="BQ16" s="106"/>
      <c r="BS16" s="87"/>
      <c r="BT16" s="103"/>
      <c r="BV16" s="56" t="s">
        <v>107</v>
      </c>
      <c r="BW16" s="86" t="b">
        <v>0</v>
      </c>
      <c r="BY16" s="56"/>
      <c r="BZ16" s="86"/>
      <c r="CB16" s="56"/>
      <c r="CC16" s="86"/>
      <c r="CE16" s="56"/>
      <c r="CF16" s="86"/>
      <c r="CI16" s="217"/>
      <c r="CJ16" s="217"/>
      <c r="CK16" s="217"/>
      <c r="CL16" s="217"/>
      <c r="CM16" s="217"/>
    </row>
    <row r="17" spans="2:91">
      <c r="B17" s="2" t="s">
        <v>355</v>
      </c>
      <c r="C17" s="9"/>
      <c r="G17" s="56" t="s">
        <v>100</v>
      </c>
      <c r="H17" s="86" t="s">
        <v>29</v>
      </c>
      <c r="J17" s="73" t="s">
        <v>103</v>
      </c>
      <c r="K17" s="17" t="b">
        <v>1</v>
      </c>
      <c r="M17" s="87" t="s">
        <v>70</v>
      </c>
      <c r="N17" s="88">
        <v>1.92E-3</v>
      </c>
      <c r="O17" s="89"/>
      <c r="P17" s="89"/>
      <c r="Q17" s="90" t="b">
        <f t="shared" si="1"/>
        <v>1</v>
      </c>
      <c r="S17" s="97"/>
      <c r="T17" s="98"/>
      <c r="V17" s="56" t="s">
        <v>100</v>
      </c>
      <c r="W17" s="86" t="s">
        <v>29</v>
      </c>
      <c r="Y17" s="13" t="s">
        <v>122</v>
      </c>
      <c r="Z17" s="17" t="s">
        <v>222</v>
      </c>
      <c r="AB17" s="54"/>
      <c r="AC17" s="36"/>
      <c r="AE17" s="42" t="s">
        <v>410</v>
      </c>
      <c r="AF17" s="43">
        <v>42263</v>
      </c>
      <c r="AG17" s="43">
        <v>42354</v>
      </c>
      <c r="AH17" s="176">
        <v>99.625</v>
      </c>
      <c r="AI17" s="184"/>
      <c r="AK17" s="56" t="s">
        <v>102</v>
      </c>
      <c r="AL17" s="86" t="b">
        <v>1</v>
      </c>
      <c r="AN17" s="71" t="s">
        <v>26</v>
      </c>
      <c r="AO17" s="82">
        <v>2.6724999999999999E-2</v>
      </c>
      <c r="AP17" s="83" t="b">
        <f t="shared" si="0"/>
        <v>1</v>
      </c>
      <c r="AR17" s="56" t="s">
        <v>100</v>
      </c>
      <c r="AS17" s="86" t="s">
        <v>29</v>
      </c>
      <c r="AU17" s="56" t="s">
        <v>120</v>
      </c>
      <c r="AV17" s="109" t="s">
        <v>23</v>
      </c>
      <c r="AX17" s="87" t="s">
        <v>113</v>
      </c>
      <c r="AY17" s="103">
        <v>8.0999999999999996E-4</v>
      </c>
      <c r="BA17" s="56" t="s">
        <v>120</v>
      </c>
      <c r="BB17" s="109" t="s">
        <v>53</v>
      </c>
      <c r="BD17" s="87" t="s">
        <v>113</v>
      </c>
      <c r="BE17" s="103">
        <v>1.1249999999999999E-3</v>
      </c>
      <c r="BG17" s="56" t="s">
        <v>120</v>
      </c>
      <c r="BH17" s="109" t="s">
        <v>265</v>
      </c>
      <c r="BJ17" s="87" t="s">
        <v>24</v>
      </c>
      <c r="BK17" s="103">
        <v>2.2374999999999999E-3</v>
      </c>
      <c r="BM17" s="56"/>
      <c r="BN17" s="86"/>
      <c r="BP17" s="79"/>
      <c r="BQ17" s="107"/>
      <c r="BS17" s="87"/>
      <c r="BT17" s="103"/>
      <c r="BV17" s="56" t="s">
        <v>100</v>
      </c>
      <c r="BW17" s="86" t="s">
        <v>29</v>
      </c>
      <c r="BY17" s="56"/>
      <c r="BZ17" s="86"/>
      <c r="CB17" s="56"/>
      <c r="CC17" s="86"/>
      <c r="CE17" s="56"/>
      <c r="CF17" s="86"/>
      <c r="CI17" s="217"/>
      <c r="CJ17" s="217"/>
      <c r="CK17" s="217"/>
      <c r="CL17" s="217"/>
      <c r="CM17" s="217"/>
    </row>
    <row r="18" spans="2:91">
      <c r="B18" s="55" t="s">
        <v>201</v>
      </c>
      <c r="C18" s="126" t="s">
        <v>349</v>
      </c>
      <c r="D18" s="127"/>
      <c r="E18" s="128"/>
      <c r="G18" s="56" t="s">
        <v>235</v>
      </c>
      <c r="H18" s="86" t="b">
        <v>0</v>
      </c>
      <c r="J18" s="56"/>
      <c r="K18" s="15"/>
      <c r="M18" s="87" t="s">
        <v>23</v>
      </c>
      <c r="N18" s="88">
        <v>2.1800000000000001E-3</v>
      </c>
      <c r="O18" s="89"/>
      <c r="P18" s="89"/>
      <c r="Q18" s="90" t="b">
        <f t="shared" si="1"/>
        <v>1</v>
      </c>
      <c r="S18" s="97"/>
      <c r="T18" s="98"/>
      <c r="V18" s="56" t="s">
        <v>235</v>
      </c>
      <c r="W18" s="86" t="b">
        <v>0</v>
      </c>
      <c r="Y18" s="13" t="s">
        <v>134</v>
      </c>
      <c r="Z18" s="17" t="s">
        <v>43</v>
      </c>
      <c r="AB18" s="54"/>
      <c r="AC18" s="36"/>
      <c r="AE18" s="45" t="s">
        <v>411</v>
      </c>
      <c r="AF18" s="46">
        <v>42298</v>
      </c>
      <c r="AG18" s="46">
        <v>42389</v>
      </c>
      <c r="AH18" s="177">
        <v>99.575000000000003</v>
      </c>
      <c r="AI18" s="185"/>
      <c r="AK18" s="56" t="s">
        <v>94</v>
      </c>
      <c r="AL18" s="86">
        <v>2</v>
      </c>
      <c r="AN18" s="71" t="s">
        <v>24</v>
      </c>
      <c r="AO18" s="82">
        <v>2.8036999999999999E-2</v>
      </c>
      <c r="AP18" s="83" t="b">
        <f t="shared" si="0"/>
        <v>1</v>
      </c>
      <c r="AR18" s="56" t="s">
        <v>235</v>
      </c>
      <c r="AS18" s="86" t="b">
        <v>0</v>
      </c>
      <c r="AU18" s="56" t="s">
        <v>114</v>
      </c>
      <c r="AV18" s="17" t="s">
        <v>55</v>
      </c>
      <c r="AX18" s="87" t="s">
        <v>28</v>
      </c>
      <c r="AY18" s="103">
        <v>8.0000000000000004E-4</v>
      </c>
      <c r="BA18" s="56" t="s">
        <v>114</v>
      </c>
      <c r="BB18" s="17" t="s">
        <v>55</v>
      </c>
      <c r="BD18" s="87" t="s">
        <v>28</v>
      </c>
      <c r="BE18" s="103">
        <v>1.1000000000000001E-3</v>
      </c>
      <c r="BG18" s="56" t="s">
        <v>114</v>
      </c>
      <c r="BH18" s="17" t="s">
        <v>55</v>
      </c>
      <c r="BJ18" s="87" t="s">
        <v>20</v>
      </c>
      <c r="BK18" s="103">
        <v>2.225E-3</v>
      </c>
      <c r="BM18" s="56"/>
      <c r="BN18" s="86"/>
      <c r="BP18" s="56"/>
      <c r="BQ18" s="86"/>
      <c r="BS18" s="87"/>
      <c r="BT18" s="103"/>
      <c r="BV18" s="56" t="s">
        <v>235</v>
      </c>
      <c r="BW18" s="86" t="b">
        <v>0</v>
      </c>
      <c r="BY18" s="56"/>
      <c r="BZ18" s="86"/>
      <c r="CB18" s="56"/>
      <c r="CC18" s="86"/>
      <c r="CE18" s="56"/>
      <c r="CF18" s="86"/>
      <c r="CI18" s="217"/>
      <c r="CJ18" s="217"/>
      <c r="CK18" s="217"/>
      <c r="CL18" s="217"/>
      <c r="CM18" s="217"/>
    </row>
    <row r="19" spans="2:91">
      <c r="B19" s="56" t="s">
        <v>63</v>
      </c>
      <c r="C19" s="129" t="s">
        <v>9</v>
      </c>
      <c r="D19" s="130"/>
      <c r="E19" s="131"/>
      <c r="G19" s="56" t="s">
        <v>254</v>
      </c>
      <c r="H19" s="86" t="b">
        <v>1</v>
      </c>
      <c r="J19" s="56"/>
      <c r="K19" s="15"/>
      <c r="M19" s="87" t="s">
        <v>57</v>
      </c>
      <c r="N19" s="88">
        <v>2.8999999999999998E-3</v>
      </c>
      <c r="O19" s="89"/>
      <c r="P19" s="89"/>
      <c r="Q19" s="90" t="b">
        <f t="shared" si="1"/>
        <v>1</v>
      </c>
      <c r="S19" s="97"/>
      <c r="T19" s="98"/>
      <c r="V19" s="56" t="s">
        <v>254</v>
      </c>
      <c r="W19" s="86" t="b">
        <v>1</v>
      </c>
      <c r="Y19" s="57" t="s">
        <v>115</v>
      </c>
      <c r="Z19" s="17" t="s">
        <v>227</v>
      </c>
      <c r="AB19" s="54"/>
      <c r="AC19" s="36"/>
      <c r="AE19" s="45" t="s">
        <v>412</v>
      </c>
      <c r="AF19" s="46">
        <v>42326</v>
      </c>
      <c r="AG19" s="46">
        <v>42417</v>
      </c>
      <c r="AH19" s="177">
        <v>99.525000000000006</v>
      </c>
      <c r="AI19" s="185"/>
      <c r="AK19" s="56" t="s">
        <v>90</v>
      </c>
      <c r="AL19" s="86" t="s">
        <v>40</v>
      </c>
      <c r="AN19" s="71" t="s">
        <v>20</v>
      </c>
      <c r="AO19" s="82">
        <v>2.9229999999999999E-2</v>
      </c>
      <c r="AP19" s="83" t="b">
        <f t="shared" si="0"/>
        <v>1</v>
      </c>
      <c r="AR19" s="56" t="s">
        <v>254</v>
      </c>
      <c r="AS19" s="86" t="b">
        <v>1</v>
      </c>
      <c r="AU19" s="56" t="s">
        <v>109</v>
      </c>
      <c r="AV19" s="17" t="s">
        <v>46</v>
      </c>
      <c r="AX19" s="87" t="s">
        <v>26</v>
      </c>
      <c r="AY19" s="103">
        <v>8.3750000000000003E-4</v>
      </c>
      <c r="BA19" s="56" t="s">
        <v>109</v>
      </c>
      <c r="BB19" s="17" t="s">
        <v>46</v>
      </c>
      <c r="BD19" s="87" t="s">
        <v>26</v>
      </c>
      <c r="BE19" s="103">
        <v>1.0625000000000001E-3</v>
      </c>
      <c r="BG19" s="56" t="s">
        <v>109</v>
      </c>
      <c r="BH19" s="17" t="s">
        <v>46</v>
      </c>
      <c r="BJ19" s="87" t="s">
        <v>18</v>
      </c>
      <c r="BK19" s="103">
        <v>2.2000000000000001E-3</v>
      </c>
      <c r="BM19" s="56"/>
      <c r="BN19" s="86"/>
      <c r="BP19" s="56"/>
      <c r="BQ19" s="86"/>
      <c r="BS19" s="87"/>
      <c r="BT19" s="103"/>
      <c r="BV19" s="56" t="s">
        <v>254</v>
      </c>
      <c r="BW19" s="86" t="b">
        <v>1</v>
      </c>
      <c r="BY19" s="56"/>
      <c r="BZ19" s="86"/>
      <c r="CB19" s="56"/>
      <c r="CC19" s="86"/>
      <c r="CE19" s="56"/>
      <c r="CF19" s="86"/>
      <c r="CI19" s="217"/>
      <c r="CJ19" s="217"/>
      <c r="CK19" s="217"/>
      <c r="CL19" s="217"/>
      <c r="CM19" s="217"/>
    </row>
    <row r="20" spans="2:91">
      <c r="B20" s="56" t="s">
        <v>363</v>
      </c>
      <c r="C20" s="129" t="s">
        <v>8</v>
      </c>
      <c r="D20" s="133"/>
      <c r="E20" s="134"/>
      <c r="G20" s="56" t="s">
        <v>91</v>
      </c>
      <c r="H20" s="86" t="s">
        <v>29</v>
      </c>
      <c r="J20" s="56"/>
      <c r="K20" s="15"/>
      <c r="M20" s="87" t="s">
        <v>265</v>
      </c>
      <c r="N20" s="88">
        <v>3.6800000000000001E-3</v>
      </c>
      <c r="O20" s="89"/>
      <c r="P20" s="89"/>
      <c r="Q20" s="90" t="b">
        <f t="shared" si="1"/>
        <v>1</v>
      </c>
      <c r="S20" s="97"/>
      <c r="T20" s="98"/>
      <c r="V20" s="56" t="s">
        <v>91</v>
      </c>
      <c r="W20" s="86" t="s">
        <v>29</v>
      </c>
      <c r="Y20" s="57" t="s">
        <v>123</v>
      </c>
      <c r="Z20" s="17" t="b">
        <v>1</v>
      </c>
      <c r="AB20" s="54"/>
      <c r="AC20" s="36"/>
      <c r="AE20" s="45" t="s">
        <v>413</v>
      </c>
      <c r="AF20" s="46">
        <v>42354</v>
      </c>
      <c r="AG20" s="46">
        <v>42445</v>
      </c>
      <c r="AH20" s="177">
        <v>99.454999999999998</v>
      </c>
      <c r="AI20" s="185"/>
      <c r="AK20" s="56" t="s">
        <v>34</v>
      </c>
      <c r="AL20" s="86" t="b">
        <v>1</v>
      </c>
      <c r="AN20" s="71" t="s">
        <v>18</v>
      </c>
      <c r="AO20" s="82">
        <v>2.9790000000000001E-2</v>
      </c>
      <c r="AP20" s="83" t="b">
        <f t="shared" si="0"/>
        <v>1</v>
      </c>
      <c r="AR20" s="56" t="s">
        <v>91</v>
      </c>
      <c r="AS20" s="86" t="s">
        <v>29</v>
      </c>
      <c r="AU20" s="56" t="s">
        <v>105</v>
      </c>
      <c r="AV20" s="17" t="s">
        <v>48</v>
      </c>
      <c r="AX20" s="87" t="s">
        <v>24</v>
      </c>
      <c r="AY20" s="103">
        <v>8.7874999999999997E-4</v>
      </c>
      <c r="BA20" s="56" t="s">
        <v>105</v>
      </c>
      <c r="BB20" s="17" t="s">
        <v>48</v>
      </c>
      <c r="BD20" s="87" t="s">
        <v>24</v>
      </c>
      <c r="BE20" s="103">
        <v>1.0375E-3</v>
      </c>
      <c r="BG20" s="56" t="s">
        <v>105</v>
      </c>
      <c r="BH20" s="17" t="s">
        <v>48</v>
      </c>
      <c r="BJ20" s="87" t="s">
        <v>17</v>
      </c>
      <c r="BK20" s="103">
        <v>2.2125000000000001E-3</v>
      </c>
      <c r="BM20" s="56"/>
      <c r="BN20" s="86"/>
      <c r="BP20" s="56"/>
      <c r="BQ20" s="86"/>
      <c r="BS20" s="87"/>
      <c r="BT20" s="103"/>
      <c r="BV20" s="56" t="s">
        <v>91</v>
      </c>
      <c r="BW20" s="86" t="s">
        <v>29</v>
      </c>
      <c r="BY20" s="56"/>
      <c r="BZ20" s="86"/>
      <c r="CB20" s="56"/>
      <c r="CC20" s="86"/>
      <c r="CE20" s="56"/>
      <c r="CF20" s="86"/>
      <c r="CI20" s="217"/>
      <c r="CJ20" s="217"/>
      <c r="CK20" s="217"/>
      <c r="CL20" s="217"/>
      <c r="CM20" s="217"/>
    </row>
    <row r="21" spans="2:91">
      <c r="B21" s="56" t="s">
        <v>206</v>
      </c>
      <c r="C21" s="132" t="s">
        <v>318</v>
      </c>
      <c r="D21" s="133"/>
      <c r="E21" s="134"/>
      <c r="G21" s="56"/>
      <c r="H21" s="86"/>
      <c r="J21" s="56"/>
      <c r="K21" s="15"/>
      <c r="M21" s="87" t="s">
        <v>45</v>
      </c>
      <c r="N21" s="88">
        <v>5.4400000000000004E-3</v>
      </c>
      <c r="O21" s="89"/>
      <c r="P21" s="89"/>
      <c r="Q21" s="90" t="b">
        <f t="shared" si="1"/>
        <v>1</v>
      </c>
      <c r="S21" s="97"/>
      <c r="T21" s="98"/>
      <c r="V21" s="56" t="s">
        <v>81</v>
      </c>
      <c r="W21" s="86" t="s">
        <v>201</v>
      </c>
      <c r="Y21" s="57"/>
      <c r="Z21" s="17"/>
      <c r="AB21" s="54"/>
      <c r="AC21" s="36"/>
      <c r="AE21" s="45" t="s">
        <v>414</v>
      </c>
      <c r="AF21" s="46">
        <v>42445</v>
      </c>
      <c r="AG21" s="46">
        <v>42536</v>
      </c>
      <c r="AH21" s="177">
        <v>99.265000000000001</v>
      </c>
      <c r="AI21" s="185"/>
      <c r="AK21" s="56" t="s">
        <v>99</v>
      </c>
      <c r="AL21" s="86" t="s">
        <v>98</v>
      </c>
      <c r="AN21" s="71" t="s">
        <v>17</v>
      </c>
      <c r="AO21" s="82">
        <v>3.0135000000000002E-2</v>
      </c>
      <c r="AP21" s="83" t="b">
        <f t="shared" si="0"/>
        <v>1</v>
      </c>
      <c r="AR21" s="56" t="s">
        <v>81</v>
      </c>
      <c r="AS21" s="86" t="s">
        <v>201</v>
      </c>
      <c r="AU21" s="56" t="s">
        <v>101</v>
      </c>
      <c r="AV21" s="17" t="s">
        <v>46</v>
      </c>
      <c r="AX21" s="87" t="s">
        <v>20</v>
      </c>
      <c r="AY21" s="103">
        <v>8.9999999999999998E-4</v>
      </c>
      <c r="BA21" s="56" t="s">
        <v>101</v>
      </c>
      <c r="BB21" s="17" t="s">
        <v>46</v>
      </c>
      <c r="BD21" s="87" t="s">
        <v>20</v>
      </c>
      <c r="BE21" s="103">
        <v>1.0499999999999999E-3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17"/>
      <c r="CK21" s="217"/>
      <c r="CL21" s="217"/>
      <c r="CM21" s="217"/>
    </row>
    <row r="22" spans="2:91">
      <c r="B22" s="56" t="s">
        <v>207</v>
      </c>
      <c r="C22" s="132" t="s">
        <v>316</v>
      </c>
      <c r="D22" s="133"/>
      <c r="E22" s="134"/>
      <c r="G22" s="56"/>
      <c r="H22" s="17"/>
      <c r="J22" s="56"/>
      <c r="K22" s="17"/>
      <c r="M22" s="87" t="s">
        <v>42</v>
      </c>
      <c r="N22" s="88">
        <v>7.28E-3</v>
      </c>
      <c r="O22" s="89" t="s">
        <v>88</v>
      </c>
      <c r="P22" s="89" t="s">
        <v>88</v>
      </c>
      <c r="Q22" s="90" t="b">
        <f t="shared" si="1"/>
        <v>1</v>
      </c>
      <c r="S22" s="97"/>
      <c r="T22" s="98"/>
      <c r="V22" s="56"/>
      <c r="W22" s="86"/>
      <c r="Y22" s="57"/>
      <c r="Z22" s="17"/>
      <c r="AB22" s="54"/>
      <c r="AC22" s="36"/>
      <c r="AE22" s="45" t="s">
        <v>415</v>
      </c>
      <c r="AF22" s="46">
        <v>42536</v>
      </c>
      <c r="AG22" s="46">
        <v>42634</v>
      </c>
      <c r="AH22" s="177">
        <v>99.06</v>
      </c>
      <c r="AI22" s="185"/>
      <c r="AK22" s="56"/>
      <c r="AL22" s="86"/>
      <c r="AN22" s="71" t="s">
        <v>15</v>
      </c>
      <c r="AO22" s="82">
        <v>3.0314999999999998E-2</v>
      </c>
      <c r="AP22" s="83" t="b">
        <f t="shared" si="0"/>
        <v>1</v>
      </c>
      <c r="AR22" s="56"/>
      <c r="AS22" s="17"/>
      <c r="AU22" s="56" t="s">
        <v>96</v>
      </c>
      <c r="AV22" s="17" t="s">
        <v>43</v>
      </c>
      <c r="AX22" s="87" t="s">
        <v>18</v>
      </c>
      <c r="AY22" s="103">
        <v>9.1250000000000001E-4</v>
      </c>
      <c r="BA22" s="56" t="s">
        <v>96</v>
      </c>
      <c r="BB22" s="17" t="s">
        <v>43</v>
      </c>
      <c r="BD22" s="87" t="s">
        <v>18</v>
      </c>
      <c r="BE22" s="103">
        <v>1.075E-3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17"/>
      <c r="CK22" s="217"/>
      <c r="CL22" s="217"/>
      <c r="CM22" s="217"/>
    </row>
    <row r="23" spans="2:91">
      <c r="B23" s="152" t="s">
        <v>287</v>
      </c>
      <c r="C23" s="132" t="s">
        <v>317</v>
      </c>
      <c r="D23" s="133"/>
      <c r="E23" s="134"/>
      <c r="G23" s="13"/>
      <c r="H23" s="30"/>
      <c r="J23" s="13"/>
      <c r="K23" s="30"/>
      <c r="M23" s="87" t="s">
        <v>39</v>
      </c>
      <c r="N23" s="88">
        <v>1.0620000000000001E-2</v>
      </c>
      <c r="O23" s="89" t="s">
        <v>88</v>
      </c>
      <c r="P23" s="89" t="s">
        <v>88</v>
      </c>
      <c r="Q23" s="90" t="b">
        <f t="shared" si="1"/>
        <v>1</v>
      </c>
      <c r="S23" s="97"/>
      <c r="T23" s="98"/>
      <c r="V23" s="56"/>
      <c r="W23" s="86"/>
      <c r="Y23" s="57"/>
      <c r="Z23" s="17"/>
      <c r="AB23" s="54"/>
      <c r="AC23" s="36"/>
      <c r="AE23" s="45" t="s">
        <v>416</v>
      </c>
      <c r="AF23" s="46">
        <v>42634</v>
      </c>
      <c r="AG23" s="46">
        <v>42725</v>
      </c>
      <c r="AH23" s="177">
        <v>98.83</v>
      </c>
      <c r="AI23" s="185"/>
      <c r="AK23" s="56"/>
      <c r="AL23" s="86"/>
      <c r="AN23" s="71" t="s">
        <v>14</v>
      </c>
      <c r="AO23" s="82">
        <v>3.0139999999999997E-2</v>
      </c>
      <c r="AP23" s="83" t="b">
        <f t="shared" si="0"/>
        <v>1</v>
      </c>
      <c r="AR23" s="13"/>
      <c r="AS23" s="30"/>
      <c r="AU23" s="79" t="s">
        <v>92</v>
      </c>
      <c r="AV23" s="20" t="s">
        <v>40</v>
      </c>
      <c r="AX23" s="87" t="s">
        <v>17</v>
      </c>
      <c r="AY23" s="103">
        <v>9.1250000000000001E-4</v>
      </c>
      <c r="BA23" s="79" t="s">
        <v>92</v>
      </c>
      <c r="BB23" s="20" t="s">
        <v>40</v>
      </c>
      <c r="BD23" s="87" t="s">
        <v>17</v>
      </c>
      <c r="BE23" s="103">
        <v>1.0874999999999999E-3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17"/>
      <c r="CK23" s="217"/>
      <c r="CL23" s="217"/>
      <c r="CM23" s="217"/>
    </row>
    <row r="24" spans="2:91">
      <c r="B24" s="56"/>
      <c r="C24" s="132"/>
      <c r="D24" s="133"/>
      <c r="E24" s="134"/>
      <c r="G24" s="14"/>
      <c r="H24" s="32"/>
      <c r="J24" s="14"/>
      <c r="K24" s="32"/>
      <c r="M24" s="87" t="s">
        <v>35</v>
      </c>
      <c r="N24" s="88">
        <v>1.3469999999999999E-2</v>
      </c>
      <c r="O24" s="89" t="s">
        <v>88</v>
      </c>
      <c r="P24" s="89" t="s">
        <v>88</v>
      </c>
      <c r="Q24" s="90" t="b">
        <f t="shared" si="1"/>
        <v>1</v>
      </c>
      <c r="S24" s="97"/>
      <c r="T24" s="98"/>
      <c r="V24" s="56"/>
      <c r="W24" s="86"/>
      <c r="Y24" s="57"/>
      <c r="Z24" s="17"/>
      <c r="AB24" s="54"/>
      <c r="AC24" s="36"/>
      <c r="AE24" s="45" t="s">
        <v>417</v>
      </c>
      <c r="AF24" s="46">
        <v>42725</v>
      </c>
      <c r="AG24" s="46">
        <v>42809</v>
      </c>
      <c r="AH24" s="177">
        <v>98.605000000000004</v>
      </c>
      <c r="AI24" s="185"/>
      <c r="AK24" s="56"/>
      <c r="AL24" s="86"/>
      <c r="AN24" s="71" t="s">
        <v>88</v>
      </c>
      <c r="AO24" s="82" t="s">
        <v>88</v>
      </c>
      <c r="AP24" s="83" t="b">
        <f t="shared" si="0"/>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17"/>
      <c r="CK24" s="217"/>
      <c r="CL24" s="217"/>
      <c r="CM24" s="217"/>
    </row>
    <row r="25" spans="2:91">
      <c r="B25" s="62"/>
      <c r="C25" s="135"/>
      <c r="D25" s="136"/>
      <c r="E25" s="137"/>
      <c r="M25" s="87" t="s">
        <v>33</v>
      </c>
      <c r="N25" s="88">
        <v>1.5910000000000001E-2</v>
      </c>
      <c r="O25" s="89"/>
      <c r="P25" s="89"/>
      <c r="Q25" s="90" t="b">
        <f t="shared" si="1"/>
        <v>1</v>
      </c>
      <c r="S25" s="97"/>
      <c r="T25" s="98"/>
      <c r="V25" s="56"/>
      <c r="W25" s="86"/>
      <c r="Y25" s="58"/>
      <c r="Z25" s="20"/>
      <c r="AB25" s="65"/>
      <c r="AC25" s="41"/>
      <c r="AE25" s="48" t="s">
        <v>418</v>
      </c>
      <c r="AF25" s="46">
        <v>42809</v>
      </c>
      <c r="AG25" s="46">
        <v>42907</v>
      </c>
      <c r="AH25" s="178">
        <v>98.415000000000006</v>
      </c>
      <c r="AI25" s="185"/>
      <c r="AK25" s="56"/>
      <c r="AL25" s="86"/>
      <c r="AN25" s="71" t="s">
        <v>88</v>
      </c>
      <c r="AO25" s="82" t="s">
        <v>88</v>
      </c>
      <c r="AP25" s="83" t="b">
        <f t="shared" si="0"/>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17"/>
      <c r="CK25" s="217"/>
      <c r="CL25" s="217"/>
      <c r="CM25" s="217"/>
    </row>
    <row r="26" spans="2:91">
      <c r="M26" s="87" t="s">
        <v>31</v>
      </c>
      <c r="N26" s="88">
        <v>1.9562800000000002E-2</v>
      </c>
      <c r="O26" s="89"/>
      <c r="P26" s="89"/>
      <c r="Q26" s="90" t="b">
        <f t="shared" si="1"/>
        <v>1</v>
      </c>
      <c r="S26" s="97"/>
      <c r="T26" s="98"/>
      <c r="V26" s="13"/>
      <c r="W26" s="30"/>
      <c r="Y26" s="57"/>
      <c r="Z26" s="17"/>
      <c r="AB26" s="54"/>
      <c r="AC26" s="36"/>
      <c r="AE26" s="50" t="s">
        <v>419</v>
      </c>
      <c r="AF26" s="182">
        <v>42907</v>
      </c>
      <c r="AG26" s="182">
        <v>42998</v>
      </c>
      <c r="AH26" s="178">
        <v>98.23</v>
      </c>
      <c r="AI26" s="186"/>
      <c r="AK26" s="56"/>
      <c r="AL26" s="86"/>
      <c r="AN26" s="71" t="s">
        <v>88</v>
      </c>
      <c r="AO26" s="82" t="s">
        <v>88</v>
      </c>
      <c r="AP26" s="83" t="b">
        <f t="shared" si="0"/>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17"/>
      <c r="CK26" s="217"/>
      <c r="CL26" s="217"/>
      <c r="CM26" s="217"/>
    </row>
    <row r="27" spans="2:91">
      <c r="B27" s="2" t="s">
        <v>356</v>
      </c>
      <c r="C27" s="9"/>
      <c r="M27" s="87" t="s">
        <v>28</v>
      </c>
      <c r="N27" s="88">
        <v>2.2876500000000001E-2</v>
      </c>
      <c r="O27" s="89"/>
      <c r="P27" s="89"/>
      <c r="Q27" s="90" t="b">
        <f t="shared" si="1"/>
        <v>1</v>
      </c>
      <c r="S27" s="97"/>
      <c r="T27" s="98"/>
      <c r="V27" s="13"/>
      <c r="W27" s="30"/>
      <c r="Y27" s="59" t="s">
        <v>80</v>
      </c>
      <c r="Z27" s="17"/>
      <c r="AB27" s="59" t="s">
        <v>79</v>
      </c>
      <c r="AC27" s="36"/>
      <c r="AE27" s="50" t="s">
        <v>420</v>
      </c>
      <c r="AF27" s="182">
        <v>42998</v>
      </c>
      <c r="AG27" s="182">
        <v>43089</v>
      </c>
      <c r="AH27" s="178">
        <v>98.07</v>
      </c>
      <c r="AI27" s="186"/>
      <c r="AK27" s="56"/>
      <c r="AL27" s="86"/>
      <c r="AN27" s="71" t="s">
        <v>88</v>
      </c>
      <c r="AO27" s="82" t="s">
        <v>88</v>
      </c>
      <c r="AP27" s="83" t="b">
        <f t="shared" si="0"/>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17"/>
      <c r="CK27" s="217"/>
      <c r="CL27" s="217"/>
      <c r="CM27" s="217"/>
    </row>
    <row r="28" spans="2:91">
      <c r="B28" s="55" t="s">
        <v>201</v>
      </c>
      <c r="C28" s="126" t="s">
        <v>202</v>
      </c>
      <c r="D28" s="127"/>
      <c r="E28" s="128"/>
      <c r="M28" s="87" t="s">
        <v>26</v>
      </c>
      <c r="N28" s="88">
        <v>2.4225799999999999E-2</v>
      </c>
      <c r="O28" s="89"/>
      <c r="P28" s="89"/>
      <c r="Q28" s="90" t="b">
        <f t="shared" si="1"/>
        <v>1</v>
      </c>
      <c r="S28" s="97"/>
      <c r="T28" s="98"/>
      <c r="V28" s="13"/>
      <c r="W28" s="30"/>
      <c r="Y28" s="60" t="s">
        <v>76</v>
      </c>
      <c r="Z28" s="16" t="s">
        <v>75</v>
      </c>
      <c r="AB28" s="60" t="s">
        <v>76</v>
      </c>
      <c r="AC28" s="16" t="s">
        <v>75</v>
      </c>
      <c r="AE28" s="50" t="s">
        <v>421</v>
      </c>
      <c r="AF28" s="182">
        <v>43089</v>
      </c>
      <c r="AG28" s="182">
        <v>43180</v>
      </c>
      <c r="AH28" s="178">
        <v>97.915000000000006</v>
      </c>
      <c r="AI28" s="186"/>
      <c r="AK28" s="56"/>
      <c r="AL28" s="86"/>
      <c r="AN28" s="71" t="s">
        <v>88</v>
      </c>
      <c r="AO28" s="82" t="s">
        <v>88</v>
      </c>
      <c r="AP28" s="83" t="b">
        <f t="shared" si="0"/>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17"/>
      <c r="CK28" s="217"/>
      <c r="CL28" s="217"/>
      <c r="CM28" s="217"/>
    </row>
    <row r="29" spans="2:91">
      <c r="B29" s="56" t="s">
        <v>63</v>
      </c>
      <c r="C29" s="129" t="s">
        <v>9</v>
      </c>
      <c r="D29" s="130"/>
      <c r="E29" s="131"/>
      <c r="M29" s="87" t="s">
        <v>24</v>
      </c>
      <c r="N29" s="88">
        <v>2.5529099999999999E-2</v>
      </c>
      <c r="O29" s="89"/>
      <c r="P29" s="89"/>
      <c r="Q29" s="90" t="b">
        <f t="shared" si="1"/>
        <v>1</v>
      </c>
      <c r="S29" s="97"/>
      <c r="T29" s="98"/>
      <c r="V29" s="13"/>
      <c r="W29" s="30"/>
      <c r="Y29" s="54" t="s">
        <v>53</v>
      </c>
      <c r="Z29" s="188">
        <v>2.8579999999999999E-3</v>
      </c>
      <c r="AB29" s="54"/>
      <c r="AC29" s="36"/>
      <c r="AE29" s="50" t="s">
        <v>422</v>
      </c>
      <c r="AF29" s="182">
        <v>43180</v>
      </c>
      <c r="AG29" s="182">
        <v>43271</v>
      </c>
      <c r="AH29" s="178">
        <v>97.784999999999997</v>
      </c>
      <c r="AI29" s="186"/>
      <c r="AK29" s="56"/>
      <c r="AL29" s="86"/>
      <c r="AN29" s="71" t="s">
        <v>88</v>
      </c>
      <c r="AO29" s="82" t="s">
        <v>88</v>
      </c>
      <c r="AP29" s="83" t="b">
        <f t="shared" si="0"/>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17"/>
      <c r="CK29" s="217"/>
      <c r="CL29" s="217"/>
      <c r="CM29" s="217"/>
    </row>
    <row r="30" spans="2:91">
      <c r="B30" s="56" t="s">
        <v>206</v>
      </c>
      <c r="C30" s="132" t="s">
        <v>318</v>
      </c>
      <c r="D30" s="133"/>
      <c r="E30" s="134"/>
      <c r="M30" s="87" t="s">
        <v>20</v>
      </c>
      <c r="N30" s="88">
        <v>2.6720399999999998E-2</v>
      </c>
      <c r="O30" s="89"/>
      <c r="P30" s="89"/>
      <c r="Q30" s="90" t="b">
        <f t="shared" si="1"/>
        <v>1</v>
      </c>
      <c r="S30" s="97"/>
      <c r="T30" s="98"/>
      <c r="V30" s="13"/>
      <c r="W30" s="30"/>
      <c r="Y30" s="54"/>
      <c r="Z30" s="36"/>
      <c r="AB30" s="54"/>
      <c r="AC30" s="36"/>
      <c r="AE30" s="50" t="s">
        <v>12</v>
      </c>
      <c r="AF30" s="182" t="s">
        <v>12</v>
      </c>
      <c r="AG30" s="182" t="s">
        <v>12</v>
      </c>
      <c r="AH30" s="178" t="s">
        <v>88</v>
      </c>
      <c r="AI30" s="186"/>
      <c r="AK30" s="56"/>
      <c r="AL30" s="86"/>
      <c r="AN30" s="71" t="s">
        <v>88</v>
      </c>
      <c r="AO30" s="82" t="s">
        <v>88</v>
      </c>
      <c r="AP30" s="83" t="b">
        <f t="shared" si="0"/>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c r="CI30" s="217"/>
      <c r="CJ30" s="217"/>
      <c r="CK30" s="217"/>
      <c r="CL30" s="217"/>
      <c r="CM30" s="217"/>
    </row>
    <row r="31" spans="2:91">
      <c r="B31" s="56" t="s">
        <v>207</v>
      </c>
      <c r="C31" s="132" t="s">
        <v>316</v>
      </c>
      <c r="D31" s="133"/>
      <c r="E31" s="134"/>
      <c r="M31" s="87" t="s">
        <v>18</v>
      </c>
      <c r="N31" s="88">
        <v>2.72845E-2</v>
      </c>
      <c r="O31" s="89"/>
      <c r="P31" s="89"/>
      <c r="Q31" s="90" t="b">
        <f t="shared" si="1"/>
        <v>1</v>
      </c>
      <c r="S31" s="97"/>
      <c r="T31" s="98"/>
      <c r="V31" s="13"/>
      <c r="W31" s="30"/>
      <c r="Y31" s="54"/>
      <c r="Z31" s="36"/>
      <c r="AB31" s="54"/>
      <c r="AC31" s="36"/>
      <c r="AE31" s="50" t="s">
        <v>12</v>
      </c>
      <c r="AF31" s="182" t="s">
        <v>12</v>
      </c>
      <c r="AG31" s="182" t="s">
        <v>12</v>
      </c>
      <c r="AH31" s="178" t="s">
        <v>88</v>
      </c>
      <c r="AI31" s="186"/>
      <c r="AK31" s="56"/>
      <c r="AL31" s="86"/>
      <c r="AN31" s="71" t="s">
        <v>88</v>
      </c>
      <c r="AO31" s="82" t="s">
        <v>88</v>
      </c>
      <c r="AP31" s="83" t="b">
        <f t="shared" si="0"/>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91">
      <c r="B32" s="152" t="s">
        <v>287</v>
      </c>
      <c r="C32" s="132" t="s">
        <v>317</v>
      </c>
      <c r="D32" s="133"/>
      <c r="E32" s="134"/>
      <c r="M32" s="87" t="s">
        <v>17</v>
      </c>
      <c r="N32" s="88">
        <v>2.7620599999999999E-2</v>
      </c>
      <c r="O32" s="89"/>
      <c r="P32" s="89"/>
      <c r="Q32" s="90" t="b">
        <f t="shared" si="1"/>
        <v>1</v>
      </c>
      <c r="S32" s="97"/>
      <c r="T32" s="98"/>
      <c r="V32" s="13"/>
      <c r="W32" s="30"/>
      <c r="Y32" s="54"/>
      <c r="Z32" s="36"/>
      <c r="AA32" s="3"/>
      <c r="AB32" s="54"/>
      <c r="AC32" s="36"/>
      <c r="AD32" s="3"/>
      <c r="AE32" s="50" t="s">
        <v>12</v>
      </c>
      <c r="AF32" s="182" t="s">
        <v>12</v>
      </c>
      <c r="AG32" s="182" t="s">
        <v>12</v>
      </c>
      <c r="AH32" s="178" t="s">
        <v>88</v>
      </c>
      <c r="AI32" s="186"/>
      <c r="AK32" s="56"/>
      <c r="AL32" s="86"/>
      <c r="AN32" s="71" t="s">
        <v>88</v>
      </c>
      <c r="AO32" s="82" t="s">
        <v>88</v>
      </c>
      <c r="AP32" s="83" t="b">
        <f t="shared" si="0"/>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2.77956E-2</v>
      </c>
      <c r="O33" s="89"/>
      <c r="P33" s="89"/>
      <c r="Q33" s="90" t="b">
        <f t="shared" si="1"/>
        <v>1</v>
      </c>
      <c r="S33" s="97"/>
      <c r="T33" s="98"/>
      <c r="V33" s="13"/>
      <c r="W33" s="30"/>
      <c r="Y33" s="54"/>
      <c r="Z33" s="36"/>
      <c r="AA33" s="3"/>
      <c r="AB33" s="54"/>
      <c r="AC33" s="36"/>
      <c r="AD33" s="3"/>
      <c r="AE33" s="50" t="s">
        <v>12</v>
      </c>
      <c r="AF33" s="182" t="s">
        <v>12</v>
      </c>
      <c r="AG33" s="182" t="s">
        <v>12</v>
      </c>
      <c r="AH33" s="178" t="s">
        <v>88</v>
      </c>
      <c r="AI33" s="186"/>
      <c r="AK33" s="56"/>
      <c r="AL33" s="86"/>
      <c r="AN33" s="71" t="s">
        <v>88</v>
      </c>
      <c r="AO33" s="82" t="s">
        <v>88</v>
      </c>
      <c r="AP33" s="83" t="b">
        <f t="shared" si="0"/>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2.7630599999999998E-2</v>
      </c>
      <c r="O34" s="89"/>
      <c r="P34" s="89"/>
      <c r="Q34" s="90" t="b">
        <f t="shared" si="1"/>
        <v>1</v>
      </c>
      <c r="S34" s="97"/>
      <c r="T34" s="98"/>
      <c r="V34" s="13"/>
      <c r="W34" s="30"/>
      <c r="Y34" s="54"/>
      <c r="Z34" s="36"/>
      <c r="AA34" s="3"/>
      <c r="AB34" s="54"/>
      <c r="AC34" s="36"/>
      <c r="AD34" s="3"/>
      <c r="AE34" s="50" t="s">
        <v>12</v>
      </c>
      <c r="AF34" s="182" t="s">
        <v>12</v>
      </c>
      <c r="AG34" s="182" t="s">
        <v>12</v>
      </c>
      <c r="AH34" s="178" t="s">
        <v>88</v>
      </c>
      <c r="AI34" s="186"/>
      <c r="AK34" s="56"/>
      <c r="AL34" s="86"/>
      <c r="AN34" s="71" t="s">
        <v>88</v>
      </c>
      <c r="AO34" s="82" t="s">
        <v>88</v>
      </c>
      <c r="AP34" s="83" t="b">
        <f t="shared" si="0"/>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f>IF(OR(N35="",N35=0),FALSE,TRUE)</f>
        <v>0</v>
      </c>
      <c r="S35" s="97"/>
      <c r="T35" s="98"/>
      <c r="V35" s="13"/>
      <c r="W35" s="30"/>
      <c r="Y35" s="54"/>
      <c r="Z35" s="36"/>
      <c r="AA35" s="3"/>
      <c r="AB35" s="54"/>
      <c r="AC35" s="36"/>
      <c r="AD35" s="3"/>
      <c r="AE35" s="50" t="s">
        <v>12</v>
      </c>
      <c r="AF35" s="182" t="s">
        <v>12</v>
      </c>
      <c r="AG35" s="182" t="s">
        <v>12</v>
      </c>
      <c r="AH35" s="178" t="s">
        <v>88</v>
      </c>
      <c r="AI35" s="186"/>
      <c r="AK35" s="56"/>
      <c r="AL35" s="17"/>
      <c r="AN35" s="71" t="s">
        <v>88</v>
      </c>
      <c r="AO35" s="82" t="s">
        <v>88</v>
      </c>
      <c r="AP35" s="83" t="b">
        <f t="shared" si="0"/>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f t="shared" si="1"/>
        <v>0</v>
      </c>
      <c r="S36" s="97"/>
      <c r="T36" s="98"/>
      <c r="V36" s="13"/>
      <c r="W36" s="30"/>
      <c r="Y36" s="54"/>
      <c r="Z36" s="36"/>
      <c r="AA36" s="3"/>
      <c r="AB36" s="54"/>
      <c r="AC36" s="36"/>
      <c r="AD36" s="3"/>
      <c r="AE36" s="50" t="s">
        <v>12</v>
      </c>
      <c r="AF36" s="182" t="s">
        <v>12</v>
      </c>
      <c r="AG36" s="182" t="s">
        <v>12</v>
      </c>
      <c r="AH36" s="178" t="s">
        <v>88</v>
      </c>
      <c r="AI36" s="186"/>
      <c r="AK36" s="56"/>
      <c r="AL36" s="17"/>
      <c r="AN36" s="71" t="s">
        <v>88</v>
      </c>
      <c r="AO36" s="82" t="s">
        <v>88</v>
      </c>
      <c r="AP36" s="83" t="b">
        <f t="shared" si="0"/>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f t="shared" si="1"/>
        <v>0</v>
      </c>
      <c r="S37" s="97"/>
      <c r="T37" s="98"/>
      <c r="V37" s="13"/>
      <c r="W37" s="30"/>
      <c r="Y37" s="54"/>
      <c r="Z37" s="36"/>
      <c r="AA37" s="3"/>
      <c r="AB37" s="54"/>
      <c r="AC37" s="36"/>
      <c r="AD37" s="3"/>
      <c r="AE37" s="50" t="s">
        <v>12</v>
      </c>
      <c r="AF37" s="182" t="s">
        <v>12</v>
      </c>
      <c r="AG37" s="182" t="s">
        <v>12</v>
      </c>
      <c r="AH37" s="178" t="s">
        <v>88</v>
      </c>
      <c r="AI37" s="186"/>
      <c r="AK37" s="56"/>
      <c r="AL37" s="17"/>
      <c r="AN37" s="71" t="s">
        <v>88</v>
      </c>
      <c r="AO37" s="82" t="s">
        <v>88</v>
      </c>
      <c r="AP37" s="83" t="b">
        <f t="shared" si="0"/>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f t="shared" si="1"/>
        <v>0</v>
      </c>
      <c r="S38" s="97"/>
      <c r="T38" s="98"/>
      <c r="V38" s="13"/>
      <c r="W38" s="30"/>
      <c r="Y38" s="54"/>
      <c r="Z38" s="36"/>
      <c r="AB38" s="54"/>
      <c r="AC38" s="36"/>
      <c r="AE38" s="50" t="s">
        <v>12</v>
      </c>
      <c r="AF38" s="182" t="s">
        <v>12</v>
      </c>
      <c r="AG38" s="182" t="s">
        <v>12</v>
      </c>
      <c r="AH38" s="178" t="s">
        <v>88</v>
      </c>
      <c r="AI38" s="186"/>
      <c r="AK38" s="56"/>
      <c r="AL38" s="17"/>
      <c r="AN38" s="71" t="s">
        <v>88</v>
      </c>
      <c r="AO38" s="82" t="s">
        <v>88</v>
      </c>
      <c r="AP38" s="83" t="b">
        <f t="shared" si="0"/>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f t="shared" si="1"/>
        <v>0</v>
      </c>
      <c r="S39" s="97"/>
      <c r="T39" s="98"/>
      <c r="V39" s="13"/>
      <c r="W39" s="30"/>
      <c r="Y39" s="54"/>
      <c r="Z39" s="36"/>
      <c r="AB39" s="54"/>
      <c r="AC39" s="36"/>
      <c r="AE39" s="50" t="s">
        <v>12</v>
      </c>
      <c r="AF39" s="182" t="s">
        <v>12</v>
      </c>
      <c r="AG39" s="182" t="s">
        <v>12</v>
      </c>
      <c r="AH39" s="178" t="s">
        <v>88</v>
      </c>
      <c r="AI39" s="186"/>
      <c r="AK39" s="56"/>
      <c r="AL39" s="17"/>
      <c r="AN39" s="71" t="s">
        <v>88</v>
      </c>
      <c r="AO39" s="82" t="s">
        <v>88</v>
      </c>
      <c r="AP39" s="83" t="b">
        <f t="shared" si="0"/>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f t="shared" si="1"/>
        <v>0</v>
      </c>
      <c r="S40" s="97"/>
      <c r="T40" s="98"/>
      <c r="V40" s="13"/>
      <c r="W40" s="30"/>
      <c r="Y40" s="54"/>
      <c r="Z40" s="36"/>
      <c r="AB40" s="54"/>
      <c r="AC40" s="36"/>
      <c r="AE40" s="50" t="s">
        <v>12</v>
      </c>
      <c r="AF40" s="182" t="s">
        <v>12</v>
      </c>
      <c r="AG40" s="182" t="s">
        <v>12</v>
      </c>
      <c r="AH40" s="178" t="s">
        <v>88</v>
      </c>
      <c r="AI40" s="186"/>
      <c r="AK40" s="56"/>
      <c r="AL40" s="17"/>
      <c r="AN40" s="71" t="s">
        <v>88</v>
      </c>
      <c r="AO40" s="82" t="s">
        <v>88</v>
      </c>
      <c r="AP40" s="83" t="b">
        <f t="shared" si="0"/>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f t="shared" si="1"/>
        <v>0</v>
      </c>
      <c r="S41" s="97"/>
      <c r="T41" s="98"/>
      <c r="V41" s="13"/>
      <c r="W41" s="30"/>
      <c r="Y41" s="54"/>
      <c r="Z41" s="36"/>
      <c r="AB41" s="54"/>
      <c r="AC41" s="36"/>
      <c r="AE41" s="50" t="s">
        <v>12</v>
      </c>
      <c r="AF41" s="182" t="s">
        <v>12</v>
      </c>
      <c r="AG41" s="182" t="s">
        <v>12</v>
      </c>
      <c r="AH41" s="178" t="s">
        <v>88</v>
      </c>
      <c r="AI41" s="186"/>
      <c r="AK41" s="56"/>
      <c r="AL41" s="17"/>
      <c r="AN41" s="71" t="s">
        <v>88</v>
      </c>
      <c r="AO41" s="82" t="s">
        <v>88</v>
      </c>
      <c r="AP41" s="83" t="b">
        <f t="shared" si="0"/>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f t="shared" si="1"/>
        <v>0</v>
      </c>
      <c r="S42" s="97"/>
      <c r="T42" s="98"/>
      <c r="V42" s="13"/>
      <c r="W42" s="30"/>
      <c r="Y42" s="54"/>
      <c r="Z42" s="36"/>
      <c r="AB42" s="54"/>
      <c r="AC42" s="36"/>
      <c r="AE42" s="50" t="s">
        <v>12</v>
      </c>
      <c r="AF42" s="182" t="s">
        <v>12</v>
      </c>
      <c r="AG42" s="182" t="s">
        <v>12</v>
      </c>
      <c r="AH42" s="178" t="s">
        <v>88</v>
      </c>
      <c r="AI42" s="186"/>
      <c r="AK42" s="56"/>
      <c r="AL42" s="17"/>
      <c r="AN42" s="71" t="s">
        <v>88</v>
      </c>
      <c r="AO42" s="82" t="s">
        <v>88</v>
      </c>
      <c r="AP42" s="83" t="b">
        <f t="shared" si="0"/>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f t="shared" si="1"/>
        <v>0</v>
      </c>
      <c r="S43" s="97"/>
      <c r="T43" s="98"/>
      <c r="V43" s="13"/>
      <c r="W43" s="30"/>
      <c r="Y43" s="54"/>
      <c r="Z43" s="36"/>
      <c r="AB43" s="54"/>
      <c r="AC43" s="36"/>
      <c r="AE43" s="50" t="s">
        <v>12</v>
      </c>
      <c r="AF43" s="182" t="s">
        <v>12</v>
      </c>
      <c r="AG43" s="182" t="s">
        <v>12</v>
      </c>
      <c r="AH43" s="178" t="s">
        <v>88</v>
      </c>
      <c r="AI43" s="186"/>
      <c r="AK43" s="56"/>
      <c r="AL43" s="17"/>
      <c r="AN43" s="71" t="s">
        <v>88</v>
      </c>
      <c r="AO43" s="82" t="s">
        <v>88</v>
      </c>
      <c r="AP43" s="83" t="b">
        <f t="shared" si="0"/>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f t="shared" si="1"/>
        <v>0</v>
      </c>
      <c r="S44" s="97"/>
      <c r="T44" s="98"/>
      <c r="V44" s="13"/>
      <c r="W44" s="30"/>
      <c r="Y44" s="54"/>
      <c r="Z44" s="36"/>
      <c r="AB44" s="54"/>
      <c r="AC44" s="36"/>
      <c r="AE44" s="50" t="s">
        <v>12</v>
      </c>
      <c r="AF44" s="182" t="s">
        <v>12</v>
      </c>
      <c r="AG44" s="182" t="s">
        <v>12</v>
      </c>
      <c r="AH44" s="178" t="s">
        <v>88</v>
      </c>
      <c r="AI44" s="186"/>
      <c r="AK44" s="56"/>
      <c r="AL44" s="17"/>
      <c r="AN44" s="71" t="s">
        <v>88</v>
      </c>
      <c r="AO44" s="82" t="s">
        <v>88</v>
      </c>
      <c r="AP44" s="83" t="b">
        <f t="shared" si="0"/>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f t="shared" si="1"/>
        <v>0</v>
      </c>
      <c r="S45" s="97"/>
      <c r="T45" s="98"/>
      <c r="V45" s="13"/>
      <c r="W45" s="30"/>
      <c r="Y45" s="54"/>
      <c r="Z45" s="36"/>
      <c r="AB45" s="54"/>
      <c r="AC45" s="36"/>
      <c r="AE45" s="50" t="s">
        <v>12</v>
      </c>
      <c r="AF45" s="182" t="s">
        <v>12</v>
      </c>
      <c r="AG45" s="182" t="s">
        <v>12</v>
      </c>
      <c r="AH45" s="178" t="s">
        <v>88</v>
      </c>
      <c r="AI45" s="186"/>
      <c r="AK45" s="56"/>
      <c r="AL45" s="17"/>
      <c r="AN45" s="71" t="s">
        <v>88</v>
      </c>
      <c r="AO45" s="82" t="s">
        <v>88</v>
      </c>
      <c r="AP45" s="83" t="b">
        <f t="shared" si="0"/>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f t="shared" si="1"/>
        <v>0</v>
      </c>
      <c r="S46" s="97"/>
      <c r="T46" s="98"/>
      <c r="V46" s="13"/>
      <c r="W46" s="30"/>
      <c r="Y46" s="54"/>
      <c r="Z46" s="36"/>
      <c r="AB46" s="54"/>
      <c r="AC46" s="36"/>
      <c r="AE46" s="50" t="s">
        <v>12</v>
      </c>
      <c r="AF46" s="182" t="s">
        <v>12</v>
      </c>
      <c r="AG46" s="182" t="s">
        <v>12</v>
      </c>
      <c r="AH46" s="178" t="s">
        <v>88</v>
      </c>
      <c r="AI46" s="186"/>
      <c r="AK46" s="56"/>
      <c r="AL46" s="17"/>
      <c r="AN46" s="71" t="s">
        <v>88</v>
      </c>
      <c r="AO46" s="82" t="s">
        <v>88</v>
      </c>
      <c r="AP46" s="83" t="b">
        <f t="shared" si="0"/>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f t="shared" si="1"/>
        <v>0</v>
      </c>
      <c r="S47" s="97"/>
      <c r="T47" s="98"/>
      <c r="V47" s="13"/>
      <c r="W47" s="30"/>
      <c r="Y47" s="54"/>
      <c r="Z47" s="36"/>
      <c r="AB47" s="54"/>
      <c r="AC47" s="36"/>
      <c r="AE47" s="50" t="s">
        <v>12</v>
      </c>
      <c r="AF47" s="182" t="s">
        <v>12</v>
      </c>
      <c r="AG47" s="182" t="s">
        <v>12</v>
      </c>
      <c r="AH47" s="178" t="s">
        <v>88</v>
      </c>
      <c r="AI47" s="186"/>
      <c r="AK47" s="56"/>
      <c r="AL47" s="17"/>
      <c r="AN47" s="71" t="s">
        <v>88</v>
      </c>
      <c r="AO47" s="82" t="s">
        <v>88</v>
      </c>
      <c r="AP47" s="83" t="b">
        <f t="shared" si="0"/>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f t="shared" si="1"/>
        <v>0</v>
      </c>
      <c r="S48" s="97"/>
      <c r="T48" s="98"/>
      <c r="V48" s="13"/>
      <c r="W48" s="30"/>
      <c r="Y48" s="54"/>
      <c r="Z48" s="36"/>
      <c r="AB48" s="54"/>
      <c r="AC48" s="36"/>
      <c r="AE48" s="50" t="s">
        <v>12</v>
      </c>
      <c r="AF48" s="182" t="s">
        <v>12</v>
      </c>
      <c r="AG48" s="182" t="s">
        <v>12</v>
      </c>
      <c r="AH48" s="178" t="s">
        <v>88</v>
      </c>
      <c r="AI48" s="186"/>
      <c r="AK48" s="56"/>
      <c r="AL48" s="17"/>
      <c r="AN48" s="71" t="s">
        <v>88</v>
      </c>
      <c r="AO48" s="82" t="s">
        <v>88</v>
      </c>
      <c r="AP48" s="83" t="b">
        <f t="shared" si="0"/>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f t="shared" si="1"/>
        <v>0</v>
      </c>
      <c r="S49" s="97"/>
      <c r="T49" s="98"/>
      <c r="V49" s="13"/>
      <c r="W49" s="30"/>
      <c r="Y49" s="54"/>
      <c r="Z49" s="36"/>
      <c r="AB49" s="54"/>
      <c r="AC49" s="36"/>
      <c r="AE49" s="50" t="s">
        <v>12</v>
      </c>
      <c r="AF49" s="182" t="s">
        <v>12</v>
      </c>
      <c r="AG49" s="182" t="s">
        <v>12</v>
      </c>
      <c r="AH49" s="178" t="s">
        <v>88</v>
      </c>
      <c r="AI49" s="186"/>
      <c r="AK49" s="56"/>
      <c r="AL49" s="17"/>
      <c r="AN49" s="71"/>
      <c r="AO49" s="82"/>
      <c r="AP49" s="83" t="b">
        <f t="shared" si="0"/>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f t="shared" si="1"/>
        <v>0</v>
      </c>
      <c r="S50" s="97"/>
      <c r="T50" s="98"/>
      <c r="V50" s="13"/>
      <c r="W50" s="30"/>
      <c r="Y50" s="54"/>
      <c r="Z50" s="36"/>
      <c r="AB50" s="54"/>
      <c r="AC50" s="36"/>
      <c r="AE50" s="50" t="s">
        <v>12</v>
      </c>
      <c r="AF50" s="182" t="s">
        <v>12</v>
      </c>
      <c r="AG50" s="182" t="s">
        <v>12</v>
      </c>
      <c r="AH50" s="179" t="s">
        <v>88</v>
      </c>
      <c r="AI50" s="186"/>
      <c r="AK50" s="56"/>
      <c r="AL50" s="17"/>
      <c r="AN50" s="71"/>
      <c r="AO50" s="82"/>
      <c r="AP50" s="83" t="b">
        <f t="shared" si="0"/>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f t="shared" si="1"/>
        <v>0</v>
      </c>
      <c r="S51" s="99"/>
      <c r="T51" s="24"/>
      <c r="V51" s="13"/>
      <c r="W51" s="30"/>
      <c r="Y51" s="54"/>
      <c r="Z51" s="36"/>
      <c r="AB51" s="54"/>
      <c r="AC51" s="36"/>
      <c r="AE51" s="50" t="s">
        <v>12</v>
      </c>
      <c r="AF51" s="182" t="s">
        <v>12</v>
      </c>
      <c r="AG51" s="182" t="s">
        <v>12</v>
      </c>
      <c r="AH51" s="179" t="s">
        <v>88</v>
      </c>
      <c r="AI51" s="186"/>
      <c r="AK51" s="56"/>
      <c r="AL51" s="17"/>
      <c r="AN51" s="71"/>
      <c r="AO51" s="82"/>
      <c r="AP51" s="83" t="b">
        <f t="shared" si="0"/>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f t="shared" si="1"/>
        <v>0</v>
      </c>
      <c r="S52" s="100"/>
      <c r="T52" s="28"/>
      <c r="V52" s="14"/>
      <c r="W52" s="32"/>
      <c r="Y52" s="61"/>
      <c r="Z52" s="37"/>
      <c r="AB52" s="61"/>
      <c r="AC52" s="37"/>
      <c r="AE52" s="52" t="s">
        <v>12</v>
      </c>
      <c r="AF52" s="183" t="s">
        <v>12</v>
      </c>
      <c r="AG52" s="183" t="s">
        <v>12</v>
      </c>
      <c r="AH52" s="180" t="s">
        <v>88</v>
      </c>
      <c r="AI52" s="187"/>
      <c r="AK52" s="62"/>
      <c r="AL52" s="18"/>
      <c r="AN52" s="29"/>
      <c r="AO52" s="84"/>
      <c r="AP52" s="85" t="b">
        <f t="shared" si="0"/>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42198</v>
      </c>
      <c r="J8" s="72" t="s">
        <v>174</v>
      </c>
      <c r="K8" s="34" t="s">
        <v>259</v>
      </c>
      <c r="M8" s="74" t="s">
        <v>76</v>
      </c>
      <c r="N8" s="75" t="s">
        <v>75</v>
      </c>
      <c r="O8" s="75" t="s">
        <v>139</v>
      </c>
      <c r="P8" s="75" t="s">
        <v>138</v>
      </c>
      <c r="Q8" s="76" t="s">
        <v>173</v>
      </c>
      <c r="S8" s="67" t="s">
        <v>172</v>
      </c>
      <c r="T8" s="68" t="s">
        <v>75</v>
      </c>
      <c r="V8" s="55" t="s">
        <v>170</v>
      </c>
      <c r="W8" s="110">
        <v>42198</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42198</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4.5250000000000004E-3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1.1200000000000002E-2</v>
      </c>
      <c r="AP9" s="83" t="b">
        <v>1</v>
      </c>
      <c r="AQ9" s="6"/>
      <c r="AR9" s="56" t="s">
        <v>162</v>
      </c>
      <c r="AS9" s="86" t="s">
        <v>199</v>
      </c>
      <c r="AU9" s="78" t="s">
        <v>169</v>
      </c>
      <c r="AV9" s="102" t="b">
        <v>0</v>
      </c>
      <c r="AX9" s="87" t="s">
        <v>160</v>
      </c>
      <c r="AY9" s="103">
        <v>1.15E-3</v>
      </c>
      <c r="BA9" s="78" t="s">
        <v>169</v>
      </c>
      <c r="BB9" s="102" t="b">
        <v>0</v>
      </c>
      <c r="BD9" s="87" t="s">
        <v>160</v>
      </c>
      <c r="BE9" s="103">
        <v>1.9624999999999998E-3</v>
      </c>
      <c r="BG9" s="78" t="s">
        <v>169</v>
      </c>
      <c r="BH9" s="102" t="b">
        <v>0</v>
      </c>
      <c r="BJ9" s="87" t="s">
        <v>160</v>
      </c>
      <c r="BK9" s="103">
        <v>1.9499999999999999E-3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4.5620000000000001E-3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1.3849999999999999E-2</v>
      </c>
      <c r="AP10" s="83" t="b">
        <v>1</v>
      </c>
      <c r="AQ10" s="6"/>
      <c r="AR10" s="56" t="s">
        <v>159</v>
      </c>
      <c r="AS10" s="86" t="s">
        <v>29</v>
      </c>
      <c r="AU10" s="56" t="s">
        <v>161</v>
      </c>
      <c r="AV10" s="17" t="s">
        <v>197</v>
      </c>
      <c r="AX10" s="87" t="s">
        <v>42</v>
      </c>
      <c r="AY10" s="103">
        <v>1.1249999999999999E-3</v>
      </c>
      <c r="BA10" s="56" t="s">
        <v>161</v>
      </c>
      <c r="BB10" s="17" t="s">
        <v>197</v>
      </c>
      <c r="BD10" s="87" t="s">
        <v>42</v>
      </c>
      <c r="BE10" s="103">
        <v>2.0249999999999999E-3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-2.2499999999999999E-4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4.5599999999999998E-3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1.6001000000000001E-2</v>
      </c>
      <c r="AP11" s="83" t="b">
        <v>1</v>
      </c>
      <c r="AQ11" s="6"/>
      <c r="AR11" s="56" t="s">
        <v>153</v>
      </c>
      <c r="AS11" s="86" t="s">
        <v>135</v>
      </c>
      <c r="AU11" s="56" t="s">
        <v>154</v>
      </c>
      <c r="AV11" s="17" t="s">
        <v>198</v>
      </c>
      <c r="AX11" s="87" t="s">
        <v>39</v>
      </c>
      <c r="AY11" s="103">
        <v>1.1300000000000001E-3</v>
      </c>
      <c r="BA11" s="56" t="s">
        <v>154</v>
      </c>
      <c r="BB11" s="17" t="s">
        <v>198</v>
      </c>
      <c r="BD11" s="87" t="s">
        <v>39</v>
      </c>
      <c r="BE11" s="103">
        <v>2.0625000000000001E-3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-2.9999999999999997E-4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4.5650000000000005E-3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1.7749999999999998E-2</v>
      </c>
      <c r="AP12" s="83" t="b">
        <v>1</v>
      </c>
      <c r="AQ12" s="6"/>
      <c r="AR12" s="56" t="s">
        <v>5</v>
      </c>
      <c r="AS12" s="86" t="s">
        <v>129</v>
      </c>
      <c r="AU12" s="56" t="s">
        <v>151</v>
      </c>
      <c r="AV12" s="17" t="s">
        <v>78</v>
      </c>
      <c r="AX12" s="87" t="s">
        <v>35</v>
      </c>
      <c r="AY12" s="103">
        <v>1.16E-3</v>
      </c>
      <c r="BA12" s="56" t="s">
        <v>151</v>
      </c>
      <c r="BB12" s="17" t="s">
        <v>78</v>
      </c>
      <c r="BD12" s="87" t="s">
        <v>35</v>
      </c>
      <c r="BE12" s="103">
        <v>2.0500000000000002E-3</v>
      </c>
      <c r="BG12" s="56" t="s">
        <v>151</v>
      </c>
      <c r="BH12" s="17" t="s">
        <v>152</v>
      </c>
      <c r="BJ12" s="87" t="s">
        <v>35</v>
      </c>
      <c r="BK12" s="103">
        <v>1.8125000000000001E-3</v>
      </c>
      <c r="BM12" s="56" t="s">
        <v>5</v>
      </c>
      <c r="BN12" s="86" t="s">
        <v>129</v>
      </c>
      <c r="BP12" s="56" t="s">
        <v>151</v>
      </c>
      <c r="BQ12" s="86" t="s">
        <v>77</v>
      </c>
      <c r="BS12" s="56" t="s">
        <v>151</v>
      </c>
      <c r="BT12" s="86" t="s">
        <v>77</v>
      </c>
      <c r="BV12" s="56" t="s">
        <v>151</v>
      </c>
      <c r="BW12" s="86" t="s">
        <v>77</v>
      </c>
      <c r="BY12" s="56" t="s">
        <v>151</v>
      </c>
      <c r="BZ12" s="86" t="s">
        <v>77</v>
      </c>
      <c r="CB12" s="87" t="s">
        <v>35</v>
      </c>
      <c r="CC12" s="103">
        <v>-2.9999999999999997E-4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4.5700000000000003E-3</v>
      </c>
      <c r="O13" s="89"/>
      <c r="P13" s="89"/>
      <c r="Q13" s="90" t="b">
        <v>1</v>
      </c>
      <c r="S13" s="97"/>
      <c r="T13" s="98"/>
      <c r="V13" s="56" t="s">
        <v>1</v>
      </c>
      <c r="W13" s="86" t="s">
        <v>121</v>
      </c>
      <c r="Y13" s="6"/>
      <c r="Z13" s="4"/>
      <c r="AA13" s="6"/>
      <c r="AB13" s="8"/>
      <c r="AC13" s="4"/>
      <c r="AE13" s="4"/>
      <c r="AF13" s="4"/>
      <c r="AK13" s="56" t="s">
        <v>144</v>
      </c>
      <c r="AL13" s="86" t="s">
        <v>78</v>
      </c>
      <c r="AN13" s="71" t="s">
        <v>131</v>
      </c>
      <c r="AO13" s="82">
        <v>1.9130000000000001E-2</v>
      </c>
      <c r="AP13" s="83" t="b">
        <v>1</v>
      </c>
      <c r="AQ13" s="6"/>
      <c r="AR13" s="56" t="s">
        <v>1</v>
      </c>
      <c r="AS13" s="86" t="s">
        <v>121</v>
      </c>
      <c r="AU13" s="56" t="s">
        <v>148</v>
      </c>
      <c r="AV13" s="17" t="s">
        <v>40</v>
      </c>
      <c r="AX13" s="87" t="s">
        <v>33</v>
      </c>
      <c r="AY13" s="103">
        <v>1.175E-3</v>
      </c>
      <c r="BA13" s="56" t="s">
        <v>148</v>
      </c>
      <c r="BB13" s="17" t="s">
        <v>40</v>
      </c>
      <c r="BD13" s="87" t="s">
        <v>33</v>
      </c>
      <c r="BE13" s="103">
        <v>2.0500000000000002E-3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-3.5E-4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4.5850000000000005E-3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2.0259999999999997E-2</v>
      </c>
      <c r="AP14" s="83" t="b">
        <v>1</v>
      </c>
      <c r="AQ14" s="6"/>
      <c r="AR14" s="56" t="s">
        <v>140</v>
      </c>
      <c r="AS14" s="86" t="s">
        <v>29</v>
      </c>
      <c r="AU14" s="56" t="s">
        <v>141</v>
      </c>
      <c r="AV14" s="17">
        <v>0</v>
      </c>
      <c r="AX14" s="87" t="s">
        <v>131</v>
      </c>
      <c r="AY14" s="103">
        <v>1.1900000000000001E-3</v>
      </c>
      <c r="BA14" s="56" t="s">
        <v>141</v>
      </c>
      <c r="BB14" s="17">
        <v>0</v>
      </c>
      <c r="BD14" s="87" t="s">
        <v>131</v>
      </c>
      <c r="BE14" s="103">
        <v>2.0374999999999998E-3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-3.6000000000000002E-4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4.6250000000000006E-3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2.1190000000000001E-2</v>
      </c>
      <c r="AP15" s="83" t="b">
        <v>1</v>
      </c>
      <c r="AQ15" s="6"/>
      <c r="AR15" s="56" t="s">
        <v>4</v>
      </c>
      <c r="AS15" s="86" t="s">
        <v>29</v>
      </c>
      <c r="AU15" s="56" t="s">
        <v>132</v>
      </c>
      <c r="AV15" s="31" t="s">
        <v>201</v>
      </c>
      <c r="AX15" s="87" t="s">
        <v>31</v>
      </c>
      <c r="AY15" s="103">
        <v>1.1900000000000001E-3</v>
      </c>
      <c r="BA15" s="56" t="s">
        <v>132</v>
      </c>
      <c r="BB15" s="31" t="s">
        <v>201</v>
      </c>
      <c r="BD15" s="87" t="s">
        <v>31</v>
      </c>
      <c r="BE15" s="103">
        <v>2E-3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4.725E-3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2.197E-2</v>
      </c>
      <c r="AP16" s="83" t="b">
        <v>1</v>
      </c>
      <c r="AQ16" s="6"/>
      <c r="AR16" s="56" t="s">
        <v>125</v>
      </c>
      <c r="AS16" s="86" t="b">
        <v>0</v>
      </c>
      <c r="AU16" s="56" t="s">
        <v>126</v>
      </c>
      <c r="AV16" s="31" t="s">
        <v>63</v>
      </c>
      <c r="AX16" s="87" t="s">
        <v>119</v>
      </c>
      <c r="AY16" s="103">
        <v>1.1900000000000001E-3</v>
      </c>
      <c r="BA16" s="56" t="s">
        <v>126</v>
      </c>
      <c r="BB16" s="31" t="s">
        <v>63</v>
      </c>
      <c r="BD16" s="87" t="s">
        <v>119</v>
      </c>
      <c r="BE16" s="103">
        <v>1.9750000000000002E-3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-4.4000000000000002E-4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4.8130000000000004E-3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2.2620000000000001E-2</v>
      </c>
      <c r="AP17" s="83" t="b">
        <v>1</v>
      </c>
      <c r="AQ17" s="6"/>
      <c r="AR17" s="56" t="s">
        <v>118</v>
      </c>
      <c r="AS17" s="86" t="b">
        <v>0</v>
      </c>
      <c r="AU17" s="56" t="s">
        <v>120</v>
      </c>
      <c r="AV17" s="109" t="s">
        <v>23</v>
      </c>
      <c r="AX17" s="87" t="s">
        <v>113</v>
      </c>
      <c r="AY17" s="103">
        <v>1.1800000000000001E-3</v>
      </c>
      <c r="BA17" s="56" t="s">
        <v>120</v>
      </c>
      <c r="BB17" s="109" t="s">
        <v>23</v>
      </c>
      <c r="BD17" s="87" t="s">
        <v>113</v>
      </c>
      <c r="BE17" s="103">
        <v>1.9375E-3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-4.8999999999999998E-4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4.96E-3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2.3620000000000002E-2</v>
      </c>
      <c r="AP18" s="83" t="b">
        <v>1</v>
      </c>
      <c r="AQ18" s="6"/>
      <c r="AR18" s="56" t="s">
        <v>112</v>
      </c>
      <c r="AS18" s="86" t="b">
        <v>0</v>
      </c>
      <c r="AU18" s="56" t="s">
        <v>114</v>
      </c>
      <c r="AV18" s="17" t="s">
        <v>198</v>
      </c>
      <c r="AX18" s="87" t="s">
        <v>28</v>
      </c>
      <c r="AY18" s="103">
        <v>1.17E-3</v>
      </c>
      <c r="BA18" s="56" t="s">
        <v>114</v>
      </c>
      <c r="BB18" s="17" t="s">
        <v>198</v>
      </c>
      <c r="BD18" s="87" t="s">
        <v>28</v>
      </c>
      <c r="BE18" s="103">
        <v>1.9250000000000001E-3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-5.6500000000000007E-4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5.11E-3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2.4550000000000002E-2</v>
      </c>
      <c r="AP19" s="83" t="b">
        <v>1</v>
      </c>
      <c r="AQ19" s="6"/>
      <c r="AR19" s="56" t="s">
        <v>108</v>
      </c>
      <c r="AS19" s="86" t="b">
        <v>0</v>
      </c>
      <c r="AU19" s="56" t="s">
        <v>109</v>
      </c>
      <c r="AV19" s="17" t="s">
        <v>197</v>
      </c>
      <c r="AX19" s="87" t="s">
        <v>26</v>
      </c>
      <c r="AY19" s="103">
        <v>1.06E-3</v>
      </c>
      <c r="BA19" s="56" t="s">
        <v>109</v>
      </c>
      <c r="BB19" s="17" t="s">
        <v>197</v>
      </c>
      <c r="BD19" s="87" t="s">
        <v>26</v>
      </c>
      <c r="BE19" s="103">
        <v>1.7750000000000001E-3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-6.3499999999999993E-4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5.2500000000000003E-3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2.5075E-2</v>
      </c>
      <c r="AP20" s="83" t="b">
        <v>1</v>
      </c>
      <c r="AQ20" s="6"/>
      <c r="AR20" s="56" t="s">
        <v>90</v>
      </c>
      <c r="AS20" s="86" t="s">
        <v>104</v>
      </c>
      <c r="AU20" s="56" t="s">
        <v>105</v>
      </c>
      <c r="AV20" s="17" t="s">
        <v>48</v>
      </c>
      <c r="AX20" s="87" t="s">
        <v>24</v>
      </c>
      <c r="AY20" s="103">
        <v>9.1E-4</v>
      </c>
      <c r="BA20" s="56" t="s">
        <v>105</v>
      </c>
      <c r="BB20" s="17" t="s">
        <v>48</v>
      </c>
      <c r="BD20" s="87" t="s">
        <v>24</v>
      </c>
      <c r="BE20" s="103">
        <v>1.5874999999999999E-3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-7.2999999999999996E-4</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5.4000000000000003E-3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2.5049999999999999E-2</v>
      </c>
      <c r="AP21" s="83" t="b">
        <v>1</v>
      </c>
      <c r="AQ21" s="6"/>
      <c r="AR21" s="56" t="s">
        <v>100</v>
      </c>
      <c r="AS21" s="86" t="s">
        <v>29</v>
      </c>
      <c r="AU21" s="56" t="s">
        <v>101</v>
      </c>
      <c r="AV21" s="17" t="s">
        <v>197</v>
      </c>
      <c r="AX21" s="87" t="s">
        <v>20</v>
      </c>
      <c r="AY21" s="103">
        <v>7.2999999999999996E-4</v>
      </c>
      <c r="BA21" s="56" t="s">
        <v>101</v>
      </c>
      <c r="BB21" s="17" t="s">
        <v>197</v>
      </c>
      <c r="BD21" s="87" t="s">
        <v>20</v>
      </c>
      <c r="BE21" s="103">
        <v>1.3875000000000001E-3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-8.25E-4</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5.6000000000000008E-3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2.4900000000000002E-2</v>
      </c>
      <c r="AP22" s="83" t="b">
        <v>1</v>
      </c>
      <c r="AQ22" s="6"/>
      <c r="AR22" s="56" t="s">
        <v>95</v>
      </c>
      <c r="AS22" s="86" t="b">
        <v>1</v>
      </c>
      <c r="AU22" s="56" t="s">
        <v>96</v>
      </c>
      <c r="AV22" s="17">
        <v>0</v>
      </c>
      <c r="AX22" s="87" t="s">
        <v>18</v>
      </c>
      <c r="AY22" s="103">
        <v>6.3000000000000003E-4</v>
      </c>
      <c r="BA22" s="56" t="s">
        <v>96</v>
      </c>
      <c r="BB22" s="17">
        <v>0</v>
      </c>
      <c r="BD22" s="87" t="s">
        <v>18</v>
      </c>
      <c r="BE22" s="103">
        <v>1.2625E-3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-9.1E-4</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5.77E-3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2.4399999999999998E-2</v>
      </c>
      <c r="AP23" s="83" t="b">
        <v>1</v>
      </c>
      <c r="AQ23" s="6"/>
      <c r="AR23" s="13" t="s">
        <v>91</v>
      </c>
      <c r="AS23" s="86" t="s">
        <v>29</v>
      </c>
      <c r="AU23" s="79" t="s">
        <v>92</v>
      </c>
      <c r="AV23" s="20" t="s">
        <v>40</v>
      </c>
      <c r="AX23" s="87" t="s">
        <v>17</v>
      </c>
      <c r="AY23" s="103">
        <v>5.6999999999999998E-4</v>
      </c>
      <c r="BA23" s="79" t="s">
        <v>92</v>
      </c>
      <c r="BB23" s="20" t="s">
        <v>40</v>
      </c>
      <c r="BD23" s="87" t="s">
        <v>17</v>
      </c>
      <c r="BE23" s="103">
        <v>1.15E-3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7.0169999999999998E-3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2.4055E-2</v>
      </c>
      <c r="AP24" s="83" t="b">
        <v>1</v>
      </c>
      <c r="AQ24" s="6"/>
      <c r="AR24" s="13" t="s">
        <v>193</v>
      </c>
      <c r="AS24" s="86" t="s">
        <v>29</v>
      </c>
      <c r="AU24" s="78" t="s">
        <v>87</v>
      </c>
      <c r="AV24" s="102" t="s">
        <v>197</v>
      </c>
      <c r="AX24" s="87" t="s">
        <v>15</v>
      </c>
      <c r="AY24" s="103">
        <v>4.8749999999999998E-4</v>
      </c>
      <c r="BA24" s="78" t="s">
        <v>87</v>
      </c>
      <c r="BB24" s="102" t="s">
        <v>197</v>
      </c>
      <c r="BD24" s="87" t="s">
        <v>15</v>
      </c>
      <c r="BE24" s="103">
        <v>1.0250000000000001E-3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8.3800000000000003E-3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4.4999999999999999E-4</v>
      </c>
      <c r="BA25" s="56" t="s">
        <v>85</v>
      </c>
      <c r="BB25" s="17" t="s">
        <v>198</v>
      </c>
      <c r="BD25" s="87" t="s">
        <v>14</v>
      </c>
      <c r="BE25" s="103">
        <v>9.6250000000000003E-4</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-8.4499999999999994E-4</v>
      </c>
      <c r="CE25" s="13" t="s">
        <v>84</v>
      </c>
      <c r="CF25" s="86" t="b">
        <v>1</v>
      </c>
      <c r="CH25" s="56"/>
      <c r="CI25" s="86"/>
      <c r="CK25" s="56"/>
      <c r="CL25" s="86"/>
      <c r="CN25" s="56"/>
      <c r="CO25" s="86"/>
    </row>
    <row r="26" spans="2:93">
      <c r="F26" t="s">
        <v>12</v>
      </c>
      <c r="M26" s="87" t="s">
        <v>39</v>
      </c>
      <c r="N26" s="88">
        <v>1.085E-2</v>
      </c>
      <c r="O26" s="89"/>
      <c r="P26" s="89"/>
      <c r="Q26" s="90" t="b">
        <v>1</v>
      </c>
      <c r="S26" s="97"/>
      <c r="T26" s="98"/>
      <c r="V26" s="13" t="s">
        <v>81</v>
      </c>
      <c r="W26" s="86" t="s">
        <v>201</v>
      </c>
      <c r="Y26" s="215" t="s">
        <v>23</v>
      </c>
      <c r="Z26" s="216">
        <v>7.5900000000000004E-3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8.9999999999999998E-4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-6.4999999999999997E-4</v>
      </c>
      <c r="CE26" s="13" t="s">
        <v>81</v>
      </c>
      <c r="CF26" s="86" t="s">
        <v>201</v>
      </c>
      <c r="CH26" s="56"/>
      <c r="CI26" s="86"/>
      <c r="CK26" s="56"/>
      <c r="CL26" s="86"/>
      <c r="CN26" s="56"/>
      <c r="CO26" s="86"/>
    </row>
    <row r="27" spans="2:93">
      <c r="B27" s="2" t="s">
        <v>356</v>
      </c>
      <c r="C27" s="9"/>
      <c r="F27" t="s">
        <v>12</v>
      </c>
      <c r="M27" s="87" t="s">
        <v>35</v>
      </c>
      <c r="N27" s="88">
        <v>1.2895E-2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-2.5000000000000001E-5</v>
      </c>
      <c r="CE27" s="13"/>
      <c r="CF27" s="86"/>
      <c r="CH27" s="56"/>
      <c r="CI27" s="86"/>
      <c r="CK27" s="56"/>
      <c r="CL27" s="86"/>
      <c r="CN27" s="56"/>
      <c r="CO27" s="86"/>
    </row>
    <row r="28" spans="2:93">
      <c r="B28" s="55" t="s">
        <v>201</v>
      </c>
      <c r="C28" s="126" t="s">
        <v>204</v>
      </c>
      <c r="D28" s="127"/>
      <c r="E28" s="128"/>
      <c r="F28" t="s">
        <v>12</v>
      </c>
      <c r="M28" s="87" t="s">
        <v>33</v>
      </c>
      <c r="N28" s="88">
        <v>1.4574999999999999E-2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3.7500000000000001E-4</v>
      </c>
      <c r="CE28" s="13"/>
      <c r="CF28" s="86"/>
      <c r="CH28" s="56"/>
      <c r="CI28" s="86"/>
      <c r="CK28" s="56"/>
      <c r="CL28" s="86"/>
      <c r="CN28" s="56"/>
      <c r="CO28" s="86"/>
    </row>
    <row r="29" spans="2:93">
      <c r="B29" s="56" t="s">
        <v>63</v>
      </c>
      <c r="C29" s="129" t="s">
        <v>310</v>
      </c>
      <c r="D29" s="130"/>
      <c r="E29" s="131"/>
      <c r="F29" t="s">
        <v>12</v>
      </c>
      <c r="M29" s="87" t="s">
        <v>131</v>
      </c>
      <c r="N29" s="88">
        <v>1.5925000000000002E-2</v>
      </c>
      <c r="O29" s="89"/>
      <c r="P29" s="89"/>
      <c r="Q29" s="90" t="b">
        <v>1</v>
      </c>
      <c r="S29" s="97"/>
      <c r="T29" s="98"/>
      <c r="V29" s="13"/>
      <c r="W29" s="86"/>
      <c r="Y29" s="54" t="s">
        <v>23</v>
      </c>
      <c r="Z29" s="36">
        <v>7.3312999999999998E-3</v>
      </c>
      <c r="AB29" s="54" t="s">
        <v>71</v>
      </c>
      <c r="AC29" s="36">
        <v>7.5900000000000004E-3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1.7059999999999999E-2</v>
      </c>
      <c r="O30" s="89"/>
      <c r="P30" s="89"/>
      <c r="Q30" s="90" t="b">
        <v>1</v>
      </c>
      <c r="S30" s="97"/>
      <c r="T30" s="98"/>
      <c r="V30" s="13"/>
      <c r="W30" s="86"/>
      <c r="Y30" s="54"/>
      <c r="Z30" s="36"/>
      <c r="AB30" s="54" t="s">
        <v>68</v>
      </c>
      <c r="AC30" s="36">
        <v>7.8799999999999999E-3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1.8005E-2</v>
      </c>
      <c r="O31" s="89"/>
      <c r="P31" s="89"/>
      <c r="Q31" s="90" t="b">
        <v>1</v>
      </c>
      <c r="S31" s="97"/>
      <c r="T31" s="98"/>
      <c r="V31" s="13"/>
      <c r="W31" s="86"/>
      <c r="Y31" s="54"/>
      <c r="Z31" s="36"/>
      <c r="AB31" s="54" t="s">
        <v>66</v>
      </c>
      <c r="AC31" s="36">
        <v>8.199999999999999E-3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1.8787000000000002E-2</v>
      </c>
      <c r="O32" s="89"/>
      <c r="P32" s="89"/>
      <c r="Q32" s="90" t="b">
        <v>1</v>
      </c>
      <c r="S32" s="97"/>
      <c r="T32" s="98"/>
      <c r="V32" s="13"/>
      <c r="W32" s="86"/>
      <c r="Y32" s="54"/>
      <c r="Z32" s="36"/>
      <c r="AA32" s="3"/>
      <c r="AB32" s="54" t="s">
        <v>62</v>
      </c>
      <c r="AC32" s="36">
        <v>8.6E-3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1.9474999999999999E-2</v>
      </c>
      <c r="O33" s="89"/>
      <c r="P33" s="89"/>
      <c r="Q33" s="90" t="b">
        <v>1</v>
      </c>
      <c r="S33" s="97"/>
      <c r="T33" s="98"/>
      <c r="V33" s="13"/>
      <c r="W33" s="86"/>
      <c r="Y33" s="54"/>
      <c r="Z33" s="36"/>
      <c r="AA33" s="3"/>
      <c r="AB33" s="54" t="s">
        <v>58</v>
      </c>
      <c r="AC33" s="36">
        <v>9.0000000000000011E-3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2.0659999999999998E-2</v>
      </c>
      <c r="O34" s="89"/>
      <c r="P34" s="89"/>
      <c r="Q34" s="90" t="b">
        <v>1</v>
      </c>
      <c r="S34" s="97"/>
      <c r="T34" s="98"/>
      <c r="V34" s="13"/>
      <c r="W34" s="86"/>
      <c r="Y34" s="54"/>
      <c r="Z34" s="36"/>
      <c r="AA34" s="3"/>
      <c r="AB34" s="54" t="s">
        <v>369</v>
      </c>
      <c r="AC34" s="36">
        <v>9.4999999999999998E-3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2.1909999999999999E-2</v>
      </c>
      <c r="O35" s="89"/>
      <c r="P35" s="89"/>
      <c r="Q35" s="90" t="b">
        <v>1</v>
      </c>
      <c r="S35" s="97"/>
      <c r="T35" s="98"/>
      <c r="V35" s="13"/>
      <c r="W35" s="86"/>
      <c r="Y35" s="54"/>
      <c r="Z35" s="36"/>
      <c r="AA35" s="3"/>
      <c r="AB35" s="54" t="s">
        <v>372</v>
      </c>
      <c r="AC35" s="36">
        <v>1.0800000000000001E-2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2.2858E-2</v>
      </c>
      <c r="O36" s="89"/>
      <c r="P36" s="89"/>
      <c r="Q36" s="90" t="b">
        <v>1</v>
      </c>
      <c r="S36" s="97"/>
      <c r="T36" s="98"/>
      <c r="V36" s="13"/>
      <c r="W36" s="86"/>
      <c r="Y36" s="54"/>
      <c r="Z36" s="36"/>
      <c r="AA36" s="3"/>
      <c r="AB36" s="54" t="s">
        <v>375</v>
      </c>
      <c r="AC36" s="36">
        <v>1.248E-2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2.3054999999999999E-2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2.3092999999999999E-2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2.283E-2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2.2620000000000001E-2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42198</v>
      </c>
      <c r="J8" s="72" t="s">
        <v>174</v>
      </c>
      <c r="K8" s="34" t="s">
        <v>212</v>
      </c>
      <c r="M8" s="74" t="s">
        <v>76</v>
      </c>
      <c r="N8" s="75" t="s">
        <v>75</v>
      </c>
      <c r="O8" s="75" t="s">
        <v>139</v>
      </c>
      <c r="P8" s="75" t="s">
        <v>138</v>
      </c>
      <c r="Q8" s="76" t="s">
        <v>173</v>
      </c>
      <c r="S8" s="67" t="s">
        <v>172</v>
      </c>
      <c r="T8" s="68" t="s">
        <v>75</v>
      </c>
      <c r="V8" s="55" t="s">
        <v>170</v>
      </c>
      <c r="W8" s="110">
        <v>42198</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42198</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1.4050000000000002E-3</v>
      </c>
      <c r="AP9" s="83" t="b">
        <v>0</v>
      </c>
      <c r="AQ9" s="6"/>
      <c r="AR9" s="56" t="s">
        <v>162</v>
      </c>
      <c r="AS9" s="86" t="s">
        <v>200</v>
      </c>
      <c r="AU9" s="78" t="s">
        <v>169</v>
      </c>
      <c r="AV9" s="102" t="s">
        <v>168</v>
      </c>
      <c r="AX9" s="87" t="s">
        <v>160</v>
      </c>
      <c r="AY9" s="103">
        <v>3.3750000000000002E-4</v>
      </c>
      <c r="BA9" s="78" t="s">
        <v>169</v>
      </c>
      <c r="BB9" s="102" t="s">
        <v>168</v>
      </c>
      <c r="BD9" s="87" t="s">
        <v>160</v>
      </c>
      <c r="BE9" s="103">
        <v>6.3750000000000005E-4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-4.2399999999999998E-3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7.3130000000000005E-4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1.485E-3</v>
      </c>
      <c r="AP10" s="83" t="b">
        <v>0</v>
      </c>
      <c r="AQ10" s="6"/>
      <c r="AR10" s="56" t="s">
        <v>143</v>
      </c>
      <c r="AS10" s="86" t="s">
        <v>29</v>
      </c>
      <c r="AU10" s="56" t="s">
        <v>161</v>
      </c>
      <c r="AV10" s="17" t="s">
        <v>215</v>
      </c>
      <c r="AX10" s="87" t="s">
        <v>42</v>
      </c>
      <c r="AY10" s="103">
        <v>3.6193200000000003E-4</v>
      </c>
      <c r="BA10" s="56" t="s">
        <v>161</v>
      </c>
      <c r="BB10" s="17" t="s">
        <v>215</v>
      </c>
      <c r="BD10" s="87" t="s">
        <v>42</v>
      </c>
      <c r="BE10" s="103">
        <v>6.2500000000000001E-4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-5.29985E-3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7.2499999999999995E-4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1.7625E-3</v>
      </c>
      <c r="AP11" s="83" t="b">
        <v>1</v>
      </c>
      <c r="AQ11" s="6"/>
      <c r="AR11" s="56" t="s">
        <v>140</v>
      </c>
      <c r="AS11" s="86" t="s">
        <v>29</v>
      </c>
      <c r="AU11" s="56" t="s">
        <v>154</v>
      </c>
      <c r="AV11" s="17" t="s">
        <v>55</v>
      </c>
      <c r="AX11" s="87" t="s">
        <v>39</v>
      </c>
      <c r="AY11" s="103">
        <v>3.838E-4</v>
      </c>
      <c r="BA11" s="56" t="s">
        <v>154</v>
      </c>
      <c r="BB11" s="17" t="s">
        <v>55</v>
      </c>
      <c r="BD11" s="87" t="s">
        <v>39</v>
      </c>
      <c r="BE11" s="103">
        <v>6.4999999999999997E-4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-6.1500000000000001E-3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7.1880000000000002E-4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2.225E-3</v>
      </c>
      <c r="AP12" s="83" t="b">
        <v>1</v>
      </c>
      <c r="AQ12" s="6"/>
      <c r="AR12" s="56" t="s">
        <v>157</v>
      </c>
      <c r="AS12" s="86" t="s">
        <v>29</v>
      </c>
      <c r="AU12" s="56" t="s">
        <v>151</v>
      </c>
      <c r="AV12" s="17" t="s">
        <v>78</v>
      </c>
      <c r="AX12" s="87" t="s">
        <v>35</v>
      </c>
      <c r="AY12" s="103">
        <v>4.125E-4</v>
      </c>
      <c r="BA12" s="56" t="s">
        <v>151</v>
      </c>
      <c r="BB12" s="17" t="s">
        <v>78</v>
      </c>
      <c r="BD12" s="87" t="s">
        <v>35</v>
      </c>
      <c r="BE12" s="103">
        <v>6.8749999999999996E-4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-6.7850499999999999E-3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7.0999999999999991E-4</v>
      </c>
      <c r="O13" s="89"/>
      <c r="P13" s="89"/>
      <c r="Q13" s="90" t="b">
        <v>1</v>
      </c>
      <c r="S13" s="97"/>
      <c r="T13" s="98"/>
      <c r="V13" s="56" t="s">
        <v>230</v>
      </c>
      <c r="W13" s="86" t="b">
        <v>0</v>
      </c>
      <c r="Y13" s="6"/>
      <c r="Z13" s="4"/>
      <c r="AA13" s="6"/>
      <c r="AB13" s="8"/>
      <c r="AC13" s="4"/>
      <c r="AE13" s="4"/>
      <c r="AF13" s="4"/>
      <c r="AK13" s="56" t="s">
        <v>270</v>
      </c>
      <c r="AL13" s="86" t="s">
        <v>269</v>
      </c>
      <c r="AN13" s="71" t="s">
        <v>33</v>
      </c>
      <c r="AO13" s="82">
        <v>2.8249999999999998E-3</v>
      </c>
      <c r="AP13" s="83" t="b">
        <v>1</v>
      </c>
      <c r="AQ13" s="6"/>
      <c r="AR13" s="56" t="s">
        <v>230</v>
      </c>
      <c r="AS13" s="86" t="b">
        <v>0</v>
      </c>
      <c r="AU13" s="56" t="s">
        <v>148</v>
      </c>
      <c r="AV13" s="17" t="s">
        <v>40</v>
      </c>
      <c r="AX13" s="87" t="s">
        <v>33</v>
      </c>
      <c r="AY13" s="103">
        <v>4.3750000000000001E-4</v>
      </c>
      <c r="BA13" s="56" t="s">
        <v>148</v>
      </c>
      <c r="BB13" s="17" t="s">
        <v>40</v>
      </c>
      <c r="BD13" s="87" t="s">
        <v>33</v>
      </c>
      <c r="BE13" s="103">
        <v>7.1250000000000003E-4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-7.2251000000000008E-3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6.9000000000000008E-4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3.5049999999999999E-3</v>
      </c>
      <c r="AP14" s="83" t="b">
        <v>1</v>
      </c>
      <c r="AQ14" s="6"/>
      <c r="AR14" s="56" t="s">
        <v>232</v>
      </c>
      <c r="AS14" s="86" t="b">
        <v>0</v>
      </c>
      <c r="AU14" s="56" t="s">
        <v>141</v>
      </c>
      <c r="AV14" s="17" t="s">
        <v>43</v>
      </c>
      <c r="AX14" s="87" t="s">
        <v>131</v>
      </c>
      <c r="AY14" s="103">
        <v>4.6250000000000002E-4</v>
      </c>
      <c r="BA14" s="56" t="s">
        <v>141</v>
      </c>
      <c r="BB14" s="17" t="s">
        <v>43</v>
      </c>
      <c r="BD14" s="87" t="s">
        <v>131</v>
      </c>
      <c r="BE14" s="103">
        <v>7.1250000000000003E-4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-7.4626000000000007E-3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6.7969999999999999E-4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4.215E-3</v>
      </c>
      <c r="AP15" s="83" t="b">
        <v>1</v>
      </c>
      <c r="AQ15" s="6"/>
      <c r="AR15" s="56" t="s">
        <v>110</v>
      </c>
      <c r="AS15" s="86" t="b">
        <v>0</v>
      </c>
      <c r="AU15" s="56" t="s">
        <v>132</v>
      </c>
      <c r="AV15" s="31" t="s">
        <v>201</v>
      </c>
      <c r="AX15" s="87" t="s">
        <v>31</v>
      </c>
      <c r="AY15" s="103">
        <v>4.8755300000000005E-4</v>
      </c>
      <c r="BA15" s="56" t="s">
        <v>132</v>
      </c>
      <c r="BB15" s="31" t="s">
        <v>201</v>
      </c>
      <c r="BD15" s="87" t="s">
        <v>31</v>
      </c>
      <c r="BE15" s="103">
        <v>7.3749999999999998E-4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-7.5251499999999995E-3</v>
      </c>
      <c r="CE15" s="56" t="s">
        <v>110</v>
      </c>
      <c r="CF15" s="86" t="b">
        <v>0</v>
      </c>
      <c r="CH15" s="56"/>
      <c r="CI15" s="86"/>
      <c r="CK15" s="56"/>
      <c r="CL15" s="86"/>
      <c r="CN15" s="56"/>
      <c r="CO15" s="86"/>
    </row>
    <row r="16" spans="2:93">
      <c r="F16" t="s">
        <v>12</v>
      </c>
      <c r="G16" s="56" t="s">
        <v>107</v>
      </c>
      <c r="H16" s="86" t="b">
        <v>0</v>
      </c>
      <c r="J16" s="73"/>
      <c r="K16" s="17"/>
      <c r="M16" s="87" t="s">
        <v>74</v>
      </c>
      <c r="N16" s="88">
        <v>6.7000000000000002E-4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4.9300000000000004E-3</v>
      </c>
      <c r="AP16" s="83" t="b">
        <v>1</v>
      </c>
      <c r="AQ16" s="6"/>
      <c r="AR16" s="56" t="s">
        <v>107</v>
      </c>
      <c r="AS16" s="86" t="b">
        <v>0</v>
      </c>
      <c r="AU16" s="56" t="s">
        <v>126</v>
      </c>
      <c r="AV16" s="31" t="s">
        <v>63</v>
      </c>
      <c r="AX16" s="87" t="s">
        <v>119</v>
      </c>
      <c r="AY16" s="103">
        <v>5.1290999999999999E-4</v>
      </c>
      <c r="BA16" s="56" t="s">
        <v>126</v>
      </c>
      <c r="BB16" s="31" t="s">
        <v>63</v>
      </c>
      <c r="BD16" s="87" t="s">
        <v>119</v>
      </c>
      <c r="BE16" s="103">
        <v>7.6250000000000005E-4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-7.4503500000000005E-3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6.6E-4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5.6350000000000003E-3</v>
      </c>
      <c r="AP17" s="83" t="b">
        <v>1</v>
      </c>
      <c r="AQ17" s="6"/>
      <c r="AR17" s="56" t="s">
        <v>100</v>
      </c>
      <c r="AS17" s="86" t="s">
        <v>29</v>
      </c>
      <c r="AU17" s="56" t="s">
        <v>120</v>
      </c>
      <c r="AV17" s="109" t="s">
        <v>23</v>
      </c>
      <c r="AX17" s="87" t="s">
        <v>113</v>
      </c>
      <c r="AY17" s="103">
        <v>5.4960000000000002E-4</v>
      </c>
      <c r="BA17" s="56" t="s">
        <v>120</v>
      </c>
      <c r="BB17" s="109" t="s">
        <v>23</v>
      </c>
      <c r="BD17" s="87" t="s">
        <v>113</v>
      </c>
      <c r="BE17" s="103">
        <v>8.0000000000000004E-4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-7.2968500000000006E-3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6.6E-4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6.3549999999999995E-3</v>
      </c>
      <c r="AP18" s="83" t="b">
        <v>1</v>
      </c>
      <c r="AQ18" s="6"/>
      <c r="AR18" s="56" t="s">
        <v>235</v>
      </c>
      <c r="AS18" s="86" t="b">
        <v>1</v>
      </c>
      <c r="AU18" s="56" t="s">
        <v>114</v>
      </c>
      <c r="AV18" s="17" t="s">
        <v>55</v>
      </c>
      <c r="AX18" s="87" t="s">
        <v>28</v>
      </c>
      <c r="AY18" s="103">
        <v>5.7521799999999995E-4</v>
      </c>
      <c r="BA18" s="56" t="s">
        <v>114</v>
      </c>
      <c r="BB18" s="17" t="s">
        <v>55</v>
      </c>
      <c r="BD18" s="87" t="s">
        <v>28</v>
      </c>
      <c r="BE18" s="103">
        <v>8.4999999999999995E-4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-7.1001999999999992E-3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6.4999999999999997E-4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7.8000000000000005E-3</v>
      </c>
      <c r="AP19" s="83" t="b">
        <v>1</v>
      </c>
      <c r="AQ19" s="6"/>
      <c r="AR19" s="56" t="s">
        <v>81</v>
      </c>
      <c r="AS19" s="86" t="s">
        <v>201</v>
      </c>
      <c r="AU19" s="56" t="s">
        <v>109</v>
      </c>
      <c r="AV19" s="17" t="s">
        <v>46</v>
      </c>
      <c r="AX19" s="87" t="s">
        <v>366</v>
      </c>
      <c r="AY19" s="103">
        <v>5.8750000000000002E-4</v>
      </c>
      <c r="BA19" s="56" t="s">
        <v>109</v>
      </c>
      <c r="BB19" s="17" t="s">
        <v>46</v>
      </c>
      <c r="BD19" s="87" t="s">
        <v>26</v>
      </c>
      <c r="BE19" s="103">
        <v>8.3750000000000003E-4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-6.8999999999999999E-3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6.4999999999999997E-4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9.9500000000000005E-3</v>
      </c>
      <c r="AP20" s="83" t="b">
        <v>1</v>
      </c>
      <c r="AQ20" s="6"/>
      <c r="AR20" s="56" t="s">
        <v>254</v>
      </c>
      <c r="AS20" s="86" t="b">
        <v>1</v>
      </c>
      <c r="AU20" s="56" t="s">
        <v>105</v>
      </c>
      <c r="AV20" s="17" t="s">
        <v>48</v>
      </c>
      <c r="AX20" s="87" t="s">
        <v>26</v>
      </c>
      <c r="AY20" s="103">
        <v>5.7570899999999999E-4</v>
      </c>
      <c r="BA20" s="56" t="s">
        <v>105</v>
      </c>
      <c r="BB20" s="17" t="s">
        <v>48</v>
      </c>
      <c r="BD20" s="87" t="s">
        <v>24</v>
      </c>
      <c r="BE20" s="103">
        <v>8.1249999999999996E-4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-6.6752499999999998E-3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6.4000000000000005E-4</v>
      </c>
      <c r="O21" s="89"/>
      <c r="P21" s="89"/>
      <c r="Q21" s="90" t="b">
        <v>1</v>
      </c>
      <c r="S21" s="97"/>
      <c r="T21" s="98"/>
      <c r="V21" s="56"/>
      <c r="W21" s="86"/>
      <c r="Y21" s="57"/>
      <c r="Z21" s="17"/>
      <c r="AB21" s="54"/>
      <c r="AC21" s="36"/>
      <c r="AE21" s="45"/>
      <c r="AF21" s="46"/>
      <c r="AG21" s="46"/>
      <c r="AH21" s="47"/>
      <c r="AI21" s="185" t="s">
        <v>88</v>
      </c>
      <c r="AK21" s="56"/>
      <c r="AL21" s="86"/>
      <c r="AN21" s="71" t="s">
        <v>20</v>
      </c>
      <c r="AO21" s="82">
        <v>1.269E-2</v>
      </c>
      <c r="AP21" s="83" t="b">
        <v>1</v>
      </c>
      <c r="AQ21" s="6"/>
      <c r="AR21" s="56"/>
      <c r="AS21" s="86"/>
      <c r="AU21" s="56" t="s">
        <v>101</v>
      </c>
      <c r="AV21" s="17" t="s">
        <v>46</v>
      </c>
      <c r="AX21" s="87" t="s">
        <v>24</v>
      </c>
      <c r="AY21" s="103">
        <v>5.6338100000000006E-4</v>
      </c>
      <c r="BA21" s="56" t="s">
        <v>101</v>
      </c>
      <c r="BB21" s="17" t="s">
        <v>46</v>
      </c>
      <c r="BD21" s="87" t="s">
        <v>20</v>
      </c>
      <c r="BE21" s="103">
        <v>7.8750000000000001E-4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-6.4999999999999997E-3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6.38E-4</v>
      </c>
      <c r="O22" s="89"/>
      <c r="P22" s="89"/>
      <c r="Q22" s="90" t="b">
        <v>1</v>
      </c>
      <c r="S22" s="97"/>
      <c r="T22" s="98"/>
      <c r="V22" s="56"/>
      <c r="W22" s="86"/>
      <c r="Y22" s="57"/>
      <c r="Z22" s="17"/>
      <c r="AB22" s="54"/>
      <c r="AC22" s="36"/>
      <c r="AE22" s="45"/>
      <c r="AF22" s="46"/>
      <c r="AG22" s="46"/>
      <c r="AH22" s="47"/>
      <c r="AI22" s="185" t="s">
        <v>88</v>
      </c>
      <c r="AK22" s="56"/>
      <c r="AL22" s="86"/>
      <c r="AN22" s="71" t="s">
        <v>18</v>
      </c>
      <c r="AO22" s="82">
        <v>1.4199999999999999E-2</v>
      </c>
      <c r="AP22" s="83" t="b">
        <v>1</v>
      </c>
      <c r="AQ22" s="6"/>
      <c r="AR22" s="56"/>
      <c r="AS22" s="86"/>
      <c r="AU22" s="56" t="s">
        <v>96</v>
      </c>
      <c r="AV22" s="17" t="s">
        <v>43</v>
      </c>
      <c r="AX22" s="87" t="s">
        <v>20</v>
      </c>
      <c r="AY22" s="103">
        <v>5.5385000000000005E-4</v>
      </c>
      <c r="BA22" s="56" t="s">
        <v>96</v>
      </c>
      <c r="BB22" s="17" t="s">
        <v>43</v>
      </c>
      <c r="BD22" s="87" t="s">
        <v>18</v>
      </c>
      <c r="BE22" s="103">
        <v>7.7499999999999997E-4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-6.3249999999999999E-3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6.38E-4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1.4999999999999999E-2</v>
      </c>
      <c r="AP23" s="83" t="b">
        <v>1</v>
      </c>
      <c r="AQ23" s="6"/>
      <c r="AR23" s="13"/>
      <c r="AS23" s="86"/>
      <c r="AU23" s="79" t="s">
        <v>92</v>
      </c>
      <c r="AV23" s="20" t="s">
        <v>40</v>
      </c>
      <c r="AX23" s="87" t="s">
        <v>18</v>
      </c>
      <c r="AY23" s="103">
        <v>5.5245000000000001E-4</v>
      </c>
      <c r="BA23" s="79" t="s">
        <v>92</v>
      </c>
      <c r="BB23" s="20" t="s">
        <v>40</v>
      </c>
      <c r="BD23" s="87" t="s">
        <v>17</v>
      </c>
      <c r="BE23" s="103">
        <v>7.6250000000000005E-4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-6.1252499999999996E-3</v>
      </c>
      <c r="CE23" s="13"/>
      <c r="CF23" s="86"/>
      <c r="CH23" s="56"/>
      <c r="CI23" s="86"/>
      <c r="CK23" s="56"/>
      <c r="CL23" s="86"/>
      <c r="CN23" s="56"/>
      <c r="CO23" s="86"/>
    </row>
    <row r="24" spans="2:93">
      <c r="B24" s="56"/>
      <c r="C24" s="132"/>
      <c r="D24" s="133"/>
      <c r="E24" s="134"/>
      <c r="F24" t="s">
        <v>12</v>
      </c>
      <c r="G24" s="14"/>
      <c r="H24" s="32"/>
      <c r="J24" s="14"/>
      <c r="K24" s="32"/>
      <c r="M24" s="87" t="s">
        <v>265</v>
      </c>
      <c r="N24" s="88">
        <v>6.3750000000000005E-4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1.5637499999999999E-2</v>
      </c>
      <c r="AP24" s="83" t="b">
        <v>1</v>
      </c>
      <c r="AQ24" s="6"/>
      <c r="AR24" s="13"/>
      <c r="AS24" s="86"/>
      <c r="AU24" s="78" t="s">
        <v>87</v>
      </c>
      <c r="AV24" s="102" t="s">
        <v>215</v>
      </c>
      <c r="AX24" s="87" t="s">
        <v>17</v>
      </c>
      <c r="AY24" s="103">
        <v>5.5008499999999996E-4</v>
      </c>
      <c r="BA24" s="78" t="s">
        <v>87</v>
      </c>
      <c r="BB24" s="102" t="s">
        <v>215</v>
      </c>
      <c r="BD24" s="87" t="s">
        <v>15</v>
      </c>
      <c r="BE24" s="103">
        <v>7.3749999999999998E-4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-5.3877500000000002E-3</v>
      </c>
      <c r="CE24" s="13"/>
      <c r="CF24" s="86"/>
      <c r="CH24" s="56"/>
      <c r="CI24" s="86"/>
      <c r="CK24" s="56"/>
      <c r="CL24" s="86"/>
      <c r="CN24" s="56"/>
      <c r="CO24" s="86"/>
    </row>
    <row r="25" spans="2:93">
      <c r="B25" s="62"/>
      <c r="C25" s="135"/>
      <c r="D25" s="136"/>
      <c r="E25" s="137"/>
      <c r="F25" t="s">
        <v>12</v>
      </c>
      <c r="M25" s="87" t="s">
        <v>45</v>
      </c>
      <c r="N25" s="88">
        <v>6.38E-4</v>
      </c>
      <c r="O25" s="89"/>
      <c r="P25" s="89"/>
      <c r="Q25" s="90" t="b">
        <v>1</v>
      </c>
      <c r="S25" s="97"/>
      <c r="T25" s="98"/>
      <c r="V25" s="13"/>
      <c r="W25" s="86"/>
      <c r="Y25" s="58"/>
      <c r="Z25" s="20"/>
      <c r="AB25" s="65"/>
      <c r="AC25" s="41"/>
      <c r="AE25" s="48"/>
      <c r="AF25" s="46"/>
      <c r="AG25" s="46"/>
      <c r="AH25" s="49"/>
      <c r="AI25" s="185" t="s">
        <v>88</v>
      </c>
      <c r="AK25" s="56"/>
      <c r="AL25" s="86"/>
      <c r="AN25" s="71" t="s">
        <v>15</v>
      </c>
      <c r="AO25" s="82">
        <v>1.6174999999999998E-2</v>
      </c>
      <c r="AP25" s="83" t="b">
        <v>1</v>
      </c>
      <c r="AQ25" s="6"/>
      <c r="AR25" s="13"/>
      <c r="AS25" s="86"/>
      <c r="AU25" s="56" t="s">
        <v>85</v>
      </c>
      <c r="AV25" s="17" t="s">
        <v>55</v>
      </c>
      <c r="AX25" s="87" t="s">
        <v>15</v>
      </c>
      <c r="AY25" s="103">
        <v>5.4968300000000003E-4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-4.8563499999999997E-3</v>
      </c>
      <c r="CE25" s="13"/>
      <c r="CF25" s="86"/>
      <c r="CH25" s="56"/>
      <c r="CI25" s="86"/>
      <c r="CK25" s="56"/>
      <c r="CL25" s="86"/>
      <c r="CN25" s="56"/>
      <c r="CO25" s="86"/>
    </row>
    <row r="26" spans="2:93">
      <c r="F26" t="s">
        <v>12</v>
      </c>
      <c r="M26" s="87" t="s">
        <v>42</v>
      </c>
      <c r="N26" s="88">
        <v>6.7500000000000004E-4</v>
      </c>
      <c r="O26" s="89"/>
      <c r="P26" s="89"/>
      <c r="Q26" s="90" t="b">
        <v>1</v>
      </c>
      <c r="S26" s="97"/>
      <c r="T26" s="98"/>
      <c r="V26" s="13"/>
      <c r="W26" s="86"/>
      <c r="Y26" s="215" t="s">
        <v>23</v>
      </c>
      <c r="Z26" s="216">
        <v>1.3500000000000001E-3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-4.4752999999999998E-3</v>
      </c>
      <c r="CE26" s="13"/>
      <c r="CF26" s="86"/>
      <c r="CH26" s="56"/>
      <c r="CI26" s="86"/>
      <c r="CK26" s="56"/>
      <c r="CL26" s="86"/>
      <c r="CN26" s="56"/>
      <c r="CO26" s="86"/>
    </row>
    <row r="27" spans="2:93">
      <c r="B27" s="2" t="s">
        <v>356</v>
      </c>
      <c r="C27" s="9"/>
      <c r="F27" t="s">
        <v>12</v>
      </c>
      <c r="M27" s="87" t="s">
        <v>39</v>
      </c>
      <c r="N27" s="88">
        <v>8.4000000000000003E-4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-3.8124999999999999E-3</v>
      </c>
      <c r="CE27" s="13"/>
      <c r="CF27" s="86"/>
      <c r="CH27" s="56"/>
      <c r="CI27" s="86"/>
      <c r="CK27" s="56"/>
      <c r="CL27" s="86"/>
      <c r="CN27" s="56"/>
      <c r="CO27" s="86"/>
    </row>
    <row r="28" spans="2:93">
      <c r="B28" s="55" t="s">
        <v>201</v>
      </c>
      <c r="C28" s="126" t="s">
        <v>210</v>
      </c>
      <c r="D28" s="127"/>
      <c r="E28" s="128"/>
      <c r="F28" t="s">
        <v>12</v>
      </c>
      <c r="M28" s="87" t="s">
        <v>35</v>
      </c>
      <c r="N28" s="88">
        <v>1.1999999999999999E-3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-3.2750000000000001E-3</v>
      </c>
      <c r="CE28" s="13"/>
      <c r="CF28" s="86"/>
      <c r="CH28" s="56"/>
      <c r="CI28" s="86"/>
      <c r="CK28" s="56"/>
      <c r="CL28" s="86"/>
      <c r="CN28" s="56"/>
      <c r="CO28" s="86"/>
    </row>
    <row r="29" spans="2:93">
      <c r="B29" s="56" t="s">
        <v>63</v>
      </c>
      <c r="C29" s="129" t="s">
        <v>338</v>
      </c>
      <c r="D29" s="130"/>
      <c r="E29" s="131"/>
      <c r="F29" t="s">
        <v>12</v>
      </c>
      <c r="M29" s="87" t="s">
        <v>33</v>
      </c>
      <c r="N29" s="88">
        <v>1.7125E-3</v>
      </c>
      <c r="O29" s="89"/>
      <c r="P29" s="89"/>
      <c r="Q29" s="90" t="b">
        <v>1</v>
      </c>
      <c r="S29" s="97"/>
      <c r="T29" s="98"/>
      <c r="V29" s="13"/>
      <c r="W29" s="86"/>
      <c r="Y29" s="54" t="s">
        <v>23</v>
      </c>
      <c r="Z29" s="36">
        <v>1.3429E-3</v>
      </c>
      <c r="AB29" s="54" t="s">
        <v>71</v>
      </c>
      <c r="AC29" s="36">
        <v>1.3500000000000001E-3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2.3436999999999998E-3</v>
      </c>
      <c r="O30" s="89"/>
      <c r="P30" s="89"/>
      <c r="Q30" s="90" t="b">
        <v>1</v>
      </c>
      <c r="S30" s="97"/>
      <c r="T30" s="98"/>
      <c r="V30" s="13"/>
      <c r="W30" s="86"/>
      <c r="Y30" s="54"/>
      <c r="Z30" s="36"/>
      <c r="AB30" s="54" t="s">
        <v>68</v>
      </c>
      <c r="AC30" s="36">
        <v>1.3550000000000001E-3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2.9687999999999997E-3</v>
      </c>
      <c r="O31" s="89"/>
      <c r="P31" s="89"/>
      <c r="Q31" s="90" t="b">
        <v>1</v>
      </c>
      <c r="S31" s="97"/>
      <c r="T31" s="98"/>
      <c r="V31" s="13"/>
      <c r="W31" s="86"/>
      <c r="Y31" s="54"/>
      <c r="Z31" s="36"/>
      <c r="AB31" s="54" t="s">
        <v>66</v>
      </c>
      <c r="AC31" s="36">
        <v>1.3650000000000001E-3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3.6125000000000003E-3</v>
      </c>
      <c r="O32" s="89"/>
      <c r="P32" s="89"/>
      <c r="Q32" s="90" t="b">
        <v>1</v>
      </c>
      <c r="S32" s="97"/>
      <c r="T32" s="98"/>
      <c r="V32" s="13"/>
      <c r="W32" s="86"/>
      <c r="Y32" s="54"/>
      <c r="Z32" s="36"/>
      <c r="AA32" s="3"/>
      <c r="AB32" s="54" t="s">
        <v>62</v>
      </c>
      <c r="AC32" s="36">
        <v>1.3750000000000001E-3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4.2312000000000001E-3</v>
      </c>
      <c r="O33" s="89"/>
      <c r="P33" s="89"/>
      <c r="Q33" s="90" t="b">
        <v>1</v>
      </c>
      <c r="S33" s="97"/>
      <c r="T33" s="98"/>
      <c r="V33" s="13"/>
      <c r="W33" s="86"/>
      <c r="Y33" s="54"/>
      <c r="Z33" s="36"/>
      <c r="AA33" s="3"/>
      <c r="AB33" s="54" t="s">
        <v>58</v>
      </c>
      <c r="AC33" s="36">
        <v>1.3875000000000001E-3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4.875E-3</v>
      </c>
      <c r="O34" s="89"/>
      <c r="P34" s="89"/>
      <c r="Q34" s="90" t="b">
        <v>1</v>
      </c>
      <c r="S34" s="97"/>
      <c r="T34" s="98"/>
      <c r="V34" s="13"/>
      <c r="W34" s="86"/>
      <c r="Y34" s="54"/>
      <c r="Z34" s="36"/>
      <c r="AA34" s="3"/>
      <c r="AB34" s="54" t="s">
        <v>369</v>
      </c>
      <c r="AC34" s="36">
        <v>1.3950000000000002E-3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5.5249999999999995E-3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6.1624999999999996E-3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8.2874999999999997E-3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1.1075E-2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1.24875E-2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1.325E-2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1.3962499999999999E-2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1.4499999999999999E-2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5" t="s">
        <v>279</v>
      </c>
      <c r="G2" s="116"/>
      <c r="H2" s="146"/>
      <c r="I2" s="255" t="s">
        <v>280</v>
      </c>
      <c r="K2" s="116"/>
      <c r="L2" s="146"/>
      <c r="M2" s="255" t="s">
        <v>281</v>
      </c>
      <c r="O2" s="116"/>
      <c r="P2" s="146"/>
      <c r="Q2" s="255" t="s">
        <v>282</v>
      </c>
      <c r="T2" s="255" t="s">
        <v>391</v>
      </c>
      <c r="U2" s="256"/>
      <c r="V2" s="256"/>
      <c r="W2" s="256"/>
      <c r="X2" s="256"/>
      <c r="AA2" s="255" t="s">
        <v>393</v>
      </c>
      <c r="AB2" s="256"/>
      <c r="AC2" s="256"/>
      <c r="AD2" s="256"/>
      <c r="AE2" s="256"/>
      <c r="AG2" s="143" t="s">
        <v>392</v>
      </c>
    </row>
    <row r="3" spans="1:33" ht="15" customHeight="1">
      <c r="A3" s="175" t="s">
        <v>367</v>
      </c>
      <c r="D3" s="146"/>
      <c r="E3" s="257"/>
      <c r="G3" s="117"/>
      <c r="H3" s="146"/>
      <c r="I3" s="257"/>
      <c r="K3" s="117"/>
      <c r="L3" s="146"/>
      <c r="M3" s="257"/>
      <c r="O3" s="117"/>
      <c r="P3" s="146"/>
      <c r="Q3" s="257"/>
      <c r="S3" s="112"/>
      <c r="T3" s="257"/>
      <c r="U3" s="256"/>
      <c r="V3" s="256"/>
      <c r="W3" s="256"/>
      <c r="X3" s="256"/>
      <c r="AA3" s="257"/>
      <c r="AB3" s="256"/>
      <c r="AC3" s="256"/>
      <c r="AD3" s="256"/>
      <c r="AE3" s="256"/>
      <c r="AG3" s="173">
        <f ca="1">SUM(CurveErrorsUSD,CurveErrorsEUR,CurveErrorsGBP,CurveErrorsJPY)</f>
        <v>97</v>
      </c>
    </row>
    <row r="4" spans="1:33">
      <c r="S4" s="174"/>
      <c r="T4" s="174"/>
      <c r="U4" s="144"/>
      <c r="V4" s="144"/>
      <c r="W4" s="144"/>
      <c r="X4" s="144"/>
    </row>
    <row r="5" spans="1:33">
      <c r="A5" s="258"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58" t="s">
        <v>190</v>
      </c>
      <c r="T5" s="11" t="s">
        <v>399</v>
      </c>
      <c r="U5" s="195" t="s">
        <v>279</v>
      </c>
      <c r="V5" s="195" t="s">
        <v>280</v>
      </c>
      <c r="W5" s="195" t="s">
        <v>281</v>
      </c>
      <c r="X5" s="195" t="s">
        <v>282</v>
      </c>
      <c r="Z5" s="258" t="s">
        <v>190</v>
      </c>
      <c r="AA5" s="11" t="s">
        <v>382</v>
      </c>
      <c r="AB5" s="195" t="s">
        <v>279</v>
      </c>
      <c r="AC5" s="195" t="s">
        <v>280</v>
      </c>
      <c r="AD5" s="195" t="s">
        <v>281</v>
      </c>
      <c r="AE5" s="195" t="s">
        <v>282</v>
      </c>
      <c r="AG5" s="143" t="s">
        <v>394</v>
      </c>
    </row>
    <row r="6" spans="1:33">
      <c r="A6" s="258"/>
      <c r="B6" s="114" t="s">
        <v>12</v>
      </c>
      <c r="C6" s="122" t="s">
        <v>201</v>
      </c>
      <c r="D6" s="168" t="s">
        <v>277</v>
      </c>
      <c r="E6" s="153" t="e">
        <f ca="1">_xll.mirSetUpOISCurve(E$5,C$6,YieldCurvePropertiesOIS,OISConv,OISRates,OISCurveNamesNativeCSA,OISHistoricalRates)&amp;"@"&amp;NOW()</f>
        <v>#NAME?</v>
      </c>
      <c r="F6" s="114" t="s">
        <v>12</v>
      </c>
      <c r="G6" s="119" t="s">
        <v>201</v>
      </c>
      <c r="H6" s="166" t="s">
        <v>277</v>
      </c>
      <c r="I6" s="160" t="e">
        <f ca="1">_xll.mirSetUpOISCurve(I$5,G$6,YieldCurvePropertiesOIS,OISConv,OISRates,OISCurveNamesFWDFX,OISHistoricalRates)&amp;"@"&amp;NOW()</f>
        <v>#NAME?</v>
      </c>
      <c r="J6" s="114" t="s">
        <v>12</v>
      </c>
      <c r="K6" s="119" t="s">
        <v>201</v>
      </c>
      <c r="L6" s="168" t="s">
        <v>277</v>
      </c>
      <c r="M6" s="160" t="e">
        <f ca="1">_xll.mirSetUpOISCurve(M$5,K$6,YieldCurvePropertiesOIS,OISConv,OISRates,OISCurveNamesFWDFX,OISHistoricalRates)&amp;"@"&amp;NOW()</f>
        <v>#NAME?</v>
      </c>
      <c r="N6" s="114" t="s">
        <v>12</v>
      </c>
      <c r="O6" s="119" t="s">
        <v>201</v>
      </c>
      <c r="P6" s="168" t="s">
        <v>277</v>
      </c>
      <c r="Q6" s="160" t="e">
        <f ca="1">_xll.mirSetUpOISCurve(Q$5,O$6,YieldCurvePropertiesOIS,OISConv,OISRates,OISCurveNamesFWDFX,OISHistoricalRates)&amp;"@"&amp;NOW()</f>
        <v>#NAME?</v>
      </c>
      <c r="R6" s="114" t="s">
        <v>12</v>
      </c>
      <c r="S6" s="258"/>
      <c r="T6" s="192" t="s">
        <v>201</v>
      </c>
      <c r="U6" s="169" t="e">
        <f t="shared" ref="U6:U12" ca="1" si="0">IF(UPPER(LEFT(E6,3))=LEFT(C6,3),TRUE,FALSE)</f>
        <v>#NAME?</v>
      </c>
      <c r="V6" s="169" t="e">
        <f t="shared" ref="V6:V12" ca="1" si="1">IF(UPPER(LEFT(I6,3))=LEFT(G6,3),TRUE,FALSE)</f>
        <v>#NAME?</v>
      </c>
      <c r="W6" s="169" t="e">
        <f t="shared" ref="W6:W12" ca="1" si="2">IF(UPPER(LEFT(M6,3))=LEFT(K6,3),TRUE,FALSE)</f>
        <v>#NAME?</v>
      </c>
      <c r="X6" s="169" t="e">
        <f t="shared" ref="X6:X12" ca="1" si="3">IF(UPPER(LEFT(Q6,3))=LEFT(O6,3),TRUE,FALSE)</f>
        <v>#NAME?</v>
      </c>
      <c r="Z6" s="258"/>
      <c r="AA6" s="192" t="s">
        <v>201</v>
      </c>
      <c r="AB6" s="196">
        <f t="shared" ref="AB6:AE10" ca="1" si="4">IF(ISERROR(U6),1,IF(U6,0,1))</f>
        <v>1</v>
      </c>
      <c r="AC6" s="189">
        <f t="shared" ca="1" si="4"/>
        <v>1</v>
      </c>
      <c r="AD6" s="189">
        <f t="shared" ca="1" si="4"/>
        <v>1</v>
      </c>
      <c r="AE6" s="197">
        <f t="shared" ca="1" si="4"/>
        <v>1</v>
      </c>
      <c r="AG6" s="173">
        <f ca="1">SUM(ErrorCountUSDUSDCSA,ErrorCountUSDEURCSA,ErrorCountUSDGBPCSA,ErrorCountUSDJPYCSA)</f>
        <v>23</v>
      </c>
    </row>
    <row r="7" spans="1:33">
      <c r="B7" s="114" t="s">
        <v>12</v>
      </c>
      <c r="C7" s="123" t="s">
        <v>63</v>
      </c>
      <c r="D7" s="201" t="s">
        <v>275</v>
      </c>
      <c r="E7" s="154" t="e">
        <f ca="1">IF(U6,_xll.mirSetUpSwapCurve(E$5,C7,YieldCurvePropertiesSTD,MoneyMarketData,LiborConv,LiborData,SwapsConv,SwapsData,FRAConv,FRADatax3,FRADatax6,FuturesConv,FuturesData,,,SwapCurveNamesNativeCSA,SwapCurveNameDF2)&amp;NOW()&amp;"@"&amp;NOW(),"#ERROR")</f>
        <v>#NAME?</v>
      </c>
      <c r="F7" s="114" t="s">
        <v>12</v>
      </c>
      <c r="G7" s="120" t="s">
        <v>63</v>
      </c>
      <c r="H7" s="202" t="s">
        <v>275</v>
      </c>
      <c r="I7" s="161" t="e">
        <f ca="1">IF(V6,_xll.mirSetUpSwapCurve(I$5,G7,YieldCurvePropertiesSTD,MoneyMarketData,LiborConv,LiborData,SwapsConv,SwapsData,FRAConv,FRADatax3,FRADatax6,FuturesConv,FuturesData,,,SwapCurveNamesFWDFX,SwapCurveNameDF2)&amp;"@"&amp;NOW(),"#ERROR")</f>
        <v>#NAME?</v>
      </c>
      <c r="J7" s="114" t="s">
        <v>12</v>
      </c>
      <c r="K7" s="120" t="s">
        <v>63</v>
      </c>
      <c r="L7" s="201" t="s">
        <v>275</v>
      </c>
      <c r="M7" s="161" t="e">
        <f ca="1">IF(W6,_xll.mirSetUpSwapCurve(M$5,K7,YieldCurvePropertiesSTD,MoneyMarketData,LiborConv,LiborData,SwapsConv,SwapsData,FRAConv,FRADatax3,FRADatax6,FuturesConv,FuturesData,,,SwapCurveNamesFWDFX,SwapCurveNameDF2)&amp;"@"&amp;NOW(),"#ERROR")</f>
        <v>#NAME?</v>
      </c>
      <c r="N7" s="114" t="s">
        <v>12</v>
      </c>
      <c r="O7" s="120" t="s">
        <v>63</v>
      </c>
      <c r="P7" s="201" t="s">
        <v>275</v>
      </c>
      <c r="Q7" s="161" t="e">
        <f ca="1">IF(X6,_xll.mirSetUpSwapCurve(Q$5,O7,YieldCurvePropertiesSTD,MoneyMarketData,LiborConv,LiborData,SwapsConv,SwapsData,FRAConv,FRADatax3,FRADatax6,FuturesConv,FuturesData,,,SwapCurveNamesFWDFX,SwapCurveNameDF2)&amp;"@"&amp;NOW(),"#ERROR")</f>
        <v>#NAME?</v>
      </c>
      <c r="R7" s="114" t="s">
        <v>12</v>
      </c>
      <c r="S7" s="118"/>
      <c r="T7" s="193" t="s">
        <v>63</v>
      </c>
      <c r="U7" s="171" t="e">
        <f t="shared" ca="1" si="0"/>
        <v>#NAME?</v>
      </c>
      <c r="V7" s="171" t="e">
        <f t="shared" ca="1" si="1"/>
        <v>#NAME?</v>
      </c>
      <c r="W7" s="171" t="e">
        <f t="shared" ca="1" si="2"/>
        <v>#NAME?</v>
      </c>
      <c r="X7" s="171" t="e">
        <f t="shared" ca="1" si="3"/>
        <v>#NAME?</v>
      </c>
      <c r="Z7" s="118"/>
      <c r="AA7" s="193" t="s">
        <v>63</v>
      </c>
      <c r="AB7" s="198">
        <f t="shared" ca="1" si="4"/>
        <v>1</v>
      </c>
      <c r="AC7" s="190">
        <f t="shared" ca="1" si="4"/>
        <v>1</v>
      </c>
      <c r="AD7" s="190">
        <f t="shared" ca="1" si="4"/>
        <v>1</v>
      </c>
      <c r="AE7" s="199">
        <f t="shared" ca="1" si="4"/>
        <v>1</v>
      </c>
    </row>
    <row r="8" spans="1:33">
      <c r="B8" s="114" t="s">
        <v>12</v>
      </c>
      <c r="C8" s="123" t="s">
        <v>206</v>
      </c>
      <c r="D8" s="170" t="s">
        <v>273</v>
      </c>
      <c r="E8" s="154" t="e">
        <f ca="1">IF(U7,_xll.mirSetUpBasisSwapCurve(E$5,C8,YieldCurvePropertiesTenorBasis,BasisConv3x6,BasisData3x6,TenorBasis3x6CurveNamesNativeCSA)&amp;"@"&amp;NOW(),"#ERROR")</f>
        <v>#NAME?</v>
      </c>
      <c r="F8" s="114" t="s">
        <v>12</v>
      </c>
      <c r="G8" s="120" t="s">
        <v>206</v>
      </c>
      <c r="H8" s="145" t="s">
        <v>273</v>
      </c>
      <c r="I8" s="161" t="e">
        <f ca="1">IF(V7,_xll.mirSetUpBasisSwapCurve(I$5,G8,YieldCurvePropertiesTenorBasis,BasisConv3x6,BasisData3x6,TenorBasis3x6CurveNamesFWDFX)&amp;"@"&amp;NOW(),"#ERROR")</f>
        <v>#NAME?</v>
      </c>
      <c r="J8" s="114" t="s">
        <v>12</v>
      </c>
      <c r="K8" s="120" t="s">
        <v>206</v>
      </c>
      <c r="L8" s="170" t="s">
        <v>273</v>
      </c>
      <c r="M8" s="161" t="e">
        <f ca="1">IF(W7,_xll.mirSetUpBasisSwapCurve(M$5,K8,YieldCurvePropertiesTenorBasis,BasisConv3x6,BasisData3x6,TenorBasis3x6CurveNamesFWDFX)&amp;"@"&amp;NOW(),"#ERROR")</f>
        <v>#NAME?</v>
      </c>
      <c r="N8" s="114" t="s">
        <v>12</v>
      </c>
      <c r="O8" s="120" t="s">
        <v>206</v>
      </c>
      <c r="P8" s="170" t="s">
        <v>273</v>
      </c>
      <c r="Q8" s="161" t="e">
        <f ca="1">IF(X7,_xll.mirSetUpBasisSwapCurve(Q$5,O8,YieldCurvePropertiesTenorBasis,BasisConv3x6,BasisData3x6,TenorBasis3x6CurveNamesFWDFX)&amp;"@"&amp;NOW(),"#ERROR")</f>
        <v>#NAME?</v>
      </c>
      <c r="R8" s="114" t="s">
        <v>12</v>
      </c>
      <c r="S8" s="118"/>
      <c r="T8" s="193" t="s">
        <v>206</v>
      </c>
      <c r="U8" s="171" t="e">
        <f t="shared" ca="1" si="0"/>
        <v>#NAME?</v>
      </c>
      <c r="V8" s="171" t="e">
        <f t="shared" ca="1" si="1"/>
        <v>#NAME?</v>
      </c>
      <c r="W8" s="171" t="e">
        <f t="shared" ca="1" si="2"/>
        <v>#NAME?</v>
      </c>
      <c r="X8" s="171" t="e">
        <f t="shared" ca="1" si="3"/>
        <v>#NAME?</v>
      </c>
      <c r="Z8" s="118"/>
      <c r="AA8" s="193" t="s">
        <v>206</v>
      </c>
      <c r="AB8" s="198">
        <f t="shared" ca="1" si="4"/>
        <v>1</v>
      </c>
      <c r="AC8" s="190">
        <f t="shared" ca="1" si="4"/>
        <v>1</v>
      </c>
      <c r="AD8" s="190">
        <f t="shared" ca="1" si="4"/>
        <v>1</v>
      </c>
      <c r="AE8" s="199">
        <f t="shared" ca="1" si="4"/>
        <v>1</v>
      </c>
    </row>
    <row r="9" spans="1:33">
      <c r="B9" s="114" t="s">
        <v>12</v>
      </c>
      <c r="C9" s="123" t="s">
        <v>207</v>
      </c>
      <c r="D9" s="170" t="s">
        <v>274</v>
      </c>
      <c r="E9" s="154" t="e">
        <f ca="1">IF(U8,_xll.mirSetUpBasisSwapCurve(E$5,C9,YieldCurvePropertiesTenorBasis,BasisConv1x3,BasisData1x3,TenorBasis1x3CurveNamesNativeCSA)&amp;"@"&amp;NOW(),"#ERROR")</f>
        <v>#NAME?</v>
      </c>
      <c r="F9" s="114" t="s">
        <v>12</v>
      </c>
      <c r="G9" s="120" t="s">
        <v>207</v>
      </c>
      <c r="H9" s="145" t="s">
        <v>274</v>
      </c>
      <c r="I9" s="161" t="e">
        <f ca="1">IF(V8,_xll.mirSetUpBasisSwapCurve(I$5,G9,YieldCurvePropertiesTenorBasis,BasisConv1x3,BasisData1x3,TenorBasis1x3CurveNamesFWDFX)&amp;"@"&amp;NOW(),"#ERROR")</f>
        <v>#NAME?</v>
      </c>
      <c r="J9" s="114" t="s">
        <v>12</v>
      </c>
      <c r="K9" s="120" t="s">
        <v>207</v>
      </c>
      <c r="L9" s="170" t="s">
        <v>274</v>
      </c>
      <c r="M9" s="161" t="e">
        <f ca="1">IF(W8,_xll.mirSetUpBasisSwapCurve(M$5,K9,YieldCurvePropertiesTenorBasis,BasisConv1x3,BasisData1x3,TenorBasis1x3CurveNamesFWDFX)&amp;"@"&amp;NOW(),"#ERROR")</f>
        <v>#NAME?</v>
      </c>
      <c r="N9" s="114" t="s">
        <v>12</v>
      </c>
      <c r="O9" s="120" t="s">
        <v>207</v>
      </c>
      <c r="P9" s="170" t="s">
        <v>274</v>
      </c>
      <c r="Q9" s="161" t="e">
        <f ca="1">IF(X8,_xll.mirSetUpBasisSwapCurve(Q$5,O9,YieldCurvePropertiesTenorBasis,BasisConv1x3,BasisData1x3,TenorBasis1x3CurveNamesFWDFX)&amp;"@"&amp;NOW(),"#ERROR")</f>
        <v>#NAME?</v>
      </c>
      <c r="R9" s="114" t="s">
        <v>12</v>
      </c>
      <c r="S9" s="118"/>
      <c r="T9" s="193" t="s">
        <v>207</v>
      </c>
      <c r="U9" s="171" t="e">
        <f t="shared" ca="1" si="0"/>
        <v>#NAME?</v>
      </c>
      <c r="V9" s="171" t="e">
        <f t="shared" ca="1" si="1"/>
        <v>#NAME?</v>
      </c>
      <c r="W9" s="171" t="e">
        <f t="shared" ca="1" si="2"/>
        <v>#NAME?</v>
      </c>
      <c r="X9" s="171" t="e">
        <f t="shared" ca="1" si="3"/>
        <v>#NAME?</v>
      </c>
      <c r="Z9" s="118"/>
      <c r="AA9" s="193" t="s">
        <v>207</v>
      </c>
      <c r="AB9" s="198">
        <f t="shared" ca="1" si="4"/>
        <v>1</v>
      </c>
      <c r="AC9" s="190">
        <f t="shared" ca="1" si="4"/>
        <v>1</v>
      </c>
      <c r="AD9" s="190">
        <f t="shared" ca="1" si="4"/>
        <v>1</v>
      </c>
      <c r="AE9" s="199">
        <f t="shared" ca="1" si="4"/>
        <v>1</v>
      </c>
    </row>
    <row r="10" spans="1:33">
      <c r="B10" s="114" t="s">
        <v>12</v>
      </c>
      <c r="C10" s="203" t="s">
        <v>287</v>
      </c>
      <c r="D10" s="201" t="s">
        <v>286</v>
      </c>
      <c r="E10" s="154" t="e">
        <f ca="1">IF(U9,_xll.mirSetUpBasisSwapCurve(E$5,C10,YieldCurvePropertiesTenorBasis,BasisConv3x12,BasisData3x12,TenorBasis3x12CurveNamesNativeCSA)&amp;"@"&amp;NOW(),"#ERROR")</f>
        <v>#NAME?</v>
      </c>
      <c r="F10" s="114" t="s">
        <v>12</v>
      </c>
      <c r="G10" s="204" t="s">
        <v>287</v>
      </c>
      <c r="H10" s="202" t="s">
        <v>286</v>
      </c>
      <c r="I10" s="161" t="e">
        <f ca="1">IF(V9,_xll.mirSetUpBasisSwapCurve(I$5,G10,YieldCurvePropertiesTenorBasis,BasisConv3x12,BasisData3x12,TenorBasis3x12CurveNamesFWDFX)&amp;"@"&amp;NOW(),"#ERROR")</f>
        <v>#NAME?</v>
      </c>
      <c r="J10" s="114" t="s">
        <v>12</v>
      </c>
      <c r="K10" s="204" t="s">
        <v>287</v>
      </c>
      <c r="L10" s="201" t="s">
        <v>286</v>
      </c>
      <c r="M10" s="161" t="e">
        <f ca="1">IF(W9,_xll.mirSetUpBasisSwapCurve(M$5,K10,YieldCurvePropertiesTenorBasis,BasisConv3x12,BasisData3x12,TenorBasis3x12CurveNamesFWDFX)&amp;"@"&amp;NOW(),"#ERROR")</f>
        <v>#NAME?</v>
      </c>
      <c r="N10" s="114" t="s">
        <v>12</v>
      </c>
      <c r="O10" s="204" t="s">
        <v>287</v>
      </c>
      <c r="P10" s="201" t="s">
        <v>286</v>
      </c>
      <c r="Q10" s="161" t="e">
        <f ca="1">IF(X9,_xll.mirSetUpBasisSwapCurve(Q$5,O10,YieldCurvePropertiesTenorBasis,BasisConv3x12,BasisData3x12,TenorBasis3x12CurveNamesFWDFX)&amp;"@"&amp;NOW(),"#ERROR")</f>
        <v>#NAME?</v>
      </c>
      <c r="R10" s="114" t="s">
        <v>12</v>
      </c>
      <c r="S10" s="118"/>
      <c r="T10" s="193" t="s">
        <v>287</v>
      </c>
      <c r="U10" s="171" t="e">
        <f t="shared" ca="1" si="0"/>
        <v>#NAME?</v>
      </c>
      <c r="V10" s="171" t="e">
        <f t="shared" ca="1" si="1"/>
        <v>#NAME?</v>
      </c>
      <c r="W10" s="171" t="e">
        <f t="shared" ca="1" si="2"/>
        <v>#NAME?</v>
      </c>
      <c r="X10" s="171" t="e">
        <f t="shared" ca="1" si="3"/>
        <v>#NAME?</v>
      </c>
      <c r="Z10" s="118"/>
      <c r="AA10" s="193" t="s">
        <v>287</v>
      </c>
      <c r="AB10" s="198">
        <f t="shared" ca="1" si="4"/>
        <v>1</v>
      </c>
      <c r="AC10" s="190">
        <f t="shared" ca="1" si="4"/>
        <v>1</v>
      </c>
      <c r="AD10" s="190">
        <f t="shared" ca="1" si="4"/>
        <v>1</v>
      </c>
      <c r="AE10" s="199">
        <f t="shared" ca="1" si="4"/>
        <v>1</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e">
        <f ca="1">IF(AND(isLoadedCurveUSD_EURCSA,isLoadedXccyEUR_EURCSA),_xll.mirSetUpFwdFXConstantCurve(I$5,G12,ConstForwardFXProperties,ConstForwardFXEURCSA,FwdFXConstCurveNamesFWDFX)&amp;"@"&amp;NOW(),"#ERROR")</f>
        <v>#NAME?</v>
      </c>
      <c r="J12" s="114" t="s">
        <v>12</v>
      </c>
      <c r="K12" s="121" t="s">
        <v>209</v>
      </c>
      <c r="L12" s="167" t="str">
        <f>"Proxy: Xccy Basis USD/"&amp;LEFT(M$2,3)</f>
        <v>Proxy: Xccy Basis USD/GBP</v>
      </c>
      <c r="M12" s="163" t="e">
        <f ca="1">IF(AND(isLoadedCurveUSD_GBPCSA,isLoadedXccyGBP_GBPCSA),_xll.mirSetUpFwdFXConstantCurve(M$5,K12,ConstForwardFXProperties,ConstForwardFXGBPCSA,FwdFXConstCurveNamesFWDFX)&amp;"@"&amp;NOW(),"#ERROR")</f>
        <v>#NAME?</v>
      </c>
      <c r="N12" s="114" t="s">
        <v>12</v>
      </c>
      <c r="O12" s="121" t="s">
        <v>209</v>
      </c>
      <c r="P12" s="167" t="str">
        <f>"Proxy: Xccy Basis USD/"&amp;LEFT(Q$2,3)</f>
        <v>Proxy: Xccy Basis USD/JPY</v>
      </c>
      <c r="Q12" s="163" t="e">
        <f ca="1">IF(AND(isLoadedCurveUSD_JPYCSA,isLoadedXccyJPY_JPYCSA),_xll.mirSetUpFwdFXConstantCurve(Q$5,O12,ConstForwardFXProperties,ConstForwardFXJPYCSA,FwdFXConstCurveNamesFWDFX)&amp;"@"&amp;NOW(),"#ERROR")</f>
        <v>#NAME?</v>
      </c>
      <c r="R12" s="114" t="s">
        <v>12</v>
      </c>
      <c r="S12" s="118"/>
      <c r="T12" s="194" t="s">
        <v>209</v>
      </c>
      <c r="U12" s="172" t="b">
        <f t="shared" si="0"/>
        <v>0</v>
      </c>
      <c r="V12" s="172" t="e">
        <f t="shared" ca="1" si="1"/>
        <v>#NAME?</v>
      </c>
      <c r="W12" s="172" t="e">
        <f t="shared" ca="1" si="2"/>
        <v>#NAME?</v>
      </c>
      <c r="X12" s="172" t="e">
        <f t="shared" ca="1" si="3"/>
        <v>#NAME?</v>
      </c>
      <c r="Z12" s="118"/>
      <c r="AA12" s="194" t="s">
        <v>209</v>
      </c>
      <c r="AB12" s="208" t="s">
        <v>6</v>
      </c>
      <c r="AC12" s="191">
        <f ca="1">IF(ISERROR(V12),1,IF(V12,0,1))</f>
        <v>1</v>
      </c>
      <c r="AD12" s="191">
        <f ca="1">IF(ISERROR(W12),1,IF(W12,0,1))</f>
        <v>1</v>
      </c>
      <c r="AE12" s="200">
        <f ca="1">IF(ISERROR(X12),1,IF(X12,0,1))</f>
        <v>1</v>
      </c>
    </row>
    <row r="13" spans="1:33">
      <c r="D13" s="145"/>
      <c r="F13" s="114" t="s">
        <v>12</v>
      </c>
      <c r="H13" s="145"/>
      <c r="L13" s="145"/>
      <c r="P13" s="145"/>
      <c r="S13" s="118"/>
      <c r="U13" s="145"/>
      <c r="V13" s="145"/>
      <c r="W13" s="145"/>
      <c r="X13" s="145"/>
      <c r="Z13" s="118"/>
      <c r="AB13" s="145"/>
      <c r="AC13" s="145"/>
      <c r="AD13" s="145"/>
      <c r="AE13" s="145"/>
    </row>
    <row r="14" spans="1:33" ht="15" customHeight="1">
      <c r="A14" s="258"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58" t="s">
        <v>2</v>
      </c>
      <c r="T14" s="11" t="s">
        <v>399</v>
      </c>
      <c r="U14" s="195" t="s">
        <v>279</v>
      </c>
      <c r="V14" s="195" t="s">
        <v>280</v>
      </c>
      <c r="W14" s="195" t="s">
        <v>281</v>
      </c>
      <c r="X14" s="195" t="s">
        <v>282</v>
      </c>
      <c r="Z14" s="258" t="s">
        <v>2</v>
      </c>
      <c r="AA14" s="11" t="s">
        <v>382</v>
      </c>
      <c r="AB14" s="195" t="s">
        <v>279</v>
      </c>
      <c r="AC14" s="195" t="s">
        <v>280</v>
      </c>
      <c r="AD14" s="195" t="s">
        <v>281</v>
      </c>
      <c r="AE14" s="195" t="s">
        <v>282</v>
      </c>
      <c r="AG14" s="143" t="s">
        <v>395</v>
      </c>
    </row>
    <row r="15" spans="1:33">
      <c r="A15" s="258"/>
      <c r="B15" s="114" t="s">
        <v>12</v>
      </c>
      <c r="C15" s="119" t="s">
        <v>201</v>
      </c>
      <c r="D15" s="166" t="s">
        <v>276</v>
      </c>
      <c r="E15" s="160" t="e">
        <f ca="1">_xll.mirSetUpOISCurve(E$14,C15,'EUR Curve Config'!YieldCurvePropertiesOIS,'EUR Curve Config'!OISConv,'EUR Curve Config'!OISRates,'EUR Curve Config'!OISCurveNamesXCCY,'EUR Curve Config'!OISHistoricalRates)&amp;"@"&amp;NOW()</f>
        <v>#NAME?</v>
      </c>
      <c r="F15" s="114" t="s">
        <v>12</v>
      </c>
      <c r="G15" s="122" t="s">
        <v>201</v>
      </c>
      <c r="H15" s="168" t="s">
        <v>276</v>
      </c>
      <c r="I15" s="153" t="e">
        <f ca="1">_xll.mirSetUpOISCurve(I$14,G15,'EUR Curve Config'!YieldCurvePropertiesOIS,'EUR Curve Config'!OISConv,'EUR Curve Config'!OISRates,'EUR Curve Config'!OISCurveNamesNativeCSA,'EUR Curve Config'!OISHistoricalRates)&amp;"@"&amp;NOW()</f>
        <v>#NAME?</v>
      </c>
      <c r="J15" s="114" t="s">
        <v>12</v>
      </c>
      <c r="K15" s="119" t="s">
        <v>201</v>
      </c>
      <c r="L15" s="168" t="s">
        <v>276</v>
      </c>
      <c r="M15" s="160" t="e">
        <f ca="1">_xll.mirSetUpOISCurve(M$14,K15,'EUR Curve Config'!YieldCurvePropertiesOIS,'EUR Curve Config'!OISConv,'EUR Curve Config'!OISRates,'EUR Curve Config'!OISCurveNamesXCCYandFWDFX,'EUR Curve Config'!OISHistoricalRates)&amp;"@"&amp;NOW()</f>
        <v>#NAME?</v>
      </c>
      <c r="N15" s="114" t="s">
        <v>12</v>
      </c>
      <c r="O15" s="119" t="s">
        <v>201</v>
      </c>
      <c r="P15" s="168" t="s">
        <v>276</v>
      </c>
      <c r="Q15" s="160" t="e">
        <f ca="1">_xll.mirSetUpOISCurve(Q$14,O15,'EUR Curve Config'!YieldCurvePropertiesOIS,'EUR Curve Config'!OISConv,'EUR Curve Config'!OISRates,'EUR Curve Config'!OISCurveNamesXCCYandFWDFX,'EUR Curve Config'!OISHistoricalRates)&amp;"@"&amp;NOW()</f>
        <v>#NAME?</v>
      </c>
      <c r="R15" s="114" t="s">
        <v>12</v>
      </c>
      <c r="S15" s="258"/>
      <c r="T15" s="192" t="s">
        <v>201</v>
      </c>
      <c r="U15" s="169" t="e">
        <f t="shared" ref="U15:U21" ca="1" si="5">IF(UPPER(LEFT(E15,3))=LEFT(C15,3),TRUE,FALSE)</f>
        <v>#NAME?</v>
      </c>
      <c r="V15" s="169" t="e">
        <f t="shared" ref="V15:V21" ca="1" si="6">IF(UPPER(LEFT(I15,3))=LEFT(G15,3),TRUE,FALSE)</f>
        <v>#NAME?</v>
      </c>
      <c r="W15" s="169" t="e">
        <f t="shared" ref="W15:W21" ca="1" si="7">IF(UPPER(LEFT(M15,3))=LEFT(K15,3),TRUE,FALSE)</f>
        <v>#NAME?</v>
      </c>
      <c r="X15" s="169" t="e">
        <f t="shared" ref="X15:X21" ca="1" si="8">IF(UPPER(LEFT(Q15,3))=LEFT(O15,3),TRUE,FALSE)</f>
        <v>#NAME?</v>
      </c>
      <c r="Z15" s="258"/>
      <c r="AA15" s="192" t="s">
        <v>201</v>
      </c>
      <c r="AB15" s="196">
        <f t="shared" ref="AB15:AE20" ca="1" si="9">IF(ISERROR(U15),1,IF(U15,0,1))</f>
        <v>1</v>
      </c>
      <c r="AC15" s="189">
        <f t="shared" ca="1" si="9"/>
        <v>1</v>
      </c>
      <c r="AD15" s="189">
        <f t="shared" ca="1" si="9"/>
        <v>1</v>
      </c>
      <c r="AE15" s="197">
        <f t="shared" ca="1" si="9"/>
        <v>1</v>
      </c>
      <c r="AG15" s="173">
        <f ca="1">SUM(ErrorCountEURUSDCSA,ErrorCountEUREURCSA,ErrorCountEURGBPCSA,ErrorCountEURJPYCSA)</f>
        <v>26</v>
      </c>
    </row>
    <row r="16" spans="1:33">
      <c r="B16" s="114" t="s">
        <v>12</v>
      </c>
      <c r="C16" s="120" t="s">
        <v>63</v>
      </c>
      <c r="D16" s="145" t="s">
        <v>278</v>
      </c>
      <c r="E16" s="161" t="e">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#NAME?</v>
      </c>
      <c r="F16" s="114" t="s">
        <v>12</v>
      </c>
      <c r="G16" s="123" t="s">
        <v>63</v>
      </c>
      <c r="H16" s="170" t="s">
        <v>278</v>
      </c>
      <c r="I16" s="157" t="e">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#NAME?</v>
      </c>
      <c r="J16" s="114" t="s">
        <v>12</v>
      </c>
      <c r="K16" s="120" t="s">
        <v>63</v>
      </c>
      <c r="L16" s="170" t="s">
        <v>278</v>
      </c>
      <c r="M16" s="161" t="e">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N16" s="114" t="s">
        <v>12</v>
      </c>
      <c r="O16" s="120" t="s">
        <v>63</v>
      </c>
      <c r="P16" s="170" t="s">
        <v>278</v>
      </c>
      <c r="Q16" s="161" t="e">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R16" s="114" t="s">
        <v>12</v>
      </c>
      <c r="S16" s="118"/>
      <c r="T16" s="193" t="s">
        <v>63</v>
      </c>
      <c r="U16" s="171" t="e">
        <f t="shared" ca="1" si="5"/>
        <v>#NAME?</v>
      </c>
      <c r="V16" s="171" t="e">
        <f t="shared" ca="1" si="6"/>
        <v>#NAME?</v>
      </c>
      <c r="W16" s="171" t="e">
        <f t="shared" ca="1" si="7"/>
        <v>#NAME?</v>
      </c>
      <c r="X16" s="171" t="e">
        <f t="shared" ca="1" si="8"/>
        <v>#NAME?</v>
      </c>
      <c r="Z16" s="118"/>
      <c r="AA16" s="193" t="s">
        <v>63</v>
      </c>
      <c r="AB16" s="198">
        <f t="shared" ca="1" si="9"/>
        <v>1</v>
      </c>
      <c r="AC16" s="190">
        <f t="shared" ca="1" si="9"/>
        <v>1</v>
      </c>
      <c r="AD16" s="190">
        <f t="shared" ca="1" si="9"/>
        <v>1</v>
      </c>
      <c r="AE16" s="199">
        <f t="shared" ca="1" si="9"/>
        <v>1</v>
      </c>
    </row>
    <row r="17" spans="1:33">
      <c r="B17" s="114" t="s">
        <v>12</v>
      </c>
      <c r="C17" s="120" t="s">
        <v>206</v>
      </c>
      <c r="D17" s="145" t="s">
        <v>273</v>
      </c>
      <c r="E17" s="161" t="e">
        <f ca="1">IF(U16,_xll.mirSetUpBasisSwapCurve(E$14,C17,'EUR Curve Config'!YieldCurvePropertiesTenorBasis,'EUR Curve Config'!BasisConv3x6,'EUR Curve Config'!BasisData3x6,'EUR Curve Config'!TenorBasis3x6CurveNamesXCCY)&amp;"@"&amp;NOW(),"#ERROR")</f>
        <v>#NAME?</v>
      </c>
      <c r="F17" s="114" t="s">
        <v>12</v>
      </c>
      <c r="G17" s="123" t="s">
        <v>206</v>
      </c>
      <c r="H17" s="170" t="s">
        <v>273</v>
      </c>
      <c r="I17" s="154" t="e">
        <f ca="1">IF(V16,_xll.mirSetUpBasisSwapCurve(I$14,G17,'EUR Curve Config'!YieldCurvePropertiesTenorBasis,'EUR Curve Config'!BasisConv3x6,'EUR Curve Config'!BasisData3x6,'EUR Curve Config'!TenorBasis3x6CurveNamesNativeCSA)&amp;"@"&amp;NOW(),"#ERROR")</f>
        <v>#NAME?</v>
      </c>
      <c r="J17" s="114" t="s">
        <v>12</v>
      </c>
      <c r="K17" s="120" t="s">
        <v>206</v>
      </c>
      <c r="L17" s="170" t="s">
        <v>273</v>
      </c>
      <c r="M17" s="161" t="e">
        <f ca="1">IF(W16,_xll.mirSetUpBasisSwapCurve(M$14,K17,'EUR Curve Config'!YieldCurvePropertiesTenorBasis,'EUR Curve Config'!BasisConv3x6,'EUR Curve Config'!BasisData3x6,'EUR Curve Config'!TenorBasis3x6CurveNamesXCCYandFWDFX)&amp;"@"&amp;NOW(),"#ERROR")</f>
        <v>#NAME?</v>
      </c>
      <c r="N17" s="114" t="s">
        <v>12</v>
      </c>
      <c r="O17" s="120" t="s">
        <v>206</v>
      </c>
      <c r="P17" s="170" t="s">
        <v>273</v>
      </c>
      <c r="Q17" s="161" t="e">
        <f ca="1">IF(X16,_xll.mirSetUpBasisSwapCurve(Q$14,O17,'EUR Curve Config'!YieldCurvePropertiesTenorBasis,'EUR Curve Config'!BasisConv3x6,'EUR Curve Config'!BasisData3x6,'EUR Curve Config'!TenorBasis3x6CurveNamesXCCYandFWDFX)&amp;"@"&amp;NOW(),"#ERROR")</f>
        <v>#NAME?</v>
      </c>
      <c r="R17" s="114" t="s">
        <v>12</v>
      </c>
      <c r="S17" s="118"/>
      <c r="T17" s="193" t="s">
        <v>206</v>
      </c>
      <c r="U17" s="171" t="e">
        <f t="shared" ca="1" si="5"/>
        <v>#NAME?</v>
      </c>
      <c r="V17" s="171" t="e">
        <f t="shared" ca="1" si="6"/>
        <v>#NAME?</v>
      </c>
      <c r="W17" s="171" t="e">
        <f t="shared" ca="1" si="7"/>
        <v>#NAME?</v>
      </c>
      <c r="X17" s="171" t="e">
        <f t="shared" ca="1" si="8"/>
        <v>#NAME?</v>
      </c>
      <c r="Z17" s="118"/>
      <c r="AA17" s="193" t="s">
        <v>206</v>
      </c>
      <c r="AB17" s="198">
        <f t="shared" ca="1" si="9"/>
        <v>1</v>
      </c>
      <c r="AC17" s="190">
        <f t="shared" ca="1" si="9"/>
        <v>1</v>
      </c>
      <c r="AD17" s="190">
        <f t="shared" ca="1" si="9"/>
        <v>1</v>
      </c>
      <c r="AE17" s="199">
        <f t="shared" ca="1" si="9"/>
        <v>1</v>
      </c>
    </row>
    <row r="18" spans="1:33">
      <c r="B18" s="114" t="s">
        <v>12</v>
      </c>
      <c r="C18" s="120" t="s">
        <v>207</v>
      </c>
      <c r="D18" s="145" t="s">
        <v>274</v>
      </c>
      <c r="E18" s="161" t="e">
        <f ca="1">IF(U17,_xll.mirSetUpBasisSwapCurve(E$14,C18,'EUR Curve Config'!YieldCurvePropertiesTenorBasis,'EUR Curve Config'!BasisConv1x3,'EUR Curve Config'!BasisData1x3,'EUR Curve Config'!TenorBasis1x3CurveNamesXCCY)&amp;"@"&amp;NOW(),"#ERROR")</f>
        <v>#NAME?</v>
      </c>
      <c r="F18" s="114" t="s">
        <v>12</v>
      </c>
      <c r="G18" s="123" t="s">
        <v>207</v>
      </c>
      <c r="H18" s="170" t="s">
        <v>274</v>
      </c>
      <c r="I18" s="154" t="e">
        <f ca="1">IF(V17,_xll.mirSetUpBasisSwapCurve(I$14,G18,'EUR Curve Config'!YieldCurvePropertiesTenorBasis,'EUR Curve Config'!BasisConv1x3,'EUR Curve Config'!BasisData1x3,'EUR Curve Config'!TenorBasis1x3CurveNamesNativeCSA)&amp;"@"&amp;NOW(),"#ERROR")</f>
        <v>#NAME?</v>
      </c>
      <c r="J18" s="114" t="s">
        <v>12</v>
      </c>
      <c r="K18" s="120" t="s">
        <v>207</v>
      </c>
      <c r="L18" s="170" t="s">
        <v>274</v>
      </c>
      <c r="M18" s="161" t="e">
        <f ca="1">IF(W17,_xll.mirSetUpBasisSwapCurve(M$14,K18,'EUR Curve Config'!YieldCurvePropertiesTenorBasis,'EUR Curve Config'!BasisConv1x3,'EUR Curve Config'!BasisData1x3,'EUR Curve Config'!TenorBasis1x3CurveNamesXCCYandFWDFX)&amp;"@"&amp;NOW(),"#ERROR")</f>
        <v>#NAME?</v>
      </c>
      <c r="N18" s="114" t="s">
        <v>12</v>
      </c>
      <c r="O18" s="120" t="s">
        <v>207</v>
      </c>
      <c r="P18" s="170" t="s">
        <v>274</v>
      </c>
      <c r="Q18" s="161" t="e">
        <f ca="1">IF(X17,_xll.mirSetUpBasisSwapCurve(Q$14,O18,'EUR Curve Config'!YieldCurvePropertiesTenorBasis,'EUR Curve Config'!BasisConv1x3,'EUR Curve Config'!BasisData1x3,'EUR Curve Config'!TenorBasis1x3CurveNamesXCCYandFWDFX)&amp;"@"&amp;NOW(),"#ERROR")</f>
        <v>#NAME?</v>
      </c>
      <c r="R18" s="114" t="s">
        <v>12</v>
      </c>
      <c r="S18" s="118"/>
      <c r="T18" s="193" t="s">
        <v>207</v>
      </c>
      <c r="U18" s="171" t="e">
        <f t="shared" ca="1" si="5"/>
        <v>#NAME?</v>
      </c>
      <c r="V18" s="171" t="e">
        <f t="shared" ca="1" si="6"/>
        <v>#NAME?</v>
      </c>
      <c r="W18" s="171" t="e">
        <f t="shared" ca="1" si="7"/>
        <v>#NAME?</v>
      </c>
      <c r="X18" s="171" t="e">
        <f t="shared" ca="1" si="8"/>
        <v>#NAME?</v>
      </c>
      <c r="Z18" s="118"/>
      <c r="AA18" s="193" t="s">
        <v>207</v>
      </c>
      <c r="AB18" s="198">
        <f t="shared" ca="1" si="9"/>
        <v>1</v>
      </c>
      <c r="AC18" s="190">
        <f t="shared" ca="1" si="9"/>
        <v>1</v>
      </c>
      <c r="AD18" s="190">
        <f t="shared" ca="1" si="9"/>
        <v>1</v>
      </c>
      <c r="AE18" s="199">
        <f t="shared" ca="1" si="9"/>
        <v>1</v>
      </c>
    </row>
    <row r="19" spans="1:33">
      <c r="B19" s="114" t="s">
        <v>12</v>
      </c>
      <c r="C19" s="120" t="s">
        <v>288</v>
      </c>
      <c r="D19" s="145" t="s">
        <v>289</v>
      </c>
      <c r="E19" s="161" t="e">
        <f ca="1">IF(U18,_xll.mirSetUpBasisSwapCurve(E$14,C19,'EUR Curve Config'!YieldCurvePropertiesTenorBasis,'EUR Curve Config'!BasisConv6x12,'EUR Curve Config'!BasisData6x12,'EUR Curve Config'!TenorBasis6x12CurveNamesXCCY)&amp;"@"&amp;NOW(),"#ERROR")</f>
        <v>#NAME?</v>
      </c>
      <c r="F19" s="114" t="s">
        <v>12</v>
      </c>
      <c r="G19" s="123" t="s">
        <v>288</v>
      </c>
      <c r="H19" s="170" t="s">
        <v>289</v>
      </c>
      <c r="I19" s="154" t="e">
        <f ca="1">IF(V18,_xll.mirSetUpBasisSwapCurve(I$14,G19,'EUR Curve Config'!YieldCurvePropertiesTenorBasis,'EUR Curve Config'!BasisConv6x12,'EUR Curve Config'!BasisData6x12,'EUR Curve Config'!TenorBasis6x12CurveNamesNativeCSA)&amp;"@"&amp;NOW(),"#ERROR")</f>
        <v>#NAME?</v>
      </c>
      <c r="J19" s="114" t="s">
        <v>12</v>
      </c>
      <c r="K19" s="120" t="s">
        <v>288</v>
      </c>
      <c r="L19" s="170" t="s">
        <v>289</v>
      </c>
      <c r="M19" s="161" t="e">
        <f ca="1">IF(W18,_xll.mirSetUpBasisSwapCurve(M$14,K19,'EUR Curve Config'!YieldCurvePropertiesTenorBasis,'EUR Curve Config'!BasisConv6x12,'EUR Curve Config'!BasisData6x12,'EUR Curve Config'!TenorBasis6x12CurveNamesXCCYandFWDFX)&amp;"@"&amp;NOW(),"#ERROR")</f>
        <v>#NAME?</v>
      </c>
      <c r="N19" s="114" t="s">
        <v>12</v>
      </c>
      <c r="O19" s="120" t="s">
        <v>288</v>
      </c>
      <c r="P19" s="170" t="s">
        <v>289</v>
      </c>
      <c r="Q19" s="161" t="e">
        <f ca="1">IF(X18,_xll.mirSetUpBasisSwapCurve(Q$14,O19,'EUR Curve Config'!YieldCurvePropertiesTenorBasis,'EUR Curve Config'!BasisConv6x12,'EUR Curve Config'!BasisData6x12,'EUR Curve Config'!TenorBasis6x12CurveNamesXCCYandFWDFX)&amp;"@"&amp;NOW(),"#ERROR")</f>
        <v>#NAME?</v>
      </c>
      <c r="R19" s="114" t="s">
        <v>12</v>
      </c>
      <c r="S19" s="118"/>
      <c r="T19" s="193" t="s">
        <v>288</v>
      </c>
      <c r="U19" s="171" t="e">
        <f t="shared" ca="1" si="5"/>
        <v>#NAME?</v>
      </c>
      <c r="V19" s="171" t="e">
        <f t="shared" ca="1" si="6"/>
        <v>#NAME?</v>
      </c>
      <c r="W19" s="171" t="e">
        <f t="shared" ca="1" si="7"/>
        <v>#NAME?</v>
      </c>
      <c r="X19" s="171" t="e">
        <f t="shared" ca="1" si="8"/>
        <v>#NAME?</v>
      </c>
      <c r="Z19" s="118"/>
      <c r="AA19" s="193" t="s">
        <v>288</v>
      </c>
      <c r="AB19" s="198">
        <f t="shared" ca="1" si="9"/>
        <v>1</v>
      </c>
      <c r="AC19" s="190">
        <f t="shared" ca="1" si="9"/>
        <v>1</v>
      </c>
      <c r="AD19" s="190">
        <f t="shared" ca="1" si="9"/>
        <v>1</v>
      </c>
      <c r="AE19" s="199">
        <f t="shared" ca="1" si="9"/>
        <v>1</v>
      </c>
    </row>
    <row r="20" spans="1:33">
      <c r="B20" s="114" t="s">
        <v>12</v>
      </c>
      <c r="C20" s="120" t="s">
        <v>208</v>
      </c>
      <c r="D20" s="145" t="str">
        <f>"Xccy Basis "&amp;$A14&amp;"/"&amp;"USD"</f>
        <v>Xccy Basis EUR/USD</v>
      </c>
      <c r="E20" s="161" t="e">
        <f ca="1">IF(AND(U17,isLoadedCurveUSD_USDCSA),_xll.mirSetUpBasisSwapCurve(E$14,C20,'EUR Curve Config'!XccyBasisProperties,'EUR Curve Config'!XccyBasisConvUSDCSA,'EUR Curve Config'!XccyBasisData,'EUR Curve Config'!XccyBasisCurveNamesXCCY)&amp;"@"&amp;NOW(),"#ERROR")</f>
        <v>#NAME?</v>
      </c>
      <c r="F20" s="114" t="s">
        <v>12</v>
      </c>
      <c r="G20" s="123" t="s">
        <v>208</v>
      </c>
      <c r="H20" s="170" t="str">
        <f>"Xccy Basis "&amp;$A14&amp;"/"&amp;"USD"</f>
        <v>Xccy Basis EUR/USD</v>
      </c>
      <c r="I20" s="158" t="e">
        <f ca="1">IF(AND(V19,isLoadedCurveUSD_EURCSA),_xll.mirSetUpBasisSwapCurve(I$14,G20,'EUR Curve Config'!XccyBasisProperties,'EUR Curve Config'!XccyBasisConvEURCSA,'EUR Curve Config'!XccyBasisData,'EUR Curve Config'!XccyBasisCurveNamesNativeCSA)&amp;"@"&amp;NOW(),"#ERROR")</f>
        <v>#NAME?</v>
      </c>
      <c r="J20" s="114" t="s">
        <v>12</v>
      </c>
      <c r="K20" s="120" t="s">
        <v>208</v>
      </c>
      <c r="L20" s="170" t="str">
        <f>"Xccy Basis "&amp;$A14&amp;"/"&amp;"USD"</f>
        <v>Xccy Basis EUR/USD</v>
      </c>
      <c r="M20" s="161" t="e">
        <f ca="1">IF(AND(W19,isLoadedCurveUSD_GBPCSA),_xll.mirSetUpBasisSwapCurve(M$14,K20,'EUR Curve Config'!XccyBasisProperties,'EUR Curve Config'!XccyBasisConvGBPCSA,'EUR Curve Config'!XccyBasisData,'EUR Curve Config'!XccyBasisCurveNamesXCCYandFWDFX)&amp;"@"&amp;NOW(),"#ERROR")</f>
        <v>#NAME?</v>
      </c>
      <c r="N20" s="114" t="s">
        <v>12</v>
      </c>
      <c r="O20" s="120" t="s">
        <v>208</v>
      </c>
      <c r="P20" s="170" t="str">
        <f>"Xccy Basis "&amp;$A14&amp;"/"&amp;"USD"</f>
        <v>Xccy Basis EUR/USD</v>
      </c>
      <c r="Q20" s="161" t="e">
        <f ca="1">IF(AND(X19,isLoadedCurveUSD_JPYCSA),_xll.mirSetUpBasisSwapCurve(Q$14,O20,'EUR Curve Config'!XccyBasisProperties,'EUR Curve Config'!XccyBasisConvJPYCSA,'EUR Curve Config'!XccyBasisData,'EUR Curve Config'!XccyBasisCurveNamesXCCYandFWDFX)&amp;"@"&amp;NOW(),"#ERROR")</f>
        <v>#NAME?</v>
      </c>
      <c r="R20" s="114" t="s">
        <v>12</v>
      </c>
      <c r="S20" s="118"/>
      <c r="T20" s="193" t="s">
        <v>208</v>
      </c>
      <c r="U20" s="171" t="e">
        <f t="shared" ca="1" si="5"/>
        <v>#NAME?</v>
      </c>
      <c r="V20" s="171" t="e">
        <f t="shared" ca="1" si="6"/>
        <v>#NAME?</v>
      </c>
      <c r="W20" s="171" t="e">
        <f t="shared" ca="1" si="7"/>
        <v>#NAME?</v>
      </c>
      <c r="X20" s="171" t="e">
        <f t="shared" ca="1" si="8"/>
        <v>#NAME?</v>
      </c>
      <c r="Z20" s="118"/>
      <c r="AA20" s="193" t="s">
        <v>208</v>
      </c>
      <c r="AB20" s="198">
        <f t="shared" ca="1" si="9"/>
        <v>1</v>
      </c>
      <c r="AC20" s="190">
        <f t="shared" ca="1" si="9"/>
        <v>1</v>
      </c>
      <c r="AD20" s="190">
        <f t="shared" ca="1" si="9"/>
        <v>1</v>
      </c>
      <c r="AE20" s="199">
        <f t="shared" ca="1" si="9"/>
        <v>1</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e">
        <f ca="1">IF(AND(W20,isLoadedXccyGBP_GBPCSA),_xll.mirSetUpFwdFXConstantCurve(M$14,K21,'EUR Curve Config'!ConstForwardFXProperties,'EUR Curve Config'!ConstForwardFXGBPCSA,'EUR Curve Config'!FwdFXConstCurveNamesXCCYandFWDFX)&amp;"@"&amp;NOW(),"#ERROR")</f>
        <v>#NAME?</v>
      </c>
      <c r="N21" s="114" t="s">
        <v>12</v>
      </c>
      <c r="O21" s="121" t="s">
        <v>209</v>
      </c>
      <c r="P21" s="167" t="str">
        <f>"Proxy: Xccy Basis USD/"&amp;LEFT(Q$2,3)</f>
        <v>Proxy: Xccy Basis USD/JPY</v>
      </c>
      <c r="Q21" s="163" t="e">
        <f ca="1">IF(AND(X20,isLoadedXccyJPY_JPYCSA),_xll.mirSetUpFwdFXConstantCurve(Q$14,O21,'EUR Curve Config'!ConstForwardFXProperties,'EUR Curve Config'!ConstForwardFXJPYCSA,'EUR Curve Config'!FwdFXConstCurveNamesXCCYandFWDFX)&amp;"@"&amp;NOW(),"#ERROR")</f>
        <v>#NAME?</v>
      </c>
      <c r="R21" s="114" t="s">
        <v>12</v>
      </c>
      <c r="S21" s="118"/>
      <c r="T21" s="194" t="s">
        <v>209</v>
      </c>
      <c r="U21" s="172" t="b">
        <f t="shared" si="5"/>
        <v>0</v>
      </c>
      <c r="V21" s="172" t="b">
        <f t="shared" si="6"/>
        <v>0</v>
      </c>
      <c r="W21" s="172" t="e">
        <f t="shared" ca="1" si="7"/>
        <v>#NAME?</v>
      </c>
      <c r="X21" s="172" t="e">
        <f t="shared" ca="1" si="8"/>
        <v>#NAME?</v>
      </c>
      <c r="Z21" s="118"/>
      <c r="AA21" s="194" t="s">
        <v>209</v>
      </c>
      <c r="AB21" s="208" t="s">
        <v>6</v>
      </c>
      <c r="AC21" s="211" t="s">
        <v>6</v>
      </c>
      <c r="AD21" s="191">
        <f ca="1">IF(ISERROR(W21),1,IF(W21,0,1))</f>
        <v>1</v>
      </c>
      <c r="AE21" s="200">
        <f ca="1">IF(ISERROR(X21),1,IF(X21,0,1))</f>
        <v>1</v>
      </c>
    </row>
    <row r="22" spans="1:33">
      <c r="D22" s="145"/>
      <c r="E22" s="138"/>
      <c r="H22" s="145"/>
      <c r="L22" s="145"/>
      <c r="P22" s="145"/>
      <c r="R22" s="114" t="s">
        <v>12</v>
      </c>
      <c r="S22" s="118"/>
      <c r="U22" s="145"/>
      <c r="V22" s="145"/>
      <c r="W22" s="145"/>
      <c r="X22" s="145"/>
      <c r="Z22" s="118"/>
      <c r="AB22" s="145"/>
      <c r="AC22" s="145"/>
      <c r="AD22" s="145"/>
      <c r="AE22" s="145"/>
    </row>
    <row r="23" spans="1:33">
      <c r="A23" s="258"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58" t="s">
        <v>199</v>
      </c>
      <c r="T23" s="11" t="s">
        <v>399</v>
      </c>
      <c r="U23" s="195" t="s">
        <v>279</v>
      </c>
      <c r="V23" s="195" t="s">
        <v>280</v>
      </c>
      <c r="W23" s="195" t="s">
        <v>281</v>
      </c>
      <c r="X23" s="195" t="s">
        <v>282</v>
      </c>
      <c r="Z23" s="258" t="s">
        <v>199</v>
      </c>
      <c r="AA23" s="11" t="s">
        <v>382</v>
      </c>
      <c r="AB23" s="195" t="s">
        <v>279</v>
      </c>
      <c r="AC23" s="195" t="s">
        <v>280</v>
      </c>
      <c r="AD23" s="195" t="s">
        <v>281</v>
      </c>
      <c r="AE23" s="195" t="s">
        <v>282</v>
      </c>
      <c r="AG23" s="143" t="s">
        <v>396</v>
      </c>
    </row>
    <row r="24" spans="1:33">
      <c r="A24" s="258"/>
      <c r="B24" s="114" t="s">
        <v>12</v>
      </c>
      <c r="C24" s="119" t="s">
        <v>201</v>
      </c>
      <c r="D24" s="166" t="s">
        <v>284</v>
      </c>
      <c r="E24" s="160" t="e">
        <f ca="1">_xll.mirSetUpOISCurve(E$23,C24,'GBP Curve Config'!YieldCurvePropertiesOIS,'GBP Curve Config'!OISConv,'GBP Curve Config'!OISRates,'GBP Curve Config'!OISCurveNamesXCCY,'GBP Curve Config'!OISHistoricalRates)&amp;"@"&amp;NOW()</f>
        <v>#NAME?</v>
      </c>
      <c r="F24" s="114" t="s">
        <v>12</v>
      </c>
      <c r="G24" s="119" t="s">
        <v>201</v>
      </c>
      <c r="H24" s="166" t="s">
        <v>284</v>
      </c>
      <c r="I24" s="160" t="e">
        <f ca="1">_xll.mirSetUpOISCurve(I$23,G24,'GBP Curve Config'!YieldCurvePropertiesOIS,'GBP Curve Config'!OISConv,'GBP Curve Config'!OISRates,'GBP Curve Config'!OISCurveNamesXCCYandFWDFX,'GBP Curve Config'!OISHistoricalRates)&amp;"@"&amp;NOW()</f>
        <v>#NAME?</v>
      </c>
      <c r="J24" s="114" t="s">
        <v>12</v>
      </c>
      <c r="K24" s="122" t="s">
        <v>201</v>
      </c>
      <c r="L24" s="168" t="s">
        <v>284</v>
      </c>
      <c r="M24" s="153" t="e">
        <f ca="1">_xll.mirSetUpOISCurve(M$23,K24,'GBP Curve Config'!YieldCurvePropertiesOIS,'GBP Curve Config'!OISConv,'GBP Curve Config'!OISRates,'GBP Curve Config'!OISCurveNamesNativeCSA,'GBP Curve Config'!OISHistoricalRates)&amp;"@"&amp;NOW()</f>
        <v>#NAME?</v>
      </c>
      <c r="N24" s="114" t="s">
        <v>12</v>
      </c>
      <c r="O24" s="119" t="s">
        <v>201</v>
      </c>
      <c r="P24" s="168" t="s">
        <v>284</v>
      </c>
      <c r="Q24" s="160" t="e">
        <f ca="1">_xll.mirSetUpOISCurve(Q$23,O24,'GBP Curve Config'!YieldCurvePropertiesOIS,'GBP Curve Config'!OISConv,'GBP Curve Config'!OISRates,'GBP Curve Config'!OISCurveNamesXCCYandFWDFX,'GBP Curve Config'!OISHistoricalRates)&amp;"@"&amp;NOW()</f>
        <v>#NAME?</v>
      </c>
      <c r="R24" s="114" t="s">
        <v>12</v>
      </c>
      <c r="S24" s="258"/>
      <c r="T24" s="192" t="s">
        <v>201</v>
      </c>
      <c r="U24" s="169" t="e">
        <f t="shared" ref="U24:U30" ca="1" si="10">IF(UPPER(LEFT(E24,3))=LEFT(C24,3),TRUE,FALSE)</f>
        <v>#NAME?</v>
      </c>
      <c r="V24" s="169" t="e">
        <f t="shared" ref="V24:V30" ca="1" si="11">IF(UPPER(LEFT(I24,3))=LEFT(G24,3),TRUE,FALSE)</f>
        <v>#NAME?</v>
      </c>
      <c r="W24" s="169" t="e">
        <f t="shared" ref="W24:W30" ca="1" si="12">IF(UPPER(LEFT(M24,3))=LEFT(K24,3),TRUE,FALSE)</f>
        <v>#NAME?</v>
      </c>
      <c r="X24" s="169" t="e">
        <f t="shared" ref="X24:X30" ca="1" si="13">IF(UPPER(LEFT(Q24,3))=LEFT(O24,3),TRUE,FALSE)</f>
        <v>#NAME?</v>
      </c>
      <c r="Z24" s="258"/>
      <c r="AA24" s="192" t="s">
        <v>201</v>
      </c>
      <c r="AB24" s="196">
        <f t="shared" ref="AB24:AE29" ca="1" si="14">IF(ISERROR(U24),1,IF(U24,0,1))</f>
        <v>1</v>
      </c>
      <c r="AC24" s="189">
        <f t="shared" ca="1" si="14"/>
        <v>1</v>
      </c>
      <c r="AD24" s="189">
        <f t="shared" ca="1" si="14"/>
        <v>1</v>
      </c>
      <c r="AE24" s="197">
        <f t="shared" ca="1" si="14"/>
        <v>1</v>
      </c>
      <c r="AG24" s="173">
        <f ca="1">SUM(ErrorCountGBPUSDCSA,ErrorCountGBPEURCSA,ErrorCountGBPGBPCSA,ErrorCountGBPJPYCSA)</f>
        <v>26</v>
      </c>
    </row>
    <row r="25" spans="1:33">
      <c r="B25" s="114" t="s">
        <v>12</v>
      </c>
      <c r="C25" s="120" t="s">
        <v>63</v>
      </c>
      <c r="D25" s="145" t="s">
        <v>283</v>
      </c>
      <c r="E25" s="161" t="e">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#NAME?</v>
      </c>
      <c r="F25" s="114" t="s">
        <v>12</v>
      </c>
      <c r="G25" s="120" t="s">
        <v>63</v>
      </c>
      <c r="H25" s="145" t="s">
        <v>283</v>
      </c>
      <c r="I25" s="161" t="e">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J25" s="114" t="s">
        <v>12</v>
      </c>
      <c r="K25" s="123" t="s">
        <v>63</v>
      </c>
      <c r="L25" s="170" t="s">
        <v>283</v>
      </c>
      <c r="M25" s="157" t="e">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#NAME?</v>
      </c>
      <c r="N25" s="114" t="s">
        <v>12</v>
      </c>
      <c r="O25" s="120" t="s">
        <v>63</v>
      </c>
      <c r="P25" s="170" t="s">
        <v>283</v>
      </c>
      <c r="Q25" s="161" t="e">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R25" s="114" t="s">
        <v>12</v>
      </c>
      <c r="S25" s="118"/>
      <c r="T25" s="193" t="s">
        <v>63</v>
      </c>
      <c r="U25" s="171" t="e">
        <f t="shared" ca="1" si="10"/>
        <v>#NAME?</v>
      </c>
      <c r="V25" s="171" t="e">
        <f t="shared" ca="1" si="11"/>
        <v>#NAME?</v>
      </c>
      <c r="W25" s="171" t="e">
        <f t="shared" ca="1" si="12"/>
        <v>#NAME?</v>
      </c>
      <c r="X25" s="171" t="e">
        <f t="shared" ca="1" si="13"/>
        <v>#NAME?</v>
      </c>
      <c r="Z25" s="118"/>
      <c r="AA25" s="193" t="s">
        <v>63</v>
      </c>
      <c r="AB25" s="198">
        <f t="shared" ca="1" si="14"/>
        <v>1</v>
      </c>
      <c r="AC25" s="190">
        <f t="shared" ca="1" si="14"/>
        <v>1</v>
      </c>
      <c r="AD25" s="190">
        <f t="shared" ca="1" si="14"/>
        <v>1</v>
      </c>
      <c r="AE25" s="199">
        <f t="shared" ca="1" si="14"/>
        <v>1</v>
      </c>
    </row>
    <row r="26" spans="1:33">
      <c r="B26" s="114" t="s">
        <v>12</v>
      </c>
      <c r="C26" s="120" t="s">
        <v>206</v>
      </c>
      <c r="D26" s="145" t="s">
        <v>273</v>
      </c>
      <c r="E26" s="161" t="e">
        <f ca="1">IF(U25,_xll.mirSetUpBasisSwapCurve(E$23,C26,'GBP Curve Config'!YieldCurvePropertiesTenorBasis,'GBP Curve Config'!BasisConv3x6,'GBP Curve Config'!BasisData3x6,'GBP Curve Config'!TenorBasis3x6CurveNamesXCCY)&amp;"@"&amp;NOW(),"#ERROR")</f>
        <v>#NAME?</v>
      </c>
      <c r="F26" s="114" t="s">
        <v>12</v>
      </c>
      <c r="G26" s="120" t="s">
        <v>206</v>
      </c>
      <c r="H26" s="145" t="s">
        <v>273</v>
      </c>
      <c r="I26" s="161" t="e">
        <f ca="1">IF(V25,_xll.mirSetUpBasisSwapCurve(I$23,G26,'GBP Curve Config'!YieldCurvePropertiesTenorBasis,'GBP Curve Config'!BasisConv3x6,'GBP Curve Config'!BasisData3x6,'GBP Curve Config'!TenorBasis3x6CurveNamesXCCYandFWDFX)&amp;"@"&amp;NOW(),"#ERROR")</f>
        <v>#NAME?</v>
      </c>
      <c r="J26" s="114" t="s">
        <v>12</v>
      </c>
      <c r="K26" s="123" t="s">
        <v>206</v>
      </c>
      <c r="L26" s="170" t="s">
        <v>273</v>
      </c>
      <c r="M26" s="154" t="e">
        <f ca="1">IF(W25,_xll.mirSetUpBasisSwapCurve(M$23,K26,'GBP Curve Config'!YieldCurvePropertiesTenorBasis,'GBP Curve Config'!BasisConv3x6,'GBP Curve Config'!BasisData3x6,'GBP Curve Config'!TenorBasis3x6CurveNamesNativeCSA)&amp;"@"&amp;NOW(),"#ERROR")</f>
        <v>#NAME?</v>
      </c>
      <c r="N26" s="114" t="s">
        <v>12</v>
      </c>
      <c r="O26" s="120" t="s">
        <v>206</v>
      </c>
      <c r="P26" s="170" t="s">
        <v>273</v>
      </c>
      <c r="Q26" s="161" t="e">
        <f ca="1">IF(X25,_xll.mirSetUpBasisSwapCurve(Q$23,O26,'GBP Curve Config'!YieldCurvePropertiesTenorBasis,'GBP Curve Config'!BasisConv3x6,'GBP Curve Config'!BasisData3x6,'GBP Curve Config'!TenorBasis3x6CurveNamesXCCYandFWDFX)&amp;"@"&amp;NOW(),"#ERROR")</f>
        <v>#NAME?</v>
      </c>
      <c r="R26" s="114" t="s">
        <v>12</v>
      </c>
      <c r="S26" s="118"/>
      <c r="T26" s="193" t="s">
        <v>206</v>
      </c>
      <c r="U26" s="171" t="e">
        <f t="shared" ca="1" si="10"/>
        <v>#NAME?</v>
      </c>
      <c r="V26" s="171" t="e">
        <f t="shared" ca="1" si="11"/>
        <v>#NAME?</v>
      </c>
      <c r="W26" s="171" t="e">
        <f t="shared" ca="1" si="12"/>
        <v>#NAME?</v>
      </c>
      <c r="X26" s="171" t="e">
        <f t="shared" ca="1" si="13"/>
        <v>#NAME?</v>
      </c>
      <c r="Z26" s="118"/>
      <c r="AA26" s="193" t="s">
        <v>206</v>
      </c>
      <c r="AB26" s="198">
        <f t="shared" ca="1" si="14"/>
        <v>1</v>
      </c>
      <c r="AC26" s="190">
        <f t="shared" ca="1" si="14"/>
        <v>1</v>
      </c>
      <c r="AD26" s="190">
        <f t="shared" ca="1" si="14"/>
        <v>1</v>
      </c>
      <c r="AE26" s="199">
        <f t="shared" ca="1" si="14"/>
        <v>1</v>
      </c>
    </row>
    <row r="27" spans="1:33">
      <c r="B27" s="114" t="s">
        <v>12</v>
      </c>
      <c r="C27" s="205" t="s">
        <v>211</v>
      </c>
      <c r="D27" s="145" t="s">
        <v>385</v>
      </c>
      <c r="E27" s="161" t="e">
        <f ca="1">IF(U26,_xll.mirSetUpBasisSwapCurve(E$23,C27,'GBP Curve Config'!YieldCurvePropertiesTenorBasis,'GBP Curve Config'!BasisConv1x3,'GBP Curve Config'!BasisData1x3,'GBP Curve Config'!TenorBasis1x6CurveNamesXCCY)&amp;"@"&amp;NOW(),"#ERROR")</f>
        <v>#NAME?</v>
      </c>
      <c r="F27" s="114" t="s">
        <v>12</v>
      </c>
      <c r="G27" s="205" t="s">
        <v>211</v>
      </c>
      <c r="H27" s="202" t="s">
        <v>385</v>
      </c>
      <c r="I27" s="161" t="e">
        <f ca="1">IF(V26,_xll.mirSetUpBasisSwapCurve(I$23,G27,'GBP Curve Config'!YieldCurvePropertiesTenorBasis,'GBP Curve Config'!BasisConv1x3,'GBP Curve Config'!BasisData1x3,'GBP Curve Config'!TenorBasis1x6CurveNamesXCCYandFWDFX)&amp;"@"&amp;NOW(),"#ERROR")</f>
        <v>#NAME?</v>
      </c>
      <c r="J27" s="114" t="s">
        <v>12</v>
      </c>
      <c r="K27" s="206" t="s">
        <v>211</v>
      </c>
      <c r="L27" s="202" t="s">
        <v>385</v>
      </c>
      <c r="M27" s="154" t="e">
        <f ca="1">IF(W26,_xll.mirSetUpBasisSwapCurve(M$23,K27,'GBP Curve Config'!YieldCurvePropertiesTenorBasis,'GBP Curve Config'!BasisConv1x3,'GBP Curve Config'!BasisData1x3,'GBP Curve Config'!TenorBasis1x6CurveNamesNativeCSA)&amp;"@"&amp;NOW(),"#ERROR")</f>
        <v>#NAME?</v>
      </c>
      <c r="N27" s="114" t="s">
        <v>12</v>
      </c>
      <c r="O27" s="205" t="s">
        <v>211</v>
      </c>
      <c r="P27" s="202" t="s">
        <v>385</v>
      </c>
      <c r="Q27" s="161" t="e">
        <f ca="1">IF(X26,_xll.mirSetUpBasisSwapCurve(Q$23,O27,'GBP Curve Config'!YieldCurvePropertiesTenorBasis,'GBP Curve Config'!BasisConv1x3,'GBP Curve Config'!BasisData1x3,'GBP Curve Config'!TenorBasis1x6CurveNamesXCCYandFWDFX)&amp;"@"&amp;NOW(),"#ERROR")</f>
        <v>#NAME?</v>
      </c>
      <c r="R27" s="114" t="s">
        <v>12</v>
      </c>
      <c r="S27" s="118"/>
      <c r="T27" s="193" t="s">
        <v>211</v>
      </c>
      <c r="U27" s="171" t="e">
        <f t="shared" ca="1" si="10"/>
        <v>#NAME?</v>
      </c>
      <c r="V27" s="171" t="e">
        <f t="shared" ca="1" si="11"/>
        <v>#NAME?</v>
      </c>
      <c r="W27" s="171" t="e">
        <f t="shared" ca="1" si="12"/>
        <v>#NAME?</v>
      </c>
      <c r="X27" s="171" t="e">
        <f t="shared" ca="1" si="13"/>
        <v>#NAME?</v>
      </c>
      <c r="Z27" s="118"/>
      <c r="AA27" s="193" t="s">
        <v>211</v>
      </c>
      <c r="AB27" s="198">
        <f t="shared" ca="1" si="14"/>
        <v>1</v>
      </c>
      <c r="AC27" s="190">
        <f t="shared" ca="1" si="14"/>
        <v>1</v>
      </c>
      <c r="AD27" s="190">
        <f t="shared" ca="1" si="14"/>
        <v>1</v>
      </c>
      <c r="AE27" s="199">
        <f t="shared" ca="1" si="14"/>
        <v>1</v>
      </c>
    </row>
    <row r="28" spans="1:33">
      <c r="B28" s="114" t="s">
        <v>12</v>
      </c>
      <c r="C28" s="120" t="s">
        <v>288</v>
      </c>
      <c r="D28" s="145" t="s">
        <v>289</v>
      </c>
      <c r="E28" s="161" t="e">
        <f ca="1">IF(U27,_xll.mirSetUpBasisSwapCurve(E$23,C28,'GBP Curve Config'!YieldCurvePropertiesTenorBasis,'GBP Curve Config'!BasisConv6x12,'GBP Curve Config'!BasisData6x12,'GBP Curve Config'!TenorBasis6x12CurveNamesXCCY)&amp;"@"&amp;NOW(),"#ERROR")</f>
        <v>#NAME?</v>
      </c>
      <c r="F28" s="114" t="s">
        <v>12</v>
      </c>
      <c r="G28" s="120" t="s">
        <v>288</v>
      </c>
      <c r="H28" s="145" t="s">
        <v>289</v>
      </c>
      <c r="I28" s="161" t="e">
        <f ca="1">IF(V27,_xll.mirSetUpBasisSwapCurve(I$23,G28,'GBP Curve Config'!YieldCurvePropertiesTenorBasis,'GBP Curve Config'!BasisConv6x12,'GBP Curve Config'!BasisData6x12,'GBP Curve Config'!TenorBasis6x12CurveNamesXCCYandFWDFX)&amp;"@"&amp;NOW(),"#ERROR")</f>
        <v>#NAME?</v>
      </c>
      <c r="J28" s="114" t="s">
        <v>12</v>
      </c>
      <c r="K28" s="123" t="s">
        <v>288</v>
      </c>
      <c r="L28" s="170" t="s">
        <v>289</v>
      </c>
      <c r="M28" s="154" t="e">
        <f ca="1">IF(W27,_xll.mirSetUpBasisSwapCurve(M$23,K28,'GBP Curve Config'!YieldCurvePropertiesTenorBasis,'GBP Curve Config'!BasisConv6x12,'GBP Curve Config'!BasisData6x12,'GBP Curve Config'!TenorBasis6x12CurveNamesNativeCSA)&amp;"@"&amp;NOW(),"#ERROR")</f>
        <v>#NAME?</v>
      </c>
      <c r="N28" s="114" t="s">
        <v>12</v>
      </c>
      <c r="O28" s="120" t="s">
        <v>288</v>
      </c>
      <c r="P28" s="170" t="s">
        <v>289</v>
      </c>
      <c r="Q28" s="161" t="e">
        <f ca="1">IF(X27,_xll.mirSetUpBasisSwapCurve(Q$23,O28,'GBP Curve Config'!YieldCurvePropertiesTenorBasis,'GBP Curve Config'!BasisConv6x12,'GBP Curve Config'!BasisData6x12,'GBP Curve Config'!TenorBasis6x12CurveNamesXCCYandFWDFX)&amp;"@"&amp;NOW(),"#ERROR")</f>
        <v>#NAME?</v>
      </c>
      <c r="R28" s="114" t="s">
        <v>12</v>
      </c>
      <c r="S28" s="118"/>
      <c r="T28" s="193" t="s">
        <v>288</v>
      </c>
      <c r="U28" s="171" t="e">
        <f t="shared" ca="1" si="10"/>
        <v>#NAME?</v>
      </c>
      <c r="V28" s="171" t="e">
        <f t="shared" ca="1" si="11"/>
        <v>#NAME?</v>
      </c>
      <c r="W28" s="171" t="e">
        <f t="shared" ca="1" si="12"/>
        <v>#NAME?</v>
      </c>
      <c r="X28" s="171" t="e">
        <f t="shared" ca="1" si="13"/>
        <v>#NAME?</v>
      </c>
      <c r="Z28" s="118"/>
      <c r="AA28" s="193" t="s">
        <v>288</v>
      </c>
      <c r="AB28" s="198">
        <f t="shared" ca="1" si="14"/>
        <v>1</v>
      </c>
      <c r="AC28" s="190">
        <f t="shared" ca="1" si="14"/>
        <v>1</v>
      </c>
      <c r="AD28" s="190">
        <f t="shared" ca="1" si="14"/>
        <v>1</v>
      </c>
      <c r="AE28" s="199">
        <f t="shared" ca="1" si="14"/>
        <v>1</v>
      </c>
    </row>
    <row r="29" spans="1:33">
      <c r="B29" s="114" t="s">
        <v>12</v>
      </c>
      <c r="C29" s="120" t="s">
        <v>208</v>
      </c>
      <c r="D29" s="145" t="str">
        <f>"Xccy Basis "&amp;$A23&amp;"/"&amp;"USD"</f>
        <v>Xccy Basis GBP/USD</v>
      </c>
      <c r="E29" s="161" t="e">
        <f ca="1">IF(AND(U28,isLoadedCurveUSD_USDCSA),_xll.mirSetUpBasisSwapCurve(E$23,C29,'GBP Curve Config'!XccyBasisProperties,'GBP Curve Config'!XccyBasisConvUSDCSA,'GBP Curve Config'!XccyBasisData,'GBP Curve Config'!XccyBasisCurveNamesXCCY)&amp;"@"&amp;NOW(),"#ERROR")</f>
        <v>#NAME?</v>
      </c>
      <c r="F29" s="114" t="s">
        <v>12</v>
      </c>
      <c r="G29" s="120" t="s">
        <v>208</v>
      </c>
      <c r="H29" s="145" t="str">
        <f>"Xccy Basis "&amp;$A23&amp;"/"&amp;"USD"</f>
        <v>Xccy Basis GBP/USD</v>
      </c>
      <c r="I29" s="161" t="e">
        <f ca="1">IF(AND(V28,isLoadedCurveUSD_EURCSA),_xll.mirSetUpBasisSwapCurve(I$23,G29,'GBP Curve Config'!XccyBasisProperties,'GBP Curve Config'!XccyBasisConvEURCSA,'GBP Curve Config'!XccyBasisData,'GBP Curve Config'!XccyBasisCurveNamesXCCYandFWDFX)&amp;"@"&amp;NOW(),"#ERROR")</f>
        <v>#NAME?</v>
      </c>
      <c r="J29" s="114" t="s">
        <v>12</v>
      </c>
      <c r="K29" s="123" t="s">
        <v>208</v>
      </c>
      <c r="L29" s="170" t="str">
        <f>"Xccy Basis "&amp;$A23&amp;"/"&amp;"USD"</f>
        <v>Xccy Basis GBP/USD</v>
      </c>
      <c r="M29" s="158" t="e">
        <f ca="1">IF(AND(W28,isLoadedCurveUSD_GBPCSA),_xll.mirSetUpBasisSwapCurve(M$23,K29,'GBP Curve Config'!XccyBasisProperties,'GBP Curve Config'!XccyBasisConvGBPCSA,'GBP Curve Config'!XccyBasisData,'GBP Curve Config'!XccyBasisCurveNamesNativeCSA)&amp;"@"&amp;NOW(),"#ERROR")</f>
        <v>#NAME?</v>
      </c>
      <c r="N29" s="114" t="s">
        <v>12</v>
      </c>
      <c r="O29" s="120" t="s">
        <v>208</v>
      </c>
      <c r="P29" s="170" t="str">
        <f>"Xccy Basis "&amp;$A23&amp;"/"&amp;"USD"</f>
        <v>Xccy Basis GBP/USD</v>
      </c>
      <c r="Q29" s="161" t="e">
        <f ca="1">IF(AND(X28,isLoadedCurveUSD_JPYCSA),_xll.mirSetUpBasisSwapCurve(Q$23,O29,'GBP Curve Config'!XccyBasisProperties,'GBP Curve Config'!XccyBasisConvJPYCSA,'GBP Curve Config'!XccyBasisData,'GBP Curve Config'!XccyBasisCurveNamesXCCYandFWDFX)&amp;"@"&amp;NOW(),"#ERROR")</f>
        <v>#NAME?</v>
      </c>
      <c r="R29" s="114" t="s">
        <v>12</v>
      </c>
      <c r="S29" s="118"/>
      <c r="T29" s="193" t="s">
        <v>208</v>
      </c>
      <c r="U29" s="171" t="e">
        <f t="shared" ca="1" si="10"/>
        <v>#NAME?</v>
      </c>
      <c r="V29" s="171" t="e">
        <f t="shared" ca="1" si="11"/>
        <v>#NAME?</v>
      </c>
      <c r="W29" s="171" t="e">
        <f t="shared" ca="1" si="12"/>
        <v>#NAME?</v>
      </c>
      <c r="X29" s="171" t="e">
        <f t="shared" ca="1" si="13"/>
        <v>#NAME?</v>
      </c>
      <c r="Z29" s="118"/>
      <c r="AA29" s="193" t="s">
        <v>208</v>
      </c>
      <c r="AB29" s="198">
        <f t="shared" ca="1" si="14"/>
        <v>1</v>
      </c>
      <c r="AC29" s="190">
        <f t="shared" ca="1" si="14"/>
        <v>1</v>
      </c>
      <c r="AD29" s="190">
        <f t="shared" ca="1" si="14"/>
        <v>1</v>
      </c>
      <c r="AE29" s="199">
        <f t="shared" ca="1" si="14"/>
        <v>1</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e">
        <f ca="1">IF(AND(V29,isLoadedXccyEUR_EURCSA),_xll.mirSetUpFwdFXConstantCurve(I$23,G30,'GBP Curve Config'!ConstForwardFXProperties,'GBP Curve Config'!ConstForwardFXEURCSA,'GBP Curve Config'!FwdFXConstCurveNamesXCCYandFWDFX)&amp;"@"&amp;NOW(),"#ERROR")</f>
        <v>#NAME?</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e">
        <f ca="1">IF(AND(X29,isLoadedXccyJPY_JPYCSA),_xll.mirSetUpFwdFXConstantCurve(Q$23,O30,'GBP Curve Config'!ConstForwardFXProperties,'GBP Curve Config'!ConstForwardFXJPYCSA,'GBP Curve Config'!FwdFXConstCurveNamesXCCYandFWDFX)&amp;"@"&amp;NOW(),"#ERROR")</f>
        <v>#NAME?</v>
      </c>
      <c r="R30" s="114" t="s">
        <v>12</v>
      </c>
      <c r="S30" s="118"/>
      <c r="T30" s="194" t="s">
        <v>209</v>
      </c>
      <c r="U30" s="172" t="b">
        <f t="shared" si="10"/>
        <v>0</v>
      </c>
      <c r="V30" s="172" t="e">
        <f t="shared" ca="1" si="11"/>
        <v>#NAME?</v>
      </c>
      <c r="W30" s="172" t="b">
        <f t="shared" si="12"/>
        <v>0</v>
      </c>
      <c r="X30" s="172" t="e">
        <f t="shared" ca="1" si="13"/>
        <v>#NAME?</v>
      </c>
      <c r="Z30" s="118"/>
      <c r="AA30" s="194" t="s">
        <v>209</v>
      </c>
      <c r="AB30" s="208" t="s">
        <v>6</v>
      </c>
      <c r="AC30" s="191">
        <f ca="1">IF(ISERROR(V30),1,IF(V30,0,1))</f>
        <v>1</v>
      </c>
      <c r="AD30" s="211" t="s">
        <v>6</v>
      </c>
      <c r="AE30" s="200">
        <f ca="1">IF(ISERROR(X30),1,IF(X30,0,1))</f>
        <v>1</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58"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58" t="s">
        <v>200</v>
      </c>
      <c r="T32" s="11" t="s">
        <v>399</v>
      </c>
      <c r="U32" s="195" t="s">
        <v>279</v>
      </c>
      <c r="V32" s="195" t="s">
        <v>280</v>
      </c>
      <c r="W32" s="195" t="s">
        <v>281</v>
      </c>
      <c r="X32" s="195" t="s">
        <v>282</v>
      </c>
      <c r="Z32" s="258" t="s">
        <v>200</v>
      </c>
      <c r="AA32" s="11" t="s">
        <v>382</v>
      </c>
      <c r="AB32" s="195" t="s">
        <v>279</v>
      </c>
      <c r="AC32" s="195" t="s">
        <v>280</v>
      </c>
      <c r="AD32" s="195" t="s">
        <v>281</v>
      </c>
      <c r="AE32" s="195" t="s">
        <v>282</v>
      </c>
      <c r="AG32" s="143" t="s">
        <v>397</v>
      </c>
    </row>
    <row r="33" spans="1:33">
      <c r="A33" s="258"/>
      <c r="B33" s="114" t="s">
        <v>12</v>
      </c>
      <c r="C33" s="119" t="s">
        <v>201</v>
      </c>
      <c r="D33" s="166" t="s">
        <v>285</v>
      </c>
      <c r="E33" s="160" t="e">
        <f ca="1">_xll.mirSetUpOISCurve(E$32,C33,'JPY Curve Config'!YieldCurvePropertiesOIS,'JPY Curve Config'!OISConv,'JPY Curve Config'!OISRates,'JPY Curve Config'!OISCurveNamesXCCY,'JPY Curve Config'!OISHistoricalRates)&amp;"@"&amp;NOW()</f>
        <v>#NAME?</v>
      </c>
      <c r="F33" s="114" t="s">
        <v>12</v>
      </c>
      <c r="G33" s="119" t="s">
        <v>201</v>
      </c>
      <c r="H33" s="166" t="s">
        <v>285</v>
      </c>
      <c r="I33" s="160" t="e">
        <f ca="1">_xll.mirSetUpOISCurve(I$32,G33,'JPY Curve Config'!YieldCurvePropertiesOIS,'JPY Curve Config'!OISConv,'JPY Curve Config'!OISRates,'JPY Curve Config'!OISCurveNamesXCCYandFWDFX,'JPY Curve Config'!OISHistoricalRates)&amp;"@"&amp;NOW()</f>
        <v>#NAME?</v>
      </c>
      <c r="J33" s="114" t="s">
        <v>12</v>
      </c>
      <c r="K33" s="119" t="s">
        <v>201</v>
      </c>
      <c r="L33" s="168" t="s">
        <v>285</v>
      </c>
      <c r="M33" s="160" t="e">
        <f ca="1">_xll.mirSetUpOISCurve(M$32,K33,'JPY Curve Config'!YieldCurvePropertiesOIS,'JPY Curve Config'!OISConv,'JPY Curve Config'!OISRates,'JPY Curve Config'!OISCurveNamesXCCYandFWDFX,'JPY Curve Config'!OISHistoricalRates)&amp;"@"&amp;NOW()</f>
        <v>#NAME?</v>
      </c>
      <c r="N33" s="114" t="s">
        <v>12</v>
      </c>
      <c r="O33" s="122" t="s">
        <v>201</v>
      </c>
      <c r="P33" s="168" t="s">
        <v>285</v>
      </c>
      <c r="Q33" s="153" t="e">
        <f ca="1">_xll.mirSetUpOISCurve(Q$32,O33,'JPY Curve Config'!YieldCurvePropertiesOIS,'JPY Curve Config'!OISConv,'JPY Curve Config'!OISRates,'JPY Curve Config'!OISCurveNamesNativeCSA,'JPY Curve Config'!OISHistoricalRates)&amp;"@"&amp;NOW()</f>
        <v>#NAME?</v>
      </c>
      <c r="R33" s="114" t="s">
        <v>12</v>
      </c>
      <c r="S33" s="258"/>
      <c r="T33" s="192" t="s">
        <v>201</v>
      </c>
      <c r="U33" s="169" t="e">
        <f t="shared" ref="U33:U39" ca="1" si="15">IF(UPPER(LEFT(E33,3))=LEFT(C33,3),TRUE,FALSE)</f>
        <v>#NAME?</v>
      </c>
      <c r="V33" s="169" t="e">
        <f t="shared" ref="V33:V39" ca="1" si="16">IF(UPPER(LEFT(I33,3))=LEFT(G33,3),TRUE,FALSE)</f>
        <v>#NAME?</v>
      </c>
      <c r="W33" s="169" t="e">
        <f t="shared" ref="W33:W39" ca="1" si="17">IF(UPPER(LEFT(M33,3))=LEFT(K33,3),TRUE,FALSE)</f>
        <v>#NAME?</v>
      </c>
      <c r="X33" s="169" t="e">
        <f t="shared" ref="X33:X39" ca="1" si="18">IF(UPPER(LEFT(Q33,3))=LEFT(O33,3),TRUE,FALSE)</f>
        <v>#NAME?</v>
      </c>
      <c r="Z33" s="258"/>
      <c r="AA33" s="192" t="s">
        <v>201</v>
      </c>
      <c r="AB33" s="196">
        <f t="shared" ref="AB33:AE36" ca="1" si="19">IF(ISERROR(U33),1,IF(U33,0,1))</f>
        <v>1</v>
      </c>
      <c r="AC33" s="189">
        <f t="shared" ca="1" si="19"/>
        <v>1</v>
      </c>
      <c r="AD33" s="189">
        <f t="shared" ca="1" si="19"/>
        <v>1</v>
      </c>
      <c r="AE33" s="197">
        <f t="shared" ca="1" si="19"/>
        <v>1</v>
      </c>
      <c r="AG33" s="173">
        <f ca="1">SUM(ErrorCountJPYUSDCSA,ErrorCountJPYEURCSA,ErrorCountJPYGBPCSA,ErrorCountJPYJPYCSA)</f>
        <v>22</v>
      </c>
    </row>
    <row r="34" spans="1:33">
      <c r="B34" s="114" t="s">
        <v>12</v>
      </c>
      <c r="C34" s="120" t="s">
        <v>63</v>
      </c>
      <c r="D34" s="145" t="s">
        <v>283</v>
      </c>
      <c r="E34" s="161" t="e">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#NAME?</v>
      </c>
      <c r="F34" s="114" t="s">
        <v>12</v>
      </c>
      <c r="G34" s="120" t="s">
        <v>63</v>
      </c>
      <c r="H34" s="145" t="s">
        <v>283</v>
      </c>
      <c r="I34" s="161" t="e">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J34" s="114" t="s">
        <v>12</v>
      </c>
      <c r="K34" s="120" t="s">
        <v>63</v>
      </c>
      <c r="L34" s="170" t="s">
        <v>283</v>
      </c>
      <c r="M34" s="161" t="e">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N34" s="114" t="s">
        <v>12</v>
      </c>
      <c r="O34" s="123" t="s">
        <v>63</v>
      </c>
      <c r="P34" s="170" t="s">
        <v>283</v>
      </c>
      <c r="Q34" s="157" t="e">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#NAME?</v>
      </c>
      <c r="R34" s="114" t="s">
        <v>12</v>
      </c>
      <c r="S34" s="118"/>
      <c r="T34" s="193" t="s">
        <v>63</v>
      </c>
      <c r="U34" s="171" t="e">
        <f t="shared" ca="1" si="15"/>
        <v>#NAME?</v>
      </c>
      <c r="V34" s="171" t="e">
        <f t="shared" ca="1" si="16"/>
        <v>#NAME?</v>
      </c>
      <c r="W34" s="171" t="e">
        <f t="shared" ca="1" si="17"/>
        <v>#NAME?</v>
      </c>
      <c r="X34" s="171" t="e">
        <f t="shared" ca="1" si="18"/>
        <v>#NAME?</v>
      </c>
      <c r="Z34" s="118"/>
      <c r="AA34" s="193" t="s">
        <v>63</v>
      </c>
      <c r="AB34" s="198">
        <f t="shared" ca="1" si="19"/>
        <v>1</v>
      </c>
      <c r="AC34" s="190">
        <f t="shared" ca="1" si="19"/>
        <v>1</v>
      </c>
      <c r="AD34" s="190">
        <f t="shared" ca="1" si="19"/>
        <v>1</v>
      </c>
      <c r="AE34" s="199">
        <f t="shared" ca="1" si="19"/>
        <v>1</v>
      </c>
    </row>
    <row r="35" spans="1:33">
      <c r="B35" s="114" t="s">
        <v>12</v>
      </c>
      <c r="C35" s="120" t="s">
        <v>206</v>
      </c>
      <c r="D35" s="145" t="s">
        <v>273</v>
      </c>
      <c r="E35" s="161" t="e">
        <f ca="1">IF(U34,_xll.mirSetUpBasisSwapCurve(E$32,C35,'JPY Curve Config'!YieldCurvePropertiesTenorBasis,'JPY Curve Config'!BasisConv3x6,'JPY Curve Config'!BasisData3x6,'JPY Curve Config'!TenorBasis3x6CurveNamesXCCY)&amp;"@"&amp;NOW(),"#ERROR")</f>
        <v>#NAME?</v>
      </c>
      <c r="F35" s="114" t="s">
        <v>12</v>
      </c>
      <c r="G35" s="120" t="s">
        <v>206</v>
      </c>
      <c r="H35" s="145" t="s">
        <v>273</v>
      </c>
      <c r="I35" s="161" t="e">
        <f ca="1">IF(V34,_xll.mirSetUpBasisSwapCurve(I$32,G35,'JPY Curve Config'!YieldCurvePropertiesTenorBasis,'JPY Curve Config'!BasisConv3x6,'JPY Curve Config'!BasisData3x6,'JPY Curve Config'!TenorBasis3x6CurveNamesXCCYandFWDFX)&amp;"@"&amp;NOW(),"#ERROR")</f>
        <v>#NAME?</v>
      </c>
      <c r="J35" s="114" t="s">
        <v>12</v>
      </c>
      <c r="K35" s="120" t="s">
        <v>206</v>
      </c>
      <c r="L35" s="170" t="s">
        <v>273</v>
      </c>
      <c r="M35" s="161" t="e">
        <f ca="1">IF(W34,_xll.mirSetUpBasisSwapCurve(M$32,K35,'JPY Curve Config'!YieldCurvePropertiesTenorBasis,'JPY Curve Config'!BasisConv3x6,'JPY Curve Config'!BasisData3x6,'JPY Curve Config'!TenorBasis3x6CurveNamesXCCYandFWDFX)&amp;"@"&amp;NOW(),"#ERROR")</f>
        <v>#NAME?</v>
      </c>
      <c r="N35" s="114" t="s">
        <v>12</v>
      </c>
      <c r="O35" s="123" t="s">
        <v>206</v>
      </c>
      <c r="P35" s="170" t="s">
        <v>273</v>
      </c>
      <c r="Q35" s="154" t="e">
        <f ca="1">IF(X34,_xll.mirSetUpBasisSwapCurve(Q$32,O35,'JPY Curve Config'!YieldCurvePropertiesTenorBasis,'JPY Curve Config'!BasisConv3x6,'JPY Curve Config'!BasisData3x6,'JPY Curve Config'!TenorBasis3x6CurveNamesNativeCSA)&amp;"@"&amp;NOW(),"#ERROR")</f>
        <v>#NAME?</v>
      </c>
      <c r="R35" s="114" t="s">
        <v>12</v>
      </c>
      <c r="S35" s="118"/>
      <c r="T35" s="193" t="s">
        <v>206</v>
      </c>
      <c r="U35" s="171" t="e">
        <f t="shared" ca="1" si="15"/>
        <v>#NAME?</v>
      </c>
      <c r="V35" s="171" t="e">
        <f t="shared" ca="1" si="16"/>
        <v>#NAME?</v>
      </c>
      <c r="W35" s="171" t="e">
        <f t="shared" ca="1" si="17"/>
        <v>#NAME?</v>
      </c>
      <c r="X35" s="171" t="e">
        <f t="shared" ca="1" si="18"/>
        <v>#NAME?</v>
      </c>
      <c r="Z35" s="118"/>
      <c r="AA35" s="193" t="s">
        <v>206</v>
      </c>
      <c r="AB35" s="198">
        <f t="shared" ca="1" si="19"/>
        <v>1</v>
      </c>
      <c r="AC35" s="190">
        <f t="shared" ca="1" si="19"/>
        <v>1</v>
      </c>
      <c r="AD35" s="190">
        <f t="shared" ca="1" si="19"/>
        <v>1</v>
      </c>
      <c r="AE35" s="199">
        <f t="shared" ca="1" si="19"/>
        <v>1</v>
      </c>
    </row>
    <row r="36" spans="1:33">
      <c r="B36" s="114" t="s">
        <v>12</v>
      </c>
      <c r="C36" s="205" t="s">
        <v>211</v>
      </c>
      <c r="D36" s="145" t="s">
        <v>385</v>
      </c>
      <c r="E36" s="161" t="e">
        <f ca="1">IF(U35,_xll.mirSetUpBasisSwapCurve(E$32,C36,'JPY Curve Config'!YieldCurvePropertiesTenorBasis,'JPY Curve Config'!BasisConv1x3,'JPY Curve Config'!BasisData1x3,'JPY Curve Config'!TenorBasis1x6CurveNamesXCCY)&amp;"@"&amp;NOW(),"#ERROR")</f>
        <v>#NAME?</v>
      </c>
      <c r="F36" s="114" t="s">
        <v>12</v>
      </c>
      <c r="G36" s="205" t="s">
        <v>211</v>
      </c>
      <c r="H36" s="202" t="s">
        <v>385</v>
      </c>
      <c r="I36" s="161" t="e">
        <f ca="1">IF(V35,_xll.mirSetUpBasisSwapCurve(I$32,G36,'JPY Curve Config'!YieldCurvePropertiesTenorBasis,'JPY Curve Config'!BasisConv1x3,'JPY Curve Config'!BasisData1x3,'JPY Curve Config'!TenorBasis1x6CurveNamesXCCYandFWDFX)&amp;"@"&amp;NOW(),"#ERROR")</f>
        <v>#NAME?</v>
      </c>
      <c r="J36" s="114" t="s">
        <v>12</v>
      </c>
      <c r="K36" s="205" t="s">
        <v>211</v>
      </c>
      <c r="L36" s="202" t="s">
        <v>385</v>
      </c>
      <c r="M36" s="161" t="e">
        <f ca="1">IF(W35,_xll.mirSetUpBasisSwapCurve(M$32,K36,'JPY Curve Config'!YieldCurvePropertiesTenorBasis,'JPY Curve Config'!BasisConv1x3,'JPY Curve Config'!BasisData1x3,'JPY Curve Config'!TenorBasis1x6CurveNamesXCCYandFWDFX)&amp;"@"&amp;NOW(),"#ERROR")</f>
        <v>#NAME?</v>
      </c>
      <c r="N36" s="114" t="s">
        <v>12</v>
      </c>
      <c r="O36" s="206" t="s">
        <v>211</v>
      </c>
      <c r="P36" s="202" t="s">
        <v>385</v>
      </c>
      <c r="Q36" s="154" t="e">
        <f ca="1">IF(X35,_xll.mirSetUpBasisSwapCurve(Q$32,O36,'JPY Curve Config'!YieldCurvePropertiesTenorBasis,'JPY Curve Config'!BasisConv1x3,'JPY Curve Config'!BasisData1x3,'JPY Curve Config'!TenorBasis1x6CurveNamesNativeCSA)&amp;"@"&amp;NOW(),"#ERROR")</f>
        <v>#NAME?</v>
      </c>
      <c r="R36" s="114" t="s">
        <v>12</v>
      </c>
      <c r="S36" s="118"/>
      <c r="T36" s="193" t="s">
        <v>211</v>
      </c>
      <c r="U36" s="171" t="e">
        <f t="shared" ca="1" si="15"/>
        <v>#NAME?</v>
      </c>
      <c r="V36" s="171" t="e">
        <f t="shared" ca="1" si="16"/>
        <v>#NAME?</v>
      </c>
      <c r="W36" s="171" t="e">
        <f t="shared" ca="1" si="17"/>
        <v>#NAME?</v>
      </c>
      <c r="X36" s="171" t="e">
        <f t="shared" ca="1" si="18"/>
        <v>#NAME?</v>
      </c>
      <c r="Z36" s="118"/>
      <c r="AA36" s="193" t="s">
        <v>211</v>
      </c>
      <c r="AB36" s="198">
        <f t="shared" ca="1" si="19"/>
        <v>1</v>
      </c>
      <c r="AC36" s="190">
        <f t="shared" ca="1" si="19"/>
        <v>1</v>
      </c>
      <c r="AD36" s="190">
        <f t="shared" ca="1" si="19"/>
        <v>1</v>
      </c>
      <c r="AE36" s="199">
        <f t="shared" ca="1" si="19"/>
        <v>1</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e">
        <f ca="1">IF(AND(U36,isLoadedCurveUSD_USDCSA),_xll.mirSetUpBasisSwapCurve(E$32,C38,'JPY Curve Config'!XccyBasisProperties,'JPY Curve Config'!XccyBasisConvUSDCSA,'JPY Curve Config'!XccyBasisData,'JPY Curve Config'!XccyBasisCurveNamesXCCY)&amp;"@"&amp;NOW(),"#ERROR")</f>
        <v>#NAME?</v>
      </c>
      <c r="F38" s="114" t="s">
        <v>12</v>
      </c>
      <c r="G38" s="120" t="s">
        <v>208</v>
      </c>
      <c r="H38" s="145" t="str">
        <f>"Xccy Basis "&amp;$A32&amp;"/"&amp;"USD"</f>
        <v>Xccy Basis JPY/USD</v>
      </c>
      <c r="I38" s="161" t="e">
        <f ca="1">IF(AND(V36,isLoadedCurveUSD_JPYCSA),_xll.mirSetUpBasisSwapCurve(I$32,G38,'JPY Curve Config'!XccyBasisProperties,'JPY Curve Config'!XccyBasisConvJPYCSA,'JPY Curve Config'!XccyBasisData,'JPY Curve Config'!XccyBasisCurveNamesXCCYandFWDFX)&amp;"@"&amp;NOW(),"#ERROR")</f>
        <v>#NAME?</v>
      </c>
      <c r="J38" s="114" t="s">
        <v>12</v>
      </c>
      <c r="K38" s="120" t="s">
        <v>208</v>
      </c>
      <c r="L38" s="170" t="str">
        <f>"Xccy Basis "&amp;$A32&amp;"/"&amp;"USD"</f>
        <v>Xccy Basis JPY/USD</v>
      </c>
      <c r="M38" s="161" t="e">
        <f ca="1">IF(AND(W36,isLoadedCurveUSD_GBPCSA),_xll.mirSetUpBasisSwapCurve(M$32,K38,'JPY Curve Config'!XccyBasisProperties,'JPY Curve Config'!XccyBasisConvGBPCSA,'JPY Curve Config'!XccyBasisData,'JPY Curve Config'!XccyBasisCurveNamesXCCYandFWDFX)&amp;"@"&amp;NOW(),"#ERROR")</f>
        <v>#NAME?</v>
      </c>
      <c r="N38" s="114" t="s">
        <v>12</v>
      </c>
      <c r="O38" s="123" t="s">
        <v>208</v>
      </c>
      <c r="P38" s="170" t="str">
        <f>"Xccy Basis "&amp;$A32&amp;"/"&amp;"USD"</f>
        <v>Xccy Basis JPY/USD</v>
      </c>
      <c r="Q38" s="158" t="e">
        <f ca="1">IF(AND(X36,isLoadedCurveUSD_JPYCSA),_xll.mirSetUpBasisSwapCurve(Q$32,O38,'JPY Curve Config'!XccyBasisProperties,'JPY Curve Config'!XccyBasisConvJPYCSA,'JPY Curve Config'!XccyBasisData,'JPY Curve Config'!XccyBasisCurveNamesNativeCSA)&amp;"@"&amp;NOW(),"#ERROR")</f>
        <v>#NAME?</v>
      </c>
      <c r="R38" s="114" t="s">
        <v>12</v>
      </c>
      <c r="S38" s="118"/>
      <c r="T38" s="193" t="s">
        <v>208</v>
      </c>
      <c r="U38" s="171" t="e">
        <f ca="1">IF(UPPER(LEFT(E38,3))=LEFT(C38,3),TRUE,FALSE)</f>
        <v>#NAME?</v>
      </c>
      <c r="V38" s="171" t="e">
        <f t="shared" ca="1" si="16"/>
        <v>#NAME?</v>
      </c>
      <c r="W38" s="171" t="e">
        <f t="shared" ca="1" si="17"/>
        <v>#NAME?</v>
      </c>
      <c r="X38" s="171" t="e">
        <f t="shared" ca="1" si="18"/>
        <v>#NAME?</v>
      </c>
      <c r="Z38" s="118"/>
      <c r="AA38" s="193" t="s">
        <v>208</v>
      </c>
      <c r="AB38" s="198">
        <f ca="1">IF(ISERROR(U38),1,IF(U38,0,1))</f>
        <v>1</v>
      </c>
      <c r="AC38" s="190">
        <f ca="1">IF(ISERROR(V38),1,IF(V38,0,1))</f>
        <v>1</v>
      </c>
      <c r="AD38" s="190">
        <f ca="1">IF(ISERROR(W38),1,IF(W38,0,1))</f>
        <v>1</v>
      </c>
      <c r="AE38" s="199">
        <f ca="1">IF(ISERROR(X38),1,IF(X38,0,1))</f>
        <v>1</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e">
        <f ca="1">IF(AND(V38,isLoadedXccyEUR_EURCSA),_xll.mirSetUpFwdFXConstantCurve(I$32,G39,'JPY Curve Config'!ConstForwardFXProperties,'JPY Curve Config'!ConstForwardFXEURCSA,'JPY Curve Config'!FwdFXConstCurveNamesXCCYandFWDFX)&amp;"@"&amp;NOW(),"#ERROR")</f>
        <v>#NAME?</v>
      </c>
      <c r="J39" s="114" t="s">
        <v>12</v>
      </c>
      <c r="K39" s="121" t="s">
        <v>209</v>
      </c>
      <c r="L39" s="167" t="str">
        <f>"Proxy: Xccy Basis USD/"&amp;LEFT(M$2,3)</f>
        <v>Proxy: Xccy Basis USD/GBP</v>
      </c>
      <c r="M39" s="163" t="e">
        <f ca="1">IF(AND(W38,isLoadedXccyGBP_GBPCSA),_xll.mirSetUpFwdFXConstantCurve(M$32,K39,'JPY Curve Config'!ConstForwardFXProperties,'JPY Curve Config'!ConstForwardFXGBPCSA,'JPY Curve Config'!FwdFXConstCurveNamesXCCYandFWDFX)&amp;"@"&amp;NOW(),"#ERROR")</f>
        <v>#NAME?</v>
      </c>
      <c r="N39" s="114" t="s">
        <v>12</v>
      </c>
      <c r="O39" s="124" t="s">
        <v>209</v>
      </c>
      <c r="P39" s="167" t="str">
        <f>"Proxy: Xccy Basis USD/"&amp;LEFT(Q$2,3)</f>
        <v>Proxy: Xccy Basis USD/JPY</v>
      </c>
      <c r="Q39" s="156" t="s">
        <v>6</v>
      </c>
      <c r="R39" s="114" t="s">
        <v>12</v>
      </c>
      <c r="S39" s="118"/>
      <c r="T39" s="194" t="s">
        <v>209</v>
      </c>
      <c r="U39" s="172" t="b">
        <f t="shared" si="15"/>
        <v>0</v>
      </c>
      <c r="V39" s="172" t="e">
        <f t="shared" ca="1" si="16"/>
        <v>#NAME?</v>
      </c>
      <c r="W39" s="172" t="e">
        <f t="shared" ca="1" si="17"/>
        <v>#NAME?</v>
      </c>
      <c r="X39" s="172" t="b">
        <f t="shared" si="18"/>
        <v>0</v>
      </c>
      <c r="Z39" s="118"/>
      <c r="AA39" s="194" t="s">
        <v>209</v>
      </c>
      <c r="AB39" s="208" t="s">
        <v>6</v>
      </c>
      <c r="AC39" s="191">
        <f ca="1">IF(ISERROR(V39),1,IF(V39,0,1))</f>
        <v>1</v>
      </c>
      <c r="AD39" s="191">
        <f ca="1">IF(ISERROR(W39),1,IF(W39,0,1))</f>
        <v>1</v>
      </c>
      <c r="AE39" s="213" t="s">
        <v>6</v>
      </c>
    </row>
    <row r="41" spans="1:33">
      <c r="AG41" s="114"/>
    </row>
  </sheetData>
  <mergeCells count="18">
    <mergeCell ref="A5:A6"/>
    <mergeCell ref="A14:A15"/>
    <mergeCell ref="A23:A24"/>
    <mergeCell ref="A32:A33"/>
    <mergeCell ref="Q2:Q3"/>
    <mergeCell ref="E2:E3"/>
    <mergeCell ref="I2:I3"/>
    <mergeCell ref="M2:M3"/>
    <mergeCell ref="S32:S33"/>
    <mergeCell ref="Z5:Z6"/>
    <mergeCell ref="Z14:Z15"/>
    <mergeCell ref="Z23:Z24"/>
    <mergeCell ref="Z32:Z33"/>
    <mergeCell ref="T2:X3"/>
    <mergeCell ref="AA2:AE3"/>
    <mergeCell ref="S5:S6"/>
    <mergeCell ref="S14:S15"/>
    <mergeCell ref="S23:S24"/>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H37"/>
  <sheetViews>
    <sheetView showGridLines="0" tabSelected="1" workbookViewId="0"/>
  </sheetViews>
  <sheetFormatPr defaultRowHeight="15"/>
  <cols>
    <col min="2" max="4" width="20.7109375" customWidth="1"/>
    <col min="6" max="8" width="20.7109375" customWidth="1"/>
  </cols>
  <sheetData>
    <row r="2" spans="2:8">
      <c r="B2" s="231" t="s">
        <v>451</v>
      </c>
      <c r="C2" s="112" t="s">
        <v>434</v>
      </c>
      <c r="D2" s="112" t="s">
        <v>435</v>
      </c>
      <c r="F2" s="231" t="s">
        <v>451</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54" t="s">
        <v>442</v>
      </c>
      <c r="F5" s="222" t="s">
        <v>427</v>
      </c>
      <c r="G5" s="244" t="e">
        <f ca="1">_xll.mirGetDate(COB,H5,G11,G12)</f>
        <v>#NAME?</v>
      </c>
      <c r="H5" s="244" t="s">
        <v>456</v>
      </c>
    </row>
    <row r="6" spans="2:8">
      <c r="B6" s="222" t="s">
        <v>452</v>
      </c>
      <c r="C6" s="244" t="s">
        <v>42</v>
      </c>
      <c r="D6" s="244"/>
      <c r="F6" s="222" t="s">
        <v>452</v>
      </c>
      <c r="G6" s="244" t="s">
        <v>42</v>
      </c>
      <c r="H6" s="244"/>
    </row>
    <row r="7" spans="2:8">
      <c r="B7" s="222" t="s">
        <v>453</v>
      </c>
      <c r="C7" s="245" t="s">
        <v>315</v>
      </c>
      <c r="D7" s="245"/>
      <c r="F7" s="222" t="s">
        <v>453</v>
      </c>
      <c r="G7" s="245" t="s">
        <v>315</v>
      </c>
      <c r="H7" s="245"/>
    </row>
    <row r="8" spans="2:8">
      <c r="B8" s="222" t="s">
        <v>436</v>
      </c>
      <c r="C8" s="237" t="e">
        <f ca="1">C28</f>
        <v>#NAME?</v>
      </c>
      <c r="D8" s="240">
        <v>0</v>
      </c>
      <c r="F8" s="222" t="s">
        <v>436</v>
      </c>
      <c r="G8" s="241">
        <v>0.01</v>
      </c>
      <c r="H8" s="239">
        <v>0</v>
      </c>
    </row>
    <row r="9" spans="2:8">
      <c r="B9" s="222" t="s">
        <v>122</v>
      </c>
      <c r="C9" s="226" t="s">
        <v>152</v>
      </c>
      <c r="D9" s="226" t="s">
        <v>78</v>
      </c>
      <c r="F9" s="222" t="s">
        <v>122</v>
      </c>
      <c r="G9" s="226" t="s">
        <v>152</v>
      </c>
      <c r="H9" s="226" t="s">
        <v>78</v>
      </c>
    </row>
    <row r="10" spans="2:8">
      <c r="B10" s="222" t="s">
        <v>130</v>
      </c>
      <c r="C10" s="227" t="s">
        <v>163</v>
      </c>
      <c r="D10" s="227" t="s">
        <v>55</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0</v>
      </c>
      <c r="D12" s="226" t="s">
        <v>0</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v>15</v>
      </c>
      <c r="D15" s="226">
        <v>15</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f>'EUR Curve Config'!$Z$29</f>
        <v>4.8999999999999998E-4</v>
      </c>
      <c r="F17" s="222" t="s">
        <v>443</v>
      </c>
      <c r="G17" s="248" t="s">
        <v>6</v>
      </c>
      <c r="H17" s="237">
        <f>'EUR Curve Config'!$Z$29</f>
        <v>4.8999999999999998E-4</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63</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29" spans="2:8">
      <c r="C29" s="221"/>
    </row>
    <row r="30" spans="2:8">
      <c r="C30" s="11"/>
    </row>
    <row r="31" spans="2:8">
      <c r="B31" s="251"/>
      <c r="C31" s="232"/>
    </row>
    <row r="37" spans="3:6">
      <c r="C37" s="253"/>
      <c r="F37" s="25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457</v>
      </c>
      <c r="C2" s="112" t="s">
        <v>434</v>
      </c>
      <c r="D2" s="112" t="s">
        <v>435</v>
      </c>
      <c r="F2" s="231" t="s">
        <v>457</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456</v>
      </c>
      <c r="F5" s="222" t="s">
        <v>427</v>
      </c>
      <c r="G5" s="244" t="e">
        <f ca="1">_xll.mirGetDate(COB,H5,G11,G12)</f>
        <v>#NAME?</v>
      </c>
      <c r="H5" s="244" t="s">
        <v>456</v>
      </c>
    </row>
    <row r="6" spans="2:8">
      <c r="B6" s="222" t="s">
        <v>452</v>
      </c>
      <c r="C6" s="244" t="s">
        <v>35</v>
      </c>
      <c r="D6" s="244"/>
      <c r="F6" s="222" t="s">
        <v>452</v>
      </c>
      <c r="G6" s="244" t="s">
        <v>35</v>
      </c>
      <c r="H6" s="244"/>
    </row>
    <row r="7" spans="2:8">
      <c r="B7" s="222" t="s">
        <v>453</v>
      </c>
      <c r="C7" s="245" t="s">
        <v>302</v>
      </c>
      <c r="D7" s="245"/>
      <c r="F7" s="222" t="s">
        <v>453</v>
      </c>
      <c r="G7" s="245" t="s">
        <v>302</v>
      </c>
      <c r="H7" s="245"/>
    </row>
    <row r="8" spans="2:8">
      <c r="B8" s="222" t="s">
        <v>436</v>
      </c>
      <c r="C8" s="237" t="e">
        <f ca="1">C28</f>
        <v>#NAME?</v>
      </c>
      <c r="D8" s="240">
        <v>0</v>
      </c>
      <c r="F8" s="222" t="s">
        <v>436</v>
      </c>
      <c r="G8" s="241">
        <v>0.01</v>
      </c>
      <c r="H8" s="239">
        <v>0</v>
      </c>
    </row>
    <row r="9" spans="2:8">
      <c r="B9" s="222" t="s">
        <v>122</v>
      </c>
      <c r="C9" s="226" t="s">
        <v>78</v>
      </c>
      <c r="D9" s="226" t="s">
        <v>77</v>
      </c>
      <c r="F9" s="222" t="s">
        <v>122</v>
      </c>
      <c r="G9" s="226" t="s">
        <v>152</v>
      </c>
      <c r="H9" s="226" t="s">
        <v>78</v>
      </c>
    </row>
    <row r="10" spans="2:8">
      <c r="B10" s="222" t="s">
        <v>130</v>
      </c>
      <c r="C10" s="227" t="s">
        <v>163</v>
      </c>
      <c r="D10" s="227" t="s">
        <v>3</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448</v>
      </c>
      <c r="D12" s="226" t="s">
        <v>448</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2.8579999999999999E-3</v>
      </c>
      <c r="F17" s="222" t="s">
        <v>443</v>
      </c>
      <c r="G17" s="248" t="s">
        <v>6</v>
      </c>
      <c r="H17" s="237">
        <v>2.8579999999999999E-3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50" t="s">
        <v>364</v>
      </c>
      <c r="D22" s="223"/>
      <c r="F22" s="222" t="s">
        <v>429</v>
      </c>
      <c r="G22" s="250" t="s">
        <v>364</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disablePrompts="1"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458</v>
      </c>
      <c r="C2" s="112" t="s">
        <v>434</v>
      </c>
      <c r="D2" s="112" t="s">
        <v>435</v>
      </c>
      <c r="F2" s="231" t="s">
        <v>458</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442</v>
      </c>
      <c r="F5" s="222" t="s">
        <v>427</v>
      </c>
      <c r="G5" s="244" t="e">
        <f ca="1">_xll.mirGetDate(COB,H5,G11,G12)</f>
        <v>#NAME?</v>
      </c>
      <c r="H5" s="244" t="s">
        <v>442</v>
      </c>
    </row>
    <row r="6" spans="2:8">
      <c r="B6" s="222" t="s">
        <v>452</v>
      </c>
      <c r="C6" s="244" t="s">
        <v>42</v>
      </c>
      <c r="D6" s="244"/>
      <c r="F6" s="222" t="s">
        <v>452</v>
      </c>
      <c r="G6" s="244" t="s">
        <v>42</v>
      </c>
      <c r="H6" s="244"/>
    </row>
    <row r="7" spans="2:8">
      <c r="B7" s="222" t="s">
        <v>453</v>
      </c>
      <c r="C7" s="245" t="s">
        <v>447</v>
      </c>
      <c r="D7" s="245"/>
      <c r="F7" s="222" t="s">
        <v>453</v>
      </c>
      <c r="G7" s="245" t="s">
        <v>447</v>
      </c>
      <c r="H7" s="245"/>
    </row>
    <row r="8" spans="2:8">
      <c r="B8" s="222" t="s">
        <v>436</v>
      </c>
      <c r="C8" s="237" t="e">
        <f ca="1">C28</f>
        <v>#NAME?</v>
      </c>
      <c r="D8" s="240">
        <v>0</v>
      </c>
      <c r="F8" s="222" t="s">
        <v>436</v>
      </c>
      <c r="G8" s="241">
        <v>0.01</v>
      </c>
      <c r="H8" s="239">
        <v>0</v>
      </c>
    </row>
    <row r="9" spans="2:8">
      <c r="B9" s="222" t="s">
        <v>122</v>
      </c>
      <c r="C9" s="226" t="s">
        <v>78</v>
      </c>
      <c r="D9" s="226" t="s">
        <v>78</v>
      </c>
      <c r="F9" s="222" t="s">
        <v>122</v>
      </c>
      <c r="G9" s="226" t="s">
        <v>152</v>
      </c>
      <c r="H9" s="226" t="s">
        <v>78</v>
      </c>
    </row>
    <row r="10" spans="2:8">
      <c r="B10" s="222" t="s">
        <v>130</v>
      </c>
      <c r="C10" s="227" t="s">
        <v>198</v>
      </c>
      <c r="D10" s="227" t="s">
        <v>198</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197</v>
      </c>
      <c r="D12" s="226" t="s">
        <v>197</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7.3312999999999998E-3</v>
      </c>
      <c r="F17" s="222" t="s">
        <v>443</v>
      </c>
      <c r="G17" s="248" t="s">
        <v>6</v>
      </c>
      <c r="H17" s="237">
        <v>7.3312999999999998E-3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459</v>
      </c>
      <c r="C2" s="112" t="s">
        <v>434</v>
      </c>
      <c r="D2" s="112" t="s">
        <v>435</v>
      </c>
      <c r="F2" s="231" t="s">
        <v>459</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456</v>
      </c>
      <c r="F5" s="222" t="s">
        <v>427</v>
      </c>
      <c r="G5" s="244" t="e">
        <f ca="1">_xll.mirGetDate(COB,H5,G11,G12)</f>
        <v>#NAME?</v>
      </c>
      <c r="H5" s="244" t="s">
        <v>456</v>
      </c>
    </row>
    <row r="6" spans="2:8">
      <c r="B6" s="222" t="s">
        <v>452</v>
      </c>
      <c r="C6" s="244" t="s">
        <v>39</v>
      </c>
      <c r="D6" s="244"/>
      <c r="F6" s="222" t="s">
        <v>452</v>
      </c>
      <c r="G6" s="244" t="s">
        <v>39</v>
      </c>
      <c r="H6" s="244"/>
    </row>
    <row r="7" spans="2:8">
      <c r="B7" s="222" t="s">
        <v>453</v>
      </c>
      <c r="C7" s="245" t="s">
        <v>333</v>
      </c>
      <c r="D7" s="245"/>
      <c r="F7" s="222" t="s">
        <v>453</v>
      </c>
      <c r="G7" s="245" t="s">
        <v>333</v>
      </c>
      <c r="H7" s="245"/>
    </row>
    <row r="8" spans="2:8">
      <c r="B8" s="222" t="s">
        <v>436</v>
      </c>
      <c r="C8" s="237" t="e">
        <f ca="1">C28</f>
        <v>#NAME?</v>
      </c>
      <c r="D8" s="240">
        <v>0</v>
      </c>
      <c r="F8" s="222" t="s">
        <v>436</v>
      </c>
      <c r="G8" s="241">
        <v>0.01</v>
      </c>
      <c r="H8" s="239">
        <v>0</v>
      </c>
    </row>
    <row r="9" spans="2:8">
      <c r="B9" s="222" t="s">
        <v>122</v>
      </c>
      <c r="C9" s="226" t="s">
        <v>78</v>
      </c>
      <c r="D9" s="226" t="s">
        <v>78</v>
      </c>
      <c r="F9" s="222" t="s">
        <v>122</v>
      </c>
      <c r="G9" s="226" t="s">
        <v>78</v>
      </c>
      <c r="H9" s="226" t="s">
        <v>78</v>
      </c>
    </row>
    <row r="10" spans="2:8">
      <c r="B10" s="222" t="s">
        <v>130</v>
      </c>
      <c r="C10" s="227" t="s">
        <v>198</v>
      </c>
      <c r="D10" s="227" t="s">
        <v>3</v>
      </c>
      <c r="F10" s="222" t="s">
        <v>130</v>
      </c>
      <c r="G10" s="227" t="s">
        <v>198</v>
      </c>
      <c r="H10" s="227" t="s">
        <v>3</v>
      </c>
    </row>
    <row r="11" spans="2:8">
      <c r="B11" s="222" t="s">
        <v>437</v>
      </c>
      <c r="C11" s="226" t="s">
        <v>40</v>
      </c>
      <c r="D11" s="226" t="s">
        <v>40</v>
      </c>
      <c r="F11" s="222" t="s">
        <v>437</v>
      </c>
      <c r="G11" s="226" t="s">
        <v>40</v>
      </c>
      <c r="H11" s="226" t="s">
        <v>40</v>
      </c>
    </row>
    <row r="12" spans="2:8">
      <c r="B12" s="222" t="s">
        <v>174</v>
      </c>
      <c r="C12" s="226" t="s">
        <v>450</v>
      </c>
      <c r="D12" s="226" t="s">
        <v>450</v>
      </c>
      <c r="F12" s="222" t="s">
        <v>174</v>
      </c>
      <c r="G12" s="226" t="s">
        <v>450</v>
      </c>
      <c r="H12" s="226" t="s">
        <v>450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1.3429E-3</v>
      </c>
      <c r="F17" s="222" t="s">
        <v>443</v>
      </c>
      <c r="G17" s="248" t="s">
        <v>6</v>
      </c>
      <c r="H17" s="237">
        <v>1.3429E-3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2016-10-18T08:57:15Z</dcterms:modified>
</cp:coreProperties>
</file>