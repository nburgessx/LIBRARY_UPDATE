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DESKTOP\"/>
    </mc:Choice>
  </mc:AlternateContent>
  <bookViews>
    <workbookView xWindow="480" yWindow="90" windowWidth="19980" windowHeight="7665" tabRatio="703" activeTab="3"/>
  </bookViews>
  <sheets>
    <sheet name="Settings" sheetId="24" r:id="rId1"/>
    <sheet name="EUROIS" sheetId="2" r:id="rId2"/>
    <sheet name="EUR6ML" sheetId="3" r:id="rId3"/>
    <sheet name="ASW" sheetId="31" r:id="rId4"/>
    <sheet name="Breakdown" sheetId="34" r:id="rId5"/>
  </sheets>
  <functionGroups builtInGroupCount="18"/>
  <definedNames>
    <definedName name="AccruedInterest">ASW!$C$8</definedName>
    <definedName name="ApplyTension">Settings!$F$7</definedName>
    <definedName name="AssetSwapSpread">ASW!$F$6</definedName>
    <definedName name="BondDaycount">ASW!$C$20</definedName>
    <definedName name="BondFrequency">ASW!$C$21</definedName>
    <definedName name="CalculationMode">Settings!$F$13</definedName>
    <definedName name="CleanPrice">ASW!$C$6</definedName>
    <definedName name="COB">Settings!$F$5</definedName>
    <definedName name="Coupon">ASW!$C$17</definedName>
    <definedName name="Curve.BuildProperties">EUROIS!$E$20:$F$24</definedName>
    <definedName name="Curve.CollectionName">EUROIS!$F$11</definedName>
    <definedName name="Curve.MarketDataTable">EUROIS!$F$12</definedName>
    <definedName name="Curve.OISIndexName">EUROIS!$F$13</definedName>
    <definedName name="CurveCollection">ASW!$F$17</definedName>
    <definedName name="DirtyPrice">ASW!$C$7</definedName>
    <definedName name="DiscountCurve">ASW!$F$19</definedName>
    <definedName name="EffectiveDate">ASW!$F$15</definedName>
    <definedName name="EffectiveLag">ASW!$G$15</definedName>
    <definedName name="FirstCouponDate">ASW!$C$15</definedName>
    <definedName name="FirstFixedDiscountFactor">Breakdown!$M$21</definedName>
    <definedName name="FloatFirstFixing">ASW!$F$41</definedName>
    <definedName name="ForecastCurve">ASW!$F$18</definedName>
    <definedName name="FRA.Conventions">EUR6ML!$E$51:$F$64</definedName>
    <definedName name="FRA.MarketDataX3">EUR6ML!$H$52:$I$64</definedName>
    <definedName name="FRA.MarketDataX6">EUR6ML!$K$52:$L$64</definedName>
    <definedName name="Futures.Conventions">EUR6ML!$E$72:$F$85</definedName>
    <definedName name="Futures.MarketData">EUR6ML!$H$73:$L$85</definedName>
    <definedName name="Info" localSheetId="2">EUR6ML!$C:$D</definedName>
    <definedName name="Info" localSheetId="1">EUROIS!$C:$D</definedName>
    <definedName name="Interpolation">Settings!$F$6</definedName>
    <definedName name="interpolationFunction">Settings!$G$6</definedName>
    <definedName name="isCleanPrice">ASW!$C$19</definedName>
    <definedName name="isEUR3MLLoaded">EUR6ML!$F$9</definedName>
    <definedName name="isEUROISLoaded">EUROIS!$F$8</definedName>
    <definedName name="issueDate">ASW!$C$14</definedName>
    <definedName name="Libor.Conventions">EUR6ML!$H$38:$I$43</definedName>
    <definedName name="Libor.MarketData">EUR6ML!$K$39:$L$43</definedName>
    <definedName name="LiborOISBasis.Conventions">EUROIS!$E$64:$F$89</definedName>
    <definedName name="LiborOISBasis.MarketData">EUROIS!$H$65:$I$89</definedName>
    <definedName name="LiborSwap.Conventions">EUROIS!$K$64:$L$89</definedName>
    <definedName name="LiborSwap.MarketData">EUROIS!$N$65:$O$89</definedName>
    <definedName name="ManualAccruedInterest">Breakdown!$I$15</definedName>
    <definedName name="MaturityDate">ASW!$C$16</definedName>
    <definedName name="MoneyMarket.Conventions">EUR6ML!$E$38:$F$43</definedName>
    <definedName name="Notional">ASW!$F$12</definedName>
    <definedName name="OIS.Conventions">EUROIS!$E$31:$F$57</definedName>
    <definedName name="OIS.FixingTable">EUROIS!$N$32:$O$57</definedName>
    <definedName name="OIS.MarketData">EUROIS!$H$32:$L$57</definedName>
    <definedName name="ParAdjustment">ASW!$F$8</definedName>
    <definedName name="Price">ASW!$C$18</definedName>
    <definedName name="Settings.ForecastCurveSet">Settings!$K$6:$K$10</definedName>
    <definedName name="Settings.LookupTable.DiscountCurve">Settings!$J$14:$K$14</definedName>
    <definedName name="Settings.LookupTable.ForecastCurve">Settings!$J$6:$K$10</definedName>
    <definedName name="Settings.Risk.BumpMode">Settings!$F$14</definedName>
    <definedName name="Settings.Risk.BumpSize">Settings!$F$13</definedName>
    <definedName name="STDCurve.Buildproperties">EUR6ML!$E$22:$F$31</definedName>
    <definedName name="STDCurve.CollectionName">EUR6ML!$F$13</definedName>
    <definedName name="STDCurve.IndexName">EUR6ML!$F$15</definedName>
    <definedName name="STDCurve.StaticDataTable">EUR6ML!$F$14</definedName>
    <definedName name="Swap.Conventions">EUR6ML!$E$93:$F$111</definedName>
    <definedName name="Swap.MarketData">EUR6ML!$H$94:$J$111</definedName>
    <definedName name="SwapPV">ASW!$F$7</definedName>
  </definedNames>
  <calcPr calcId="162913" calcMode="manual" calcOnSave="0"/>
</workbook>
</file>

<file path=xl/calcChain.xml><?xml version="1.0" encoding="utf-8"?>
<calcChain xmlns="http://schemas.openxmlformats.org/spreadsheetml/2006/main">
  <c r="C14" i="34" l="1"/>
  <c r="J8" i="34" l="1"/>
  <c r="I8" i="34"/>
  <c r="F8" i="31"/>
  <c r="H15" i="34" l="1"/>
  <c r="C8" i="31"/>
  <c r="F14" i="31" l="1"/>
  <c r="F16" i="31"/>
  <c r="F20" i="31"/>
  <c r="F21" i="31"/>
  <c r="F25" i="31"/>
  <c r="F30" i="31"/>
  <c r="C22" i="34"/>
  <c r="F15" i="31"/>
  <c r="F15" i="34" l="1"/>
  <c r="C26" i="34" l="1"/>
  <c r="C17" i="34"/>
  <c r="C16" i="34"/>
  <c r="C40" i="34"/>
  <c r="C34" i="34"/>
  <c r="C23" i="34"/>
  <c r="C21" i="34"/>
  <c r="C20" i="34"/>
  <c r="C18" i="31"/>
  <c r="F6" i="31"/>
  <c r="E20" i="34" a="1"/>
  <c r="H20" i="34" l="1"/>
  <c r="J21" i="34"/>
  <c r="F23" i="34"/>
  <c r="H24" i="34"/>
  <c r="J25" i="34"/>
  <c r="F27" i="34"/>
  <c r="H28" i="34"/>
  <c r="J29" i="34"/>
  <c r="F31" i="34"/>
  <c r="H32" i="34"/>
  <c r="J33" i="34"/>
  <c r="F35" i="34"/>
  <c r="H36" i="34"/>
  <c r="J20" i="34"/>
  <c r="H23" i="34"/>
  <c r="F26" i="34"/>
  <c r="J28" i="34"/>
  <c r="H31" i="34"/>
  <c r="F34" i="34"/>
  <c r="J36" i="34"/>
  <c r="G22" i="34"/>
  <c r="E25" i="34"/>
  <c r="I27" i="34"/>
  <c r="G30" i="34"/>
  <c r="I20" i="34"/>
  <c r="E22" i="34"/>
  <c r="G23" i="34"/>
  <c r="I24" i="34"/>
  <c r="E26" i="34"/>
  <c r="G27" i="34"/>
  <c r="I28" i="34"/>
  <c r="E30" i="34"/>
  <c r="G31" i="34"/>
  <c r="I32" i="34"/>
  <c r="E34" i="34"/>
  <c r="G35" i="34"/>
  <c r="I36" i="34"/>
  <c r="F22" i="34"/>
  <c r="J24" i="34"/>
  <c r="H27" i="34"/>
  <c r="F30" i="34"/>
  <c r="J32" i="34"/>
  <c r="H35" i="34"/>
  <c r="E21" i="34"/>
  <c r="I23" i="34"/>
  <c r="G26" i="34"/>
  <c r="E29" i="34"/>
  <c r="F21" i="34"/>
  <c r="E15" i="34" s="1"/>
  <c r="H22" i="34"/>
  <c r="J23" i="34"/>
  <c r="F25" i="34"/>
  <c r="H26" i="34"/>
  <c r="J27" i="34"/>
  <c r="F29" i="34"/>
  <c r="H30" i="34"/>
  <c r="J31" i="34"/>
  <c r="F33" i="34"/>
  <c r="H34" i="34"/>
  <c r="J35" i="34"/>
  <c r="F20" i="34"/>
  <c r="E24" i="34"/>
  <c r="E27" i="34"/>
  <c r="J30" i="34"/>
  <c r="H33" i="34"/>
  <c r="F36" i="34"/>
  <c r="G20" i="34"/>
  <c r="F24" i="34"/>
  <c r="E28" i="34"/>
  <c r="E31" i="34"/>
  <c r="I33" i="34"/>
  <c r="G36" i="34"/>
  <c r="G24" i="34"/>
  <c r="I31" i="34"/>
  <c r="H21" i="34"/>
  <c r="G25" i="34"/>
  <c r="G28" i="34"/>
  <c r="E32" i="34"/>
  <c r="I34" i="34"/>
  <c r="I21" i="34"/>
  <c r="H25" i="34"/>
  <c r="G29" i="34"/>
  <c r="F32" i="34"/>
  <c r="J34" i="34"/>
  <c r="I22" i="34"/>
  <c r="I25" i="34"/>
  <c r="H29" i="34"/>
  <c r="G32" i="34"/>
  <c r="E35" i="34"/>
  <c r="J22" i="34"/>
  <c r="I26" i="34"/>
  <c r="I29" i="34"/>
  <c r="E33" i="34"/>
  <c r="I35" i="34"/>
  <c r="E20" i="34"/>
  <c r="E23" i="34"/>
  <c r="J26" i="34"/>
  <c r="I30" i="34"/>
  <c r="G33" i="34"/>
  <c r="E36" i="34"/>
  <c r="G21" i="34"/>
  <c r="F28" i="34"/>
  <c r="G34" i="34"/>
  <c r="C15" i="34"/>
  <c r="C39" i="34"/>
  <c r="E39" i="34" a="1"/>
  <c r="G15" i="34"/>
  <c r="E39" i="34" l="1"/>
  <c r="G40" i="34"/>
  <c r="I41" i="34"/>
  <c r="M41" i="34" s="1"/>
  <c r="E43" i="34"/>
  <c r="G44" i="34"/>
  <c r="I45" i="34"/>
  <c r="M45" i="34" s="1"/>
  <c r="E47" i="34"/>
  <c r="G48" i="34"/>
  <c r="I49" i="34"/>
  <c r="M49" i="34" s="1"/>
  <c r="E51" i="34"/>
  <c r="G52" i="34"/>
  <c r="I53" i="34"/>
  <c r="M53" i="34" s="1"/>
  <c r="E55" i="34"/>
  <c r="G56" i="34"/>
  <c r="I57" i="34"/>
  <c r="M57" i="34" s="1"/>
  <c r="E59" i="34"/>
  <c r="G60" i="34"/>
  <c r="G39" i="34"/>
  <c r="I40" i="34"/>
  <c r="M40" i="34" s="1"/>
  <c r="G43" i="34"/>
  <c r="E46" i="34"/>
  <c r="I48" i="34"/>
  <c r="M48" i="34" s="1"/>
  <c r="G51" i="34"/>
  <c r="E54" i="34"/>
  <c r="I56" i="34"/>
  <c r="M56" i="34" s="1"/>
  <c r="G59" i="34"/>
  <c r="H43" i="34"/>
  <c r="H47" i="34"/>
  <c r="H51" i="34"/>
  <c r="H55" i="34"/>
  <c r="F58" i="34"/>
  <c r="J60" i="34"/>
  <c r="F39" i="34"/>
  <c r="H40" i="34"/>
  <c r="J41" i="34"/>
  <c r="F43" i="34"/>
  <c r="H44" i="34"/>
  <c r="J45" i="34"/>
  <c r="F47" i="34"/>
  <c r="H48" i="34"/>
  <c r="J49" i="34"/>
  <c r="F51" i="34"/>
  <c r="H52" i="34"/>
  <c r="J53" i="34"/>
  <c r="F55" i="34"/>
  <c r="H56" i="34"/>
  <c r="J57" i="34"/>
  <c r="F59" i="34"/>
  <c r="H60" i="34"/>
  <c r="E42" i="34"/>
  <c r="I44" i="34"/>
  <c r="M44" i="34" s="1"/>
  <c r="G47" i="34"/>
  <c r="E50" i="34"/>
  <c r="I52" i="34"/>
  <c r="M52" i="34" s="1"/>
  <c r="G55" i="34"/>
  <c r="E58" i="34"/>
  <c r="I60" i="34"/>
  <c r="M60" i="34" s="1"/>
  <c r="H39" i="34"/>
  <c r="J40" i="34"/>
  <c r="F42" i="34"/>
  <c r="J44" i="34"/>
  <c r="F46" i="34"/>
  <c r="J48" i="34"/>
  <c r="F50" i="34"/>
  <c r="J52" i="34"/>
  <c r="F54" i="34"/>
  <c r="J56" i="34"/>
  <c r="H59" i="34"/>
  <c r="I39" i="34"/>
  <c r="E41" i="34"/>
  <c r="G42" i="34"/>
  <c r="I43" i="34"/>
  <c r="M43" i="34" s="1"/>
  <c r="E45" i="34"/>
  <c r="G46" i="34"/>
  <c r="I47" i="34"/>
  <c r="M47" i="34" s="1"/>
  <c r="E49" i="34"/>
  <c r="G50" i="34"/>
  <c r="I51" i="34"/>
  <c r="M51" i="34" s="1"/>
  <c r="E53" i="34"/>
  <c r="G54" i="34"/>
  <c r="I55" i="34"/>
  <c r="M55" i="34" s="1"/>
  <c r="E57" i="34"/>
  <c r="G58" i="34"/>
  <c r="I59" i="34"/>
  <c r="M59" i="34" s="1"/>
  <c r="J39" i="34"/>
  <c r="F41" i="34"/>
  <c r="H42" i="34"/>
  <c r="J43" i="34"/>
  <c r="F45" i="34"/>
  <c r="H46" i="34"/>
  <c r="J47" i="34"/>
  <c r="F49" i="34"/>
  <c r="H50" i="34"/>
  <c r="J51" i="34"/>
  <c r="F53" i="34"/>
  <c r="H54" i="34"/>
  <c r="J55" i="34"/>
  <c r="F57" i="34"/>
  <c r="H58" i="34"/>
  <c r="J59" i="34"/>
  <c r="F40" i="34"/>
  <c r="H45" i="34"/>
  <c r="J50" i="34"/>
  <c r="F56" i="34"/>
  <c r="G41" i="34"/>
  <c r="I46" i="34"/>
  <c r="M46" i="34" s="1"/>
  <c r="E52" i="34"/>
  <c r="G57" i="34"/>
  <c r="J46" i="34"/>
  <c r="H57" i="34"/>
  <c r="I42" i="34"/>
  <c r="M42" i="34" s="1"/>
  <c r="E48" i="34"/>
  <c r="G53" i="34"/>
  <c r="I58" i="34"/>
  <c r="M58" i="34" s="1"/>
  <c r="J42" i="34"/>
  <c r="F48" i="34"/>
  <c r="H53" i="34"/>
  <c r="J58" i="34"/>
  <c r="E44" i="34"/>
  <c r="G49" i="34"/>
  <c r="I54" i="34"/>
  <c r="M54" i="34" s="1"/>
  <c r="E60" i="34"/>
  <c r="F44" i="34"/>
  <c r="H49" i="34"/>
  <c r="J54" i="34"/>
  <c r="F60" i="34"/>
  <c r="E40" i="34"/>
  <c r="G45" i="34"/>
  <c r="I50" i="34"/>
  <c r="M50" i="34" s="1"/>
  <c r="E56" i="34"/>
  <c r="H41" i="34"/>
  <c r="F52" i="34"/>
  <c r="M32" i="34"/>
  <c r="L32" i="34"/>
  <c r="L31" i="34"/>
  <c r="M31" i="34"/>
  <c r="L33" i="34"/>
  <c r="M33" i="34"/>
  <c r="M36" i="34"/>
  <c r="L36" i="34"/>
  <c r="M34" i="34"/>
  <c r="L34" i="34"/>
  <c r="M35" i="34"/>
  <c r="L35" i="34"/>
  <c r="I15" i="34"/>
  <c r="F8" i="34" s="1"/>
  <c r="K21" i="34"/>
  <c r="K22" i="34"/>
  <c r="L22" i="34" s="1"/>
  <c r="K30" i="34"/>
  <c r="L30" i="34" s="1"/>
  <c r="K23" i="34"/>
  <c r="L23" i="34" s="1"/>
  <c r="K32" i="34"/>
  <c r="K31" i="34"/>
  <c r="K28" i="34"/>
  <c r="L28" i="34" s="1"/>
  <c r="K33" i="34"/>
  <c r="K29" i="34"/>
  <c r="L29" i="34" s="1"/>
  <c r="K35" i="34"/>
  <c r="K24" i="34"/>
  <c r="L24" i="34" s="1"/>
  <c r="K27" i="34"/>
  <c r="L27" i="34" s="1"/>
  <c r="K26" i="34"/>
  <c r="L26" i="34" s="1"/>
  <c r="K25" i="34"/>
  <c r="L25" i="34" s="1"/>
  <c r="K36" i="34"/>
  <c r="K34" i="34"/>
  <c r="M26" i="34"/>
  <c r="M29" i="34"/>
  <c r="M30" i="34"/>
  <c r="M28" i="34"/>
  <c r="M27" i="34"/>
  <c r="M22" i="34"/>
  <c r="M24" i="34"/>
  <c r="M25" i="34"/>
  <c r="M23" i="34"/>
  <c r="M21" i="34"/>
  <c r="L21" i="34" l="1"/>
  <c r="N21" i="34" s="1"/>
  <c r="N60" i="34"/>
  <c r="L60" i="34"/>
  <c r="I9" i="34"/>
  <c r="K60" i="34"/>
  <c r="K54" i="34"/>
  <c r="N54" i="34"/>
  <c r="K57" i="34"/>
  <c r="K53" i="34"/>
  <c r="K43" i="34"/>
  <c r="K59" i="34"/>
  <c r="N56" i="34"/>
  <c r="N43" i="34"/>
  <c r="K49" i="34"/>
  <c r="K44" i="34"/>
  <c r="K46" i="34"/>
  <c r="N41" i="34"/>
  <c r="N40" i="34"/>
  <c r="N55" i="34"/>
  <c r="N42" i="34"/>
  <c r="N53" i="34"/>
  <c r="N49" i="34"/>
  <c r="K51" i="34"/>
  <c r="K45" i="34"/>
  <c r="K41" i="34"/>
  <c r="K47" i="34"/>
  <c r="N59" i="34"/>
  <c r="N57" i="34"/>
  <c r="N52" i="34"/>
  <c r="K50" i="34"/>
  <c r="K56" i="34"/>
  <c r="K48" i="34"/>
  <c r="N45" i="34"/>
  <c r="K42" i="34"/>
  <c r="N46" i="34"/>
  <c r="N58" i="34"/>
  <c r="K52" i="34"/>
  <c r="N47" i="34"/>
  <c r="K40" i="34"/>
  <c r="N51" i="34"/>
  <c r="N48" i="34"/>
  <c r="N50" i="34"/>
  <c r="K55" i="34"/>
  <c r="N44" i="34"/>
  <c r="K58" i="34"/>
  <c r="L41" i="34" l="1"/>
  <c r="L50" i="34"/>
  <c r="L56" i="34"/>
  <c r="L59" i="34"/>
  <c r="L43" i="34"/>
  <c r="L54" i="34"/>
  <c r="L55" i="34"/>
  <c r="L57" i="34"/>
  <c r="L48" i="34"/>
  <c r="L45" i="34"/>
  <c r="L53" i="34"/>
  <c r="L46" i="34"/>
  <c r="L44" i="34"/>
  <c r="L40" i="34"/>
  <c r="L47" i="34"/>
  <c r="L58" i="34"/>
  <c r="L52" i="34"/>
  <c r="L42" i="34"/>
  <c r="L51" i="34"/>
  <c r="L49" i="34"/>
  <c r="I10" i="34"/>
  <c r="N23" i="34"/>
  <c r="N22" i="34"/>
  <c r="N24" i="34"/>
  <c r="N28" i="34"/>
  <c r="N30" i="34"/>
  <c r="N26" i="34"/>
  <c r="N29" i="34"/>
  <c r="N27" i="34"/>
  <c r="N25" i="34"/>
  <c r="N36" i="34"/>
  <c r="N35" i="34"/>
  <c r="N33" i="34"/>
  <c r="O60" i="34"/>
  <c r="N34" i="34"/>
  <c r="N32" i="34"/>
  <c r="N31" i="34"/>
  <c r="O43" i="34" l="1"/>
  <c r="O42" i="34"/>
  <c r="O47" i="34"/>
  <c r="O41" i="34"/>
  <c r="O53" i="34"/>
  <c r="O59" i="34"/>
  <c r="O56" i="34"/>
  <c r="O45" i="34"/>
  <c r="O54" i="34"/>
  <c r="O50" i="34"/>
  <c r="O49" i="34"/>
  <c r="O58" i="34"/>
  <c r="O46" i="34"/>
  <c r="O40" i="34"/>
  <c r="O57" i="34"/>
  <c r="O52" i="34"/>
  <c r="O51" i="34"/>
  <c r="O55" i="34"/>
  <c r="O48" i="34"/>
  <c r="O44" i="34"/>
  <c r="F7" i="34"/>
  <c r="F9" i="34" s="1"/>
  <c r="F77" i="3"/>
  <c r="G74" i="3"/>
  <c r="G75" i="3" s="1"/>
  <c r="G76" i="3" s="1"/>
  <c r="G77" i="3" s="1"/>
  <c r="G78" i="3" s="1"/>
  <c r="G79" i="3" s="1"/>
  <c r="G80" i="3" s="1"/>
  <c r="G81" i="3" s="1"/>
  <c r="F10" i="34" l="1"/>
  <c r="F22" i="3"/>
  <c r="F20" i="2"/>
  <c r="I7" i="34" l="1"/>
  <c r="I11" i="34" s="1"/>
  <c r="G6" i="24"/>
  <c r="F24" i="3" s="1"/>
  <c r="C9" i="34" l="1"/>
  <c r="F98" i="3"/>
  <c r="F23" i="2"/>
  <c r="F22" i="2"/>
  <c r="F25" i="3"/>
  <c r="F7" i="2"/>
  <c r="F8" i="2" l="1"/>
  <c r="C8" i="34"/>
  <c r="C10" i="34" s="1"/>
  <c r="F43" i="31"/>
  <c r="F7" i="31"/>
  <c r="F8" i="3"/>
  <c r="F9" i="3" l="1"/>
</calcChain>
</file>

<file path=xl/comments1.xml><?xml version="1.0" encoding="utf-8"?>
<comments xmlns="http://schemas.openxmlformats.org/spreadsheetml/2006/main">
  <authors>
    <author>Nicholas Burgess</author>
  </authors>
  <commentList>
    <comment ref="F42" authorId="0" shape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" authorId="0" shape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F45" authorId="0" shape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F105" authorId="0" shape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F106" authorId="0" shape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<sst xmlns="http://schemas.openxmlformats.org/spreadsheetml/2006/main" count="595" uniqueCount="309">
  <si>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</si>
  <si>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</si>
  <si>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</si>
  <si>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</si>
  <si>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</si>
  <si>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</si>
  <si>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</si>
  <si>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</si>
  <si>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</si>
  <si>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</si>
  <si>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</si>
  <si>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</si>
  <si>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</si>
  <si>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</si>
  <si>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</si>
  <si>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</si>
  <si>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</si>
  <si>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</si>
  <si>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</si>
  <si>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</si>
  <si>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</si>
  <si>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</si>
  <si>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</si>
  <si>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</si>
  <si>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</si>
  <si>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</si>
  <si>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</si>
  <si>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</si>
  <si>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</si>
  <si>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</si>
  <si>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</si>
  <si>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</si>
  <si>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</si>
  <si>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</si>
  <si>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</si>
  <si>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</si>
  <si>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</si>
  <si>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</si>
  <si>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</si>
  <si>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</si>
  <si>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</si>
  <si>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</si>
  <si>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</si>
  <si>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</si>
  <si>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</si>
  <si>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</si>
  <si>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</si>
  <si>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</si>
  <si>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</si>
  <si>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</si>
  <si>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</si>
  <si>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</si>
  <si>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</si>
  <si>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</si>
  <si>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</si>
  <si>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</si>
  <si>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</si>
  <si>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</si>
  <si>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</si>
  <si>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</si>
  <si>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</si>
  <si>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</si>
  <si>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</si>
  <si>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</si>
  <si>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</si>
  <si>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</si>
  <si>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</si>
  <si>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</si>
  <si>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</si>
  <si>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</si>
  <si>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</si>
  <si>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</si>
  <si>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</si>
  <si>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</si>
  <si>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</si>
  <si>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</si>
  <si>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</si>
  <si>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</si>
  <si>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</si>
  <si>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StaticDataTable</t>
  </si>
  <si>
    <t>CurveCollection</t>
  </si>
  <si>
    <t>IndexName(s)</t>
  </si>
  <si>
    <t>STD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</si>
  <si>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</si>
  <si>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</si>
  <si>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</si>
  <si>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</si>
  <si>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</si>
  <si>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</si>
  <si>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</si>
  <si>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</si>
  <si>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</si>
  <si>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</si>
  <si>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</si>
  <si>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6M</t>
  </si>
  <si>
    <t>FRA Instruments</t>
  </si>
  <si>
    <t>FRA Conventions</t>
  </si>
  <si>
    <t>ApplyTension</t>
  </si>
  <si>
    <t>TensionGap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</si>
  <si>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</si>
  <si>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</si>
  <si>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</si>
  <si>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</si>
  <si>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</si>
  <si>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</si>
  <si>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</si>
  <si>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</si>
  <si>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</si>
  <si>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</si>
  <si>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</si>
  <si>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</si>
  <si>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</si>
  <si>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</si>
  <si>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</si>
  <si>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</si>
  <si>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</si>
  <si>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</si>
  <si>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</si>
  <si>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Act/360</t>
  </si>
  <si>
    <t>EUR6ML</t>
  </si>
  <si>
    <t>MeanReversion</t>
  </si>
  <si>
    <t>Curve Loaded</t>
  </si>
  <si>
    <t>EUR3ML</t>
  </si>
  <si>
    <t>Notional</t>
  </si>
  <si>
    <t>PAYER</t>
  </si>
  <si>
    <t>0D</t>
  </si>
  <si>
    <t>2D</t>
  </si>
  <si>
    <t>COB</t>
  </si>
  <si>
    <t>Refresh</t>
  </si>
  <si>
    <t>EomDay</t>
  </si>
  <si>
    <t>EUROIS</t>
  </si>
  <si>
    <t>SmoothShortEnd</t>
  </si>
  <si>
    <t>Spline</t>
  </si>
  <si>
    <t>EUR1ML</t>
  </si>
  <si>
    <t>50Y</t>
  </si>
  <si>
    <t>Libor Fixing Data</t>
  </si>
  <si>
    <t>Money Market O/N and T/N Conventions</t>
  </si>
  <si>
    <t>Libor Fixing Conventions</t>
  </si>
  <si>
    <t>EUR12ML</t>
  </si>
  <si>
    <t>PayerReceiver</t>
  </si>
  <si>
    <t>EffectiveDate</t>
  </si>
  <si>
    <t>MaturityDate</t>
  </si>
  <si>
    <t>FixedRate</t>
  </si>
  <si>
    <t>FixedFrequency</t>
  </si>
  <si>
    <t>FixedBusinessDayAdjustment</t>
  </si>
  <si>
    <t>FixedCalendar</t>
  </si>
  <si>
    <t>FixedRollDay</t>
  </si>
  <si>
    <t>FixedPaymentLag</t>
  </si>
  <si>
    <t>FixedStubType</t>
  </si>
  <si>
    <t>FloatFrequency</t>
  </si>
  <si>
    <t>FloatBusinessDayAdjustment</t>
  </si>
  <si>
    <t>FloatCalendar</t>
  </si>
  <si>
    <t>FloatRollDay</t>
  </si>
  <si>
    <t>FloatFixingLag</t>
  </si>
  <si>
    <t>FloatFirstFixing</t>
  </si>
  <si>
    <t>FloatLastFixing</t>
  </si>
  <si>
    <t>FloatPaymentLag</t>
  </si>
  <si>
    <t>FloatSpread</t>
  </si>
  <si>
    <t>FloatStubType</t>
  </si>
  <si>
    <t>ForecastCurve</t>
  </si>
  <si>
    <t>DiscountCurve</t>
  </si>
  <si>
    <t>meCurveCalibrateOIS</t>
  </si>
  <si>
    <t>meCurveCalibrateSwap</t>
  </si>
  <si>
    <t>FixedFirstStubDate</t>
  </si>
  <si>
    <t>FixedLastStubDate</t>
  </si>
  <si>
    <t>FloatFirstStubDate</t>
  </si>
  <si>
    <t>FloatLastStubDate</t>
  </si>
  <si>
    <r>
      <rPr>
        <b/>
        <sz val="11"/>
        <rFont val="Calibri"/>
        <family val="2"/>
        <scheme val="minor"/>
      </rPr>
      <t xml:space="preserve">CurveCollection:
</t>
    </r>
    <r>
      <rPr>
        <sz val="11"/>
        <color rgb="FF0000FF"/>
        <rFont val="Calibri"/>
        <family val="2"/>
        <scheme val="minor"/>
      </rPr>
      <t>Name of the Curve Group, usually grouped by Currency</t>
    </r>
  </si>
  <si>
    <r>
      <rPr>
        <b/>
        <sz val="11"/>
        <rFont val="Calibri"/>
        <family val="2"/>
        <scheme val="minor"/>
      </rPr>
      <t xml:space="preserve">AsOfDate:
</t>
    </r>
    <r>
      <rPr>
        <sz val="11"/>
        <color rgb="FF0000FF"/>
        <rFont val="Calibri"/>
        <family val="2"/>
        <scheme val="minor"/>
      </rPr>
      <t>The curve build Date</t>
    </r>
  </si>
  <si>
    <r>
      <rPr>
        <b/>
        <sz val="11"/>
        <rFont val="Calibri"/>
        <family val="2"/>
        <scheme val="minor"/>
      </rPr>
      <t xml:space="preserve">Currency:
</t>
    </r>
    <r>
      <rPr>
        <sz val="11"/>
        <color rgb="FF0000FF"/>
        <rFont val="Calibri"/>
        <family val="2"/>
        <scheme val="minor"/>
      </rPr>
      <t>The curve currency</t>
    </r>
  </si>
  <si>
    <r>
      <rPr>
        <b/>
        <sz val="11"/>
        <rFont val="Calibri"/>
        <family val="2"/>
        <scheme val="minor"/>
      </rPr>
      <t xml:space="preserve">Interpolation:
</t>
    </r>
    <r>
      <rPr>
        <sz val="11"/>
        <color rgb="FF0000FF"/>
        <rFont val="Calibri"/>
        <family val="2"/>
        <scheme val="minor"/>
      </rPr>
      <t>The interpolation method used for getting the OIS discount factors</t>
    </r>
  </si>
  <si>
    <r>
      <t>Daycount:</t>
    </r>
    <r>
      <rPr>
        <sz val="11"/>
        <color rgb="FF0000FF"/>
        <rFont val="Calibri"/>
        <family val="2"/>
        <scheme val="minor"/>
      </rPr>
      <t xml:space="preserve">
The fixed leg daycount</t>
    </r>
  </si>
  <si>
    <r>
      <t>Calendar:</t>
    </r>
    <r>
      <rPr>
        <sz val="11"/>
        <color rgb="FF0000FF"/>
        <rFont val="Calibri"/>
        <family val="2"/>
        <scheme val="minor"/>
      </rPr>
      <t xml:space="preserve">
The fixed leg calendar</t>
    </r>
  </si>
  <si>
    <r>
      <t>Frequency:</t>
    </r>
    <r>
      <rPr>
        <sz val="11"/>
        <color rgb="FF0000FF"/>
        <rFont val="Calibri"/>
        <family val="2"/>
        <scheme val="minor"/>
      </rPr>
      <t xml:space="preserve">
The fixed leg frequency</t>
    </r>
  </si>
  <si>
    <r>
      <t>ResetLag:</t>
    </r>
    <r>
      <rPr>
        <sz val="11"/>
        <color rgb="FF0000FF"/>
        <rFont val="Calibri"/>
        <family val="2"/>
        <scheme val="minor"/>
      </rPr>
      <t xml:space="preserve">
The float fixing lag</t>
    </r>
  </si>
  <si>
    <r>
      <t xml:space="preserve">IsEomRoll:
</t>
    </r>
    <r>
      <rPr>
        <sz val="11"/>
        <color rgb="FF0000FF"/>
        <rFont val="Calibri"/>
        <family val="2"/>
        <scheme val="minor"/>
      </rPr>
      <t>Use the End of Month Roll Convention for swaps traded on End of Month</t>
    </r>
  </si>
  <si>
    <r>
      <t xml:space="preserve">EomDay:
</t>
    </r>
    <r>
      <rPr>
        <sz val="11"/>
        <color rgb="FF0000FF"/>
        <rFont val="Calibri"/>
        <family val="2"/>
        <scheme val="minor"/>
      </rPr>
      <t>Day to be considered month end</t>
    </r>
  </si>
  <si>
    <r>
      <t>GenerateMethod:</t>
    </r>
    <r>
      <rPr>
        <sz val="11"/>
        <color rgb="FF0000FF"/>
        <rFont val="Calibri"/>
        <family val="2"/>
        <scheme val="minor"/>
      </rPr>
      <t xml:space="preserve">
Compounding method, can be "DailyCompounding" or remove this key and value for no compounding</t>
    </r>
  </si>
  <si>
    <r>
      <t xml:space="preserve">ShortTermConvention:
</t>
    </r>
    <r>
      <rPr>
        <sz val="11"/>
        <color rgb="FF0000FF"/>
        <rFont val="Calibri"/>
        <family val="2"/>
        <scheme val="minor"/>
      </rPr>
      <t>The OIS compound method to be used. Can be "ArithmeticAverage" and if the key and value are removed will default to GeometricAverage</t>
    </r>
  </si>
  <si>
    <r>
      <t xml:space="preserve">LongTerm:
</t>
    </r>
    <r>
      <rPr>
        <sz val="11"/>
        <color rgb="FF0000FF"/>
        <rFont val="Calibri"/>
        <family val="2"/>
        <scheme val="minor"/>
      </rPr>
      <t>The starting tenor (inclusive) for Libor-OIS Spread Instruments</t>
    </r>
  </si>
  <si>
    <r>
      <t>LongTermConvention:</t>
    </r>
    <r>
      <rPr>
        <sz val="11"/>
        <color rgb="FF0000FF"/>
        <rFont val="Calibri"/>
        <family val="2"/>
        <scheme val="minor"/>
      </rPr>
      <t xml:space="preserve">
A flag to indicate if Libor OIS Spread instruments should be used on the Long End of the OIS Curve; Can be "LOBASIS" to use Libor OIS Spread instruments and if the key and value are removed only OIS Swap Outrights will be used</t>
    </r>
  </si>
  <si>
    <r>
      <t xml:space="preserve">LongTerm.GenerateMethod:
</t>
    </r>
    <r>
      <rPr>
        <sz val="11"/>
        <color rgb="FF0000FF"/>
        <rFont val="Calibri"/>
        <family val="2"/>
        <scheme val="minor"/>
      </rPr>
      <t>The compounding method for Libor OIS Spread instruments. Can be "DailyAveraging" or remove this key and value for no compounding.</t>
    </r>
  </si>
  <si>
    <r>
      <t>Epsilon:</t>
    </r>
    <r>
      <rPr>
        <sz val="11"/>
        <color rgb="FF0000FF"/>
        <rFont val="Calibri"/>
        <family val="2"/>
        <scheme val="minor"/>
      </rPr>
      <t xml:space="preserve">
The solver precision to be used when calibrating the curve</t>
    </r>
  </si>
  <si>
    <r>
      <t>MaxLoop:</t>
    </r>
    <r>
      <rPr>
        <sz val="11"/>
        <color rgb="FF0000FF"/>
        <rFont val="Calibri"/>
        <family val="2"/>
        <scheme val="minor"/>
      </rPr>
      <t xml:space="preserve">
The maximum number of iterations to allow when calibrating the curve</t>
    </r>
  </si>
  <si>
    <r>
      <t>SmoothShortEnd:</t>
    </r>
    <r>
      <rPr>
        <sz val="11"/>
        <color rgb="FF0000FF"/>
        <rFont val="Calibri"/>
        <family val="2"/>
        <scheme val="minor"/>
      </rPr>
      <t xml:space="preserve">
This flag controls if instruments before the Central Bank Swaps such as O/N and T/N rates should be included in the calibration routine; True = Include instruments such as O/N and T/N before Central Bank Swaps and false will exclude such instruments.</t>
    </r>
  </si>
  <si>
    <t>The OIS Swaps must be input in order and the OIS Instrument</t>
  </si>
  <si>
    <t>Tenors must match those listed in the LIBOR-OIS Spread</t>
  </si>
  <si>
    <t>table below</t>
  </si>
  <si>
    <t>Important Note:</t>
  </si>
  <si>
    <t xml:space="preserve">The LIBOR-OIS Spreads must be input in order and the </t>
  </si>
  <si>
    <t>Tenors must match those listed in the OIS Swap table above</t>
  </si>
  <si>
    <r>
      <rPr>
        <b/>
        <sz val="11"/>
        <rFont val="Calibri"/>
        <family val="2"/>
        <scheme val="minor"/>
      </rPr>
      <t xml:space="preserve">isFraUse:
</t>
    </r>
    <r>
      <rPr>
        <sz val="11"/>
        <color rgb="FF0000FF"/>
        <rFont val="Calibri"/>
        <family val="2"/>
        <scheme val="minor"/>
      </rPr>
      <t>Should FRA instruments be included in the calibration routine; TRUE = Include FRAs, FALSE = Exlcude FRAs</t>
    </r>
  </si>
  <si>
    <r>
      <rPr>
        <b/>
        <sz val="11"/>
        <rFont val="Calibri"/>
        <family val="2"/>
        <scheme val="minor"/>
      </rPr>
      <t xml:space="preserve">isFutureUse:
</t>
    </r>
    <r>
      <rPr>
        <sz val="11"/>
        <color rgb="FF0000FF"/>
        <rFont val="Calibri"/>
        <family val="2"/>
        <scheme val="minor"/>
      </rPr>
      <t>Should Futures instruments be included in the calibration routine; TRUE = Include Futures, FALSE = Exclude Futures</t>
    </r>
  </si>
  <si>
    <r>
      <t>Frequency:</t>
    </r>
    <r>
      <rPr>
        <sz val="11"/>
        <color rgb="FF0000FF"/>
        <rFont val="Calibri"/>
        <family val="2"/>
        <scheme val="minor"/>
      </rPr>
      <t xml:space="preserve">
The curve frequency, this controls which Libor Fixing should be associated with this curve.</t>
    </r>
  </si>
  <si>
    <r>
      <rPr>
        <b/>
        <sz val="11"/>
        <rFont val="Calibri"/>
        <family val="2"/>
        <scheme val="minor"/>
      </rPr>
      <t xml:space="preserve">dfCurveName:
</t>
    </r>
    <r>
      <rPr>
        <sz val="11"/>
        <color rgb="FF0000FF"/>
        <rFont val="Calibri"/>
        <family val="2"/>
        <scheme val="minor"/>
      </rPr>
      <t>Here we specify which discount factor curve should be used. Can be "OIS" or if left-blank Libor discounting will be assumed. (This field must not be used on the OIS Curve)</t>
    </r>
  </si>
  <si>
    <r>
      <t>DaycountFloat:</t>
    </r>
    <r>
      <rPr>
        <sz val="11"/>
        <color rgb="FF0000FF"/>
        <rFont val="Calibri"/>
        <family val="2"/>
        <scheme val="minor"/>
      </rPr>
      <t xml:space="preserve">
The float leg daycount</t>
    </r>
  </si>
  <si>
    <r>
      <t>FrequencyFloat:</t>
    </r>
    <r>
      <rPr>
        <sz val="11"/>
        <color rgb="FF0000FF"/>
        <rFont val="Calibri"/>
        <family val="2"/>
        <scheme val="minor"/>
      </rPr>
      <t xml:space="preserve">
The float leg frequency</t>
    </r>
  </si>
  <si>
    <r>
      <t xml:space="preserve">SlidingRule:
</t>
    </r>
    <r>
      <rPr>
        <sz val="11"/>
        <color rgb="FF0000FF"/>
        <rFont val="Calibri"/>
        <family val="2"/>
        <scheme val="minor"/>
      </rPr>
      <t>The fixed leg BusinessDayAdjustment</t>
    </r>
  </si>
  <si>
    <r>
      <t xml:space="preserve">IsNewtonRaphson:
</t>
    </r>
    <r>
      <rPr>
        <sz val="11"/>
        <color rgb="FF0000FF"/>
        <rFont val="Calibri"/>
        <family val="2"/>
        <scheme val="minor"/>
      </rPr>
      <t>Use Newton Raphson solver for calibration. Currently the only valid option is "TRUE".</t>
    </r>
  </si>
  <si>
    <r>
      <t xml:space="preserve">MeanReversion:
</t>
    </r>
    <r>
      <rPr>
        <sz val="11"/>
        <color rgb="FF0000FF"/>
        <rFont val="Calibri"/>
        <family val="2"/>
        <scheme val="minor"/>
      </rPr>
      <t>The mean reversion parameter for the convexity adjustment model. Use 0% for Ho-Lee and any other value for Hull-White 1F convexity adjustments</t>
    </r>
  </si>
  <si>
    <r>
      <t xml:space="preserve">ApplyTension:
</t>
    </r>
    <r>
      <rPr>
        <sz val="11"/>
        <color rgb="FF0000FF"/>
        <rFont val="Calibri"/>
        <family val="2"/>
        <scheme val="minor"/>
      </rPr>
      <t>Insert sythetic points between sucessessive futures to simulate tension</t>
    </r>
  </si>
  <si>
    <r>
      <t xml:space="preserve">TensionGap:
</t>
    </r>
    <r>
      <rPr>
        <sz val="11"/>
        <color rgb="FF0000FF"/>
        <rFont val="Calibri"/>
        <family val="2"/>
        <scheme val="minor"/>
      </rPr>
      <t>The frequency in days for synthetic tension points</t>
    </r>
  </si>
  <si>
    <r>
      <t>FirstRate:</t>
    </r>
    <r>
      <rPr>
        <sz val="11"/>
        <color rgb="FF0000FF"/>
        <rFont val="Calibri"/>
        <family val="2"/>
        <scheme val="minor"/>
      </rPr>
      <t xml:space="preserve">
This field controls the first rate to be used for curve construction; "ShortMarket" implies include short end cash instruments. Removing this key and value will start curve construction from the Swaps instruments</t>
    </r>
  </si>
  <si>
    <r>
      <t xml:space="preserve">IsSimulataneousEq:
</t>
    </r>
    <r>
      <rPr>
        <sz val="11"/>
        <color rgb="FF0000FF"/>
        <rFont val="Calibri"/>
        <family val="2"/>
        <scheme val="minor"/>
      </rPr>
      <t>Solve the Newton Raphson problem as a Simulataneous Equation. Currently the only valid option is "TRUE".</t>
    </r>
  </si>
  <si>
    <r>
      <rPr>
        <b/>
        <sz val="11"/>
        <rFont val="Calibri"/>
        <family val="2"/>
        <scheme val="minor"/>
      </rPr>
      <t xml:space="preserve">StaticDataTable: </t>
    </r>
    <r>
      <rPr>
        <b/>
        <sz val="11"/>
        <color rgb="FFFF0000"/>
        <rFont val="Calibri"/>
        <family val="2"/>
        <scheme val="minor"/>
      </rPr>
      <t>( Case Sensitive! )</t>
    </r>
    <r>
      <rPr>
        <b/>
        <sz val="11"/>
        <rFont val="Calibri"/>
        <family val="2"/>
        <scheme val="minor"/>
      </rPr>
      <t xml:space="preserve">
</t>
    </r>
    <r>
      <rPr>
        <sz val="11"/>
        <color rgb="FF0000FF"/>
        <rFont val="Calibri"/>
        <family val="2"/>
        <scheme val="minor"/>
      </rPr>
      <t>A hard-coded reference to a property file table used to lookup default curve parameters if not specified</t>
    </r>
  </si>
  <si>
    <r>
      <rPr>
        <b/>
        <sz val="11"/>
        <rFont val="Calibri"/>
        <family val="2"/>
        <scheme val="minor"/>
      </rPr>
      <t xml:space="preserve">IndexName:
</t>
    </r>
    <r>
      <rPr>
        <sz val="11"/>
        <color rgb="FF0000FF"/>
        <rFont val="Calibri"/>
        <family val="2"/>
        <scheme val="minor"/>
      </rPr>
      <t>A user defined name(s) for the output curve index, mutliple aliases allowed. e.g. EUROIS, EUR3ML, EUR6ML</t>
    </r>
  </si>
  <si>
    <r>
      <rPr>
        <b/>
        <sz val="11"/>
        <rFont val="Calibri"/>
        <family val="2"/>
        <scheme val="minor"/>
      </rPr>
      <t xml:space="preserve">YieldGen.Interpolation:
</t>
    </r>
    <r>
      <rPr>
        <sz val="11"/>
        <color rgb="FF0000FF"/>
        <rFont val="Calibri"/>
        <family val="2"/>
        <scheme val="minor"/>
      </rPr>
      <t>The interpolation method used for generating the target curve forecast rates</t>
    </r>
  </si>
  <si>
    <t>OISFixingTable,"OISBasisConventions","OISBasisMarketData","SwapConventions","SwapMarketData")</t>
  </si>
  <si>
    <r>
      <t>meCurveCalibrateOIS</t>
    </r>
    <r>
      <rPr>
        <i/>
        <sz val="18"/>
        <rFont val="Calibri"/>
        <family val="2"/>
        <scheme val="minor"/>
      </rPr>
      <t>("CurveCollection","StaticDataTable","CurveIndex","CurveBuildProperties","OISConventions","OISMarketData",</t>
    </r>
  </si>
  <si>
    <t>"FuturesConventions","FuturesRates","ConvexityAdjustmentConventions","ConvexityAdjustmentMarketData")</t>
  </si>
  <si>
    <t>LiborConventions,"LiborFixingTable","SwapConventions","SwapMarketData", "FRAConventions","FRAMarketData3M","FRAMarketData6M",</t>
  </si>
  <si>
    <r>
      <t xml:space="preserve">* These fixings are used in the tenor basis curves see </t>
    </r>
    <r>
      <rPr>
        <i/>
        <sz val="11"/>
        <color rgb="FFC00000"/>
        <rFont val="Calibri"/>
        <family val="2"/>
        <scheme val="minor"/>
      </rPr>
      <t>'SpotRateTerm'</t>
    </r>
  </si>
  <si>
    <t>EURDF_NOCSA</t>
  </si>
  <si>
    <t>Swap PV</t>
  </si>
  <si>
    <t>3M6MBASIS</t>
  </si>
  <si>
    <t>1M3MBASIS</t>
  </si>
  <si>
    <t>6M12MBASIS</t>
  </si>
  <si>
    <t>ForecastIndex</t>
  </si>
  <si>
    <t>DiscountIndex</t>
  </si>
  <si>
    <t>StaticData</t>
  </si>
  <si>
    <t>Curve Settings</t>
  </si>
  <si>
    <r>
      <t>meCurveCalibrateSwap</t>
    </r>
    <r>
      <rPr>
        <sz val="18"/>
        <rFont val="Calibri"/>
        <family val="2"/>
        <scheme val="minor"/>
      </rPr>
      <t>("CurveCollection","StaticDataTable","CurveIndex","CurveBuildProperties","MoneyMarketConventions",</t>
    </r>
  </si>
  <si>
    <t>STD:EUR6ML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</si>
  <si>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</si>
  <si>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</si>
  <si>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</si>
  <si>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</si>
  <si>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</si>
  <si>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</si>
  <si>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</si>
  <si>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</si>
  <si>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</si>
  <si>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</si>
  <si>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</si>
  <si>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IssueDate</t>
  </si>
  <si>
    <t>isCleanPrice</t>
  </si>
  <si>
    <t>ACT/ACT</t>
  </si>
  <si>
    <t>Asset Swap</t>
  </si>
  <si>
    <t>Bond Definition</t>
  </si>
  <si>
    <t>Ticker</t>
  </si>
  <si>
    <t>SecurityName</t>
  </si>
  <si>
    <t>Coupon</t>
  </si>
  <si>
    <t>Price</t>
  </si>
  <si>
    <t>DBR 0 1/2 02/15/26</t>
  </si>
  <si>
    <t>DE0001102390 Govt</t>
  </si>
  <si>
    <t>AssetSwapSpread</t>
  </si>
  <si>
    <t>FixedDayCount</t>
  </si>
  <si>
    <t>FloatDayCount</t>
  </si>
  <si>
    <t>CleanPrice</t>
  </si>
  <si>
    <t>DirtyPrice</t>
  </si>
  <si>
    <t>Fixed Leg Specification</t>
  </si>
  <si>
    <t>AccrualFrequency</t>
  </si>
  <si>
    <t>AccrualBusinessDayAdjustment</t>
  </si>
  <si>
    <t>AccrualCalendar</t>
  </si>
  <si>
    <t>PaymentFrequency</t>
  </si>
  <si>
    <t>PaymentBusinessDayAdjustment</t>
  </si>
  <si>
    <t>PaymentCalendar</t>
  </si>
  <si>
    <t>PaymentLag</t>
  </si>
  <si>
    <t>FixingBusinessDayAdjustment</t>
  </si>
  <si>
    <t>FixingCalendar</t>
  </si>
  <si>
    <t>FixingLag</t>
  </si>
  <si>
    <t>FixingAdvanceOrArrear</t>
  </si>
  <si>
    <t>ADVANCE</t>
  </si>
  <si>
    <t>FirstStubDate</t>
  </si>
  <si>
    <t>LastStubDate</t>
  </si>
  <si>
    <t>RollDay</t>
  </si>
  <si>
    <t>Float Leg Specification</t>
  </si>
  <si>
    <t>DiscFact</t>
  </si>
  <si>
    <t>PV</t>
  </si>
  <si>
    <t>Accrued Interest</t>
  </si>
  <si>
    <t>ParAdjustment</t>
  </si>
  <si>
    <t>AccrualStart</t>
  </si>
  <si>
    <t>YearFraction</t>
  </si>
  <si>
    <t>LiborRate</t>
  </si>
  <si>
    <t>Fixed PV</t>
  </si>
  <si>
    <t>Float PV</t>
  </si>
  <si>
    <t>Asset Swap Spread</t>
  </si>
  <si>
    <t>Float Annuity</t>
  </si>
  <si>
    <t>YearFrac</t>
  </si>
  <si>
    <t>OIS:EUROIS</t>
  </si>
  <si>
    <t>MLIB</t>
  </si>
  <si>
    <t>Manual Calculation</t>
  </si>
  <si>
    <t>Bloomberg</t>
  </si>
  <si>
    <t>AccruedInterest</t>
  </si>
  <si>
    <t>FirstCouponDate</t>
  </si>
  <si>
    <t>ShortStart</t>
  </si>
  <si>
    <t>Fixed Cashflow Schedule</t>
  </si>
  <si>
    <t>Float Cashflow Schedule</t>
  </si>
  <si>
    <t>LongStart</t>
  </si>
  <si>
    <t>SwapPV</t>
  </si>
  <si>
    <t>Fixed PV less Accrued</t>
  </si>
  <si>
    <t>ASW Spread</t>
  </si>
  <si>
    <t>Swap Leg Breakdown</t>
  </si>
  <si>
    <t>Asset Swap Calculation</t>
  </si>
  <si>
    <t>StubType</t>
  </si>
  <si>
    <t>Par Adjustment</t>
  </si>
  <si>
    <t>Par Accrued Adj</t>
  </si>
  <si>
    <t>Difference (Bps)</t>
  </si>
  <si>
    <t>Accrued (175 Days)</t>
  </si>
  <si>
    <t>Calculation Mode</t>
  </si>
  <si>
    <t>CalcMode</t>
  </si>
  <si>
    <t>MANUAL</t>
  </si>
  <si>
    <t>Refresh Curves</t>
  </si>
  <si>
    <t>Refresh Pricing</t>
  </si>
  <si>
    <r>
      <t>meProductAssetSwapSpread</t>
    </r>
    <r>
      <rPr>
        <sz val="14"/>
        <rFont val="Calibri"/>
        <family val="2"/>
        <scheme val="minor"/>
      </rPr>
      <t>( BondPrice, AssetSwapLVB, ValidateKeys=TRUE )</t>
    </r>
  </si>
  <si>
    <t>AccrualDayCount</t>
  </si>
  <si>
    <t>AccrualDaycount</t>
  </si>
  <si>
    <t>ResetLag</t>
  </si>
  <si>
    <t>NYB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</si>
</sst>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ddd\,\ d\-mmm\-yy"/>
    <numFmt numFmtId="169" formatCode="ddd\,\ d\-mmm\-yy\ h:mm"/>
    <numFmt numFmtId="170" formatCode="0.0000%"/>
    <numFmt numFmtId="171" formatCode="#,##0.00000"/>
    <numFmt numFmtId="172" formatCode="#,##0.0"/>
    <numFmt numFmtId="173" formatCode="#,##0.000"/>
    <numFmt numFmtId="174" formatCode="ddd\,\ dd\-mmm\-yy"/>
    <numFmt numFmtId="175" formatCode="#,##0.000000"/>
    <numFmt numFmtId="176" formatCode="#,##0.0000000"/>
    <numFmt numFmtId="177" formatCode="#,##0.00000000000"/>
  </numFmts>
  <fonts count="3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39"/>
      <name val="Tahoma"/>
      <family val="2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8"/>
      <color rgb="FF0000FF"/>
      <name val="Calibri"/>
      <family val="2"/>
      <scheme val="minor"/>
    </font>
    <font>
      <i/>
      <sz val="18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8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6600"/>
      <name val="Calibri"/>
      <family val="2"/>
      <scheme val="minor"/>
    </font>
    <font>
      <sz val="14"/>
      <name val="Calibri"/>
      <family val="2"/>
      <scheme val="minor"/>
    </font>
    <font>
      <sz val="14"/>
      <color rgb="FF0000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0000"/>
        <bgColor indexed="64"/>
      </patternFill>
    </fill>
  </fills>
  <borders count="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334">
    <xf numFmtId="0" fontId="0" fillId="0" borderId="0" xfId="0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7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6" fillId="2" borderId="12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5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23" xfId="0" applyFill="1" applyBorder="1"/>
    <xf numFmtId="0" fontId="9" fillId="2" borderId="0" xfId="0" applyFont="1" applyFill="1" applyBorder="1"/>
    <xf numFmtId="169" fontId="0" fillId="2" borderId="0" xfId="0" applyNumberFormat="1" applyFill="1" applyBorder="1"/>
    <xf numFmtId="0" fontId="22" fillId="2" borderId="0" xfId="0" applyFont="1" applyFill="1" applyBorder="1"/>
    <xf numFmtId="15" fontId="0" fillId="0" borderId="0" xfId="0" applyNumberFormat="1"/>
    <xf numFmtId="164" fontId="0" fillId="0" borderId="0" xfId="0" quotePrefix="1" applyNumberFormat="1" applyAlignment="1">
      <alignment horizontal="center" vertical="center"/>
    </xf>
    <xf numFmtId="0" fontId="23" fillId="2" borderId="0" xfId="0" applyFont="1" applyFill="1" applyBorder="1"/>
    <xf numFmtId="170" fontId="6" fillId="2" borderId="0" xfId="0" applyNumberFormat="1" applyFont="1" applyFill="1" applyBorder="1" applyAlignment="1">
      <alignment horizontal="center" vertical="center"/>
    </xf>
    <xf numFmtId="170" fontId="6" fillId="2" borderId="0" xfId="0" applyNumberFormat="1" applyFont="1" applyFill="1" applyBorder="1"/>
    <xf numFmtId="0" fontId="0" fillId="3" borderId="1" xfId="0" applyFill="1" applyBorder="1"/>
    <xf numFmtId="0" fontId="0" fillId="3" borderId="4" xfId="0" applyFill="1" applyBorder="1"/>
    <xf numFmtId="0" fontId="0" fillId="3" borderId="11" xfId="0" applyFill="1" applyBorder="1"/>
    <xf numFmtId="0" fontId="6" fillId="0" borderId="4" xfId="0" applyFont="1" applyFill="1" applyBorder="1" applyAlignment="1">
      <alignment horizontal="center"/>
    </xf>
    <xf numFmtId="0" fontId="0" fillId="0" borderId="0" xfId="0" applyBorder="1"/>
    <xf numFmtId="0" fontId="5" fillId="0" borderId="0" xfId="0" applyFont="1" applyBorder="1"/>
    <xf numFmtId="0" fontId="0" fillId="0" borderId="0" xfId="0"/>
    <xf numFmtId="0" fontId="0" fillId="2" borderId="2" xfId="0" applyFill="1" applyBorder="1"/>
    <xf numFmtId="0" fontId="0" fillId="2" borderId="9" xfId="0" applyFill="1" applyBorder="1"/>
    <xf numFmtId="0" fontId="0" fillId="2" borderId="0" xfId="0" applyFill="1" applyBorder="1"/>
    <xf numFmtId="0" fontId="6" fillId="2" borderId="0" xfId="0" applyFont="1" applyFill="1" applyBorder="1"/>
    <xf numFmtId="0" fontId="0" fillId="2" borderId="12" xfId="0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11" fontId="9" fillId="0" borderId="10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2" fillId="0" borderId="0" xfId="0" applyFont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0" fontId="9" fillId="0" borderId="10" xfId="0" applyNumberFormat="1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left" vertical="center" wrapText="1"/>
    </xf>
    <xf numFmtId="0" fontId="7" fillId="0" borderId="15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7" fillId="0" borderId="4" xfId="0" applyFont="1" applyFill="1" applyBorder="1" applyAlignment="1">
      <alignment horizontal="left" vertical="center" wrapText="1"/>
    </xf>
    <xf numFmtId="0" fontId="7" fillId="0" borderId="1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 wrapText="1"/>
    </xf>
    <xf numFmtId="0" fontId="5" fillId="0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9" fillId="0" borderId="10" xfId="0" applyFont="1" applyFill="1" applyBorder="1" applyAlignment="1">
      <alignment vertical="center"/>
    </xf>
    <xf numFmtId="0" fontId="9" fillId="0" borderId="13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13" fillId="0" borderId="15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6" fillId="0" borderId="11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0" fillId="0" borderId="11" xfId="0" applyFont="1" applyFill="1" applyBorder="1" applyAlignment="1">
      <alignment horizontal="left" vertical="center"/>
    </xf>
    <xf numFmtId="0" fontId="1" fillId="0" borderId="4" xfId="0" applyFont="1" applyFill="1" applyBorder="1" applyAlignment="1">
      <alignment horizontal="left" vertical="center"/>
    </xf>
    <xf numFmtId="0" fontId="25" fillId="0" borderId="0" xfId="0" applyFont="1"/>
    <xf numFmtId="0" fontId="26" fillId="0" borderId="0" xfId="0" applyFont="1"/>
    <xf numFmtId="0" fontId="9" fillId="4" borderId="9" xfId="0" applyFont="1" applyFill="1" applyBorder="1" applyAlignment="1">
      <alignment horizontal="center" vertical="center"/>
    </xf>
    <xf numFmtId="164" fontId="9" fillId="4" borderId="0" xfId="0" applyNumberFormat="1" applyFont="1" applyFill="1" applyBorder="1" applyAlignment="1">
      <alignment horizontal="center" vertical="center"/>
    </xf>
    <xf numFmtId="15" fontId="9" fillId="4" borderId="0" xfId="0" applyNumberFormat="1" applyFont="1" applyFill="1" applyBorder="1" applyAlignment="1">
      <alignment horizontal="center" vertical="center"/>
    </xf>
    <xf numFmtId="15" fontId="9" fillId="4" borderId="10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vertical="center"/>
    </xf>
    <xf numFmtId="0" fontId="9" fillId="0" borderId="13" xfId="0" applyFont="1" applyFill="1" applyBorder="1" applyAlignment="1">
      <alignment horizontal="center" vertical="center"/>
    </xf>
    <xf numFmtId="0" fontId="21" fillId="0" borderId="0" xfId="0" applyFont="1"/>
    <xf numFmtId="0" fontId="0" fillId="0" borderId="0" xfId="0" applyFont="1"/>
    <xf numFmtId="0" fontId="0" fillId="0" borderId="0" xfId="0" applyFont="1" applyBorder="1"/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6" fillId="4" borderId="27" xfId="0" quotePrefix="1" applyFont="1" applyFill="1" applyBorder="1" applyAlignment="1">
      <alignment horizontal="center" vertical="center"/>
    </xf>
    <xf numFmtId="167" fontId="6" fillId="4" borderId="27" xfId="0" applyNumberFormat="1" applyFont="1" applyFill="1" applyBorder="1" applyAlignment="1">
      <alignment horizontal="center" vertical="center"/>
    </xf>
    <xf numFmtId="0" fontId="0" fillId="0" borderId="9" xfId="0" applyFill="1" applyBorder="1"/>
    <xf numFmtId="0" fontId="0" fillId="0" borderId="10" xfId="0" applyFill="1" applyBorder="1"/>
    <xf numFmtId="0" fontId="0" fillId="0" borderId="14" xfId="0" applyFill="1" applyBorder="1"/>
    <xf numFmtId="0" fontId="0" fillId="0" borderId="13" xfId="0" applyFill="1" applyBorder="1"/>
    <xf numFmtId="0" fontId="0" fillId="3" borderId="6" xfId="0" applyFill="1" applyBorder="1"/>
    <xf numFmtId="0" fontId="0" fillId="3" borderId="8" xfId="0" applyFill="1" applyBorder="1"/>
    <xf numFmtId="168" fontId="6" fillId="0" borderId="1" xfId="0" applyNumberFormat="1" applyFont="1" applyFill="1" applyBorder="1" applyAlignment="1">
      <alignment horizontal="center" vertical="center"/>
    </xf>
    <xf numFmtId="168" fontId="6" fillId="0" borderId="11" xfId="0" applyNumberFormat="1" applyFont="1" applyFill="1" applyBorder="1" applyAlignment="1">
      <alignment horizontal="center" vertical="center"/>
    </xf>
    <xf numFmtId="168" fontId="7" fillId="2" borderId="4" xfId="0" applyNumberFormat="1" applyFont="1" applyFill="1" applyBorder="1" applyAlignment="1">
      <alignment horizontal="center" vertical="center"/>
    </xf>
    <xf numFmtId="0" fontId="28" fillId="0" borderId="0" xfId="0" applyFont="1"/>
    <xf numFmtId="0" fontId="0" fillId="4" borderId="27" xfId="0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28" xfId="0" applyBorder="1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1" xfId="0" applyFill="1" applyBorder="1"/>
    <xf numFmtId="0" fontId="0" fillId="2" borderId="4" xfId="0" applyFill="1" applyBorder="1"/>
    <xf numFmtId="0" fontId="0" fillId="2" borderId="11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9" xfId="0" applyFill="1" applyBorder="1"/>
    <xf numFmtId="166" fontId="0" fillId="0" borderId="0" xfId="0" applyNumberFormat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49" fontId="0" fillId="0" borderId="4" xfId="0" quotePrefix="1" applyNumberForma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14" fontId="9" fillId="2" borderId="5" xfId="0" applyNumberFormat="1" applyFont="1" applyFill="1" applyBorder="1" applyAlignment="1">
      <alignment horizontal="center" vertical="center"/>
    </xf>
    <xf numFmtId="14" fontId="9" fillId="2" borderId="2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3" fontId="0" fillId="0" borderId="0" xfId="0" applyNumberFormat="1"/>
    <xf numFmtId="171" fontId="0" fillId="0" borderId="0" xfId="0" applyNumberFormat="1" applyAlignment="1">
      <alignment horizontal="center" vertical="center"/>
    </xf>
    <xf numFmtId="170" fontId="29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5" fontId="11" fillId="2" borderId="29" xfId="0" quotePrefix="1" applyNumberFormat="1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67" fontId="7" fillId="4" borderId="28" xfId="0" applyNumberFormat="1" applyFont="1" applyFill="1" applyBorder="1" applyAlignment="1">
      <alignment horizontal="center" vertical="center"/>
    </xf>
    <xf numFmtId="174" fontId="2" fillId="2" borderId="4" xfId="0" applyNumberFormat="1" applyFont="1" applyFill="1" applyBorder="1" applyAlignment="1">
      <alignment horizontal="center" vertical="center"/>
    </xf>
    <xf numFmtId="165" fontId="6" fillId="0" borderId="4" xfId="0" applyNumberFormat="1" applyFont="1" applyFill="1" applyBorder="1" applyAlignment="1">
      <alignment horizontal="center" vertical="center"/>
    </xf>
    <xf numFmtId="174" fontId="7" fillId="2" borderId="4" xfId="0" applyNumberFormat="1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173" fontId="29" fillId="4" borderId="0" xfId="0" applyNumberFormat="1" applyFont="1" applyFill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0" fontId="9" fillId="2" borderId="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71" fontId="9" fillId="2" borderId="0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/>
    </xf>
    <xf numFmtId="171" fontId="9" fillId="2" borderId="0" xfId="0" applyNumberFormat="1" applyFont="1" applyFill="1" applyBorder="1" applyAlignment="1">
      <alignment horizontal="center"/>
    </xf>
    <xf numFmtId="170" fontId="9" fillId="2" borderId="12" xfId="0" applyNumberFormat="1" applyFont="1" applyFill="1" applyBorder="1" applyAlignment="1">
      <alignment horizontal="center" vertical="center"/>
    </xf>
    <xf numFmtId="3" fontId="9" fillId="2" borderId="12" xfId="0" applyNumberFormat="1" applyFont="1" applyFill="1" applyBorder="1" applyAlignment="1">
      <alignment horizontal="center"/>
    </xf>
    <xf numFmtId="171" fontId="9" fillId="2" borderId="12" xfId="0" applyNumberFormat="1" applyFont="1" applyFill="1" applyBorder="1" applyAlignment="1">
      <alignment horizontal="center"/>
    </xf>
    <xf numFmtId="3" fontId="9" fillId="2" borderId="13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15" fontId="9" fillId="2" borderId="14" xfId="0" applyNumberFormat="1" applyFont="1" applyFill="1" applyBorder="1" applyAlignment="1">
      <alignment horizontal="center"/>
    </xf>
    <xf numFmtId="167" fontId="9" fillId="2" borderId="12" xfId="0" applyNumberFormat="1" applyFont="1" applyFill="1" applyBorder="1" applyAlignment="1">
      <alignment horizontal="center"/>
    </xf>
    <xf numFmtId="166" fontId="9" fillId="2" borderId="12" xfId="0" applyNumberFormat="1" applyFont="1" applyFill="1" applyBorder="1" applyAlignment="1">
      <alignment horizontal="center"/>
    </xf>
    <xf numFmtId="165" fontId="9" fillId="2" borderId="12" xfId="0" applyNumberFormat="1" applyFont="1" applyFill="1" applyBorder="1" applyAlignment="1">
      <alignment horizontal="center"/>
    </xf>
    <xf numFmtId="3" fontId="9" fillId="2" borderId="12" xfId="0" applyNumberFormat="1" applyFont="1" applyFill="1" applyBorder="1" applyAlignment="1">
      <alignment horizontal="center" vertical="center"/>
    </xf>
    <xf numFmtId="0" fontId="9" fillId="2" borderId="2" xfId="0" applyFont="1" applyFill="1" applyBorder="1"/>
    <xf numFmtId="173" fontId="11" fillId="2" borderId="4" xfId="0" applyNumberFormat="1" applyFont="1" applyFill="1" applyBorder="1" applyAlignment="1">
      <alignment horizontal="center" vertical="center"/>
    </xf>
    <xf numFmtId="0" fontId="2" fillId="2" borderId="27" xfId="0" quotePrefix="1" applyFont="1" applyFill="1" applyBorder="1" applyAlignment="1">
      <alignment horizontal="center" vertical="center"/>
    </xf>
    <xf numFmtId="0" fontId="9" fillId="2" borderId="3" xfId="0" quotePrefix="1" applyFont="1" applyFill="1" applyBorder="1" applyAlignment="1">
      <alignment horizontal="center" vertical="center"/>
    </xf>
    <xf numFmtId="3" fontId="9" fillId="2" borderId="10" xfId="0" quotePrefix="1" applyNumberFormat="1" applyFont="1" applyFill="1" applyBorder="1" applyAlignment="1">
      <alignment horizontal="center" vertical="center"/>
    </xf>
    <xf numFmtId="3" fontId="9" fillId="2" borderId="13" xfId="0" quotePrefix="1" applyNumberFormat="1" applyFont="1" applyFill="1" applyBorder="1" applyAlignment="1">
      <alignment horizontal="center" vertical="center"/>
    </xf>
    <xf numFmtId="167" fontId="11" fillId="4" borderId="27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4" borderId="27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left" vertic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71" fontId="30" fillId="0" borderId="0" xfId="0" applyNumberFormat="1" applyFont="1" applyAlignment="1">
      <alignment horizontal="center" vertical="center"/>
    </xf>
    <xf numFmtId="170" fontId="4" fillId="2" borderId="0" xfId="0" applyNumberFormat="1" applyFont="1" applyFill="1" applyBorder="1" applyAlignment="1">
      <alignment horizontal="center" vertical="center"/>
    </xf>
    <xf numFmtId="0" fontId="6" fillId="2" borderId="11" xfId="0" applyFont="1" applyFill="1" applyBorder="1"/>
    <xf numFmtId="3" fontId="11" fillId="0" borderId="3" xfId="0" applyNumberFormat="1" applyFont="1" applyFill="1" applyBorder="1" applyAlignment="1">
      <alignment horizontal="center" vertical="center"/>
    </xf>
    <xf numFmtId="3" fontId="11" fillId="0" borderId="10" xfId="0" applyNumberFormat="1" applyFont="1" applyFill="1" applyBorder="1" applyAlignment="1">
      <alignment horizontal="center" vertical="center"/>
    </xf>
    <xf numFmtId="3" fontId="11" fillId="0" borderId="13" xfId="0" applyNumberFormat="1" applyFont="1" applyFill="1" applyBorder="1" applyAlignment="1">
      <alignment horizontal="center" vertical="center"/>
    </xf>
    <xf numFmtId="166" fontId="11" fillId="4" borderId="29" xfId="0" applyNumberFormat="1" applyFont="1" applyFill="1" applyBorder="1" applyAlignment="1">
      <alignment horizontal="center"/>
    </xf>
    <xf numFmtId="4" fontId="0" fillId="0" borderId="0" xfId="0" applyNumberFormat="1" applyAlignment="1">
      <alignment horizontal="center" vertical="center"/>
    </xf>
    <xf numFmtId="173" fontId="11" fillId="2" borderId="29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/>
    </xf>
    <xf numFmtId="4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4" fontId="9" fillId="2" borderId="9" xfId="0" applyNumberFormat="1" applyFont="1" applyFill="1" applyBorder="1" applyAlignment="1">
      <alignment horizontal="center"/>
    </xf>
    <xf numFmtId="174" fontId="9" fillId="2" borderId="9" xfId="0" applyNumberFormat="1" applyFont="1" applyFill="1" applyBorder="1" applyAlignment="1">
      <alignment horizontal="center" vertical="center"/>
    </xf>
    <xf numFmtId="174" fontId="9" fillId="2" borderId="0" xfId="0" applyNumberFormat="1" applyFont="1" applyFill="1" applyBorder="1" applyAlignment="1">
      <alignment horizontal="center" vertical="center"/>
    </xf>
    <xf numFmtId="174" fontId="9" fillId="2" borderId="14" xfId="0" applyNumberFormat="1" applyFont="1" applyFill="1" applyBorder="1" applyAlignment="1">
      <alignment horizontal="center" vertical="center"/>
    </xf>
    <xf numFmtId="174" fontId="9" fillId="2" borderId="12" xfId="0" applyNumberFormat="1" applyFont="1" applyFill="1" applyBorder="1" applyAlignment="1">
      <alignment horizontal="center" vertical="center"/>
    </xf>
    <xf numFmtId="174" fontId="11" fillId="2" borderId="4" xfId="0" applyNumberFormat="1" applyFont="1" applyFill="1" applyBorder="1" applyAlignment="1">
      <alignment horizontal="center" vertical="center"/>
    </xf>
    <xf numFmtId="174" fontId="11" fillId="2" borderId="1" xfId="0" applyNumberFormat="1" applyFont="1" applyFill="1" applyBorder="1" applyAlignment="1">
      <alignment horizontal="center" vertical="center"/>
    </xf>
    <xf numFmtId="174" fontId="0" fillId="0" borderId="4" xfId="0" applyNumberFormat="1" applyBorder="1" applyAlignment="1">
      <alignment horizontal="center" vertical="center"/>
    </xf>
    <xf numFmtId="174" fontId="11" fillId="0" borderId="1" xfId="0" applyNumberFormat="1" applyFont="1" applyBorder="1" applyAlignment="1">
      <alignment horizontal="center" vertical="center"/>
    </xf>
    <xf numFmtId="174" fontId="11" fillId="0" borderId="4" xfId="0" applyNumberFormat="1" applyFont="1" applyBorder="1" applyAlignment="1">
      <alignment horizontal="center" vertical="center"/>
    </xf>
    <xf numFmtId="3" fontId="11" fillId="0" borderId="4" xfId="0" applyNumberFormat="1" applyFont="1" applyBorder="1" applyAlignment="1">
      <alignment horizontal="center" vertical="center"/>
    </xf>
    <xf numFmtId="170" fontId="11" fillId="0" borderId="11" xfId="0" applyNumberFormat="1" applyFont="1" applyBorder="1" applyAlignment="1">
      <alignment horizontal="center" vertical="center"/>
    </xf>
    <xf numFmtId="4" fontId="9" fillId="2" borderId="12" xfId="0" applyNumberFormat="1" applyFont="1" applyFill="1" applyBorder="1" applyAlignment="1">
      <alignment horizontal="center"/>
    </xf>
    <xf numFmtId="0" fontId="11" fillId="4" borderId="4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5" fontId="9" fillId="2" borderId="12" xfId="0" applyNumberFormat="1" applyFont="1" applyFill="1" applyBorder="1" applyAlignment="1">
      <alignment horizontal="center" vertical="center"/>
    </xf>
    <xf numFmtId="171" fontId="29" fillId="0" borderId="0" xfId="0" applyNumberFormat="1" applyFont="1" applyAlignment="1">
      <alignment horizontal="center" vertical="center"/>
    </xf>
    <xf numFmtId="171" fontId="11" fillId="0" borderId="13" xfId="0" applyNumberFormat="1" applyFont="1" applyFill="1" applyBorder="1" applyAlignment="1">
      <alignment horizontal="center" vertical="center"/>
    </xf>
    <xf numFmtId="165" fontId="22" fillId="2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171" fontId="4" fillId="2" borderId="0" xfId="0" applyNumberFormat="1" applyFont="1" applyFill="1" applyBorder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0" fontId="0" fillId="3" borderId="15" xfId="0" applyFill="1" applyBorder="1"/>
    <xf numFmtId="168" fontId="6" fillId="0" borderId="15" xfId="0" applyNumberFormat="1" applyFont="1" applyFill="1" applyBorder="1" applyAlignment="1">
      <alignment horizontal="center" vertical="center"/>
    </xf>
    <xf numFmtId="173" fontId="29" fillId="5" borderId="1" xfId="0" applyNumberFormat="1" applyFont="1" applyFill="1" applyBorder="1" applyAlignment="1">
      <alignment horizontal="center" vertical="center"/>
    </xf>
    <xf numFmtId="173" fontId="29" fillId="5" borderId="4" xfId="0" applyNumberFormat="1" applyFont="1" applyFill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173" fontId="30" fillId="0" borderId="1" xfId="0" applyNumberFormat="1" applyFont="1" applyBorder="1" applyAlignment="1">
      <alignment horizontal="center" vertical="center"/>
    </xf>
    <xf numFmtId="3" fontId="30" fillId="0" borderId="4" xfId="0" applyNumberFormat="1" applyFont="1" applyBorder="1" applyAlignment="1">
      <alignment horizontal="center" vertical="center"/>
    </xf>
    <xf numFmtId="3" fontId="30" fillId="0" borderId="11" xfId="0" applyNumberFormat="1" applyFont="1" applyBorder="1" applyAlignment="1">
      <alignment horizontal="center" vertical="center"/>
    </xf>
    <xf numFmtId="0" fontId="29" fillId="2" borderId="1" xfId="0" applyFont="1" applyFill="1" applyBorder="1"/>
    <xf numFmtId="0" fontId="29" fillId="2" borderId="4" xfId="0" applyFont="1" applyFill="1" applyBorder="1"/>
    <xf numFmtId="0" fontId="29" fillId="2" borderId="11" xfId="0" applyFont="1" applyFill="1" applyBorder="1"/>
    <xf numFmtId="0" fontId="29" fillId="0" borderId="1" xfId="0" applyFont="1" applyFill="1" applyBorder="1" applyAlignment="1">
      <alignment horizontal="left" vertical="center"/>
    </xf>
    <xf numFmtId="173" fontId="29" fillId="0" borderId="1" xfId="0" applyNumberFormat="1" applyFont="1" applyBorder="1" applyAlignment="1">
      <alignment horizontal="center" vertical="center"/>
    </xf>
    <xf numFmtId="0" fontId="29" fillId="0" borderId="4" xfId="0" applyFont="1" applyFill="1" applyBorder="1" applyAlignment="1">
      <alignment horizontal="left" vertical="center"/>
    </xf>
    <xf numFmtId="173" fontId="30" fillId="0" borderId="4" xfId="0" applyNumberFormat="1" applyFont="1" applyBorder="1" applyAlignment="1">
      <alignment horizontal="center" vertical="center"/>
    </xf>
    <xf numFmtId="173" fontId="29" fillId="0" borderId="4" xfId="0" applyNumberFormat="1" applyFont="1" applyBorder="1" applyAlignment="1">
      <alignment horizontal="center" vertical="center"/>
    </xf>
    <xf numFmtId="0" fontId="29" fillId="0" borderId="11" xfId="0" applyFont="1" applyFill="1" applyBorder="1" applyAlignment="1">
      <alignment horizontal="left" vertical="center"/>
    </xf>
    <xf numFmtId="171" fontId="29" fillId="0" borderId="11" xfId="0" applyNumberFormat="1" applyFont="1" applyBorder="1" applyAlignment="1">
      <alignment horizontal="center" vertical="center"/>
    </xf>
    <xf numFmtId="171" fontId="9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71" fontId="32" fillId="0" borderId="0" xfId="0" applyNumberFormat="1" applyFont="1" applyAlignment="1">
      <alignment horizontal="left" vertical="center"/>
    </xf>
    <xf numFmtId="171" fontId="6" fillId="0" borderId="0" xfId="0" applyNumberFormat="1" applyFont="1" applyAlignment="1">
      <alignment horizontal="left" vertical="center"/>
    </xf>
    <xf numFmtId="3" fontId="9" fillId="2" borderId="2" xfId="0" applyNumberFormat="1" applyFont="1" applyFill="1" applyBorder="1" applyAlignment="1">
      <alignment horizontal="center" vertical="center"/>
    </xf>
    <xf numFmtId="166" fontId="9" fillId="2" borderId="2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6" fillId="0" borderId="3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166" fontId="3" fillId="6" borderId="4" xfId="0" applyNumberFormat="1" applyFont="1" applyFill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FFFFCC"/>
      <color rgb="FF006600"/>
      <color rgb="FF339933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47624</xdr:colOff>
      <xdr:row>4</xdr:row>
      <xdr:rowOff>28575</xdr:rowOff>
    </xdr:from>
    <xdr:to>
      <xdr:col>2</xdr:col>
      <xdr:colOff>438149</xdr:colOff>
      <xdr:row>6</xdr:row>
      <xdr:rowOff>47683</xdr:rowOff>
    </xdr:to>
    <xdr:pic macro="[0]!RefreshCurvesAndPricin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24" y="1552575"/>
          <a:ext cx="390525" cy="4001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4</xdr:row>
      <xdr:rowOff>9525</xdr:rowOff>
    </xdr:from>
    <xdr:to>
      <xdr:col>0</xdr:col>
      <xdr:colOff>543093</xdr:colOff>
      <xdr:row>5</xdr:row>
      <xdr:rowOff>168841</xdr:rowOff>
    </xdr:to>
    <xdr:pic macro="[0]!ShowHideInfo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981075"/>
          <a:ext cx="352593" cy="3498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5</xdr:row>
      <xdr:rowOff>9525</xdr:rowOff>
    </xdr:from>
    <xdr:to>
      <xdr:col>0</xdr:col>
      <xdr:colOff>495468</xdr:colOff>
      <xdr:row>6</xdr:row>
      <xdr:rowOff>168841</xdr:rowOff>
    </xdr:to>
    <xdr:pic macro="[0]!ShowHideInfo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1533525"/>
          <a:ext cx="352593" cy="34981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5</xdr:row>
      <xdr:rowOff>9525</xdr:rowOff>
    </xdr:from>
    <xdr:to>
      <xdr:col>20</xdr:col>
      <xdr:colOff>342900</xdr:colOff>
      <xdr:row>43</xdr:row>
      <xdr:rowOff>57150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58300" y="247650"/>
          <a:ext cx="8115300" cy="7477125"/>
        </a:xfrm>
        <a:prstGeom prst="rect">
          <a:avLst/>
        </a:prstGeom>
      </xdr:spPr>
    </xdr:pic>
    <xdr:clientData/>
  </xdr:twoCellAnchor>
  <xdr:twoCellAnchor editAs="oneCell">
    <xdr:from>
      <xdr:col>34</xdr:col>
      <xdr:colOff>209551</xdr:colOff>
      <xdr:row>5</xdr:row>
      <xdr:rowOff>9525</xdr:rowOff>
    </xdr:from>
    <xdr:to>
      <xdr:col>47</xdr:col>
      <xdr:colOff>409575</xdr:colOff>
      <xdr:row>43</xdr:row>
      <xdr:rowOff>47625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74651" y="247650"/>
          <a:ext cx="8124824" cy="74676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501297</xdr:colOff>
      <xdr:row>5</xdr:row>
      <xdr:rowOff>9525</xdr:rowOff>
    </xdr:from>
    <xdr:to>
      <xdr:col>34</xdr:col>
      <xdr:colOff>57151</xdr:colOff>
      <xdr:row>43</xdr:row>
      <xdr:rowOff>66675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531997" y="247650"/>
          <a:ext cx="8090254" cy="7486650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2</xdr:row>
      <xdr:rowOff>28575</xdr:rowOff>
    </xdr:from>
    <xdr:to>
      <xdr:col>1</xdr:col>
      <xdr:colOff>666750</xdr:colOff>
      <xdr:row>4</xdr:row>
      <xdr:rowOff>58</xdr:rowOff>
    </xdr:to>
    <xdr:pic macro="[0]!RefreshCurv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0" y="1552575"/>
          <a:ext cx="390525" cy="4001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2</xdr:row>
      <xdr:rowOff>28575</xdr:rowOff>
    </xdr:from>
    <xdr:to>
      <xdr:col>2</xdr:col>
      <xdr:colOff>676275</xdr:colOff>
      <xdr:row>4</xdr:row>
      <xdr:rowOff>58</xdr:rowOff>
    </xdr:to>
    <xdr:pic macro="[0]!RefreshPricing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19375" y="409575"/>
          <a:ext cx="390525" cy="4001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2</xdr:row>
      <xdr:rowOff>38100</xdr:rowOff>
    </xdr:from>
    <xdr:to>
      <xdr:col>1</xdr:col>
      <xdr:colOff>676275</xdr:colOff>
      <xdr:row>4</xdr:row>
      <xdr:rowOff>38100</xdr:rowOff>
    </xdr:to>
    <xdr:pic macro="[0]!RefreshPricin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5350" y="419100"/>
          <a:ext cx="390525" cy="38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B2:L17"/>
  <sheetViews>
    <sheetView showGridLines="0" workbookViewId="0"/>
  </sheetViews>
  <sheetFormatPr defaultRowHeight="15" x14ac:dyDescent="0.25"/>
  <cols>
    <col min="3" max="3" width="9.140625" customWidth="1"/>
    <col min="4" max="4" width="9.140625" style="101" customWidth="1"/>
    <col min="5" max="5" width="13.85546875" bestFit="1" customWidth="1"/>
    <col min="6" max="6" width="20.42578125" customWidth="1"/>
    <col min="9" max="9" width="9.140625" style="101" customWidth="1"/>
    <col min="10" max="11" width="20.7109375" style="101" customWidth="1"/>
  </cols>
  <sheetData>
    <row r="2" spans="2:12" x14ac:dyDescent="0.25">
      <c r="B2" s="79"/>
      <c r="C2" s="80"/>
      <c r="D2" s="80"/>
      <c r="E2" s="80"/>
      <c r="F2" s="80"/>
      <c r="G2" s="80"/>
      <c r="H2" s="80"/>
      <c r="I2" s="80"/>
      <c r="J2" s="80"/>
      <c r="K2" s="80"/>
      <c r="L2" s="81"/>
    </row>
    <row r="3" spans="2:12" s="101" customFormat="1" x14ac:dyDescent="0.25">
      <c r="B3" s="82"/>
      <c r="C3" s="104"/>
      <c r="D3" s="104"/>
      <c r="E3" s="104"/>
      <c r="F3" s="104"/>
      <c r="G3" s="104"/>
      <c r="H3" s="104"/>
      <c r="I3" s="104"/>
      <c r="J3" s="104"/>
      <c r="K3" s="104"/>
      <c r="L3" s="83"/>
    </row>
    <row r="4" spans="2:12" x14ac:dyDescent="0.25">
      <c r="B4" s="82"/>
      <c r="C4" s="77" t="s">
        <v>128</v>
      </c>
      <c r="D4" s="77"/>
      <c r="E4" s="77" t="s">
        <v>220</v>
      </c>
      <c r="F4" s="5"/>
      <c r="G4" s="5"/>
      <c r="H4" s="5"/>
      <c r="I4" s="104"/>
      <c r="J4" s="77" t="s">
        <v>219</v>
      </c>
      <c r="K4" s="104"/>
      <c r="L4" s="83"/>
    </row>
    <row r="5" spans="2:12" x14ac:dyDescent="0.25">
      <c r="B5" s="82"/>
      <c r="C5" s="5"/>
      <c r="D5" s="104"/>
      <c r="E5" s="95" t="s">
        <v>127</v>
      </c>
      <c r="F5" s="190">
        <v>42557</v>
      </c>
      <c r="G5" s="5"/>
      <c r="H5" s="5"/>
      <c r="I5" s="104"/>
      <c r="J5" s="188" t="s">
        <v>217</v>
      </c>
      <c r="K5" s="189" t="s">
        <v>159</v>
      </c>
      <c r="L5" s="83"/>
    </row>
    <row r="6" spans="2:12" x14ac:dyDescent="0.25">
      <c r="B6" s="82"/>
      <c r="C6" s="5"/>
      <c r="D6" s="104"/>
      <c r="E6" s="96" t="s">
        <v>110</v>
      </c>
      <c r="F6" s="192" t="s">
        <v>132</v>
      </c>
      <c r="G6" s="87" t="str">
        <f>"fn_"&amp;Interpolation&amp;"Interpolation"</f>
        <v>fn_SplineInterpolation</v>
      </c>
      <c r="H6" s="5"/>
      <c r="I6" s="104"/>
      <c r="J6" s="184" t="s">
        <v>130</v>
      </c>
      <c r="K6" s="185" t="s">
        <v>9</v>
      </c>
      <c r="L6" s="83"/>
    </row>
    <row r="7" spans="2:12" x14ac:dyDescent="0.25">
      <c r="B7" s="82"/>
      <c r="C7" s="5"/>
      <c r="D7" s="104"/>
      <c r="E7" s="97" t="s">
        <v>97</v>
      </c>
      <c r="F7" s="191" t="b">
        <v>1</v>
      </c>
      <c r="G7" s="5"/>
      <c r="H7" s="5"/>
      <c r="I7" s="104"/>
      <c r="J7" s="184" t="s">
        <v>133</v>
      </c>
      <c r="K7" s="185" t="s">
        <v>215</v>
      </c>
      <c r="L7" s="83"/>
    </row>
    <row r="8" spans="2:12" x14ac:dyDescent="0.25">
      <c r="B8" s="82"/>
      <c r="C8" s="88"/>
      <c r="D8" s="88"/>
      <c r="E8" s="5"/>
      <c r="F8" s="5"/>
      <c r="G8" s="5"/>
      <c r="H8" s="5"/>
      <c r="I8" s="104"/>
      <c r="J8" s="184" t="s">
        <v>122</v>
      </c>
      <c r="K8" s="185" t="s">
        <v>82</v>
      </c>
      <c r="L8" s="83"/>
    </row>
    <row r="9" spans="2:12" s="101" customFormat="1" x14ac:dyDescent="0.25">
      <c r="B9" s="82"/>
      <c r="C9" s="88"/>
      <c r="D9" s="88"/>
      <c r="E9" s="104"/>
      <c r="F9" s="104"/>
      <c r="G9" s="104"/>
      <c r="H9" s="104"/>
      <c r="I9" s="104"/>
      <c r="J9" s="184" t="s">
        <v>119</v>
      </c>
      <c r="K9" s="185" t="s">
        <v>214</v>
      </c>
      <c r="L9" s="83"/>
    </row>
    <row r="10" spans="2:12" s="101" customFormat="1" x14ac:dyDescent="0.25">
      <c r="B10" s="82"/>
      <c r="C10" s="88"/>
      <c r="D10" s="88"/>
      <c r="E10" s="88"/>
      <c r="F10" s="88"/>
      <c r="G10" s="88"/>
      <c r="H10" s="104"/>
      <c r="I10" s="104"/>
      <c r="J10" s="186" t="s">
        <v>138</v>
      </c>
      <c r="K10" s="187" t="s">
        <v>216</v>
      </c>
      <c r="L10" s="83"/>
    </row>
    <row r="11" spans="2:12" s="101" customFormat="1" x14ac:dyDescent="0.25">
      <c r="B11" s="82"/>
      <c r="C11" s="88"/>
      <c r="D11" s="88"/>
      <c r="E11" s="88"/>
      <c r="F11" s="88"/>
      <c r="G11" s="88"/>
      <c r="H11" s="104"/>
      <c r="I11" s="104"/>
      <c r="J11" s="104"/>
      <c r="K11" s="104"/>
      <c r="L11" s="83"/>
    </row>
    <row r="12" spans="2:12" s="101" customFormat="1" x14ac:dyDescent="0.25">
      <c r="B12" s="82"/>
      <c r="C12" s="88"/>
      <c r="D12" s="88"/>
      <c r="E12" s="77" t="s">
        <v>299</v>
      </c>
      <c r="F12" s="104"/>
      <c r="G12" s="104"/>
      <c r="H12" s="104"/>
      <c r="I12" s="104"/>
      <c r="J12" s="104"/>
      <c r="K12" s="104"/>
      <c r="L12" s="83"/>
    </row>
    <row r="13" spans="2:12" s="101" customFormat="1" x14ac:dyDescent="0.25">
      <c r="B13" s="82"/>
      <c r="C13" s="88"/>
      <c r="D13" s="88"/>
      <c r="E13" s="306" t="s">
        <v>300</v>
      </c>
      <c r="F13" s="307" t="s">
        <v>301</v>
      </c>
      <c r="G13" s="87"/>
      <c r="H13" s="104"/>
      <c r="I13" s="104"/>
      <c r="J13" s="188" t="s">
        <v>218</v>
      </c>
      <c r="K13" s="189" t="s">
        <v>160</v>
      </c>
      <c r="L13" s="83"/>
    </row>
    <row r="14" spans="2:12" s="101" customFormat="1" x14ac:dyDescent="0.25">
      <c r="B14" s="82"/>
      <c r="C14" s="88"/>
      <c r="D14" s="88"/>
      <c r="E14" s="77"/>
      <c r="F14" s="104"/>
      <c r="G14" s="104"/>
      <c r="H14" s="104"/>
      <c r="I14" s="104"/>
      <c r="J14" s="186" t="s">
        <v>212</v>
      </c>
      <c r="K14" s="187" t="s">
        <v>9</v>
      </c>
      <c r="L14" s="83"/>
    </row>
    <row r="15" spans="2:12" s="101" customFormat="1" x14ac:dyDescent="0.25">
      <c r="B15" s="82"/>
      <c r="C15" s="88"/>
      <c r="D15" s="88"/>
      <c r="E15" s="104"/>
      <c r="F15" s="104"/>
      <c r="G15" s="104"/>
      <c r="H15" s="104"/>
      <c r="I15" s="104"/>
      <c r="J15" s="104"/>
      <c r="K15" s="104"/>
      <c r="L15" s="83"/>
    </row>
    <row r="16" spans="2:12" x14ac:dyDescent="0.25">
      <c r="B16" s="82"/>
      <c r="C16" s="5"/>
      <c r="D16" s="104"/>
      <c r="E16" s="5"/>
      <c r="F16" s="5"/>
      <c r="G16" s="5"/>
      <c r="H16" s="5"/>
      <c r="I16" s="104"/>
      <c r="J16" s="104"/>
      <c r="K16" s="104"/>
      <c r="L16" s="83"/>
    </row>
    <row r="17" spans="2:12" x14ac:dyDescent="0.25">
      <c r="B17" s="84"/>
      <c r="C17" s="85"/>
      <c r="D17" s="85"/>
      <c r="E17" s="85"/>
      <c r="F17" s="85"/>
      <c r="G17" s="85"/>
      <c r="H17" s="85"/>
      <c r="I17" s="85"/>
      <c r="J17" s="85"/>
      <c r="K17" s="85"/>
      <c r="L17" s="86"/>
    </row>
  </sheetData>
  <dataValidations count="3">
    <dataValidation type="list" allowBlank="1" showInputMessage="1" showErrorMessage="1" sqref="F6">
      <formula1>"Linear,Spline,MonotoneConvex"</formula1>
    </dataValidation>
    <dataValidation type="list" allowBlank="1" showInputMessage="1" showErrorMessage="1" sqref="F7">
      <formula1>"TRUE,FALSE"</formula1>
    </dataValidation>
    <dataValidation type="list" allowBlank="1" showInputMessage="1" showErrorMessage="1" sqref="F13">
      <formula1>"MANUAL,AUTOMATIC"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3"/>
  </sheetPr>
  <dimension ref="B2:P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110.7109375" style="101" hidden="1" customWidth="1"/>
    <col min="4" max="4" width="4.7109375" style="101" hidden="1" customWidth="1"/>
    <col min="5" max="5" width="25.140625" style="143" bestFit="1" customWidth="1"/>
    <col min="6" max="6" width="32.7109375" style="148" customWidth="1"/>
    <col min="7" max="7" width="4.7109375" style="101" customWidth="1"/>
    <col min="8" max="10" width="10.7109375" customWidth="1"/>
    <col min="11" max="11" width="13.7109375" customWidth="1"/>
    <col min="12" max="12" width="18.28515625" customWidth="1"/>
    <col min="13" max="13" width="4.7109375" style="101" customWidth="1"/>
    <col min="14" max="15" width="10.7109375" customWidth="1"/>
    <col min="16" max="16" width="2.7109375" customWidth="1"/>
  </cols>
  <sheetData>
    <row r="2" spans="2:16" ht="23.25" x14ac:dyDescent="0.35">
      <c r="B2" s="168" t="s">
        <v>208</v>
      </c>
      <c r="C2" s="118"/>
      <c r="D2" s="118"/>
    </row>
    <row r="3" spans="2:16" ht="23.25" x14ac:dyDescent="0.35">
      <c r="B3" s="169" t="s">
        <v>207</v>
      </c>
      <c r="C3" s="118"/>
      <c r="D3" s="118"/>
    </row>
    <row r="4" spans="2:16" x14ac:dyDescent="0.25">
      <c r="B4" s="44"/>
      <c r="C4" s="118"/>
      <c r="D4" s="118"/>
    </row>
    <row r="5" spans="2:16" x14ac:dyDescent="0.25">
      <c r="B5" s="44" t="s">
        <v>161</v>
      </c>
      <c r="C5" s="118"/>
      <c r="D5" s="118"/>
    </row>
    <row r="6" spans="2:16" x14ac:dyDescent="0.25">
      <c r="B6" s="1"/>
      <c r="C6" s="102"/>
      <c r="D6" s="102"/>
      <c r="E6" s="154"/>
      <c r="F6" s="111"/>
      <c r="G6" s="111"/>
      <c r="H6" s="2"/>
      <c r="I6" s="2"/>
      <c r="J6" s="2"/>
      <c r="K6" s="2"/>
      <c r="L6" s="2"/>
      <c r="M6" s="102"/>
      <c r="N6" s="2"/>
      <c r="O6" s="2"/>
      <c r="P6" s="3"/>
    </row>
    <row r="7" spans="2:16" x14ac:dyDescent="0.25">
      <c r="B7" s="4"/>
      <c r="C7" s="113"/>
      <c r="D7" s="104"/>
      <c r="E7" s="155" t="s">
        <v>161</v>
      </c>
      <c r="F7" s="117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(0.02500 sec)</v>
      </c>
      <c r="G7" s="137"/>
      <c r="H7" s="43"/>
      <c r="I7" s="5"/>
      <c r="J7" s="5"/>
      <c r="K7" s="5"/>
      <c r="L7" s="5"/>
      <c r="M7" s="104"/>
      <c r="N7" s="5"/>
      <c r="O7" s="5"/>
      <c r="P7" s="6"/>
    </row>
    <row r="8" spans="2:16" x14ac:dyDescent="0.25">
      <c r="B8" s="4"/>
      <c r="C8" s="104"/>
      <c r="D8" s="104"/>
      <c r="E8" s="156" t="s">
        <v>121</v>
      </c>
      <c r="F8" s="129" t="b">
        <f ca="1">OR(LEFT($F$7,3)=Curve.MarketDataTable,LEFT($F$7,5)=Curve.CollectionName)</f>
        <v>1</v>
      </c>
      <c r="G8" s="129"/>
      <c r="H8" s="5"/>
      <c r="I8" s="5"/>
      <c r="J8" s="5"/>
      <c r="K8" s="5"/>
      <c r="L8" s="5"/>
      <c r="M8" s="104"/>
      <c r="N8" s="5"/>
      <c r="O8" s="5"/>
      <c r="P8" s="6"/>
    </row>
    <row r="9" spans="2:16" x14ac:dyDescent="0.25">
      <c r="B9" s="4"/>
      <c r="C9" s="104"/>
      <c r="D9" s="104"/>
      <c r="E9" s="157"/>
      <c r="F9" s="116"/>
      <c r="G9" s="116"/>
      <c r="H9" s="5"/>
      <c r="I9" s="5"/>
      <c r="J9" s="5"/>
      <c r="K9" s="5"/>
      <c r="L9" s="5"/>
      <c r="M9" s="104"/>
      <c r="N9" s="5"/>
      <c r="O9" s="5"/>
      <c r="P9" s="6"/>
    </row>
    <row r="10" spans="2:16" x14ac:dyDescent="0.25">
      <c r="B10" s="4"/>
      <c r="C10" s="106"/>
      <c r="D10" s="104"/>
      <c r="E10" s="158" t="s">
        <v>0</v>
      </c>
      <c r="F10" s="115"/>
      <c r="G10" s="138"/>
      <c r="H10" s="5"/>
      <c r="I10" s="5"/>
      <c r="J10" s="5"/>
      <c r="K10" s="5"/>
      <c r="L10" s="5"/>
      <c r="M10" s="104"/>
      <c r="N10" s="5"/>
      <c r="O10" s="5"/>
      <c r="P10" s="6"/>
    </row>
    <row r="11" spans="2:16" ht="30" x14ac:dyDescent="0.25">
      <c r="B11" s="4"/>
      <c r="C11" s="130" t="s">
        <v>167</v>
      </c>
      <c r="D11" s="104"/>
      <c r="E11" s="159" t="s">
        <v>80</v>
      </c>
      <c r="F11" s="125" t="s">
        <v>78</v>
      </c>
      <c r="G11" s="138"/>
      <c r="H11" s="5"/>
      <c r="I11" s="5"/>
      <c r="J11" s="5"/>
      <c r="K11" s="5"/>
      <c r="L11" s="5"/>
      <c r="M11" s="104"/>
      <c r="N11" s="5"/>
      <c r="O11" s="5"/>
      <c r="P11" s="6"/>
    </row>
    <row r="12" spans="2:16" ht="30" x14ac:dyDescent="0.25">
      <c r="B12" s="4"/>
      <c r="C12" s="130" t="s">
        <v>204</v>
      </c>
      <c r="D12" s="104"/>
      <c r="E12" s="160" t="s">
        <v>79</v>
      </c>
      <c r="F12" s="126" t="s">
        <v>9</v>
      </c>
      <c r="G12" s="138"/>
      <c r="H12" s="5"/>
      <c r="I12" s="5"/>
      <c r="J12" s="5"/>
      <c r="K12" s="5"/>
      <c r="L12" s="5"/>
      <c r="M12" s="104"/>
      <c r="N12" s="5"/>
      <c r="O12" s="5"/>
      <c r="P12" s="6"/>
    </row>
    <row r="13" spans="2:16" ht="30" x14ac:dyDescent="0.25">
      <c r="B13" s="4"/>
      <c r="C13" s="130" t="s">
        <v>205</v>
      </c>
      <c r="D13" s="104"/>
      <c r="E13" s="162" t="s">
        <v>81</v>
      </c>
      <c r="F13" s="127" t="s">
        <v>279</v>
      </c>
      <c r="G13" s="138"/>
      <c r="H13" s="5"/>
      <c r="I13" s="5"/>
      <c r="J13" s="5" t="s">
        <v>4</v>
      </c>
      <c r="K13" s="5" t="s">
        <v>4</v>
      </c>
      <c r="L13" s="5" t="s">
        <v>4</v>
      </c>
      <c r="M13" s="104"/>
      <c r="N13" s="5" t="s">
        <v>4</v>
      </c>
      <c r="O13" s="5" t="s">
        <v>4</v>
      </c>
      <c r="P13" s="6" t="s">
        <v>4</v>
      </c>
    </row>
    <row r="14" spans="2:16" x14ac:dyDescent="0.25">
      <c r="B14" s="9"/>
      <c r="C14" s="106"/>
      <c r="D14" s="106"/>
      <c r="E14" s="146"/>
      <c r="F14" s="149"/>
      <c r="G14" s="106"/>
      <c r="H14" s="10"/>
      <c r="I14" s="10"/>
      <c r="J14" s="10"/>
      <c r="K14" s="10"/>
      <c r="L14" s="10"/>
      <c r="M14" s="106"/>
      <c r="N14" s="10"/>
      <c r="O14" s="10"/>
      <c r="P14" s="11"/>
    </row>
    <row r="17" spans="2:16" x14ac:dyDescent="0.25">
      <c r="B17" s="40" t="s">
        <v>68</v>
      </c>
      <c r="C17" s="114"/>
      <c r="D17" s="114"/>
    </row>
    <row r="18" spans="2:16" x14ac:dyDescent="0.25">
      <c r="B18" s="1"/>
      <c r="C18" s="102"/>
      <c r="D18" s="102"/>
      <c r="E18" s="154"/>
      <c r="F18" s="111"/>
      <c r="G18" s="111"/>
      <c r="H18" s="2"/>
      <c r="I18" s="2"/>
      <c r="J18" s="45"/>
      <c r="K18" s="2"/>
      <c r="L18" s="2"/>
      <c r="M18" s="102"/>
      <c r="N18" s="2"/>
      <c r="O18" s="2"/>
      <c r="P18" s="3"/>
    </row>
    <row r="19" spans="2:16" x14ac:dyDescent="0.25">
      <c r="B19" s="4"/>
      <c r="C19" s="104"/>
      <c r="D19" s="104"/>
      <c r="E19" s="158" t="s">
        <v>68</v>
      </c>
      <c r="F19" s="112"/>
      <c r="G19" s="139"/>
      <c r="H19" s="5"/>
      <c r="I19" s="5"/>
      <c r="J19" s="5"/>
      <c r="K19" s="5"/>
      <c r="L19" s="5"/>
      <c r="M19" s="104"/>
      <c r="N19" s="5"/>
      <c r="O19" s="5"/>
      <c r="P19" s="6"/>
    </row>
    <row r="20" spans="2:16" ht="30" x14ac:dyDescent="0.25">
      <c r="B20" s="4"/>
      <c r="C20" s="130" t="s">
        <v>168</v>
      </c>
      <c r="D20" s="103"/>
      <c r="E20" s="159" t="s">
        <v>10</v>
      </c>
      <c r="F20" s="125">
        <f>COB</f>
        <v>42557</v>
      </c>
      <c r="G20" s="139"/>
      <c r="H20" s="5"/>
      <c r="I20" s="5"/>
      <c r="J20" s="5"/>
      <c r="K20" s="5"/>
      <c r="L20" s="5"/>
      <c r="M20" s="104"/>
      <c r="N20" s="5"/>
      <c r="O20" s="5"/>
      <c r="P20" s="6"/>
    </row>
    <row r="21" spans="2:16" ht="30" x14ac:dyDescent="0.25">
      <c r="B21" s="4"/>
      <c r="C21" s="130" t="s">
        <v>169</v>
      </c>
      <c r="D21" s="103"/>
      <c r="E21" s="160" t="s">
        <v>16</v>
      </c>
      <c r="F21" s="126" t="s">
        <v>17</v>
      </c>
      <c r="G21" s="139"/>
      <c r="H21" s="5"/>
      <c r="I21" s="5"/>
      <c r="J21" s="5"/>
      <c r="K21" s="5"/>
      <c r="L21" s="5"/>
      <c r="M21" s="104"/>
      <c r="N21" s="5"/>
      <c r="O21" s="5"/>
      <c r="P21" s="6"/>
    </row>
    <row r="22" spans="2:16" ht="30" x14ac:dyDescent="0.25">
      <c r="B22" s="4"/>
      <c r="C22" s="130" t="s">
        <v>170</v>
      </c>
      <c r="D22" s="103"/>
      <c r="E22" s="160" t="s">
        <v>83</v>
      </c>
      <c r="F22" s="128" t="str">
        <f>interpolationFunction</f>
        <v>fn_SplineInterpolation</v>
      </c>
      <c r="G22" s="139"/>
      <c r="H22" s="5"/>
      <c r="I22" s="5"/>
      <c r="J22" s="5"/>
      <c r="K22" s="5"/>
      <c r="L22" s="5"/>
      <c r="M22" s="104"/>
      <c r="N22" s="5"/>
      <c r="O22" s="5"/>
      <c r="P22" s="6"/>
    </row>
    <row r="23" spans="2:16" ht="30" x14ac:dyDescent="0.25">
      <c r="B23" s="4"/>
      <c r="C23" s="135" t="s">
        <v>206</v>
      </c>
      <c r="D23" s="103"/>
      <c r="E23" s="160" t="s">
        <v>24</v>
      </c>
      <c r="F23" s="128" t="str">
        <f>interpolationFunction</f>
        <v>fn_SplineInterpolation</v>
      </c>
      <c r="G23" s="139"/>
      <c r="H23" s="5"/>
      <c r="I23" s="5"/>
      <c r="J23" s="5"/>
      <c r="K23" s="5"/>
      <c r="L23" s="5"/>
      <c r="M23" s="104"/>
      <c r="N23" s="5"/>
      <c r="O23" s="5"/>
      <c r="P23" s="6"/>
    </row>
    <row r="24" spans="2:16" x14ac:dyDescent="0.25">
      <c r="B24" s="4"/>
      <c r="C24" s="136"/>
      <c r="D24" s="104"/>
      <c r="E24" s="162"/>
      <c r="F24" s="127"/>
      <c r="G24" s="139"/>
      <c r="H24" s="5"/>
      <c r="I24" s="5"/>
      <c r="J24" s="5"/>
      <c r="K24" s="5"/>
      <c r="L24" s="5"/>
      <c r="M24" s="104"/>
      <c r="N24" s="5"/>
      <c r="O24" s="5"/>
      <c r="P24" s="6"/>
    </row>
    <row r="25" spans="2:16" x14ac:dyDescent="0.25">
      <c r="B25" s="9"/>
      <c r="C25" s="106"/>
      <c r="D25" s="106"/>
      <c r="E25" s="146"/>
      <c r="F25" s="149"/>
      <c r="G25" s="106"/>
      <c r="H25" s="10"/>
      <c r="I25" s="10"/>
      <c r="J25" s="10"/>
      <c r="K25" s="10"/>
      <c r="L25" s="10"/>
      <c r="M25" s="106"/>
      <c r="N25" s="10"/>
      <c r="O25" s="10"/>
      <c r="P25" s="11"/>
    </row>
    <row r="27" spans="2:16" x14ac:dyDescent="0.25">
      <c r="H27" s="46"/>
    </row>
    <row r="28" spans="2:16" x14ac:dyDescent="0.25">
      <c r="B28" s="40" t="s">
        <v>77</v>
      </c>
      <c r="C28" s="114"/>
      <c r="D28" s="114"/>
    </row>
    <row r="29" spans="2:16" x14ac:dyDescent="0.25">
      <c r="B29" s="1"/>
      <c r="C29" s="102"/>
      <c r="D29" s="102"/>
      <c r="E29" s="144"/>
      <c r="F29" s="150"/>
      <c r="G29" s="102"/>
      <c r="H29" s="2"/>
      <c r="I29" s="2"/>
      <c r="J29" s="2"/>
      <c r="K29" s="2"/>
      <c r="L29" s="2"/>
      <c r="M29" s="102"/>
      <c r="N29" s="2"/>
      <c r="O29" s="2"/>
      <c r="P29" s="3"/>
    </row>
    <row r="30" spans="2:16" x14ac:dyDescent="0.25">
      <c r="B30" s="4"/>
      <c r="C30" s="104"/>
      <c r="D30" s="104"/>
      <c r="E30" s="164" t="s">
        <v>5</v>
      </c>
      <c r="F30" s="151"/>
      <c r="G30" s="105"/>
      <c r="H30" s="34" t="s">
        <v>70</v>
      </c>
      <c r="I30" s="8"/>
      <c r="J30" s="8"/>
      <c r="K30" s="8"/>
      <c r="L30" s="8"/>
      <c r="M30" s="105"/>
      <c r="N30" s="34" t="s">
        <v>72</v>
      </c>
      <c r="O30" s="8"/>
      <c r="P30" s="39"/>
    </row>
    <row r="31" spans="2:16" ht="30" x14ac:dyDescent="0.25">
      <c r="B31" s="4"/>
      <c r="C31" s="131" t="s">
        <v>172</v>
      </c>
      <c r="D31" s="103"/>
      <c r="E31" s="159" t="s">
        <v>3</v>
      </c>
      <c r="F31" s="107" t="s">
        <v>2</v>
      </c>
      <c r="G31" s="105"/>
      <c r="H31" s="41" t="s">
        <v>11</v>
      </c>
      <c r="I31" s="41" t="s">
        <v>12</v>
      </c>
      <c r="J31" s="41" t="s">
        <v>13</v>
      </c>
      <c r="K31" s="41" t="s">
        <v>14</v>
      </c>
      <c r="L31" s="41" t="s">
        <v>8</v>
      </c>
      <c r="M31" s="105"/>
      <c r="N31" s="41" t="s">
        <v>73</v>
      </c>
      <c r="O31" s="41" t="s">
        <v>12</v>
      </c>
      <c r="P31" s="39"/>
    </row>
    <row r="32" spans="2:16" ht="30" x14ac:dyDescent="0.25">
      <c r="B32" s="4"/>
      <c r="C32" s="131" t="s">
        <v>171</v>
      </c>
      <c r="D32" s="103"/>
      <c r="E32" s="160" t="s">
        <v>7</v>
      </c>
      <c r="F32" s="108" t="s">
        <v>6</v>
      </c>
      <c r="G32" s="105"/>
      <c r="H32" s="14" t="s">
        <v>46</v>
      </c>
      <c r="I32" s="12">
        <v>-3.2300000000000002E-3</v>
      </c>
      <c r="J32" s="13" t="s">
        <v>37</v>
      </c>
      <c r="K32" s="13" t="s">
        <v>37</v>
      </c>
      <c r="L32" s="31" t="b">
        <v>1</v>
      </c>
      <c r="M32" s="105"/>
      <c r="N32" s="37"/>
      <c r="O32" s="35"/>
      <c r="P32" s="39"/>
    </row>
    <row r="33" spans="2:16" ht="30" x14ac:dyDescent="0.25">
      <c r="B33" s="4"/>
      <c r="C33" s="131" t="s">
        <v>173</v>
      </c>
      <c r="D33" s="103"/>
      <c r="E33" s="160" t="s">
        <v>25</v>
      </c>
      <c r="F33" s="108" t="s">
        <v>26</v>
      </c>
      <c r="G33" s="105"/>
      <c r="H33" s="170" t="s">
        <v>48</v>
      </c>
      <c r="I33" s="171">
        <v>-3.5799999999999998E-3</v>
      </c>
      <c r="J33" s="172">
        <v>42572</v>
      </c>
      <c r="K33" s="172">
        <v>42621</v>
      </c>
      <c r="L33" s="173" t="b">
        <v>1</v>
      </c>
      <c r="M33" s="105"/>
      <c r="N33" s="37"/>
      <c r="O33" s="35"/>
      <c r="P33" s="39"/>
    </row>
    <row r="34" spans="2:16" ht="30" x14ac:dyDescent="0.25">
      <c r="B34" s="4"/>
      <c r="C34" s="131" t="s">
        <v>174</v>
      </c>
      <c r="D34" s="103"/>
      <c r="E34" s="160" t="s">
        <v>15</v>
      </c>
      <c r="F34" s="108" t="s">
        <v>30</v>
      </c>
      <c r="G34" s="105"/>
      <c r="H34" s="170" t="s">
        <v>49</v>
      </c>
      <c r="I34" s="171">
        <v>-4.0899999999999999E-3</v>
      </c>
      <c r="J34" s="172">
        <v>42621</v>
      </c>
      <c r="K34" s="172">
        <v>42663</v>
      </c>
      <c r="L34" s="173" t="b">
        <v>1</v>
      </c>
      <c r="M34" s="105"/>
      <c r="N34" s="37"/>
      <c r="O34" s="35"/>
      <c r="P34" s="39"/>
    </row>
    <row r="35" spans="2:16" ht="30" x14ac:dyDescent="0.25">
      <c r="B35" s="4"/>
      <c r="C35" s="131" t="s">
        <v>197</v>
      </c>
      <c r="D35" s="103"/>
      <c r="E35" s="160" t="s">
        <v>23</v>
      </c>
      <c r="F35" s="108" t="s">
        <v>22</v>
      </c>
      <c r="G35" s="105"/>
      <c r="H35" s="170" t="s">
        <v>51</v>
      </c>
      <c r="I35" s="171">
        <v>-4.3600000000000002E-3</v>
      </c>
      <c r="J35" s="172">
        <v>42663</v>
      </c>
      <c r="K35" s="172">
        <v>42712</v>
      </c>
      <c r="L35" s="173" t="b">
        <v>1</v>
      </c>
      <c r="M35" s="105"/>
      <c r="N35" s="37"/>
      <c r="O35" s="35"/>
      <c r="P35" s="39"/>
    </row>
    <row r="36" spans="2:16" ht="30" x14ac:dyDescent="0.25">
      <c r="B36" s="4"/>
      <c r="C36" s="131" t="s">
        <v>175</v>
      </c>
      <c r="D36" s="103"/>
      <c r="E36" s="160" t="s">
        <v>31</v>
      </c>
      <c r="F36" s="108" t="b">
        <v>1</v>
      </c>
      <c r="G36" s="105"/>
      <c r="H36" s="170" t="s">
        <v>53</v>
      </c>
      <c r="I36" s="171">
        <v>-4.6700000000000005E-3</v>
      </c>
      <c r="J36" s="172">
        <v>42712</v>
      </c>
      <c r="K36" s="172">
        <v>42754</v>
      </c>
      <c r="L36" s="173" t="b">
        <v>1</v>
      </c>
      <c r="M36" s="105"/>
      <c r="N36" s="37"/>
      <c r="O36" s="35"/>
      <c r="P36" s="39"/>
    </row>
    <row r="37" spans="2:16" ht="30" x14ac:dyDescent="0.25">
      <c r="B37" s="4"/>
      <c r="C37" s="131" t="s">
        <v>176</v>
      </c>
      <c r="D37" s="103"/>
      <c r="E37" s="160" t="s">
        <v>32</v>
      </c>
      <c r="F37" s="109">
        <v>31</v>
      </c>
      <c r="G37" s="105"/>
      <c r="H37" s="14" t="s">
        <v>56</v>
      </c>
      <c r="I37" s="12">
        <v>-4.5000000000000005E-3</v>
      </c>
      <c r="J37" s="13" t="s">
        <v>37</v>
      </c>
      <c r="K37" s="13" t="s">
        <v>37</v>
      </c>
      <c r="L37" s="31" t="b">
        <v>1</v>
      </c>
      <c r="M37" s="105"/>
      <c r="N37" s="37"/>
      <c r="O37" s="35"/>
      <c r="P37" s="39"/>
    </row>
    <row r="38" spans="2:16" ht="30" x14ac:dyDescent="0.25">
      <c r="B38" s="4"/>
      <c r="C38" s="131" t="s">
        <v>177</v>
      </c>
      <c r="D38" s="103"/>
      <c r="E38" s="160" t="s">
        <v>33</v>
      </c>
      <c r="F38" s="108" t="s">
        <v>34</v>
      </c>
      <c r="G38" s="105"/>
      <c r="H38" s="14" t="s">
        <v>58</v>
      </c>
      <c r="I38" s="12">
        <v>-4.79E-3</v>
      </c>
      <c r="J38" s="13" t="s">
        <v>37</v>
      </c>
      <c r="K38" s="13" t="s">
        <v>37</v>
      </c>
      <c r="L38" s="31" t="b">
        <v>1</v>
      </c>
      <c r="M38" s="105"/>
      <c r="N38" s="37"/>
      <c r="O38" s="35"/>
      <c r="P38" s="39"/>
    </row>
    <row r="39" spans="2:16" ht="45" x14ac:dyDescent="0.25">
      <c r="B39" s="4"/>
      <c r="C39" s="131" t="s">
        <v>202</v>
      </c>
      <c r="D39" s="103"/>
      <c r="E39" s="160" t="s">
        <v>35</v>
      </c>
      <c r="F39" s="108" t="s">
        <v>36</v>
      </c>
      <c r="G39" s="105"/>
      <c r="H39" s="14" t="s">
        <v>47</v>
      </c>
      <c r="I39" s="12">
        <v>-4.9899999999999996E-3</v>
      </c>
      <c r="J39" s="13" t="s">
        <v>37</v>
      </c>
      <c r="K39" s="13" t="s">
        <v>37</v>
      </c>
      <c r="L39" s="31" t="b">
        <v>1</v>
      </c>
      <c r="M39" s="105"/>
      <c r="N39" s="37"/>
      <c r="O39" s="35"/>
      <c r="P39" s="39"/>
    </row>
    <row r="40" spans="2:16" ht="45" x14ac:dyDescent="0.25">
      <c r="B40" s="4"/>
      <c r="C40" s="131" t="s">
        <v>178</v>
      </c>
      <c r="D40" s="103"/>
      <c r="E40" s="160" t="s">
        <v>38</v>
      </c>
      <c r="F40" s="108" t="s">
        <v>39</v>
      </c>
      <c r="G40" s="105"/>
      <c r="H40" s="14" t="s">
        <v>43</v>
      </c>
      <c r="I40" s="12">
        <v>-5.1700000000000001E-3</v>
      </c>
      <c r="J40" s="13" t="s">
        <v>37</v>
      </c>
      <c r="K40" s="13" t="s">
        <v>37</v>
      </c>
      <c r="L40" s="31" t="b">
        <v>1</v>
      </c>
      <c r="M40" s="105"/>
      <c r="N40" s="37"/>
      <c r="O40" s="35"/>
      <c r="P40" s="39"/>
    </row>
    <row r="41" spans="2:16" ht="45" x14ac:dyDescent="0.25">
      <c r="B41" s="4"/>
      <c r="C41" s="131" t="s">
        <v>180</v>
      </c>
      <c r="D41" s="103"/>
      <c r="E41" s="160" t="s">
        <v>40</v>
      </c>
      <c r="F41" s="108" t="s">
        <v>41</v>
      </c>
      <c r="G41" s="105"/>
      <c r="H41" s="14" t="s">
        <v>50</v>
      </c>
      <c r="I41" s="12">
        <v>-5.1400000000000005E-3</v>
      </c>
      <c r="J41" s="13" t="s">
        <v>37</v>
      </c>
      <c r="K41" s="13" t="s">
        <v>37</v>
      </c>
      <c r="L41" s="31" t="b">
        <v>1</v>
      </c>
      <c r="M41" s="105"/>
      <c r="N41" s="37"/>
      <c r="O41" s="35"/>
      <c r="P41" s="39"/>
    </row>
    <row r="42" spans="2:16" ht="30" x14ac:dyDescent="0.25">
      <c r="B42" s="4"/>
      <c r="C42" s="131" t="s">
        <v>179</v>
      </c>
      <c r="D42" s="103"/>
      <c r="E42" s="160" t="s">
        <v>42</v>
      </c>
      <c r="F42" s="108" t="s">
        <v>43</v>
      </c>
      <c r="G42" s="105"/>
      <c r="H42" s="14" t="s">
        <v>52</v>
      </c>
      <c r="I42" s="12">
        <v>-4.79E-3</v>
      </c>
      <c r="J42" s="13" t="s">
        <v>37</v>
      </c>
      <c r="K42" s="13" t="s">
        <v>37</v>
      </c>
      <c r="L42" s="31" t="b">
        <v>1</v>
      </c>
      <c r="M42" s="105"/>
      <c r="N42" s="37"/>
      <c r="O42" s="35"/>
      <c r="P42" s="39"/>
    </row>
    <row r="43" spans="2:16" ht="45" x14ac:dyDescent="0.25">
      <c r="B43" s="4"/>
      <c r="C43" s="131" t="s">
        <v>181</v>
      </c>
      <c r="D43" s="103"/>
      <c r="E43" s="160" t="s">
        <v>44</v>
      </c>
      <c r="F43" s="108" t="s">
        <v>45</v>
      </c>
      <c r="G43" s="105"/>
      <c r="H43" s="14" t="s">
        <v>54</v>
      </c>
      <c r="I43" s="12">
        <v>-4.1099999999999999E-3</v>
      </c>
      <c r="J43" s="13" t="s">
        <v>37</v>
      </c>
      <c r="K43" s="13" t="s">
        <v>37</v>
      </c>
      <c r="L43" s="31" t="b">
        <v>1</v>
      </c>
      <c r="M43" s="105"/>
      <c r="N43" s="37"/>
      <c r="O43" s="35"/>
      <c r="P43" s="39"/>
    </row>
    <row r="44" spans="2:16" ht="30" x14ac:dyDescent="0.25">
      <c r="B44" s="4"/>
      <c r="C44" s="131" t="s">
        <v>182</v>
      </c>
      <c r="D44" s="103"/>
      <c r="E44" s="160" t="s">
        <v>113</v>
      </c>
      <c r="F44" s="110">
        <v>1E-10</v>
      </c>
      <c r="G44" s="105"/>
      <c r="H44" s="14" t="s">
        <v>55</v>
      </c>
      <c r="I44" s="12">
        <v>-3.1900000000000001E-3</v>
      </c>
      <c r="J44" s="13" t="s">
        <v>37</v>
      </c>
      <c r="K44" s="13" t="s">
        <v>37</v>
      </c>
      <c r="L44" s="31" t="b">
        <v>1</v>
      </c>
      <c r="M44" s="105"/>
      <c r="N44" s="37"/>
      <c r="O44" s="35"/>
      <c r="P44" s="39"/>
    </row>
    <row r="45" spans="2:16" ht="30" x14ac:dyDescent="0.25">
      <c r="B45" s="4"/>
      <c r="C45" s="131" t="s">
        <v>183</v>
      </c>
      <c r="D45" s="103"/>
      <c r="E45" s="160" t="s">
        <v>114</v>
      </c>
      <c r="F45" s="124">
        <v>1000</v>
      </c>
      <c r="G45" s="105"/>
      <c r="H45" s="14" t="s">
        <v>57</v>
      </c>
      <c r="I45" s="12">
        <v>-2.1700000000000001E-3</v>
      </c>
      <c r="J45" s="13" t="s">
        <v>37</v>
      </c>
      <c r="K45" s="13" t="s">
        <v>37</v>
      </c>
      <c r="L45" s="31" t="b">
        <v>1</v>
      </c>
      <c r="M45" s="105"/>
      <c r="N45" s="37"/>
      <c r="O45" s="35"/>
      <c r="P45" s="39"/>
    </row>
    <row r="46" spans="2:16" ht="60" x14ac:dyDescent="0.25">
      <c r="B46" s="4"/>
      <c r="C46" s="132" t="s">
        <v>184</v>
      </c>
      <c r="D46" s="103"/>
      <c r="E46" s="160" t="s">
        <v>131</v>
      </c>
      <c r="F46" s="108" t="b">
        <v>1</v>
      </c>
      <c r="G46" s="105"/>
      <c r="H46" s="14" t="s">
        <v>59</v>
      </c>
      <c r="I46" s="12">
        <v>-1.14E-3</v>
      </c>
      <c r="J46" s="13" t="s">
        <v>37</v>
      </c>
      <c r="K46" s="13" t="s">
        <v>37</v>
      </c>
      <c r="L46" s="31" t="b">
        <v>1</v>
      </c>
      <c r="M46" s="105"/>
      <c r="N46" s="37"/>
      <c r="O46" s="35"/>
      <c r="P46" s="39"/>
    </row>
    <row r="47" spans="2:16" x14ac:dyDescent="0.25">
      <c r="B47" s="4"/>
      <c r="C47" s="133"/>
      <c r="D47" s="103"/>
      <c r="E47" s="165"/>
      <c r="F47" s="108"/>
      <c r="G47" s="105"/>
      <c r="H47" s="14" t="s">
        <v>60</v>
      </c>
      <c r="I47" s="12">
        <v>-1.4000000000000001E-4</v>
      </c>
      <c r="J47" s="13" t="s">
        <v>37</v>
      </c>
      <c r="K47" s="13" t="s">
        <v>37</v>
      </c>
      <c r="L47" s="31" t="b">
        <v>1</v>
      </c>
      <c r="M47" s="105"/>
      <c r="N47" s="37"/>
      <c r="O47" s="35"/>
      <c r="P47" s="39"/>
    </row>
    <row r="48" spans="2:16" x14ac:dyDescent="0.25">
      <c r="B48" s="4"/>
      <c r="C48" s="133"/>
      <c r="D48" s="103"/>
      <c r="E48" s="165"/>
      <c r="F48" s="152"/>
      <c r="G48" s="105"/>
      <c r="H48" s="14" t="s">
        <v>61</v>
      </c>
      <c r="I48" s="12">
        <v>7.5000000000000002E-4</v>
      </c>
      <c r="J48" s="13" t="s">
        <v>37</v>
      </c>
      <c r="K48" s="13" t="s">
        <v>37</v>
      </c>
      <c r="L48" s="31" t="b">
        <v>1</v>
      </c>
      <c r="M48" s="105"/>
      <c r="N48" s="37"/>
      <c r="O48" s="35"/>
      <c r="P48" s="39"/>
    </row>
    <row r="49" spans="2:16" x14ac:dyDescent="0.25">
      <c r="B49" s="4"/>
      <c r="C49" s="133" t="s">
        <v>188</v>
      </c>
      <c r="D49" s="103"/>
      <c r="E49" s="165"/>
      <c r="F49" s="152"/>
      <c r="G49" s="105"/>
      <c r="H49" s="14" t="s">
        <v>62</v>
      </c>
      <c r="I49" s="12">
        <v>1.56E-3</v>
      </c>
      <c r="J49" s="13" t="s">
        <v>37</v>
      </c>
      <c r="K49" s="13" t="s">
        <v>37</v>
      </c>
      <c r="L49" s="31" t="b">
        <v>1</v>
      </c>
      <c r="M49" s="105"/>
      <c r="N49" s="37"/>
      <c r="O49" s="35"/>
      <c r="P49" s="39"/>
    </row>
    <row r="50" spans="2:16" x14ac:dyDescent="0.25">
      <c r="B50" s="4"/>
      <c r="C50" s="140" t="s">
        <v>185</v>
      </c>
      <c r="D50" s="103"/>
      <c r="E50" s="165"/>
      <c r="F50" s="152"/>
      <c r="G50" s="105"/>
      <c r="H50" s="14" t="s">
        <v>63</v>
      </c>
      <c r="I50" s="12">
        <v>3.3800000000000002E-3</v>
      </c>
      <c r="J50" s="13" t="s">
        <v>37</v>
      </c>
      <c r="K50" s="13" t="s">
        <v>37</v>
      </c>
      <c r="L50" s="31" t="b">
        <v>1</v>
      </c>
      <c r="M50" s="105"/>
      <c r="N50" s="37"/>
      <c r="O50" s="35"/>
      <c r="P50" s="39"/>
    </row>
    <row r="51" spans="2:16" x14ac:dyDescent="0.25">
      <c r="B51" s="4"/>
      <c r="C51" s="140" t="s">
        <v>186</v>
      </c>
      <c r="D51" s="103"/>
      <c r="E51" s="165"/>
      <c r="F51" s="152"/>
      <c r="G51" s="105"/>
      <c r="H51" s="14" t="s">
        <v>64</v>
      </c>
      <c r="I51" s="12">
        <v>4.8900000000000002E-3</v>
      </c>
      <c r="J51" s="13" t="s">
        <v>37</v>
      </c>
      <c r="K51" s="13" t="s">
        <v>37</v>
      </c>
      <c r="L51" s="31" t="b">
        <v>1</v>
      </c>
      <c r="M51" s="105"/>
      <c r="N51" s="37"/>
      <c r="O51" s="35"/>
      <c r="P51" s="39"/>
    </row>
    <row r="52" spans="2:16" x14ac:dyDescent="0.25">
      <c r="B52" s="4"/>
      <c r="C52" s="140" t="s">
        <v>187</v>
      </c>
      <c r="D52" s="103"/>
      <c r="E52" s="165"/>
      <c r="F52" s="152"/>
      <c r="G52" s="105"/>
      <c r="H52" s="14" t="s">
        <v>65</v>
      </c>
      <c r="I52" s="12">
        <v>5.3700000000000006E-3</v>
      </c>
      <c r="J52" s="13" t="s">
        <v>37</v>
      </c>
      <c r="K52" s="13" t="s">
        <v>37</v>
      </c>
      <c r="L52" s="31" t="b">
        <v>1</v>
      </c>
      <c r="M52" s="105"/>
      <c r="N52" s="37"/>
      <c r="O52" s="35"/>
      <c r="P52" s="39"/>
    </row>
    <row r="53" spans="2:16" x14ac:dyDescent="0.25">
      <c r="B53" s="4"/>
      <c r="C53" s="133"/>
      <c r="D53" s="103"/>
      <c r="E53" s="165"/>
      <c r="F53" s="152"/>
      <c r="G53" s="105"/>
      <c r="H53" s="14" t="s">
        <v>66</v>
      </c>
      <c r="I53" s="12">
        <v>5.5200000000000006E-3</v>
      </c>
      <c r="J53" s="13" t="s">
        <v>37</v>
      </c>
      <c r="K53" s="13" t="s">
        <v>37</v>
      </c>
      <c r="L53" s="31" t="b">
        <v>1</v>
      </c>
      <c r="M53" s="105"/>
      <c r="N53" s="37"/>
      <c r="O53" s="35"/>
      <c r="P53" s="39"/>
    </row>
    <row r="54" spans="2:16" x14ac:dyDescent="0.25">
      <c r="B54" s="4"/>
      <c r="C54" s="133"/>
      <c r="D54" s="103"/>
      <c r="E54" s="165"/>
      <c r="F54" s="152"/>
      <c r="G54" s="105"/>
      <c r="H54" s="14" t="s">
        <v>67</v>
      </c>
      <c r="I54" s="12">
        <v>5.6999999999999993E-3</v>
      </c>
      <c r="J54" s="13" t="s">
        <v>37</v>
      </c>
      <c r="K54" s="13" t="s">
        <v>37</v>
      </c>
      <c r="L54" s="31" t="b">
        <v>1</v>
      </c>
      <c r="M54" s="105"/>
      <c r="N54" s="37"/>
      <c r="O54" s="35"/>
      <c r="P54" s="39"/>
    </row>
    <row r="55" spans="2:16" x14ac:dyDescent="0.25">
      <c r="B55" s="4"/>
      <c r="C55" s="133"/>
      <c r="D55" s="103"/>
      <c r="E55" s="165"/>
      <c r="F55" s="152"/>
      <c r="G55" s="105"/>
      <c r="H55" s="14" t="s">
        <v>134</v>
      </c>
      <c r="I55" s="12">
        <v>5.45E-3</v>
      </c>
      <c r="J55" s="13" t="s">
        <v>37</v>
      </c>
      <c r="K55" s="13" t="s">
        <v>37</v>
      </c>
      <c r="L55" s="31" t="b">
        <v>1</v>
      </c>
      <c r="M55" s="105"/>
      <c r="N55" s="37"/>
      <c r="O55" s="35"/>
      <c r="P55" s="39"/>
    </row>
    <row r="56" spans="2:16" x14ac:dyDescent="0.25">
      <c r="B56" s="4"/>
      <c r="C56" s="133"/>
      <c r="D56" s="103"/>
      <c r="E56" s="165"/>
      <c r="F56" s="152"/>
      <c r="G56" s="105"/>
      <c r="H56" s="14"/>
      <c r="I56" s="12"/>
      <c r="J56" s="13"/>
      <c r="K56" s="13"/>
      <c r="L56" s="31"/>
      <c r="M56" s="105"/>
      <c r="N56" s="37"/>
      <c r="O56" s="35"/>
      <c r="P56" s="39"/>
    </row>
    <row r="57" spans="2:16" x14ac:dyDescent="0.25">
      <c r="B57" s="4"/>
      <c r="C57" s="134"/>
      <c r="D57" s="103"/>
      <c r="E57" s="166"/>
      <c r="F57" s="153"/>
      <c r="G57" s="105"/>
      <c r="H57" s="15"/>
      <c r="I57" s="16"/>
      <c r="J57" s="32"/>
      <c r="K57" s="32"/>
      <c r="L57" s="33"/>
      <c r="M57" s="105"/>
      <c r="N57" s="38"/>
      <c r="O57" s="36"/>
      <c r="P57" s="39"/>
    </row>
    <row r="58" spans="2:16" x14ac:dyDescent="0.25">
      <c r="B58" s="9"/>
      <c r="C58" s="106"/>
      <c r="D58" s="106"/>
      <c r="E58" s="146"/>
      <c r="F58" s="149"/>
      <c r="G58" s="106"/>
      <c r="H58" s="10"/>
      <c r="I58" s="10"/>
      <c r="J58" s="10"/>
      <c r="K58" s="10"/>
      <c r="L58" s="10"/>
      <c r="M58" s="106"/>
      <c r="N58" s="10"/>
      <c r="O58" s="10"/>
      <c r="P58" s="11"/>
    </row>
    <row r="61" spans="2:16" x14ac:dyDescent="0.25">
      <c r="B61" s="40" t="s">
        <v>76</v>
      </c>
      <c r="C61" s="114"/>
      <c r="D61" s="114"/>
    </row>
    <row r="62" spans="2:16" x14ac:dyDescent="0.25">
      <c r="B62" s="1"/>
      <c r="C62" s="102"/>
      <c r="D62" s="102"/>
      <c r="E62" s="144"/>
      <c r="F62" s="150"/>
      <c r="G62" s="102"/>
      <c r="H62" s="2"/>
      <c r="I62" s="2"/>
      <c r="J62" s="2"/>
      <c r="K62" s="2"/>
      <c r="L62" s="2"/>
      <c r="M62" s="102"/>
      <c r="N62" s="2"/>
      <c r="O62" s="2"/>
      <c r="P62" s="3"/>
    </row>
    <row r="63" spans="2:16" x14ac:dyDescent="0.25">
      <c r="B63" s="4"/>
      <c r="C63" s="104"/>
      <c r="D63" s="104"/>
      <c r="E63" s="164" t="s">
        <v>69</v>
      </c>
      <c r="F63" s="151"/>
      <c r="G63" s="105"/>
      <c r="H63" s="34" t="s">
        <v>71</v>
      </c>
      <c r="I63" s="8"/>
      <c r="J63" s="8"/>
      <c r="K63" s="34" t="s">
        <v>74</v>
      </c>
      <c r="L63" s="8"/>
      <c r="M63" s="105"/>
      <c r="N63" s="34" t="s">
        <v>75</v>
      </c>
      <c r="O63" s="8"/>
      <c r="P63" s="39"/>
    </row>
    <row r="64" spans="2:16" ht="30" x14ac:dyDescent="0.25">
      <c r="B64" s="4"/>
      <c r="C64" s="131" t="s">
        <v>172</v>
      </c>
      <c r="D64" s="103"/>
      <c r="E64" s="159" t="s">
        <v>1</v>
      </c>
      <c r="F64" s="107" t="s">
        <v>2</v>
      </c>
      <c r="G64" s="105"/>
      <c r="H64" s="41" t="s">
        <v>11</v>
      </c>
      <c r="I64" s="41" t="s">
        <v>12</v>
      </c>
      <c r="J64" s="8"/>
      <c r="K64" s="17" t="s">
        <v>3</v>
      </c>
      <c r="L64" s="24" t="s">
        <v>2</v>
      </c>
      <c r="M64" s="105"/>
      <c r="N64" s="41" t="s">
        <v>11</v>
      </c>
      <c r="O64" s="41" t="s">
        <v>12</v>
      </c>
      <c r="P64" s="39"/>
    </row>
    <row r="65" spans="2:16" ht="30" x14ac:dyDescent="0.25">
      <c r="B65" s="4"/>
      <c r="C65" s="131" t="s">
        <v>171</v>
      </c>
      <c r="D65" s="103"/>
      <c r="E65" s="160" t="s">
        <v>18</v>
      </c>
      <c r="F65" s="108" t="s">
        <v>6</v>
      </c>
      <c r="G65" s="105"/>
      <c r="H65" s="14" t="s">
        <v>47</v>
      </c>
      <c r="I65" s="35">
        <v>1.1900000000000001E-3</v>
      </c>
      <c r="J65" s="8"/>
      <c r="K65" s="18" t="s">
        <v>19</v>
      </c>
      <c r="L65" s="25" t="s">
        <v>20</v>
      </c>
      <c r="M65" s="105"/>
      <c r="N65" s="14" t="s">
        <v>47</v>
      </c>
      <c r="O65" s="35">
        <v>-3.8500000000000001E-3</v>
      </c>
      <c r="P65" s="39"/>
    </row>
    <row r="66" spans="2:16" ht="30" x14ac:dyDescent="0.25">
      <c r="B66" s="4"/>
      <c r="C66" s="131" t="s">
        <v>173</v>
      </c>
      <c r="D66" s="103"/>
      <c r="E66" s="160" t="s">
        <v>27</v>
      </c>
      <c r="F66" s="108" t="s">
        <v>28</v>
      </c>
      <c r="G66" s="105"/>
      <c r="H66" s="14" t="s">
        <v>43</v>
      </c>
      <c r="I66" s="35">
        <v>1.2900000000000001E-3</v>
      </c>
      <c r="J66" s="8"/>
      <c r="K66" s="18" t="s">
        <v>29</v>
      </c>
      <c r="L66" s="25" t="s">
        <v>26</v>
      </c>
      <c r="M66" s="105"/>
      <c r="N66" s="14" t="s">
        <v>43</v>
      </c>
      <c r="O66" s="35">
        <v>-3.9300000000000003E-3</v>
      </c>
      <c r="P66" s="39"/>
    </row>
    <row r="67" spans="2:16" ht="30" x14ac:dyDescent="0.25">
      <c r="B67" s="4"/>
      <c r="C67" s="131" t="s">
        <v>197</v>
      </c>
      <c r="D67" s="103"/>
      <c r="E67" s="160" t="s">
        <v>21</v>
      </c>
      <c r="F67" s="108" t="s">
        <v>22</v>
      </c>
      <c r="G67" s="105"/>
      <c r="H67" s="14" t="s">
        <v>50</v>
      </c>
      <c r="I67" s="35">
        <v>1.3800000000000002E-3</v>
      </c>
      <c r="J67" s="8"/>
      <c r="K67" s="18" t="s">
        <v>23</v>
      </c>
      <c r="L67" s="25" t="s">
        <v>22</v>
      </c>
      <c r="M67" s="105"/>
      <c r="N67" s="14" t="s">
        <v>50</v>
      </c>
      <c r="O67" s="35">
        <v>-3.82E-3</v>
      </c>
      <c r="P67" s="39"/>
    </row>
    <row r="68" spans="2:16" x14ac:dyDescent="0.25">
      <c r="B68" s="4"/>
      <c r="C68" s="133"/>
      <c r="D68" s="103"/>
      <c r="E68" s="160"/>
      <c r="F68" s="108"/>
      <c r="G68" s="105"/>
      <c r="H68" s="14" t="s">
        <v>52</v>
      </c>
      <c r="I68" s="35">
        <v>1.4499999999999999E-3</v>
      </c>
      <c r="J68" s="8"/>
      <c r="K68" s="18"/>
      <c r="L68" s="25"/>
      <c r="M68" s="105"/>
      <c r="N68" s="14" t="s">
        <v>52</v>
      </c>
      <c r="O68" s="35">
        <v>-3.3900000000000002E-3</v>
      </c>
      <c r="P68" s="39"/>
    </row>
    <row r="69" spans="2:16" x14ac:dyDescent="0.25">
      <c r="B69" s="4"/>
      <c r="C69" s="133"/>
      <c r="D69" s="103"/>
      <c r="E69" s="160"/>
      <c r="F69" s="108"/>
      <c r="G69" s="105"/>
      <c r="H69" s="14" t="s">
        <v>54</v>
      </c>
      <c r="I69" s="35">
        <v>1.47E-3</v>
      </c>
      <c r="J69" s="8"/>
      <c r="K69" s="19"/>
      <c r="L69" s="25"/>
      <c r="M69" s="105"/>
      <c r="N69" s="14" t="s">
        <v>54</v>
      </c>
      <c r="O69" s="35">
        <v>-2.6800000000000001E-3</v>
      </c>
      <c r="P69" s="39"/>
    </row>
    <row r="70" spans="2:16" x14ac:dyDescent="0.25">
      <c r="B70" s="4"/>
      <c r="C70" s="133"/>
      <c r="D70" s="103"/>
      <c r="E70" s="160"/>
      <c r="F70" s="109"/>
      <c r="G70" s="105"/>
      <c r="H70" s="14" t="s">
        <v>55</v>
      </c>
      <c r="I70" s="35">
        <v>1.4599999999999999E-3</v>
      </c>
      <c r="J70" s="8"/>
      <c r="K70" s="20"/>
      <c r="L70" s="26"/>
      <c r="M70" s="105"/>
      <c r="N70" s="14" t="s">
        <v>55</v>
      </c>
      <c r="O70" s="35">
        <v>-1.7499999999999998E-3</v>
      </c>
      <c r="P70" s="39"/>
    </row>
    <row r="71" spans="2:16" x14ac:dyDescent="0.25">
      <c r="B71" s="4"/>
      <c r="C71" s="133"/>
      <c r="D71" s="103"/>
      <c r="E71" s="160"/>
      <c r="F71" s="108"/>
      <c r="G71" s="105"/>
      <c r="H71" s="14" t="s">
        <v>57</v>
      </c>
      <c r="I71" s="35">
        <v>1.4499999999999999E-3</v>
      </c>
      <c r="J71" s="8"/>
      <c r="K71" s="18"/>
      <c r="L71" s="25"/>
      <c r="M71" s="105"/>
      <c r="N71" s="14" t="s">
        <v>57</v>
      </c>
      <c r="O71" s="35">
        <v>-7.3999999999999999E-4</v>
      </c>
      <c r="P71" s="39"/>
    </row>
    <row r="72" spans="2:16" x14ac:dyDescent="0.25">
      <c r="B72" s="4"/>
      <c r="C72" s="133"/>
      <c r="D72" s="103"/>
      <c r="E72" s="160"/>
      <c r="F72" s="108"/>
      <c r="G72" s="105"/>
      <c r="H72" s="14" t="s">
        <v>59</v>
      </c>
      <c r="I72" s="35">
        <v>1.4400000000000001E-3</v>
      </c>
      <c r="J72" s="8"/>
      <c r="K72" s="18"/>
      <c r="L72" s="25"/>
      <c r="M72" s="105"/>
      <c r="N72" s="14" t="s">
        <v>59</v>
      </c>
      <c r="O72" s="35">
        <v>3.1E-4</v>
      </c>
      <c r="P72" s="39"/>
    </row>
    <row r="73" spans="2:16" x14ac:dyDescent="0.25">
      <c r="B73" s="4"/>
      <c r="C73" s="133"/>
      <c r="D73" s="103"/>
      <c r="E73" s="160"/>
      <c r="F73" s="108"/>
      <c r="G73" s="105"/>
      <c r="H73" s="14" t="s">
        <v>60</v>
      </c>
      <c r="I73" s="35">
        <v>1.4199999999999998E-3</v>
      </c>
      <c r="J73" s="8"/>
      <c r="K73" s="18"/>
      <c r="L73" s="25"/>
      <c r="M73" s="105"/>
      <c r="N73" s="14" t="s">
        <v>60</v>
      </c>
      <c r="O73" s="35">
        <v>1.2999999999999999E-3</v>
      </c>
      <c r="P73" s="39"/>
    </row>
    <row r="74" spans="2:16" x14ac:dyDescent="0.25">
      <c r="B74" s="4"/>
      <c r="C74" s="133"/>
      <c r="D74" s="103"/>
      <c r="E74" s="160"/>
      <c r="F74" s="108"/>
      <c r="G74" s="105"/>
      <c r="H74" s="14" t="s">
        <v>61</v>
      </c>
      <c r="I74" s="35">
        <v>1.4E-3</v>
      </c>
      <c r="J74" s="8"/>
      <c r="K74" s="18"/>
      <c r="L74" s="25"/>
      <c r="M74" s="105"/>
      <c r="N74" s="14" t="s">
        <v>61</v>
      </c>
      <c r="O74" s="35">
        <v>2.1800000000000001E-3</v>
      </c>
      <c r="P74" s="39"/>
    </row>
    <row r="75" spans="2:16" x14ac:dyDescent="0.25">
      <c r="B75" s="4"/>
      <c r="C75" s="133" t="s">
        <v>188</v>
      </c>
      <c r="D75" s="103"/>
      <c r="E75" s="160"/>
      <c r="F75" s="108"/>
      <c r="G75" s="105"/>
      <c r="H75" s="14" t="s">
        <v>62</v>
      </c>
      <c r="I75" s="35">
        <v>1.3800000000000002E-3</v>
      </c>
      <c r="J75" s="8"/>
      <c r="K75" s="18"/>
      <c r="L75" s="25"/>
      <c r="M75" s="105"/>
      <c r="N75" s="14" t="s">
        <v>62</v>
      </c>
      <c r="O75" s="35">
        <v>2.98E-3</v>
      </c>
      <c r="P75" s="39"/>
    </row>
    <row r="76" spans="2:16" x14ac:dyDescent="0.25">
      <c r="B76" s="4"/>
      <c r="C76" s="140" t="s">
        <v>189</v>
      </c>
      <c r="D76" s="103"/>
      <c r="E76" s="160"/>
      <c r="F76" s="108"/>
      <c r="G76" s="105"/>
      <c r="H76" s="14" t="s">
        <v>63</v>
      </c>
      <c r="I76" s="35">
        <v>1.31E-3</v>
      </c>
      <c r="J76" s="8"/>
      <c r="K76" s="19"/>
      <c r="L76" s="25"/>
      <c r="M76" s="105"/>
      <c r="N76" s="14" t="s">
        <v>63</v>
      </c>
      <c r="O76" s="35">
        <v>4.7599999999999995E-3</v>
      </c>
      <c r="P76" s="39"/>
    </row>
    <row r="77" spans="2:16" x14ac:dyDescent="0.25">
      <c r="B77" s="4"/>
      <c r="C77" s="140" t="s">
        <v>190</v>
      </c>
      <c r="D77" s="103"/>
      <c r="E77" s="167"/>
      <c r="F77" s="152"/>
      <c r="G77" s="105"/>
      <c r="H77" s="14" t="s">
        <v>64</v>
      </c>
      <c r="I77" s="35">
        <v>1.16E-3</v>
      </c>
      <c r="J77" s="8"/>
      <c r="K77" s="21"/>
      <c r="L77" s="27"/>
      <c r="M77" s="105"/>
      <c r="N77" s="14" t="s">
        <v>64</v>
      </c>
      <c r="O77" s="35">
        <v>6.1399999999999996E-3</v>
      </c>
      <c r="P77" s="39"/>
    </row>
    <row r="78" spans="2:16" x14ac:dyDescent="0.25">
      <c r="B78" s="4"/>
      <c r="C78" s="140"/>
      <c r="D78" s="103"/>
      <c r="E78" s="167"/>
      <c r="F78" s="110"/>
      <c r="G78" s="105"/>
      <c r="H78" s="14" t="s">
        <v>65</v>
      </c>
      <c r="I78" s="35">
        <v>1.06E-3</v>
      </c>
      <c r="J78" s="8"/>
      <c r="K78" s="21"/>
      <c r="L78" s="28"/>
      <c r="M78" s="105"/>
      <c r="N78" s="14" t="s">
        <v>65</v>
      </c>
      <c r="O78" s="35">
        <v>6.5200000000000006E-3</v>
      </c>
      <c r="P78" s="39"/>
    </row>
    <row r="79" spans="2:16" x14ac:dyDescent="0.25">
      <c r="B79" s="4"/>
      <c r="C79" s="133"/>
      <c r="D79" s="103"/>
      <c r="E79" s="167"/>
      <c r="F79" s="152"/>
      <c r="G79" s="105"/>
      <c r="H79" s="14" t="s">
        <v>66</v>
      </c>
      <c r="I79" s="35">
        <v>9.6999999999999994E-4</v>
      </c>
      <c r="J79" s="8"/>
      <c r="K79" s="21"/>
      <c r="L79" s="27"/>
      <c r="M79" s="105"/>
      <c r="N79" s="14" t="s">
        <v>66</v>
      </c>
      <c r="O79" s="35">
        <v>6.5900000000000004E-3</v>
      </c>
      <c r="P79" s="39"/>
    </row>
    <row r="80" spans="2:16" x14ac:dyDescent="0.25">
      <c r="B80" s="4"/>
      <c r="C80" s="133"/>
      <c r="D80" s="103"/>
      <c r="E80" s="165"/>
      <c r="F80" s="108"/>
      <c r="G80" s="105"/>
      <c r="H80" s="14" t="s">
        <v>67</v>
      </c>
      <c r="I80" s="35">
        <v>8.1999999999999998E-4</v>
      </c>
      <c r="J80" s="8"/>
      <c r="K80" s="22"/>
      <c r="L80" s="25"/>
      <c r="M80" s="105"/>
      <c r="N80" s="14" t="s">
        <v>67</v>
      </c>
      <c r="O80" s="35">
        <v>6.6100000000000004E-3</v>
      </c>
      <c r="P80" s="39"/>
    </row>
    <row r="81" spans="2:16" x14ac:dyDescent="0.25">
      <c r="B81" s="4"/>
      <c r="C81" s="133"/>
      <c r="D81" s="103"/>
      <c r="E81" s="165"/>
      <c r="F81" s="152"/>
      <c r="G81" s="105"/>
      <c r="H81" s="14" t="s">
        <v>134</v>
      </c>
      <c r="I81" s="35">
        <v>7.3999999999999999E-4</v>
      </c>
      <c r="J81" s="8"/>
      <c r="K81" s="22"/>
      <c r="L81" s="29"/>
      <c r="M81" s="105"/>
      <c r="N81" s="14" t="s">
        <v>134</v>
      </c>
      <c r="O81" s="35">
        <v>6.2900000000000005E-3</v>
      </c>
      <c r="P81" s="39"/>
    </row>
    <row r="82" spans="2:16" x14ac:dyDescent="0.25">
      <c r="B82" s="4"/>
      <c r="C82" s="133"/>
      <c r="D82" s="103"/>
      <c r="E82" s="165"/>
      <c r="F82" s="152"/>
      <c r="G82" s="105"/>
      <c r="H82" s="14"/>
      <c r="I82" s="35"/>
      <c r="J82" s="8"/>
      <c r="K82" s="22"/>
      <c r="L82" s="29"/>
      <c r="M82" s="105"/>
      <c r="N82" s="14"/>
      <c r="O82" s="35"/>
      <c r="P82" s="39"/>
    </row>
    <row r="83" spans="2:16" x14ac:dyDescent="0.25">
      <c r="B83" s="4"/>
      <c r="C83" s="133"/>
      <c r="D83" s="103"/>
      <c r="E83" s="165"/>
      <c r="F83" s="152"/>
      <c r="G83" s="105"/>
      <c r="H83" s="14"/>
      <c r="I83" s="35"/>
      <c r="J83" s="8"/>
      <c r="K83" s="22"/>
      <c r="L83" s="29"/>
      <c r="M83" s="105"/>
      <c r="N83" s="14"/>
      <c r="O83" s="35"/>
      <c r="P83" s="39"/>
    </row>
    <row r="84" spans="2:16" x14ac:dyDescent="0.25">
      <c r="B84" s="4"/>
      <c r="C84" s="133"/>
      <c r="D84" s="103"/>
      <c r="E84" s="165"/>
      <c r="F84" s="152"/>
      <c r="G84" s="105"/>
      <c r="H84" s="14"/>
      <c r="I84" s="35"/>
      <c r="J84" s="8"/>
      <c r="K84" s="22"/>
      <c r="L84" s="29"/>
      <c r="M84" s="105"/>
      <c r="N84" s="14"/>
      <c r="O84" s="35"/>
      <c r="P84" s="39"/>
    </row>
    <row r="85" spans="2:16" x14ac:dyDescent="0.25">
      <c r="B85" s="4"/>
      <c r="C85" s="133"/>
      <c r="D85" s="103"/>
      <c r="E85" s="165"/>
      <c r="F85" s="152"/>
      <c r="G85" s="105"/>
      <c r="H85" s="14"/>
      <c r="I85" s="35"/>
      <c r="J85" s="8"/>
      <c r="K85" s="22"/>
      <c r="L85" s="29"/>
      <c r="M85" s="105"/>
      <c r="N85" s="14"/>
      <c r="O85" s="35"/>
      <c r="P85" s="39"/>
    </row>
    <row r="86" spans="2:16" x14ac:dyDescent="0.25">
      <c r="B86" s="4"/>
      <c r="C86" s="133"/>
      <c r="D86" s="103"/>
      <c r="E86" s="165"/>
      <c r="F86" s="152"/>
      <c r="G86" s="105"/>
      <c r="H86" s="14"/>
      <c r="I86" s="35"/>
      <c r="J86" s="8"/>
      <c r="K86" s="22"/>
      <c r="L86" s="29"/>
      <c r="M86" s="105"/>
      <c r="N86" s="14"/>
      <c r="O86" s="35"/>
      <c r="P86" s="39"/>
    </row>
    <row r="87" spans="2:16" x14ac:dyDescent="0.25">
      <c r="B87" s="4"/>
      <c r="C87" s="133"/>
      <c r="D87" s="103"/>
      <c r="E87" s="165"/>
      <c r="F87" s="152"/>
      <c r="G87" s="105"/>
      <c r="H87" s="14"/>
      <c r="I87" s="35"/>
      <c r="J87" s="8"/>
      <c r="K87" s="22"/>
      <c r="L87" s="29"/>
      <c r="M87" s="105"/>
      <c r="N87" s="14"/>
      <c r="O87" s="35"/>
      <c r="P87" s="39"/>
    </row>
    <row r="88" spans="2:16" x14ac:dyDescent="0.25">
      <c r="B88" s="4"/>
      <c r="C88" s="133"/>
      <c r="D88" s="103"/>
      <c r="E88" s="165"/>
      <c r="F88" s="152"/>
      <c r="G88" s="105"/>
      <c r="H88" s="14"/>
      <c r="I88" s="35"/>
      <c r="J88" s="8"/>
      <c r="K88" s="22"/>
      <c r="L88" s="29"/>
      <c r="M88" s="105"/>
      <c r="N88" s="14"/>
      <c r="O88" s="35"/>
      <c r="P88" s="39"/>
    </row>
    <row r="89" spans="2:16" x14ac:dyDescent="0.25">
      <c r="B89" s="4"/>
      <c r="C89" s="134"/>
      <c r="D89" s="103"/>
      <c r="E89" s="166"/>
      <c r="F89" s="153"/>
      <c r="G89" s="105"/>
      <c r="H89" s="15"/>
      <c r="I89" s="36"/>
      <c r="J89" s="8"/>
      <c r="K89" s="23"/>
      <c r="L89" s="30"/>
      <c r="M89" s="105"/>
      <c r="N89" s="15"/>
      <c r="O89" s="36"/>
      <c r="P89" s="39"/>
    </row>
    <row r="90" spans="2:16" x14ac:dyDescent="0.25">
      <c r="B90" s="9"/>
      <c r="C90" s="106"/>
      <c r="D90" s="106"/>
      <c r="E90" s="146"/>
      <c r="F90" s="149"/>
      <c r="G90" s="106"/>
      <c r="H90" s="10"/>
      <c r="I90" s="10"/>
      <c r="J90" s="10"/>
      <c r="K90" s="10"/>
      <c r="L90" s="10"/>
      <c r="M90" s="106"/>
      <c r="N90" s="10"/>
      <c r="O90" s="10"/>
      <c r="P90" s="11"/>
    </row>
  </sheetData>
  <dataValidations disablePrompts="1" count="1">
    <dataValidation type="list" allowBlank="1" showInputMessage="1" showErrorMessage="1" sqref="F22:F23 G19:G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A1:R113"/>
  <sheetViews>
    <sheetView showGridLines="0" workbookViewId="0"/>
  </sheetViews>
  <sheetFormatPr defaultRowHeight="15" x14ac:dyDescent="0.25"/>
  <cols>
    <col min="2" max="2" width="2.7109375" customWidth="1"/>
    <col min="3" max="3" width="110.7109375" style="99" hidden="1" customWidth="1"/>
    <col min="4" max="4" width="4.7109375" style="101" hidden="1" customWidth="1"/>
    <col min="5" max="5" width="21.85546875" style="143" customWidth="1"/>
    <col min="6" max="6" width="32.7109375" style="148" customWidth="1"/>
    <col min="8" max="9" width="18.7109375" customWidth="1"/>
    <col min="10" max="10" width="12.7109375" customWidth="1"/>
    <col min="11" max="11" width="14.28515625" customWidth="1"/>
    <col min="12" max="12" width="15.140625" customWidth="1"/>
    <col min="13" max="14" width="18.7109375" customWidth="1"/>
    <col min="15" max="15" width="4.7109375" customWidth="1"/>
    <col min="17" max="17" width="10.5703125" customWidth="1"/>
    <col min="18" max="18" width="9.7109375" bestFit="1" customWidth="1"/>
  </cols>
  <sheetData>
    <row r="1" spans="1:15" x14ac:dyDescent="0.25">
      <c r="A1" s="101"/>
    </row>
    <row r="2" spans="1:15" ht="23.25" x14ac:dyDescent="0.35">
      <c r="A2" s="101"/>
      <c r="B2" s="193" t="s">
        <v>221</v>
      </c>
      <c r="C2" s="100"/>
      <c r="D2" s="114"/>
    </row>
    <row r="3" spans="1:15" ht="23.25" x14ac:dyDescent="0.35">
      <c r="B3" s="177" t="s">
        <v>210</v>
      </c>
    </row>
    <row r="4" spans="1:15" ht="23.25" x14ac:dyDescent="0.35">
      <c r="B4" s="177" t="s">
        <v>209</v>
      </c>
    </row>
    <row r="5" spans="1:15" s="178" customFormat="1" x14ac:dyDescent="0.25">
      <c r="C5" s="179"/>
      <c r="E5" s="180"/>
      <c r="F5" s="181"/>
    </row>
    <row r="6" spans="1:15" x14ac:dyDescent="0.25">
      <c r="B6" s="40" t="s">
        <v>162</v>
      </c>
      <c r="C6" s="100"/>
      <c r="D6" s="114"/>
    </row>
    <row r="7" spans="1:15" x14ac:dyDescent="0.25">
      <c r="B7" s="1"/>
      <c r="C7" s="102"/>
      <c r="D7" s="102"/>
      <c r="E7" s="154"/>
      <c r="F7" s="111"/>
      <c r="G7" s="2"/>
      <c r="H7" s="2"/>
      <c r="I7" s="2"/>
      <c r="J7" s="2"/>
      <c r="K7" s="2"/>
      <c r="L7" s="2"/>
      <c r="M7" s="2"/>
      <c r="N7" s="2"/>
      <c r="O7" s="3"/>
    </row>
    <row r="8" spans="1:15" x14ac:dyDescent="0.25">
      <c r="B8" s="4"/>
      <c r="C8" s="113"/>
      <c r="D8" s="104"/>
      <c r="E8" s="155" t="s">
        <v>162</v>
      </c>
      <c r="F8" s="117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(0.01000 sec)</v>
      </c>
      <c r="G8" s="42"/>
      <c r="H8" s="43"/>
      <c r="I8" s="5"/>
      <c r="J8" s="5"/>
      <c r="K8" s="5"/>
      <c r="L8" s="5"/>
      <c r="M8" s="5"/>
      <c r="N8" s="5"/>
      <c r="O8" s="6"/>
    </row>
    <row r="9" spans="1:15" x14ac:dyDescent="0.25">
      <c r="B9" s="4"/>
      <c r="C9" s="104"/>
      <c r="D9" s="104"/>
      <c r="E9" s="156" t="s">
        <v>121</v>
      </c>
      <c r="F9" s="129" t="b">
        <f ca="1">OR(LEFT($F$8,3)=STDCurve.StaticDataTable,LEFT($F$8,5)=STDCurve.CollectionName)</f>
        <v>1</v>
      </c>
      <c r="G9" s="5"/>
      <c r="H9" s="5"/>
      <c r="I9" s="5"/>
      <c r="J9" s="5"/>
      <c r="K9" s="5"/>
      <c r="L9" s="5"/>
      <c r="M9" s="5"/>
      <c r="N9" s="5"/>
      <c r="O9" s="6"/>
    </row>
    <row r="10" spans="1:15" x14ac:dyDescent="0.25">
      <c r="B10" s="4"/>
      <c r="C10" s="104"/>
      <c r="D10" s="104"/>
      <c r="E10" s="145"/>
      <c r="F10" s="116"/>
      <c r="G10" s="5"/>
      <c r="H10" s="5"/>
      <c r="I10" s="5"/>
      <c r="J10" s="5"/>
      <c r="K10" s="5"/>
      <c r="L10" s="5"/>
      <c r="M10" s="5"/>
      <c r="N10" s="5"/>
      <c r="O10" s="6"/>
    </row>
    <row r="11" spans="1:15" x14ac:dyDescent="0.25">
      <c r="B11" s="4"/>
      <c r="C11" s="104"/>
      <c r="D11" s="104"/>
      <c r="E11" s="157"/>
      <c r="F11" s="116"/>
      <c r="G11" s="5"/>
      <c r="H11" s="5"/>
      <c r="I11" s="5"/>
      <c r="J11" s="5"/>
      <c r="K11" s="5"/>
      <c r="L11" s="5"/>
      <c r="M11" s="5"/>
      <c r="N11" s="5"/>
      <c r="O11" s="6"/>
    </row>
    <row r="12" spans="1:15" x14ac:dyDescent="0.25">
      <c r="B12" s="4"/>
      <c r="C12" s="104"/>
      <c r="D12" s="104"/>
      <c r="E12" s="158" t="s">
        <v>0</v>
      </c>
      <c r="F12" s="115"/>
      <c r="G12" s="5"/>
      <c r="H12" s="5"/>
      <c r="I12" s="5"/>
      <c r="J12" s="5"/>
      <c r="K12" s="5"/>
      <c r="L12" s="5"/>
      <c r="M12" s="5"/>
      <c r="N12" s="5"/>
      <c r="O12" s="6"/>
    </row>
    <row r="13" spans="1:15" ht="30" x14ac:dyDescent="0.25">
      <c r="B13" s="4"/>
      <c r="C13" s="130" t="s">
        <v>167</v>
      </c>
      <c r="D13" s="104"/>
      <c r="E13" s="159" t="s">
        <v>80</v>
      </c>
      <c r="F13" s="125" t="s">
        <v>78</v>
      </c>
      <c r="G13" s="5"/>
      <c r="H13" s="5"/>
      <c r="I13" s="5"/>
      <c r="J13" s="5"/>
      <c r="K13" s="5"/>
      <c r="L13" s="5"/>
      <c r="M13" s="5"/>
      <c r="N13" s="5"/>
      <c r="O13" s="6"/>
    </row>
    <row r="14" spans="1:15" ht="30" x14ac:dyDescent="0.25">
      <c r="B14" s="4"/>
      <c r="C14" s="130" t="s">
        <v>204</v>
      </c>
      <c r="D14" s="104"/>
      <c r="E14" s="160" t="s">
        <v>79</v>
      </c>
      <c r="F14" s="126" t="s">
        <v>82</v>
      </c>
      <c r="G14" s="5"/>
      <c r="H14" s="5"/>
      <c r="I14" s="5"/>
      <c r="J14" s="5"/>
      <c r="K14" s="5"/>
      <c r="L14" s="5"/>
      <c r="M14" s="5"/>
      <c r="N14" s="5"/>
      <c r="O14" s="6"/>
    </row>
    <row r="15" spans="1:15" ht="30" x14ac:dyDescent="0.25">
      <c r="B15" s="4"/>
      <c r="C15" s="130" t="s">
        <v>205</v>
      </c>
      <c r="D15" s="104"/>
      <c r="E15" s="162" t="s">
        <v>81</v>
      </c>
      <c r="F15" s="127" t="s">
        <v>222</v>
      </c>
      <c r="G15" s="5"/>
      <c r="H15" s="5"/>
      <c r="I15" s="5"/>
      <c r="J15" s="5" t="s">
        <v>4</v>
      </c>
      <c r="K15" s="5" t="s">
        <v>4</v>
      </c>
      <c r="L15" s="5" t="s">
        <v>4</v>
      </c>
      <c r="M15" s="5"/>
      <c r="N15" s="5"/>
      <c r="O15" s="6" t="s">
        <v>4</v>
      </c>
    </row>
    <row r="16" spans="1:15" x14ac:dyDescent="0.25">
      <c r="B16" s="9"/>
      <c r="C16" s="106"/>
      <c r="D16" s="106"/>
      <c r="E16" s="146"/>
      <c r="F16" s="149"/>
      <c r="G16" s="10"/>
      <c r="H16" s="10"/>
      <c r="I16" s="10"/>
      <c r="J16" s="10"/>
      <c r="K16" s="10"/>
      <c r="L16" s="10"/>
      <c r="M16" s="10"/>
      <c r="N16" s="10"/>
      <c r="O16" s="11"/>
    </row>
    <row r="19" spans="2:15" x14ac:dyDescent="0.25">
      <c r="B19" s="40" t="s">
        <v>68</v>
      </c>
      <c r="C19" s="100"/>
      <c r="D19" s="114"/>
    </row>
    <row r="20" spans="2:15" x14ac:dyDescent="0.25">
      <c r="B20" s="1"/>
      <c r="C20" s="102"/>
      <c r="D20" s="102"/>
      <c r="E20" s="154"/>
      <c r="F20" s="111"/>
      <c r="G20" s="2"/>
      <c r="H20" s="2"/>
      <c r="I20" s="2"/>
      <c r="J20" s="45"/>
      <c r="K20" s="2"/>
      <c r="L20" s="2"/>
      <c r="M20" s="2"/>
      <c r="N20" s="2"/>
      <c r="O20" s="3"/>
    </row>
    <row r="21" spans="2:15" x14ac:dyDescent="0.25">
      <c r="B21" s="4"/>
      <c r="C21" s="104"/>
      <c r="D21" s="104"/>
      <c r="E21" s="158" t="s">
        <v>68</v>
      </c>
      <c r="F21" s="112"/>
      <c r="G21" s="5"/>
      <c r="H21" s="5"/>
      <c r="I21" s="5"/>
      <c r="J21" s="5"/>
      <c r="K21" s="5"/>
      <c r="L21" s="5"/>
      <c r="M21" s="5"/>
      <c r="N21" s="5"/>
      <c r="O21" s="6"/>
    </row>
    <row r="22" spans="2:15" ht="30" x14ac:dyDescent="0.25">
      <c r="B22" s="4"/>
      <c r="C22" s="130" t="s">
        <v>168</v>
      </c>
      <c r="D22" s="104"/>
      <c r="E22" s="159" t="s">
        <v>10</v>
      </c>
      <c r="F22" s="125">
        <f>COB</f>
        <v>42557</v>
      </c>
      <c r="G22" s="5"/>
      <c r="H22" s="5"/>
      <c r="I22" s="5"/>
      <c r="J22" s="5"/>
      <c r="K22" s="5"/>
      <c r="L22" s="5"/>
      <c r="M22" s="5"/>
      <c r="N22" s="5"/>
      <c r="O22" s="6"/>
    </row>
    <row r="23" spans="2:15" ht="30" x14ac:dyDescent="0.25">
      <c r="B23" s="4"/>
      <c r="C23" s="130" t="s">
        <v>169</v>
      </c>
      <c r="D23" s="104"/>
      <c r="E23" s="160" t="s">
        <v>16</v>
      </c>
      <c r="F23" s="126" t="s">
        <v>17</v>
      </c>
      <c r="G23" s="5"/>
      <c r="H23" s="5"/>
      <c r="I23" s="5"/>
      <c r="J23" s="5"/>
      <c r="K23" s="5"/>
      <c r="L23" s="5"/>
      <c r="M23" s="5"/>
      <c r="N23" s="5"/>
      <c r="O23" s="6"/>
    </row>
    <row r="24" spans="2:15" ht="30" x14ac:dyDescent="0.25">
      <c r="B24" s="4"/>
      <c r="C24" s="130" t="s">
        <v>170</v>
      </c>
      <c r="D24" s="104"/>
      <c r="E24" s="160" t="s">
        <v>83</v>
      </c>
      <c r="F24" s="128" t="str">
        <f>interpolationFunction</f>
        <v>fn_SplineInterpolation</v>
      </c>
      <c r="G24" s="5"/>
      <c r="H24" s="5"/>
      <c r="I24" s="5"/>
      <c r="J24" s="5"/>
      <c r="K24" s="5"/>
      <c r="L24" s="5"/>
      <c r="M24" s="5"/>
      <c r="N24" s="5"/>
      <c r="O24" s="6"/>
    </row>
    <row r="25" spans="2:15" ht="30" x14ac:dyDescent="0.25">
      <c r="B25" s="4"/>
      <c r="C25" s="135" t="s">
        <v>206</v>
      </c>
      <c r="D25" s="104"/>
      <c r="E25" s="160" t="s">
        <v>24</v>
      </c>
      <c r="F25" s="128" t="str">
        <f>interpolationFunction</f>
        <v>fn_SplineInterpolation</v>
      </c>
      <c r="G25" s="5"/>
      <c r="H25" s="5"/>
      <c r="I25" s="5"/>
      <c r="J25" s="5"/>
      <c r="K25" s="5"/>
      <c r="L25" s="5"/>
      <c r="M25" s="5"/>
      <c r="N25" s="5"/>
      <c r="O25" s="6"/>
    </row>
    <row r="26" spans="2:15" ht="30" x14ac:dyDescent="0.25">
      <c r="B26" s="4"/>
      <c r="C26" s="135" t="s">
        <v>191</v>
      </c>
      <c r="D26" s="104"/>
      <c r="E26" s="160" t="s">
        <v>85</v>
      </c>
      <c r="F26" s="126" t="b">
        <v>1</v>
      </c>
      <c r="G26" s="5"/>
      <c r="H26" s="5"/>
      <c r="I26" s="5"/>
      <c r="J26" s="5"/>
      <c r="K26" s="5"/>
      <c r="L26" s="5"/>
      <c r="M26" s="5"/>
      <c r="N26" s="5"/>
      <c r="O26" s="6"/>
    </row>
    <row r="27" spans="2:15" ht="30" x14ac:dyDescent="0.25">
      <c r="B27" s="4"/>
      <c r="C27" s="135" t="s">
        <v>192</v>
      </c>
      <c r="D27" s="104"/>
      <c r="E27" s="160" t="s">
        <v>84</v>
      </c>
      <c r="F27" s="126" t="b">
        <v>0</v>
      </c>
      <c r="G27" s="5"/>
      <c r="H27" s="5"/>
      <c r="I27" s="5"/>
      <c r="J27" s="5"/>
      <c r="K27" s="5"/>
      <c r="L27" s="5"/>
      <c r="M27" s="5"/>
      <c r="N27" s="5"/>
      <c r="O27" s="6"/>
    </row>
    <row r="28" spans="2:15" ht="30" x14ac:dyDescent="0.25">
      <c r="B28" s="4"/>
      <c r="C28" s="131" t="s">
        <v>193</v>
      </c>
      <c r="D28" s="104"/>
      <c r="E28" s="160" t="s">
        <v>27</v>
      </c>
      <c r="F28" s="126" t="s">
        <v>108</v>
      </c>
      <c r="G28" s="5"/>
      <c r="H28" s="5"/>
      <c r="I28" s="5"/>
      <c r="J28" s="5"/>
      <c r="K28" s="5"/>
      <c r="L28" s="5"/>
      <c r="M28" s="5"/>
      <c r="N28" s="5"/>
      <c r="O28" s="6"/>
    </row>
    <row r="29" spans="2:15" ht="45" x14ac:dyDescent="0.25">
      <c r="B29" s="4"/>
      <c r="C29" s="135" t="s">
        <v>194</v>
      </c>
      <c r="D29" s="104"/>
      <c r="E29" s="160" t="s">
        <v>86</v>
      </c>
      <c r="F29" s="126" t="s">
        <v>9</v>
      </c>
      <c r="G29" s="5"/>
      <c r="H29" s="5"/>
      <c r="I29" s="5"/>
      <c r="J29" s="5"/>
      <c r="K29" s="5"/>
      <c r="L29" s="5"/>
      <c r="M29" s="5"/>
      <c r="N29" s="5"/>
      <c r="O29" s="6"/>
    </row>
    <row r="30" spans="2:15" x14ac:dyDescent="0.25">
      <c r="B30" s="4"/>
      <c r="C30" s="140"/>
      <c r="D30" s="104"/>
      <c r="E30" s="160"/>
      <c r="F30" s="126"/>
      <c r="G30" s="5"/>
      <c r="H30" s="5"/>
      <c r="I30" s="5"/>
      <c r="J30" s="5"/>
      <c r="K30" s="5"/>
      <c r="L30" s="5"/>
      <c r="M30" s="5"/>
      <c r="N30" s="5"/>
      <c r="O30" s="6"/>
    </row>
    <row r="31" spans="2:15" x14ac:dyDescent="0.25">
      <c r="B31" s="4"/>
      <c r="C31" s="136"/>
      <c r="D31" s="104"/>
      <c r="E31" s="162"/>
      <c r="F31" s="127"/>
      <c r="G31" s="5"/>
      <c r="H31" s="5"/>
      <c r="I31" s="5"/>
      <c r="J31" s="5"/>
      <c r="K31" s="5"/>
      <c r="L31" s="5"/>
      <c r="M31" s="5"/>
      <c r="N31" s="5"/>
      <c r="O31" s="6"/>
    </row>
    <row r="32" spans="2:15" x14ac:dyDescent="0.25">
      <c r="B32" s="9"/>
      <c r="C32" s="106"/>
      <c r="D32" s="106"/>
      <c r="E32" s="146"/>
      <c r="F32" s="149"/>
      <c r="G32" s="10"/>
      <c r="H32" s="10"/>
      <c r="I32" s="10"/>
      <c r="J32" s="10"/>
      <c r="K32" s="10"/>
      <c r="L32" s="10"/>
      <c r="M32" s="10"/>
      <c r="N32" s="10"/>
      <c r="O32" s="11"/>
    </row>
    <row r="35" spans="2:15" x14ac:dyDescent="0.25">
      <c r="B35" s="40" t="s">
        <v>87</v>
      </c>
      <c r="C35" s="100"/>
      <c r="D35" s="114"/>
    </row>
    <row r="36" spans="2:15" x14ac:dyDescent="0.25">
      <c r="B36" s="1"/>
      <c r="C36" s="102"/>
      <c r="D36" s="102"/>
      <c r="E36" s="144"/>
      <c r="F36" s="150"/>
      <c r="G36" s="2"/>
      <c r="H36" s="2"/>
      <c r="I36" s="2"/>
      <c r="J36" s="2"/>
      <c r="K36" s="2"/>
      <c r="L36" s="2"/>
      <c r="M36" s="2"/>
      <c r="N36" s="2"/>
      <c r="O36" s="3"/>
    </row>
    <row r="37" spans="2:15" x14ac:dyDescent="0.25">
      <c r="B37" s="4"/>
      <c r="C37" s="104"/>
      <c r="D37" s="104"/>
      <c r="E37" s="164" t="s">
        <v>136</v>
      </c>
      <c r="F37" s="151"/>
      <c r="G37" s="8"/>
      <c r="H37" s="34" t="s">
        <v>137</v>
      </c>
      <c r="I37" s="8"/>
      <c r="J37" s="8"/>
      <c r="K37" s="34" t="s">
        <v>135</v>
      </c>
      <c r="L37" s="8"/>
      <c r="M37" s="8"/>
      <c r="N37" s="8"/>
      <c r="O37" s="39"/>
    </row>
    <row r="38" spans="2:15" ht="30" x14ac:dyDescent="0.25">
      <c r="B38" s="4"/>
      <c r="C38" s="131" t="s">
        <v>172</v>
      </c>
      <c r="D38" s="104"/>
      <c r="E38" s="159" t="s">
        <v>1</v>
      </c>
      <c r="F38" s="107" t="s">
        <v>2</v>
      </c>
      <c r="G38" s="5"/>
      <c r="H38" s="141" t="s">
        <v>1</v>
      </c>
      <c r="I38" s="107" t="s">
        <v>2</v>
      </c>
      <c r="J38" s="8"/>
      <c r="K38" s="53" t="s">
        <v>11</v>
      </c>
      <c r="L38" s="53" t="s">
        <v>12</v>
      </c>
      <c r="M38" s="53"/>
      <c r="N38" s="53"/>
      <c r="O38" s="39"/>
    </row>
    <row r="39" spans="2:15" ht="30" x14ac:dyDescent="0.25">
      <c r="B39" s="4"/>
      <c r="C39" s="131" t="s">
        <v>171</v>
      </c>
      <c r="D39" s="104"/>
      <c r="E39" s="160" t="s">
        <v>88</v>
      </c>
      <c r="F39" s="108" t="s">
        <v>6</v>
      </c>
      <c r="G39" s="7"/>
      <c r="H39" s="98" t="s">
        <v>18</v>
      </c>
      <c r="I39" s="120" t="s">
        <v>6</v>
      </c>
      <c r="J39" s="8"/>
      <c r="K39" s="47" t="s">
        <v>94</v>
      </c>
      <c r="L39" s="50">
        <v>-1.89E-3</v>
      </c>
      <c r="M39" s="53"/>
      <c r="N39" s="53"/>
      <c r="O39" s="39"/>
    </row>
    <row r="40" spans="2:15" ht="30" x14ac:dyDescent="0.25">
      <c r="B40" s="4"/>
      <c r="C40" s="132" t="s">
        <v>197</v>
      </c>
      <c r="D40" s="104"/>
      <c r="E40" s="160" t="s">
        <v>89</v>
      </c>
      <c r="F40" s="108" t="s">
        <v>90</v>
      </c>
      <c r="G40" s="7"/>
      <c r="H40" s="98" t="s">
        <v>27</v>
      </c>
      <c r="I40" s="108" t="s">
        <v>91</v>
      </c>
      <c r="J40" s="8"/>
      <c r="K40" s="48"/>
      <c r="L40" s="51"/>
      <c r="M40" s="53"/>
      <c r="N40" s="53"/>
      <c r="O40" s="39"/>
    </row>
    <row r="41" spans="2:15" x14ac:dyDescent="0.25">
      <c r="B41" s="4"/>
      <c r="C41" s="133"/>
      <c r="D41" s="104"/>
      <c r="E41" s="160"/>
      <c r="F41" s="108"/>
      <c r="G41" s="7"/>
      <c r="H41" s="98" t="s">
        <v>92</v>
      </c>
      <c r="I41" s="120">
        <v>2</v>
      </c>
      <c r="J41" s="8"/>
      <c r="K41" s="48"/>
      <c r="L41" s="51"/>
      <c r="M41" s="53"/>
      <c r="N41" s="53"/>
      <c r="O41" s="39"/>
    </row>
    <row r="42" spans="2:15" x14ac:dyDescent="0.25">
      <c r="B42" s="4"/>
      <c r="C42" s="133"/>
      <c r="D42" s="104"/>
      <c r="E42" s="160"/>
      <c r="F42" s="108"/>
      <c r="G42" s="7"/>
      <c r="H42" s="98" t="s">
        <v>21</v>
      </c>
      <c r="I42" s="120" t="s">
        <v>22</v>
      </c>
      <c r="J42" s="8"/>
      <c r="K42" s="48"/>
      <c r="L42" s="51"/>
      <c r="M42" s="53"/>
      <c r="N42" s="53"/>
      <c r="O42" s="39"/>
    </row>
    <row r="43" spans="2:15" x14ac:dyDescent="0.25">
      <c r="B43" s="4"/>
      <c r="C43" s="134"/>
      <c r="D43" s="104"/>
      <c r="E43" s="166"/>
      <c r="F43" s="153"/>
      <c r="G43" s="7"/>
      <c r="H43" s="142"/>
      <c r="I43" s="121"/>
      <c r="J43" s="8"/>
      <c r="K43" s="49"/>
      <c r="L43" s="52"/>
      <c r="M43" s="53"/>
      <c r="N43" s="53"/>
      <c r="O43" s="39"/>
    </row>
    <row r="44" spans="2:15" x14ac:dyDescent="0.25">
      <c r="B44" s="4"/>
      <c r="C44" s="104"/>
      <c r="D44" s="104"/>
      <c r="E44" s="147"/>
      <c r="F44" s="175"/>
      <c r="G44" s="7"/>
      <c r="H44" s="8"/>
      <c r="I44" s="8"/>
      <c r="J44" s="8"/>
      <c r="K44" s="89" t="s">
        <v>211</v>
      </c>
      <c r="L44" s="8"/>
      <c r="M44" s="8"/>
      <c r="N44" s="8"/>
      <c r="O44" s="39"/>
    </row>
    <row r="45" spans="2:15" x14ac:dyDescent="0.25">
      <c r="B45" s="9"/>
      <c r="C45" s="106"/>
      <c r="D45" s="106"/>
      <c r="E45" s="146"/>
      <c r="F45" s="149"/>
      <c r="G45" s="10"/>
      <c r="H45" s="10"/>
      <c r="I45" s="10"/>
      <c r="J45" s="10"/>
      <c r="K45" s="10"/>
      <c r="L45" s="10"/>
      <c r="M45" s="10"/>
      <c r="N45" s="10"/>
      <c r="O45" s="11"/>
    </row>
    <row r="48" spans="2:15" x14ac:dyDescent="0.25">
      <c r="B48" s="40" t="s">
        <v>95</v>
      </c>
      <c r="C48" s="100"/>
      <c r="D48" s="114"/>
    </row>
    <row r="49" spans="2:15" x14ac:dyDescent="0.25">
      <c r="B49" s="1"/>
      <c r="C49" s="102"/>
      <c r="D49" s="102"/>
      <c r="E49" s="144"/>
      <c r="F49" s="150"/>
      <c r="G49" s="2"/>
      <c r="H49" s="2"/>
      <c r="I49" s="2"/>
      <c r="J49" s="2"/>
      <c r="K49" s="2"/>
      <c r="L49" s="2"/>
      <c r="M49" s="2"/>
      <c r="N49" s="2"/>
      <c r="O49" s="3"/>
    </row>
    <row r="50" spans="2:15" x14ac:dyDescent="0.25">
      <c r="B50" s="4"/>
      <c r="C50" s="104"/>
      <c r="D50" s="104"/>
      <c r="E50" s="164" t="s">
        <v>96</v>
      </c>
      <c r="F50" s="151"/>
      <c r="G50" s="8"/>
      <c r="H50" s="34" t="s">
        <v>115</v>
      </c>
      <c r="I50" s="8"/>
      <c r="J50" s="8"/>
      <c r="K50" s="34" t="s">
        <v>116</v>
      </c>
      <c r="L50" s="8"/>
      <c r="M50" s="8"/>
      <c r="N50" s="8"/>
      <c r="O50" s="39"/>
    </row>
    <row r="51" spans="2:15" x14ac:dyDescent="0.25">
      <c r="B51" s="4"/>
      <c r="C51" s="104"/>
      <c r="D51" s="104"/>
      <c r="E51" s="17" t="s">
        <v>1</v>
      </c>
      <c r="F51" s="331" t="s">
        <v>308</v>
      </c>
      <c r="G51" s="5"/>
      <c r="H51" s="53" t="s">
        <v>11</v>
      </c>
      <c r="I51" s="53" t="s">
        <v>12</v>
      </c>
      <c r="J51" s="8"/>
      <c r="K51" s="53" t="s">
        <v>11</v>
      </c>
      <c r="L51" s="53" t="s">
        <v>12</v>
      </c>
      <c r="M51" s="53"/>
      <c r="N51" s="53"/>
      <c r="O51" s="39"/>
    </row>
    <row r="52" spans="2:15" x14ac:dyDescent="0.25">
      <c r="B52" s="4"/>
      <c r="C52" s="104"/>
      <c r="D52" s="104"/>
      <c r="E52" s="18" t="s">
        <v>88</v>
      </c>
      <c r="F52" s="332" t="s">
        <v>6</v>
      </c>
      <c r="G52" s="7"/>
      <c r="H52" s="47"/>
      <c r="I52" s="50"/>
      <c r="J52" s="8"/>
      <c r="K52" s="47" t="s">
        <v>223</v>
      </c>
      <c r="L52" s="50">
        <v>-2.2100000000000002E-3</v>
      </c>
      <c r="M52" s="53"/>
      <c r="N52" s="53"/>
      <c r="O52" s="39"/>
    </row>
    <row r="53" spans="2:15" x14ac:dyDescent="0.25">
      <c r="B53" s="4"/>
      <c r="C53" s="104"/>
      <c r="D53" s="104"/>
      <c r="E53" s="18" t="s">
        <v>307</v>
      </c>
      <c r="F53" s="332">
        <v>2</v>
      </c>
      <c r="G53" s="7"/>
      <c r="H53" s="48"/>
      <c r="I53" s="51"/>
      <c r="J53" s="8"/>
      <c r="K53" s="48" t="s">
        <v>224</v>
      </c>
      <c r="L53" s="51">
        <v>-2.32E-3</v>
      </c>
      <c r="M53" s="53"/>
      <c r="N53" s="53"/>
      <c r="O53" s="39"/>
    </row>
    <row r="54" spans="2:15" x14ac:dyDescent="0.25">
      <c r="B54" s="4"/>
      <c r="C54" s="104"/>
      <c r="D54" s="104"/>
      <c r="E54" s="18" t="s">
        <v>21</v>
      </c>
      <c r="F54" s="332" t="s">
        <v>22</v>
      </c>
      <c r="G54" s="7"/>
      <c r="H54" s="48"/>
      <c r="I54" s="51"/>
      <c r="J54" s="8"/>
      <c r="K54" s="48" t="s">
        <v>225</v>
      </c>
      <c r="L54" s="51">
        <v>-2.3799999999999997E-3</v>
      </c>
      <c r="M54" s="53"/>
      <c r="N54" s="53"/>
      <c r="O54" s="39"/>
    </row>
    <row r="55" spans="2:15" x14ac:dyDescent="0.25">
      <c r="B55" s="4"/>
      <c r="C55" s="104"/>
      <c r="D55" s="104"/>
      <c r="E55" s="18" t="s">
        <v>93</v>
      </c>
      <c r="F55" s="332" t="b">
        <v>0</v>
      </c>
      <c r="G55" s="7"/>
      <c r="H55" s="48"/>
      <c r="I55" s="51"/>
      <c r="J55" s="8"/>
      <c r="K55" s="48" t="s">
        <v>226</v>
      </c>
      <c r="L55" s="51">
        <v>-2.4499999999999999E-3</v>
      </c>
      <c r="M55" s="53"/>
      <c r="N55" s="53"/>
      <c r="O55" s="39"/>
    </row>
    <row r="56" spans="2:15" x14ac:dyDescent="0.25">
      <c r="B56" s="4"/>
      <c r="C56" s="104"/>
      <c r="D56" s="104"/>
      <c r="E56" s="18"/>
      <c r="F56" s="332"/>
      <c r="G56" s="7"/>
      <c r="H56" s="48"/>
      <c r="I56" s="51"/>
      <c r="J56" s="8"/>
      <c r="K56" s="48" t="s">
        <v>227</v>
      </c>
      <c r="L56" s="51">
        <v>-2.5100000000000001E-3</v>
      </c>
      <c r="M56" s="53"/>
      <c r="N56" s="53"/>
      <c r="O56" s="39"/>
    </row>
    <row r="57" spans="2:15" x14ac:dyDescent="0.25">
      <c r="B57" s="4"/>
      <c r="C57" s="104"/>
      <c r="D57" s="104"/>
      <c r="E57" s="18"/>
      <c r="F57" s="332"/>
      <c r="G57" s="7"/>
      <c r="H57" s="48"/>
      <c r="I57" s="51"/>
      <c r="J57" s="8"/>
      <c r="K57" s="48" t="s">
        <v>228</v>
      </c>
      <c r="L57" s="51">
        <v>-2.5300000000000001E-3</v>
      </c>
      <c r="M57" s="53"/>
      <c r="N57" s="53"/>
      <c r="O57" s="39"/>
    </row>
    <row r="58" spans="2:15" x14ac:dyDescent="0.25">
      <c r="B58" s="4"/>
      <c r="C58" s="104"/>
      <c r="D58" s="104"/>
      <c r="E58" s="160"/>
      <c r="F58" s="108"/>
      <c r="G58" s="7"/>
      <c r="H58" s="48"/>
      <c r="I58" s="51"/>
      <c r="J58" s="8"/>
      <c r="K58" s="48" t="s">
        <v>229</v>
      </c>
      <c r="L58" s="51">
        <v>-2.5400000000000002E-3</v>
      </c>
      <c r="M58" s="53"/>
      <c r="N58" s="53"/>
      <c r="O58" s="39"/>
    </row>
    <row r="59" spans="2:15" x14ac:dyDescent="0.25">
      <c r="B59" s="4"/>
      <c r="C59" s="104"/>
      <c r="D59" s="104"/>
      <c r="E59" s="160"/>
      <c r="F59" s="108"/>
      <c r="G59" s="7"/>
      <c r="H59" s="48"/>
      <c r="I59" s="51"/>
      <c r="J59" s="8"/>
      <c r="K59" s="48" t="s">
        <v>230</v>
      </c>
      <c r="L59" s="51">
        <v>-2.5500000000000002E-3</v>
      </c>
      <c r="M59" s="53"/>
      <c r="N59" s="53"/>
      <c r="O59" s="39"/>
    </row>
    <row r="60" spans="2:15" x14ac:dyDescent="0.25">
      <c r="B60" s="4"/>
      <c r="C60" s="104"/>
      <c r="D60" s="104"/>
      <c r="E60" s="160"/>
      <c r="F60" s="108"/>
      <c r="G60" s="7"/>
      <c r="H60" s="48"/>
      <c r="I60" s="51"/>
      <c r="J60" s="8"/>
      <c r="K60" s="48" t="s">
        <v>231</v>
      </c>
      <c r="L60" s="51">
        <v>-2.5600000000000002E-3</v>
      </c>
      <c r="M60" s="53"/>
      <c r="N60" s="53"/>
      <c r="O60" s="39"/>
    </row>
    <row r="61" spans="2:15" x14ac:dyDescent="0.25">
      <c r="B61" s="4"/>
      <c r="C61" s="104"/>
      <c r="D61" s="104"/>
      <c r="E61" s="160"/>
      <c r="F61" s="108"/>
      <c r="G61" s="7"/>
      <c r="H61" s="48"/>
      <c r="I61" s="51"/>
      <c r="J61" s="8"/>
      <c r="K61" s="48" t="s">
        <v>232</v>
      </c>
      <c r="L61" s="51">
        <v>-2.5700000000000002E-3</v>
      </c>
      <c r="M61" s="53"/>
      <c r="N61" s="53"/>
      <c r="O61" s="39"/>
    </row>
    <row r="62" spans="2:15" x14ac:dyDescent="0.25">
      <c r="B62" s="4"/>
      <c r="C62" s="104"/>
      <c r="D62" s="104"/>
      <c r="E62" s="160"/>
      <c r="F62" s="108"/>
      <c r="G62" s="7"/>
      <c r="H62" s="48"/>
      <c r="I62" s="51"/>
      <c r="J62" s="8"/>
      <c r="K62" s="48" t="s">
        <v>233</v>
      </c>
      <c r="L62" s="51">
        <v>-2.5600000000000002E-3</v>
      </c>
      <c r="M62" s="53"/>
      <c r="N62" s="53"/>
      <c r="O62" s="39"/>
    </row>
    <row r="63" spans="2:15" x14ac:dyDescent="0.25">
      <c r="B63" s="4"/>
      <c r="C63" s="104"/>
      <c r="D63" s="104"/>
      <c r="E63" s="160"/>
      <c r="F63" s="108"/>
      <c r="G63" s="7"/>
      <c r="H63" s="48"/>
      <c r="I63" s="51"/>
      <c r="J63" s="8"/>
      <c r="K63" s="48"/>
      <c r="L63" s="51"/>
      <c r="M63" s="53"/>
      <c r="N63" s="53"/>
      <c r="O63" s="39"/>
    </row>
    <row r="64" spans="2:15" x14ac:dyDescent="0.25">
      <c r="B64" s="4"/>
      <c r="C64" s="104"/>
      <c r="D64" s="104"/>
      <c r="E64" s="166"/>
      <c r="F64" s="153"/>
      <c r="G64" s="7"/>
      <c r="H64" s="49"/>
      <c r="I64" s="52"/>
      <c r="J64" s="8"/>
      <c r="K64" s="49"/>
      <c r="L64" s="52"/>
      <c r="M64" s="53"/>
      <c r="N64" s="53"/>
      <c r="O64" s="39"/>
    </row>
    <row r="65" spans="2:15" x14ac:dyDescent="0.25">
      <c r="B65" s="4"/>
      <c r="C65" s="104"/>
      <c r="D65" s="104"/>
      <c r="E65" s="147"/>
      <c r="F65" s="175"/>
      <c r="G65" s="7"/>
      <c r="H65" s="8"/>
      <c r="I65" s="8"/>
      <c r="J65" s="8"/>
      <c r="K65" s="8"/>
      <c r="L65" s="8"/>
      <c r="M65" s="53"/>
      <c r="N65" s="53"/>
      <c r="O65" s="39"/>
    </row>
    <row r="66" spans="2:15" x14ac:dyDescent="0.25">
      <c r="B66" s="9"/>
      <c r="C66" s="106"/>
      <c r="D66" s="106"/>
      <c r="E66" s="146"/>
      <c r="F66" s="149"/>
      <c r="G66" s="10"/>
      <c r="H66" s="10"/>
      <c r="I66" s="10"/>
      <c r="J66" s="10"/>
      <c r="K66" s="10"/>
      <c r="L66" s="10"/>
      <c r="M66" s="10"/>
      <c r="N66" s="10"/>
      <c r="O66" s="11"/>
    </row>
    <row r="69" spans="2:15" x14ac:dyDescent="0.25">
      <c r="B69" s="40" t="s">
        <v>99</v>
      </c>
      <c r="C69" s="100"/>
      <c r="D69" s="114"/>
    </row>
    <row r="70" spans="2:15" x14ac:dyDescent="0.25">
      <c r="B70" s="1"/>
      <c r="C70" s="102"/>
      <c r="D70" s="102"/>
      <c r="E70" s="144"/>
      <c r="F70" s="150"/>
      <c r="G70" s="2"/>
      <c r="H70" s="2"/>
      <c r="I70" s="2"/>
      <c r="J70" s="2"/>
      <c r="K70" s="2"/>
      <c r="L70" s="2"/>
      <c r="M70" s="2"/>
      <c r="N70" s="2"/>
      <c r="O70" s="3"/>
    </row>
    <row r="71" spans="2:15" x14ac:dyDescent="0.25">
      <c r="B71" s="4"/>
      <c r="C71" s="104"/>
      <c r="D71" s="104"/>
      <c r="E71" s="164" t="s">
        <v>100</v>
      </c>
      <c r="F71" s="151"/>
      <c r="G71" s="8"/>
      <c r="H71" s="34" t="s">
        <v>103</v>
      </c>
      <c r="I71" s="8"/>
      <c r="J71" s="8"/>
      <c r="K71" s="8"/>
      <c r="L71" s="8"/>
      <c r="M71" s="8"/>
      <c r="N71" s="8"/>
      <c r="O71" s="39"/>
    </row>
    <row r="72" spans="2:15" ht="30" x14ac:dyDescent="0.25">
      <c r="B72" s="4"/>
      <c r="C72" s="131" t="s">
        <v>172</v>
      </c>
      <c r="D72" s="104"/>
      <c r="E72" s="159" t="s">
        <v>3</v>
      </c>
      <c r="F72" s="107" t="s">
        <v>2</v>
      </c>
      <c r="G72" s="5"/>
      <c r="H72" s="72" t="s">
        <v>117</v>
      </c>
      <c r="I72" s="72" t="s">
        <v>13</v>
      </c>
      <c r="J72" s="72" t="s">
        <v>14</v>
      </c>
      <c r="K72" s="72" t="s">
        <v>12</v>
      </c>
      <c r="L72" s="72" t="s">
        <v>102</v>
      </c>
      <c r="M72" s="78"/>
      <c r="N72" s="78"/>
      <c r="O72" s="39"/>
    </row>
    <row r="73" spans="2:15" ht="30" x14ac:dyDescent="0.25">
      <c r="B73" s="4"/>
      <c r="C73" s="131" t="s">
        <v>171</v>
      </c>
      <c r="D73" s="104"/>
      <c r="E73" s="160" t="s">
        <v>7</v>
      </c>
      <c r="F73" s="108" t="s">
        <v>118</v>
      </c>
      <c r="G73" s="92">
        <v>4</v>
      </c>
      <c r="H73" s="54"/>
      <c r="I73" s="55"/>
      <c r="J73" s="55"/>
      <c r="K73" s="56"/>
      <c r="L73" s="57"/>
      <c r="M73" s="78"/>
      <c r="N73" s="78"/>
      <c r="O73" s="39"/>
    </row>
    <row r="74" spans="2:15" ht="30" x14ac:dyDescent="0.25">
      <c r="B74" s="4"/>
      <c r="C74" s="131" t="s">
        <v>174</v>
      </c>
      <c r="D74" s="104"/>
      <c r="E74" s="160" t="s">
        <v>15</v>
      </c>
      <c r="F74" s="108" t="s">
        <v>101</v>
      </c>
      <c r="G74" s="92">
        <f>G73+1</f>
        <v>5</v>
      </c>
      <c r="H74" s="58"/>
      <c r="I74" s="55"/>
      <c r="J74" s="55"/>
      <c r="K74" s="56"/>
      <c r="L74" s="57"/>
      <c r="M74" s="78"/>
      <c r="N74" s="78"/>
      <c r="O74" s="39"/>
    </row>
    <row r="75" spans="2:15" ht="30" x14ac:dyDescent="0.25">
      <c r="B75" s="4"/>
      <c r="C75" s="131" t="s">
        <v>197</v>
      </c>
      <c r="D75" s="104"/>
      <c r="E75" s="160" t="s">
        <v>23</v>
      </c>
      <c r="F75" s="123" t="s">
        <v>22</v>
      </c>
      <c r="G75" s="92">
        <f t="shared" ref="G75:G81" si="0">G74+1</f>
        <v>6</v>
      </c>
      <c r="H75" s="59"/>
      <c r="I75" s="60"/>
      <c r="J75" s="60"/>
      <c r="K75" s="61"/>
      <c r="L75" s="62"/>
      <c r="M75" s="78"/>
      <c r="N75" s="78"/>
      <c r="O75" s="39"/>
    </row>
    <row r="76" spans="2:15" ht="45" x14ac:dyDescent="0.25">
      <c r="B76" s="4"/>
      <c r="C76" s="131" t="s">
        <v>199</v>
      </c>
      <c r="D76" s="104"/>
      <c r="E76" s="160" t="s">
        <v>120</v>
      </c>
      <c r="F76" s="122">
        <v>0.03</v>
      </c>
      <c r="G76" s="92">
        <f t="shared" si="0"/>
        <v>7</v>
      </c>
      <c r="H76" s="59"/>
      <c r="I76" s="60"/>
      <c r="J76" s="60"/>
      <c r="K76" s="61"/>
      <c r="L76" s="62"/>
      <c r="M76" s="78"/>
      <c r="N76" s="78"/>
      <c r="O76" s="39"/>
    </row>
    <row r="77" spans="2:15" ht="30" x14ac:dyDescent="0.25">
      <c r="B77" s="4"/>
      <c r="C77" s="131" t="s">
        <v>200</v>
      </c>
      <c r="D77" s="104"/>
      <c r="E77" s="160" t="s">
        <v>97</v>
      </c>
      <c r="F77" s="108" t="b">
        <f>ApplyTension</f>
        <v>1</v>
      </c>
      <c r="G77" s="92">
        <f t="shared" si="0"/>
        <v>8</v>
      </c>
      <c r="H77" s="59"/>
      <c r="I77" s="60"/>
      <c r="J77" s="60"/>
      <c r="K77" s="61"/>
      <c r="L77" s="62"/>
      <c r="M77" s="78"/>
      <c r="N77" s="78"/>
      <c r="O77" s="39"/>
    </row>
    <row r="78" spans="2:15" ht="30" x14ac:dyDescent="0.25">
      <c r="B78" s="4"/>
      <c r="C78" s="132" t="s">
        <v>201</v>
      </c>
      <c r="D78" s="104"/>
      <c r="E78" s="160" t="s">
        <v>98</v>
      </c>
      <c r="F78" s="108">
        <v>2</v>
      </c>
      <c r="G78" s="92">
        <f t="shared" si="0"/>
        <v>9</v>
      </c>
      <c r="H78" s="59"/>
      <c r="I78" s="60"/>
      <c r="J78" s="60"/>
      <c r="K78" s="61"/>
      <c r="L78" s="62"/>
      <c r="M78" s="78"/>
      <c r="N78" s="78"/>
      <c r="O78" s="39"/>
    </row>
    <row r="79" spans="2:15" x14ac:dyDescent="0.25">
      <c r="B79" s="4"/>
      <c r="C79" s="133"/>
      <c r="D79" s="104"/>
      <c r="E79" s="160"/>
      <c r="F79" s="108"/>
      <c r="G79" s="92">
        <f t="shared" si="0"/>
        <v>10</v>
      </c>
      <c r="H79" s="59"/>
      <c r="I79" s="60"/>
      <c r="J79" s="60"/>
      <c r="K79" s="61"/>
      <c r="L79" s="62"/>
      <c r="M79" s="78"/>
      <c r="N79" s="78"/>
      <c r="O79" s="39"/>
    </row>
    <row r="80" spans="2:15" x14ac:dyDescent="0.25">
      <c r="B80" s="4"/>
      <c r="C80" s="133"/>
      <c r="D80" s="104"/>
      <c r="E80" s="160"/>
      <c r="F80" s="108"/>
      <c r="G80" s="92">
        <f t="shared" si="0"/>
        <v>11</v>
      </c>
      <c r="H80" s="59"/>
      <c r="I80" s="60"/>
      <c r="J80" s="60"/>
      <c r="K80" s="61"/>
      <c r="L80" s="62"/>
      <c r="M80" s="78"/>
      <c r="N80" s="78"/>
      <c r="O80" s="39"/>
    </row>
    <row r="81" spans="2:18" x14ac:dyDescent="0.25">
      <c r="B81" s="4"/>
      <c r="C81" s="133"/>
      <c r="D81" s="104"/>
      <c r="E81" s="160"/>
      <c r="F81" s="108"/>
      <c r="G81" s="92">
        <f t="shared" si="0"/>
        <v>12</v>
      </c>
      <c r="H81" s="59"/>
      <c r="I81" s="60"/>
      <c r="J81" s="60"/>
      <c r="K81" s="61"/>
      <c r="L81" s="62"/>
      <c r="M81" s="78"/>
      <c r="N81" s="78"/>
      <c r="O81" s="39"/>
    </row>
    <row r="82" spans="2:18" x14ac:dyDescent="0.25">
      <c r="B82" s="4"/>
      <c r="C82" s="133"/>
      <c r="D82" s="104"/>
      <c r="E82" s="160"/>
      <c r="F82" s="108"/>
      <c r="G82" s="7"/>
      <c r="H82" s="63"/>
      <c r="I82" s="60"/>
      <c r="J82" s="60"/>
      <c r="K82" s="64"/>
      <c r="L82" s="62"/>
      <c r="M82" s="78"/>
      <c r="N82" s="78"/>
      <c r="O82" s="39"/>
    </row>
    <row r="83" spans="2:18" x14ac:dyDescent="0.25">
      <c r="B83" s="4"/>
      <c r="C83" s="133"/>
      <c r="D83" s="104"/>
      <c r="E83" s="160"/>
      <c r="F83" s="108"/>
      <c r="G83" s="7"/>
      <c r="H83" s="65"/>
      <c r="I83" s="66"/>
      <c r="J83" s="66"/>
      <c r="K83" s="64"/>
      <c r="L83" s="67"/>
      <c r="M83" s="78"/>
      <c r="N83" s="78"/>
      <c r="O83" s="39"/>
      <c r="Q83" s="90"/>
      <c r="R83" s="90"/>
    </row>
    <row r="84" spans="2:18" x14ac:dyDescent="0.25">
      <c r="B84" s="4"/>
      <c r="C84" s="133"/>
      <c r="D84" s="104"/>
      <c r="E84" s="160"/>
      <c r="F84" s="108"/>
      <c r="G84" s="7"/>
      <c r="H84" s="65"/>
      <c r="I84" s="66"/>
      <c r="J84" s="66"/>
      <c r="K84" s="64"/>
      <c r="L84" s="67"/>
      <c r="M84" s="78"/>
      <c r="N84" s="78"/>
      <c r="O84" s="39"/>
    </row>
    <row r="85" spans="2:18" x14ac:dyDescent="0.25">
      <c r="B85" s="4"/>
      <c r="C85" s="134"/>
      <c r="D85" s="104"/>
      <c r="E85" s="166"/>
      <c r="F85" s="176"/>
      <c r="G85" s="7"/>
      <c r="H85" s="68"/>
      <c r="I85" s="69"/>
      <c r="J85" s="69"/>
      <c r="K85" s="70"/>
      <c r="L85" s="71"/>
      <c r="M85" s="78"/>
      <c r="N85" s="78"/>
      <c r="O85" s="39"/>
    </row>
    <row r="86" spans="2:18" x14ac:dyDescent="0.25">
      <c r="B86" s="4"/>
      <c r="C86" s="104"/>
      <c r="D86" s="104"/>
      <c r="E86" s="147"/>
      <c r="F86" s="175"/>
      <c r="G86" s="7"/>
      <c r="H86" s="8"/>
      <c r="I86" s="8"/>
      <c r="J86" s="8"/>
      <c r="K86" s="8"/>
      <c r="L86" s="8"/>
      <c r="M86" s="78"/>
      <c r="N86" s="78"/>
      <c r="O86" s="39"/>
    </row>
    <row r="87" spans="2:18" x14ac:dyDescent="0.25">
      <c r="B87" s="9"/>
      <c r="C87" s="106"/>
      <c r="D87" s="106"/>
      <c r="E87" s="146"/>
      <c r="F87" s="149"/>
      <c r="G87" s="10"/>
      <c r="H87" s="10"/>
      <c r="I87" s="10"/>
      <c r="J87" s="10"/>
      <c r="K87" s="10"/>
      <c r="L87" s="10"/>
      <c r="M87" s="10"/>
      <c r="N87" s="10"/>
      <c r="O87" s="11"/>
    </row>
    <row r="90" spans="2:18" x14ac:dyDescent="0.25">
      <c r="B90" s="40" t="s">
        <v>104</v>
      </c>
      <c r="C90" s="100"/>
      <c r="D90" s="114"/>
    </row>
    <row r="91" spans="2:18" x14ac:dyDescent="0.25">
      <c r="B91" s="1"/>
      <c r="C91" s="102"/>
      <c r="D91" s="102"/>
      <c r="E91" s="144"/>
      <c r="F91" s="150"/>
      <c r="G91" s="2"/>
      <c r="H91" s="2"/>
      <c r="I91" s="2"/>
      <c r="J91" s="2"/>
      <c r="K91" s="2"/>
      <c r="L91" s="2"/>
      <c r="M91" s="2"/>
      <c r="N91" s="2"/>
      <c r="O91" s="3"/>
    </row>
    <row r="92" spans="2:18" x14ac:dyDescent="0.25">
      <c r="B92" s="4"/>
      <c r="C92" s="104"/>
      <c r="D92" s="104"/>
      <c r="E92" s="164" t="s">
        <v>105</v>
      </c>
      <c r="F92" s="151"/>
      <c r="G92" s="8"/>
      <c r="H92" s="34" t="s">
        <v>106</v>
      </c>
      <c r="I92" s="8"/>
      <c r="J92" s="8"/>
      <c r="K92" s="8"/>
      <c r="L92" s="8"/>
      <c r="M92" s="8"/>
      <c r="N92" s="8"/>
      <c r="O92" s="39"/>
    </row>
    <row r="93" spans="2:18" ht="30" x14ac:dyDescent="0.25">
      <c r="B93" s="4"/>
      <c r="C93" s="131" t="s">
        <v>172</v>
      </c>
      <c r="D93" s="104"/>
      <c r="E93" s="174" t="s">
        <v>1</v>
      </c>
      <c r="F93" s="107" t="s">
        <v>2</v>
      </c>
      <c r="G93" s="5"/>
      <c r="H93" s="53" t="s">
        <v>11</v>
      </c>
      <c r="I93" s="53" t="s">
        <v>12</v>
      </c>
      <c r="J93" s="53" t="s">
        <v>8</v>
      </c>
      <c r="K93" s="8"/>
      <c r="L93" s="8"/>
      <c r="M93" s="8"/>
      <c r="N93" s="8"/>
      <c r="O93" s="39"/>
    </row>
    <row r="94" spans="2:18" ht="30" x14ac:dyDescent="0.25">
      <c r="B94" s="4"/>
      <c r="C94" s="131" t="s">
        <v>171</v>
      </c>
      <c r="D94" s="104"/>
      <c r="E94" s="161" t="s">
        <v>88</v>
      </c>
      <c r="F94" s="108" t="s">
        <v>20</v>
      </c>
      <c r="G94" s="7"/>
      <c r="H94" s="76" t="s">
        <v>47</v>
      </c>
      <c r="I94" s="73">
        <v>-2.4199999999999998E-3</v>
      </c>
      <c r="J94" s="50" t="b">
        <v>1</v>
      </c>
      <c r="K94" s="93"/>
      <c r="L94" s="93"/>
      <c r="M94" s="93"/>
      <c r="N94" s="93"/>
      <c r="O94" s="39"/>
    </row>
    <row r="95" spans="2:18" ht="30" x14ac:dyDescent="0.25">
      <c r="B95" s="4"/>
      <c r="C95" s="131" t="s">
        <v>195</v>
      </c>
      <c r="D95" s="104"/>
      <c r="E95" s="161" t="s">
        <v>107</v>
      </c>
      <c r="F95" s="108" t="s">
        <v>6</v>
      </c>
      <c r="G95" s="7"/>
      <c r="H95" s="14" t="s">
        <v>43</v>
      </c>
      <c r="I95" s="74">
        <v>-2.4099999999999998E-3</v>
      </c>
      <c r="J95" s="51" t="b">
        <v>1</v>
      </c>
      <c r="K95" s="93"/>
      <c r="L95" s="93"/>
      <c r="M95" s="93"/>
      <c r="N95" s="93"/>
      <c r="O95" s="39"/>
    </row>
    <row r="96" spans="2:18" ht="30" x14ac:dyDescent="0.25">
      <c r="B96" s="4"/>
      <c r="C96" s="131" t="s">
        <v>173</v>
      </c>
      <c r="D96" s="104"/>
      <c r="E96" s="161" t="s">
        <v>27</v>
      </c>
      <c r="F96" s="108" t="s">
        <v>26</v>
      </c>
      <c r="G96" s="7"/>
      <c r="H96" s="14" t="s">
        <v>50</v>
      </c>
      <c r="I96" s="74">
        <v>-2.2100000000000002E-3</v>
      </c>
      <c r="J96" s="51" t="b">
        <v>1</v>
      </c>
      <c r="K96" s="93"/>
      <c r="L96" s="93"/>
      <c r="M96" s="93"/>
      <c r="N96" s="93"/>
      <c r="O96" s="39"/>
    </row>
    <row r="97" spans="2:17" ht="30" x14ac:dyDescent="0.25">
      <c r="B97" s="4"/>
      <c r="C97" s="131" t="s">
        <v>196</v>
      </c>
      <c r="D97" s="104"/>
      <c r="E97" s="161" t="s">
        <v>109</v>
      </c>
      <c r="F97" s="108" t="s">
        <v>108</v>
      </c>
      <c r="G97" s="7"/>
      <c r="H97" s="14" t="s">
        <v>52</v>
      </c>
      <c r="I97" s="74">
        <v>-1.7399999999999998E-3</v>
      </c>
      <c r="J97" s="51" t="b">
        <v>1</v>
      </c>
      <c r="K97" s="93"/>
      <c r="L97" s="93"/>
      <c r="M97" s="93"/>
      <c r="N97" s="93"/>
      <c r="O97" s="39"/>
    </row>
    <row r="98" spans="2:17" ht="30" x14ac:dyDescent="0.25">
      <c r="B98" s="4"/>
      <c r="C98" s="130" t="s">
        <v>170</v>
      </c>
      <c r="D98" s="104"/>
      <c r="E98" s="161" t="s">
        <v>110</v>
      </c>
      <c r="F98" s="128" t="str">
        <f>interpolationFunction</f>
        <v>fn_SplineInterpolation</v>
      </c>
      <c r="G98" s="7"/>
      <c r="H98" s="14" t="s">
        <v>54</v>
      </c>
      <c r="I98" s="74">
        <v>-1.0299999999999999E-3</v>
      </c>
      <c r="J98" s="51" t="b">
        <v>1</v>
      </c>
      <c r="K98" s="93"/>
      <c r="L98" s="93"/>
      <c r="M98" s="93"/>
      <c r="N98" s="93"/>
      <c r="O98" s="39"/>
    </row>
    <row r="99" spans="2:17" ht="30" x14ac:dyDescent="0.25">
      <c r="B99" s="4"/>
      <c r="C99" s="131" t="s">
        <v>175</v>
      </c>
      <c r="D99" s="104"/>
      <c r="E99" s="161" t="s">
        <v>93</v>
      </c>
      <c r="F99" s="108" t="b">
        <v>1</v>
      </c>
      <c r="G99" s="7"/>
      <c r="H99" s="14" t="s">
        <v>55</v>
      </c>
      <c r="I99" s="74">
        <v>-1.4000000000000001E-4</v>
      </c>
      <c r="J99" s="51" t="b">
        <v>1</v>
      </c>
      <c r="K99" s="93"/>
      <c r="L99" s="93"/>
      <c r="M99" s="93"/>
      <c r="N99" s="93"/>
      <c r="O99" s="39"/>
    </row>
    <row r="100" spans="2:17" ht="30" x14ac:dyDescent="0.25">
      <c r="B100" s="4"/>
      <c r="C100" s="131" t="s">
        <v>176</v>
      </c>
      <c r="D100" s="104"/>
      <c r="E100" s="161" t="s">
        <v>129</v>
      </c>
      <c r="F100" s="108">
        <v>31</v>
      </c>
      <c r="G100" s="7"/>
      <c r="H100" s="14" t="s">
        <v>57</v>
      </c>
      <c r="I100" s="74">
        <v>8.1999999999999998E-4</v>
      </c>
      <c r="J100" s="51" t="b">
        <v>1</v>
      </c>
      <c r="K100" s="93"/>
      <c r="L100" s="93"/>
      <c r="M100" s="93"/>
      <c r="N100" s="93"/>
      <c r="O100" s="39"/>
    </row>
    <row r="101" spans="2:17" ht="30" x14ac:dyDescent="0.25">
      <c r="B101" s="4"/>
      <c r="C101" s="131" t="s">
        <v>174</v>
      </c>
      <c r="D101" s="104"/>
      <c r="E101" s="161" t="s">
        <v>92</v>
      </c>
      <c r="F101" s="108">
        <v>2</v>
      </c>
      <c r="G101" s="7"/>
      <c r="H101" s="14" t="s">
        <v>59</v>
      </c>
      <c r="I101" s="74">
        <v>1.7799999999999999E-3</v>
      </c>
      <c r="J101" s="51" t="b">
        <v>1</v>
      </c>
      <c r="K101" s="93"/>
      <c r="L101" s="93"/>
      <c r="M101" s="93"/>
      <c r="N101" s="93"/>
      <c r="O101" s="39"/>
    </row>
    <row r="102" spans="2:17" ht="30" x14ac:dyDescent="0.25">
      <c r="B102" s="4"/>
      <c r="C102" s="131" t="s">
        <v>197</v>
      </c>
      <c r="D102" s="104"/>
      <c r="E102" s="161" t="s">
        <v>21</v>
      </c>
      <c r="F102" s="119" t="s">
        <v>22</v>
      </c>
      <c r="G102" s="7"/>
      <c r="H102" s="14" t="s">
        <v>60</v>
      </c>
      <c r="I102" s="74">
        <v>2.6800000000000001E-3</v>
      </c>
      <c r="J102" s="51" t="b">
        <v>1</v>
      </c>
      <c r="K102" s="93"/>
      <c r="L102" s="93"/>
      <c r="M102" s="93"/>
      <c r="N102" s="93"/>
      <c r="O102" s="39"/>
    </row>
    <row r="103" spans="2:17" ht="30" x14ac:dyDescent="0.25">
      <c r="B103" s="4"/>
      <c r="C103" s="131" t="s">
        <v>198</v>
      </c>
      <c r="D103" s="104"/>
      <c r="E103" s="161" t="s">
        <v>111</v>
      </c>
      <c r="F103" s="108" t="b">
        <v>1</v>
      </c>
      <c r="G103" s="7"/>
      <c r="H103" s="14" t="s">
        <v>61</v>
      </c>
      <c r="I103" s="74">
        <v>3.4899999999999996E-3</v>
      </c>
      <c r="J103" s="51" t="b">
        <v>1</v>
      </c>
      <c r="K103" s="93"/>
      <c r="L103" s="93"/>
      <c r="M103" s="93"/>
      <c r="N103" s="93"/>
      <c r="O103" s="39"/>
    </row>
    <row r="104" spans="2:17" ht="30" x14ac:dyDescent="0.25">
      <c r="B104" s="4"/>
      <c r="C104" s="131" t="s">
        <v>203</v>
      </c>
      <c r="D104" s="104"/>
      <c r="E104" s="161" t="s">
        <v>112</v>
      </c>
      <c r="F104" s="108" t="b">
        <v>1</v>
      </c>
      <c r="G104" s="7"/>
      <c r="H104" s="14" t="s">
        <v>62</v>
      </c>
      <c r="I104" s="74">
        <v>4.2100000000000002E-3</v>
      </c>
      <c r="J104" s="51" t="b">
        <v>1</v>
      </c>
      <c r="K104" s="93"/>
      <c r="L104" s="93"/>
      <c r="M104" s="93"/>
      <c r="N104" s="93"/>
      <c r="O104" s="39"/>
    </row>
    <row r="105" spans="2:17" ht="30" x14ac:dyDescent="0.25">
      <c r="B105" s="4"/>
      <c r="C105" s="131" t="s">
        <v>182</v>
      </c>
      <c r="D105" s="104"/>
      <c r="E105" s="161" t="s">
        <v>113</v>
      </c>
      <c r="F105" s="110">
        <v>1.0000000000000001E-9</v>
      </c>
      <c r="G105" s="7"/>
      <c r="H105" s="14" t="s">
        <v>63</v>
      </c>
      <c r="I105" s="74">
        <v>5.79E-3</v>
      </c>
      <c r="J105" s="51" t="b">
        <v>1</v>
      </c>
      <c r="K105" s="93"/>
      <c r="L105" s="93"/>
      <c r="M105" s="93"/>
      <c r="N105" s="93"/>
      <c r="O105" s="39"/>
    </row>
    <row r="106" spans="2:17" ht="30" x14ac:dyDescent="0.25">
      <c r="B106" s="4"/>
      <c r="C106" s="132" t="s">
        <v>183</v>
      </c>
      <c r="D106" s="104"/>
      <c r="E106" s="161" t="s">
        <v>114</v>
      </c>
      <c r="F106" s="124">
        <v>1000</v>
      </c>
      <c r="G106" s="7"/>
      <c r="H106" s="14" t="s">
        <v>64</v>
      </c>
      <c r="I106" s="74">
        <v>6.9399999999999991E-3</v>
      </c>
      <c r="J106" s="51" t="b">
        <v>1</v>
      </c>
      <c r="K106" s="93"/>
      <c r="L106" s="93"/>
      <c r="M106" s="93"/>
      <c r="N106" s="93"/>
      <c r="O106" s="39"/>
    </row>
    <row r="107" spans="2:17" x14ac:dyDescent="0.25">
      <c r="B107" s="4"/>
      <c r="C107" s="133"/>
      <c r="D107" s="104"/>
      <c r="E107" s="161"/>
      <c r="F107" s="108"/>
      <c r="G107" s="7"/>
      <c r="H107" s="14" t="s">
        <v>65</v>
      </c>
      <c r="I107" s="74">
        <v>7.1899999999999993E-3</v>
      </c>
      <c r="J107" s="51" t="b">
        <v>1</v>
      </c>
      <c r="K107" s="93"/>
      <c r="L107" s="93"/>
      <c r="M107" s="93"/>
      <c r="N107" s="93"/>
      <c r="O107" s="39"/>
    </row>
    <row r="108" spans="2:17" x14ac:dyDescent="0.25">
      <c r="B108" s="4"/>
      <c r="C108" s="133"/>
      <c r="D108" s="104"/>
      <c r="E108" s="161"/>
      <c r="F108" s="108"/>
      <c r="G108" s="7"/>
      <c r="H108" s="14" t="s">
        <v>66</v>
      </c>
      <c r="I108" s="74">
        <v>7.1599999999999997E-3</v>
      </c>
      <c r="J108" s="51" t="b">
        <v>1</v>
      </c>
      <c r="K108" s="53"/>
      <c r="L108" s="94"/>
      <c r="M108" s="94"/>
      <c r="N108" s="94"/>
      <c r="O108" s="39"/>
    </row>
    <row r="109" spans="2:17" x14ac:dyDescent="0.25">
      <c r="B109" s="4"/>
      <c r="C109" s="133"/>
      <c r="D109" s="104"/>
      <c r="E109" s="161"/>
      <c r="F109" s="108"/>
      <c r="G109" s="7"/>
      <c r="H109" s="14" t="s">
        <v>67</v>
      </c>
      <c r="I109" s="74">
        <v>7.0599999999999994E-3</v>
      </c>
      <c r="J109" s="51" t="b">
        <v>1</v>
      </c>
      <c r="K109" s="53"/>
      <c r="L109" s="94"/>
      <c r="M109" s="94"/>
      <c r="N109" s="94"/>
      <c r="O109" s="39"/>
    </row>
    <row r="110" spans="2:17" x14ac:dyDescent="0.25">
      <c r="B110" s="4"/>
      <c r="C110" s="133"/>
      <c r="D110" s="104"/>
      <c r="E110" s="161"/>
      <c r="F110" s="108"/>
      <c r="G110" s="7"/>
      <c r="H110" s="14" t="s">
        <v>134</v>
      </c>
      <c r="I110" s="74">
        <v>6.6500000000000005E-3</v>
      </c>
      <c r="J110" s="51" t="b">
        <v>1</v>
      </c>
      <c r="K110" s="53"/>
      <c r="L110" s="8"/>
      <c r="M110" s="8"/>
      <c r="N110" s="8"/>
      <c r="O110" s="39"/>
      <c r="Q110" s="91"/>
    </row>
    <row r="111" spans="2:17" x14ac:dyDescent="0.25">
      <c r="B111" s="4"/>
      <c r="C111" s="134"/>
      <c r="D111" s="104"/>
      <c r="E111" s="163"/>
      <c r="F111" s="176"/>
      <c r="G111" s="7"/>
      <c r="H111" s="15"/>
      <c r="I111" s="75"/>
      <c r="J111" s="52"/>
      <c r="K111" s="53"/>
      <c r="L111" s="8"/>
      <c r="M111" s="8"/>
      <c r="N111" s="8"/>
      <c r="O111" s="39"/>
    </row>
    <row r="112" spans="2:17" x14ac:dyDescent="0.25">
      <c r="B112" s="4"/>
      <c r="C112" s="104"/>
      <c r="D112" s="104"/>
      <c r="E112" s="147"/>
      <c r="F112" s="175"/>
      <c r="G112" s="7"/>
      <c r="H112" s="8"/>
      <c r="I112" s="8"/>
      <c r="J112" s="8"/>
      <c r="K112" s="8"/>
      <c r="L112" s="8"/>
      <c r="M112" s="8"/>
      <c r="N112" s="8"/>
      <c r="O112" s="39"/>
    </row>
    <row r="113" spans="2:15" x14ac:dyDescent="0.25">
      <c r="B113" s="9"/>
      <c r="C113" s="106"/>
      <c r="D113" s="106"/>
      <c r="E113" s="146"/>
      <c r="F113" s="149"/>
      <c r="G113" s="10"/>
      <c r="H113" s="10"/>
      <c r="I113" s="10"/>
      <c r="J113" s="10"/>
      <c r="K113" s="10"/>
      <c r="L113" s="10"/>
      <c r="M113" s="10"/>
      <c r="N113" s="10"/>
      <c r="O113" s="11"/>
    </row>
  </sheetData>
  <dataValidations count="3">
    <dataValidation type="list" allowBlank="1" showInputMessage="1" showErrorMessage="1" sqref="F98 F24:F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F75 F102 F54">
      <formula1>"FOLLOWING,MOD_FOLLOWING,PRECEDING,MOD_PRECEEDING,NO_CHANGE"</formula1>
    </dataValidation>
    <dataValidation type="list" allowBlank="1" showInputMessage="1" showErrorMessage="1" sqref="F77">
      <formula1>"TRUE,FALSE"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/>
  </sheetPr>
  <dimension ref="A1:G50"/>
  <sheetViews>
    <sheetView showGridLines="0" tabSelected="1" workbookViewId="0"/>
  </sheetViews>
  <sheetFormatPr defaultRowHeight="15" x14ac:dyDescent="0.25"/>
  <cols>
    <col min="1" max="1" width="9.28515625" customWidth="1"/>
    <col min="2" max="2" width="25.7109375" customWidth="1"/>
    <col min="3" max="3" width="22.5703125" customWidth="1"/>
    <col min="4" max="4" width="9.28515625" customWidth="1"/>
    <col min="5" max="5" width="30.7109375" customWidth="1"/>
    <col min="6" max="6" width="25.7109375" customWidth="1"/>
    <col min="7" max="7" width="10.140625" customWidth="1"/>
  </cols>
  <sheetData>
    <row r="1" spans="1:7" s="178" customFormat="1" x14ac:dyDescent="0.25">
      <c r="E1" s="324"/>
      <c r="F1" s="324"/>
    </row>
    <row r="2" spans="1:7" s="178" customFormat="1" x14ac:dyDescent="0.25">
      <c r="B2" s="114" t="s">
        <v>302</v>
      </c>
      <c r="C2" s="325" t="s">
        <v>303</v>
      </c>
      <c r="F2" s="324"/>
    </row>
    <row r="3" spans="1:7" s="178" customFormat="1" x14ac:dyDescent="0.25">
      <c r="E3" s="327"/>
      <c r="F3" s="324"/>
    </row>
    <row r="4" spans="1:7" s="178" customFormat="1" ht="18.75" x14ac:dyDescent="0.25">
      <c r="E4" s="326" t="s">
        <v>304</v>
      </c>
      <c r="F4" s="324"/>
    </row>
    <row r="5" spans="1:7" s="178" customFormat="1" x14ac:dyDescent="0.25">
      <c r="F5" s="324"/>
    </row>
    <row r="6" spans="1:7" s="101" customFormat="1" ht="18.75" x14ac:dyDescent="0.3">
      <c r="A6" s="210"/>
      <c r="B6" s="314" t="s">
        <v>248</v>
      </c>
      <c r="C6" s="308">
        <v>106.68</v>
      </c>
      <c r="D6" s="210"/>
      <c r="E6" s="314" t="s">
        <v>245</v>
      </c>
      <c r="F6" s="311">
        <f ca="1">IF(NOW(),_xll.meProductAssetSwapSpread($C$18,$E$12:$F$42,FALSE),)</f>
        <v>-41.162977970492605</v>
      </c>
      <c r="G6" s="269"/>
    </row>
    <row r="7" spans="1:7" s="101" customFormat="1" ht="18.75" x14ac:dyDescent="0.3">
      <c r="A7" s="210"/>
      <c r="B7" s="315" t="s">
        <v>249</v>
      </c>
      <c r="C7" s="309">
        <v>106.91907103825137</v>
      </c>
      <c r="D7" s="237"/>
      <c r="E7" s="315" t="s">
        <v>289</v>
      </c>
      <c r="F7" s="312">
        <f ca="1">IF(NOW(),_xll.meProductSwapPV($E$12:$F$43,FALSE))</f>
        <v>-66799.999902286829</v>
      </c>
    </row>
    <row r="8" spans="1:7" s="101" customFormat="1" ht="18.75" x14ac:dyDescent="0.3">
      <c r="A8" s="210"/>
      <c r="B8" s="316" t="s">
        <v>298</v>
      </c>
      <c r="C8" s="310">
        <f>$F$12*(C7-C6)/100</f>
        <v>2390.7103825136742</v>
      </c>
      <c r="D8" s="210"/>
      <c r="E8" s="316" t="s">
        <v>270</v>
      </c>
      <c r="F8" s="313">
        <f>Notional*(100-CleanPrice)/100</f>
        <v>-66800.000000000058</v>
      </c>
    </row>
    <row r="9" spans="1:7" s="101" customFormat="1" x14ac:dyDescent="0.25">
      <c r="C9" s="302"/>
      <c r="D9" s="223"/>
      <c r="F9" s="303"/>
    </row>
    <row r="10" spans="1:7" s="101" customFormat="1" x14ac:dyDescent="0.25">
      <c r="D10" s="223"/>
    </row>
    <row r="11" spans="1:7" x14ac:dyDescent="0.25">
      <c r="B11" s="198" t="s">
        <v>238</v>
      </c>
      <c r="C11" s="101"/>
      <c r="D11" s="101"/>
      <c r="E11" s="198" t="s">
        <v>237</v>
      </c>
    </row>
    <row r="12" spans="1:7" s="101" customFormat="1" x14ac:dyDescent="0.25">
      <c r="B12" s="204" t="s">
        <v>239</v>
      </c>
      <c r="C12" s="199" t="s">
        <v>244</v>
      </c>
      <c r="E12" s="207" t="s">
        <v>123</v>
      </c>
      <c r="F12" s="224">
        <v>1000000</v>
      </c>
    </row>
    <row r="13" spans="1:7" s="101" customFormat="1" x14ac:dyDescent="0.25">
      <c r="B13" s="205" t="s">
        <v>240</v>
      </c>
      <c r="C13" s="200" t="s">
        <v>243</v>
      </c>
      <c r="D13" s="195"/>
      <c r="E13" s="208" t="s">
        <v>139</v>
      </c>
      <c r="F13" s="225" t="s">
        <v>124</v>
      </c>
    </row>
    <row r="14" spans="1:7" s="101" customFormat="1" x14ac:dyDescent="0.25">
      <c r="B14" s="205" t="s">
        <v>234</v>
      </c>
      <c r="C14" s="201">
        <v>42384</v>
      </c>
      <c r="D14" s="223"/>
      <c r="E14" s="208" t="s">
        <v>234</v>
      </c>
      <c r="F14" s="262">
        <f>issueDate</f>
        <v>42384</v>
      </c>
    </row>
    <row r="15" spans="1:7" s="101" customFormat="1" x14ac:dyDescent="0.25">
      <c r="B15" s="205" t="s">
        <v>284</v>
      </c>
      <c r="C15" s="201">
        <v>42781</v>
      </c>
      <c r="D15" s="223"/>
      <c r="E15" s="208" t="s">
        <v>140</v>
      </c>
      <c r="F15" s="262">
        <f>_xll.meDateFromTenor(COB,EffectiveLag,F23,F24)</f>
        <v>42559</v>
      </c>
      <c r="G15" s="232" t="s">
        <v>126</v>
      </c>
    </row>
    <row r="16" spans="1:7" s="101" customFormat="1" x14ac:dyDescent="0.25">
      <c r="B16" s="205" t="s">
        <v>141</v>
      </c>
      <c r="C16" s="201">
        <v>46068</v>
      </c>
      <c r="D16" s="223"/>
      <c r="E16" s="208" t="s">
        <v>141</v>
      </c>
      <c r="F16" s="262">
        <f>MaturityDate</f>
        <v>46068</v>
      </c>
      <c r="G16" s="197"/>
    </row>
    <row r="17" spans="1:7" s="101" customFormat="1" x14ac:dyDescent="0.25">
      <c r="B17" s="205" t="s">
        <v>241</v>
      </c>
      <c r="C17" s="202">
        <v>5.0000000000000001E-3</v>
      </c>
      <c r="D17" s="223"/>
      <c r="E17" s="208" t="s">
        <v>80</v>
      </c>
      <c r="F17" s="183" t="s">
        <v>78</v>
      </c>
    </row>
    <row r="18" spans="1:7" s="101" customFormat="1" x14ac:dyDescent="0.25">
      <c r="B18" s="205" t="s">
        <v>242</v>
      </c>
      <c r="C18" s="257">
        <f>IF(isCleanPrice,CleanPrice,DirtyPrice)</f>
        <v>106.68</v>
      </c>
      <c r="D18" s="223"/>
      <c r="E18" s="208" t="s">
        <v>159</v>
      </c>
      <c r="F18" s="194" t="s">
        <v>119</v>
      </c>
    </row>
    <row r="19" spans="1:7" s="101" customFormat="1" x14ac:dyDescent="0.25">
      <c r="B19" s="205" t="s">
        <v>235</v>
      </c>
      <c r="C19" s="333" t="b">
        <v>1</v>
      </c>
      <c r="E19" s="208" t="s">
        <v>160</v>
      </c>
      <c r="F19" s="194" t="s">
        <v>130</v>
      </c>
    </row>
    <row r="20" spans="1:7" s="101" customFormat="1" x14ac:dyDescent="0.25">
      <c r="B20" s="205" t="s">
        <v>18</v>
      </c>
      <c r="C20" s="211" t="s">
        <v>236</v>
      </c>
      <c r="E20" s="209" t="s">
        <v>235</v>
      </c>
      <c r="F20" s="275" t="b">
        <f>isCleanPrice</f>
        <v>1</v>
      </c>
    </row>
    <row r="21" spans="1:7" s="101" customFormat="1" x14ac:dyDescent="0.25">
      <c r="B21" s="206" t="s">
        <v>27</v>
      </c>
      <c r="C21" s="203" t="s">
        <v>26</v>
      </c>
      <c r="E21" s="208" t="s">
        <v>143</v>
      </c>
      <c r="F21" s="264" t="str">
        <f>BondFrequency</f>
        <v>Annual</v>
      </c>
    </row>
    <row r="22" spans="1:7" s="101" customFormat="1" ht="18.75" x14ac:dyDescent="0.25">
      <c r="D22" s="228"/>
      <c r="E22" s="208" t="s">
        <v>246</v>
      </c>
      <c r="F22" s="294" t="s">
        <v>236</v>
      </c>
    </row>
    <row r="23" spans="1:7" s="101" customFormat="1" x14ac:dyDescent="0.25">
      <c r="E23" s="208" t="s">
        <v>144</v>
      </c>
      <c r="F23" s="196" t="s">
        <v>22</v>
      </c>
    </row>
    <row r="24" spans="1:7" s="101" customFormat="1" x14ac:dyDescent="0.25">
      <c r="D24" s="226"/>
      <c r="E24" s="208" t="s">
        <v>145</v>
      </c>
      <c r="F24" s="196" t="s">
        <v>2</v>
      </c>
    </row>
    <row r="25" spans="1:7" s="101" customFormat="1" x14ac:dyDescent="0.25">
      <c r="E25" s="208" t="s">
        <v>163</v>
      </c>
      <c r="F25" s="235">
        <f>FirstCouponDate</f>
        <v>42781</v>
      </c>
    </row>
    <row r="26" spans="1:7" x14ac:dyDescent="0.25">
      <c r="A26" s="101"/>
      <c r="B26" s="101"/>
      <c r="C26" s="101"/>
      <c r="E26" s="208" t="s">
        <v>164</v>
      </c>
      <c r="F26" s="235"/>
    </row>
    <row r="27" spans="1:7" x14ac:dyDescent="0.25">
      <c r="A27" s="101"/>
      <c r="B27" s="101"/>
      <c r="C27" s="101"/>
      <c r="E27" s="208" t="s">
        <v>146</v>
      </c>
      <c r="F27" s="236"/>
    </row>
    <row r="28" spans="1:7" x14ac:dyDescent="0.25">
      <c r="A28" s="101"/>
      <c r="B28" s="101"/>
      <c r="C28" s="101"/>
      <c r="E28" s="208" t="s">
        <v>148</v>
      </c>
      <c r="F28" s="258"/>
      <c r="G28" s="263" t="s">
        <v>288</v>
      </c>
    </row>
    <row r="29" spans="1:7" x14ac:dyDescent="0.25">
      <c r="A29" s="101"/>
      <c r="B29" s="101"/>
      <c r="C29" s="101"/>
      <c r="D29" s="101"/>
      <c r="E29" s="208" t="s">
        <v>147</v>
      </c>
      <c r="F29" s="182" t="s">
        <v>125</v>
      </c>
    </row>
    <row r="30" spans="1:7" x14ac:dyDescent="0.25">
      <c r="E30" s="209" t="s">
        <v>142</v>
      </c>
      <c r="F30" s="230">
        <f>Coupon</f>
        <v>5.0000000000000001E-3</v>
      </c>
    </row>
    <row r="31" spans="1:7" x14ac:dyDescent="0.25">
      <c r="B31" s="101"/>
      <c r="C31" s="223"/>
      <c r="E31" s="208" t="s">
        <v>149</v>
      </c>
      <c r="F31" s="196" t="s">
        <v>108</v>
      </c>
    </row>
    <row r="32" spans="1:7" x14ac:dyDescent="0.25">
      <c r="B32" s="276"/>
      <c r="C32" s="276"/>
      <c r="E32" s="208" t="s">
        <v>247</v>
      </c>
      <c r="F32" s="295" t="s">
        <v>6</v>
      </c>
    </row>
    <row r="33" spans="2:7" x14ac:dyDescent="0.25">
      <c r="B33" s="276"/>
      <c r="C33" s="279"/>
      <c r="E33" s="208" t="s">
        <v>150</v>
      </c>
      <c r="F33" s="196" t="s">
        <v>22</v>
      </c>
    </row>
    <row r="34" spans="2:7" x14ac:dyDescent="0.25">
      <c r="B34" s="276"/>
      <c r="C34" s="279"/>
      <c r="E34" s="208" t="s">
        <v>151</v>
      </c>
      <c r="F34" s="196" t="s">
        <v>2</v>
      </c>
    </row>
    <row r="35" spans="2:7" x14ac:dyDescent="0.25">
      <c r="B35" s="280"/>
      <c r="E35" s="208" t="s">
        <v>165</v>
      </c>
      <c r="F35" s="233"/>
    </row>
    <row r="36" spans="2:7" x14ac:dyDescent="0.25">
      <c r="B36" s="280"/>
      <c r="E36" s="208" t="s">
        <v>166</v>
      </c>
      <c r="F36" s="233"/>
    </row>
    <row r="37" spans="2:7" x14ac:dyDescent="0.25">
      <c r="E37" s="208" t="s">
        <v>152</v>
      </c>
      <c r="F37" s="231"/>
    </row>
    <row r="38" spans="2:7" x14ac:dyDescent="0.25">
      <c r="E38" s="208" t="s">
        <v>158</v>
      </c>
      <c r="F38" s="258" t="s">
        <v>285</v>
      </c>
      <c r="G38" s="101"/>
    </row>
    <row r="39" spans="2:7" x14ac:dyDescent="0.25">
      <c r="E39" s="208" t="s">
        <v>153</v>
      </c>
      <c r="F39" s="182" t="s">
        <v>125</v>
      </c>
      <c r="G39" s="101"/>
    </row>
    <row r="40" spans="2:7" x14ac:dyDescent="0.25">
      <c r="E40" s="208" t="s">
        <v>156</v>
      </c>
      <c r="F40" s="182" t="s">
        <v>125</v>
      </c>
    </row>
    <row r="41" spans="2:7" x14ac:dyDescent="0.25">
      <c r="E41" s="208" t="s">
        <v>154</v>
      </c>
      <c r="F41" s="234"/>
    </row>
    <row r="42" spans="2:7" x14ac:dyDescent="0.25">
      <c r="E42" s="208" t="s">
        <v>155</v>
      </c>
      <c r="F42" s="182"/>
    </row>
    <row r="43" spans="2:7" x14ac:dyDescent="0.25">
      <c r="E43" s="209" t="s">
        <v>157</v>
      </c>
      <c r="F43" s="277">
        <f ca="1">AssetSwapSpread</f>
        <v>-41.162977970492605</v>
      </c>
    </row>
    <row r="46" spans="2:7" x14ac:dyDescent="0.25">
      <c r="E46" s="101"/>
    </row>
    <row r="47" spans="2:7" x14ac:dyDescent="0.25">
      <c r="E47" s="101"/>
    </row>
    <row r="48" spans="2:7" x14ac:dyDescent="0.25">
      <c r="E48" s="101"/>
    </row>
    <row r="49" spans="5:5" x14ac:dyDescent="0.25">
      <c r="E49" s="101"/>
    </row>
    <row r="50" spans="5:5" x14ac:dyDescent="0.25">
      <c r="E50" s="101"/>
    </row>
  </sheetData>
  <dataValidations count="5">
    <dataValidation type="list" allowBlank="1" showInputMessage="1" showErrorMessage="1" sqref="F28 F38">
      <formula1>"None,ShortStart,ShortEnd,LongStart,LongEnd,SS,SE,LS,LE"</formula1>
    </dataValidation>
    <dataValidation type="list" allowBlank="1" showInputMessage="1" showErrorMessage="1" sqref="F23 F33">
      <formula1>"MOD_FOLLOWING,FOLLOWING,MOD_PRECEDING,PRECEDING,NO_CHANGE"</formula1>
    </dataValidation>
    <dataValidation type="list" allowBlank="1" showInputMessage="1" showErrorMessage="1" sqref="F13">
      <formula1>"PAYER,RECEIVER"</formula1>
    </dataValidation>
    <dataValidation type="list" allowBlank="1" showInputMessage="1" showErrorMessage="1" sqref="C19">
      <formula1>"TRUE,FALSE"</formula1>
    </dataValidation>
    <dataValidation type="list" allowBlank="1" showInputMessage="1" showErrorMessage="1" sqref="C20 F22 F32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B2:O60"/>
  <sheetViews>
    <sheetView showGridLines="0" workbookViewId="0"/>
  </sheetViews>
  <sheetFormatPr defaultRowHeight="15" x14ac:dyDescent="0.25"/>
  <cols>
    <col min="1" max="1" width="9.140625" style="101"/>
    <col min="2" max="2" width="31" style="101" bestFit="1" customWidth="1"/>
    <col min="3" max="3" width="20.7109375" style="101" customWidth="1"/>
    <col min="4" max="4" width="9.140625" style="101"/>
    <col min="5" max="5" width="21.42578125" style="101" customWidth="1"/>
    <col min="6" max="6" width="15.140625" style="101" bestFit="1" customWidth="1"/>
    <col min="7" max="7" width="14.85546875" style="101" customWidth="1"/>
    <col min="8" max="8" width="16.5703125" style="101" customWidth="1"/>
    <col min="9" max="9" width="20.42578125" style="101" bestFit="1" customWidth="1"/>
    <col min="10" max="10" width="16.140625" style="101" customWidth="1"/>
    <col min="11" max="16384" width="9.140625" style="101"/>
  </cols>
  <sheetData>
    <row r="2" spans="2:15" x14ac:dyDescent="0.25">
      <c r="B2" s="114" t="s">
        <v>303</v>
      </c>
    </row>
    <row r="6" spans="2:15" x14ac:dyDescent="0.25">
      <c r="B6" s="180" t="s">
        <v>276</v>
      </c>
      <c r="E6" s="180" t="s">
        <v>292</v>
      </c>
      <c r="H6" s="180" t="s">
        <v>293</v>
      </c>
    </row>
    <row r="7" spans="2:15" ht="18.75" x14ac:dyDescent="0.25">
      <c r="B7" s="317" t="s">
        <v>282</v>
      </c>
      <c r="C7" s="318">
        <v>-41.164814128594038</v>
      </c>
      <c r="E7" s="204" t="s">
        <v>274</v>
      </c>
      <c r="F7" s="272">
        <f ca="1">SUM(N21:N36)</f>
        <v>51220.491892438033</v>
      </c>
      <c r="G7" s="223"/>
      <c r="H7" s="204" t="s">
        <v>213</v>
      </c>
      <c r="I7" s="272">
        <f ca="1">F9-F10</f>
        <v>26024.542174753173</v>
      </c>
      <c r="J7" s="223"/>
    </row>
    <row r="8" spans="2:15" ht="18.75" x14ac:dyDescent="0.25">
      <c r="B8" s="319" t="s">
        <v>280</v>
      </c>
      <c r="C8" s="320">
        <f ca="1">AssetSwapSpread</f>
        <v>-41.162977970492605</v>
      </c>
      <c r="E8" s="205" t="s">
        <v>269</v>
      </c>
      <c r="F8" s="273">
        <f>IF(isCleanPrice,ManualAccruedInterest,0)</f>
        <v>2390.710382513661</v>
      </c>
      <c r="G8" s="273"/>
      <c r="H8" s="205" t="s">
        <v>295</v>
      </c>
      <c r="I8" s="273">
        <f>Notional*(100-IF(isCleanPrice,CleanPrice,DirtyPrice))/100</f>
        <v>-66800.000000000058</v>
      </c>
      <c r="J8" s="305" t="str">
        <f>IF(isCleanPrice,"Clean","Dirty")</f>
        <v>Clean</v>
      </c>
    </row>
    <row r="9" spans="2:15" ht="18.75" x14ac:dyDescent="0.25">
      <c r="B9" s="319" t="s">
        <v>281</v>
      </c>
      <c r="C9" s="320">
        <f ca="1">I11</f>
        <v>-41.163015860240144</v>
      </c>
      <c r="E9" s="205" t="s">
        <v>290</v>
      </c>
      <c r="F9" s="273">
        <f ca="1">F7-F8</f>
        <v>48829.781509924374</v>
      </c>
      <c r="G9" s="223"/>
      <c r="H9" s="205" t="s">
        <v>296</v>
      </c>
      <c r="I9" s="273">
        <f ca="1">ManualAccruedInterest*FirstFixedDiscountFactor-ManualAccruedInterest</f>
        <v>6.2340758778450436</v>
      </c>
      <c r="J9" s="223"/>
    </row>
    <row r="10" spans="2:15" ht="18.75" x14ac:dyDescent="0.25">
      <c r="B10" s="319" t="s">
        <v>297</v>
      </c>
      <c r="C10" s="321">
        <f ca="1">C8-C7</f>
        <v>1.8361581014332273E-3</v>
      </c>
      <c r="E10" s="205" t="s">
        <v>275</v>
      </c>
      <c r="F10" s="273">
        <f ca="1">SUM(O40:O60)</f>
        <v>22805.239335171202</v>
      </c>
      <c r="G10" s="223"/>
      <c r="H10" s="205" t="s">
        <v>277</v>
      </c>
      <c r="I10" s="273">
        <f ca="1">Notional*SUMPRODUCT(M40:M60,N40:N60)</f>
        <v>9907362.4827660564</v>
      </c>
      <c r="J10" s="229"/>
    </row>
    <row r="11" spans="2:15" ht="18.75" x14ac:dyDescent="0.25">
      <c r="B11" s="322"/>
      <c r="C11" s="323"/>
      <c r="E11" s="206"/>
      <c r="F11" s="274"/>
      <c r="G11" s="223"/>
      <c r="H11" s="271" t="s">
        <v>291</v>
      </c>
      <c r="I11" s="300">
        <f ca="1">((I7+I8-I9)/I10)*10000</f>
        <v>-41.163015860240144</v>
      </c>
      <c r="J11" s="229"/>
    </row>
    <row r="12" spans="2:15" ht="18.75" x14ac:dyDescent="0.25">
      <c r="B12" s="265"/>
      <c r="C12" s="299"/>
    </row>
    <row r="13" spans="2:15" x14ac:dyDescent="0.25">
      <c r="B13" s="198" t="s">
        <v>237</v>
      </c>
      <c r="E13" s="198" t="s">
        <v>269</v>
      </c>
      <c r="G13" s="297"/>
    </row>
    <row r="14" spans="2:15" x14ac:dyDescent="0.25">
      <c r="B14" s="204" t="s">
        <v>234</v>
      </c>
      <c r="C14" s="289">
        <f>issueDate</f>
        <v>42384</v>
      </c>
      <c r="E14" s="250" t="s">
        <v>271</v>
      </c>
      <c r="F14" s="238" t="s">
        <v>140</v>
      </c>
      <c r="G14" s="238" t="s">
        <v>272</v>
      </c>
      <c r="H14" s="238" t="s">
        <v>142</v>
      </c>
      <c r="I14" s="238" t="s">
        <v>283</v>
      </c>
      <c r="J14" s="238"/>
      <c r="K14" s="238"/>
      <c r="L14" s="238"/>
      <c r="M14" s="238"/>
      <c r="N14" s="238"/>
      <c r="O14" s="239"/>
    </row>
    <row r="15" spans="2:15" x14ac:dyDescent="0.25">
      <c r="B15" s="205" t="s">
        <v>140</v>
      </c>
      <c r="C15" s="290">
        <f>EffectiveDate</f>
        <v>42559</v>
      </c>
      <c r="E15" s="281">
        <f>F21</f>
        <v>42384</v>
      </c>
      <c r="F15" s="266">
        <f>EffectiveDate</f>
        <v>42559</v>
      </c>
      <c r="G15" s="267">
        <f>_xll.meDateYearFraction(E15,F15,BondDaycount,FALSE)</f>
        <v>0.47814207650273222</v>
      </c>
      <c r="H15" s="268">
        <f>Coupon</f>
        <v>5.0000000000000001E-3</v>
      </c>
      <c r="I15" s="278">
        <f>IF($G$15&lt;=0,0,Notional*$H$15*$G$15)</f>
        <v>2390.710382513661</v>
      </c>
      <c r="J15" s="242"/>
      <c r="K15" s="242"/>
      <c r="L15" s="296"/>
      <c r="M15" s="241"/>
      <c r="N15" s="241"/>
      <c r="O15" s="243"/>
    </row>
    <row r="16" spans="2:15" x14ac:dyDescent="0.25">
      <c r="B16" s="205" t="s">
        <v>123</v>
      </c>
      <c r="C16" s="291">
        <f>Notional</f>
        <v>1000000</v>
      </c>
      <c r="E16" s="281"/>
      <c r="F16" s="278"/>
      <c r="G16" s="267"/>
      <c r="H16" s="268"/>
      <c r="I16" s="301"/>
      <c r="J16" s="241"/>
      <c r="K16" s="241"/>
      <c r="L16" s="241"/>
      <c r="M16" s="241"/>
      <c r="N16" s="241"/>
      <c r="O16" s="243"/>
    </row>
    <row r="17" spans="2:15" x14ac:dyDescent="0.25">
      <c r="B17" s="206" t="s">
        <v>142</v>
      </c>
      <c r="C17" s="292">
        <f>Coupon</f>
        <v>5.0000000000000001E-3</v>
      </c>
      <c r="E17" s="251"/>
      <c r="F17" s="252"/>
      <c r="G17" s="253"/>
      <c r="H17" s="254"/>
      <c r="I17" s="293"/>
      <c r="J17" s="298"/>
      <c r="K17" s="298"/>
      <c r="L17" s="293"/>
      <c r="M17" s="255"/>
      <c r="N17" s="255"/>
      <c r="O17" s="249"/>
    </row>
    <row r="19" spans="2:15" x14ac:dyDescent="0.25">
      <c r="B19" s="198" t="s">
        <v>250</v>
      </c>
      <c r="E19" s="198" t="s">
        <v>286</v>
      </c>
      <c r="J19" s="198"/>
      <c r="L19" s="227"/>
    </row>
    <row r="20" spans="2:15" x14ac:dyDescent="0.25">
      <c r="B20" s="204" t="s">
        <v>140</v>
      </c>
      <c r="C20" s="287">
        <f>issueDate</f>
        <v>42384</v>
      </c>
      <c r="E20" s="219" t="str">
        <f t="array" ref="E20:J36">_xll.meProductSwapSchedule(B20:C36)</f>
        <v>FixingDate</v>
      </c>
      <c r="F20" s="220" t="str">
        <v>AccrualStart</v>
      </c>
      <c r="G20" s="220" t="str">
        <v>AccrualEnd</v>
      </c>
      <c r="H20" s="328" t="str">
        <v>AccrualDays</v>
      </c>
      <c r="I20" s="329" t="str">
        <v>AccrualYearFractions</v>
      </c>
      <c r="J20" s="220" t="str">
        <v>PaymentDate</v>
      </c>
      <c r="K20" s="238" t="s">
        <v>142</v>
      </c>
      <c r="L20" s="238" t="s">
        <v>241</v>
      </c>
      <c r="M20" s="238" t="s">
        <v>267</v>
      </c>
      <c r="N20" s="238" t="s">
        <v>268</v>
      </c>
      <c r="O20" s="259"/>
    </row>
    <row r="21" spans="2:15" x14ac:dyDescent="0.25">
      <c r="B21" s="205" t="s">
        <v>141</v>
      </c>
      <c r="C21" s="286">
        <f>MaturityDate</f>
        <v>46068</v>
      </c>
      <c r="E21" s="282">
        <v>42384</v>
      </c>
      <c r="F21" s="283">
        <v>42384</v>
      </c>
      <c r="G21" s="283">
        <v>42781</v>
      </c>
      <c r="H21" s="241">
        <v>397</v>
      </c>
      <c r="I21" s="221">
        <v>1.0850363051126581</v>
      </c>
      <c r="J21" s="283">
        <v>42781</v>
      </c>
      <c r="K21" s="240">
        <f t="shared" ref="K21:K36" si="0">IF(ISNA(E21),0,Coupon)</f>
        <v>5.0000000000000001E-3</v>
      </c>
      <c r="L21" s="241">
        <f t="shared" ref="L21:L36" si="1">IF(ISNA(E21),0,Notional*K21*I21)</f>
        <v>5425.181525563291</v>
      </c>
      <c r="M21" s="304">
        <f ca="1">IF(NOW(),IF(ISNA(E21),0,_xll.meCurveDiscountFactors(J21,CurveCollection,DiscountCurve)),)</f>
        <v>1.0026076248814757</v>
      </c>
      <c r="N21" s="241">
        <f t="shared" ref="N21:N36" ca="1" si="2">IF(ISNA(E21),0,L21*M21)</f>
        <v>5439.3283638958719</v>
      </c>
      <c r="O21" s="260"/>
    </row>
    <row r="22" spans="2:15" x14ac:dyDescent="0.25">
      <c r="B22" s="205" t="s">
        <v>305</v>
      </c>
      <c r="C22" s="128" t="str">
        <f>ASW!F22</f>
        <v>ACT/ACT</v>
      </c>
      <c r="E22" s="282">
        <v>42781</v>
      </c>
      <c r="F22" s="283">
        <v>42781</v>
      </c>
      <c r="G22" s="283">
        <v>43146</v>
      </c>
      <c r="H22" s="241">
        <v>365</v>
      </c>
      <c r="I22" s="221">
        <v>1</v>
      </c>
      <c r="J22" s="283">
        <v>43146</v>
      </c>
      <c r="K22" s="240">
        <f t="shared" si="0"/>
        <v>5.0000000000000001E-3</v>
      </c>
      <c r="L22" s="241">
        <f t="shared" si="1"/>
        <v>5000</v>
      </c>
      <c r="M22" s="242">
        <f ca="1">IF(NOW(),IF(ISNA(E22),0,_xll.meCurveDiscountFactors(J22,CurveCollection,DiscountCurve)),)</f>
        <v>1.0079550773894554</v>
      </c>
      <c r="N22" s="241">
        <f t="shared" ca="1" si="2"/>
        <v>5039.7753869472772</v>
      </c>
      <c r="O22" s="260"/>
    </row>
    <row r="23" spans="2:15" x14ac:dyDescent="0.25">
      <c r="B23" s="205" t="s">
        <v>251</v>
      </c>
      <c r="C23" s="128" t="str">
        <f>BondFrequency</f>
        <v>Annual</v>
      </c>
      <c r="E23" s="282">
        <v>43146</v>
      </c>
      <c r="F23" s="283">
        <v>43146</v>
      </c>
      <c r="G23" s="283">
        <v>43511</v>
      </c>
      <c r="H23" s="241">
        <v>365</v>
      </c>
      <c r="I23" s="221">
        <v>1</v>
      </c>
      <c r="J23" s="283">
        <v>43511</v>
      </c>
      <c r="K23" s="240">
        <f t="shared" si="0"/>
        <v>5.0000000000000001E-3</v>
      </c>
      <c r="L23" s="241">
        <f t="shared" si="1"/>
        <v>5000</v>
      </c>
      <c r="M23" s="242">
        <f ca="1">IF(NOW(),IF(ISNA(E23),0,_xll.meCurveDiscountFactors(J23,CurveCollection,DiscountCurve)),)</f>
        <v>1.0136872628795077</v>
      </c>
      <c r="N23" s="241">
        <f t="shared" ca="1" si="2"/>
        <v>5068.4363143975388</v>
      </c>
      <c r="O23" s="260"/>
    </row>
    <row r="24" spans="2:15" x14ac:dyDescent="0.25">
      <c r="B24" s="205" t="s">
        <v>252</v>
      </c>
      <c r="C24" s="212" t="s">
        <v>22</v>
      </c>
      <c r="E24" s="282">
        <v>43511</v>
      </c>
      <c r="F24" s="283">
        <v>43511</v>
      </c>
      <c r="G24" s="283">
        <v>43878</v>
      </c>
      <c r="H24" s="241">
        <v>367</v>
      </c>
      <c r="I24" s="221">
        <v>1.0051276293135714</v>
      </c>
      <c r="J24" s="283">
        <v>43878</v>
      </c>
      <c r="K24" s="240">
        <f t="shared" si="0"/>
        <v>5.0000000000000001E-3</v>
      </c>
      <c r="L24" s="241">
        <f t="shared" si="1"/>
        <v>5025.6381465678569</v>
      </c>
      <c r="M24" s="242">
        <f ca="1">IF(NOW(),IF(ISNA(E24),0,_xll.meCurveDiscountFactors(J24,CurveCollection,DiscountCurve)),)</f>
        <v>1.019226848974188</v>
      </c>
      <c r="N24" s="241">
        <f t="shared" ca="1" si="2"/>
        <v>5122.2653322108354</v>
      </c>
      <c r="O24" s="260"/>
    </row>
    <row r="25" spans="2:15" x14ac:dyDescent="0.25">
      <c r="B25" s="205" t="s">
        <v>253</v>
      </c>
      <c r="C25" s="213" t="s">
        <v>2</v>
      </c>
      <c r="E25" s="282">
        <v>43878</v>
      </c>
      <c r="F25" s="283">
        <v>43878</v>
      </c>
      <c r="G25" s="283">
        <v>44242</v>
      </c>
      <c r="H25" s="241">
        <v>364</v>
      </c>
      <c r="I25" s="221">
        <v>0.99487237068642864</v>
      </c>
      <c r="J25" s="283">
        <v>44242</v>
      </c>
      <c r="K25" s="240">
        <f t="shared" si="0"/>
        <v>5.0000000000000001E-3</v>
      </c>
      <c r="L25" s="241">
        <f t="shared" si="1"/>
        <v>4974.3618534321431</v>
      </c>
      <c r="M25" s="242">
        <f ca="1">IF(NOW(),IF(ISNA(E25),0,_xll.meCurveDiscountFactors(J25,CurveCollection,DiscountCurve)),)</f>
        <v>1.0235865733470442</v>
      </c>
      <c r="N25" s="241">
        <f t="shared" ca="1" si="2"/>
        <v>5091.6900041428589</v>
      </c>
      <c r="O25" s="260"/>
    </row>
    <row r="26" spans="2:15" x14ac:dyDescent="0.25">
      <c r="B26" s="205" t="s">
        <v>254</v>
      </c>
      <c r="C26" s="128" t="str">
        <f>BondFrequency</f>
        <v>Annual</v>
      </c>
      <c r="E26" s="282">
        <v>44242</v>
      </c>
      <c r="F26" s="283">
        <v>44242</v>
      </c>
      <c r="G26" s="283">
        <v>44607</v>
      </c>
      <c r="H26" s="241">
        <v>365</v>
      </c>
      <c r="I26" s="221">
        <v>1</v>
      </c>
      <c r="J26" s="283">
        <v>44607</v>
      </c>
      <c r="K26" s="240">
        <f t="shared" si="0"/>
        <v>5.0000000000000001E-3</v>
      </c>
      <c r="L26" s="241">
        <f t="shared" si="1"/>
        <v>5000</v>
      </c>
      <c r="M26" s="242">
        <f ca="1">IF(NOW(),IF(ISNA(E26),0,_xll.meCurveDiscountFactors(J26,CurveCollection,DiscountCurve)),)</f>
        <v>1.0255250545303081</v>
      </c>
      <c r="N26" s="241">
        <f t="shared" ca="1" si="2"/>
        <v>5127.6252726515404</v>
      </c>
      <c r="O26" s="260"/>
    </row>
    <row r="27" spans="2:15" x14ac:dyDescent="0.25">
      <c r="B27" s="205" t="s">
        <v>255</v>
      </c>
      <c r="C27" s="212" t="s">
        <v>22</v>
      </c>
      <c r="E27" s="282">
        <v>44607</v>
      </c>
      <c r="F27" s="283">
        <v>44607</v>
      </c>
      <c r="G27" s="283">
        <v>44972</v>
      </c>
      <c r="H27" s="241">
        <v>365</v>
      </c>
      <c r="I27" s="221">
        <v>1</v>
      </c>
      <c r="J27" s="283">
        <v>44972</v>
      </c>
      <c r="K27" s="240">
        <f t="shared" si="0"/>
        <v>5.0000000000000001E-3</v>
      </c>
      <c r="L27" s="241">
        <f t="shared" si="1"/>
        <v>5000</v>
      </c>
      <c r="M27" s="242">
        <f ca="1">IF(NOW(),IF(ISNA(E27),0,_xll.meCurveDiscountFactors(J27,CurveCollection,DiscountCurve)),)</f>
        <v>1.0243571988049838</v>
      </c>
      <c r="N27" s="241">
        <f t="shared" ca="1" si="2"/>
        <v>5121.7859940249191</v>
      </c>
      <c r="O27" s="260"/>
    </row>
    <row r="28" spans="2:15" x14ac:dyDescent="0.25">
      <c r="B28" s="205" t="s">
        <v>256</v>
      </c>
      <c r="C28" s="200" t="s">
        <v>2</v>
      </c>
      <c r="E28" s="282">
        <v>44972</v>
      </c>
      <c r="F28" s="283">
        <v>44972</v>
      </c>
      <c r="G28" s="283">
        <v>45337</v>
      </c>
      <c r="H28" s="241">
        <v>365</v>
      </c>
      <c r="I28" s="221">
        <v>0.99966314843925441</v>
      </c>
      <c r="J28" s="283">
        <v>45337</v>
      </c>
      <c r="K28" s="240">
        <f t="shared" si="0"/>
        <v>5.0000000000000001E-3</v>
      </c>
      <c r="L28" s="241">
        <f t="shared" si="1"/>
        <v>4998.3157421962724</v>
      </c>
      <c r="M28" s="242">
        <f ca="1">IF(NOW(),IF(ISNA(E28),0,_xll.meCurveDiscountFactors(J28,CurveCollection,DiscountCurve)),)</f>
        <v>1.0203078928131681</v>
      </c>
      <c r="N28" s="241">
        <f t="shared" ca="1" si="2"/>
        <v>5099.8210025351655</v>
      </c>
      <c r="O28" s="260"/>
    </row>
    <row r="29" spans="2:15" x14ac:dyDescent="0.25">
      <c r="B29" s="205" t="s">
        <v>257</v>
      </c>
      <c r="C29" s="214" t="s">
        <v>125</v>
      </c>
      <c r="E29" s="282">
        <v>45337</v>
      </c>
      <c r="F29" s="283">
        <v>45337</v>
      </c>
      <c r="G29" s="283">
        <v>45705</v>
      </c>
      <c r="H29" s="241">
        <v>368</v>
      </c>
      <c r="I29" s="221">
        <v>1.0058163036155401</v>
      </c>
      <c r="J29" s="283">
        <v>45705</v>
      </c>
      <c r="K29" s="240">
        <f t="shared" si="0"/>
        <v>5.0000000000000001E-3</v>
      </c>
      <c r="L29" s="241">
        <f t="shared" si="1"/>
        <v>5029.0815180777008</v>
      </c>
      <c r="M29" s="242">
        <f ca="1">IF(NOW(),IF(ISNA(E29),0,_xll.meCurveDiscountFactors(J29,CurveCollection,DiscountCurve)),)</f>
        <v>1.0136900661336254</v>
      </c>
      <c r="N29" s="241">
        <f t="shared" ca="1" si="2"/>
        <v>5097.9299766515778</v>
      </c>
      <c r="O29" s="260"/>
    </row>
    <row r="30" spans="2:15" x14ac:dyDescent="0.25">
      <c r="B30" s="205" t="s">
        <v>258</v>
      </c>
      <c r="C30" s="215" t="s">
        <v>22</v>
      </c>
      <c r="E30" s="282">
        <v>45705</v>
      </c>
      <c r="F30" s="283">
        <v>45705</v>
      </c>
      <c r="G30" s="283">
        <v>46069</v>
      </c>
      <c r="H30" s="241">
        <v>364</v>
      </c>
      <c r="I30" s="221">
        <v>0.99726027397260275</v>
      </c>
      <c r="J30" s="283">
        <v>46069</v>
      </c>
      <c r="K30" s="240">
        <f t="shared" si="0"/>
        <v>5.0000000000000001E-3</v>
      </c>
      <c r="L30" s="244">
        <f t="shared" si="1"/>
        <v>4986.3013698630139</v>
      </c>
      <c r="M30" s="245">
        <f ca="1">IF(NOW(),IF(ISNA(E30),0,_xll.meCurveDiscountFactors(J30,CurveCollection,DiscountCurve)),)</f>
        <v>1.0051206040757494</v>
      </c>
      <c r="N30" s="241">
        <f t="shared" ca="1" si="2"/>
        <v>5011.8342449804495</v>
      </c>
      <c r="O30" s="260"/>
    </row>
    <row r="31" spans="2:15" x14ac:dyDescent="0.25">
      <c r="B31" s="205" t="s">
        <v>259</v>
      </c>
      <c r="C31" s="200" t="s">
        <v>2</v>
      </c>
      <c r="E31" s="282" t="e">
        <v>#N/A</v>
      </c>
      <c r="F31" s="283" t="e">
        <v>#N/A</v>
      </c>
      <c r="G31" s="283" t="e">
        <v>#N/A</v>
      </c>
      <c r="H31" s="241" t="e">
        <v>#N/A</v>
      </c>
      <c r="I31" s="221" t="e">
        <v>#N/A</v>
      </c>
      <c r="J31" s="283" t="e">
        <v>#N/A</v>
      </c>
      <c r="K31" s="240">
        <f t="shared" si="0"/>
        <v>0</v>
      </c>
      <c r="L31" s="244">
        <f t="shared" si="1"/>
        <v>0</v>
      </c>
      <c r="M31" s="245">
        <f ca="1">IF(NOW(),IF(ISNA(E31),0,_xll.meCurveDiscountFactors(J31,CurveCollection,DiscountCurve)),)</f>
        <v>0</v>
      </c>
      <c r="N31" s="241">
        <f t="shared" si="2"/>
        <v>0</v>
      </c>
      <c r="O31" s="260"/>
    </row>
    <row r="32" spans="2:15" x14ac:dyDescent="0.25">
      <c r="B32" s="205" t="s">
        <v>260</v>
      </c>
      <c r="C32" s="216" t="s">
        <v>125</v>
      </c>
      <c r="E32" s="282" t="e">
        <v>#N/A</v>
      </c>
      <c r="F32" s="283" t="e">
        <v>#N/A</v>
      </c>
      <c r="G32" s="283" t="e">
        <v>#N/A</v>
      </c>
      <c r="H32" s="241" t="e">
        <v>#N/A</v>
      </c>
      <c r="I32" s="221" t="e">
        <v>#N/A</v>
      </c>
      <c r="J32" s="283" t="e">
        <v>#N/A</v>
      </c>
      <c r="K32" s="240">
        <f t="shared" si="0"/>
        <v>0</v>
      </c>
      <c r="L32" s="244">
        <f t="shared" si="1"/>
        <v>0</v>
      </c>
      <c r="M32" s="245">
        <f ca="1">IF(NOW(),IF(ISNA(E32),0,_xll.meCurveDiscountFactors(J32,CurveCollection,DiscountCurve)),)</f>
        <v>0</v>
      </c>
      <c r="N32" s="241">
        <f t="shared" si="2"/>
        <v>0</v>
      </c>
      <c r="O32" s="260"/>
    </row>
    <row r="33" spans="2:15" x14ac:dyDescent="0.25">
      <c r="B33" s="205" t="s">
        <v>261</v>
      </c>
      <c r="C33" s="217" t="s">
        <v>262</v>
      </c>
      <c r="E33" s="282" t="e">
        <v>#N/A</v>
      </c>
      <c r="F33" s="283" t="e">
        <v>#N/A</v>
      </c>
      <c r="G33" s="283" t="e">
        <v>#N/A</v>
      </c>
      <c r="H33" s="241" t="e">
        <v>#N/A</v>
      </c>
      <c r="I33" s="221" t="e">
        <v>#N/A</v>
      </c>
      <c r="J33" s="283" t="e">
        <v>#N/A</v>
      </c>
      <c r="K33" s="240">
        <f t="shared" si="0"/>
        <v>0</v>
      </c>
      <c r="L33" s="244">
        <f t="shared" si="1"/>
        <v>0</v>
      </c>
      <c r="M33" s="245">
        <f ca="1">IF(NOW(),IF(ISNA(E33),0,_xll.meCurveDiscountFactors(J33,CurveCollection,DiscountCurve)),)</f>
        <v>0</v>
      </c>
      <c r="N33" s="241">
        <f t="shared" si="2"/>
        <v>0</v>
      </c>
      <c r="O33" s="260"/>
    </row>
    <row r="34" spans="2:15" x14ac:dyDescent="0.25">
      <c r="B34" s="205" t="s">
        <v>263</v>
      </c>
      <c r="C34" s="286">
        <f>FirstCouponDate</f>
        <v>42781</v>
      </c>
      <c r="E34" s="282" t="e">
        <v>#N/A</v>
      </c>
      <c r="F34" s="283" t="e">
        <v>#N/A</v>
      </c>
      <c r="G34" s="283" t="e">
        <v>#N/A</v>
      </c>
      <c r="H34" s="241" t="e">
        <v>#N/A</v>
      </c>
      <c r="I34" s="221" t="e">
        <v>#N/A</v>
      </c>
      <c r="J34" s="283" t="e">
        <v>#N/A</v>
      </c>
      <c r="K34" s="240">
        <f t="shared" si="0"/>
        <v>0</v>
      </c>
      <c r="L34" s="244">
        <f t="shared" si="1"/>
        <v>0</v>
      </c>
      <c r="M34" s="245">
        <f ca="1">IF(NOW(),IF(ISNA(E34),0,_xll.meCurveDiscountFactors(J34,CurveCollection,DiscountCurve)),)</f>
        <v>0</v>
      </c>
      <c r="N34" s="241">
        <f t="shared" si="2"/>
        <v>0</v>
      </c>
      <c r="O34" s="260"/>
    </row>
    <row r="35" spans="2:15" x14ac:dyDescent="0.25">
      <c r="B35" s="205" t="s">
        <v>264</v>
      </c>
      <c r="C35" s="288"/>
      <c r="E35" s="282" t="e">
        <v>#N/A</v>
      </c>
      <c r="F35" s="283" t="e">
        <v>#N/A</v>
      </c>
      <c r="G35" s="283" t="e">
        <v>#N/A</v>
      </c>
      <c r="H35" s="241" t="e">
        <v>#N/A</v>
      </c>
      <c r="I35" s="221" t="e">
        <v>#N/A</v>
      </c>
      <c r="J35" s="283" t="e">
        <v>#N/A</v>
      </c>
      <c r="K35" s="240">
        <f t="shared" si="0"/>
        <v>0</v>
      </c>
      <c r="L35" s="244">
        <f t="shared" si="1"/>
        <v>0</v>
      </c>
      <c r="M35" s="245">
        <f ca="1">IF(NOW(),IF(ISNA(E35),0,_xll.meCurveDiscountFactors(J35,CurveCollection,DiscountCurve)),)</f>
        <v>0</v>
      </c>
      <c r="N35" s="241">
        <f t="shared" si="2"/>
        <v>0</v>
      </c>
      <c r="O35" s="260"/>
    </row>
    <row r="36" spans="2:15" x14ac:dyDescent="0.25">
      <c r="B36" s="206" t="s">
        <v>265</v>
      </c>
      <c r="C36" s="218"/>
      <c r="E36" s="284" t="e">
        <v>#N/A</v>
      </c>
      <c r="F36" s="285" t="e">
        <v>#N/A</v>
      </c>
      <c r="G36" s="285" t="e">
        <v>#N/A</v>
      </c>
      <c r="H36" s="255" t="e">
        <v>#N/A</v>
      </c>
      <c r="I36" s="222" t="e">
        <v>#N/A</v>
      </c>
      <c r="J36" s="285" t="e">
        <v>#N/A</v>
      </c>
      <c r="K36" s="246">
        <f t="shared" si="0"/>
        <v>0</v>
      </c>
      <c r="L36" s="247">
        <f t="shared" si="1"/>
        <v>0</v>
      </c>
      <c r="M36" s="248">
        <f ca="1">IF(NOW(),IF(ISNA(E36),0,_xll.meCurveDiscountFactors(J36,CurveCollection,DiscountCurve)),)</f>
        <v>0</v>
      </c>
      <c r="N36" s="255">
        <f t="shared" si="2"/>
        <v>0</v>
      </c>
      <c r="O36" s="261"/>
    </row>
    <row r="37" spans="2:15" x14ac:dyDescent="0.25">
      <c r="H37" s="226"/>
      <c r="I37" s="330"/>
    </row>
    <row r="38" spans="2:15" x14ac:dyDescent="0.25">
      <c r="B38" s="198" t="s">
        <v>266</v>
      </c>
      <c r="E38" s="198" t="s">
        <v>287</v>
      </c>
      <c r="H38" s="226"/>
      <c r="I38" s="330"/>
      <c r="L38" s="227"/>
    </row>
    <row r="39" spans="2:15" x14ac:dyDescent="0.25">
      <c r="B39" s="204" t="s">
        <v>140</v>
      </c>
      <c r="C39" s="287">
        <f>EffectiveDate</f>
        <v>42559</v>
      </c>
      <c r="E39" s="219" t="str">
        <f t="array" ref="E39:J60">_xll.meProductSwapSchedule(B39:C55)</f>
        <v>FixingDate</v>
      </c>
      <c r="F39" s="220" t="str">
        <v>AccrualStart</v>
      </c>
      <c r="G39" s="220" t="str">
        <v>AccrualEnd</v>
      </c>
      <c r="H39" s="328" t="str">
        <v>AccrualDays</v>
      </c>
      <c r="I39" s="329" t="str">
        <v>AccrualYearFractions</v>
      </c>
      <c r="J39" s="220" t="str">
        <v>PaymentDate</v>
      </c>
      <c r="K39" s="238" t="s">
        <v>273</v>
      </c>
      <c r="L39" s="238" t="s">
        <v>241</v>
      </c>
      <c r="M39" s="256" t="s">
        <v>278</v>
      </c>
      <c r="N39" s="238" t="s">
        <v>267</v>
      </c>
      <c r="O39" s="239" t="s">
        <v>268</v>
      </c>
    </row>
    <row r="40" spans="2:15" x14ac:dyDescent="0.25">
      <c r="B40" s="205" t="s">
        <v>141</v>
      </c>
      <c r="C40" s="286">
        <f>MaturityDate</f>
        <v>46068</v>
      </c>
      <c r="E40" s="282">
        <v>42559</v>
      </c>
      <c r="F40" s="283">
        <v>42559</v>
      </c>
      <c r="G40" s="283">
        <v>42597</v>
      </c>
      <c r="H40" s="241">
        <v>38</v>
      </c>
      <c r="I40" s="221">
        <v>0.10555555555555556</v>
      </c>
      <c r="J40" s="283">
        <v>42597</v>
      </c>
      <c r="K40" s="270">
        <f ca="1">IF(NOW(),IF(ISNA(E40),0,IF(ISNUMBER(FloatFirstFixing),FloatFirstFixing,_xll.meCurveForwardRates(E40,CurveCollection,ForecastCurve))),)</f>
        <v>-1.8899999999999594E-3</v>
      </c>
      <c r="L40" s="241">
        <f t="shared" ref="L40:L60" ca="1" si="3">IF(ISNA(E40),0,Notional*K40*I40)</f>
        <v>-199.49999999999574</v>
      </c>
      <c r="M40" s="221">
        <f t="shared" ref="M40:M60" si="4">IF(ISNA(I40),0,I40)</f>
        <v>0.10555555555555556</v>
      </c>
      <c r="N40" s="242">
        <f ca="1">IF(NOW(),IF(ISNA(E40),0,_xll.meCurveDiscountFactors(J40,CurveCollection,DiscountCurve)),)</f>
        <v>1.0003959154267303</v>
      </c>
      <c r="O40" s="243">
        <f t="shared" ref="O40:O60" ca="1" si="5">IF(ISNA(E40),0,L40*N40)</f>
        <v>-199.57898512762844</v>
      </c>
    </row>
    <row r="41" spans="2:15" x14ac:dyDescent="0.25">
      <c r="B41" s="205" t="s">
        <v>306</v>
      </c>
      <c r="C41" s="295" t="s">
        <v>6</v>
      </c>
      <c r="E41" s="282">
        <v>42597</v>
      </c>
      <c r="F41" s="283">
        <v>42597</v>
      </c>
      <c r="G41" s="283">
        <v>42781</v>
      </c>
      <c r="H41" s="241">
        <v>184</v>
      </c>
      <c r="I41" s="221">
        <v>0.51111111111111107</v>
      </c>
      <c r="J41" s="283">
        <v>42781</v>
      </c>
      <c r="K41" s="240">
        <f ca="1">IF(NOW(),IF(ISNA(E41),0,_xll.meCurveForwardRates(E41,CurveCollection,ForecastCurve)),)</f>
        <v>-2.0980964661022833E-3</v>
      </c>
      <c r="L41" s="241">
        <f t="shared" ca="1" si="3"/>
        <v>-1072.3604160078335</v>
      </c>
      <c r="M41" s="221">
        <f t="shared" si="4"/>
        <v>0.51111111111111107</v>
      </c>
      <c r="N41" s="242">
        <f ca="1">IF(NOW(),IF(ISNA(E41),0,_xll.meCurveDiscountFactors(J41,CurveCollection,DiscountCurve)),)</f>
        <v>1.0026076248814757</v>
      </c>
      <c r="O41" s="243">
        <f t="shared" ca="1" si="5"/>
        <v>-1075.156729710525</v>
      </c>
    </row>
    <row r="42" spans="2:15" x14ac:dyDescent="0.25">
      <c r="B42" s="205" t="s">
        <v>251</v>
      </c>
      <c r="C42" s="211" t="s">
        <v>108</v>
      </c>
      <c r="E42" s="282">
        <v>42781</v>
      </c>
      <c r="F42" s="283">
        <v>42781</v>
      </c>
      <c r="G42" s="283">
        <v>42962</v>
      </c>
      <c r="H42" s="241">
        <v>181</v>
      </c>
      <c r="I42" s="221">
        <v>0.50277777777777777</v>
      </c>
      <c r="J42" s="283">
        <v>42962</v>
      </c>
      <c r="K42" s="240">
        <f ca="1">IF(NOW(),IF(ISNA(E42),0,_xll.meCurveForwardRates(E42,CurveCollection,ForecastCurve)),)</f>
        <v>-2.5326405249043414E-3</v>
      </c>
      <c r="L42" s="241">
        <f t="shared" ca="1" si="3"/>
        <v>-1273.3553750213493</v>
      </c>
      <c r="M42" s="221">
        <f t="shared" si="4"/>
        <v>0.50277777777777777</v>
      </c>
      <c r="N42" s="242">
        <f ca="1">IF(NOW(),IF(ISNA(E42),0,_xll.meCurveDiscountFactors(J42,CurveCollection,DiscountCurve)),)</f>
        <v>1.0051526543339944</v>
      </c>
      <c r="O42" s="243">
        <f t="shared" ca="1" si="5"/>
        <v>-1279.916535113168</v>
      </c>
    </row>
    <row r="43" spans="2:15" x14ac:dyDescent="0.25">
      <c r="B43" s="205" t="s">
        <v>252</v>
      </c>
      <c r="C43" s="212" t="s">
        <v>22</v>
      </c>
      <c r="E43" s="282">
        <v>42962</v>
      </c>
      <c r="F43" s="283">
        <v>42962</v>
      </c>
      <c r="G43" s="283">
        <v>43146</v>
      </c>
      <c r="H43" s="241">
        <v>184</v>
      </c>
      <c r="I43" s="221">
        <v>0.51111111111111107</v>
      </c>
      <c r="J43" s="283">
        <v>43146</v>
      </c>
      <c r="K43" s="240">
        <f ca="1">IF(NOW(),IF(ISNA(E43),0,_xll.meCurveForwardRates(E43,CurveCollection,ForecastCurve)),)</f>
        <v>-2.5567125078830659E-3</v>
      </c>
      <c r="L43" s="241">
        <f t="shared" ca="1" si="3"/>
        <v>-1306.7641706957891</v>
      </c>
      <c r="M43" s="221">
        <f t="shared" si="4"/>
        <v>0.51111111111111107</v>
      </c>
      <c r="N43" s="242">
        <f ca="1">IF(NOW(),IF(ISNA(E43),0,_xll.meCurveDiscountFactors(J43,CurveCollection,DiscountCurve)),)</f>
        <v>1.0079550773894554</v>
      </c>
      <c r="O43" s="243">
        <f t="shared" ca="1" si="5"/>
        <v>-1317.1595808034417</v>
      </c>
    </row>
    <row r="44" spans="2:15" x14ac:dyDescent="0.25">
      <c r="B44" s="205" t="s">
        <v>253</v>
      </c>
      <c r="C44" s="213" t="s">
        <v>2</v>
      </c>
      <c r="E44" s="282">
        <v>43146</v>
      </c>
      <c r="F44" s="283">
        <v>43146</v>
      </c>
      <c r="G44" s="283">
        <v>43327</v>
      </c>
      <c r="H44" s="241">
        <v>181</v>
      </c>
      <c r="I44" s="221">
        <v>0.50277777777777777</v>
      </c>
      <c r="J44" s="283">
        <v>43327</v>
      </c>
      <c r="K44" s="240">
        <f ca="1">IF(NOW(),IF(ISNA(E44),0,_xll.meCurveForwardRates(E44,CurveCollection,ForecastCurve)),)</f>
        <v>-2.5984399271600836E-3</v>
      </c>
      <c r="L44" s="241">
        <f t="shared" ca="1" si="3"/>
        <v>-1306.4378522665977</v>
      </c>
      <c r="M44" s="221">
        <f t="shared" si="4"/>
        <v>0.50277777777777777</v>
      </c>
      <c r="N44" s="242">
        <f ca="1">IF(NOW(),IF(ISNA(E44),0,_xll.meCurveDiscountFactors(J44,CurveCollection,DiscountCurve)),)</f>
        <v>1.0108099866721321</v>
      </c>
      <c r="O44" s="243">
        <f t="shared" ca="1" si="5"/>
        <v>-1320.5604280375685</v>
      </c>
    </row>
    <row r="45" spans="2:15" x14ac:dyDescent="0.25">
      <c r="B45" s="205" t="s">
        <v>254</v>
      </c>
      <c r="C45" s="211" t="s">
        <v>108</v>
      </c>
      <c r="E45" s="282">
        <v>43327</v>
      </c>
      <c r="F45" s="283">
        <v>43327</v>
      </c>
      <c r="G45" s="283">
        <v>43511</v>
      </c>
      <c r="H45" s="241">
        <v>184</v>
      </c>
      <c r="I45" s="221">
        <v>0.51111111111111107</v>
      </c>
      <c r="J45" s="283">
        <v>43511</v>
      </c>
      <c r="K45" s="240">
        <f ca="1">IF(NOW(),IF(ISNA(E45),0,_xll.meCurveForwardRates(E45,CurveCollection,ForecastCurve)),)</f>
        <v>-2.4337021587817046E-3</v>
      </c>
      <c r="L45" s="241">
        <f t="shared" ca="1" si="3"/>
        <v>-1243.8922144884268</v>
      </c>
      <c r="M45" s="221">
        <f t="shared" si="4"/>
        <v>0.51111111111111107</v>
      </c>
      <c r="N45" s="242">
        <f ca="1">IF(NOW(),IF(ISNA(E45),0,_xll.meCurveDiscountFactors(J45,CurveCollection,DiscountCurve)),)</f>
        <v>1.0136872628795077</v>
      </c>
      <c r="O45" s="243">
        <f t="shared" ca="1" si="5"/>
        <v>-1260.9176942219028</v>
      </c>
    </row>
    <row r="46" spans="2:15" x14ac:dyDescent="0.25">
      <c r="B46" s="205" t="s">
        <v>255</v>
      </c>
      <c r="C46" s="212" t="s">
        <v>22</v>
      </c>
      <c r="E46" s="282">
        <v>43511</v>
      </c>
      <c r="F46" s="283">
        <v>43511</v>
      </c>
      <c r="G46" s="283">
        <v>43692</v>
      </c>
      <c r="H46" s="241">
        <v>181</v>
      </c>
      <c r="I46" s="221">
        <v>0.50277777777777777</v>
      </c>
      <c r="J46" s="283">
        <v>43692</v>
      </c>
      <c r="K46" s="240">
        <f ca="1">IF(NOW(),IF(ISNA(E46),0,_xll.meCurveForwardRates(E46,CurveCollection,ForecastCurve)),)</f>
        <v>-2.1854532649833187E-3</v>
      </c>
      <c r="L46" s="241">
        <f t="shared" ca="1" si="3"/>
        <v>-1098.7973360055018</v>
      </c>
      <c r="M46" s="221">
        <f t="shared" si="4"/>
        <v>0.50277777777777777</v>
      </c>
      <c r="N46" s="242">
        <f ca="1">IF(NOW(),IF(ISNA(E46),0,_xll.meCurveDiscountFactors(J46,CurveCollection,DiscountCurve)),)</f>
        <v>1.0164626680534885</v>
      </c>
      <c r="O46" s="243">
        <f t="shared" ca="1" si="5"/>
        <v>-1116.886471806218</v>
      </c>
    </row>
    <row r="47" spans="2:15" x14ac:dyDescent="0.25">
      <c r="B47" s="205" t="s">
        <v>256</v>
      </c>
      <c r="C47" s="200" t="s">
        <v>2</v>
      </c>
      <c r="E47" s="282">
        <v>43692</v>
      </c>
      <c r="F47" s="283">
        <v>43692</v>
      </c>
      <c r="G47" s="283">
        <v>43878</v>
      </c>
      <c r="H47" s="241">
        <v>186</v>
      </c>
      <c r="I47" s="221">
        <v>0.51666666666666672</v>
      </c>
      <c r="J47" s="283">
        <v>43878</v>
      </c>
      <c r="K47" s="240">
        <f ca="1">IF(NOW(),IF(ISNA(E47),0,_xll.meCurveForwardRates(E47,CurveCollection,ForecastCurve)),)</f>
        <v>-1.7946646175822228E-3</v>
      </c>
      <c r="L47" s="241">
        <f t="shared" ca="1" si="3"/>
        <v>-927.24338575081526</v>
      </c>
      <c r="M47" s="221">
        <f t="shared" si="4"/>
        <v>0.51666666666666672</v>
      </c>
      <c r="N47" s="242">
        <f ca="1">IF(NOW(),IF(ISNA(E47),0,_xll.meCurveDiscountFactors(J47,CurveCollection,DiscountCurve)),)</f>
        <v>1.019226848974188</v>
      </c>
      <c r="O47" s="243">
        <f t="shared" ca="1" si="5"/>
        <v>-945.07135429096093</v>
      </c>
    </row>
    <row r="48" spans="2:15" x14ac:dyDescent="0.25">
      <c r="B48" s="205" t="s">
        <v>257</v>
      </c>
      <c r="C48" s="214" t="s">
        <v>125</v>
      </c>
      <c r="E48" s="282">
        <v>43878</v>
      </c>
      <c r="F48" s="283">
        <v>43878</v>
      </c>
      <c r="G48" s="283">
        <v>44060</v>
      </c>
      <c r="H48" s="241">
        <v>182</v>
      </c>
      <c r="I48" s="221">
        <v>0.50555555555555554</v>
      </c>
      <c r="J48" s="283">
        <v>44060</v>
      </c>
      <c r="K48" s="240">
        <f ca="1">IF(NOW(),IF(ISNA(E48),0,_xll.meCurveForwardRates(E48,CurveCollection,ForecastCurve)),)</f>
        <v>-1.1102768596615398E-3</v>
      </c>
      <c r="L48" s="241">
        <f t="shared" ca="1" si="3"/>
        <v>-561.30663460666722</v>
      </c>
      <c r="M48" s="221">
        <f t="shared" si="4"/>
        <v>0.50555555555555554</v>
      </c>
      <c r="N48" s="242">
        <f ca="1">IF(NOW(),IF(ISNA(E48),0,_xll.meCurveDiscountFactors(J48,CurveCollection,DiscountCurve)),)</f>
        <v>1.0216536933205564</v>
      </c>
      <c r="O48" s="243">
        <f t="shared" ca="1" si="5"/>
        <v>-573.46099633123367</v>
      </c>
    </row>
    <row r="49" spans="2:15" x14ac:dyDescent="0.25">
      <c r="B49" s="205" t="s">
        <v>258</v>
      </c>
      <c r="C49" s="215" t="s">
        <v>22</v>
      </c>
      <c r="E49" s="282">
        <v>44060</v>
      </c>
      <c r="F49" s="283">
        <v>44060</v>
      </c>
      <c r="G49" s="283">
        <v>44242</v>
      </c>
      <c r="H49" s="241">
        <v>182</v>
      </c>
      <c r="I49" s="221">
        <v>0.50555555555555554</v>
      </c>
      <c r="J49" s="283">
        <v>44242</v>
      </c>
      <c r="K49" s="240">
        <f ca="1">IF(NOW(),IF(ISNA(E49),0,_xll.meCurveForwardRates(E49,CurveCollection,ForecastCurve)),)</f>
        <v>-1.8574751581762754E-4</v>
      </c>
      <c r="L49" s="244">
        <f t="shared" ca="1" si="3"/>
        <v>-93.905688552245039</v>
      </c>
      <c r="M49" s="221">
        <f t="shared" si="4"/>
        <v>0.50555555555555554</v>
      </c>
      <c r="N49" s="245">
        <f ca="1">IF(NOW(),IF(ISNA(E49),0,_xll.meCurveDiscountFactors(J49,CurveCollection,DiscountCurve)),)</f>
        <v>1.0235865733470442</v>
      </c>
      <c r="O49" s="243">
        <f t="shared" ca="1" si="5"/>
        <v>-96.120601962987251</v>
      </c>
    </row>
    <row r="50" spans="2:15" x14ac:dyDescent="0.25">
      <c r="B50" s="205" t="s">
        <v>259</v>
      </c>
      <c r="C50" s="200" t="s">
        <v>2</v>
      </c>
      <c r="E50" s="282">
        <v>44242</v>
      </c>
      <c r="F50" s="283">
        <v>44242</v>
      </c>
      <c r="G50" s="283">
        <v>44424</v>
      </c>
      <c r="H50" s="241">
        <v>182</v>
      </c>
      <c r="I50" s="221">
        <v>0.50555555555555554</v>
      </c>
      <c r="J50" s="283">
        <v>44424</v>
      </c>
      <c r="K50" s="240">
        <f ca="1">IF(NOW(),IF(ISNA(E50),0,_xll.meCurveForwardRates(E50,CurveCollection,ForecastCurve)),)</f>
        <v>8.796313014362364E-4</v>
      </c>
      <c r="L50" s="244">
        <f t="shared" ca="1" si="3"/>
        <v>444.70249128165284</v>
      </c>
      <c r="M50" s="221">
        <f t="shared" si="4"/>
        <v>0.50555555555555554</v>
      </c>
      <c r="N50" s="245">
        <f ca="1">IF(NOW(),IF(ISNA(E50),0,_xll.meCurveDiscountFactors(J50,CurveCollection,DiscountCurve)),)</f>
        <v>1.02490693999413</v>
      </c>
      <c r="O50" s="243">
        <f t="shared" ca="1" si="5"/>
        <v>455.77866954724504</v>
      </c>
    </row>
    <row r="51" spans="2:15" x14ac:dyDescent="0.25">
      <c r="B51" s="205" t="s">
        <v>260</v>
      </c>
      <c r="C51" s="216" t="s">
        <v>125</v>
      </c>
      <c r="E51" s="282">
        <v>44424</v>
      </c>
      <c r="F51" s="283">
        <v>44424</v>
      </c>
      <c r="G51" s="283">
        <v>44607</v>
      </c>
      <c r="H51" s="241">
        <v>183</v>
      </c>
      <c r="I51" s="221">
        <v>0.5083333333333333</v>
      </c>
      <c r="J51" s="283">
        <v>44607</v>
      </c>
      <c r="K51" s="240">
        <f ca="1">IF(NOW(),IF(ISNA(E51),0,_xll.meCurveForwardRates(E51,CurveCollection,ForecastCurve)),)</f>
        <v>2.0839596561893245E-3</v>
      </c>
      <c r="L51" s="244">
        <f t="shared" ca="1" si="3"/>
        <v>1059.3461585629066</v>
      </c>
      <c r="M51" s="221">
        <f t="shared" si="4"/>
        <v>0.5083333333333333</v>
      </c>
      <c r="N51" s="245">
        <f ca="1">IF(NOW(),IF(ISNA(E51),0,_xll.meCurveDiscountFactors(J51,CurveCollection,DiscountCurve)),)</f>
        <v>1.0255250545303081</v>
      </c>
      <c r="O51" s="243">
        <f t="shared" ca="1" si="5"/>
        <v>1086.3860270266971</v>
      </c>
    </row>
    <row r="52" spans="2:15" x14ac:dyDescent="0.25">
      <c r="B52" s="205" t="s">
        <v>261</v>
      </c>
      <c r="C52" s="217" t="s">
        <v>262</v>
      </c>
      <c r="E52" s="282">
        <v>44607</v>
      </c>
      <c r="F52" s="283">
        <v>44607</v>
      </c>
      <c r="G52" s="283">
        <v>44788</v>
      </c>
      <c r="H52" s="241">
        <v>181</v>
      </c>
      <c r="I52" s="221">
        <v>0.50277777777777777</v>
      </c>
      <c r="J52" s="283">
        <v>44788</v>
      </c>
      <c r="K52" s="240">
        <f ca="1">IF(NOW(),IF(ISNA(E52),0,_xll.meCurveForwardRates(E52,CurveCollection,ForecastCurve)),)</f>
        <v>3.3678333777237531E-3</v>
      </c>
      <c r="L52" s="244">
        <f t="shared" ca="1" si="3"/>
        <v>1693.2717815777758</v>
      </c>
      <c r="M52" s="221">
        <f t="shared" si="4"/>
        <v>0.50277777777777777</v>
      </c>
      <c r="N52" s="245">
        <f ca="1">IF(NOW(),IF(ISNA(E52),0,_xll.meCurveDiscountFactors(J52,CurveCollection,DiscountCurve)),)</f>
        <v>1.0253547143630963</v>
      </c>
      <c r="O52" s="243">
        <f t="shared" ca="1" si="5"/>
        <v>1736.2042039387716</v>
      </c>
    </row>
    <row r="53" spans="2:15" x14ac:dyDescent="0.25">
      <c r="B53" s="205" t="s">
        <v>263</v>
      </c>
      <c r="C53" s="288"/>
      <c r="E53" s="282">
        <v>44788</v>
      </c>
      <c r="F53" s="283">
        <v>44788</v>
      </c>
      <c r="G53" s="283">
        <v>44972</v>
      </c>
      <c r="H53" s="241">
        <v>184</v>
      </c>
      <c r="I53" s="221">
        <v>0.51111111111111107</v>
      </c>
      <c r="J53" s="283">
        <v>44972</v>
      </c>
      <c r="K53" s="240">
        <f ca="1">IF(NOW(),IF(ISNA(E53),0,_xll.meCurveForwardRates(E53,CurveCollection,ForecastCurve)),)</f>
        <v>4.7002104710113747E-3</v>
      </c>
      <c r="L53" s="244">
        <f t="shared" ca="1" si="3"/>
        <v>2402.3297962947022</v>
      </c>
      <c r="M53" s="221">
        <f t="shared" si="4"/>
        <v>0.51111111111111107</v>
      </c>
      <c r="N53" s="245">
        <f ca="1">IF(NOW(),IF(ISNA(E53),0,_xll.meCurveDiscountFactors(J53,CurveCollection,DiscountCurve)),)</f>
        <v>1.0243571988049838</v>
      </c>
      <c r="O53" s="243">
        <f t="shared" ca="1" si="5"/>
        <v>2460.8438207381882</v>
      </c>
    </row>
    <row r="54" spans="2:15" x14ac:dyDescent="0.25">
      <c r="B54" s="205" t="s">
        <v>264</v>
      </c>
      <c r="C54" s="288"/>
      <c r="E54" s="282">
        <v>44972</v>
      </c>
      <c r="F54" s="283">
        <v>44972</v>
      </c>
      <c r="G54" s="283">
        <v>45153</v>
      </c>
      <c r="H54" s="241">
        <v>181</v>
      </c>
      <c r="I54" s="221">
        <v>0.50277777777777777</v>
      </c>
      <c r="J54" s="283">
        <v>45153</v>
      </c>
      <c r="K54" s="240">
        <f ca="1">IF(NOW(),IF(ISNA(E54),0,_xll.meCurveForwardRates(E54,CurveCollection,ForecastCurve)),)</f>
        <v>5.9639465386554886E-3</v>
      </c>
      <c r="L54" s="244">
        <f t="shared" ca="1" si="3"/>
        <v>2998.5397874906762</v>
      </c>
      <c r="M54" s="221">
        <f t="shared" si="4"/>
        <v>0.50277777777777777</v>
      </c>
      <c r="N54" s="245">
        <f ca="1">IF(NOW(),IF(ISNA(E54),0,_xll.meCurveDiscountFactors(J54,CurveCollection,DiscountCurve)),)</f>
        <v>1.0226600732701949</v>
      </c>
      <c r="O54" s="243">
        <f t="shared" ca="1" si="5"/>
        <v>3066.4869187788095</v>
      </c>
    </row>
    <row r="55" spans="2:15" x14ac:dyDescent="0.25">
      <c r="B55" s="205" t="s">
        <v>265</v>
      </c>
      <c r="C55" s="212"/>
      <c r="E55" s="282">
        <v>45153</v>
      </c>
      <c r="F55" s="283">
        <v>45153</v>
      </c>
      <c r="G55" s="283">
        <v>45337</v>
      </c>
      <c r="H55" s="241">
        <v>184</v>
      </c>
      <c r="I55" s="221">
        <v>0.51111111111111107</v>
      </c>
      <c r="J55" s="283">
        <v>45337</v>
      </c>
      <c r="K55" s="240">
        <f ca="1">IF(NOW(),IF(ISNA(E55),0,_xll.meCurveForwardRates(E55,CurveCollection,ForecastCurve)),)</f>
        <v>7.1313128597418887E-3</v>
      </c>
      <c r="L55" s="244">
        <f t="shared" ca="1" si="3"/>
        <v>3644.8932394236317</v>
      </c>
      <c r="M55" s="221">
        <f t="shared" si="4"/>
        <v>0.51111111111111107</v>
      </c>
      <c r="N55" s="245">
        <f ca="1">IF(NOW(),IF(ISNA(E55),0,_xll.meCurveDiscountFactors(J55,CurveCollection,DiscountCurve)),)</f>
        <v>1.0203078928131681</v>
      </c>
      <c r="O55" s="243">
        <f t="shared" ca="1" si="5"/>
        <v>3718.9133406452879</v>
      </c>
    </row>
    <row r="56" spans="2:15" x14ac:dyDescent="0.25">
      <c r="B56" s="205" t="s">
        <v>294</v>
      </c>
      <c r="C56" s="212" t="s">
        <v>285</v>
      </c>
      <c r="E56" s="282">
        <v>45337</v>
      </c>
      <c r="F56" s="283">
        <v>45337</v>
      </c>
      <c r="G56" s="283">
        <v>45519</v>
      </c>
      <c r="H56" s="241">
        <v>182</v>
      </c>
      <c r="I56" s="221">
        <v>0.50555555555555554</v>
      </c>
      <c r="J56" s="283">
        <v>45519</v>
      </c>
      <c r="K56" s="240">
        <f ca="1">IF(NOW(),IF(ISNA(E56),0,_xll.meCurveForwardRates(E56,CurveCollection,ForecastCurve)),)</f>
        <v>8.198574917668627E-3</v>
      </c>
      <c r="L56" s="244">
        <f t="shared" ca="1" si="3"/>
        <v>4144.8350972658063</v>
      </c>
      <c r="M56" s="221">
        <f t="shared" si="4"/>
        <v>0.50555555555555554</v>
      </c>
      <c r="N56" s="245">
        <f ca="1">IF(NOW(),IF(ISNA(E56),0,_xll.meCurveDiscountFactors(J56,CurveCollection,DiscountCurve)),)</f>
        <v>1.0173498260030376</v>
      </c>
      <c r="O56" s="243">
        <f t="shared" ca="1" si="5"/>
        <v>4216.747265014651</v>
      </c>
    </row>
    <row r="57" spans="2:15" x14ac:dyDescent="0.25">
      <c r="B57" s="205"/>
      <c r="C57" s="212"/>
      <c r="E57" s="282">
        <v>45519</v>
      </c>
      <c r="F57" s="283">
        <v>45519</v>
      </c>
      <c r="G57" s="283">
        <v>45705</v>
      </c>
      <c r="H57" s="241">
        <v>186</v>
      </c>
      <c r="I57" s="221">
        <v>0.51666666666666672</v>
      </c>
      <c r="J57" s="283">
        <v>45705</v>
      </c>
      <c r="K57" s="240">
        <f ca="1">IF(NOW(),IF(ISNA(E57),0,_xll.meCurveForwardRates(E57,CurveCollection,ForecastCurve)),)</f>
        <v>9.1418831879788616E-3</v>
      </c>
      <c r="L57" s="244">
        <f t="shared" ca="1" si="3"/>
        <v>4723.3063137890786</v>
      </c>
      <c r="M57" s="221">
        <f t="shared" si="4"/>
        <v>0.51666666666666672</v>
      </c>
      <c r="N57" s="245">
        <f ca="1">IF(NOW(),IF(ISNA(E57),0,_xll.meCurveDiscountFactors(J57,CurveCollection,DiscountCurve)),)</f>
        <v>1.0136900661336254</v>
      </c>
      <c r="O57" s="243">
        <f t="shared" ca="1" si="5"/>
        <v>4787.9686895942214</v>
      </c>
    </row>
    <row r="58" spans="2:15" x14ac:dyDescent="0.25">
      <c r="B58" s="205"/>
      <c r="C58" s="212"/>
      <c r="E58" s="282">
        <v>45705</v>
      </c>
      <c r="F58" s="283">
        <v>45705</v>
      </c>
      <c r="G58" s="283">
        <v>45884</v>
      </c>
      <c r="H58" s="241">
        <v>179</v>
      </c>
      <c r="I58" s="221">
        <v>0.49722222222222223</v>
      </c>
      <c r="J58" s="283">
        <v>45884</v>
      </c>
      <c r="K58" s="240">
        <f ca="1">IF(NOW(),IF(ISNA(E58),0,_xll.meCurveForwardRates(E58,CurveCollection,ForecastCurve)),)</f>
        <v>9.945041748604876E-3</v>
      </c>
      <c r="L58" s="244">
        <f t="shared" ca="1" si="3"/>
        <v>4944.8957583340907</v>
      </c>
      <c r="M58" s="221">
        <f t="shared" si="4"/>
        <v>0.49722222222222223</v>
      </c>
      <c r="N58" s="245">
        <f ca="1">IF(NOW(),IF(ISNA(E58),0,_xll.meCurveDiscountFactors(J58,CurveCollection,DiscountCurve)),)</f>
        <v>1.0096649060035003</v>
      </c>
      <c r="O58" s="243">
        <f t="shared" ca="1" si="5"/>
        <v>4992.6877110354972</v>
      </c>
    </row>
    <row r="59" spans="2:15" x14ac:dyDescent="0.25">
      <c r="B59" s="205"/>
      <c r="C59" s="212"/>
      <c r="E59" s="282">
        <v>45884</v>
      </c>
      <c r="F59" s="283">
        <v>45884</v>
      </c>
      <c r="G59" s="283">
        <v>46069</v>
      </c>
      <c r="H59" s="241">
        <v>185</v>
      </c>
      <c r="I59" s="221">
        <v>0.51388888888888884</v>
      </c>
      <c r="J59" s="283">
        <v>46069</v>
      </c>
      <c r="K59" s="240">
        <f ca="1">IF(NOW(),IF(ISNA(E59),0,_xll.meCurveForwardRates(E59,CurveCollection,ForecastCurve)),)</f>
        <v>1.0586325369719677E-2</v>
      </c>
      <c r="L59" s="244">
        <f t="shared" ca="1" si="3"/>
        <v>5440.1949816615006</v>
      </c>
      <c r="M59" s="221">
        <f t="shared" si="4"/>
        <v>0.51388888888888884</v>
      </c>
      <c r="N59" s="245">
        <f ca="1">IF(NOW(),IF(ISNA(E59),0,_xll.meCurveDiscountFactors(J59,CurveCollection,DiscountCurve)),)</f>
        <v>1.0051206040757494</v>
      </c>
      <c r="O59" s="243">
        <f t="shared" ca="1" si="5"/>
        <v>5468.0520662574681</v>
      </c>
    </row>
    <row r="60" spans="2:15" x14ac:dyDescent="0.25">
      <c r="B60" s="206"/>
      <c r="C60" s="218"/>
      <c r="E60" s="284" t="e">
        <v>#N/A</v>
      </c>
      <c r="F60" s="285" t="e">
        <v>#N/A</v>
      </c>
      <c r="G60" s="285" t="e">
        <v>#N/A</v>
      </c>
      <c r="H60" s="255" t="e">
        <v>#N/A</v>
      </c>
      <c r="I60" s="222" t="e">
        <v>#N/A</v>
      </c>
      <c r="J60" s="285" t="e">
        <v>#N/A</v>
      </c>
      <c r="K60" s="246">
        <f ca="1">IF(NOW(),IF(ISNA(E60),0,_xll.meCurveForwardRates(E60,CurveCollection,ForecastCurve)),)</f>
        <v>0</v>
      </c>
      <c r="L60" s="247">
        <f t="shared" si="3"/>
        <v>0</v>
      </c>
      <c r="M60" s="222">
        <f t="shared" si="4"/>
        <v>0</v>
      </c>
      <c r="N60" s="248">
        <f ca="1">IF(NOW(),IF(ISNA(E60),0,_xll.meCurveDiscountFactors(J60,CurveCollection,DiscountCurve)),)</f>
        <v>0</v>
      </c>
      <c r="O60" s="249">
        <f t="shared" si="5"/>
        <v>0</v>
      </c>
    </row>
  </sheetData>
  <dataValidations count="4">
    <dataValidation type="list" allowBlank="1" showInputMessage="1" showErrorMessage="1" sqref="C26 C23 C45 C42">
      <formula1>"Annual,Semi-Annual,Quarterly,Monthly,Weekly"</formula1>
    </dataValidation>
    <dataValidation type="list" allowBlank="1" showInputMessage="1" showErrorMessage="1" sqref="C24 C30 C27 C43 C49 C46">
      <formula1>"FOLLOWING,MOD_FOLLOWING,PRECEDING,MOD_PRECEDING,NO_CHANGE"</formula1>
    </dataValidation>
    <dataValidation type="list" allowBlank="1" showInputMessage="1" showErrorMessage="1" sqref="C33 C52">
      <formula1>"ADVANCE,ARREARS"</formula1>
    </dataValidation>
    <dataValidation type="list" allowBlank="1" showInputMessage="1" showErrorMessage="1" sqref="C41 C22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62</vt:i4>
      </vt:variant>
    </vt:vector>
  </HeadingPairs>
  <TitlesOfParts>
    <vt:vector size="67" baseType="lpstr">
      <vt:lpstr>Settings</vt:lpstr>
      <vt:lpstr>EUROIS</vt:lpstr>
      <vt:lpstr>EUR6ML</vt:lpstr>
      <vt:lpstr>ASW</vt:lpstr>
      <vt:lpstr>Breakdown</vt:lpstr>
      <vt:lpstr>AccruedInterest</vt:lpstr>
      <vt:lpstr>ApplyTension</vt:lpstr>
      <vt:lpstr>AssetSwapSpread</vt:lpstr>
      <vt:lpstr>BondDaycount</vt:lpstr>
      <vt:lpstr>BondFrequency</vt:lpstr>
      <vt:lpstr>CalculationMode</vt:lpstr>
      <vt:lpstr>CleanPrice</vt:lpstr>
      <vt:lpstr>COB</vt:lpstr>
      <vt:lpstr>Coupon</vt:lpstr>
      <vt:lpstr>Curve.BuildProperties</vt:lpstr>
      <vt:lpstr>Curve.CollectionName</vt:lpstr>
      <vt:lpstr>Curve.MarketDataTable</vt:lpstr>
      <vt:lpstr>Curve.OISIndexName</vt:lpstr>
      <vt:lpstr>CurveCollection</vt:lpstr>
      <vt:lpstr>DirtyPrice</vt:lpstr>
      <vt:lpstr>DiscountCurve</vt:lpstr>
      <vt:lpstr>EffectiveDate</vt:lpstr>
      <vt:lpstr>EffectiveLag</vt:lpstr>
      <vt:lpstr>FirstCouponDate</vt:lpstr>
      <vt:lpstr>FirstFixedDiscountFactor</vt:lpstr>
      <vt:lpstr>FloatFirstFixing</vt:lpstr>
      <vt:lpstr>ForecastCurve</vt:lpstr>
      <vt:lpstr>FRA.Conventions</vt:lpstr>
      <vt:lpstr>FRA.MarketDataX3</vt:lpstr>
      <vt:lpstr>FRA.MarketDataX6</vt:lpstr>
      <vt:lpstr>Futures.Conventions</vt:lpstr>
      <vt:lpstr>Futures.MarketData</vt:lpstr>
      <vt:lpstr>EUR6ML!Info</vt:lpstr>
      <vt:lpstr>EUROIS!Info</vt:lpstr>
      <vt:lpstr>Interpolation</vt:lpstr>
      <vt:lpstr>interpolationFunction</vt:lpstr>
      <vt:lpstr>isCleanPrice</vt:lpstr>
      <vt:lpstr>isEUR3MLLoaded</vt:lpstr>
      <vt:lpstr>isEUROISLoaded</vt:lpstr>
      <vt:lpstr>issueDate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ManualAccruedInterest</vt:lpstr>
      <vt:lpstr>MaturityDate</vt:lpstr>
      <vt:lpstr>MoneyMarket.Conventions</vt:lpstr>
      <vt:lpstr>Notional</vt:lpstr>
      <vt:lpstr>OIS.Conventions</vt:lpstr>
      <vt:lpstr>OIS.FixingTable</vt:lpstr>
      <vt:lpstr>OIS.MarketData</vt:lpstr>
      <vt:lpstr>ParAdjustment</vt:lpstr>
      <vt:lpstr>Price</vt:lpstr>
      <vt:lpstr>Settings.ForecastCurveSet</vt:lpstr>
      <vt:lpstr>Settings.LookupTable.DiscountCurve</vt:lpstr>
      <vt:lpstr>Settings.LookupTable.ForecastCurve</vt:lpstr>
      <vt:lpstr>Settings.Risk.BumpMode</vt:lpstr>
      <vt:lpstr>Settings.Risk.BumpSize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SwapPV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dcterms:created xsi:type="dcterms:W3CDTF">2016-03-11T11:47:18Z</dcterms:created>
  <dcterms:modified xsi:type="dcterms:W3CDTF">2020-04-03T11:36:31Z</dcterms:modified>
</cp:coreProperties>
</file>