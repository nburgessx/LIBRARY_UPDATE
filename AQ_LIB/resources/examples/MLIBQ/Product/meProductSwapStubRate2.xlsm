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60" windowWidth="27795" windowHeight="14115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definedNames>
    <definedName name="AssetSwap.ISIN1" localSheetId="0">Sheet1!#REF!</definedName>
    <definedName name="COB">[1]Settings!$C$2</definedName>
    <definedName name="Settings.FrequencyLookupTable">[1]Settings!$B$206:$C$210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K16" i="1" l="1"/>
  <c r="K20" i="1" l="1"/>
  <c r="K19" i="1" l="1"/>
  <c r="K18" i="1"/>
  <c r="K17" i="1"/>
  <c r="K10" i="1"/>
  <c r="K8" i="1"/>
  <c r="K15" i="1"/>
  <c r="K14" i="1"/>
  <c r="K13" i="1"/>
  <c r="K12" i="1"/>
  <c r="C8" i="1"/>
  <c r="K9" i="1" l="1"/>
  <c r="K4" i="1"/>
  <c r="C34" i="1" l="1"/>
  <c r="G7" i="1"/>
  <c r="G10" i="1"/>
  <c r="H7" i="1" l="1"/>
  <c r="G11" i="1"/>
  <c r="H11" i="1" s="1"/>
</calcChain>
</file>

<file path=xl/sharedStrings.xml><?xml version="1.0" encoding="utf-8"?>
<sst xmlns="http://schemas.openxmlformats.org/spreadsheetml/2006/main" count="133" uniqueCount="80">
  <si>
    <t>Asset Swap Spreads</t>
  </si>
  <si>
    <t>Bond Price</t>
  </si>
  <si>
    <t xml:space="preserve"> </t>
  </si>
  <si>
    <t>Price Type</t>
  </si>
  <si>
    <t>Price Override</t>
  </si>
  <si>
    <t>Par-Par Spread</t>
  </si>
  <si>
    <t>Par-Par ASW Spread, bps</t>
  </si>
  <si>
    <t>Yield %</t>
  </si>
  <si>
    <t>Yield Override</t>
  </si>
  <si>
    <t>ParRate %</t>
  </si>
  <si>
    <t>Yield-Yield Spread</t>
  </si>
  <si>
    <t>Yield-Yield ASW Spread, bps</t>
  </si>
  <si>
    <t>Asset Swap Deal Information</t>
  </si>
  <si>
    <t>Notional</t>
  </si>
  <si>
    <t>PayReceive</t>
  </si>
  <si>
    <t>PAYER</t>
  </si>
  <si>
    <t>IssueDate</t>
  </si>
  <si>
    <t>EffectiveDate</t>
  </si>
  <si>
    <t>MaturityDate</t>
  </si>
  <si>
    <t>CurveCollection</t>
  </si>
  <si>
    <t>USDYC</t>
  </si>
  <si>
    <t>ForecastCurve</t>
  </si>
  <si>
    <t>DiscountCurve</t>
  </si>
  <si>
    <t>isCleanPrice</t>
  </si>
  <si>
    <t>FixedFrequency</t>
  </si>
  <si>
    <t>FixedRate</t>
  </si>
  <si>
    <t>FixedDayCount</t>
  </si>
  <si>
    <t>FixedBusinessDayAdjustment</t>
  </si>
  <si>
    <t>MOD_FOLLOWING</t>
  </si>
  <si>
    <t>FixedCalendar</t>
  </si>
  <si>
    <t>NYB:LNB</t>
  </si>
  <si>
    <t>FixedFirstStubDate</t>
  </si>
  <si>
    <t>FixedLastStubDate</t>
  </si>
  <si>
    <t>FixedRollDay</t>
  </si>
  <si>
    <t>FixedStubType</t>
  </si>
  <si>
    <t>FixedPaymentLag</t>
  </si>
  <si>
    <t>0D</t>
  </si>
  <si>
    <t>FloatFrequency</t>
  </si>
  <si>
    <t>FloatSpread</t>
  </si>
  <si>
    <t>FloatDayCount</t>
  </si>
  <si>
    <t>ACT/360</t>
  </si>
  <si>
    <t>FloatBusinessDayAdjustment</t>
  </si>
  <si>
    <t>FloatCalendar</t>
  </si>
  <si>
    <t>FloatFirstStubDate</t>
  </si>
  <si>
    <t>FloatLastStubDate</t>
  </si>
  <si>
    <t>FloatRollDay</t>
  </si>
  <si>
    <t>FloatStubType</t>
  </si>
  <si>
    <t>ShortStart</t>
  </si>
  <si>
    <t>FloatFixingLag</t>
  </si>
  <si>
    <t>FloatPaymentLag</t>
  </si>
  <si>
    <t>FloatFirstFixing</t>
  </si>
  <si>
    <t>Stub Rate</t>
  </si>
  <si>
    <t>FloatLastFixing</t>
  </si>
  <si>
    <t>1D</t>
  </si>
  <si>
    <t>USDOIS</t>
  </si>
  <si>
    <t>1M</t>
  </si>
  <si>
    <t>USD1ML</t>
  </si>
  <si>
    <t>3M</t>
  </si>
  <si>
    <t>USD3ML</t>
  </si>
  <si>
    <t>6M</t>
  </si>
  <si>
    <t>USD6ML</t>
  </si>
  <si>
    <t>12M</t>
  </si>
  <si>
    <t>USD12ML</t>
  </si>
  <si>
    <t>USDDF_NOCSA</t>
  </si>
  <si>
    <t>Semi-Annual</t>
  </si>
  <si>
    <t>ACT/ACT</t>
  </si>
  <si>
    <t>Quarterly</t>
  </si>
  <si>
    <t>CLEAN</t>
  </si>
  <si>
    <t>NORMAL</t>
  </si>
  <si>
    <t>UseCurveIndex</t>
  </si>
  <si>
    <t>NATURAL</t>
  </si>
  <si>
    <t>FloatDaycount</t>
  </si>
  <si>
    <t>Stub Rate Parameters from Float Leg</t>
  </si>
  <si>
    <t>CleanOrDirty</t>
  </si>
  <si>
    <t>Stub Rates - Note Short Stub Rates are Capped by the Float Index Frequency</t>
  </si>
  <si>
    <t>Use Natural to Interpolate or Specify the Float Index</t>
  </si>
  <si>
    <t>Tenor</t>
  </si>
  <si>
    <t>CurveIndex</t>
  </si>
  <si>
    <t>ResetRate</t>
  </si>
  <si>
    <t>10Y1M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</si>
</sst>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,##0.000"/>
    <numFmt numFmtId="165" formatCode="0.000%"/>
    <numFmt numFmtId="166" formatCode="ddd\ d\-mmm\-yy"/>
    <numFmt numFmtId="167" formatCode="#,##0.0000"/>
    <numFmt numFmtId="168" formatCode="0.00000%"/>
    <numFmt numFmtId="169" formatCode="ddd\,\ dd\-mmm\-yy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3" fillId="0" borderId="0" xfId="0" applyFont="1"/>
    <xf numFmtId="0" fontId="0" fillId="2" borderId="1" xfId="0" applyFont="1" applyFill="1" applyBorder="1" applyAlignment="1">
      <alignment horizontal="left" vertical="center"/>
    </xf>
    <xf numFmtId="0" fontId="0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164" fontId="1" fillId="4" borderId="2" xfId="0" applyNumberFormat="1" applyFont="1" applyFill="1" applyBorder="1" applyAlignment="1">
      <alignment horizontal="center" vertical="center"/>
    </xf>
    <xf numFmtId="0" fontId="6" fillId="0" borderId="0" xfId="0" applyFont="1"/>
    <xf numFmtId="0" fontId="7" fillId="2" borderId="3" xfId="0" applyFont="1" applyFill="1" applyBorder="1" applyAlignment="1">
      <alignment horizontal="left" vertical="center"/>
    </xf>
    <xf numFmtId="164" fontId="4" fillId="3" borderId="3" xfId="0" applyNumberFormat="1" applyFont="1" applyFill="1" applyBorder="1" applyAlignment="1">
      <alignment horizontal="center" vertical="center"/>
    </xf>
    <xf numFmtId="0" fontId="2" fillId="0" borderId="0" xfId="0" applyFont="1"/>
    <xf numFmtId="0" fontId="7" fillId="2" borderId="1" xfId="0" applyFont="1" applyFill="1" applyBorder="1" applyAlignment="1">
      <alignment horizontal="left" vertical="center"/>
    </xf>
    <xf numFmtId="165" fontId="1" fillId="4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vertical="center"/>
    </xf>
    <xf numFmtId="165" fontId="4" fillId="3" borderId="2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2" borderId="4" xfId="0" applyFont="1" applyFill="1" applyBorder="1"/>
    <xf numFmtId="0" fontId="0" fillId="2" borderId="5" xfId="0" applyFont="1" applyFill="1" applyBorder="1"/>
    <xf numFmtId="166" fontId="7" fillId="3" borderId="5" xfId="0" applyNumberFormat="1" applyFont="1" applyFill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0" fontId="0" fillId="2" borderId="2" xfId="0" applyNumberFormat="1" applyFont="1" applyFill="1" applyBorder="1" applyAlignment="1">
      <alignment horizontal="left" vertical="center"/>
    </xf>
    <xf numFmtId="0" fontId="7" fillId="3" borderId="5" xfId="0" applyFont="1" applyFill="1" applyBorder="1" applyAlignment="1">
      <alignment horizontal="center" vertical="center"/>
    </xf>
    <xf numFmtId="0" fontId="0" fillId="3" borderId="5" xfId="0" quotePrefix="1" applyFont="1" applyFill="1" applyBorder="1" applyAlignment="1">
      <alignment horizontal="center" vertical="center"/>
    </xf>
    <xf numFmtId="0" fontId="7" fillId="3" borderId="5" xfId="0" quotePrefix="1" applyFont="1" applyFill="1" applyBorder="1" applyAlignment="1">
      <alignment horizontal="center" vertical="center"/>
    </xf>
    <xf numFmtId="164" fontId="7" fillId="3" borderId="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2" borderId="6" xfId="0" applyFont="1" applyFill="1" applyBorder="1"/>
    <xf numFmtId="0" fontId="7" fillId="3" borderId="6" xfId="0" quotePrefix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0" fontId="0" fillId="2" borderId="7" xfId="0" applyFont="1" applyFill="1" applyBorder="1"/>
    <xf numFmtId="0" fontId="0" fillId="2" borderId="2" xfId="0" applyFont="1" applyFill="1" applyBorder="1"/>
    <xf numFmtId="169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2" borderId="8" xfId="0" applyFont="1" applyFill="1" applyBorder="1"/>
    <xf numFmtId="0" fontId="7" fillId="3" borderId="8" xfId="0" quotePrefix="1" applyFont="1" applyFill="1" applyBorder="1" applyAlignment="1">
      <alignment horizontal="center" vertical="center"/>
    </xf>
    <xf numFmtId="0" fontId="0" fillId="2" borderId="9" xfId="0" applyNumberFormat="1" applyFont="1" applyFill="1" applyBorder="1" applyAlignment="1">
      <alignment horizontal="left" vertical="center"/>
    </xf>
    <xf numFmtId="0" fontId="0" fillId="2" borderId="10" xfId="0" applyFont="1" applyFill="1" applyBorder="1"/>
    <xf numFmtId="166" fontId="0" fillId="0" borderId="0" xfId="0" applyNumberFormat="1"/>
    <xf numFmtId="14" fontId="7" fillId="3" borderId="5" xfId="0" applyNumberFormat="1" applyFon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168" fontId="0" fillId="0" borderId="0" xfId="0" applyNumberFormat="1"/>
    <xf numFmtId="3" fontId="7" fillId="3" borderId="4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/>
    </xf>
    <xf numFmtId="167" fontId="7" fillId="3" borderId="5" xfId="0" applyNumberFormat="1" applyFont="1" applyFill="1" applyBorder="1" applyAlignment="1">
      <alignment horizontal="center"/>
    </xf>
    <xf numFmtId="14" fontId="7" fillId="3" borderId="7" xfId="0" applyNumberFormat="1" applyFont="1" applyFill="1" applyBorder="1" applyAlignment="1">
      <alignment horizontal="center" vertical="center"/>
    </xf>
    <xf numFmtId="168" fontId="7" fillId="3" borderId="2" xfId="0" quotePrefix="1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3" borderId="2" xfId="0" quotePrefix="1" applyFont="1" applyFill="1" applyBorder="1" applyAlignment="1">
      <alignment horizontal="center" vertical="center"/>
    </xf>
    <xf numFmtId="0" fontId="0" fillId="2" borderId="15" xfId="0" applyFill="1" applyBorder="1"/>
    <xf numFmtId="168" fontId="4" fillId="5" borderId="15" xfId="0" applyNumberFormat="1" applyFont="1" applyFill="1" applyBorder="1" applyAlignment="1">
      <alignment horizontal="center" vertical="center"/>
    </xf>
    <xf numFmtId="168" fontId="8" fillId="2" borderId="5" xfId="0" applyNumberFormat="1" applyFont="1" applyFill="1" applyBorder="1" applyAlignment="1">
      <alignment horizontal="center" vertical="center"/>
    </xf>
    <xf numFmtId="166" fontId="4" fillId="2" borderId="5" xfId="0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9" fontId="0" fillId="5" borderId="1" xfId="0" applyNumberFormat="1" applyFill="1" applyBorder="1" applyAlignment="1">
      <alignment horizontal="center" vertical="center"/>
    </xf>
    <xf numFmtId="9" fontId="0" fillId="5" borderId="2" xfId="0" applyNumberFormat="1" applyFill="1" applyBorder="1" applyAlignment="1">
      <alignment horizontal="center" vertical="center"/>
    </xf>
    <xf numFmtId="9" fontId="0" fillId="5" borderId="3" xfId="0" applyNumberFormat="1" applyFill="1" applyBorder="1" applyAlignment="1">
      <alignment horizontal="center" vertical="center"/>
    </xf>
    <xf numFmtId="0" fontId="0" fillId="6" borderId="1" xfId="0" applyFill="1" applyBorder="1"/>
    <xf numFmtId="0" fontId="0" fillId="6" borderId="2" xfId="0" applyFill="1" applyBorder="1"/>
    <xf numFmtId="0" fontId="0" fillId="6" borderId="2" xfId="0" applyFont="1" applyFill="1" applyBorder="1"/>
    <xf numFmtId="0" fontId="0" fillId="6" borderId="3" xfId="0" applyFont="1" applyFill="1" applyBorder="1"/>
    <xf numFmtId="166" fontId="4" fillId="2" borderId="1" xfId="0" applyNumberFormat="1" applyFont="1" applyFill="1" applyBorder="1" applyAlignment="1">
      <alignment horizontal="center" vertical="center"/>
    </xf>
    <xf numFmtId="166" fontId="4" fillId="2" borderId="2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Secure\DIR_MLib_Analytics\PricingTools\SwapsPricer\SwapsPricerV1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Forward Charts"/>
      <sheetName val="EUR OIS"/>
      <sheetName val="USD OIS"/>
      <sheetName val="GBP OIS"/>
      <sheetName val="JPY OIS"/>
      <sheetName val="EUR Swaps"/>
      <sheetName val="USD Swaps"/>
      <sheetName val="GBP Swaps"/>
      <sheetName val="JPY Swaps"/>
      <sheetName val="EUR Swap Cashflows"/>
      <sheetName val="USD Swap Cashflows"/>
      <sheetName val="GBP Swap Cashflows"/>
      <sheetName val="JPY Swap Cashflows"/>
      <sheetName val="EUR Asset Swaps"/>
      <sheetName val="USD Asset Swaps"/>
      <sheetName val="GBP Asset Swaps"/>
      <sheetName val="JPY Asset Swaps"/>
      <sheetName val="EUR ASW Cashflows"/>
      <sheetName val="USD ASW Cashflows"/>
      <sheetName val="GBP ASW Cashflows"/>
      <sheetName val="JPY ASW Cashflows"/>
      <sheetName val="EUR Tenor Basis"/>
      <sheetName val="USD Tenor Basis"/>
      <sheetName val="GBP Tenor Basis"/>
      <sheetName val="JPY Tenor Basis"/>
      <sheetName val="EUR VNS Schedules"/>
      <sheetName val="EUR VNS"/>
      <sheetName val="USD VNS Schedules"/>
      <sheetName val="USD VNS"/>
      <sheetName val="GBP VNS Schedules"/>
      <sheetName val="GBP VNS"/>
      <sheetName val="JPY VNS Schedules"/>
      <sheetName val="JPY VNS"/>
      <sheetName val="Standard Swap Pricing"/>
      <sheetName val="EUR IMM Swaps"/>
      <sheetName val="USD IMM Swaps"/>
      <sheetName val="EUR Custom Swap"/>
      <sheetName val="EUR Cashflows"/>
      <sheetName val="USD Custom Swap"/>
      <sheetName val="USD Cashflows"/>
      <sheetName val="EUR XCCY"/>
      <sheetName val="EUR XCCY Structure"/>
    </sheetNames>
    <sheetDataSet>
      <sheetData sheetId="0">
        <row r="2">
          <cell r="C2">
            <v>42907</v>
          </cell>
        </row>
        <row r="206">
          <cell r="B206">
            <v>0</v>
          </cell>
          <cell r="C206" t="str">
            <v>ZeroCpn</v>
          </cell>
        </row>
        <row r="207">
          <cell r="B207">
            <v>1</v>
          </cell>
          <cell r="C207" t="str">
            <v>Annual</v>
          </cell>
        </row>
        <row r="208">
          <cell r="B208">
            <v>2</v>
          </cell>
          <cell r="C208" t="str">
            <v>Semi-Annual</v>
          </cell>
        </row>
        <row r="209">
          <cell r="B209">
            <v>4</v>
          </cell>
          <cell r="C209" t="str">
            <v>Quarterly</v>
          </cell>
        </row>
        <row r="210">
          <cell r="B210">
            <v>12</v>
          </cell>
          <cell r="C210" t="str">
            <v>Monthly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44"/>
  <sheetViews>
    <sheetView showGridLines="0" tabSelected="1" workbookViewId="0"/>
  </sheetViews>
  <sheetFormatPr defaultRowHeight="15" x14ac:dyDescent="0.25"/>
  <cols>
    <col min="2" max="2" width="27.85546875" bestFit="1" customWidth="1"/>
    <col min="3" max="3" width="18.28515625" bestFit="1" customWidth="1"/>
    <col min="6" max="6" width="26.42578125" bestFit="1" customWidth="1"/>
    <col min="7" max="7" width="16.85546875" customWidth="1"/>
    <col min="8" max="8" width="17.5703125" customWidth="1"/>
    <col min="10" max="10" width="27.42578125" customWidth="1"/>
    <col min="11" max="11" width="17.42578125" bestFit="1" customWidth="1"/>
    <col min="12" max="12" width="14.28515625" customWidth="1"/>
  </cols>
  <sheetData>
    <row r="2" spans="2:12" x14ac:dyDescent="0.25">
      <c r="B2" s="14"/>
      <c r="D2" t="s">
        <v>2</v>
      </c>
    </row>
    <row r="3" spans="2:12" x14ac:dyDescent="0.25">
      <c r="B3" s="1" t="s">
        <v>12</v>
      </c>
      <c r="D3" t="s">
        <v>2</v>
      </c>
      <c r="F3" s="1" t="s">
        <v>0</v>
      </c>
      <c r="J3" s="1" t="s">
        <v>51</v>
      </c>
      <c r="K3" s="44"/>
    </row>
    <row r="4" spans="2:12" x14ac:dyDescent="0.25">
      <c r="B4" s="15" t="s">
        <v>13</v>
      </c>
      <c r="C4" s="45">
        <v>1000000</v>
      </c>
      <c r="D4" t="s">
        <v>2</v>
      </c>
      <c r="F4" s="2" t="s">
        <v>1</v>
      </c>
      <c r="G4" s="28">
        <v>94.8203125</v>
      </c>
      <c r="H4" t="s">
        <v>2</v>
      </c>
      <c r="J4" s="52" t="s">
        <v>51</v>
      </c>
      <c r="K4" s="53">
        <f ca="1">_xll.meProductSwapStubRate($K$25:$K$29,$J$25:$J$29,L25:L29,_xll.meUtilityLVBFromMultipleKeysValues($J$8:$J$20,K8:K20),FALSE)</f>
        <v>0.1</v>
      </c>
    </row>
    <row r="5" spans="2:12" x14ac:dyDescent="0.25">
      <c r="B5" s="16" t="s">
        <v>14</v>
      </c>
      <c r="C5" s="20" t="s">
        <v>15</v>
      </c>
      <c r="D5" t="s">
        <v>2</v>
      </c>
      <c r="F5" s="3" t="s">
        <v>3</v>
      </c>
      <c r="G5" s="29" t="s">
        <v>67</v>
      </c>
      <c r="H5" t="s">
        <v>2</v>
      </c>
    </row>
    <row r="6" spans="2:12" x14ac:dyDescent="0.25">
      <c r="B6" s="16" t="s">
        <v>16</v>
      </c>
      <c r="C6" s="17">
        <v>42870</v>
      </c>
      <c r="D6" t="s">
        <v>2</v>
      </c>
      <c r="F6" s="4" t="s">
        <v>4</v>
      </c>
      <c r="G6" s="5"/>
      <c r="H6" s="6" t="s">
        <v>5</v>
      </c>
    </row>
    <row r="7" spans="2:12" x14ac:dyDescent="0.25">
      <c r="B7" s="16" t="s">
        <v>17</v>
      </c>
      <c r="C7" s="17">
        <v>42909</v>
      </c>
      <c r="D7" t="s">
        <v>2</v>
      </c>
      <c r="F7" s="7" t="s">
        <v>6</v>
      </c>
      <c r="G7" s="8">
        <f ca="1">_xll.meProductAssetSwapSpread(IF(ISBLANK($G$6),$G$4,$G$7),_xll.meUtilityLVBFromKeysValues($B$4:$B$35,$C$4:$C$35),FALSE)</f>
        <v>83.617839080358465</v>
      </c>
      <c r="H7" s="9" t="str">
        <f ca="1">ROUND(G7,1)&amp;" bps"</f>
        <v>83.6 bps</v>
      </c>
      <c r="J7" s="9" t="s">
        <v>72</v>
      </c>
    </row>
    <row r="8" spans="2:12" x14ac:dyDescent="0.25">
      <c r="B8" s="16" t="s">
        <v>18</v>
      </c>
      <c r="C8" s="55">
        <f ca="1">_xll.meDateFromTenor(C7,D8,C26,C27)</f>
        <v>46591</v>
      </c>
      <c r="D8" s="58" t="s">
        <v>79</v>
      </c>
      <c r="E8" s="39"/>
      <c r="F8" s="10" t="s">
        <v>7</v>
      </c>
      <c r="G8" s="30">
        <v>2.7612723112106323E-2</v>
      </c>
      <c r="H8" t="s">
        <v>2</v>
      </c>
      <c r="J8" s="68" t="s">
        <v>17</v>
      </c>
      <c r="K8" s="72">
        <f>C7</f>
        <v>42909</v>
      </c>
    </row>
    <row r="9" spans="2:12" x14ac:dyDescent="0.25">
      <c r="B9" s="16" t="s">
        <v>19</v>
      </c>
      <c r="C9" s="17" t="s">
        <v>20</v>
      </c>
      <c r="D9" t="s">
        <v>2</v>
      </c>
      <c r="F9" s="4" t="s">
        <v>8</v>
      </c>
      <c r="G9" s="11"/>
      <c r="H9" t="s">
        <v>2</v>
      </c>
      <c r="J9" s="69" t="s">
        <v>18</v>
      </c>
      <c r="K9" s="73">
        <f ca="1">C8</f>
        <v>46591</v>
      </c>
    </row>
    <row r="10" spans="2:12" x14ac:dyDescent="0.25">
      <c r="B10" s="16" t="s">
        <v>21</v>
      </c>
      <c r="C10" s="46" t="s">
        <v>58</v>
      </c>
      <c r="D10" t="s">
        <v>2</v>
      </c>
      <c r="F10" s="12" t="s">
        <v>9</v>
      </c>
      <c r="G10" s="13">
        <f ca="1">_xll.meProductSwapParRate(_xll.meUtilityLVBFromKeysValues($B$4:$B$35,$C$4:$C$35),FALSE)</f>
        <v>2.2099303911303818E-2</v>
      </c>
      <c r="H10" s="6" t="s">
        <v>10</v>
      </c>
      <c r="J10" s="69" t="s">
        <v>19</v>
      </c>
      <c r="K10" s="73" t="str">
        <f>C9</f>
        <v>USDYC</v>
      </c>
    </row>
    <row r="11" spans="2:12" x14ac:dyDescent="0.25">
      <c r="B11" s="16" t="s">
        <v>22</v>
      </c>
      <c r="C11" s="46" t="s">
        <v>63</v>
      </c>
      <c r="D11" t="s">
        <v>2</v>
      </c>
      <c r="F11" s="7" t="s">
        <v>11</v>
      </c>
      <c r="G11" s="8">
        <f ca="1">(IF(ISBLANK($G$9),$G$8,$G$9)-$G$10)*10000</f>
        <v>55.134192008025053</v>
      </c>
      <c r="H11" s="9" t="str">
        <f ca="1">ROUND(G11,1)&amp;" bps"</f>
        <v>55.1 bps</v>
      </c>
      <c r="J11" s="69" t="s">
        <v>69</v>
      </c>
      <c r="K11" s="56" t="s">
        <v>70</v>
      </c>
      <c r="L11" s="9" t="s">
        <v>75</v>
      </c>
    </row>
    <row r="12" spans="2:12" x14ac:dyDescent="0.25">
      <c r="B12" s="16" t="s">
        <v>23</v>
      </c>
      <c r="C12" s="47" t="b">
        <v>1</v>
      </c>
      <c r="D12" s="18" t="s">
        <v>73</v>
      </c>
      <c r="J12" s="69" t="s">
        <v>37</v>
      </c>
      <c r="K12" s="74" t="str">
        <f>C23</f>
        <v>Quarterly</v>
      </c>
    </row>
    <row r="13" spans="2:12" x14ac:dyDescent="0.25">
      <c r="B13" s="31" t="s">
        <v>24</v>
      </c>
      <c r="C13" s="48" t="s">
        <v>64</v>
      </c>
      <c r="D13" t="s">
        <v>2</v>
      </c>
      <c r="J13" s="69" t="s">
        <v>71</v>
      </c>
      <c r="K13" s="74" t="str">
        <f>C25</f>
        <v>ACT/360</v>
      </c>
    </row>
    <row r="14" spans="2:12" x14ac:dyDescent="0.25">
      <c r="B14" s="32" t="s">
        <v>25</v>
      </c>
      <c r="C14" s="49">
        <v>2.5000000000000001E-2</v>
      </c>
      <c r="D14" t="s">
        <v>2</v>
      </c>
      <c r="J14" s="69" t="s">
        <v>41</v>
      </c>
      <c r="K14" s="74" t="str">
        <f>C26</f>
        <v>MOD_FOLLOWING</v>
      </c>
    </row>
    <row r="15" spans="2:12" x14ac:dyDescent="0.25">
      <c r="B15" s="32" t="s">
        <v>26</v>
      </c>
      <c r="C15" s="34" t="s">
        <v>65</v>
      </c>
      <c r="D15" t="s">
        <v>2</v>
      </c>
      <c r="F15" s="39"/>
      <c r="J15" s="69" t="s">
        <v>42</v>
      </c>
      <c r="K15" s="74" t="str">
        <f>C27</f>
        <v>NYB:LNB</v>
      </c>
    </row>
    <row r="16" spans="2:12" x14ac:dyDescent="0.25">
      <c r="B16" s="19" t="s">
        <v>27</v>
      </c>
      <c r="C16" s="50" t="s">
        <v>28</v>
      </c>
      <c r="D16" t="s">
        <v>2</v>
      </c>
      <c r="J16" s="69" t="s">
        <v>45</v>
      </c>
      <c r="K16" s="74" t="str">
        <f ca="1">C30</f>
        <v>NORMAL</v>
      </c>
    </row>
    <row r="17" spans="2:12" x14ac:dyDescent="0.25">
      <c r="B17" s="19" t="s">
        <v>29</v>
      </c>
      <c r="C17" s="50" t="s">
        <v>30</v>
      </c>
      <c r="D17" t="s">
        <v>2</v>
      </c>
      <c r="J17" s="69" t="s">
        <v>48</v>
      </c>
      <c r="K17" s="74" t="str">
        <f>C32</f>
        <v>0D</v>
      </c>
    </row>
    <row r="18" spans="2:12" x14ac:dyDescent="0.25">
      <c r="B18" s="32" t="s">
        <v>31</v>
      </c>
      <c r="C18" s="33"/>
      <c r="D18" t="s">
        <v>2</v>
      </c>
      <c r="J18" s="70" t="s">
        <v>43</v>
      </c>
      <c r="K18" s="57" t="str">
        <f>IF(ISBLANK(C28),"",C28)</f>
        <v/>
      </c>
    </row>
    <row r="19" spans="2:12" x14ac:dyDescent="0.25">
      <c r="B19" s="32" t="s">
        <v>32</v>
      </c>
      <c r="C19" s="33"/>
      <c r="D19" t="s">
        <v>2</v>
      </c>
      <c r="J19" s="70" t="s">
        <v>44</v>
      </c>
      <c r="K19" s="57" t="str">
        <f>IF(ISBLANK(C29),"",C29)</f>
        <v/>
      </c>
    </row>
    <row r="20" spans="2:12" x14ac:dyDescent="0.25">
      <c r="B20" s="32" t="s">
        <v>33</v>
      </c>
      <c r="C20" s="34" t="s">
        <v>68</v>
      </c>
      <c r="D20" t="s">
        <v>2</v>
      </c>
      <c r="J20" s="71" t="s">
        <v>46</v>
      </c>
      <c r="K20" s="75" t="str">
        <f ca="1">C31</f>
        <v>ShortStart</v>
      </c>
    </row>
    <row r="21" spans="2:12" x14ac:dyDescent="0.25">
      <c r="B21" s="32" t="s">
        <v>34</v>
      </c>
      <c r="C21" s="51" t="s">
        <v>47</v>
      </c>
      <c r="D21" t="s">
        <v>2</v>
      </c>
    </row>
    <row r="22" spans="2:12" x14ac:dyDescent="0.25">
      <c r="B22" s="35" t="s">
        <v>35</v>
      </c>
      <c r="C22" s="36" t="s">
        <v>36</v>
      </c>
      <c r="D22" t="s">
        <v>2</v>
      </c>
    </row>
    <row r="23" spans="2:12" x14ac:dyDescent="0.25">
      <c r="B23" s="16" t="s">
        <v>37</v>
      </c>
      <c r="C23" s="20" t="s">
        <v>66</v>
      </c>
      <c r="D23" t="s">
        <v>2</v>
      </c>
      <c r="J23" s="1" t="s">
        <v>74</v>
      </c>
      <c r="L23" s="27"/>
    </row>
    <row r="24" spans="2:12" x14ac:dyDescent="0.25">
      <c r="B24" s="16" t="s">
        <v>38</v>
      </c>
      <c r="C24" s="23">
        <v>0</v>
      </c>
      <c r="D24" t="s">
        <v>2</v>
      </c>
      <c r="J24" s="62" t="s">
        <v>76</v>
      </c>
      <c r="K24" s="63" t="s">
        <v>77</v>
      </c>
      <c r="L24" s="64" t="s">
        <v>78</v>
      </c>
    </row>
    <row r="25" spans="2:12" x14ac:dyDescent="0.25">
      <c r="B25" s="16" t="s">
        <v>39</v>
      </c>
      <c r="C25" s="20" t="s">
        <v>40</v>
      </c>
      <c r="D25" t="s">
        <v>2</v>
      </c>
      <c r="J25" s="59" t="s">
        <v>53</v>
      </c>
      <c r="K25" s="41" t="s">
        <v>54</v>
      </c>
      <c r="L25" s="65">
        <v>0</v>
      </c>
    </row>
    <row r="26" spans="2:12" x14ac:dyDescent="0.25">
      <c r="B26" s="37" t="s">
        <v>41</v>
      </c>
      <c r="C26" s="20" t="s">
        <v>28</v>
      </c>
      <c r="D26" t="s">
        <v>2</v>
      </c>
      <c r="J26" s="60" t="s">
        <v>55</v>
      </c>
      <c r="K26" s="42" t="s">
        <v>56</v>
      </c>
      <c r="L26" s="66">
        <v>0.1</v>
      </c>
    </row>
    <row r="27" spans="2:12" x14ac:dyDescent="0.25">
      <c r="B27" s="37" t="s">
        <v>42</v>
      </c>
      <c r="C27" s="20" t="s">
        <v>30</v>
      </c>
      <c r="D27" t="s">
        <v>2</v>
      </c>
      <c r="J27" s="60" t="s">
        <v>57</v>
      </c>
      <c r="K27" s="42" t="s">
        <v>58</v>
      </c>
      <c r="L27" s="66">
        <v>0.3</v>
      </c>
    </row>
    <row r="28" spans="2:12" x14ac:dyDescent="0.25">
      <c r="B28" s="38" t="s">
        <v>43</v>
      </c>
      <c r="C28" s="40"/>
      <c r="D28" t="s">
        <v>2</v>
      </c>
      <c r="J28" s="60" t="s">
        <v>59</v>
      </c>
      <c r="K28" s="42" t="s">
        <v>60</v>
      </c>
      <c r="L28" s="66">
        <v>0.6</v>
      </c>
    </row>
    <row r="29" spans="2:12" x14ac:dyDescent="0.25">
      <c r="B29" s="16" t="s">
        <v>44</v>
      </c>
      <c r="C29" s="20"/>
      <c r="D29" t="s">
        <v>2</v>
      </c>
      <c r="J29" s="61" t="s">
        <v>61</v>
      </c>
      <c r="K29" s="43" t="s">
        <v>62</v>
      </c>
      <c r="L29" s="67">
        <v>1.2</v>
      </c>
    </row>
    <row r="30" spans="2:12" x14ac:dyDescent="0.25">
      <c r="B30" s="16" t="s">
        <v>45</v>
      </c>
      <c r="C30" s="20" t="s">
        <v>68</v>
      </c>
      <c r="D30" t="s">
        <v>2</v>
      </c>
    </row>
    <row r="31" spans="2:12" x14ac:dyDescent="0.25">
      <c r="B31" s="16" t="s">
        <v>46</v>
      </c>
      <c r="C31" s="21" t="s">
        <v>47</v>
      </c>
      <c r="D31" t="s">
        <v>2</v>
      </c>
    </row>
    <row r="32" spans="2:12" x14ac:dyDescent="0.25">
      <c r="B32" s="16" t="s">
        <v>48</v>
      </c>
      <c r="C32" s="22" t="s">
        <v>36</v>
      </c>
      <c r="D32" t="s">
        <v>2</v>
      </c>
    </row>
    <row r="33" spans="2:4" x14ac:dyDescent="0.25">
      <c r="B33" s="16" t="s">
        <v>49</v>
      </c>
      <c r="C33" s="22" t="s">
        <v>36</v>
      </c>
      <c r="D33" t="s">
        <v>2</v>
      </c>
    </row>
    <row r="34" spans="2:4" x14ac:dyDescent="0.25">
      <c r="B34" s="16" t="s">
        <v>50</v>
      </c>
      <c r="C34" s="54">
        <f ca="1">K4</f>
        <v>0.1</v>
      </c>
      <c r="D34" s="24" t="s">
        <v>51</v>
      </c>
    </row>
    <row r="35" spans="2:4" x14ac:dyDescent="0.25">
      <c r="B35" s="25" t="s">
        <v>52</v>
      </c>
      <c r="C35" s="26"/>
    </row>
    <row r="38" spans="2:4" x14ac:dyDescent="0.25">
      <c r="C38" s="44"/>
    </row>
    <row r="44" spans="2:4" x14ac:dyDescent="0.25">
      <c r="B44" s="1"/>
      <c r="C44" s="27"/>
    </row>
  </sheetData>
  <dataValidations count="5">
    <dataValidation type="list" allowBlank="1" showInputMessage="1" showErrorMessage="1" sqref="C16 C26">
      <formula1>"MOD_FOLLOWING,FOLLOWING,MOD_PRECEDING,PRECEDING,NO_CHANGE"</formula1>
    </dataValidation>
    <dataValidation type="list" allowBlank="1" showInputMessage="1" showErrorMessage="1" sqref="C25 C15">
      <formula1>"ACT/ACT,ACT/365,ACT/365_ISDA,ACT/360,30/360,30E/360,ACT/365FJ"</formula1>
    </dataValidation>
    <dataValidation type="list" allowBlank="1" showInputMessage="1" showErrorMessage="1" sqref="C5">
      <formula1>"PAYER,RECEIVER"</formula1>
    </dataValidation>
    <dataValidation type="list" allowBlank="1" showInputMessage="1" showErrorMessage="1" sqref="C21 C31">
      <formula1>"None,ShortStart,ShortEnd,LongStart,LongEnd,SS,SE,LS,LE"</formula1>
    </dataValidation>
    <dataValidation type="list" allowBlank="1" showInputMessage="1" showErrorMessage="1" sqref="C17 C27">
      <formula1>"TGT,NYB:LNB,LNB,TKB:LNB"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2017-06-21T14:48:43Z</dcterms:created>
  <dcterms:modified xsi:type="dcterms:W3CDTF">2017-06-22T13:16:28Z</dcterms:modified>
</cp:coreProperties>
</file>