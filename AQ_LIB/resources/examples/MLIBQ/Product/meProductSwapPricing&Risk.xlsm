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1" r:id="rId4"/>
  </sheets>
  <functionGroups builtInGroupCount="17"/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OnSave="0"/>
</workbook>
</file>

<file path=xl/calcChain.xml><?xml version="1.0" encoding="utf-8"?>
<calcChain xmlns="http://schemas.openxmlformats.org/spreadsheetml/2006/main"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7" i="21"/>
  <c r="B8" i="21"/>
  <c r="B6" i="21"/>
  <c r="B16" i="21"/>
  <c r="B15" i="21"/>
  <c r="B23" i="21"/>
  <c r="B19" i="21"/>
  <c r="B18" i="21"/>
  <c r="B24" i="21"/>
  <c r="B13" i="21"/>
  <c r="B7" i="21"/>
  <c r="B12" i="21"/>
  <c r="B25" i="21"/>
  <c r="B9" i="21"/>
  <c r="B22" i="21"/>
  <c r="B21" i="21"/>
  <c r="B20" i="21"/>
  <c r="B10" i="21"/>
  <c r="B11" i="21"/>
  <c r="B14" i="21"/>
  <c r="D7" i="2"/>
  <c r="AT23" i="21" l="1"/>
  <c r="AT24" i="21"/>
  <c r="AT25" i="21"/>
  <c r="D8" i="2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D8" i="3"/>
  <c r="D9" i="3" l="1"/>
  <c r="AL7" i="21"/>
  <c r="AL8" i="21"/>
  <c r="AL9" i="21"/>
  <c r="AL10" i="21"/>
  <c r="AL11" i="21"/>
  <c r="AL12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6" i="21"/>
  <c r="AM6" i="21"/>
  <c r="E7" i="4"/>
  <c r="W6" i="21" l="1"/>
  <c r="AR5" i="21" l="1" a="1"/>
  <c r="AR5" i="21" s="1"/>
  <c r="AJ25" i="21"/>
  <c r="AK25" i="21" s="1"/>
  <c r="X25" i="21"/>
  <c r="W25" i="21"/>
  <c r="AM25" i="21"/>
  <c r="AJ24" i="21"/>
  <c r="AK24" i="21" s="1"/>
  <c r="X24" i="21"/>
  <c r="W24" i="21"/>
  <c r="AM24" i="21"/>
  <c r="AJ23" i="21"/>
  <c r="AK23" i="21" s="1"/>
  <c r="X23" i="21"/>
  <c r="W23" i="21"/>
  <c r="AM23" i="21"/>
  <c r="AJ22" i="21"/>
  <c r="AK22" i="21" s="1"/>
  <c r="X22" i="21"/>
  <c r="W22" i="21"/>
  <c r="AM22" i="21"/>
  <c r="AJ21" i="21"/>
  <c r="AK21" i="21" s="1"/>
  <c r="X21" i="21"/>
  <c r="W21" i="21"/>
  <c r="AM21" i="21"/>
  <c r="AJ20" i="21"/>
  <c r="AK20" i="21" s="1"/>
  <c r="X20" i="21"/>
  <c r="W20" i="21"/>
  <c r="AM20" i="21"/>
  <c r="AJ19" i="21"/>
  <c r="AK19" i="21" s="1"/>
  <c r="X19" i="21"/>
  <c r="W19" i="21"/>
  <c r="AM19" i="21"/>
  <c r="AJ18" i="21"/>
  <c r="AK18" i="21" s="1"/>
  <c r="X18" i="21"/>
  <c r="W18" i="21"/>
  <c r="AM18" i="21"/>
  <c r="AJ17" i="21"/>
  <c r="AK17" i="21" s="1"/>
  <c r="X17" i="21"/>
  <c r="W17" i="21"/>
  <c r="AM17" i="21"/>
  <c r="AJ16" i="21"/>
  <c r="AK16" i="21" s="1"/>
  <c r="X16" i="21"/>
  <c r="W16" i="21"/>
  <c r="AM16" i="21"/>
  <c r="AJ15" i="21"/>
  <c r="AK15" i="21" s="1"/>
  <c r="X15" i="21"/>
  <c r="W15" i="21"/>
  <c r="AM15" i="21"/>
  <c r="AJ14" i="21"/>
  <c r="AK14" i="21" s="1"/>
  <c r="X14" i="21"/>
  <c r="W14" i="21"/>
  <c r="AM14" i="21"/>
  <c r="AJ13" i="21"/>
  <c r="AK13" i="21" s="1"/>
  <c r="X13" i="21"/>
  <c r="W13" i="21"/>
  <c r="AM13" i="21"/>
  <c r="AJ12" i="21"/>
  <c r="AK12" i="21" s="1"/>
  <c r="X12" i="21"/>
  <c r="W12" i="21"/>
  <c r="AM12" i="21"/>
  <c r="AJ11" i="21"/>
  <c r="AK11" i="21" s="1"/>
  <c r="X11" i="21"/>
  <c r="W11" i="21"/>
  <c r="AM11" i="21"/>
  <c r="AJ10" i="21"/>
  <c r="AK10" i="21" s="1"/>
  <c r="X10" i="21"/>
  <c r="W10" i="21"/>
  <c r="AM10" i="21"/>
  <c r="AJ9" i="21"/>
  <c r="AK9" i="21" s="1"/>
  <c r="X9" i="21"/>
  <c r="W9" i="21"/>
  <c r="AM9" i="21"/>
  <c r="AJ8" i="21"/>
  <c r="AK8" i="21" s="1"/>
  <c r="X8" i="21"/>
  <c r="W8" i="21"/>
  <c r="AM8" i="21"/>
  <c r="AJ7" i="21"/>
  <c r="AK7" i="21" s="1"/>
  <c r="X7" i="21"/>
  <c r="W7" i="21"/>
  <c r="AM7" i="21"/>
  <c r="AJ6" i="21"/>
  <c r="AK6" i="21" s="1"/>
  <c r="X6" i="21"/>
  <c r="AR15" i="21" l="1"/>
  <c r="AS13" i="21"/>
  <c r="AS11" i="21"/>
  <c r="AR11" i="21"/>
  <c r="AS7" i="21"/>
  <c r="AS20" i="21"/>
  <c r="AS22" i="21"/>
  <c r="AS17" i="21"/>
  <c r="AS16" i="21"/>
  <c r="AR8" i="21"/>
  <c r="AR20" i="21"/>
  <c r="AT20" i="21" s="1"/>
  <c r="AS19" i="21"/>
  <c r="AS12" i="21"/>
  <c r="AR7" i="21"/>
  <c r="AR19" i="21"/>
  <c r="AT19" i="21" s="1"/>
  <c r="AR12" i="21"/>
  <c r="AS5" i="21"/>
  <c r="AR16" i="21"/>
  <c r="AS9" i="21"/>
  <c r="AS21" i="21"/>
  <c r="AS15" i="21"/>
  <c r="AS8" i="21"/>
  <c r="AS18" i="21"/>
  <c r="AS14" i="21"/>
  <c r="AS10" i="21"/>
  <c r="AS6" i="21"/>
  <c r="AR22" i="21"/>
  <c r="AT22" i="21" s="1"/>
  <c r="AR18" i="21"/>
  <c r="AR14" i="21"/>
  <c r="AR10" i="21"/>
  <c r="AR6" i="21"/>
  <c r="AR21" i="21"/>
  <c r="AT21" i="21" s="1"/>
  <c r="AR17" i="21"/>
  <c r="AR13" i="21"/>
  <c r="AR9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N21" i="21"/>
  <c r="AP24" i="21"/>
  <c r="AN17" i="21"/>
  <c r="AN8" i="21"/>
  <c r="AP15" i="21"/>
  <c r="AO7" i="21"/>
  <c r="AN14" i="21"/>
  <c r="AO23" i="21"/>
  <c r="AO25" i="21"/>
  <c r="AN15" i="21"/>
  <c r="AO10" i="21"/>
  <c r="AO9" i="21"/>
  <c r="AO20" i="21"/>
  <c r="AO12" i="21"/>
  <c r="AP10" i="21"/>
  <c r="AP16" i="21"/>
  <c r="AN10" i="21"/>
  <c r="AO22" i="21"/>
  <c r="AO18" i="21"/>
  <c r="AP6" i="21"/>
  <c r="AP19" i="21"/>
  <c r="AP21" i="21"/>
  <c r="AN22" i="21"/>
  <c r="AP8" i="21"/>
  <c r="AO19" i="21"/>
  <c r="AN25" i="21"/>
  <c r="AP17" i="21"/>
  <c r="AP20" i="21"/>
  <c r="AO11" i="21"/>
  <c r="AN12" i="21"/>
  <c r="AN13" i="21"/>
  <c r="AP11" i="21"/>
  <c r="AP12" i="21"/>
  <c r="AN18" i="21"/>
  <c r="AN23" i="21"/>
  <c r="AP18" i="21"/>
  <c r="AO21" i="21"/>
  <c r="AP13" i="21"/>
  <c r="AN20" i="21"/>
  <c r="AP7" i="21"/>
  <c r="AO16" i="21"/>
  <c r="AN7" i="21"/>
  <c r="AN6" i="21"/>
  <c r="AN16" i="21"/>
  <c r="AP9" i="21"/>
  <c r="AO24" i="21"/>
  <c r="AP25" i="21"/>
  <c r="AO14" i="21"/>
  <c r="AN11" i="21"/>
  <c r="AO8" i="21"/>
  <c r="AO17" i="21"/>
  <c r="AP23" i="21"/>
  <c r="AO15" i="21"/>
  <c r="AP22" i="21"/>
  <c r="AP14" i="21"/>
  <c r="AO6" i="21"/>
  <c r="AN19" i="21"/>
  <c r="AN9" i="21"/>
  <c r="AO13" i="21"/>
  <c r="AN24" i="21"/>
  <c r="AT18" i="21" l="1"/>
  <c r="AT11" i="21"/>
  <c r="AT13" i="21"/>
  <c r="AT16" i="21"/>
  <c r="AT8" i="21"/>
  <c r="AT17" i="21"/>
  <c r="AT15" i="21"/>
  <c r="AT12" i="21"/>
  <c r="AT6" i="21"/>
  <c r="AT10" i="21"/>
  <c r="AT7" i="21"/>
  <c r="AT14" i="21"/>
  <c r="AT9" i="21"/>
  <c r="E8" i="4"/>
  <c r="C68" i="4"/>
  <c r="AO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<sst xmlns="http://schemas.openxmlformats.org/spreadsheetml/2006/main" count="902" uniqueCount="256">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</sst>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4" t="s">
        <v>216</v>
      </c>
    </row>
    <row r="3" spans="2:14" x14ac:dyDescent="0.25">
      <c r="B3" s="64"/>
    </row>
    <row r="4" spans="2:14" x14ac:dyDescent="0.25">
      <c r="B4" s="64"/>
    </row>
    <row r="5" spans="2:14" x14ac:dyDescent="0.25">
      <c r="B5" s="155" t="s">
        <v>214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6" t="s">
        <v>214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(0.05400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7" t="s">
        <v>217</v>
      </c>
    </row>
    <row r="6" spans="2:12" x14ac:dyDescent="0.25">
      <c r="B6" s="158" t="s">
        <v>215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59" t="s">
        <v>215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(0.02800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252</v>
      </c>
      <c r="D37" s="10"/>
      <c r="E37" s="10"/>
      <c r="F37" s="49" t="s">
        <v>103</v>
      </c>
      <c r="G37" s="10"/>
      <c r="H37" s="10"/>
      <c r="I37" s="49" t="s">
        <v>251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253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60" t="s">
        <v>218</v>
      </c>
    </row>
    <row r="5" spans="2:10" x14ac:dyDescent="0.25">
      <c r="B5" s="161" t="s">
        <v>219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62" t="s">
        <v>219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(0.02100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63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254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255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190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191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191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191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191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191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191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191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191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191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191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191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191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191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192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193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194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194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194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194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194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194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194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194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194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194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194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194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195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196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197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197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197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197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197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197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197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197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197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197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197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198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AT37"/>
  <sheetViews>
    <sheetView showGridLines="0" tabSelected="1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3" hidden="1" customWidth="1"/>
    <col min="39" max="39" width="10.5703125" hidden="1" customWidth="1"/>
    <col min="40" max="40" width="17.5703125" customWidth="1"/>
    <col min="41" max="41" width="17" customWidth="1"/>
    <col min="42" max="42" width="13.42578125" customWidth="1"/>
    <col min="44" max="46" width="15.7109375" customWidth="1"/>
  </cols>
  <sheetData>
    <row r="1" spans="1:46" x14ac:dyDescent="0.25">
      <c r="A1" s="121"/>
      <c r="B1" s="121"/>
    </row>
    <row r="2" spans="1:46" ht="23.25" x14ac:dyDescent="0.35">
      <c r="B2" s="122" t="s">
        <v>197</v>
      </c>
      <c r="C2" s="122"/>
      <c r="L2" s="122"/>
      <c r="AN2" s="123" t="s">
        <v>198</v>
      </c>
      <c r="AO2" s="199">
        <f ca="1">SUM($AO$6:$AO$25)</f>
        <v>-312916.47953635448</v>
      </c>
      <c r="AP2" s="200"/>
      <c r="AR2" s="122" t="s">
        <v>212</v>
      </c>
    </row>
    <row r="3" spans="1:46" x14ac:dyDescent="0.25">
      <c r="AN3" s="120"/>
      <c r="AO3" s="201"/>
      <c r="AP3" s="200"/>
    </row>
    <row r="4" spans="1:46" x14ac:dyDescent="0.25">
      <c r="AN4" s="164"/>
      <c r="AP4" s="124"/>
      <c r="AQ4" t="s">
        <v>4</v>
      </c>
    </row>
    <row r="5" spans="1:46" ht="33" customHeight="1" x14ac:dyDescent="0.25">
      <c r="B5" s="125" t="s">
        <v>222</v>
      </c>
      <c r="C5" s="126" t="s">
        <v>223</v>
      </c>
      <c r="D5" s="126" t="s">
        <v>16</v>
      </c>
      <c r="E5" s="126" t="s">
        <v>236</v>
      </c>
      <c r="F5" s="126" t="s">
        <v>250</v>
      </c>
      <c r="G5" s="126" t="s">
        <v>224</v>
      </c>
      <c r="H5" s="126" t="s">
        <v>249</v>
      </c>
      <c r="I5" s="126" t="s">
        <v>199</v>
      </c>
      <c r="J5" s="126" t="s">
        <v>193</v>
      </c>
      <c r="K5" s="126" t="s">
        <v>220</v>
      </c>
      <c r="L5" s="125" t="s">
        <v>222</v>
      </c>
      <c r="M5" s="126" t="s">
        <v>221</v>
      </c>
      <c r="N5" s="126" t="s">
        <v>227</v>
      </c>
      <c r="O5" s="126" t="s">
        <v>228</v>
      </c>
      <c r="P5" s="126" t="s">
        <v>229</v>
      </c>
      <c r="Q5" s="126" t="s">
        <v>230</v>
      </c>
      <c r="R5" s="126" t="s">
        <v>231</v>
      </c>
      <c r="S5" s="126" t="s">
        <v>232</v>
      </c>
      <c r="T5" s="126" t="s">
        <v>233</v>
      </c>
      <c r="U5" s="126" t="s">
        <v>234</v>
      </c>
      <c r="V5" s="126" t="s">
        <v>235</v>
      </c>
      <c r="W5" s="126" t="s">
        <v>225</v>
      </c>
      <c r="X5" s="126" t="s">
        <v>237</v>
      </c>
      <c r="Y5" s="126" t="s">
        <v>238</v>
      </c>
      <c r="Z5" s="126" t="s">
        <v>239</v>
      </c>
      <c r="AA5" s="126" t="s">
        <v>240</v>
      </c>
      <c r="AB5" s="126" t="s">
        <v>241</v>
      </c>
      <c r="AC5" s="126" t="s">
        <v>242</v>
      </c>
      <c r="AD5" s="126" t="s">
        <v>243</v>
      </c>
      <c r="AE5" s="126" t="s">
        <v>244</v>
      </c>
      <c r="AF5" s="126" t="s">
        <v>226</v>
      </c>
      <c r="AG5" s="126" t="s">
        <v>245</v>
      </c>
      <c r="AH5" s="126" t="s">
        <v>246</v>
      </c>
      <c r="AI5" s="126" t="s">
        <v>247</v>
      </c>
      <c r="AJ5" s="126" t="s">
        <v>88</v>
      </c>
      <c r="AK5" s="126" t="s">
        <v>248</v>
      </c>
      <c r="AL5" s="126" t="s">
        <v>249</v>
      </c>
      <c r="AM5" s="183" t="s">
        <v>224</v>
      </c>
      <c r="AN5" s="184" t="s">
        <v>200</v>
      </c>
      <c r="AO5" s="127" t="s">
        <v>201</v>
      </c>
      <c r="AP5" s="128" t="s">
        <v>202</v>
      </c>
      <c r="AQ5" t="s">
        <v>4</v>
      </c>
      <c r="AR5" s="150" t="str">
        <f t="array" ref="AR5:AS22">'EUR SWAP 6ML'!F93:G111</f>
        <v>Term</v>
      </c>
      <c r="AS5" s="152" t="str">
        <v>Rate</v>
      </c>
      <c r="AT5" s="151" t="s">
        <v>213</v>
      </c>
    </row>
    <row r="6" spans="1:46" x14ac:dyDescent="0.25">
      <c r="A6" s="129">
        <v>1</v>
      </c>
      <c r="B6" s="178">
        <f ca="1">IF(NOW(),_xll.meDateFromTenor(COB,$C6,$P6,$Q6))</f>
        <v>42423</v>
      </c>
      <c r="C6" s="187" t="s">
        <v>203</v>
      </c>
      <c r="D6" s="165" t="s">
        <v>17</v>
      </c>
      <c r="E6" s="133" t="s">
        <v>204</v>
      </c>
      <c r="F6" s="133" t="s">
        <v>183</v>
      </c>
      <c r="G6" s="133">
        <v>0.01</v>
      </c>
      <c r="H6" s="133">
        <v>0</v>
      </c>
      <c r="I6" s="166" t="s">
        <v>205</v>
      </c>
      <c r="J6" s="165">
        <v>1000000</v>
      </c>
      <c r="K6" s="132" t="s">
        <v>194</v>
      </c>
      <c r="L6" s="178">
        <f ca="1">B6</f>
        <v>42423</v>
      </c>
      <c r="M6" s="171" t="str">
        <f>F6</f>
        <v>1Y</v>
      </c>
      <c r="N6" s="119" t="s">
        <v>26</v>
      </c>
      <c r="O6" s="167" t="s">
        <v>20</v>
      </c>
      <c r="P6" s="119" t="s">
        <v>22</v>
      </c>
      <c r="Q6" s="119" t="s">
        <v>2</v>
      </c>
      <c r="R6" s="168"/>
      <c r="S6" s="168"/>
      <c r="T6" s="169">
        <f t="shared" ref="T6:T25" ca="1" si="0">IF($L6="","",DAY($L6))</f>
        <v>23</v>
      </c>
      <c r="U6" s="170" t="s">
        <v>195</v>
      </c>
      <c r="V6" s="167" t="s">
        <v>196</v>
      </c>
      <c r="W6" s="135" t="str">
        <f t="shared" ref="W6:W25" si="1">$D6&amp;$E6</f>
        <v>EUR6ML</v>
      </c>
      <c r="X6" s="169" t="str">
        <f t="shared" ref="X6:X25" si="2">IF($E6="1ML","Monthly",IF($E6="3ML","Quarterly",IF($E6="6ML","Semi-Annual","Annual")))</f>
        <v>Semi-Annual</v>
      </c>
      <c r="Y6" s="167" t="s">
        <v>6</v>
      </c>
      <c r="Z6" s="119" t="s">
        <v>22</v>
      </c>
      <c r="AA6" s="119" t="s">
        <v>2</v>
      </c>
      <c r="AB6" s="168"/>
      <c r="AC6" s="168"/>
      <c r="AD6" s="169">
        <f t="shared" ref="AD6:AD25" ca="1" si="3">IF($L6="","",DAY($L6))</f>
        <v>23</v>
      </c>
      <c r="AE6" s="170" t="s">
        <v>195</v>
      </c>
      <c r="AF6" s="171" t="s">
        <v>37</v>
      </c>
      <c r="AG6" s="172"/>
      <c r="AH6" s="170" t="s">
        <v>195</v>
      </c>
      <c r="AI6" s="167" t="s">
        <v>196</v>
      </c>
      <c r="AJ6" s="168" t="str">
        <f t="shared" ref="AJ6:AJ25" si="4">D6&amp;"YC"</f>
        <v>EURYC</v>
      </c>
      <c r="AK6" s="135" t="str">
        <f t="shared" ref="AK6:AK25" si="5">LEFT(AJ6,3)&amp;"DF_"&amp;I6</f>
        <v>EURDF_NOCSA</v>
      </c>
      <c r="AL6" s="173">
        <f t="shared" ref="AL6:AL25" si="6">H6</f>
        <v>0</v>
      </c>
      <c r="AM6" s="179">
        <f t="shared" ref="AM6:AM25" si="7">G6</f>
        <v>0.01</v>
      </c>
      <c r="AN6" s="185">
        <f ca="1">IF(NOW(),_xll.meProductSwapParRate(_xll.meUtilityLVBFromKeysValues($L$5:$AL$5,$L6:$AL6)))</f>
        <v>-1.3969484986246625E-3</v>
      </c>
      <c r="AO6" s="174">
        <f ca="1">IF(NOW(),_xll.meProductSwapPV(_xll.meUtilityLVBFromKeysValues($J$5:$AM$5,$J6:$AM6)))</f>
        <v>-11440.174035374805</v>
      </c>
      <c r="AP6" s="175">
        <f ca="1">IF(NOW(),_xll.meProductSwapPV01(_xll.meUtilityLVBFromKeysValues($J$5:$AK$5,$J6:$AK6)))</f>
        <v>100.37927289708608</v>
      </c>
      <c r="AQ6" t="s">
        <v>4</v>
      </c>
      <c r="AR6" s="146" t="str">
        <v>2Y</v>
      </c>
      <c r="AS6" s="148">
        <v>-1.33E-3</v>
      </c>
      <c r="AT6" s="153">
        <f t="shared" ref="AT6:AT25" ca="1" si="8">IF(ISNA(VLOOKUP(AR6,$M$6:$AN$25,28,0)),"-",(VLOOKUP(AR6,$M$6:$AN$25,28,0)-AS6)*10000)</f>
        <v>6.9651099124379279E-10</v>
      </c>
    </row>
    <row r="7" spans="1:46" x14ac:dyDescent="0.25">
      <c r="A7" s="129">
        <v>2</v>
      </c>
      <c r="B7" s="178">
        <f ca="1">IF(NOW(),_xll.meDateFromTenor(COB,$C7,$P7,$Q7))</f>
        <v>42423</v>
      </c>
      <c r="C7" s="130" t="s">
        <v>203</v>
      </c>
      <c r="D7" s="131" t="s">
        <v>17</v>
      </c>
      <c r="E7" s="133" t="s">
        <v>204</v>
      </c>
      <c r="F7" s="133" t="s">
        <v>47</v>
      </c>
      <c r="G7" s="133">
        <v>0.01</v>
      </c>
      <c r="H7" s="133">
        <v>0</v>
      </c>
      <c r="I7" s="166" t="s">
        <v>205</v>
      </c>
      <c r="J7" s="131">
        <v>1000000</v>
      </c>
      <c r="K7" s="132" t="s">
        <v>194</v>
      </c>
      <c r="L7" s="178">
        <f t="shared" ref="L7:L25" ca="1" si="9">B7</f>
        <v>42423</v>
      </c>
      <c r="M7" s="169" t="str">
        <f t="shared" ref="M7:M25" si="10">F7</f>
        <v>2Y</v>
      </c>
      <c r="N7" s="119" t="s">
        <v>26</v>
      </c>
      <c r="O7" s="119" t="s">
        <v>20</v>
      </c>
      <c r="P7" s="119" t="s">
        <v>22</v>
      </c>
      <c r="Q7" s="119" t="s">
        <v>2</v>
      </c>
      <c r="R7" s="134"/>
      <c r="S7" s="134"/>
      <c r="T7" s="135">
        <f t="shared" ca="1" si="0"/>
        <v>23</v>
      </c>
      <c r="U7" s="134" t="s">
        <v>195</v>
      </c>
      <c r="V7" s="134" t="s">
        <v>196</v>
      </c>
      <c r="W7" s="135" t="str">
        <f t="shared" si="1"/>
        <v>EUR6ML</v>
      </c>
      <c r="X7" s="135" t="str">
        <f t="shared" si="2"/>
        <v>Semi-Annual</v>
      </c>
      <c r="Y7" s="134" t="s">
        <v>6</v>
      </c>
      <c r="Z7" s="134" t="s">
        <v>22</v>
      </c>
      <c r="AA7" s="134" t="s">
        <v>2</v>
      </c>
      <c r="AB7" s="134"/>
      <c r="AC7" s="134"/>
      <c r="AD7" s="135">
        <f t="shared" ca="1" si="3"/>
        <v>23</v>
      </c>
      <c r="AE7" s="134" t="s">
        <v>195</v>
      </c>
      <c r="AF7" s="136" t="s">
        <v>37</v>
      </c>
      <c r="AG7" s="137"/>
      <c r="AH7" s="134" t="s">
        <v>195</v>
      </c>
      <c r="AI7" s="134" t="s">
        <v>196</v>
      </c>
      <c r="AJ7" s="135" t="str">
        <f t="shared" si="4"/>
        <v>EURYC</v>
      </c>
      <c r="AK7" s="135" t="str">
        <f t="shared" si="5"/>
        <v>EURDF_NOCSA</v>
      </c>
      <c r="AL7" s="173">
        <f t="shared" si="6"/>
        <v>0</v>
      </c>
      <c r="AM7" s="179">
        <f t="shared" si="7"/>
        <v>0.01</v>
      </c>
      <c r="AN7" s="185">
        <f ca="1">IF(NOW(),_xll.meProductSwapParRate(_xll.meUtilityLVBFromKeysValues($L$5:$AL$5,$L7:$AL7)))</f>
        <v>-1.3299999999303489E-3</v>
      </c>
      <c r="AO7" s="174">
        <f ca="1">IF(NOW(),_xll.meProductSwapPV(_xll.meUtilityLVBFromKeysValues($J$5:$AM$5,$J7:$AM7)))</f>
        <v>-22790.510195972023</v>
      </c>
      <c r="AP7" s="175">
        <f ca="1">IF(NOW(),_xll.meProductSwapPV01(_xll.meUtilityLVBFromKeysValues($J$5:$AK$5,$J7:$AK7)))</f>
        <v>201.15189934785636</v>
      </c>
      <c r="AQ7" t="s">
        <v>4</v>
      </c>
      <c r="AR7" s="146" t="str">
        <v>3Y</v>
      </c>
      <c r="AS7" s="148">
        <v>-8.699999999999999E-4</v>
      </c>
      <c r="AT7" s="153">
        <f t="shared" ca="1" si="8"/>
        <v>2.3835372694666623E-8</v>
      </c>
    </row>
    <row r="8" spans="1:46" x14ac:dyDescent="0.25">
      <c r="A8" s="129">
        <v>3</v>
      </c>
      <c r="B8" s="178">
        <f ca="1">IF(NOW(),_xll.meDateFromTenor(COB,$C8,$P8,$Q8))</f>
        <v>42423</v>
      </c>
      <c r="C8" s="130" t="s">
        <v>203</v>
      </c>
      <c r="D8" s="131" t="s">
        <v>17</v>
      </c>
      <c r="E8" s="133" t="s">
        <v>204</v>
      </c>
      <c r="F8" s="133" t="s">
        <v>43</v>
      </c>
      <c r="G8" s="133">
        <v>0.01</v>
      </c>
      <c r="H8" s="133">
        <v>0</v>
      </c>
      <c r="I8" s="166" t="s">
        <v>205</v>
      </c>
      <c r="J8" s="131">
        <v>1000000</v>
      </c>
      <c r="K8" s="132" t="s">
        <v>194</v>
      </c>
      <c r="L8" s="178">
        <f t="shared" ca="1" si="9"/>
        <v>42423</v>
      </c>
      <c r="M8" s="169" t="str">
        <f t="shared" si="10"/>
        <v>3Y</v>
      </c>
      <c r="N8" s="119" t="s">
        <v>26</v>
      </c>
      <c r="O8" s="119" t="s">
        <v>20</v>
      </c>
      <c r="P8" s="119" t="s">
        <v>22</v>
      </c>
      <c r="Q8" s="119" t="s">
        <v>2</v>
      </c>
      <c r="R8" s="134"/>
      <c r="S8" s="134"/>
      <c r="T8" s="135">
        <f t="shared" ca="1" si="0"/>
        <v>23</v>
      </c>
      <c r="U8" s="134" t="s">
        <v>195</v>
      </c>
      <c r="V8" s="134" t="s">
        <v>196</v>
      </c>
      <c r="W8" s="135" t="str">
        <f t="shared" si="1"/>
        <v>EUR6ML</v>
      </c>
      <c r="X8" s="135" t="str">
        <f t="shared" si="2"/>
        <v>Semi-Annual</v>
      </c>
      <c r="Y8" s="134" t="s">
        <v>6</v>
      </c>
      <c r="Z8" s="134" t="s">
        <v>22</v>
      </c>
      <c r="AA8" s="134" t="s">
        <v>2</v>
      </c>
      <c r="AB8" s="134"/>
      <c r="AC8" s="134"/>
      <c r="AD8" s="135">
        <f t="shared" ca="1" si="3"/>
        <v>23</v>
      </c>
      <c r="AE8" s="134" t="s">
        <v>195</v>
      </c>
      <c r="AF8" s="136" t="s">
        <v>37</v>
      </c>
      <c r="AG8" s="137"/>
      <c r="AH8" s="134" t="s">
        <v>195</v>
      </c>
      <c r="AI8" s="134" t="s">
        <v>196</v>
      </c>
      <c r="AJ8" s="135" t="str">
        <f t="shared" si="4"/>
        <v>EURYC</v>
      </c>
      <c r="AK8" s="135" t="str">
        <f t="shared" si="5"/>
        <v>EURDF_NOCSA</v>
      </c>
      <c r="AL8" s="173">
        <f t="shared" si="6"/>
        <v>0</v>
      </c>
      <c r="AM8" s="179">
        <f t="shared" si="7"/>
        <v>0.01</v>
      </c>
      <c r="AN8" s="185">
        <f ca="1">IF(NOW(),_xll.meProductSwapParRate(_xll.meUtilityLVBFromKeysValues($L$5:$AL$5,$L8:$AL8)))</f>
        <v>-8.6999999761646263E-4</v>
      </c>
      <c r="AO8" s="174">
        <f ca="1">IF(NOW(),_xll.meProductSwapPV(_xll.meUtilityLVBFromKeysValues($J$5:$AM$5,$J8:$AM8)))</f>
        <v>-32910.316560208732</v>
      </c>
      <c r="AP8" s="175">
        <f ca="1">IF(NOW(),_xll.meProductSwapPV01(_xll.meUtilityLVBFromKeysValues($J$5:$AK$5,$J8:$AK8)))</f>
        <v>302.76280190823542</v>
      </c>
      <c r="AQ8" t="s">
        <v>4</v>
      </c>
      <c r="AR8" s="146" t="str">
        <v>4Y</v>
      </c>
      <c r="AS8" s="148">
        <v>-8.0000000000000007E-5</v>
      </c>
      <c r="AT8" s="153">
        <f t="shared" ca="1" si="8"/>
        <v>2.6794395695250994E-8</v>
      </c>
    </row>
    <row r="9" spans="1:46" x14ac:dyDescent="0.25">
      <c r="A9" s="129">
        <v>4</v>
      </c>
      <c r="B9" s="178">
        <f ca="1">IF(NOW(),_xll.meDateFromTenor(COB,$C9,$P9,$Q9))</f>
        <v>42423</v>
      </c>
      <c r="C9" s="138" t="s">
        <v>203</v>
      </c>
      <c r="D9" s="131" t="s">
        <v>17</v>
      </c>
      <c r="E9" s="133" t="s">
        <v>204</v>
      </c>
      <c r="F9" s="133" t="s">
        <v>50</v>
      </c>
      <c r="G9" s="133">
        <v>0.01</v>
      </c>
      <c r="H9" s="133">
        <v>0</v>
      </c>
      <c r="I9" s="166" t="s">
        <v>205</v>
      </c>
      <c r="J9" s="131">
        <v>1000000</v>
      </c>
      <c r="K9" s="132" t="s">
        <v>194</v>
      </c>
      <c r="L9" s="178">
        <f t="shared" ca="1" si="9"/>
        <v>42423</v>
      </c>
      <c r="M9" s="169" t="str">
        <f t="shared" si="10"/>
        <v>4Y</v>
      </c>
      <c r="N9" s="134" t="s">
        <v>26</v>
      </c>
      <c r="O9" s="134" t="s">
        <v>20</v>
      </c>
      <c r="P9" s="134" t="s">
        <v>22</v>
      </c>
      <c r="Q9" s="134" t="s">
        <v>2</v>
      </c>
      <c r="R9" s="134"/>
      <c r="S9" s="134"/>
      <c r="T9" s="135">
        <f t="shared" ca="1" si="0"/>
        <v>23</v>
      </c>
      <c r="U9" s="134" t="s">
        <v>195</v>
      </c>
      <c r="V9" s="134" t="s">
        <v>196</v>
      </c>
      <c r="W9" s="135" t="str">
        <f t="shared" si="1"/>
        <v>EUR6ML</v>
      </c>
      <c r="X9" s="135" t="str">
        <f t="shared" si="2"/>
        <v>Semi-Annual</v>
      </c>
      <c r="Y9" s="134" t="s">
        <v>6</v>
      </c>
      <c r="Z9" s="134" t="s">
        <v>22</v>
      </c>
      <c r="AA9" s="134" t="s">
        <v>2</v>
      </c>
      <c r="AB9" s="134"/>
      <c r="AC9" s="134"/>
      <c r="AD9" s="135">
        <f t="shared" ca="1" si="3"/>
        <v>23</v>
      </c>
      <c r="AE9" s="134" t="s">
        <v>195</v>
      </c>
      <c r="AF9" s="136" t="s">
        <v>37</v>
      </c>
      <c r="AG9" s="137"/>
      <c r="AH9" s="134" t="s">
        <v>195</v>
      </c>
      <c r="AI9" s="134" t="s">
        <v>196</v>
      </c>
      <c r="AJ9" s="135" t="str">
        <f t="shared" si="4"/>
        <v>EURYC</v>
      </c>
      <c r="AK9" s="135" t="str">
        <f t="shared" si="5"/>
        <v>EURDF_NOCSA</v>
      </c>
      <c r="AL9" s="173">
        <f t="shared" si="6"/>
        <v>0</v>
      </c>
      <c r="AM9" s="180">
        <f t="shared" si="7"/>
        <v>0.01</v>
      </c>
      <c r="AN9" s="185">
        <f ca="1">IF(NOW(),_xll.meProductSwapParRate(_xll.meUtilityLVBFromKeysValues($L$5:$AL$5,$L9:$AL9)))</f>
        <v>-7.9999997320560437E-5</v>
      </c>
      <c r="AO9" s="174">
        <f ca="1">IF(NOW(),_xll.meProductSwapPV(_xll.meUtilityLVBFromKeysValues($J$5:$AM$5,$J9:$AM9)))</f>
        <v>-40681.837261517365</v>
      </c>
      <c r="AP9" s="175">
        <f ca="1">IF(NOW(),_xll.meProductSwapPV01(_xll.meUtilityLVBFromKeysValues($J$5:$AK$5,$J9:$AK9)))</f>
        <v>403.58965547947724</v>
      </c>
      <c r="AQ9" t="s">
        <v>4</v>
      </c>
      <c r="AR9" s="146" t="str">
        <v>5Y</v>
      </c>
      <c r="AS9" s="148">
        <v>9.2999999999999995E-4</v>
      </c>
      <c r="AT9" s="153">
        <f t="shared" ca="1" si="8"/>
        <v>8.7222104538930978E-8</v>
      </c>
    </row>
    <row r="10" spans="1:46" x14ac:dyDescent="0.25">
      <c r="A10" s="129">
        <v>5</v>
      </c>
      <c r="B10" s="178">
        <f ca="1">IF(NOW(),_xll.meDateFromTenor(COB,$C10,$P10,$Q10))</f>
        <v>42423</v>
      </c>
      <c r="C10" s="138" t="s">
        <v>203</v>
      </c>
      <c r="D10" s="131" t="s">
        <v>17</v>
      </c>
      <c r="E10" s="133" t="s">
        <v>204</v>
      </c>
      <c r="F10" s="133" t="s">
        <v>52</v>
      </c>
      <c r="G10" s="133">
        <v>0.01</v>
      </c>
      <c r="H10" s="133">
        <v>0</v>
      </c>
      <c r="I10" s="166" t="s">
        <v>205</v>
      </c>
      <c r="J10" s="131">
        <v>1000000</v>
      </c>
      <c r="K10" s="132" t="s">
        <v>194</v>
      </c>
      <c r="L10" s="178">
        <f t="shared" ca="1" si="9"/>
        <v>42423</v>
      </c>
      <c r="M10" s="169" t="str">
        <f t="shared" si="10"/>
        <v>5Y</v>
      </c>
      <c r="N10" s="134" t="s">
        <v>26</v>
      </c>
      <c r="O10" s="134" t="s">
        <v>20</v>
      </c>
      <c r="P10" s="134" t="s">
        <v>22</v>
      </c>
      <c r="Q10" s="134" t="s">
        <v>2</v>
      </c>
      <c r="R10" s="134"/>
      <c r="S10" s="134"/>
      <c r="T10" s="135">
        <f t="shared" ca="1" si="0"/>
        <v>23</v>
      </c>
      <c r="U10" s="134" t="s">
        <v>195</v>
      </c>
      <c r="V10" s="134" t="s">
        <v>196</v>
      </c>
      <c r="W10" s="135" t="str">
        <f t="shared" si="1"/>
        <v>EUR6ML</v>
      </c>
      <c r="X10" s="135" t="str">
        <f t="shared" si="2"/>
        <v>Semi-Annual</v>
      </c>
      <c r="Y10" s="134" t="s">
        <v>6</v>
      </c>
      <c r="Z10" s="134" t="s">
        <v>22</v>
      </c>
      <c r="AA10" s="134" t="s">
        <v>2</v>
      </c>
      <c r="AB10" s="134"/>
      <c r="AC10" s="134"/>
      <c r="AD10" s="135">
        <f t="shared" ca="1" si="3"/>
        <v>23</v>
      </c>
      <c r="AE10" s="134" t="s">
        <v>195</v>
      </c>
      <c r="AF10" s="136" t="s">
        <v>37</v>
      </c>
      <c r="AG10" s="137"/>
      <c r="AH10" s="134" t="s">
        <v>195</v>
      </c>
      <c r="AI10" s="134" t="s">
        <v>196</v>
      </c>
      <c r="AJ10" s="135" t="str">
        <f t="shared" si="4"/>
        <v>EURYC</v>
      </c>
      <c r="AK10" s="135" t="str">
        <f t="shared" si="5"/>
        <v>EURDF_NOCSA</v>
      </c>
      <c r="AL10" s="173">
        <f t="shared" si="6"/>
        <v>0</v>
      </c>
      <c r="AM10" s="180">
        <f t="shared" si="7"/>
        <v>0.01</v>
      </c>
      <c r="AN10" s="185">
        <f ca="1">IF(NOW(),_xll.meProductSwapParRate(_xll.meUtilityLVBFromKeysValues($L$5:$AL$5,$L10:$AL10)))</f>
        <v>9.300000087222104E-4</v>
      </c>
      <c r="AO10" s="174">
        <f ca="1">IF(NOW(),_xll.meProductSwapPV(_xll.meUtilityLVBFromKeysValues($J$5:$AM$5,$J10:$AM10)))</f>
        <v>-45731.777008922945</v>
      </c>
      <c r="AP10" s="175">
        <f ca="1">IF(NOW(),_xll.meProductSwapPV01(_xll.meUtilityLVBFromKeysValues($J$5:$AK$5,$J10:$AK10)))</f>
        <v>504.20922880817125</v>
      </c>
      <c r="AQ10" t="s">
        <v>4</v>
      </c>
      <c r="AR10" s="146" t="str">
        <v>6Y</v>
      </c>
      <c r="AS10" s="148">
        <v>2.0200000000000001E-3</v>
      </c>
      <c r="AT10" s="153">
        <f t="shared" ca="1" si="8"/>
        <v>-1.5287043332590233E-7</v>
      </c>
    </row>
    <row r="11" spans="1:46" x14ac:dyDescent="0.25">
      <c r="A11" s="129">
        <v>6</v>
      </c>
      <c r="B11" s="178">
        <f ca="1">IF(NOW(),_xll.meDateFromTenor(COB,$C11,$P11,$Q11))</f>
        <v>42423</v>
      </c>
      <c r="C11" s="138" t="s">
        <v>203</v>
      </c>
      <c r="D11" s="131" t="s">
        <v>17</v>
      </c>
      <c r="E11" s="133" t="s">
        <v>204</v>
      </c>
      <c r="F11" s="133" t="s">
        <v>54</v>
      </c>
      <c r="G11" s="133">
        <v>0.01</v>
      </c>
      <c r="H11" s="133">
        <v>0</v>
      </c>
      <c r="I11" s="166" t="s">
        <v>205</v>
      </c>
      <c r="J11" s="131">
        <v>1000000</v>
      </c>
      <c r="K11" s="132" t="s">
        <v>194</v>
      </c>
      <c r="L11" s="178">
        <f t="shared" ca="1" si="9"/>
        <v>42423</v>
      </c>
      <c r="M11" s="169" t="str">
        <f t="shared" si="10"/>
        <v>6Y</v>
      </c>
      <c r="N11" s="134" t="s">
        <v>26</v>
      </c>
      <c r="O11" s="134" t="s">
        <v>20</v>
      </c>
      <c r="P11" s="134" t="s">
        <v>22</v>
      </c>
      <c r="Q11" s="134" t="s">
        <v>2</v>
      </c>
      <c r="R11" s="134"/>
      <c r="S11" s="134"/>
      <c r="T11" s="135">
        <f t="shared" ca="1" si="0"/>
        <v>23</v>
      </c>
      <c r="U11" s="134" t="s">
        <v>195</v>
      </c>
      <c r="V11" s="134" t="s">
        <v>196</v>
      </c>
      <c r="W11" s="135" t="str">
        <f t="shared" si="1"/>
        <v>EUR6ML</v>
      </c>
      <c r="X11" s="135" t="str">
        <f t="shared" si="2"/>
        <v>Semi-Annual</v>
      </c>
      <c r="Y11" s="134" t="s">
        <v>6</v>
      </c>
      <c r="Z11" s="134" t="s">
        <v>22</v>
      </c>
      <c r="AA11" s="134" t="s">
        <v>2</v>
      </c>
      <c r="AB11" s="134"/>
      <c r="AC11" s="134"/>
      <c r="AD11" s="135">
        <f t="shared" ca="1" si="3"/>
        <v>23</v>
      </c>
      <c r="AE11" s="134" t="s">
        <v>195</v>
      </c>
      <c r="AF11" s="136" t="s">
        <v>37</v>
      </c>
      <c r="AG11" s="137"/>
      <c r="AH11" s="134" t="s">
        <v>195</v>
      </c>
      <c r="AI11" s="134" t="s">
        <v>196</v>
      </c>
      <c r="AJ11" s="135" t="str">
        <f t="shared" si="4"/>
        <v>EURYC</v>
      </c>
      <c r="AK11" s="135" t="str">
        <f t="shared" si="5"/>
        <v>EURDF_NOCSA</v>
      </c>
      <c r="AL11" s="173">
        <f t="shared" si="6"/>
        <v>0</v>
      </c>
      <c r="AM11" s="180">
        <f t="shared" si="7"/>
        <v>0.01</v>
      </c>
      <c r="AN11" s="185">
        <f ca="1">IF(NOW(),_xll.meProductSwapParRate(_xll.meUtilityLVBFromKeysValues($L$5:$AL$5,$L11:$AL11)))</f>
        <v>2.0199999847129568E-3</v>
      </c>
      <c r="AO11" s="174">
        <f ca="1">IF(NOW(),_xll.meProductSwapPV(_xll.meUtilityLVBFromKeysValues($J$5:$AM$5,$J11:$AM11)))</f>
        <v>-48247.450430491597</v>
      </c>
      <c r="AP11" s="175">
        <f ca="1">IF(NOW(),_xll.meProductSwapPV01(_xll.meUtilityLVBFromKeysValues($J$5:$AK$5,$J11:$AK11)))</f>
        <v>604.60464082788735</v>
      </c>
      <c r="AQ11" t="s">
        <v>4</v>
      </c>
      <c r="AR11" s="146" t="str">
        <v>7Y</v>
      </c>
      <c r="AS11" s="148">
        <v>3.2100000000000002E-3</v>
      </c>
      <c r="AT11" s="153">
        <f t="shared" ca="1" si="8"/>
        <v>8.7903712087111785E-8</v>
      </c>
    </row>
    <row r="12" spans="1:46" x14ac:dyDescent="0.25">
      <c r="A12" s="129">
        <v>7</v>
      </c>
      <c r="B12" s="178">
        <f ca="1">IF(NOW(),_xll.meDateFromTenor(COB,$C12,$P12,$Q12))</f>
        <v>42423</v>
      </c>
      <c r="C12" s="138" t="s">
        <v>203</v>
      </c>
      <c r="D12" s="131" t="s">
        <v>17</v>
      </c>
      <c r="E12" s="133" t="s">
        <v>204</v>
      </c>
      <c r="F12" s="133" t="s">
        <v>56</v>
      </c>
      <c r="G12" s="133">
        <v>0.01</v>
      </c>
      <c r="H12" s="133">
        <v>0</v>
      </c>
      <c r="I12" s="166" t="s">
        <v>205</v>
      </c>
      <c r="J12" s="131">
        <v>1000000</v>
      </c>
      <c r="K12" s="132" t="s">
        <v>194</v>
      </c>
      <c r="L12" s="178">
        <f t="shared" ca="1" si="9"/>
        <v>42423</v>
      </c>
      <c r="M12" s="169" t="str">
        <f t="shared" si="10"/>
        <v>7Y</v>
      </c>
      <c r="N12" s="134" t="s">
        <v>26</v>
      </c>
      <c r="O12" s="134" t="s">
        <v>20</v>
      </c>
      <c r="P12" s="134" t="s">
        <v>22</v>
      </c>
      <c r="Q12" s="134" t="s">
        <v>2</v>
      </c>
      <c r="R12" s="134"/>
      <c r="S12" s="134"/>
      <c r="T12" s="135">
        <f t="shared" ca="1" si="0"/>
        <v>23</v>
      </c>
      <c r="U12" s="134" t="s">
        <v>195</v>
      </c>
      <c r="V12" s="134" t="s">
        <v>196</v>
      </c>
      <c r="W12" s="135" t="str">
        <f t="shared" si="1"/>
        <v>EUR6ML</v>
      </c>
      <c r="X12" s="135" t="str">
        <f t="shared" si="2"/>
        <v>Semi-Annual</v>
      </c>
      <c r="Y12" s="134" t="s">
        <v>6</v>
      </c>
      <c r="Z12" s="134" t="s">
        <v>22</v>
      </c>
      <c r="AA12" s="134" t="s">
        <v>2</v>
      </c>
      <c r="AB12" s="134"/>
      <c r="AC12" s="134"/>
      <c r="AD12" s="135">
        <f t="shared" ca="1" si="3"/>
        <v>23</v>
      </c>
      <c r="AE12" s="134" t="s">
        <v>195</v>
      </c>
      <c r="AF12" s="136" t="s">
        <v>37</v>
      </c>
      <c r="AG12" s="137"/>
      <c r="AH12" s="134" t="s">
        <v>195</v>
      </c>
      <c r="AI12" s="134" t="s">
        <v>196</v>
      </c>
      <c r="AJ12" s="135" t="str">
        <f t="shared" si="4"/>
        <v>EURYC</v>
      </c>
      <c r="AK12" s="135" t="str">
        <f t="shared" si="5"/>
        <v>EURDF_NOCSA</v>
      </c>
      <c r="AL12" s="173">
        <f t="shared" si="6"/>
        <v>0</v>
      </c>
      <c r="AM12" s="180">
        <f t="shared" si="7"/>
        <v>0.01</v>
      </c>
      <c r="AN12" s="185">
        <f ca="1">IF(NOW(),_xll.meProductSwapParRate(_xll.meUtilityLVBFromKeysValues($L$5:$AL$5,$L12:$AL12)))</f>
        <v>3.2100000087903714E-3</v>
      </c>
      <c r="AO12" s="174">
        <f ca="1">IF(NOW(),_xll.meProductSwapPV(_xll.meUtilityLVBFromKeysValues($J$5:$AM$5,$J12:$AM12)))</f>
        <v>-47815.098586247266</v>
      </c>
      <c r="AP12" s="175">
        <f ca="1">IF(NOW(),_xll.meProductSwapPV01(_xll.meUtilityLVBFromKeysValues($J$5:$AK$5,$J12:$AK12)))</f>
        <v>704.19880188731906</v>
      </c>
      <c r="AQ12" t="s">
        <v>4</v>
      </c>
      <c r="AR12" s="146" t="str">
        <v>8Y</v>
      </c>
      <c r="AS12" s="148">
        <v>4.4400000000000004E-3</v>
      </c>
      <c r="AT12" s="153">
        <f t="shared" ca="1" si="8"/>
        <v>3.6820072164822637E-7</v>
      </c>
    </row>
    <row r="13" spans="1:46" x14ac:dyDescent="0.25">
      <c r="A13" s="129">
        <v>8</v>
      </c>
      <c r="B13" s="178">
        <f ca="1">IF(NOW(),_xll.meDateFromTenor(COB,$C13,$P13,$Q13))</f>
        <v>42423</v>
      </c>
      <c r="C13" s="138" t="s">
        <v>203</v>
      </c>
      <c r="D13" s="131" t="s">
        <v>17</v>
      </c>
      <c r="E13" s="133" t="s">
        <v>204</v>
      </c>
      <c r="F13" s="133" t="s">
        <v>58</v>
      </c>
      <c r="G13" s="133">
        <v>0.01</v>
      </c>
      <c r="H13" s="133">
        <v>0</v>
      </c>
      <c r="I13" s="166" t="s">
        <v>205</v>
      </c>
      <c r="J13" s="131">
        <v>1000000</v>
      </c>
      <c r="K13" s="132" t="s">
        <v>194</v>
      </c>
      <c r="L13" s="178">
        <f t="shared" ca="1" si="9"/>
        <v>42423</v>
      </c>
      <c r="M13" s="169" t="str">
        <f t="shared" si="10"/>
        <v>8Y</v>
      </c>
      <c r="N13" s="134" t="s">
        <v>26</v>
      </c>
      <c r="O13" s="134" t="s">
        <v>20</v>
      </c>
      <c r="P13" s="134" t="s">
        <v>22</v>
      </c>
      <c r="Q13" s="134" t="s">
        <v>2</v>
      </c>
      <c r="R13" s="134"/>
      <c r="S13" s="134"/>
      <c r="T13" s="135">
        <f t="shared" ca="1" si="0"/>
        <v>23</v>
      </c>
      <c r="U13" s="134" t="s">
        <v>195</v>
      </c>
      <c r="V13" s="134" t="s">
        <v>196</v>
      </c>
      <c r="W13" s="135" t="str">
        <f t="shared" si="1"/>
        <v>EUR6ML</v>
      </c>
      <c r="X13" s="135" t="str">
        <f t="shared" si="2"/>
        <v>Semi-Annual</v>
      </c>
      <c r="Y13" s="134" t="s">
        <v>6</v>
      </c>
      <c r="Z13" s="134" t="s">
        <v>22</v>
      </c>
      <c r="AA13" s="134" t="s">
        <v>2</v>
      </c>
      <c r="AB13" s="134"/>
      <c r="AC13" s="134"/>
      <c r="AD13" s="135">
        <f t="shared" ca="1" si="3"/>
        <v>23</v>
      </c>
      <c r="AE13" s="134" t="s">
        <v>195</v>
      </c>
      <c r="AF13" s="136" t="s">
        <v>37</v>
      </c>
      <c r="AG13" s="137"/>
      <c r="AH13" s="134" t="s">
        <v>195</v>
      </c>
      <c r="AI13" s="134" t="s">
        <v>196</v>
      </c>
      <c r="AJ13" s="135" t="str">
        <f t="shared" si="4"/>
        <v>EURYC</v>
      </c>
      <c r="AK13" s="135" t="str">
        <f t="shared" si="5"/>
        <v>EURDF_NOCSA</v>
      </c>
      <c r="AL13" s="173">
        <f t="shared" si="6"/>
        <v>0</v>
      </c>
      <c r="AM13" s="180">
        <f t="shared" si="7"/>
        <v>0.01</v>
      </c>
      <c r="AN13" s="185">
        <f ca="1">IF(NOW(),_xll.meProductSwapParRate(_xll.meUtilityLVBFromKeysValues($L$5:$AL$5,$L13:$AL13)))</f>
        <v>4.4400000368200725E-3</v>
      </c>
      <c r="AO13" s="174">
        <f ca="1">IF(NOW(),_xll.meProductSwapPV(_xll.meUtilityLVBFromKeysValues($J$5:$AM$5,$J13:$AM13)))</f>
        <v>-44630.600348045067</v>
      </c>
      <c r="AP13" s="175">
        <f ca="1">IF(NOW(),_xll.meProductSwapPV01(_xll.meUtilityLVBFromKeysValues($J$5:$AK$5,$J13:$AK13)))</f>
        <v>802.70864466911803</v>
      </c>
      <c r="AQ13" t="s">
        <v>4</v>
      </c>
      <c r="AR13" s="146" t="str">
        <v>9Y</v>
      </c>
      <c r="AS13" s="148">
        <v>5.6100000000000004E-3</v>
      </c>
      <c r="AT13" s="153">
        <f t="shared" ca="1" si="8"/>
        <v>1.5393982269462647E-6</v>
      </c>
    </row>
    <row r="14" spans="1:46" x14ac:dyDescent="0.25">
      <c r="A14" s="129">
        <v>9</v>
      </c>
      <c r="B14" s="178">
        <f ca="1">IF(NOW(),_xll.meDateFromTenor(COB,$C14,$P14,$Q14))</f>
        <v>42423</v>
      </c>
      <c r="C14" s="138" t="s">
        <v>203</v>
      </c>
      <c r="D14" s="131" t="s">
        <v>17</v>
      </c>
      <c r="E14" s="133" t="s">
        <v>204</v>
      </c>
      <c r="F14" s="133" t="s">
        <v>60</v>
      </c>
      <c r="G14" s="133">
        <v>0.01</v>
      </c>
      <c r="H14" s="133">
        <v>0</v>
      </c>
      <c r="I14" s="166" t="s">
        <v>205</v>
      </c>
      <c r="J14" s="131">
        <v>1000000</v>
      </c>
      <c r="K14" s="132" t="s">
        <v>194</v>
      </c>
      <c r="L14" s="178">
        <f t="shared" ca="1" si="9"/>
        <v>42423</v>
      </c>
      <c r="M14" s="169" t="str">
        <f t="shared" si="10"/>
        <v>9Y</v>
      </c>
      <c r="N14" s="134" t="s">
        <v>26</v>
      </c>
      <c r="O14" s="134" t="s">
        <v>20</v>
      </c>
      <c r="P14" s="134" t="s">
        <v>22</v>
      </c>
      <c r="Q14" s="134" t="s">
        <v>2</v>
      </c>
      <c r="R14" s="134"/>
      <c r="S14" s="134"/>
      <c r="T14" s="135">
        <f t="shared" ca="1" si="0"/>
        <v>23</v>
      </c>
      <c r="U14" s="134" t="s">
        <v>195</v>
      </c>
      <c r="V14" s="134" t="s">
        <v>196</v>
      </c>
      <c r="W14" s="135" t="str">
        <f t="shared" si="1"/>
        <v>EUR6ML</v>
      </c>
      <c r="X14" s="135" t="str">
        <f t="shared" si="2"/>
        <v>Semi-Annual</v>
      </c>
      <c r="Y14" s="134" t="s">
        <v>6</v>
      </c>
      <c r="Z14" s="134" t="s">
        <v>22</v>
      </c>
      <c r="AA14" s="134" t="s">
        <v>2</v>
      </c>
      <c r="AB14" s="134"/>
      <c r="AC14" s="134"/>
      <c r="AD14" s="135">
        <f t="shared" ca="1" si="3"/>
        <v>23</v>
      </c>
      <c r="AE14" s="134" t="s">
        <v>195</v>
      </c>
      <c r="AF14" s="136" t="s">
        <v>37</v>
      </c>
      <c r="AG14" s="137"/>
      <c r="AH14" s="134" t="s">
        <v>195</v>
      </c>
      <c r="AI14" s="134" t="s">
        <v>196</v>
      </c>
      <c r="AJ14" s="135" t="str">
        <f t="shared" si="4"/>
        <v>EURYC</v>
      </c>
      <c r="AK14" s="135" t="str">
        <f t="shared" si="5"/>
        <v>EURDF_NOCSA</v>
      </c>
      <c r="AL14" s="173">
        <f t="shared" si="6"/>
        <v>0</v>
      </c>
      <c r="AM14" s="180">
        <f t="shared" si="7"/>
        <v>0.01</v>
      </c>
      <c r="AN14" s="185">
        <f ca="1">IF(NOW(),_xll.meProductSwapParRate(_xll.meUtilityLVBFromKeysValues($L$5:$AL$5,$L14:$AL14)))</f>
        <v>5.6100001539398231E-3</v>
      </c>
      <c r="AO14" s="174">
        <f ca="1">IF(NOW(),_xll.meProductSwapPV(_xll.meUtilityLVBFromKeysValues($J$5:$AM$5,$J14:$AM14)))</f>
        <v>-39518.017840550077</v>
      </c>
      <c r="AP14" s="175">
        <f ca="1">IF(NOW(),_xll.meProductSwapPV01(_xll.meUtilityLVBFromKeysValues($J$5:$AK$5,$J14:$AK14)))</f>
        <v>900.18267030272636</v>
      </c>
      <c r="AQ14" t="s">
        <v>4</v>
      </c>
      <c r="AR14" s="146" t="str">
        <v>10Y</v>
      </c>
      <c r="AS14" s="148">
        <v>6.6700000000000006E-3</v>
      </c>
      <c r="AT14" s="153">
        <f t="shared" ca="1" si="8"/>
        <v>1.0240142674783348E-6</v>
      </c>
    </row>
    <row r="15" spans="1:46" x14ac:dyDescent="0.25">
      <c r="A15" s="129">
        <v>10</v>
      </c>
      <c r="B15" s="178">
        <f ca="1">IF(NOW(),_xll.meDateFromTenor(COB,$C15,$P15,$Q15))</f>
        <v>42423</v>
      </c>
      <c r="C15" s="138" t="s">
        <v>203</v>
      </c>
      <c r="D15" s="131" t="s">
        <v>17</v>
      </c>
      <c r="E15" s="133" t="s">
        <v>204</v>
      </c>
      <c r="F15" s="133" t="s">
        <v>61</v>
      </c>
      <c r="G15" s="133">
        <v>0.01</v>
      </c>
      <c r="H15" s="133">
        <v>0</v>
      </c>
      <c r="I15" s="166" t="s">
        <v>205</v>
      </c>
      <c r="J15" s="131">
        <v>1000000</v>
      </c>
      <c r="K15" s="132" t="s">
        <v>194</v>
      </c>
      <c r="L15" s="178">
        <f t="shared" ca="1" si="9"/>
        <v>42423</v>
      </c>
      <c r="M15" s="169" t="str">
        <f t="shared" si="10"/>
        <v>10Y</v>
      </c>
      <c r="N15" s="134" t="s">
        <v>26</v>
      </c>
      <c r="O15" s="134" t="s">
        <v>20</v>
      </c>
      <c r="P15" s="134" t="s">
        <v>22</v>
      </c>
      <c r="Q15" s="134" t="s">
        <v>2</v>
      </c>
      <c r="R15" s="134"/>
      <c r="S15" s="134"/>
      <c r="T15" s="135">
        <f t="shared" ca="1" si="0"/>
        <v>23</v>
      </c>
      <c r="U15" s="134" t="s">
        <v>195</v>
      </c>
      <c r="V15" s="134" t="s">
        <v>196</v>
      </c>
      <c r="W15" s="135" t="str">
        <f t="shared" si="1"/>
        <v>EUR6ML</v>
      </c>
      <c r="X15" s="135" t="str">
        <f t="shared" si="2"/>
        <v>Semi-Annual</v>
      </c>
      <c r="Y15" s="134" t="s">
        <v>6</v>
      </c>
      <c r="Z15" s="134" t="s">
        <v>22</v>
      </c>
      <c r="AA15" s="134" t="s">
        <v>2</v>
      </c>
      <c r="AB15" s="134"/>
      <c r="AC15" s="134"/>
      <c r="AD15" s="135">
        <f t="shared" ca="1" si="3"/>
        <v>23</v>
      </c>
      <c r="AE15" s="134" t="s">
        <v>195</v>
      </c>
      <c r="AF15" s="136" t="s">
        <v>37</v>
      </c>
      <c r="AG15" s="137"/>
      <c r="AH15" s="134" t="s">
        <v>195</v>
      </c>
      <c r="AI15" s="134" t="s">
        <v>196</v>
      </c>
      <c r="AJ15" s="135" t="str">
        <f t="shared" si="4"/>
        <v>EURYC</v>
      </c>
      <c r="AK15" s="135" t="str">
        <f t="shared" si="5"/>
        <v>EURDF_NOCSA</v>
      </c>
      <c r="AL15" s="173">
        <f t="shared" si="6"/>
        <v>0</v>
      </c>
      <c r="AM15" s="180">
        <f t="shared" si="7"/>
        <v>0.01</v>
      </c>
      <c r="AN15" s="185">
        <f ca="1">IF(NOW(),_xll.meProductSwapParRate(_xll.meUtilityLVBFromKeysValues($L$5:$AL$5,$L15:$AL15)))</f>
        <v>6.6700001024014273E-3</v>
      </c>
      <c r="AO15" s="174">
        <f ca="1">IF(NOW(),_xll.meProductSwapPV(_xll.meUtilityLVBFromKeysValues($J$5:$AM$5,$J15:$AM15)))</f>
        <v>-33156.434370422096</v>
      </c>
      <c r="AP15" s="175">
        <f ca="1">IF(NOW(),_xll.meProductSwapPV01(_xll.meUtilityLVBFromKeysValues($J$5:$AK$5,$J15:$AK15)))</f>
        <v>995.6887504510986</v>
      </c>
      <c r="AQ15" t="s">
        <v>4</v>
      </c>
      <c r="AR15" s="146" t="str">
        <v>11Y</v>
      </c>
      <c r="AS15" s="148">
        <v>7.6300000000000005E-3</v>
      </c>
      <c r="AT15" s="153">
        <f t="shared" ca="1" si="8"/>
        <v>4.0424646702980072E-6</v>
      </c>
    </row>
    <row r="16" spans="1:46" x14ac:dyDescent="0.25">
      <c r="A16" s="129">
        <v>11</v>
      </c>
      <c r="B16" s="178">
        <f ca="1">IF(NOW(),_xll.meDateFromTenor(COB,$C16,$P16,$Q16))</f>
        <v>42423</v>
      </c>
      <c r="C16" s="138" t="s">
        <v>203</v>
      </c>
      <c r="D16" s="131" t="s">
        <v>17</v>
      </c>
      <c r="E16" s="133" t="s">
        <v>204</v>
      </c>
      <c r="F16" s="133" t="s">
        <v>62</v>
      </c>
      <c r="G16" s="133">
        <v>0.01</v>
      </c>
      <c r="H16" s="133">
        <v>0</v>
      </c>
      <c r="I16" s="166" t="s">
        <v>205</v>
      </c>
      <c r="J16" s="131">
        <v>1000000</v>
      </c>
      <c r="K16" s="132" t="s">
        <v>194</v>
      </c>
      <c r="L16" s="178">
        <f t="shared" ca="1" si="9"/>
        <v>42423</v>
      </c>
      <c r="M16" s="169" t="str">
        <f t="shared" si="10"/>
        <v>11Y</v>
      </c>
      <c r="N16" s="134" t="s">
        <v>26</v>
      </c>
      <c r="O16" s="134" t="s">
        <v>20</v>
      </c>
      <c r="P16" s="134" t="s">
        <v>22</v>
      </c>
      <c r="Q16" s="134" t="s">
        <v>2</v>
      </c>
      <c r="R16" s="134"/>
      <c r="S16" s="134"/>
      <c r="T16" s="135">
        <f t="shared" ca="1" si="0"/>
        <v>23</v>
      </c>
      <c r="U16" s="134" t="s">
        <v>195</v>
      </c>
      <c r="V16" s="134" t="s">
        <v>196</v>
      </c>
      <c r="W16" s="135" t="str">
        <f t="shared" si="1"/>
        <v>EUR6ML</v>
      </c>
      <c r="X16" s="135" t="str">
        <f t="shared" si="2"/>
        <v>Semi-Annual</v>
      </c>
      <c r="Y16" s="134" t="s">
        <v>6</v>
      </c>
      <c r="Z16" s="134" t="s">
        <v>22</v>
      </c>
      <c r="AA16" s="134" t="s">
        <v>2</v>
      </c>
      <c r="AB16" s="134"/>
      <c r="AC16" s="134"/>
      <c r="AD16" s="135">
        <f t="shared" ca="1" si="3"/>
        <v>23</v>
      </c>
      <c r="AE16" s="134" t="s">
        <v>195</v>
      </c>
      <c r="AF16" s="136" t="s">
        <v>37</v>
      </c>
      <c r="AG16" s="137"/>
      <c r="AH16" s="134" t="s">
        <v>195</v>
      </c>
      <c r="AI16" s="134" t="s">
        <v>196</v>
      </c>
      <c r="AJ16" s="135" t="str">
        <f t="shared" si="4"/>
        <v>EURYC</v>
      </c>
      <c r="AK16" s="135" t="str">
        <f t="shared" si="5"/>
        <v>EURDF_NOCSA</v>
      </c>
      <c r="AL16" s="173">
        <f t="shared" si="6"/>
        <v>0</v>
      </c>
      <c r="AM16" s="180">
        <f t="shared" si="7"/>
        <v>0.01</v>
      </c>
      <c r="AN16" s="185">
        <f ca="1">IF(NOW(),_xll.meProductSwapParRate(_xll.meUtilityLVBFromKeysValues($L$5:$AL$5,$L16:$AL16)))</f>
        <v>7.6300004042464675E-3</v>
      </c>
      <c r="AO16" s="174">
        <f ca="1">IF(NOW(),_xll.meProductSwapPV(_xll.meUtilityLVBFromKeysValues($J$5:$AM$5,$J16:$AM16)))</f>
        <v>-25831.526806661688</v>
      </c>
      <c r="AP16" s="175">
        <f ca="1">IF(NOW(),_xll.meProductSwapPV01(_xll.meUtilityLVBFromKeysValues($J$5:$AK$5,$J16:$AK16)))</f>
        <v>1089.9380258522215</v>
      </c>
      <c r="AQ16" t="s">
        <v>4</v>
      </c>
      <c r="AR16" s="146" t="str">
        <v>12Y</v>
      </c>
      <c r="AS16" s="148">
        <v>8.4700000000000001E-3</v>
      </c>
      <c r="AT16" s="153">
        <f t="shared" ca="1" si="8"/>
        <v>5.7269967934647781E-6</v>
      </c>
    </row>
    <row r="17" spans="1:46" x14ac:dyDescent="0.25">
      <c r="A17" s="129">
        <v>12</v>
      </c>
      <c r="B17" s="178">
        <f ca="1">IF(NOW(),_xll.meDateFromTenor(COB,$C17,$P17,$Q17))</f>
        <v>42423</v>
      </c>
      <c r="C17" s="138" t="s">
        <v>203</v>
      </c>
      <c r="D17" s="131" t="s">
        <v>17</v>
      </c>
      <c r="E17" s="133" t="s">
        <v>204</v>
      </c>
      <c r="F17" s="133" t="s">
        <v>63</v>
      </c>
      <c r="G17" s="133">
        <v>0.01</v>
      </c>
      <c r="H17" s="133">
        <v>0</v>
      </c>
      <c r="I17" s="166" t="s">
        <v>205</v>
      </c>
      <c r="J17" s="131">
        <v>1000000</v>
      </c>
      <c r="K17" s="132" t="s">
        <v>194</v>
      </c>
      <c r="L17" s="178">
        <f t="shared" ca="1" si="9"/>
        <v>42423</v>
      </c>
      <c r="M17" s="169" t="str">
        <f t="shared" si="10"/>
        <v>12Y</v>
      </c>
      <c r="N17" s="134" t="s">
        <v>26</v>
      </c>
      <c r="O17" s="134" t="s">
        <v>20</v>
      </c>
      <c r="P17" s="134" t="s">
        <v>22</v>
      </c>
      <c r="Q17" s="134" t="s">
        <v>2</v>
      </c>
      <c r="R17" s="134"/>
      <c r="S17" s="134"/>
      <c r="T17" s="135">
        <f t="shared" ca="1" si="0"/>
        <v>23</v>
      </c>
      <c r="U17" s="134" t="s">
        <v>195</v>
      </c>
      <c r="V17" s="134" t="s">
        <v>196</v>
      </c>
      <c r="W17" s="135" t="str">
        <f t="shared" si="1"/>
        <v>EUR6ML</v>
      </c>
      <c r="X17" s="135" t="str">
        <f t="shared" si="2"/>
        <v>Semi-Annual</v>
      </c>
      <c r="Y17" s="134" t="s">
        <v>6</v>
      </c>
      <c r="Z17" s="134" t="s">
        <v>22</v>
      </c>
      <c r="AA17" s="134" t="s">
        <v>2</v>
      </c>
      <c r="AB17" s="134"/>
      <c r="AC17" s="134"/>
      <c r="AD17" s="135">
        <f t="shared" ca="1" si="3"/>
        <v>23</v>
      </c>
      <c r="AE17" s="134" t="s">
        <v>195</v>
      </c>
      <c r="AF17" s="136" t="s">
        <v>37</v>
      </c>
      <c r="AG17" s="137"/>
      <c r="AH17" s="134" t="s">
        <v>195</v>
      </c>
      <c r="AI17" s="134" t="s">
        <v>196</v>
      </c>
      <c r="AJ17" s="135" t="str">
        <f t="shared" si="4"/>
        <v>EURYC</v>
      </c>
      <c r="AK17" s="135" t="str">
        <f t="shared" si="5"/>
        <v>EURDF_NOCSA</v>
      </c>
      <c r="AL17" s="173">
        <f t="shared" si="6"/>
        <v>0</v>
      </c>
      <c r="AM17" s="180">
        <f t="shared" si="7"/>
        <v>0.01</v>
      </c>
      <c r="AN17" s="185">
        <f ca="1">IF(NOW(),_xll.meProductSwapParRate(_xll.meUtilityLVBFromKeysValues($L$5:$AL$5,$L17:$AL17)))</f>
        <v>8.4700005726996794E-3</v>
      </c>
      <c r="AO17" s="174">
        <f ca="1">IF(NOW(),_xll.meProductSwapPV(_xll.meUtilityLVBFromKeysValues($J$5:$AM$5,$J17:$AM17)))</f>
        <v>-18094.290800118124</v>
      </c>
      <c r="AP17" s="175">
        <f ca="1">IF(NOW(),_xll.meProductSwapPV01(_xll.meUtilityLVBFromKeysValues($J$5:$AK$5,$J17:$AK17)))</f>
        <v>1182.633828304462</v>
      </c>
      <c r="AQ17" t="s">
        <v>4</v>
      </c>
      <c r="AR17" s="146" t="str">
        <v>15Y</v>
      </c>
      <c r="AS17" s="148">
        <v>1.03E-2</v>
      </c>
      <c r="AT17" s="153">
        <f t="shared" ca="1" si="8"/>
        <v>8.6164795611021194E-6</v>
      </c>
    </row>
    <row r="18" spans="1:46" x14ac:dyDescent="0.25">
      <c r="A18" s="129">
        <v>13</v>
      </c>
      <c r="B18" s="178">
        <f ca="1">IF(NOW(),_xll.meDateFromTenor(COB,$C18,$P18,$Q18))</f>
        <v>42423</v>
      </c>
      <c r="C18" s="138" t="s">
        <v>203</v>
      </c>
      <c r="D18" s="131" t="s">
        <v>17</v>
      </c>
      <c r="E18" s="133" t="s">
        <v>204</v>
      </c>
      <c r="F18" s="133" t="s">
        <v>206</v>
      </c>
      <c r="G18" s="133">
        <v>0.01</v>
      </c>
      <c r="H18" s="133">
        <v>0</v>
      </c>
      <c r="I18" s="166" t="s">
        <v>205</v>
      </c>
      <c r="J18" s="131">
        <v>1000000</v>
      </c>
      <c r="K18" s="132" t="s">
        <v>194</v>
      </c>
      <c r="L18" s="178">
        <f t="shared" ca="1" si="9"/>
        <v>42423</v>
      </c>
      <c r="M18" s="169" t="str">
        <f t="shared" si="10"/>
        <v>13Y</v>
      </c>
      <c r="N18" s="134" t="s">
        <v>26</v>
      </c>
      <c r="O18" s="134" t="s">
        <v>20</v>
      </c>
      <c r="P18" s="134" t="s">
        <v>22</v>
      </c>
      <c r="Q18" s="134" t="s">
        <v>2</v>
      </c>
      <c r="R18" s="134"/>
      <c r="S18" s="134"/>
      <c r="T18" s="135">
        <f t="shared" ca="1" si="0"/>
        <v>23</v>
      </c>
      <c r="U18" s="134" t="s">
        <v>195</v>
      </c>
      <c r="V18" s="134" t="s">
        <v>196</v>
      </c>
      <c r="W18" s="135" t="str">
        <f t="shared" si="1"/>
        <v>EUR6ML</v>
      </c>
      <c r="X18" s="135" t="str">
        <f t="shared" si="2"/>
        <v>Semi-Annual</v>
      </c>
      <c r="Y18" s="134" t="s">
        <v>6</v>
      </c>
      <c r="Z18" s="134" t="s">
        <v>22</v>
      </c>
      <c r="AA18" s="134" t="s">
        <v>2</v>
      </c>
      <c r="AB18" s="134"/>
      <c r="AC18" s="134"/>
      <c r="AD18" s="135">
        <f t="shared" ca="1" si="3"/>
        <v>23</v>
      </c>
      <c r="AE18" s="134" t="s">
        <v>195</v>
      </c>
      <c r="AF18" s="136" t="s">
        <v>37</v>
      </c>
      <c r="AG18" s="137"/>
      <c r="AH18" s="134" t="s">
        <v>195</v>
      </c>
      <c r="AI18" s="134" t="s">
        <v>196</v>
      </c>
      <c r="AJ18" s="135" t="str">
        <f t="shared" si="4"/>
        <v>EURYC</v>
      </c>
      <c r="AK18" s="135" t="str">
        <f t="shared" si="5"/>
        <v>EURDF_NOCSA</v>
      </c>
      <c r="AL18" s="173">
        <f t="shared" si="6"/>
        <v>0</v>
      </c>
      <c r="AM18" s="180">
        <f t="shared" si="7"/>
        <v>0.01</v>
      </c>
      <c r="AN18" s="185">
        <f ca="1">IF(NOW(),_xll.meProductSwapParRate(_xll.meUtilityLVBFromKeysValues($L$5:$AL$5,$L18:$AL18)))</f>
        <v>9.1775537544505539E-3</v>
      </c>
      <c r="AO18" s="174">
        <f ca="1">IF(NOW(),_xll.meProductSwapPV(_xll.meUtilityLVBFromKeysValues($J$5:$AM$5,$J18:$AM18)))</f>
        <v>-10476.176277283339</v>
      </c>
      <c r="AP18" s="175">
        <f ca="1">IF(NOW(),_xll.meProductSwapPV01(_xll.meUtilityLVBFromKeysValues($J$5:$AK$5,$J18:$AK18)))</f>
        <v>1273.7824914362143</v>
      </c>
      <c r="AQ18" t="s">
        <v>4</v>
      </c>
      <c r="AR18" s="146" t="str">
        <v>20Y</v>
      </c>
      <c r="AS18" s="148">
        <v>1.1659999999999998E-2</v>
      </c>
      <c r="AT18" s="153">
        <f t="shared" ca="1" si="8"/>
        <v>1.3528311647997837E-5</v>
      </c>
    </row>
    <row r="19" spans="1:46" x14ac:dyDescent="0.25">
      <c r="A19" s="129">
        <v>14</v>
      </c>
      <c r="B19" s="178">
        <f ca="1">IF(NOW(),_xll.meDateFromTenor(COB,$C19,$P19,$Q19))</f>
        <v>42423</v>
      </c>
      <c r="C19" s="138" t="s">
        <v>203</v>
      </c>
      <c r="D19" s="131" t="s">
        <v>17</v>
      </c>
      <c r="E19" s="133" t="s">
        <v>204</v>
      </c>
      <c r="F19" s="133" t="s">
        <v>207</v>
      </c>
      <c r="G19" s="133">
        <v>0.01</v>
      </c>
      <c r="H19" s="133">
        <v>0</v>
      </c>
      <c r="I19" s="166" t="s">
        <v>205</v>
      </c>
      <c r="J19" s="131">
        <v>1000000</v>
      </c>
      <c r="K19" s="132" t="s">
        <v>194</v>
      </c>
      <c r="L19" s="178">
        <f t="shared" ca="1" si="9"/>
        <v>42423</v>
      </c>
      <c r="M19" s="169" t="str">
        <f t="shared" si="10"/>
        <v>14Y</v>
      </c>
      <c r="N19" s="134" t="s">
        <v>26</v>
      </c>
      <c r="O19" s="134" t="s">
        <v>20</v>
      </c>
      <c r="P19" s="134" t="s">
        <v>22</v>
      </c>
      <c r="Q19" s="134" t="s">
        <v>2</v>
      </c>
      <c r="R19" s="134"/>
      <c r="S19" s="134"/>
      <c r="T19" s="135">
        <f t="shared" ca="1" si="0"/>
        <v>23</v>
      </c>
      <c r="U19" s="134" t="s">
        <v>195</v>
      </c>
      <c r="V19" s="134" t="s">
        <v>196</v>
      </c>
      <c r="W19" s="135" t="str">
        <f t="shared" si="1"/>
        <v>EUR6ML</v>
      </c>
      <c r="X19" s="135" t="str">
        <f t="shared" si="2"/>
        <v>Semi-Annual</v>
      </c>
      <c r="Y19" s="134" t="s">
        <v>6</v>
      </c>
      <c r="Z19" s="134" t="s">
        <v>22</v>
      </c>
      <c r="AA19" s="134" t="s">
        <v>2</v>
      </c>
      <c r="AB19" s="134"/>
      <c r="AC19" s="134"/>
      <c r="AD19" s="135">
        <f t="shared" ca="1" si="3"/>
        <v>23</v>
      </c>
      <c r="AE19" s="134" t="s">
        <v>195</v>
      </c>
      <c r="AF19" s="136" t="s">
        <v>37</v>
      </c>
      <c r="AG19" s="137"/>
      <c r="AH19" s="134" t="s">
        <v>195</v>
      </c>
      <c r="AI19" s="134" t="s">
        <v>196</v>
      </c>
      <c r="AJ19" s="135" t="str">
        <f t="shared" si="4"/>
        <v>EURYC</v>
      </c>
      <c r="AK19" s="135" t="str">
        <f t="shared" si="5"/>
        <v>EURDF_NOCSA</v>
      </c>
      <c r="AL19" s="173">
        <f t="shared" si="6"/>
        <v>0</v>
      </c>
      <c r="AM19" s="180">
        <f t="shared" si="7"/>
        <v>0.01</v>
      </c>
      <c r="AN19" s="185">
        <f ca="1">IF(NOW(),_xll.meProductSwapParRate(_xll.meUtilityLVBFromKeysValues($L$5:$AL$5,$L19:$AL19)))</f>
        <v>9.7836371141081322E-3</v>
      </c>
      <c r="AO19" s="174">
        <f ca="1">IF(NOW(),_xll.meProductSwapPV(_xll.meUtilityLVBFromKeysValues($J$5:$AM$5,$J19:$AM19)))</f>
        <v>-2950.9759274603252</v>
      </c>
      <c r="AP19" s="175">
        <f ca="1">IF(NOW(),_xll.meProductSwapPV01(_xll.meUtilityLVBFromKeysValues($J$5:$AK$5,$J19:$AK19)))</f>
        <v>1363.9011678440718</v>
      </c>
      <c r="AQ19" t="s">
        <v>4</v>
      </c>
      <c r="AR19" s="146" t="str">
        <v>25Y</v>
      </c>
      <c r="AS19" s="148">
        <v>1.201E-2</v>
      </c>
      <c r="AT19" s="153" t="str">
        <f t="shared" si="8"/>
        <v>-</v>
      </c>
    </row>
    <row r="20" spans="1:46" x14ac:dyDescent="0.25">
      <c r="A20" s="129">
        <v>15</v>
      </c>
      <c r="B20" s="178">
        <f ca="1">IF(NOW(),_xll.meDateFromTenor(COB,$C20,$P20,$Q20))</f>
        <v>42423</v>
      </c>
      <c r="C20" s="138" t="s">
        <v>203</v>
      </c>
      <c r="D20" s="131" t="s">
        <v>17</v>
      </c>
      <c r="E20" s="133" t="s">
        <v>204</v>
      </c>
      <c r="F20" s="133" t="s">
        <v>64</v>
      </c>
      <c r="G20" s="133">
        <v>0.01</v>
      </c>
      <c r="H20" s="133">
        <v>0</v>
      </c>
      <c r="I20" s="166" t="s">
        <v>205</v>
      </c>
      <c r="J20" s="131">
        <v>1000000</v>
      </c>
      <c r="K20" s="132" t="s">
        <v>194</v>
      </c>
      <c r="L20" s="178">
        <f t="shared" ca="1" si="9"/>
        <v>42423</v>
      </c>
      <c r="M20" s="169" t="str">
        <f t="shared" si="10"/>
        <v>15Y</v>
      </c>
      <c r="N20" s="134" t="s">
        <v>26</v>
      </c>
      <c r="O20" s="134" t="s">
        <v>20</v>
      </c>
      <c r="P20" s="134" t="s">
        <v>22</v>
      </c>
      <c r="Q20" s="134" t="s">
        <v>2</v>
      </c>
      <c r="R20" s="134"/>
      <c r="S20" s="134"/>
      <c r="T20" s="135">
        <f t="shared" ca="1" si="0"/>
        <v>23</v>
      </c>
      <c r="U20" s="134" t="s">
        <v>195</v>
      </c>
      <c r="V20" s="134" t="s">
        <v>196</v>
      </c>
      <c r="W20" s="135" t="str">
        <f t="shared" si="1"/>
        <v>EUR6ML</v>
      </c>
      <c r="X20" s="135" t="str">
        <f t="shared" si="2"/>
        <v>Semi-Annual</v>
      </c>
      <c r="Y20" s="134" t="s">
        <v>6</v>
      </c>
      <c r="Z20" s="134" t="s">
        <v>22</v>
      </c>
      <c r="AA20" s="134" t="s">
        <v>2</v>
      </c>
      <c r="AB20" s="134"/>
      <c r="AC20" s="134"/>
      <c r="AD20" s="135">
        <f t="shared" ca="1" si="3"/>
        <v>23</v>
      </c>
      <c r="AE20" s="134" t="s">
        <v>195</v>
      </c>
      <c r="AF20" s="136" t="s">
        <v>37</v>
      </c>
      <c r="AG20" s="137"/>
      <c r="AH20" s="134" t="s">
        <v>195</v>
      </c>
      <c r="AI20" s="134" t="s">
        <v>196</v>
      </c>
      <c r="AJ20" s="135" t="str">
        <f t="shared" si="4"/>
        <v>EURYC</v>
      </c>
      <c r="AK20" s="135" t="str">
        <f t="shared" si="5"/>
        <v>EURDF_NOCSA</v>
      </c>
      <c r="AL20" s="173">
        <f t="shared" si="6"/>
        <v>0</v>
      </c>
      <c r="AM20" s="180">
        <f t="shared" si="7"/>
        <v>0.01</v>
      </c>
      <c r="AN20" s="185">
        <f ca="1">IF(NOW(),_xll.meProductSwapParRate(_xll.meUtilityLVBFromKeysValues($L$5:$AL$5,$L20:$AL20)))</f>
        <v>1.0300000861647956E-2</v>
      </c>
      <c r="AO20" s="174">
        <f ca="1">IF(NOW(),_xll.meProductSwapPV(_xll.meUtilityLVBFromKeysValues($J$5:$AM$5,$J20:$AM20)))</f>
        <v>4355.2391102286429</v>
      </c>
      <c r="AP20" s="175">
        <f ca="1">IF(NOW(),_xll.meProductSwapPV01(_xll.meUtilityLVBFromKeysValues($J$5:$AK$5,$J20:$AK20)))</f>
        <v>1451.7422004405469</v>
      </c>
      <c r="AQ20" t="s">
        <v>4</v>
      </c>
      <c r="AR20" s="146" t="str">
        <v>30Y</v>
      </c>
      <c r="AS20" s="148">
        <v>1.204E-2</v>
      </c>
      <c r="AT20" s="153" t="str">
        <f t="shared" si="8"/>
        <v>-</v>
      </c>
    </row>
    <row r="21" spans="1:46" x14ac:dyDescent="0.25">
      <c r="A21" s="129">
        <v>16</v>
      </c>
      <c r="B21" s="178">
        <f ca="1">IF(NOW(),_xll.meDateFromTenor(COB,$C21,$P21,$Q21))</f>
        <v>42423</v>
      </c>
      <c r="C21" s="138" t="s">
        <v>203</v>
      </c>
      <c r="D21" s="131" t="s">
        <v>17</v>
      </c>
      <c r="E21" s="133" t="s">
        <v>204</v>
      </c>
      <c r="F21" s="133" t="s">
        <v>208</v>
      </c>
      <c r="G21" s="133">
        <v>0.01</v>
      </c>
      <c r="H21" s="133">
        <v>0</v>
      </c>
      <c r="I21" s="166" t="s">
        <v>205</v>
      </c>
      <c r="J21" s="131">
        <v>1000000</v>
      </c>
      <c r="K21" s="132" t="s">
        <v>194</v>
      </c>
      <c r="L21" s="178">
        <f t="shared" ca="1" si="9"/>
        <v>42423</v>
      </c>
      <c r="M21" s="169" t="str">
        <f t="shared" si="10"/>
        <v>16Y</v>
      </c>
      <c r="N21" s="134" t="s">
        <v>26</v>
      </c>
      <c r="O21" s="134" t="s">
        <v>20</v>
      </c>
      <c r="P21" s="134" t="s">
        <v>22</v>
      </c>
      <c r="Q21" s="134" t="s">
        <v>2</v>
      </c>
      <c r="R21" s="134"/>
      <c r="S21" s="134"/>
      <c r="T21" s="135">
        <f t="shared" ca="1" si="0"/>
        <v>23</v>
      </c>
      <c r="U21" s="134" t="s">
        <v>195</v>
      </c>
      <c r="V21" s="134" t="s">
        <v>196</v>
      </c>
      <c r="W21" s="135" t="str">
        <f t="shared" si="1"/>
        <v>EUR6ML</v>
      </c>
      <c r="X21" s="135" t="str">
        <f t="shared" si="2"/>
        <v>Semi-Annual</v>
      </c>
      <c r="Y21" s="134" t="s">
        <v>6</v>
      </c>
      <c r="Z21" s="134" t="s">
        <v>22</v>
      </c>
      <c r="AA21" s="134" t="s">
        <v>2</v>
      </c>
      <c r="AB21" s="134"/>
      <c r="AC21" s="134"/>
      <c r="AD21" s="135">
        <f t="shared" ca="1" si="3"/>
        <v>23</v>
      </c>
      <c r="AE21" s="134" t="s">
        <v>195</v>
      </c>
      <c r="AF21" s="136" t="s">
        <v>37</v>
      </c>
      <c r="AG21" s="137"/>
      <c r="AH21" s="134" t="s">
        <v>195</v>
      </c>
      <c r="AI21" s="134" t="s">
        <v>196</v>
      </c>
      <c r="AJ21" s="135" t="str">
        <f t="shared" si="4"/>
        <v>EURYC</v>
      </c>
      <c r="AK21" s="135" t="str">
        <f t="shared" si="5"/>
        <v>EURDF_NOCSA</v>
      </c>
      <c r="AL21" s="173">
        <f t="shared" si="6"/>
        <v>0</v>
      </c>
      <c r="AM21" s="180">
        <f t="shared" si="7"/>
        <v>0.01</v>
      </c>
      <c r="AN21" s="185">
        <f ca="1">IF(NOW(),_xll.meProductSwapParRate(_xll.meUtilityLVBFromKeysValues($L$5:$AL$5,$L21:$AL21)))</f>
        <v>1.0695998241957466E-2</v>
      </c>
      <c r="AO21" s="174">
        <f ca="1">IF(NOW(),_xll.meProductSwapPV(_xll.meUtilityLVBFromKeysValues($J$5:$AM$5,$J21:$AM21)))</f>
        <v>10705.142186347966</v>
      </c>
      <c r="AP21" s="175">
        <f ca="1">IF(NOW(),_xll.meProductSwapPV01(_xll.meUtilityLVBFromKeysValues($J$5:$AK$5,$J21:$AK21)))</f>
        <v>1538.099026836649</v>
      </c>
      <c r="AQ21" t="s">
        <v>4</v>
      </c>
      <c r="AR21" s="146" t="str">
        <v>40Y</v>
      </c>
      <c r="AS21" s="148">
        <v>1.1859999999999999E-2</v>
      </c>
      <c r="AT21" s="153" t="str">
        <f t="shared" si="8"/>
        <v>-</v>
      </c>
    </row>
    <row r="22" spans="1:46" x14ac:dyDescent="0.25">
      <c r="A22" s="129">
        <v>17</v>
      </c>
      <c r="B22" s="178">
        <f ca="1">IF(NOW(),_xll.meDateFromTenor(COB,$C22,$P22,$Q22))</f>
        <v>42423</v>
      </c>
      <c r="C22" s="138" t="s">
        <v>203</v>
      </c>
      <c r="D22" s="131" t="s">
        <v>17</v>
      </c>
      <c r="E22" s="133" t="s">
        <v>204</v>
      </c>
      <c r="F22" s="133" t="s">
        <v>209</v>
      </c>
      <c r="G22" s="133">
        <v>0.01</v>
      </c>
      <c r="H22" s="133">
        <v>0</v>
      </c>
      <c r="I22" s="166" t="s">
        <v>205</v>
      </c>
      <c r="J22" s="131">
        <v>1000000</v>
      </c>
      <c r="K22" s="132" t="s">
        <v>194</v>
      </c>
      <c r="L22" s="178">
        <f t="shared" ca="1" si="9"/>
        <v>42423</v>
      </c>
      <c r="M22" s="169" t="str">
        <f t="shared" si="10"/>
        <v>17Y</v>
      </c>
      <c r="N22" s="134" t="s">
        <v>26</v>
      </c>
      <c r="O22" s="134" t="s">
        <v>20</v>
      </c>
      <c r="P22" s="134" t="s">
        <v>22</v>
      </c>
      <c r="Q22" s="134" t="s">
        <v>2</v>
      </c>
      <c r="R22" s="134"/>
      <c r="S22" s="134"/>
      <c r="T22" s="135">
        <f t="shared" ca="1" si="0"/>
        <v>23</v>
      </c>
      <c r="U22" s="134" t="s">
        <v>195</v>
      </c>
      <c r="V22" s="134" t="s">
        <v>196</v>
      </c>
      <c r="W22" s="135" t="str">
        <f t="shared" si="1"/>
        <v>EUR6ML</v>
      </c>
      <c r="X22" s="135" t="str">
        <f t="shared" si="2"/>
        <v>Semi-Annual</v>
      </c>
      <c r="Y22" s="134" t="s">
        <v>6</v>
      </c>
      <c r="Z22" s="134" t="s">
        <v>22</v>
      </c>
      <c r="AA22" s="134" t="s">
        <v>2</v>
      </c>
      <c r="AB22" s="134"/>
      <c r="AC22" s="134"/>
      <c r="AD22" s="135">
        <f t="shared" ca="1" si="3"/>
        <v>23</v>
      </c>
      <c r="AE22" s="134" t="s">
        <v>195</v>
      </c>
      <c r="AF22" s="136" t="s">
        <v>37</v>
      </c>
      <c r="AG22" s="137"/>
      <c r="AH22" s="134" t="s">
        <v>195</v>
      </c>
      <c r="AI22" s="134" t="s">
        <v>196</v>
      </c>
      <c r="AJ22" s="135" t="str">
        <f t="shared" si="4"/>
        <v>EURYC</v>
      </c>
      <c r="AK22" s="135" t="str">
        <f t="shared" si="5"/>
        <v>EURDF_NOCSA</v>
      </c>
      <c r="AL22" s="173">
        <f t="shared" si="6"/>
        <v>0</v>
      </c>
      <c r="AM22" s="180">
        <f t="shared" si="7"/>
        <v>0.01</v>
      </c>
      <c r="AN22" s="185">
        <f ca="1">IF(NOW(),_xll.meProductSwapParRate(_xll.meUtilityLVBFromKeysValues($L$5:$AL$5,$L22:$AL22)))</f>
        <v>1.1020699154190641E-2</v>
      </c>
      <c r="AO22" s="174">
        <f ca="1">IF(NOW(),_xll.meProductSwapPV(_xll.meUtilityLVBFromKeysValues($J$5:$AM$5,$J22:$AM22)))</f>
        <v>16569.152614343995</v>
      </c>
      <c r="AP22" s="175">
        <f ca="1">IF(NOW(),_xll.meProductSwapPV01(_xll.meUtilityLVBFromKeysValues($J$5:$AK$5,$J22:$AK22)))</f>
        <v>1623.3140339459228</v>
      </c>
      <c r="AQ22" t="s">
        <v>4</v>
      </c>
      <c r="AR22" s="146" t="str">
        <v>50Y</v>
      </c>
      <c r="AS22" s="148">
        <v>1.1200000000000002E-2</v>
      </c>
      <c r="AT22" s="153" t="str">
        <f t="shared" si="8"/>
        <v>-</v>
      </c>
    </row>
    <row r="23" spans="1:46" x14ac:dyDescent="0.25">
      <c r="A23" s="129">
        <v>18</v>
      </c>
      <c r="B23" s="178">
        <f ca="1">IF(NOW(),_xll.meDateFromTenor(COB,$C23,$P23,$Q23))</f>
        <v>42423</v>
      </c>
      <c r="C23" s="138" t="s">
        <v>203</v>
      </c>
      <c r="D23" s="131" t="s">
        <v>17</v>
      </c>
      <c r="E23" s="133" t="s">
        <v>204</v>
      </c>
      <c r="F23" s="133" t="s">
        <v>210</v>
      </c>
      <c r="G23" s="133">
        <v>0.01</v>
      </c>
      <c r="H23" s="133">
        <v>0</v>
      </c>
      <c r="I23" s="166" t="s">
        <v>205</v>
      </c>
      <c r="J23" s="131">
        <v>1000000</v>
      </c>
      <c r="K23" s="132" t="s">
        <v>194</v>
      </c>
      <c r="L23" s="178">
        <f t="shared" ca="1" si="9"/>
        <v>42423</v>
      </c>
      <c r="M23" s="169" t="str">
        <f t="shared" si="10"/>
        <v>18Y</v>
      </c>
      <c r="N23" s="134" t="s">
        <v>26</v>
      </c>
      <c r="O23" s="134" t="s">
        <v>20</v>
      </c>
      <c r="P23" s="134" t="s">
        <v>22</v>
      </c>
      <c r="Q23" s="134" t="s">
        <v>2</v>
      </c>
      <c r="R23" s="134"/>
      <c r="S23" s="134"/>
      <c r="T23" s="135">
        <f t="shared" ca="1" si="0"/>
        <v>23</v>
      </c>
      <c r="U23" s="134" t="s">
        <v>195</v>
      </c>
      <c r="V23" s="134" t="s">
        <v>196</v>
      </c>
      <c r="W23" s="135" t="str">
        <f t="shared" si="1"/>
        <v>EUR6ML</v>
      </c>
      <c r="X23" s="135" t="str">
        <f t="shared" si="2"/>
        <v>Semi-Annual</v>
      </c>
      <c r="Y23" s="134" t="s">
        <v>6</v>
      </c>
      <c r="Z23" s="134" t="s">
        <v>22</v>
      </c>
      <c r="AA23" s="134" t="s">
        <v>2</v>
      </c>
      <c r="AB23" s="134"/>
      <c r="AC23" s="134"/>
      <c r="AD23" s="135">
        <f t="shared" ca="1" si="3"/>
        <v>23</v>
      </c>
      <c r="AE23" s="134" t="s">
        <v>195</v>
      </c>
      <c r="AF23" s="136" t="s">
        <v>37</v>
      </c>
      <c r="AG23" s="137"/>
      <c r="AH23" s="134" t="s">
        <v>195</v>
      </c>
      <c r="AI23" s="134" t="s">
        <v>196</v>
      </c>
      <c r="AJ23" s="135" t="str">
        <f t="shared" si="4"/>
        <v>EURYC</v>
      </c>
      <c r="AK23" s="135" t="str">
        <f t="shared" si="5"/>
        <v>EURDF_NOCSA</v>
      </c>
      <c r="AL23" s="173">
        <f t="shared" si="6"/>
        <v>0</v>
      </c>
      <c r="AM23" s="180">
        <f t="shared" si="7"/>
        <v>0.01</v>
      </c>
      <c r="AN23" s="185">
        <f ca="1">IF(NOW(),_xll.meProductSwapParRate(_xll.meUtilityLVBFromKeysValues($L$5:$AL$5,$L23:$AL23)))</f>
        <v>1.128354179522509E-2</v>
      </c>
      <c r="AO23" s="174">
        <f ca="1">IF(NOW(),_xll.meProductSwapPV(_xll.meUtilityLVBFromKeysValues($J$5:$AM$5,$J23:$AM23)))</f>
        <v>21913.121837040973</v>
      </c>
      <c r="AP23" s="175">
        <f ca="1">IF(NOW(),_xll.meProductSwapPV01(_xll.meUtilityLVBFromKeysValues($J$5:$AK$5,$J23:$AK23)))</f>
        <v>1707.2386671443121</v>
      </c>
      <c r="AQ23" t="s">
        <v>4</v>
      </c>
      <c r="AR23" s="146"/>
      <c r="AS23" s="148"/>
      <c r="AT23" s="153" t="str">
        <f t="shared" si="8"/>
        <v>-</v>
      </c>
    </row>
    <row r="24" spans="1:46" x14ac:dyDescent="0.25">
      <c r="A24" s="129">
        <v>19</v>
      </c>
      <c r="B24" s="178">
        <f ca="1">IF(NOW(),_xll.meDateFromTenor(COB,$C24,$P24,$Q24))</f>
        <v>42423</v>
      </c>
      <c r="C24" s="138" t="s">
        <v>203</v>
      </c>
      <c r="D24" s="131" t="s">
        <v>17</v>
      </c>
      <c r="E24" s="133" t="s">
        <v>204</v>
      </c>
      <c r="F24" s="133" t="s">
        <v>211</v>
      </c>
      <c r="G24" s="133">
        <v>0.01</v>
      </c>
      <c r="H24" s="133">
        <v>0</v>
      </c>
      <c r="I24" s="166" t="s">
        <v>205</v>
      </c>
      <c r="J24" s="131">
        <v>1000000</v>
      </c>
      <c r="K24" s="132" t="s">
        <v>194</v>
      </c>
      <c r="L24" s="178">
        <f t="shared" ca="1" si="9"/>
        <v>42423</v>
      </c>
      <c r="M24" s="169" t="str">
        <f t="shared" si="10"/>
        <v>19Y</v>
      </c>
      <c r="N24" s="134" t="s">
        <v>26</v>
      </c>
      <c r="O24" s="134" t="s">
        <v>20</v>
      </c>
      <c r="P24" s="134" t="s">
        <v>22</v>
      </c>
      <c r="Q24" s="134" t="s">
        <v>2</v>
      </c>
      <c r="R24" s="134"/>
      <c r="S24" s="134"/>
      <c r="T24" s="135">
        <f t="shared" ca="1" si="0"/>
        <v>23</v>
      </c>
      <c r="U24" s="134" t="s">
        <v>195</v>
      </c>
      <c r="V24" s="134" t="s">
        <v>196</v>
      </c>
      <c r="W24" s="135" t="str">
        <f t="shared" si="1"/>
        <v>EUR6ML</v>
      </c>
      <c r="X24" s="135" t="str">
        <f t="shared" si="2"/>
        <v>Semi-Annual</v>
      </c>
      <c r="Y24" s="134" t="s">
        <v>6</v>
      </c>
      <c r="Z24" s="134" t="s">
        <v>22</v>
      </c>
      <c r="AA24" s="134" t="s">
        <v>2</v>
      </c>
      <c r="AB24" s="134"/>
      <c r="AC24" s="134"/>
      <c r="AD24" s="135">
        <f t="shared" ca="1" si="3"/>
        <v>23</v>
      </c>
      <c r="AE24" s="134" t="s">
        <v>195</v>
      </c>
      <c r="AF24" s="136" t="s">
        <v>37</v>
      </c>
      <c r="AG24" s="137"/>
      <c r="AH24" s="134" t="s">
        <v>195</v>
      </c>
      <c r="AI24" s="134" t="s">
        <v>196</v>
      </c>
      <c r="AJ24" s="135" t="str">
        <f t="shared" si="4"/>
        <v>EURYC</v>
      </c>
      <c r="AK24" s="135" t="str">
        <f t="shared" si="5"/>
        <v>EURDF_NOCSA</v>
      </c>
      <c r="AL24" s="173">
        <f t="shared" si="6"/>
        <v>0</v>
      </c>
      <c r="AM24" s="180">
        <f t="shared" si="7"/>
        <v>0.01</v>
      </c>
      <c r="AN24" s="185">
        <f ca="1">IF(NOW(),_xll.meProductSwapParRate(_xll.meUtilityLVBFromKeysValues($L$5:$AL$5,$L24:$AL24)))</f>
        <v>1.149406931283883E-2</v>
      </c>
      <c r="AO24" s="174">
        <f ca="1">IF(NOW(),_xll.meProductSwapPV(_xll.meUtilityLVBFromKeysValues($J$5:$AM$5,$J24:$AM24)))</f>
        <v>26742.87670739539</v>
      </c>
      <c r="AP24" s="175">
        <f ca="1">IF(NOW(),_xll.meProductSwapPV01(_xll.meUtilityLVBFromKeysValues($J$5:$AK$5,$J24:$AK24)))</f>
        <v>1789.9354787350633</v>
      </c>
      <c r="AQ24" t="s">
        <v>4</v>
      </c>
      <c r="AR24" s="146"/>
      <c r="AS24" s="148"/>
      <c r="AT24" s="153" t="str">
        <f t="shared" si="8"/>
        <v>-</v>
      </c>
    </row>
    <row r="25" spans="1:46" x14ac:dyDescent="0.25">
      <c r="A25" s="129">
        <v>20</v>
      </c>
      <c r="B25" s="178">
        <f ca="1">IF(NOW(),_xll.meDateFromTenor(COB,$C25,$P25,$Q25))</f>
        <v>42423</v>
      </c>
      <c r="C25" s="188" t="s">
        <v>203</v>
      </c>
      <c r="D25" s="139" t="s">
        <v>17</v>
      </c>
      <c r="E25" s="141" t="s">
        <v>204</v>
      </c>
      <c r="F25" s="141" t="s">
        <v>65</v>
      </c>
      <c r="G25" s="141">
        <v>0.01</v>
      </c>
      <c r="H25" s="141">
        <v>0</v>
      </c>
      <c r="I25" s="176" t="s">
        <v>205</v>
      </c>
      <c r="J25" s="139">
        <v>1000000</v>
      </c>
      <c r="K25" s="140" t="s">
        <v>194</v>
      </c>
      <c r="L25" s="181">
        <f t="shared" ca="1" si="9"/>
        <v>42423</v>
      </c>
      <c r="M25" s="189" t="str">
        <f t="shared" si="10"/>
        <v>20Y</v>
      </c>
      <c r="N25" s="142" t="s">
        <v>26</v>
      </c>
      <c r="O25" s="142" t="s">
        <v>20</v>
      </c>
      <c r="P25" s="142" t="s">
        <v>22</v>
      </c>
      <c r="Q25" s="142" t="s">
        <v>2</v>
      </c>
      <c r="R25" s="142"/>
      <c r="S25" s="142"/>
      <c r="T25" s="143">
        <f t="shared" ca="1" si="0"/>
        <v>23</v>
      </c>
      <c r="U25" s="142" t="s">
        <v>195</v>
      </c>
      <c r="V25" s="142" t="s">
        <v>196</v>
      </c>
      <c r="W25" s="143" t="str">
        <f t="shared" si="1"/>
        <v>EUR6ML</v>
      </c>
      <c r="X25" s="143" t="str">
        <f t="shared" si="2"/>
        <v>Semi-Annual</v>
      </c>
      <c r="Y25" s="142" t="s">
        <v>6</v>
      </c>
      <c r="Z25" s="142" t="s">
        <v>22</v>
      </c>
      <c r="AA25" s="142" t="s">
        <v>2</v>
      </c>
      <c r="AB25" s="142"/>
      <c r="AC25" s="142"/>
      <c r="AD25" s="143">
        <f t="shared" ca="1" si="3"/>
        <v>23</v>
      </c>
      <c r="AE25" s="142" t="s">
        <v>195</v>
      </c>
      <c r="AF25" s="144" t="s">
        <v>37</v>
      </c>
      <c r="AG25" s="145"/>
      <c r="AH25" s="142" t="s">
        <v>195</v>
      </c>
      <c r="AI25" s="142" t="s">
        <v>196</v>
      </c>
      <c r="AJ25" s="143" t="str">
        <f t="shared" si="4"/>
        <v>EURYC</v>
      </c>
      <c r="AK25" s="143" t="str">
        <f t="shared" si="5"/>
        <v>EURDF_NOCSA</v>
      </c>
      <c r="AL25" s="177">
        <f t="shared" si="6"/>
        <v>0</v>
      </c>
      <c r="AM25" s="182">
        <f t="shared" si="7"/>
        <v>0.01</v>
      </c>
      <c r="AN25" s="185">
        <f ca="1">IF(NOW(),_xll.meProductSwapParRate(_xll.meUtilityLVBFromKeysValues($L$5:$AL$5,$L25:$AL25)))</f>
        <v>1.1660001352831163E-2</v>
      </c>
      <c r="AO25" s="174">
        <f ca="1">IF(NOW(),_xll.meProductSwapPV(_xll.meUtilityLVBFromKeysValues($J$5:$AM$5,$J25:$AM25)))</f>
        <v>31073.174457563939</v>
      </c>
      <c r="AP25" s="175">
        <f ca="1">IF(NOW(),_xll.meProductSwapPV01(_xll.meUtilityLVBFromKeysValues($J$5:$AK$5,$J25:$AK25)))</f>
        <v>1871.8764538696346</v>
      </c>
      <c r="AQ25" t="s">
        <v>4</v>
      </c>
      <c r="AR25" s="147"/>
      <c r="AS25" s="149"/>
      <c r="AT25" s="186" t="str">
        <f t="shared" si="8"/>
        <v>-</v>
      </c>
    </row>
    <row r="26" spans="1:46" x14ac:dyDescent="0.25">
      <c r="AN26" s="164"/>
    </row>
    <row r="37" spans="7:7" x14ac:dyDescent="0.25">
      <c r="G37" s="66"/>
    </row>
  </sheetData>
  <mergeCells count="2">
    <mergeCell ref="AO2:AP2"/>
    <mergeCell ref="AO3:AP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2016-10-18T10:27:15Z</dcterms:modified>
</cp:coreProperties>
</file>