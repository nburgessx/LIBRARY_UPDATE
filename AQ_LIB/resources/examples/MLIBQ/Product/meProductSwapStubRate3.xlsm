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4115"/>
  </bookViews>
  <sheets>
    <sheet name="Sheet1" sheetId="1" r:id="rId1"/>
    <sheet name="Sheet2" sheetId="2" r:id="rId2"/>
    <sheet name="Sheet3" sheetId="3" r:id="rId3"/>
  </sheets>
  <calcPr calcId="145621" calcMode="manual" calcCompleted="0" calcOnSave="0" concurrentCalc="0"/>
</workbook>
</file>

<file path=xl/calcChain.xml><?xml version="1.0" encoding="utf-8"?>
<calcChain xmlns="http://schemas.openxmlformats.org/spreadsheetml/2006/main">
  <c r="C8" i="1" l="1"/>
  <c r="C4" i="1"/>
  <c r="B33" i="1"/>
</calcChain>
</file>

<file path=xl/sharedStrings.xml><?xml version="1.0" encoding="utf-8"?>
<sst xmlns="http://schemas.openxmlformats.org/spreadsheetml/2006/main" count="46" uniqueCount="44">
  <si>
    <t>Stub Rate</t>
  </si>
  <si>
    <t>Stub Rate Parameters from Float Leg</t>
  </si>
  <si>
    <t>EffectiveDate</t>
  </si>
  <si>
    <t>MaturityDate</t>
  </si>
  <si>
    <t>CurveCollection</t>
  </si>
  <si>
    <t>UseCurveIndex</t>
  </si>
  <si>
    <t>Use Natural to Interpolate or Specify the Float Index</t>
  </si>
  <si>
    <t>FloatFrequency</t>
  </si>
  <si>
    <t>FloatDaycount</t>
  </si>
  <si>
    <t>FloatBusinessDayAdjustment</t>
  </si>
  <si>
    <t>FloatCalendar</t>
  </si>
  <si>
    <t>FloatRollDay</t>
  </si>
  <si>
    <t>FloatFixingLag</t>
  </si>
  <si>
    <t>FloatFirstStubDate</t>
  </si>
  <si>
    <t>FloatLastStubDate</t>
  </si>
  <si>
    <t>FloatStubType</t>
  </si>
  <si>
    <t>Stub Rates - Note Short Stub Rates are Capped by the Float Index Frequency</t>
  </si>
  <si>
    <t>Tenor</t>
  </si>
  <si>
    <t>CurveIndex</t>
  </si>
  <si>
    <t>ResetRate</t>
  </si>
  <si>
    <t>1D</t>
  </si>
  <si>
    <t>USDOIS</t>
  </si>
  <si>
    <t>1M</t>
  </si>
  <si>
    <t>USD1ML</t>
  </si>
  <si>
    <t>3M</t>
  </si>
  <si>
    <t>6M</t>
  </si>
  <si>
    <t>USD6ML</t>
  </si>
  <si>
    <t>12M</t>
  </si>
  <si>
    <t>USD12ML</t>
  </si>
  <si>
    <t>USDYC</t>
  </si>
  <si>
    <t>Quarterly</t>
  </si>
  <si>
    <t>ACT/360</t>
  </si>
  <si>
    <t>MOD_FOLLOWING</t>
  </si>
  <si>
    <t>NYB:LNB</t>
  </si>
  <si>
    <t>NORMAL</t>
  </si>
  <si>
    <t>0D</t>
  </si>
  <si>
    <t/>
  </si>
  <si>
    <t>ShortStart</t>
  </si>
  <si>
    <t>5Y</t>
  </si>
  <si>
    <t>mirSwapStubRate</t>
  </si>
  <si>
    <t>USD2ML</t>
  </si>
  <si>
    <t>2M</t>
  </si>
  <si>
    <t>meProductSwapStubRate</t>
  </si>
  <si>
    <t>USD3ML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</si>
</sst>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%"/>
    <numFmt numFmtId="165" formatCode="ddd\ d\-mmm\-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66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2" borderId="1" xfId="0" applyFill="1" applyBorder="1"/>
    <xf numFmtId="164" fontId="3" fillId="3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0" fillId="4" borderId="2" xfId="0" applyFill="1" applyBorder="1"/>
    <xf numFmtId="165" fontId="3" fillId="2" borderId="2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65" fontId="3" fillId="2" borderId="3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4" borderId="3" xfId="0" applyFont="1" applyFill="1" applyBorder="1"/>
    <xf numFmtId="14" fontId="3" fillId="2" borderId="3" xfId="0" applyNumberFormat="1" applyFont="1" applyFill="1" applyBorder="1" applyAlignment="1">
      <alignment horizontal="center" vertical="center"/>
    </xf>
    <xf numFmtId="0" fontId="0" fillId="4" borderId="4" xfId="0" applyFont="1" applyFill="1" applyBorder="1"/>
    <xf numFmtId="0" fontId="3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9" fontId="0" fillId="3" borderId="2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9" fontId="0" fillId="3" borderId="3" xfId="0" applyNumberForma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9" fontId="0" fillId="3" borderId="4" xfId="0" applyNumberFormat="1" applyFill="1" applyBorder="1" applyAlignment="1">
      <alignment horizontal="center" vertical="center"/>
    </xf>
    <xf numFmtId="9" fontId="0" fillId="0" borderId="0" xfId="0" applyNumberFormat="1"/>
    <xf numFmtId="9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33"/>
  <sheetViews>
    <sheetView showGridLines="0" tabSelected="1" workbookViewId="0"/>
  </sheetViews>
  <sheetFormatPr defaultRowHeight="15" x14ac:dyDescent="0.25"/>
  <cols>
    <col min="2" max="2" width="27.7109375" customWidth="1"/>
    <col min="3" max="3" width="27.5703125" customWidth="1"/>
    <col min="4" max="4" width="25.28515625" customWidth="1"/>
  </cols>
  <sheetData>
    <row r="1" spans="2:6" x14ac:dyDescent="0.25">
      <c r="C1" s="2"/>
    </row>
    <row r="3" spans="2:6" x14ac:dyDescent="0.25">
      <c r="B3" s="1" t="s">
        <v>42</v>
      </c>
      <c r="C3" s="2"/>
    </row>
    <row r="4" spans="2:6" x14ac:dyDescent="0.25">
      <c r="B4" s="3" t="s">
        <v>0</v>
      </c>
      <c r="C4" s="4">
        <f ca="1">_xll.meProductSwapStubRate($C$25:$C$30,$B$25:$B$30,D25:D30,$B$8:$C$20)</f>
        <v>0.2</v>
      </c>
    </row>
    <row r="5" spans="2:6" x14ac:dyDescent="0.25">
      <c r="F5" s="29"/>
    </row>
    <row r="7" spans="2:6" x14ac:dyDescent="0.25">
      <c r="B7" s="5" t="s">
        <v>1</v>
      </c>
    </row>
    <row r="8" spans="2:6" x14ac:dyDescent="0.25">
      <c r="B8" s="6" t="s">
        <v>2</v>
      </c>
      <c r="C8" s="7">
        <f ca="1">TODAY()</f>
        <v>43180</v>
      </c>
    </row>
    <row r="9" spans="2:6" x14ac:dyDescent="0.25">
      <c r="B9" s="8" t="s">
        <v>3</v>
      </c>
      <c r="C9" s="9" t="s">
        <v>38</v>
      </c>
    </row>
    <row r="10" spans="2:6" x14ac:dyDescent="0.25">
      <c r="B10" s="8" t="s">
        <v>4</v>
      </c>
      <c r="C10" s="9" t="s">
        <v>29</v>
      </c>
    </row>
    <row r="11" spans="2:6" x14ac:dyDescent="0.25">
      <c r="B11" s="8" t="s">
        <v>5</v>
      </c>
      <c r="C11" s="10" t="s">
        <v>40</v>
      </c>
      <c r="D11" s="5" t="s">
        <v>6</v>
      </c>
    </row>
    <row r="12" spans="2:6" x14ac:dyDescent="0.25">
      <c r="B12" s="8" t="s">
        <v>7</v>
      </c>
      <c r="C12" s="11" t="s">
        <v>30</v>
      </c>
    </row>
    <row r="13" spans="2:6" x14ac:dyDescent="0.25">
      <c r="B13" s="8" t="s">
        <v>8</v>
      </c>
      <c r="C13" s="11" t="s">
        <v>31</v>
      </c>
    </row>
    <row r="14" spans="2:6" x14ac:dyDescent="0.25">
      <c r="B14" s="8" t="s">
        <v>9</v>
      </c>
      <c r="C14" s="11" t="s">
        <v>32</v>
      </c>
    </row>
    <row r="15" spans="2:6" x14ac:dyDescent="0.25">
      <c r="B15" s="8" t="s">
        <v>10</v>
      </c>
      <c r="C15" s="11" t="s">
        <v>33</v>
      </c>
    </row>
    <row r="16" spans="2:6" x14ac:dyDescent="0.25">
      <c r="B16" s="8" t="s">
        <v>11</v>
      </c>
      <c r="C16" s="11" t="s">
        <v>34</v>
      </c>
    </row>
    <row r="17" spans="2:4" x14ac:dyDescent="0.25">
      <c r="B17" s="8" t="s">
        <v>12</v>
      </c>
      <c r="C17" s="11" t="s">
        <v>35</v>
      </c>
    </row>
    <row r="18" spans="2:4" x14ac:dyDescent="0.25">
      <c r="B18" s="12" t="s">
        <v>13</v>
      </c>
      <c r="C18" s="13" t="s">
        <v>36</v>
      </c>
    </row>
    <row r="19" spans="2:4" x14ac:dyDescent="0.25">
      <c r="B19" s="12" t="s">
        <v>14</v>
      </c>
      <c r="C19" s="13" t="s">
        <v>36</v>
      </c>
    </row>
    <row r="20" spans="2:4" x14ac:dyDescent="0.25">
      <c r="B20" s="14" t="s">
        <v>15</v>
      </c>
      <c r="C20" s="15" t="s">
        <v>37</v>
      </c>
    </row>
    <row r="23" spans="2:4" x14ac:dyDescent="0.25">
      <c r="B23" s="1" t="s">
        <v>16</v>
      </c>
      <c r="D23" s="16"/>
    </row>
    <row r="24" spans="2:4" x14ac:dyDescent="0.25">
      <c r="B24" s="17" t="s">
        <v>17</v>
      </c>
      <c r="C24" s="18" t="s">
        <v>18</v>
      </c>
      <c r="D24" s="19" t="s">
        <v>19</v>
      </c>
    </row>
    <row r="25" spans="2:4" x14ac:dyDescent="0.25">
      <c r="B25" s="20" t="s">
        <v>20</v>
      </c>
      <c r="C25" s="21" t="s">
        <v>21</v>
      </c>
      <c r="D25" s="22">
        <v>0</v>
      </c>
    </row>
    <row r="26" spans="2:4" x14ac:dyDescent="0.25">
      <c r="B26" s="23" t="s">
        <v>22</v>
      </c>
      <c r="C26" s="24" t="s">
        <v>23</v>
      </c>
      <c r="D26" s="25">
        <v>0.1</v>
      </c>
    </row>
    <row r="27" spans="2:4" x14ac:dyDescent="0.25">
      <c r="B27" s="23" t="s">
        <v>41</v>
      </c>
      <c r="C27" s="24" t="s">
        <v>40</v>
      </c>
      <c r="D27" s="25">
        <v>0.2</v>
      </c>
    </row>
    <row r="28" spans="2:4" x14ac:dyDescent="0.25">
      <c r="B28" s="23" t="s">
        <v>24</v>
      </c>
      <c r="C28" s="24" t="s">
        <v>43</v>
      </c>
      <c r="D28" s="25">
        <v>0.3</v>
      </c>
    </row>
    <row r="29" spans="2:4" x14ac:dyDescent="0.25">
      <c r="B29" s="23" t="s">
        <v>25</v>
      </c>
      <c r="C29" s="24" t="s">
        <v>26</v>
      </c>
      <c r="D29" s="25">
        <v>0.6</v>
      </c>
    </row>
    <row r="30" spans="2:4" x14ac:dyDescent="0.25">
      <c r="B30" s="26" t="s">
        <v>27</v>
      </c>
      <c r="C30" s="27" t="s">
        <v>28</v>
      </c>
      <c r="D30" s="28">
        <v>1.2</v>
      </c>
    </row>
    <row r="32" spans="2:4" x14ac:dyDescent="0.25">
      <c r="B32" s="5" t="s">
        <v>39</v>
      </c>
    </row>
    <row r="33" spans="2:2" x14ac:dyDescent="0.25">
      <c r="B33" s="30">
        <f ca="1">_xll.mirSwapStubRate(C8,C9,C12,C13,C14,C15,C16,C17,,"Linear",,,C20,C10,C25:C30,B25:B30,D25:D30,C11)</f>
        <v>0.2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2018-03-21T09:17:49Z</dcterms:created>
  <dcterms:modified xsi:type="dcterms:W3CDTF">2018-03-21T10:48:48Z</dcterms:modified>
</cp:coreProperties>
</file>