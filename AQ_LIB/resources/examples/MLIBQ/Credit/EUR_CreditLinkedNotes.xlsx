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0490" windowHeight="7095" tabRatio="865" firstSheet="4" activeTab="11"/>
  </bookViews>
  <sheets>
    <sheet name="SETTINGS" sheetId="5" r:id="rId1"/>
    <sheet name="CURVE MKT DATA" sheetId="1" r:id="rId2"/>
    <sheet name="EUR OIS" sheetId="2" r:id="rId3"/>
    <sheet name="EUR SWAP 3ML" sheetId="3" r:id="rId4"/>
    <sheet name="EUR SWAP 6ML" sheetId="4" r:id="rId5"/>
    <sheet name="CREDIT MKT DATA" sheetId="6" r:id="rId6"/>
    <sheet name="EUR_TRADE_TEMPLATES" sheetId="8" r:id="rId7"/>
    <sheet name="CREDIT MODEL" sheetId="7" r:id="rId8"/>
    <sheet name="CDS_PRICE" sheetId="9" r:id="rId9"/>
    <sheet name="CLN_PRICE" sheetId="11" r:id="rId10"/>
    <sheet name="BESPOKE_PRICE" sheetId="10" r:id="rId11"/>
    <sheet name="CUSTOM_STRUCTURE" sheetId="13" r:id="rId12"/>
  </sheets>
  <definedNames>
    <definedName name="CDS_MKT_DATA">'CREDIT MKT DATA'!$E$18:$J$25</definedName>
    <definedName name="CDS_SELECTION">'CREDIT MKT DATA'!$E$18:$E$25</definedName>
    <definedName name="CREDIT_MODEL">'CREDIT MODEL'!$C$4</definedName>
    <definedName name="CURRENT_IMM_DATE">'CREDIT MODEL'!$C$14</definedName>
    <definedName name="EUR_CDS">EUR_TRADE_TEMPLATES!$C$4</definedName>
    <definedName name="EUR_CLN">EUR_TRADE_TEMPLATES!$G$4</definedName>
    <definedName name="EUR_CURVE">'EUR OIS'!$D$28</definedName>
    <definedName name="Settings.COB">SETTINGS!$C$2</definedName>
    <definedName name="XccyStructure.CSA3" localSheetId="11">CUSTOM_STRUCTURE!$I$20</definedName>
    <definedName name="XccyStructure.Fee.Amount3" localSheetId="11">CUSTOM_STRUCTURE!$J$26</definedName>
    <definedName name="XccyStructure.Fee.Ccy3">CUSTOM_STRUCTURE!$J$24</definedName>
    <definedName name="XccyStructure.Fee.PayDate3" localSheetId="11">CUSTOM_STRUCTURE!$J$27</definedName>
    <definedName name="XccyStructure.Fee.PayRec3" localSheetId="11">CUSTOM_STRUCTURE!$J$25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13" l="1"/>
  <c r="Q27" i="13" l="1"/>
  <c r="O18" i="13"/>
  <c r="O17" i="13"/>
  <c r="O16" i="13"/>
  <c r="O15" i="13"/>
  <c r="O14" i="13"/>
  <c r="O13" i="13"/>
  <c r="E8" i="13"/>
  <c r="J25" i="6"/>
  <c r="G25" i="6"/>
  <c r="G4" i="8"/>
  <c r="F25" i="6"/>
  <c r="H25" i="6"/>
  <c r="E25" i="6"/>
  <c r="I25" i="6"/>
  <c r="C4" i="8"/>
  <c r="C7" i="9" l="1"/>
  <c r="C19" i="7"/>
  <c r="C7" i="11"/>
  <c r="E19" i="6"/>
  <c r="J23" i="6"/>
  <c r="I23" i="6"/>
  <c r="F22" i="6"/>
  <c r="I20" i="6"/>
  <c r="H22" i="6"/>
  <c r="G22" i="6"/>
  <c r="G19" i="6"/>
  <c r="H24" i="6"/>
  <c r="E22" i="6"/>
  <c r="E24" i="6"/>
  <c r="J20" i="6"/>
  <c r="F24" i="6"/>
  <c r="I22" i="6"/>
  <c r="F21" i="6"/>
  <c r="E21" i="6"/>
  <c r="H19" i="6"/>
  <c r="G24" i="6"/>
  <c r="J22" i="6"/>
  <c r="J19" i="6"/>
  <c r="I19" i="6"/>
  <c r="F18" i="6"/>
  <c r="B25" i="6" a="1"/>
  <c r="G21" i="6"/>
  <c r="H21" i="6"/>
  <c r="E20" i="6"/>
  <c r="H18" i="6"/>
  <c r="G18" i="6"/>
  <c r="F23" i="6"/>
  <c r="J21" i="6"/>
  <c r="F20" i="6"/>
  <c r="I18" i="6"/>
  <c r="F19" i="6"/>
  <c r="E23" i="6"/>
  <c r="I24" i="6"/>
  <c r="H23" i="6"/>
  <c r="J18" i="6"/>
  <c r="E18" i="6"/>
  <c r="G20" i="6"/>
  <c r="J24" i="6"/>
  <c r="G23" i="6"/>
  <c r="H20" i="6"/>
  <c r="I21" i="6"/>
  <c r="C20" i="7" l="1"/>
  <c r="G13" i="7"/>
  <c r="G11" i="7"/>
  <c r="G12" i="7"/>
  <c r="G10" i="7"/>
  <c r="C12" i="9"/>
  <c r="B25" i="6"/>
  <c r="R14" i="6"/>
  <c r="S14" i="6"/>
  <c r="G29" i="7" l="1"/>
  <c r="F14" i="6"/>
  <c r="H14" i="6"/>
  <c r="N14" i="6"/>
  <c r="E14" i="6"/>
  <c r="I14" i="6"/>
  <c r="G14" i="6"/>
  <c r="M14" i="6"/>
  <c r="K14" i="6"/>
  <c r="L14" i="6"/>
  <c r="L22" i="4" l="1"/>
  <c r="L21" i="4"/>
  <c r="L20" i="4"/>
  <c r="L19" i="4"/>
  <c r="L18" i="4"/>
  <c r="L17" i="4"/>
  <c r="L16" i="4"/>
  <c r="I16" i="4"/>
  <c r="L15" i="4"/>
  <c r="I15" i="4"/>
  <c r="L14" i="4"/>
  <c r="I14" i="4"/>
  <c r="L13" i="4"/>
  <c r="I13" i="4"/>
  <c r="L12" i="4"/>
  <c r="I12" i="4"/>
  <c r="L11" i="4"/>
  <c r="I11" i="4"/>
  <c r="L10" i="4"/>
  <c r="I10" i="4"/>
  <c r="L9" i="4"/>
  <c r="I9" i="4"/>
  <c r="F9" i="4"/>
  <c r="L8" i="4"/>
  <c r="I8" i="4"/>
  <c r="F8" i="4"/>
  <c r="L7" i="4"/>
  <c r="I7" i="4"/>
  <c r="F7" i="4"/>
  <c r="L6" i="4"/>
  <c r="I6" i="4"/>
  <c r="F6" i="4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F9" i="3"/>
  <c r="O8" i="3"/>
  <c r="F8" i="3"/>
  <c r="O7" i="3"/>
  <c r="F7" i="3"/>
  <c r="O6" i="3"/>
  <c r="F6" i="3"/>
  <c r="O23" i="2"/>
  <c r="L23" i="2"/>
  <c r="O22" i="2"/>
  <c r="L22" i="2"/>
  <c r="O21" i="2"/>
  <c r="L21" i="2"/>
  <c r="O20" i="2"/>
  <c r="L20" i="2"/>
  <c r="O19" i="2"/>
  <c r="L19" i="2"/>
  <c r="O18" i="2"/>
  <c r="L18" i="2"/>
  <c r="O17" i="2"/>
  <c r="L17" i="2"/>
  <c r="O16" i="2"/>
  <c r="L16" i="2"/>
  <c r="O15" i="2"/>
  <c r="L15" i="2"/>
  <c r="O14" i="2"/>
  <c r="L14" i="2"/>
  <c r="O13" i="2"/>
  <c r="L13" i="2"/>
  <c r="O12" i="2"/>
  <c r="L12" i="2"/>
  <c r="O11" i="2"/>
  <c r="L11" i="2"/>
  <c r="O10" i="2"/>
  <c r="L10" i="2"/>
  <c r="F10" i="2"/>
  <c r="O9" i="2"/>
  <c r="L9" i="2"/>
  <c r="F9" i="2"/>
  <c r="O8" i="2"/>
  <c r="L8" i="2"/>
  <c r="F8" i="2"/>
  <c r="O7" i="2"/>
  <c r="L7" i="2"/>
  <c r="F7" i="2"/>
  <c r="O6" i="2"/>
  <c r="L6" i="2"/>
  <c r="F6" i="2"/>
  <c r="AN58" i="1"/>
  <c r="AI58" i="1"/>
  <c r="AD58" i="1"/>
  <c r="Y58" i="1"/>
  <c r="Q58" i="1"/>
  <c r="AI40" i="1"/>
  <c r="AD40" i="1"/>
  <c r="Y40" i="1"/>
  <c r="Q40" i="1"/>
  <c r="AI39" i="1"/>
  <c r="AD39" i="1"/>
  <c r="Y39" i="1"/>
  <c r="Q39" i="1"/>
  <c r="AI38" i="1"/>
  <c r="AD38" i="1"/>
  <c r="Y38" i="1"/>
  <c r="AI37" i="1"/>
  <c r="AD37" i="1"/>
  <c r="Y37" i="1"/>
  <c r="AI36" i="1"/>
  <c r="AD36" i="1"/>
  <c r="Y36" i="1"/>
  <c r="AI35" i="1"/>
  <c r="AD35" i="1"/>
  <c r="AI34" i="1"/>
  <c r="AD34" i="1"/>
  <c r="AI33" i="1"/>
  <c r="AD33" i="1"/>
  <c r="AI32" i="1"/>
  <c r="AD32" i="1"/>
  <c r="AI31" i="1"/>
  <c r="AD31" i="1"/>
  <c r="AI30" i="1"/>
  <c r="AD30" i="1"/>
  <c r="AI29" i="1"/>
  <c r="AD29" i="1"/>
  <c r="AI28" i="1"/>
  <c r="AD28" i="1"/>
  <c r="AI27" i="1"/>
  <c r="AD27" i="1"/>
  <c r="AI26" i="1"/>
  <c r="AD26" i="1"/>
  <c r="AI25" i="1"/>
  <c r="AD25" i="1"/>
  <c r="AI24" i="1"/>
  <c r="AD24" i="1"/>
  <c r="AI23" i="1"/>
  <c r="AD23" i="1"/>
  <c r="AI22" i="1"/>
  <c r="AD22" i="1"/>
  <c r="C13" i="1"/>
  <c r="C12" i="1"/>
  <c r="C11" i="1"/>
  <c r="C10" i="1"/>
  <c r="C9" i="1"/>
  <c r="C8" i="1"/>
  <c r="C7" i="1"/>
  <c r="C2" i="5"/>
  <c r="R13" i="6"/>
  <c r="K13" i="6"/>
  <c r="K12" i="6"/>
  <c r="F11" i="6"/>
  <c r="G11" i="6"/>
  <c r="H10" i="6"/>
  <c r="L9" i="6"/>
  <c r="R8" i="6"/>
  <c r="G8" i="6"/>
  <c r="K7" i="6"/>
  <c r="G13" i="6"/>
  <c r="N11" i="6"/>
  <c r="M10" i="6"/>
  <c r="F8" i="6"/>
  <c r="I7" i="6"/>
  <c r="M7" i="6"/>
  <c r="S13" i="6"/>
  <c r="G12" i="6"/>
  <c r="S10" i="6"/>
  <c r="I9" i="6"/>
  <c r="K8" i="6"/>
  <c r="N10" i="6"/>
  <c r="F13" i="6"/>
  <c r="I13" i="6"/>
  <c r="N12" i="6"/>
  <c r="E11" i="6"/>
  <c r="R10" i="6"/>
  <c r="L10" i="6"/>
  <c r="G9" i="6"/>
  <c r="E8" i="6"/>
  <c r="S7" i="6"/>
  <c r="H7" i="6"/>
  <c r="S12" i="6"/>
  <c r="L11" i="6"/>
  <c r="I10" i="6"/>
  <c r="I8" i="6"/>
  <c r="G7" i="6"/>
  <c r="M13" i="6"/>
  <c r="S8" i="6"/>
  <c r="E13" i="6"/>
  <c r="M12" i="6"/>
  <c r="F10" i="6"/>
  <c r="N9" i="6"/>
  <c r="R7" i="6"/>
  <c r="K11" i="6"/>
  <c r="L13" i="6"/>
  <c r="R12" i="6"/>
  <c r="I12" i="6"/>
  <c r="H11" i="6"/>
  <c r="E10" i="6"/>
  <c r="S9" i="6"/>
  <c r="M9" i="6"/>
  <c r="H8" i="6"/>
  <c r="F7" i="6"/>
  <c r="L7" i="6"/>
  <c r="R11" i="6"/>
  <c r="M8" i="6"/>
  <c r="H13" i="6"/>
  <c r="F12" i="6"/>
  <c r="H12" i="6"/>
  <c r="I11" i="6"/>
  <c r="K10" i="6"/>
  <c r="R9" i="6"/>
  <c r="K9" i="6"/>
  <c r="N8" i="6"/>
  <c r="N7" i="6"/>
  <c r="L8" i="6"/>
  <c r="O14" i="6"/>
  <c r="N13" i="6"/>
  <c r="E12" i="6"/>
  <c r="S11" i="6"/>
  <c r="M11" i="6"/>
  <c r="G10" i="6"/>
  <c r="F9" i="6"/>
  <c r="H9" i="6"/>
  <c r="E7" i="6"/>
  <c r="L12" i="6"/>
  <c r="E9" i="6"/>
  <c r="I8" i="1"/>
  <c r="F11" i="13"/>
  <c r="C11" i="13"/>
  <c r="D11" i="13"/>
  <c r="E11" i="13"/>
  <c r="D8" i="10"/>
  <c r="C10" i="9"/>
  <c r="C10" i="11"/>
  <c r="C8" i="10"/>
  <c r="G11" i="13"/>
  <c r="H11" i="13"/>
  <c r="Q16" i="1"/>
  <c r="I9" i="1"/>
  <c r="K8" i="1"/>
  <c r="I10" i="1"/>
  <c r="J9" i="1"/>
  <c r="J10" i="1"/>
  <c r="K10" i="1"/>
  <c r="I11" i="1"/>
  <c r="J11" i="1"/>
  <c r="K11" i="1"/>
  <c r="G22" i="7" l="1"/>
  <c r="G23" i="7"/>
  <c r="G24" i="7"/>
  <c r="G25" i="7"/>
  <c r="G26" i="7"/>
  <c r="G27" i="7"/>
  <c r="G28" i="7"/>
  <c r="F29" i="7"/>
  <c r="K16" i="13"/>
  <c r="I10" i="2"/>
  <c r="H10" i="2"/>
  <c r="I9" i="2"/>
  <c r="H9" i="2"/>
  <c r="H8" i="2"/>
  <c r="I7" i="2"/>
  <c r="R16" i="1"/>
  <c r="J11" i="4" s="1"/>
  <c r="C9" i="7"/>
  <c r="Q14" i="6"/>
  <c r="E29" i="7" s="1"/>
  <c r="Q13" i="6"/>
  <c r="E28" i="7" s="1"/>
  <c r="Q12" i="6"/>
  <c r="E27" i="7" s="1"/>
  <c r="Q11" i="6"/>
  <c r="E26" i="7" s="1"/>
  <c r="Q10" i="6"/>
  <c r="E25" i="7" s="1"/>
  <c r="Q9" i="6"/>
  <c r="E24" i="7" s="1"/>
  <c r="Q8" i="6"/>
  <c r="E23" i="7" s="1"/>
  <c r="Q7" i="6"/>
  <c r="E22" i="7" s="1"/>
  <c r="U3" i="6"/>
  <c r="D8" i="4"/>
  <c r="D8" i="3"/>
  <c r="D9" i="2"/>
  <c r="V18" i="1"/>
  <c r="V17" i="1"/>
  <c r="V16" i="1"/>
  <c r="V15" i="1"/>
  <c r="V14" i="1"/>
  <c r="V13" i="1"/>
  <c r="V12" i="1"/>
  <c r="V11" i="1"/>
  <c r="O12" i="6"/>
  <c r="O13" i="6"/>
  <c r="O7" i="6"/>
  <c r="O10" i="6"/>
  <c r="O11" i="6"/>
  <c r="O8" i="6"/>
  <c r="O9" i="6"/>
  <c r="K9" i="1"/>
  <c r="L37" i="1"/>
  <c r="Q30" i="1"/>
  <c r="Y31" i="1"/>
  <c r="Q26" i="1"/>
  <c r="L45" i="1"/>
  <c r="L52" i="1"/>
  <c r="Q36" i="1"/>
  <c r="L38" i="1"/>
  <c r="L58" i="1"/>
  <c r="Q17" i="1"/>
  <c r="Y18" i="1"/>
  <c r="AN32" i="1"/>
  <c r="L50" i="1"/>
  <c r="L43" i="1"/>
  <c r="AD19" i="1"/>
  <c r="Y20" i="1"/>
  <c r="L8" i="1"/>
  <c r="AN23" i="1"/>
  <c r="AI11" i="1"/>
  <c r="Q10" i="1"/>
  <c r="AN9" i="1"/>
  <c r="Q8" i="1"/>
  <c r="Y7" i="1"/>
  <c r="L9" i="1"/>
  <c r="AN7" i="1"/>
  <c r="AD11" i="1"/>
  <c r="AN10" i="1"/>
  <c r="W14" i="1"/>
  <c r="L42" i="1"/>
  <c r="AN11" i="1"/>
  <c r="Y8" i="1"/>
  <c r="W16" i="1"/>
  <c r="J8" i="1"/>
  <c r="AN15" i="1"/>
  <c r="AN16" i="1"/>
  <c r="AI17" i="1"/>
  <c r="Q14" i="1"/>
  <c r="Q23" i="1"/>
  <c r="L25" i="1"/>
  <c r="AI20" i="1"/>
  <c r="AD21" i="1"/>
  <c r="Y26" i="1"/>
  <c r="AN29" i="1"/>
  <c r="AI12" i="1"/>
  <c r="Q33" i="1"/>
  <c r="Y24" i="1"/>
  <c r="L35" i="1"/>
  <c r="AD10" i="1"/>
  <c r="AN19" i="1"/>
  <c r="L21" i="1"/>
  <c r="AN30" i="1"/>
  <c r="Y11" i="1"/>
  <c r="Q11" i="1"/>
  <c r="AD9" i="1"/>
  <c r="C14" i="7"/>
  <c r="E12" i="13"/>
  <c r="L55" i="1"/>
  <c r="AN26" i="1"/>
  <c r="L31" i="1"/>
  <c r="L56" i="1"/>
  <c r="Q27" i="1"/>
  <c r="L40" i="1"/>
  <c r="Q12" i="1"/>
  <c r="Y13" i="1"/>
  <c r="AN28" i="1"/>
  <c r="L16" i="1"/>
  <c r="Y14" i="1"/>
  <c r="AD16" i="1"/>
  <c r="L53" i="1"/>
  <c r="AN18" i="1"/>
  <c r="L13" i="1"/>
  <c r="L20" i="1"/>
  <c r="L30" i="1"/>
  <c r="Q31" i="1"/>
  <c r="AN22" i="1"/>
  <c r="Y33" i="1"/>
  <c r="C9" i="10"/>
  <c r="L48" i="1"/>
  <c r="Y17" i="1"/>
  <c r="L26" i="1"/>
  <c r="AN14" i="1"/>
  <c r="L22" i="1"/>
  <c r="Q28" i="1"/>
  <c r="Y28" i="1"/>
  <c r="AN31" i="1"/>
  <c r="AD15" i="1"/>
  <c r="L41" i="1"/>
  <c r="L46" i="1"/>
  <c r="L7" i="1"/>
  <c r="L29" i="1"/>
  <c r="AN36" i="1"/>
  <c r="Y9" i="1"/>
  <c r="AI16" i="1"/>
  <c r="AD17" i="1"/>
  <c r="Q32" i="1"/>
  <c r="L19" i="1"/>
  <c r="AI8" i="1"/>
  <c r="AD7" i="1"/>
  <c r="AD12" i="1"/>
  <c r="X18" i="1"/>
  <c r="X16" i="1"/>
  <c r="G12" i="13"/>
  <c r="AI14" i="1"/>
  <c r="Q9" i="1"/>
  <c r="AI15" i="1"/>
  <c r="Y16" i="1"/>
  <c r="Q22" i="1"/>
  <c r="Y23" i="1"/>
  <c r="AN27" i="1"/>
  <c r="L36" i="1"/>
  <c r="AN20" i="1"/>
  <c r="Y32" i="1"/>
  <c r="Q18" i="1"/>
  <c r="AI9" i="1"/>
  <c r="Q7" i="1"/>
  <c r="H12" i="13"/>
  <c r="AN8" i="1"/>
  <c r="AD20" i="1"/>
  <c r="L51" i="1"/>
  <c r="L14" i="1"/>
  <c r="AN33" i="1"/>
  <c r="AN17" i="1"/>
  <c r="Q25" i="1"/>
  <c r="Y34" i="1"/>
  <c r="L39" i="1"/>
  <c r="Y30" i="1"/>
  <c r="Q19" i="1"/>
  <c r="AD13" i="1"/>
  <c r="L49" i="1"/>
  <c r="L54" i="1"/>
  <c r="L44" i="1"/>
  <c r="AN34" i="1"/>
  <c r="Y12" i="1"/>
  <c r="Q15" i="1"/>
  <c r="AN37" i="1"/>
  <c r="Q21" i="1"/>
  <c r="Y22" i="1"/>
  <c r="AN25" i="1"/>
  <c r="L24" i="1"/>
  <c r="L28" i="1"/>
  <c r="Q29" i="1"/>
  <c r="Y10" i="1"/>
  <c r="W11" i="1"/>
  <c r="X11" i="1"/>
  <c r="X13" i="1"/>
  <c r="X14" i="1"/>
  <c r="AI18" i="1"/>
  <c r="AD18" i="1"/>
  <c r="L15" i="1"/>
  <c r="Q13" i="1"/>
  <c r="L12" i="1"/>
  <c r="Q20" i="1"/>
  <c r="AI10" i="1"/>
  <c r="Q34" i="1"/>
  <c r="L33" i="1"/>
  <c r="C11" i="11"/>
  <c r="AN24" i="1"/>
  <c r="AI19" i="1"/>
  <c r="AN21" i="1"/>
  <c r="L17" i="1"/>
  <c r="Y27" i="1"/>
  <c r="L27" i="1"/>
  <c r="Q24" i="1"/>
  <c r="Y25" i="1"/>
  <c r="L23" i="1"/>
  <c r="L34" i="1"/>
  <c r="Q35" i="1"/>
  <c r="Q38" i="1"/>
  <c r="Y21" i="1"/>
  <c r="L32" i="1"/>
  <c r="Q37" i="1"/>
  <c r="AN13" i="1"/>
  <c r="Y29" i="1"/>
  <c r="Y15" i="1"/>
  <c r="L10" i="1"/>
  <c r="AI7" i="1"/>
  <c r="W18" i="1"/>
  <c r="AD14" i="1"/>
  <c r="L57" i="1"/>
  <c r="AN12" i="1"/>
  <c r="AI13" i="1"/>
  <c r="Y19" i="1"/>
  <c r="AI21" i="1"/>
  <c r="L18" i="1"/>
  <c r="AN35" i="1"/>
  <c r="L47" i="1"/>
  <c r="L11" i="1"/>
  <c r="V3" i="6"/>
  <c r="W13" i="1"/>
  <c r="AD8" i="1"/>
  <c r="X12" i="1"/>
  <c r="W17" i="1"/>
  <c r="X15" i="1"/>
  <c r="C12" i="13"/>
  <c r="F12" i="13"/>
  <c r="D9" i="10"/>
  <c r="C11" i="9"/>
  <c r="D12" i="13"/>
  <c r="U14" i="6"/>
  <c r="U10" i="6"/>
  <c r="U7" i="6"/>
  <c r="U11" i="6"/>
  <c r="V11" i="6" s="1"/>
  <c r="U12" i="6"/>
  <c r="V12" i="6" s="1"/>
  <c r="U13" i="6"/>
  <c r="V10" i="6"/>
  <c r="V13" i="6"/>
  <c r="U9" i="6"/>
  <c r="V9" i="6" s="1"/>
  <c r="U8" i="6"/>
  <c r="V8" i="6" s="1"/>
  <c r="M47" i="1" l="1"/>
  <c r="P12" i="2" s="1"/>
  <c r="AO35" i="1"/>
  <c r="M18" i="1"/>
  <c r="AJ21" i="1"/>
  <c r="Z19" i="1"/>
  <c r="P6" i="3" s="1"/>
  <c r="AJ13" i="1"/>
  <c r="AO12" i="1"/>
  <c r="M57" i="1"/>
  <c r="P22" i="2" s="1"/>
  <c r="AE14" i="1"/>
  <c r="Z15" i="1"/>
  <c r="Z29" i="1"/>
  <c r="P16" i="3" s="1"/>
  <c r="AO13" i="1"/>
  <c r="R37" i="1"/>
  <c r="M21" i="4" s="1"/>
  <c r="M32" i="1"/>
  <c r="M15" i="2" s="1"/>
  <c r="Z21" i="1"/>
  <c r="P8" i="3" s="1"/>
  <c r="R38" i="1"/>
  <c r="M22" i="4" s="1"/>
  <c r="M23" i="4" s="1"/>
  <c r="R35" i="1"/>
  <c r="M19" i="4" s="1"/>
  <c r="M34" i="1"/>
  <c r="M17" i="2" s="1"/>
  <c r="M23" i="1"/>
  <c r="M6" i="2" s="1"/>
  <c r="Z25" i="1"/>
  <c r="P12" i="3" s="1"/>
  <c r="R24" i="1"/>
  <c r="M8" i="4" s="1"/>
  <c r="M27" i="1"/>
  <c r="M10" i="2" s="1"/>
  <c r="Z27" i="1"/>
  <c r="P14" i="3" s="1"/>
  <c r="M17" i="1"/>
  <c r="AO21" i="1"/>
  <c r="AJ19" i="1"/>
  <c r="AO24" i="1"/>
  <c r="M33" i="1"/>
  <c r="M16" i="2" s="1"/>
  <c r="R34" i="1"/>
  <c r="M18" i="4" s="1"/>
  <c r="AJ10" i="1"/>
  <c r="R20" i="1"/>
  <c r="J15" i="4" s="1"/>
  <c r="M12" i="1"/>
  <c r="R13" i="1"/>
  <c r="J8" i="4" s="1"/>
  <c r="M15" i="1"/>
  <c r="AE18" i="1"/>
  <c r="AJ18" i="1"/>
  <c r="R29" i="1"/>
  <c r="M13" i="4" s="1"/>
  <c r="M28" i="1"/>
  <c r="M11" i="2" s="1"/>
  <c r="M24" i="1"/>
  <c r="M7" i="2" s="1"/>
  <c r="AO25" i="1"/>
  <c r="Z22" i="1"/>
  <c r="P9" i="3" s="1"/>
  <c r="R21" i="1"/>
  <c r="J16" i="4" s="1"/>
  <c r="AO37" i="1"/>
  <c r="R15" i="1"/>
  <c r="J10" i="4" s="1"/>
  <c r="Z12" i="1"/>
  <c r="L7" i="3" s="1"/>
  <c r="AO34" i="1"/>
  <c r="M44" i="1"/>
  <c r="P9" i="2" s="1"/>
  <c r="M54" i="1"/>
  <c r="P19" i="2" s="1"/>
  <c r="M49" i="1"/>
  <c r="P14" i="2" s="1"/>
  <c r="AE13" i="1"/>
  <c r="R19" i="1"/>
  <c r="J14" i="4" s="1"/>
  <c r="Z30" i="1"/>
  <c r="P17" i="3" s="1"/>
  <c r="M39" i="1"/>
  <c r="M22" i="2" s="1"/>
  <c r="Z34" i="1"/>
  <c r="P21" i="3" s="1"/>
  <c r="P22" i="3" s="1"/>
  <c r="R25" i="1"/>
  <c r="M9" i="4" s="1"/>
  <c r="AO17" i="1"/>
  <c r="AO33" i="1"/>
  <c r="M14" i="1"/>
  <c r="M51" i="1"/>
  <c r="P16" i="2" s="1"/>
  <c r="AE20" i="1"/>
  <c r="R18" i="1"/>
  <c r="J13" i="4" s="1"/>
  <c r="Z32" i="1"/>
  <c r="P19" i="3" s="1"/>
  <c r="AO20" i="1"/>
  <c r="M36" i="1"/>
  <c r="M19" i="2" s="1"/>
  <c r="AO27" i="1"/>
  <c r="Z23" i="1"/>
  <c r="P10" i="3" s="1"/>
  <c r="R22" i="1"/>
  <c r="M6" i="4" s="1"/>
  <c r="Z16" i="1"/>
  <c r="AJ15" i="1"/>
  <c r="R9" i="1"/>
  <c r="G8" i="4" s="1"/>
  <c r="AJ14" i="1"/>
  <c r="M19" i="1"/>
  <c r="R32" i="1"/>
  <c r="M16" i="4" s="1"/>
  <c r="AE17" i="1"/>
  <c r="AJ16" i="1"/>
  <c r="Z9" i="1"/>
  <c r="G8" i="3" s="1"/>
  <c r="AO36" i="1"/>
  <c r="M29" i="1"/>
  <c r="M12" i="2" s="1"/>
  <c r="M7" i="1"/>
  <c r="G6" i="2" s="1"/>
  <c r="M46" i="1"/>
  <c r="P11" i="2" s="1"/>
  <c r="M41" i="1"/>
  <c r="P6" i="2" s="1"/>
  <c r="AE15" i="1"/>
  <c r="AO31" i="1"/>
  <c r="Z28" i="1"/>
  <c r="P15" i="3" s="1"/>
  <c r="R28" i="1"/>
  <c r="M12" i="4" s="1"/>
  <c r="M22" i="1"/>
  <c r="AO14" i="1"/>
  <c r="M26" i="1"/>
  <c r="M9" i="2" s="1"/>
  <c r="Z17" i="1"/>
  <c r="M48" i="1"/>
  <c r="P13" i="2" s="1"/>
  <c r="Z33" i="1"/>
  <c r="P20" i="3" s="1"/>
  <c r="AO22" i="1"/>
  <c r="R31" i="1"/>
  <c r="M15" i="4" s="1"/>
  <c r="M30" i="1"/>
  <c r="M13" i="2" s="1"/>
  <c r="M20" i="1"/>
  <c r="M13" i="1"/>
  <c r="AO18" i="1"/>
  <c r="M53" i="1"/>
  <c r="P18" i="2" s="1"/>
  <c r="AE16" i="1"/>
  <c r="Z14" i="1"/>
  <c r="L9" i="3" s="1"/>
  <c r="M16" i="1"/>
  <c r="AO28" i="1"/>
  <c r="Z13" i="1"/>
  <c r="L8" i="3" s="1"/>
  <c r="R12" i="1"/>
  <c r="J7" i="4" s="1"/>
  <c r="M40" i="1"/>
  <c r="M23" i="2" s="1"/>
  <c r="M24" i="2" s="1"/>
  <c r="R27" i="1"/>
  <c r="M11" i="4" s="1"/>
  <c r="M56" i="1"/>
  <c r="P21" i="2" s="1"/>
  <c r="M31" i="1"/>
  <c r="M14" i="2" s="1"/>
  <c r="AO26" i="1"/>
  <c r="M55" i="1"/>
  <c r="P20" i="2" s="1"/>
  <c r="AO30" i="1"/>
  <c r="M21" i="1"/>
  <c r="AO19" i="1"/>
  <c r="AE10" i="1"/>
  <c r="M35" i="1"/>
  <c r="M18" i="2" s="1"/>
  <c r="Z24" i="1"/>
  <c r="P11" i="3" s="1"/>
  <c r="R33" i="1"/>
  <c r="M17" i="4" s="1"/>
  <c r="AJ12" i="1"/>
  <c r="AO29" i="1"/>
  <c r="Z26" i="1"/>
  <c r="P13" i="3" s="1"/>
  <c r="AE21" i="1"/>
  <c r="AJ20" i="1"/>
  <c r="M25" i="1"/>
  <c r="M8" i="2" s="1"/>
  <c r="R23" i="1"/>
  <c r="M7" i="4" s="1"/>
  <c r="R14" i="1"/>
  <c r="J9" i="4" s="1"/>
  <c r="AJ17" i="1"/>
  <c r="AO16" i="1"/>
  <c r="AO15" i="1"/>
  <c r="H7" i="2"/>
  <c r="AO11" i="1"/>
  <c r="M42" i="1"/>
  <c r="P7" i="2" s="1"/>
  <c r="AO23" i="1"/>
  <c r="M8" i="1"/>
  <c r="G7" i="2" s="1"/>
  <c r="Z20" i="1"/>
  <c r="P7" i="3" s="1"/>
  <c r="AE19" i="1"/>
  <c r="M43" i="1"/>
  <c r="P8" i="2" s="1"/>
  <c r="M50" i="1"/>
  <c r="P15" i="2" s="1"/>
  <c r="AO32" i="1"/>
  <c r="Z18" i="1"/>
  <c r="R17" i="1"/>
  <c r="J12" i="4" s="1"/>
  <c r="M58" i="1"/>
  <c r="P23" i="2" s="1"/>
  <c r="P24" i="2" s="1"/>
  <c r="M38" i="1"/>
  <c r="M21" i="2" s="1"/>
  <c r="R36" i="1"/>
  <c r="M20" i="4" s="1"/>
  <c r="M52" i="1"/>
  <c r="P17" i="2" s="1"/>
  <c r="M45" i="1"/>
  <c r="P10" i="2" s="1"/>
  <c r="R26" i="1"/>
  <c r="M10" i="4" s="1"/>
  <c r="Z31" i="1"/>
  <c r="P18" i="3" s="1"/>
  <c r="R30" i="1"/>
  <c r="M14" i="4" s="1"/>
  <c r="M37" i="1"/>
  <c r="M20" i="2" s="1"/>
  <c r="I8" i="2"/>
  <c r="F25" i="7"/>
  <c r="F28" i="7"/>
  <c r="F24" i="7"/>
  <c r="F27" i="7"/>
  <c r="F23" i="7"/>
  <c r="F26" i="7"/>
  <c r="F22" i="7"/>
  <c r="R8" i="1"/>
  <c r="G7" i="4" s="1"/>
  <c r="AE8" i="1"/>
  <c r="D12" i="1"/>
  <c r="E12" i="1" s="1"/>
  <c r="AJ7" i="1"/>
  <c r="AE9" i="1"/>
  <c r="AO9" i="1"/>
  <c r="AO8" i="1"/>
  <c r="AO10" i="1"/>
  <c r="R11" i="1"/>
  <c r="J6" i="4" s="1"/>
  <c r="R10" i="1"/>
  <c r="G9" i="4" s="1"/>
  <c r="D8" i="1"/>
  <c r="E8" i="1" s="1"/>
  <c r="R7" i="1"/>
  <c r="G6" i="4" s="1"/>
  <c r="AE12" i="1"/>
  <c r="AE11" i="1"/>
  <c r="Z8" i="1"/>
  <c r="G7" i="3" s="1"/>
  <c r="D11" i="1"/>
  <c r="E11" i="1" s="1"/>
  <c r="AE7" i="1"/>
  <c r="D13" i="1"/>
  <c r="E13" i="1" s="1"/>
  <c r="AO7" i="1"/>
  <c r="AJ9" i="1"/>
  <c r="AJ8" i="1"/>
  <c r="M9" i="1"/>
  <c r="G8" i="2" s="1"/>
  <c r="D7" i="1"/>
  <c r="E7" i="1" s="1"/>
  <c r="M11" i="1"/>
  <c r="G10" i="2" s="1"/>
  <c r="M10" i="1"/>
  <c r="G9" i="2" s="1"/>
  <c r="Z10" i="1"/>
  <c r="G9" i="3" s="1"/>
  <c r="D9" i="1"/>
  <c r="E9" i="1" s="1"/>
  <c r="Z7" i="1"/>
  <c r="G6" i="3" s="1"/>
  <c r="Z11" i="1"/>
  <c r="L6" i="3" s="1"/>
  <c r="AJ11" i="1"/>
  <c r="K17" i="13"/>
  <c r="Y13" i="6"/>
  <c r="Y12" i="6"/>
  <c r="Y11" i="6"/>
  <c r="Y10" i="6"/>
  <c r="Y9" i="6"/>
  <c r="Y8" i="6"/>
  <c r="X14" i="6"/>
  <c r="X13" i="6"/>
  <c r="X12" i="6"/>
  <c r="X11" i="6"/>
  <c r="X10" i="6"/>
  <c r="X9" i="6"/>
  <c r="X8" i="6"/>
  <c r="X7" i="6"/>
  <c r="K8" i="3"/>
  <c r="J8" i="3"/>
  <c r="C2" i="13"/>
  <c r="C2" i="10"/>
  <c r="K7" i="3"/>
  <c r="K9" i="3"/>
  <c r="J9" i="3"/>
  <c r="K6" i="3"/>
  <c r="J6" i="3"/>
  <c r="I8" i="3"/>
  <c r="C13" i="7"/>
  <c r="I7" i="3"/>
  <c r="I9" i="3"/>
  <c r="I6" i="3"/>
  <c r="V7" i="6"/>
  <c r="V14" i="6"/>
  <c r="X17" i="1"/>
  <c r="W15" i="1"/>
  <c r="H6" i="10"/>
  <c r="W12" i="1"/>
  <c r="D14" i="2"/>
  <c r="L6" i="13"/>
  <c r="C4" i="9"/>
  <c r="P24" i="13"/>
  <c r="D14" i="4"/>
  <c r="C4" i="11"/>
  <c r="C4" i="7"/>
  <c r="H26" i="7"/>
  <c r="H12" i="10"/>
  <c r="C25" i="9"/>
  <c r="H10" i="10"/>
  <c r="H9" i="10"/>
  <c r="C23" i="9"/>
  <c r="C21" i="9"/>
  <c r="C22" i="9"/>
  <c r="C20" i="9"/>
  <c r="C23" i="11"/>
  <c r="C22" i="11"/>
  <c r="C20" i="11"/>
  <c r="C24" i="11"/>
  <c r="C25" i="11"/>
  <c r="C21" i="11"/>
  <c r="H29" i="7"/>
  <c r="C24" i="9"/>
  <c r="J4" i="10" a="1"/>
  <c r="H13" i="10"/>
  <c r="H14" i="10"/>
  <c r="H23" i="7"/>
  <c r="H11" i="10"/>
  <c r="AA4" i="10" a="1"/>
  <c r="H24" i="7"/>
  <c r="H25" i="7"/>
  <c r="H22" i="7"/>
  <c r="H28" i="7"/>
  <c r="H27" i="7"/>
  <c r="D10" i="1" l="1"/>
  <c r="E10" i="1" s="1"/>
  <c r="E4" i="1" s="1"/>
  <c r="J7" i="3"/>
  <c r="Y14" i="6"/>
  <c r="Y7" i="6"/>
  <c r="S26" i="10"/>
  <c r="K26" i="10"/>
  <c r="S25" i="10"/>
  <c r="K25" i="10"/>
  <c r="S24" i="10"/>
  <c r="K24" i="10"/>
  <c r="S23" i="10"/>
  <c r="K23" i="10"/>
  <c r="S22" i="10"/>
  <c r="K22" i="10"/>
  <c r="S21" i="10"/>
  <c r="K21" i="10"/>
  <c r="S20" i="10"/>
  <c r="K20" i="10"/>
  <c r="S19" i="10"/>
  <c r="K19" i="10"/>
  <c r="S18" i="10"/>
  <c r="K18" i="10"/>
  <c r="S17" i="10"/>
  <c r="K17" i="10"/>
  <c r="S16" i="10"/>
  <c r="K16" i="10"/>
  <c r="S15" i="10"/>
  <c r="K15" i="10"/>
  <c r="S14" i="10"/>
  <c r="K14" i="10"/>
  <c r="U15" i="10"/>
  <c r="R26" i="10"/>
  <c r="J26" i="10"/>
  <c r="R25" i="10"/>
  <c r="J25" i="10"/>
  <c r="R24" i="10"/>
  <c r="J24" i="10"/>
  <c r="R23" i="10"/>
  <c r="J23" i="10"/>
  <c r="R22" i="10"/>
  <c r="J22" i="10"/>
  <c r="R21" i="10"/>
  <c r="J21" i="10"/>
  <c r="R20" i="10"/>
  <c r="J20" i="10"/>
  <c r="R19" i="10"/>
  <c r="J19" i="10"/>
  <c r="R18" i="10"/>
  <c r="J18" i="10"/>
  <c r="R17" i="10"/>
  <c r="J17" i="10"/>
  <c r="R16" i="10"/>
  <c r="J16" i="10"/>
  <c r="R15" i="10"/>
  <c r="J15" i="10"/>
  <c r="R14" i="10"/>
  <c r="J14" i="10"/>
  <c r="Q15" i="10"/>
  <c r="Q14" i="10"/>
  <c r="V15" i="10"/>
  <c r="N14" i="10"/>
  <c r="M26" i="10"/>
  <c r="M23" i="10"/>
  <c r="U21" i="10"/>
  <c r="M19" i="10"/>
  <c r="M14" i="10"/>
  <c r="L24" i="10"/>
  <c r="T21" i="10"/>
  <c r="L20" i="10"/>
  <c r="T16" i="10"/>
  <c r="L15" i="10"/>
  <c r="Y26" i="10"/>
  <c r="Q26" i="10"/>
  <c r="Y25" i="10"/>
  <c r="Q25" i="10"/>
  <c r="Y24" i="10"/>
  <c r="Q24" i="10"/>
  <c r="Y23" i="10"/>
  <c r="Q23" i="10"/>
  <c r="Y22" i="10"/>
  <c r="Q22" i="10"/>
  <c r="Y21" i="10"/>
  <c r="Q21" i="10"/>
  <c r="Y20" i="10"/>
  <c r="Q20" i="10"/>
  <c r="Y19" i="10"/>
  <c r="Q19" i="10"/>
  <c r="Y18" i="10"/>
  <c r="Q18" i="10"/>
  <c r="Y17" i="10"/>
  <c r="Q17" i="10"/>
  <c r="Y16" i="10"/>
  <c r="Q16" i="10"/>
  <c r="Y15" i="10"/>
  <c r="Y14" i="10"/>
  <c r="W16" i="10"/>
  <c r="W15" i="10"/>
  <c r="W14" i="10"/>
  <c r="U26" i="10"/>
  <c r="U20" i="10"/>
  <c r="U19" i="10"/>
  <c r="U18" i="10"/>
  <c r="U17" i="10"/>
  <c r="U16" i="10"/>
  <c r="L25" i="10"/>
  <c r="T22" i="10"/>
  <c r="T20" i="10"/>
  <c r="T19" i="10"/>
  <c r="L18" i="10"/>
  <c r="X26" i="10"/>
  <c r="P26" i="10"/>
  <c r="X25" i="10"/>
  <c r="P25" i="10"/>
  <c r="X24" i="10"/>
  <c r="P24" i="10"/>
  <c r="X23" i="10"/>
  <c r="P23" i="10"/>
  <c r="X22" i="10"/>
  <c r="P22" i="10"/>
  <c r="X21" i="10"/>
  <c r="P21" i="10"/>
  <c r="X20" i="10"/>
  <c r="P20" i="10"/>
  <c r="X19" i="10"/>
  <c r="P19" i="10"/>
  <c r="X18" i="10"/>
  <c r="P18" i="10"/>
  <c r="X17" i="10"/>
  <c r="P17" i="10"/>
  <c r="X16" i="10"/>
  <c r="P16" i="10"/>
  <c r="X15" i="10"/>
  <c r="P15" i="10"/>
  <c r="X14" i="10"/>
  <c r="P14" i="10"/>
  <c r="O15" i="10"/>
  <c r="O14" i="10"/>
  <c r="N15" i="10"/>
  <c r="M25" i="10"/>
  <c r="M24" i="10"/>
  <c r="M17" i="10"/>
  <c r="M16" i="10"/>
  <c r="L21" i="10"/>
  <c r="T18" i="10"/>
  <c r="L17" i="10"/>
  <c r="T14" i="10"/>
  <c r="W26" i="10"/>
  <c r="O26" i="10"/>
  <c r="W25" i="10"/>
  <c r="O25" i="10"/>
  <c r="W24" i="10"/>
  <c r="O24" i="10"/>
  <c r="W23" i="10"/>
  <c r="O23" i="10"/>
  <c r="W22" i="10"/>
  <c r="O22" i="10"/>
  <c r="W21" i="10"/>
  <c r="O21" i="10"/>
  <c r="W20" i="10"/>
  <c r="O20" i="10"/>
  <c r="W19" i="10"/>
  <c r="O19" i="10"/>
  <c r="W18" i="10"/>
  <c r="O18" i="10"/>
  <c r="W17" i="10"/>
  <c r="O17" i="10"/>
  <c r="O16" i="10"/>
  <c r="U23" i="10"/>
  <c r="M22" i="10"/>
  <c r="M18" i="10"/>
  <c r="M15" i="10"/>
  <c r="T26" i="10"/>
  <c r="T25" i="10"/>
  <c r="T24" i="10"/>
  <c r="L23" i="10"/>
  <c r="T17" i="10"/>
  <c r="L16" i="10"/>
  <c r="V26" i="10"/>
  <c r="N26" i="10"/>
  <c r="V25" i="10"/>
  <c r="N25" i="10"/>
  <c r="V24" i="10"/>
  <c r="N24" i="10"/>
  <c r="V23" i="10"/>
  <c r="N23" i="10"/>
  <c r="V22" i="10"/>
  <c r="N22" i="10"/>
  <c r="V21" i="10"/>
  <c r="N21" i="10"/>
  <c r="V20" i="10"/>
  <c r="N20" i="10"/>
  <c r="V19" i="10"/>
  <c r="N19" i="10"/>
  <c r="V18" i="10"/>
  <c r="N18" i="10"/>
  <c r="V17" i="10"/>
  <c r="N17" i="10"/>
  <c r="V16" i="10"/>
  <c r="N16" i="10"/>
  <c r="V14" i="10"/>
  <c r="U25" i="10"/>
  <c r="U24" i="10"/>
  <c r="U22" i="10"/>
  <c r="M21" i="10"/>
  <c r="M20" i="10"/>
  <c r="U14" i="10"/>
  <c r="L26" i="10"/>
  <c r="T23" i="10"/>
  <c r="L22" i="10"/>
  <c r="L19" i="10"/>
  <c r="T15" i="10"/>
  <c r="L14" i="10"/>
  <c r="Y13" i="10"/>
  <c r="Q13" i="10"/>
  <c r="P13" i="10"/>
  <c r="K13" i="10"/>
  <c r="X13" i="10"/>
  <c r="W13" i="10"/>
  <c r="O13" i="10"/>
  <c r="V13" i="10"/>
  <c r="N13" i="10"/>
  <c r="U13" i="10"/>
  <c r="M13" i="10"/>
  <c r="T13" i="10"/>
  <c r="S13" i="10"/>
  <c r="J13" i="10"/>
  <c r="L13" i="10"/>
  <c r="R13" i="10"/>
  <c r="Y12" i="10"/>
  <c r="Q12" i="10"/>
  <c r="X12" i="10"/>
  <c r="P12" i="10"/>
  <c r="W12" i="10"/>
  <c r="O12" i="10"/>
  <c r="V12" i="10"/>
  <c r="N12" i="10"/>
  <c r="U12" i="10"/>
  <c r="M12" i="10"/>
  <c r="T12" i="10"/>
  <c r="L12" i="10"/>
  <c r="S12" i="10"/>
  <c r="K12" i="10"/>
  <c r="R12" i="10"/>
  <c r="J12" i="10"/>
  <c r="Y11" i="10"/>
  <c r="Q11" i="10"/>
  <c r="X11" i="10"/>
  <c r="P11" i="10"/>
  <c r="O11" i="10"/>
  <c r="M11" i="10"/>
  <c r="T11" i="10"/>
  <c r="N11" i="10"/>
  <c r="U11" i="10"/>
  <c r="L11" i="10"/>
  <c r="S11" i="10"/>
  <c r="R11" i="10"/>
  <c r="W11" i="10"/>
  <c r="V11" i="10"/>
  <c r="K11" i="10"/>
  <c r="J11" i="10"/>
  <c r="Y10" i="10"/>
  <c r="Q10" i="10"/>
  <c r="X10" i="10"/>
  <c r="P10" i="10"/>
  <c r="W10" i="10"/>
  <c r="O10" i="10"/>
  <c r="V10" i="10"/>
  <c r="N10" i="10"/>
  <c r="M10" i="10"/>
  <c r="T10" i="10"/>
  <c r="L10" i="10"/>
  <c r="R10" i="10"/>
  <c r="U10" i="10"/>
  <c r="S10" i="10"/>
  <c r="K10" i="10"/>
  <c r="J10" i="10"/>
  <c r="W9" i="10"/>
  <c r="O9" i="10"/>
  <c r="V9" i="10"/>
  <c r="N9" i="10"/>
  <c r="U9" i="10"/>
  <c r="M9" i="10"/>
  <c r="T9" i="10"/>
  <c r="L9" i="10"/>
  <c r="S9" i="10"/>
  <c r="K9" i="10"/>
  <c r="R9" i="10"/>
  <c r="J9" i="10"/>
  <c r="Y9" i="10"/>
  <c r="Q9" i="10"/>
  <c r="X9" i="10"/>
  <c r="P9" i="10"/>
  <c r="Y8" i="10"/>
  <c r="Q8" i="10"/>
  <c r="U8" i="10"/>
  <c r="T8" i="10"/>
  <c r="L8" i="10"/>
  <c r="K8" i="10"/>
  <c r="R8" i="10"/>
  <c r="X8" i="10"/>
  <c r="P8" i="10"/>
  <c r="W8" i="10"/>
  <c r="O8" i="10"/>
  <c r="V8" i="10"/>
  <c r="N8" i="10"/>
  <c r="M8" i="10"/>
  <c r="S8" i="10"/>
  <c r="J8" i="10"/>
  <c r="Y7" i="10"/>
  <c r="Q7" i="10"/>
  <c r="Y6" i="10"/>
  <c r="Q6" i="10"/>
  <c r="X6" i="10"/>
  <c r="P6" i="10"/>
  <c r="M6" i="10"/>
  <c r="L6" i="10"/>
  <c r="S7" i="10"/>
  <c r="K6" i="10"/>
  <c r="J7" i="10"/>
  <c r="X7" i="10"/>
  <c r="P7" i="10"/>
  <c r="K7" i="10"/>
  <c r="R6" i="10"/>
  <c r="W7" i="10"/>
  <c r="O7" i="10"/>
  <c r="W6" i="10"/>
  <c r="O6" i="10"/>
  <c r="U7" i="10"/>
  <c r="M7" i="10"/>
  <c r="U6" i="10"/>
  <c r="R7" i="10"/>
  <c r="J6" i="10"/>
  <c r="V7" i="10"/>
  <c r="N7" i="10"/>
  <c r="V6" i="10"/>
  <c r="N6" i="10"/>
  <c r="T6" i="10"/>
  <c r="S6" i="10"/>
  <c r="T7" i="10"/>
  <c r="L7" i="10"/>
  <c r="Y5" i="10"/>
  <c r="Q5" i="10"/>
  <c r="X5" i="10"/>
  <c r="P5" i="10"/>
  <c r="W5" i="10"/>
  <c r="O5" i="10"/>
  <c r="V5" i="10"/>
  <c r="N5" i="10"/>
  <c r="U5" i="10"/>
  <c r="M5" i="10"/>
  <c r="T5" i="10"/>
  <c r="L5" i="10"/>
  <c r="S5" i="10"/>
  <c r="R5" i="10"/>
  <c r="J5" i="10"/>
  <c r="K5" i="10"/>
  <c r="Y4" i="10"/>
  <c r="Q4" i="10"/>
  <c r="X4" i="10"/>
  <c r="P4" i="10"/>
  <c r="W4" i="10"/>
  <c r="O4" i="10"/>
  <c r="V4" i="10"/>
  <c r="N4" i="10"/>
  <c r="U4" i="10"/>
  <c r="M4" i="10"/>
  <c r="T4" i="10"/>
  <c r="L4" i="10"/>
  <c r="S4" i="10"/>
  <c r="K4" i="10"/>
  <c r="R4" i="10"/>
  <c r="J4" i="10"/>
  <c r="AJ26" i="10"/>
  <c r="AB26" i="10"/>
  <c r="AJ25" i="10"/>
  <c r="AB25" i="10"/>
  <c r="AJ24" i="10"/>
  <c r="AB24" i="10"/>
  <c r="AJ23" i="10"/>
  <c r="AB23" i="10"/>
  <c r="AJ22" i="10"/>
  <c r="AB22" i="10"/>
  <c r="AJ21" i="10"/>
  <c r="AB21" i="10"/>
  <c r="AJ20" i="10"/>
  <c r="AB20" i="10"/>
  <c r="AJ19" i="10"/>
  <c r="AB19" i="10"/>
  <c r="AJ18" i="10"/>
  <c r="AB18" i="10"/>
  <c r="AJ17" i="10"/>
  <c r="AB17" i="10"/>
  <c r="AJ16" i="10"/>
  <c r="AB16" i="10"/>
  <c r="AJ15" i="10"/>
  <c r="AB15" i="10"/>
  <c r="AJ14" i="10"/>
  <c r="AB14" i="10"/>
  <c r="AD25" i="10"/>
  <c r="AI26" i="10"/>
  <c r="AA26" i="10"/>
  <c r="AI25" i="10"/>
  <c r="AA25" i="10"/>
  <c r="AI24" i="10"/>
  <c r="AA24" i="10"/>
  <c r="AI23" i="10"/>
  <c r="AA23" i="10"/>
  <c r="AI22" i="10"/>
  <c r="AA22" i="10"/>
  <c r="AI21" i="10"/>
  <c r="AA21" i="10"/>
  <c r="AI20" i="10"/>
  <c r="AA20" i="10"/>
  <c r="AI19" i="10"/>
  <c r="AA19" i="10"/>
  <c r="AI18" i="10"/>
  <c r="AA18" i="10"/>
  <c r="AI17" i="10"/>
  <c r="AA17" i="10"/>
  <c r="AI16" i="10"/>
  <c r="AA16" i="10"/>
  <c r="AI15" i="10"/>
  <c r="AA15" i="10"/>
  <c r="AI14" i="10"/>
  <c r="AA14" i="10"/>
  <c r="AH16" i="10"/>
  <c r="AH15" i="10"/>
  <c r="AH14" i="10"/>
  <c r="AF16" i="10"/>
  <c r="AF15" i="10"/>
  <c r="AF14" i="10"/>
  <c r="AD17" i="10"/>
  <c r="AL15" i="10"/>
  <c r="AK25" i="10"/>
  <c r="AK22" i="10"/>
  <c r="AK18" i="10"/>
  <c r="AC17" i="10"/>
  <c r="AP26" i="10"/>
  <c r="AH26" i="10"/>
  <c r="AP25" i="10"/>
  <c r="AH25" i="10"/>
  <c r="AP24" i="10"/>
  <c r="AH24" i="10"/>
  <c r="AP23" i="10"/>
  <c r="AH23" i="10"/>
  <c r="AP22" i="10"/>
  <c r="AH22" i="10"/>
  <c r="AP21" i="10"/>
  <c r="AH21" i="10"/>
  <c r="AP20" i="10"/>
  <c r="AH20" i="10"/>
  <c r="AP19" i="10"/>
  <c r="AH19" i="10"/>
  <c r="AP18" i="10"/>
  <c r="AH18" i="10"/>
  <c r="AP17" i="10"/>
  <c r="AH17" i="10"/>
  <c r="AP16" i="10"/>
  <c r="AP15" i="10"/>
  <c r="AP14" i="10"/>
  <c r="AE15" i="10"/>
  <c r="AE14" i="10"/>
  <c r="AL24" i="10"/>
  <c r="AL23" i="10"/>
  <c r="AL22" i="10"/>
  <c r="AL21" i="10"/>
  <c r="AD14" i="10"/>
  <c r="AK26" i="10"/>
  <c r="AK23" i="10"/>
  <c r="AC21" i="10"/>
  <c r="AK16" i="10"/>
  <c r="AC15" i="10"/>
  <c r="AC14" i="10"/>
  <c r="AO26" i="10"/>
  <c r="AG26" i="10"/>
  <c r="AO25" i="10"/>
  <c r="AG25" i="10"/>
  <c r="AO24" i="10"/>
  <c r="AG24" i="10"/>
  <c r="AO23" i="10"/>
  <c r="AG23" i="10"/>
  <c r="AO22" i="10"/>
  <c r="AG22" i="10"/>
  <c r="AO21" i="10"/>
  <c r="AG21" i="10"/>
  <c r="AO20" i="10"/>
  <c r="AG20" i="10"/>
  <c r="AO19" i="10"/>
  <c r="AG19" i="10"/>
  <c r="AO18" i="10"/>
  <c r="AG18" i="10"/>
  <c r="AO17" i="10"/>
  <c r="AG17" i="10"/>
  <c r="AO16" i="10"/>
  <c r="AG16" i="10"/>
  <c r="AO15" i="10"/>
  <c r="AG15" i="10"/>
  <c r="AO14" i="10"/>
  <c r="AG14" i="10"/>
  <c r="AN16" i="10"/>
  <c r="AN15" i="10"/>
  <c r="AL26" i="10"/>
  <c r="AD22" i="10"/>
  <c r="AD21" i="10"/>
  <c r="AD20" i="10"/>
  <c r="AL19" i="10"/>
  <c r="AD18" i="10"/>
  <c r="AL14" i="10"/>
  <c r="AC26" i="10"/>
  <c r="AC25" i="10"/>
  <c r="AC24" i="10"/>
  <c r="AC23" i="10"/>
  <c r="AC22" i="10"/>
  <c r="AK19" i="10"/>
  <c r="AK15" i="10"/>
  <c r="AN26" i="10"/>
  <c r="AF26" i="10"/>
  <c r="AN25" i="10"/>
  <c r="AF25" i="10"/>
  <c r="AN24" i="10"/>
  <c r="AF24" i="10"/>
  <c r="AN23" i="10"/>
  <c r="AF23" i="10"/>
  <c r="AN22" i="10"/>
  <c r="AF22" i="10"/>
  <c r="AN21" i="10"/>
  <c r="AF21" i="10"/>
  <c r="AN20" i="10"/>
  <c r="AF20" i="10"/>
  <c r="AN19" i="10"/>
  <c r="AF19" i="10"/>
  <c r="AN18" i="10"/>
  <c r="AF18" i="10"/>
  <c r="AN17" i="10"/>
  <c r="AF17" i="10"/>
  <c r="AN14" i="10"/>
  <c r="AM14" i="10"/>
  <c r="AD26" i="10"/>
  <c r="AD24" i="10"/>
  <c r="AL20" i="10"/>
  <c r="AD19" i="10"/>
  <c r="AL16" i="10"/>
  <c r="AK21" i="10"/>
  <c r="AC20" i="10"/>
  <c r="AC19" i="10"/>
  <c r="AC18" i="10"/>
  <c r="AK14" i="10"/>
  <c r="AM26" i="10"/>
  <c r="AE26" i="10"/>
  <c r="AM25" i="10"/>
  <c r="AE25" i="10"/>
  <c r="AM24" i="10"/>
  <c r="AE24" i="10"/>
  <c r="AM23" i="10"/>
  <c r="AE23" i="10"/>
  <c r="AM22" i="10"/>
  <c r="AE22" i="10"/>
  <c r="AM21" i="10"/>
  <c r="AE21" i="10"/>
  <c r="AM20" i="10"/>
  <c r="AE20" i="10"/>
  <c r="AM19" i="10"/>
  <c r="AE19" i="10"/>
  <c r="AM18" i="10"/>
  <c r="AE18" i="10"/>
  <c r="AM17" i="10"/>
  <c r="AE17" i="10"/>
  <c r="AM16" i="10"/>
  <c r="AE16" i="10"/>
  <c r="AM15" i="10"/>
  <c r="AL25" i="10"/>
  <c r="AD23" i="10"/>
  <c r="AL18" i="10"/>
  <c r="AL17" i="10"/>
  <c r="AD16" i="10"/>
  <c r="AD15" i="10"/>
  <c r="AK24" i="10"/>
  <c r="AK20" i="10"/>
  <c r="AK17" i="10"/>
  <c r="AC16" i="10"/>
  <c r="AP13" i="10"/>
  <c r="AH13" i="10"/>
  <c r="AG13" i="10"/>
  <c r="AA13" i="10"/>
  <c r="AO13" i="10"/>
  <c r="AN13" i="10"/>
  <c r="AF13" i="10"/>
  <c r="AM13" i="10"/>
  <c r="AE13" i="10"/>
  <c r="AL13" i="10"/>
  <c r="AD13" i="10"/>
  <c r="AK13" i="10"/>
  <c r="AJ13" i="10"/>
  <c r="AI13" i="10"/>
  <c r="AC13" i="10"/>
  <c r="AB13" i="10"/>
  <c r="AP12" i="10"/>
  <c r="AH12" i="10"/>
  <c r="AO12" i="10"/>
  <c r="AG12" i="10"/>
  <c r="AN12" i="10"/>
  <c r="AF12" i="10"/>
  <c r="AM12" i="10"/>
  <c r="AE12" i="10"/>
  <c r="AL12" i="10"/>
  <c r="AD12" i="10"/>
  <c r="AK12" i="10"/>
  <c r="AC12" i="10"/>
  <c r="AJ12" i="10"/>
  <c r="AB12" i="10"/>
  <c r="AI12" i="10"/>
  <c r="AA12" i="10"/>
  <c r="AP11" i="10"/>
  <c r="AH11" i="10"/>
  <c r="AG11" i="10"/>
  <c r="AF11" i="10"/>
  <c r="AE11" i="10"/>
  <c r="AL11" i="10"/>
  <c r="AJ11" i="10"/>
  <c r="AO11" i="10"/>
  <c r="AM11" i="10"/>
  <c r="AK11" i="10"/>
  <c r="AI11" i="10"/>
  <c r="AN11" i="10"/>
  <c r="AD11" i="10"/>
  <c r="AC11" i="10"/>
  <c r="AB11" i="10"/>
  <c r="AA11" i="10"/>
  <c r="AP10" i="10"/>
  <c r="AH10" i="10"/>
  <c r="AO10" i="10"/>
  <c r="AG10" i="10"/>
  <c r="AN10" i="10"/>
  <c r="AF10" i="10"/>
  <c r="AM10" i="10"/>
  <c r="AE10" i="10"/>
  <c r="AL10" i="10"/>
  <c r="AD10" i="10"/>
  <c r="AC10" i="10"/>
  <c r="AJ10" i="10"/>
  <c r="AB10" i="10"/>
  <c r="AK10" i="10"/>
  <c r="AI10" i="10"/>
  <c r="AA10" i="10"/>
  <c r="AN9" i="10"/>
  <c r="AF9" i="10"/>
  <c r="AM9" i="10"/>
  <c r="AE9" i="10"/>
  <c r="AL9" i="10"/>
  <c r="AD9" i="10"/>
  <c r="AK9" i="10"/>
  <c r="AC9" i="10"/>
  <c r="AJ9" i="10"/>
  <c r="AB9" i="10"/>
  <c r="AI9" i="10"/>
  <c r="AA9" i="10"/>
  <c r="AP9" i="10"/>
  <c r="AH9" i="10"/>
  <c r="AO9" i="10"/>
  <c r="AG9" i="10"/>
  <c r="AP8" i="10"/>
  <c r="AH8" i="10"/>
  <c r="AD8" i="10"/>
  <c r="AC8" i="10"/>
  <c r="AJ8" i="10"/>
  <c r="AB8" i="10"/>
  <c r="AO8" i="10"/>
  <c r="AG8" i="10"/>
  <c r="AN8" i="10"/>
  <c r="AF8" i="10"/>
  <c r="AM8" i="10"/>
  <c r="AE8" i="10"/>
  <c r="AL8" i="10"/>
  <c r="AI8" i="10"/>
  <c r="AK8" i="10"/>
  <c r="AA8" i="10"/>
  <c r="AP7" i="10"/>
  <c r="AH7" i="10"/>
  <c r="AP6" i="10"/>
  <c r="AH6" i="10"/>
  <c r="AO6" i="10"/>
  <c r="AD6" i="10"/>
  <c r="AO7" i="10"/>
  <c r="AG7" i="10"/>
  <c r="AG6" i="10"/>
  <c r="AI7" i="10"/>
  <c r="AN7" i="10"/>
  <c r="AF7" i="10"/>
  <c r="AN6" i="10"/>
  <c r="AF6" i="10"/>
  <c r="AL7" i="10"/>
  <c r="AJ7" i="10"/>
  <c r="AJ6" i="10"/>
  <c r="AM7" i="10"/>
  <c r="AE7" i="10"/>
  <c r="AM6" i="10"/>
  <c r="AE6" i="10"/>
  <c r="AD7" i="10"/>
  <c r="AL6" i="10"/>
  <c r="AB7" i="10"/>
  <c r="AA6" i="10"/>
  <c r="AB6" i="10"/>
  <c r="AI6" i="10"/>
  <c r="AK7" i="10"/>
  <c r="AC7" i="10"/>
  <c r="AK6" i="10"/>
  <c r="AC6" i="10"/>
  <c r="AA7" i="10"/>
  <c r="AP5" i="10"/>
  <c r="AH5" i="10"/>
  <c r="AP4" i="10"/>
  <c r="AH4" i="10"/>
  <c r="AO5" i="10"/>
  <c r="AG5" i="10"/>
  <c r="AO4" i="10"/>
  <c r="AG4" i="10"/>
  <c r="AN5" i="10"/>
  <c r="AF5" i="10"/>
  <c r="AN4" i="10"/>
  <c r="AF4" i="10"/>
  <c r="AM5" i="10"/>
  <c r="AE5" i="10"/>
  <c r="AM4" i="10"/>
  <c r="AE4" i="10"/>
  <c r="AL5" i="10"/>
  <c r="AD5" i="10"/>
  <c r="AL4" i="10"/>
  <c r="AD4" i="10"/>
  <c r="AK5" i="10"/>
  <c r="AK4" i="10"/>
  <c r="AJ5" i="10"/>
  <c r="AJ4" i="10"/>
  <c r="AI5" i="10"/>
  <c r="AC5" i="10"/>
  <c r="AC4" i="10"/>
  <c r="AB5" i="10"/>
  <c r="AB4" i="10"/>
  <c r="AA5" i="10"/>
  <c r="AI4" i="10"/>
  <c r="AA4" i="10"/>
  <c r="P9" i="13"/>
  <c r="C16" i="11"/>
  <c r="C16" i="9"/>
  <c r="B4" i="1"/>
  <c r="D28" i="2" a="1"/>
  <c r="D14" i="3"/>
  <c r="D28" i="2" l="1"/>
  <c r="D31" i="2"/>
  <c r="D30" i="2"/>
  <c r="D29" i="2"/>
  <c r="D32" i="2"/>
  <c r="R6" i="13" l="1"/>
  <c r="C15" i="11"/>
  <c r="C15" i="9"/>
  <c r="D28" i="3" a="1"/>
  <c r="D29" i="3" l="1"/>
  <c r="D28" i="3"/>
  <c r="D30" i="3"/>
  <c r="D31" i="3"/>
  <c r="D32" i="3"/>
  <c r="R7" i="13" l="1"/>
  <c r="D28" i="4" a="1"/>
  <c r="D31" i="4" l="1"/>
  <c r="D30" i="4"/>
  <c r="D29" i="4"/>
  <c r="D28" i="4"/>
  <c r="D32" i="4"/>
  <c r="R8" i="13" l="1"/>
  <c r="P10" i="13"/>
  <c r="P25" i="13"/>
  <c r="G9" i="13" l="1"/>
  <c r="P7" i="13"/>
  <c r="P27" i="13"/>
  <c r="P8" i="13"/>
  <c r="P13" i="13"/>
  <c r="P18" i="13"/>
  <c r="P15" i="13"/>
  <c r="P16" i="13"/>
  <c r="P17" i="13"/>
  <c r="P14" i="13"/>
  <c r="P19" i="13"/>
  <c r="P20" i="13"/>
</calcChain>
</file>

<file path=xl/comments1.xml><?xml version="1.0" encoding="utf-8"?>
<comments xmlns="http://schemas.openxmlformats.org/spreadsheetml/2006/main">
  <authors>
    <author>Nicholas Burgess</author>
  </authors>
  <commentList>
    <comment ref="C10" authorId="0" shapeId="0">
      <text>
        <r>
          <rPr>
            <b/>
            <sz val="11"/>
            <color indexed="81"/>
            <rFont val="Calibri"/>
            <family val="2"/>
            <scheme val="minor"/>
          </rPr>
          <t xml:space="preserve">SpotLag:
</t>
        </r>
        <r>
          <rPr>
            <sz val="11"/>
            <color indexed="81"/>
            <rFont val="Calibri"/>
            <family val="2"/>
            <scheme val="minor"/>
          </rPr>
          <t>Typically 5D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>
      <text>
        <r>
          <rPr>
            <b/>
            <sz val="11"/>
            <color indexed="81"/>
            <rFont val="Calibri"/>
            <family val="2"/>
            <scheme val="minor"/>
          </rPr>
          <t xml:space="preserve">Accrual Start Date:
</t>
        </r>
        <r>
          <rPr>
            <sz val="11"/>
            <color indexed="81"/>
            <rFont val="Calibri"/>
            <family val="2"/>
            <scheme val="minor"/>
          </rPr>
          <t>Usually the asOfDate. The premium leg starts from the IMM Reference Date. We are required to compensate for dirty acrrued interest owed between the IMM Reference Date to the AccrualStartDate.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>
      <text>
        <r>
          <rPr>
            <b/>
            <sz val="11"/>
            <color indexed="81"/>
            <rFont val="Calibri"/>
            <family val="2"/>
            <scheme val="minor"/>
          </rPr>
          <t xml:space="preserve">IMM Reference Date:
</t>
        </r>
        <r>
          <rPr>
            <sz val="11"/>
            <color indexed="81"/>
            <rFont val="Calibri"/>
            <family val="2"/>
            <scheme val="minor"/>
          </rPr>
          <t>CDS are cleared instruments with standardized coupon dates. As such premium leg coupons start from the last IMM reference 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 shapeId="0">
      <text>
        <r>
          <rPr>
            <b/>
            <sz val="11"/>
            <color indexed="81"/>
            <rFont val="Calibri"/>
            <family val="2"/>
            <scheme val="minor"/>
          </rPr>
          <t xml:space="preserve">IncludeAccruedInterest: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on default we are required to pay premium accrued up to the default date.</t>
        </r>
      </text>
    </comment>
    <comment ref="C21" authorId="0" shapeId="0">
      <text>
        <r>
          <rPr>
            <b/>
            <sz val="11"/>
            <color indexed="81"/>
            <rFont val="Calibri"/>
            <family val="2"/>
            <scheme val="minor"/>
          </rPr>
          <t xml:space="preserve">BondHasRiskyAccruedInterest: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bond accrued interest should be treated as credit risky.</t>
        </r>
      </text>
    </comment>
  </commentList>
</comments>
</file>

<file path=xl/sharedStrings.xml><?xml version="1.0" encoding="utf-8"?>
<sst xmlns="http://schemas.openxmlformats.org/spreadsheetml/2006/main" count="1230" uniqueCount="531">
  <si>
    <t>ALL MKT DATA LOADED</t>
  </si>
  <si>
    <t>TOTAL</t>
  </si>
  <si>
    <t>EUR OIS</t>
  </si>
  <si>
    <t>EUR SWAP 6ML</t>
  </si>
  <si>
    <t>EUR SWAP 3ML</t>
  </si>
  <si>
    <t>EUR BASIS 1ML</t>
  </si>
  <si>
    <t>EUR BASIS 12ML</t>
  </si>
  <si>
    <t>EUR XCCY BASIS</t>
  </si>
  <si>
    <t>INSTRUMENT</t>
  </si>
  <si>
    <t>DATA POINTS</t>
  </si>
  <si>
    <t>LOADED</t>
  </si>
  <si>
    <t>MISSING</t>
  </si>
  <si>
    <t>TICKER</t>
  </si>
  <si>
    <t>TERM</t>
  </si>
  <si>
    <t>ECB Meeting Date</t>
  </si>
  <si>
    <t>ECB Swap Start</t>
  </si>
  <si>
    <t>ECB Swap End</t>
  </si>
  <si>
    <t>BBG</t>
  </si>
  <si>
    <t>Used %</t>
  </si>
  <si>
    <t>START_DT</t>
  </si>
  <si>
    <t>END_DT</t>
  </si>
  <si>
    <t>EONIA ICPL Index</t>
  </si>
  <si>
    <t>ON</t>
  </si>
  <si>
    <t>EE0001M Index</t>
  </si>
  <si>
    <t>1M</t>
  </si>
  <si>
    <t>EUBSA1 CMPN Curncy</t>
  </si>
  <si>
    <t>1Y</t>
  </si>
  <si>
    <t>EUBSS1 ICPL Curncy</t>
  </si>
  <si>
    <t>EUR L160 Curncy</t>
  </si>
  <si>
    <t>EURUSD Spot</t>
  </si>
  <si>
    <t>EUSF1A ICPL Curncy</t>
  </si>
  <si>
    <t>ECB1</t>
  </si>
  <si>
    <t>EE0003M Index</t>
  </si>
  <si>
    <t>3M</t>
  </si>
  <si>
    <t>EUBSA2 CMPN Curncy</t>
  </si>
  <si>
    <t>2Y</t>
  </si>
  <si>
    <t>EUBSS2 ICPL Curncy</t>
  </si>
  <si>
    <t>EURON Curncy</t>
  </si>
  <si>
    <t>EUSF2A ICPL Curncy</t>
  </si>
  <si>
    <t>ECB2</t>
  </si>
  <si>
    <t>EE0006M Index</t>
  </si>
  <si>
    <t>6M</t>
  </si>
  <si>
    <t>EUBSA3 CMPN Curncy</t>
  </si>
  <si>
    <t>3Y</t>
  </si>
  <si>
    <t>EUBSS3 ICPL Curncy</t>
  </si>
  <si>
    <t>EURTN Curncy</t>
  </si>
  <si>
    <t>TN</t>
  </si>
  <si>
    <t>Futures Dates</t>
  </si>
  <si>
    <t>EUSF3A ICPL Curncy</t>
  </si>
  <si>
    <t>ECB3</t>
  </si>
  <si>
    <t>EE0012M Index</t>
  </si>
  <si>
    <t>12M</t>
  </si>
  <si>
    <t>EUBSA4 CMPN Curncy</t>
  </si>
  <si>
    <t>4Y</t>
  </si>
  <si>
    <t>EUBSS4 ICPL Curncy</t>
  </si>
  <si>
    <t>EUR1W Curncy</t>
  </si>
  <si>
    <t>1W</t>
  </si>
  <si>
    <t>EUSF4A ICPL Curncy</t>
  </si>
  <si>
    <t>ECB4</t>
  </si>
  <si>
    <t>EUFR0AG ICPL Curncy</t>
  </si>
  <si>
    <t>1X7</t>
  </si>
  <si>
    <t>ER1 Comdty</t>
  </si>
  <si>
    <t>ER1</t>
  </si>
  <si>
    <t>EUBSA5 CMPN Curncy</t>
  </si>
  <si>
    <t>5Y</t>
  </si>
  <si>
    <t>EUBSS5 ICPL Curncy</t>
  </si>
  <si>
    <t>EUR2W Curncy</t>
  </si>
  <si>
    <t>2W</t>
  </si>
  <si>
    <t>EUSWE1 ICPL Curncy</t>
  </si>
  <si>
    <t>EUFR0BH ICPL Curncy</t>
  </si>
  <si>
    <t>2X8</t>
  </si>
  <si>
    <t>ER2 Comdty</t>
  </si>
  <si>
    <t>ER2</t>
  </si>
  <si>
    <t>EUBSA6 CMPN Curncy</t>
  </si>
  <si>
    <t>6Y</t>
  </si>
  <si>
    <t>EUBSS6 ICPL Curncy</t>
  </si>
  <si>
    <t>EUR3W Curncy</t>
  </si>
  <si>
    <t>3W</t>
  </si>
  <si>
    <t>EUR XCCY</t>
  </si>
  <si>
    <t>EUSWE1F ICPL Curncy</t>
  </si>
  <si>
    <t>18M</t>
  </si>
  <si>
    <t>EUFR0CI ICPL Curncy</t>
  </si>
  <si>
    <t>3X9</t>
  </si>
  <si>
    <t>ER3 Comdty</t>
  </si>
  <si>
    <t>ER3</t>
  </si>
  <si>
    <t>EUBSA7 CMPN Curncy</t>
  </si>
  <si>
    <t>7Y</t>
  </si>
  <si>
    <t>EUBSS7 ICPL Curncy</t>
  </si>
  <si>
    <t>EUR1M Curncy</t>
  </si>
  <si>
    <t>EUFR0DJ ICPL Curncy</t>
  </si>
  <si>
    <t>4X10</t>
  </si>
  <si>
    <t>ER4 Comdty</t>
  </si>
  <si>
    <t>ER4</t>
  </si>
  <si>
    <t>EUBSA8 CMPN Curncy</t>
  </si>
  <si>
    <t>8Y</t>
  </si>
  <si>
    <t>EUBSS8 ICPL Curncy</t>
  </si>
  <si>
    <t>EUR2M Curncy</t>
  </si>
  <si>
    <t>2M</t>
  </si>
  <si>
    <t>EUSWE2 ICPL Curncy</t>
  </si>
  <si>
    <t>EUFR0EK ICPL Curncy</t>
  </si>
  <si>
    <t>5X11</t>
  </si>
  <si>
    <t>ER5 Comdty</t>
  </si>
  <si>
    <t>ER5</t>
  </si>
  <si>
    <t>EUBSA9 CMPN Curncy</t>
  </si>
  <si>
    <t>9Y</t>
  </si>
  <si>
    <t>EUBSS9 ICPL Curncy</t>
  </si>
  <si>
    <t>EUR3M Curncy</t>
  </si>
  <si>
    <t>EUSWE3 ICPL Curncy</t>
  </si>
  <si>
    <t>EUFR0F1 ICPL Curncy</t>
  </si>
  <si>
    <t>6X12</t>
  </si>
  <si>
    <t>ER6 Comdty</t>
  </si>
  <si>
    <t>ER6</t>
  </si>
  <si>
    <t>EUBSA10 CMPN Curncy</t>
  </si>
  <si>
    <t>10Y</t>
  </si>
  <si>
    <t>EUBSS10 ICPL Curncy</t>
  </si>
  <si>
    <t>EUR4M Curncy</t>
  </si>
  <si>
    <t>4M</t>
  </si>
  <si>
    <t>EUSWE4 ICPL Curncy</t>
  </si>
  <si>
    <t>EUFR0G1A ICPL Curncy</t>
  </si>
  <si>
    <t>7X13</t>
  </si>
  <si>
    <t>ER7 Comdty</t>
  </si>
  <si>
    <t>ER7</t>
  </si>
  <si>
    <t>EUBSA12 CMPN Curncy</t>
  </si>
  <si>
    <t>12Y</t>
  </si>
  <si>
    <t>EUBSS12 ICPL Curncy</t>
  </si>
  <si>
    <t>EUR5M Curncy</t>
  </si>
  <si>
    <t>5M</t>
  </si>
  <si>
    <t>EUSWE5 ICPL Curncy</t>
  </si>
  <si>
    <t>EUFR0H1B ICPL Curncy</t>
  </si>
  <si>
    <t>8X14</t>
  </si>
  <si>
    <t>ER8 Comdty</t>
  </si>
  <si>
    <t>ER8</t>
  </si>
  <si>
    <t>EUBSA15 CMPN Curncy</t>
  </si>
  <si>
    <t>15Y</t>
  </si>
  <si>
    <t>EUBSS15 ICPL Curncy</t>
  </si>
  <si>
    <t>EUR6M Curncy</t>
  </si>
  <si>
    <t>EUSWE6 ICPL Curncy</t>
  </si>
  <si>
    <t>EUFR0I1C ICPL Curncy</t>
  </si>
  <si>
    <t>9X15</t>
  </si>
  <si>
    <t>EUSW3V3 ICPL  Curncy</t>
  </si>
  <si>
    <t>EUBSA20 CMPN Curncy</t>
  </si>
  <si>
    <t>20Y</t>
  </si>
  <si>
    <t>EUBSS20 ICPL Curncy</t>
  </si>
  <si>
    <t>EUR9M Curncy</t>
  </si>
  <si>
    <t>9M</t>
  </si>
  <si>
    <t>EUSWE7 ICPL Curncy</t>
  </si>
  <si>
    <t>EUFR0J1D ICPL Curncy</t>
  </si>
  <si>
    <t>10X16</t>
  </si>
  <si>
    <t>EUSW4V3 ICPL  Curncy</t>
  </si>
  <si>
    <t>EUBSA25 CMPN Curncy</t>
  </si>
  <si>
    <t>25Y</t>
  </si>
  <si>
    <t>EUBSS25 ICPL Curncy</t>
  </si>
  <si>
    <t>EUBSC ICPL Curncy</t>
  </si>
  <si>
    <t>EUSWE8 ICPL Curncy</t>
  </si>
  <si>
    <t>EUFR0K1E ICPL Curncy</t>
  </si>
  <si>
    <t>11X17</t>
  </si>
  <si>
    <t>EUSW5V3 ICPL  Curncy</t>
  </si>
  <si>
    <t>EUBSA30 CMPN Curncy</t>
  </si>
  <si>
    <t>30Y</t>
  </si>
  <si>
    <t>EUBSS30 ICPL Curncy</t>
  </si>
  <si>
    <t>EUBSF ICPL Curncy</t>
  </si>
  <si>
    <t>EUSWE10 ICPL Curncy</t>
  </si>
  <si>
    <t>EUSA2 ICPL Curncy</t>
  </si>
  <si>
    <t>EUSW6V3 ICPL  Curncy</t>
  </si>
  <si>
    <t>EUBSI ICPL Curncy</t>
  </si>
  <si>
    <t>EOBSVC1 ICPL Curncy</t>
  </si>
  <si>
    <t>EUSA3 ICPL Curncy</t>
  </si>
  <si>
    <t>EUSW7V3 ICPL  Curncy</t>
  </si>
  <si>
    <t>EUBS1 ICPL Curncy</t>
  </si>
  <si>
    <t>EOBSVC2 ICPL Curncy</t>
  </si>
  <si>
    <t>EUSA4 ICPL Curncy</t>
  </si>
  <si>
    <t>EUSW8V3 ICPL  Curncy</t>
  </si>
  <si>
    <t>EUBS2 ICPL Curncy</t>
  </si>
  <si>
    <t>EOBSVC3 ICPL Curncy</t>
  </si>
  <si>
    <t>EUSA5 ICPL Curncy</t>
  </si>
  <si>
    <t>EUSW9V3 ICPL  Curncy</t>
  </si>
  <si>
    <t>EUBS3 ICPL Curncy</t>
  </si>
  <si>
    <t>EOBSVC4 ICPL Curncy</t>
  </si>
  <si>
    <t>EUSA6 ICPL Curncy</t>
  </si>
  <si>
    <t>EUSW10V3 ICPL  Curncy</t>
  </si>
  <si>
    <t>EUBS4 ICPL Curncy</t>
  </si>
  <si>
    <t>EOBSVC5 ICPL Curncy</t>
  </si>
  <si>
    <t>EUSA7 ICPL Curncy</t>
  </si>
  <si>
    <t>EUSW11V3 ICPL  Curncy</t>
  </si>
  <si>
    <t>11Y</t>
  </si>
  <si>
    <t>EUBS5 ICPL Curncy</t>
  </si>
  <si>
    <t>EOBSVC6 ICPL Curncy</t>
  </si>
  <si>
    <t>EUSA8 ICPL Curncy</t>
  </si>
  <si>
    <t>EUSW12V3 ICPL  Curncy</t>
  </si>
  <si>
    <t>EUBS6 ICPL Curncy</t>
  </si>
  <si>
    <t>EOBSVC7 ICPL Curncy</t>
  </si>
  <si>
    <t>EUSA9 ICPL Curncy</t>
  </si>
  <si>
    <t>EUSW15V3 ICPL  Curncy</t>
  </si>
  <si>
    <t>EUBS7 ICPL Curncy</t>
  </si>
  <si>
    <t>EOBSVC8 ICPL Curncy</t>
  </si>
  <si>
    <t>EUSA10 ICPL Curncy</t>
  </si>
  <si>
    <t>EUSW20V3 ICPL  Curncy</t>
  </si>
  <si>
    <t>EUBS8 ICPL Curncy</t>
  </si>
  <si>
    <t>EOBSVC9 ICPL Curncy</t>
  </si>
  <si>
    <t>EUSA11 ICPL Curncy</t>
  </si>
  <si>
    <t>EUSW25V3 ICPL  Curncy</t>
  </si>
  <si>
    <t>EUBS9 ICPL Curncy</t>
  </si>
  <si>
    <t>EOBSVC10 ICPL Curncy</t>
  </si>
  <si>
    <t>EUSA12 ICPL Curncy</t>
  </si>
  <si>
    <t>EUSW30V3 ICPL  Curncy</t>
  </si>
  <si>
    <t>EUBS10 ICPL Curncy</t>
  </si>
  <si>
    <t>EOBSVC11 ICPL Curncy</t>
  </si>
  <si>
    <t>EUSA15 ICPL Curncy</t>
  </si>
  <si>
    <t>EUSW40V3 ICPL  Curncy</t>
  </si>
  <si>
    <t>40Y</t>
  </si>
  <si>
    <t>EUBS12 ICPL Curncy</t>
  </si>
  <si>
    <t>EOBSVC12 ICPL Curncy</t>
  </si>
  <si>
    <t>EUSA20 ICPL Curncy</t>
  </si>
  <si>
    <t>EUSW50V3 ICPL  Curncy</t>
  </si>
  <si>
    <t>50Y</t>
  </si>
  <si>
    <t>EUBS15 ICPL Curncy</t>
  </si>
  <si>
    <t>EOBSVC15 ICPL Curncy</t>
  </si>
  <si>
    <t>EUSA25 ICPL Curncy</t>
  </si>
  <si>
    <t>EUBS20 ICPL Curncy</t>
  </si>
  <si>
    <t>EOBSVC20 ICPL Curncy</t>
  </si>
  <si>
    <t>EUSA30 ICPL Curncy</t>
  </si>
  <si>
    <t>EUBS25 ICPL Curncy</t>
  </si>
  <si>
    <t>EOBSVC25 ICPL Curncy</t>
  </si>
  <si>
    <t>EUSA40 ICPL Curncy</t>
  </si>
  <si>
    <t>EUBS30 ICPL Curncy</t>
  </si>
  <si>
    <t>EOBSVC30 ICPL Curncy</t>
  </si>
  <si>
    <t>EUSA50 ICPL Curncy</t>
  </si>
  <si>
    <t>EOBSVC40 ICPL Curncy</t>
  </si>
  <si>
    <t>EOBSVC50 ICPL Curncy</t>
  </si>
  <si>
    <t>EUSW1V3 ICPL Curncy</t>
  </si>
  <si>
    <t>EUSW2V3 ICPL Curncy</t>
  </si>
  <si>
    <t>EUSW3V3 ICPL Curncy</t>
  </si>
  <si>
    <t>EUSW4V3 ICPL Curncy</t>
  </si>
  <si>
    <t>EUSW5V3 ICPL Curncy</t>
  </si>
  <si>
    <t>EUSW6V3 ICPL Curncy</t>
  </si>
  <si>
    <t>EUSW7V3 ICPL Curncy</t>
  </si>
  <si>
    <t>EUSW8V3 ICPL Curncy</t>
  </si>
  <si>
    <t>EUSW9V3 ICPL Curncy</t>
  </si>
  <si>
    <t>EUSW10V3 ICPL Curncy</t>
  </si>
  <si>
    <t>EUSW11V3 ICPL Curncy</t>
  </si>
  <si>
    <t>EUSW12V3 ICPL Curncy</t>
  </si>
  <si>
    <t>EUSW15V3 ICPL Curncy</t>
  </si>
  <si>
    <t>EUSW20V3 ICPL Curncy</t>
  </si>
  <si>
    <t>EUSW25V3 ICPL Curncy</t>
  </si>
  <si>
    <t>EUSW30V3 ICPL Curncy</t>
  </si>
  <si>
    <t>EUSW40V3 ICPL Curncy</t>
  </si>
  <si>
    <t>EUSW50V3 ICPL Curncy</t>
  </si>
  <si>
    <t>MARKETDATAPROPERTIES</t>
  </si>
  <si>
    <t>OIS</t>
  </si>
  <si>
    <t>LIBOROISBASISSPREADS</t>
  </si>
  <si>
    <t>SWAPS</t>
  </si>
  <si>
    <t xml:space="preserve"> </t>
  </si>
  <si>
    <t>Term</t>
  </si>
  <si>
    <t>Rate</t>
  </si>
  <si>
    <t>StartDate</t>
  </si>
  <si>
    <t>EndDate</t>
  </si>
  <si>
    <t>Use</t>
  </si>
  <si>
    <t>Currency</t>
  </si>
  <si>
    <t>EUR</t>
  </si>
  <si>
    <t>CurveType</t>
  </si>
  <si>
    <t>EURYC</t>
  </si>
  <si>
    <t>CurveIndexFrequency</t>
  </si>
  <si>
    <t>DAILY</t>
  </si>
  <si>
    <t>AsOfDate</t>
  </si>
  <si>
    <t>Create Market Data Handle</t>
  </si>
  <si>
    <t>Handle Name</t>
  </si>
  <si>
    <t>EUR_OIS_CURVE_MARKETDATA</t>
  </si>
  <si>
    <t>Market Data Handle</t>
  </si>
  <si>
    <t>Curve Dictionary</t>
  </si>
  <si>
    <t>EUR_OIS_CURVE</t>
  </si>
  <si>
    <t>TGT</t>
  </si>
  <si>
    <t>Curve Generator</t>
  </si>
  <si>
    <t>EUR_OIS</t>
  </si>
  <si>
    <t>ACT/360</t>
  </si>
  <si>
    <t>Domestic Curve Collection</t>
  </si>
  <si>
    <t>Foreign Curve Collection</t>
  </si>
  <si>
    <t>55Y</t>
  </si>
  <si>
    <t>Extrapolated</t>
  </si>
  <si>
    <t>2D</t>
  </si>
  <si>
    <t>Curve Build</t>
  </si>
  <si>
    <t/>
  </si>
  <si>
    <t>Curve Collection</t>
  </si>
  <si>
    <t>Curve Index</t>
  </si>
  <si>
    <t>Calibration Time Taken</t>
  </si>
  <si>
    <t>Curve Loaded</t>
  </si>
  <si>
    <t>NONE</t>
  </si>
  <si>
    <t>QUARTERLY</t>
  </si>
  <si>
    <t>LIBORFIXINGS</t>
  </si>
  <si>
    <t>FUTURES</t>
  </si>
  <si>
    <t>Volatility</t>
  </si>
  <si>
    <t>SWAP</t>
  </si>
  <si>
    <t>EUR_SWAP_3M_CURVE_MARKETDATA</t>
  </si>
  <si>
    <t>EUR_SWAP_3M_CURVE</t>
  </si>
  <si>
    <t>EUR_SWAP_3M</t>
  </si>
  <si>
    <t>FOLLOWING</t>
  </si>
  <si>
    <t>FRAS</t>
  </si>
  <si>
    <t>Interpolation</t>
  </si>
  <si>
    <t>SEMI-ANNUAL</t>
  </si>
  <si>
    <t>EUR_SWAP_6M_CURVE_MARKETDATA</t>
  </si>
  <si>
    <t>EUR_SWAP_6M_CURVE</t>
  </si>
  <si>
    <t>EUR_SWAP_6M</t>
  </si>
  <si>
    <t>COB</t>
  </si>
  <si>
    <t>SECURITY_DES</t>
  </si>
  <si>
    <t>ID_ISIN</t>
  </si>
  <si>
    <t>ISSUE_DT</t>
  </si>
  <si>
    <t>INT_ACC_DT</t>
  </si>
  <si>
    <t>FIRST_CPN_DT</t>
  </si>
  <si>
    <t>PENULTIMATE_CPN_DT</t>
  </si>
  <si>
    <t>CPN</t>
  </si>
  <si>
    <t>MATURITY</t>
  </si>
  <si>
    <t>Bond Identifier</t>
  </si>
  <si>
    <t>BondDescription</t>
  </si>
  <si>
    <t>ISIN</t>
  </si>
  <si>
    <t>IssueDate</t>
  </si>
  <si>
    <t>AccrualStartDate</t>
  </si>
  <si>
    <t>RollDay</t>
  </si>
  <si>
    <t>FirstCouponDate</t>
  </si>
  <si>
    <t>LastCouponDate</t>
  </si>
  <si>
    <t>Coupon</t>
  </si>
  <si>
    <t>MaturityDate</t>
  </si>
  <si>
    <t>CreateBond</t>
  </si>
  <si>
    <t>GTITL2Y Corp</t>
  </si>
  <si>
    <t>GTITL3Y Corp</t>
  </si>
  <si>
    <t>GTITL5Y Corp</t>
  </si>
  <si>
    <t>GTITL7Y Corp</t>
  </si>
  <si>
    <t>GTITL10Y Corp</t>
  </si>
  <si>
    <t>GTITL15Y Corp</t>
  </si>
  <si>
    <t>GTITL30Y Corp</t>
  </si>
  <si>
    <t>GTITL50Y Corp</t>
  </si>
  <si>
    <t>BOND_GENERATOR</t>
  </si>
  <si>
    <t>CalcType</t>
  </si>
  <si>
    <t>CALC_TYP</t>
  </si>
  <si>
    <t>AUD_FUTURE_10Y_NOTIONAL_BOND</t>
  </si>
  <si>
    <t>AUD_FUTURE_3Y_NOTIONAL_BOND</t>
  </si>
  <si>
    <t>AUSTRALIAN_GOVT_TYPE23_CLEAN</t>
  </si>
  <si>
    <t>AUSTRALIAN_GOVT_TYPE23_DIRTY</t>
  </si>
  <si>
    <t>EUR_FLOATER_TYPE21</t>
  </si>
  <si>
    <t>EUR_FLOATER_TYPE21_ACTACT</t>
  </si>
  <si>
    <t>EUR_FLOATER_TYPE21_ACTACT_UNADJUSTED</t>
  </si>
  <si>
    <t>EUR_FLOATER_TYPE21_UNADJUSTED</t>
  </si>
  <si>
    <t>FRENCH_OAT_TYPE89</t>
  </si>
  <si>
    <t>GBP_FLOATER_TYPE21</t>
  </si>
  <si>
    <t>GBP_FLOATER_TYPE21_UNADJUSTED</t>
  </si>
  <si>
    <t>ITALIAN_BTPS_TYPE523</t>
  </si>
  <si>
    <t>ITALIAN_BTPS_TYPE527</t>
  </si>
  <si>
    <t>ITALIAN_BTPS_TYPE529</t>
  </si>
  <si>
    <t>JAPAN_JGB_TYPE51</t>
  </si>
  <si>
    <t>SPANISH_GOVT_TYPE1029</t>
  </si>
  <si>
    <t>SPANISH_TBILL_TYPE730</t>
  </si>
  <si>
    <t>UK_GILT_TYPE26</t>
  </si>
  <si>
    <t>USD_FLOATER_TYPE21</t>
  </si>
  <si>
    <t>Price</t>
  </si>
  <si>
    <t>Yield</t>
  </si>
  <si>
    <t>YAS_BOND_YLD</t>
  </si>
  <si>
    <t>YAS_BOND_PX</t>
  </si>
  <si>
    <t>MLIB_PX</t>
  </si>
  <si>
    <t>MLIB_YLD</t>
  </si>
  <si>
    <t>Valuation Date</t>
  </si>
  <si>
    <t>Settlement Date</t>
  </si>
  <si>
    <t>… BOND_GENERATORS</t>
  </si>
  <si>
    <t>CREATE MODEL</t>
  </si>
  <si>
    <t>ModelName</t>
  </si>
  <si>
    <t>CreateModel</t>
  </si>
  <si>
    <t>Calibrate Using …</t>
  </si>
  <si>
    <t>CDS</t>
  </si>
  <si>
    <t>MODEL_PROPERTIES</t>
  </si>
  <si>
    <t>CDS_MARKETDATA</t>
  </si>
  <si>
    <t>Tenor or Maturity</t>
  </si>
  <si>
    <t>CDS Spread</t>
  </si>
  <si>
    <t>SpotLag</t>
  </si>
  <si>
    <t>5D</t>
  </si>
  <si>
    <t>SpotBusinessDayAdjustment</t>
  </si>
  <si>
    <t>SpotCalendar</t>
  </si>
  <si>
    <t>IMMReferenceDate</t>
  </si>
  <si>
    <t>RecoveryRate</t>
  </si>
  <si>
    <t>IncludeAccruedInterest</t>
  </si>
  <si>
    <t>CDSCurveCollection</t>
  </si>
  <si>
    <t>SwapGenerator</t>
  </si>
  <si>
    <t>CreditIndex</t>
  </si>
  <si>
    <t>BOND_MARKETDATA</t>
  </si>
  <si>
    <t>BondHasRiskyAccruedInterest</t>
  </si>
  <si>
    <t>BondObject Name</t>
  </si>
  <si>
    <t>Bond Price</t>
  </si>
  <si>
    <t>Check Repricing *</t>
  </si>
  <si>
    <t>BondCurveCollection</t>
  </si>
  <si>
    <t>PiecewiseConstant</t>
  </si>
  <si>
    <t>Extrapolation</t>
  </si>
  <si>
    <t>Flat</t>
  </si>
  <si>
    <t>Tenor</t>
  </si>
  <si>
    <t>CY005704 Curncy</t>
  </si>
  <si>
    <t>CITLY1U1 Curncy</t>
  </si>
  <si>
    <t>CX760279 Curncy</t>
  </si>
  <si>
    <t>CITLY1U3 Curncy</t>
  </si>
  <si>
    <t>CX760283 Curncy</t>
  </si>
  <si>
    <t>CITLY1U5 Curncy</t>
  </si>
  <si>
    <t>CX760291 Curncy</t>
  </si>
  <si>
    <t>CITL1U10 Curncy</t>
  </si>
  <si>
    <t>Name</t>
  </si>
  <si>
    <t>1Y_MID_CDS_SPREAD</t>
  </si>
  <si>
    <t>5Y_MID_CDS_SPREAD</t>
  </si>
  <si>
    <t>7Y_MID_CDS_SPREAD</t>
  </si>
  <si>
    <t>10Y_MID_CDS_SPREAD</t>
  </si>
  <si>
    <t>ITALY CDS USD SR 5Y D14</t>
  </si>
  <si>
    <t>SW_PRIMARY_REF_OBLIGATION_ISIN</t>
  </si>
  <si>
    <t>TemplateName</t>
  </si>
  <si>
    <t>CreateTemplate</t>
  </si>
  <si>
    <t>CDS TEMPLATE</t>
  </si>
  <si>
    <t>LEGTYPE</t>
  </si>
  <si>
    <t>Leg1:Premium</t>
  </si>
  <si>
    <t>Leg2:Protection</t>
  </si>
  <si>
    <t>LEVERAGE</t>
  </si>
  <si>
    <t>FORECASTCURVE</t>
  </si>
  <si>
    <t>COMPOUNDMETHOD</t>
  </si>
  <si>
    <t>NOTIONALEXCHANGE</t>
  </si>
  <si>
    <t>DISCOUNTCURVE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</si>
  <si>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</si>
  <si>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</si>
  <si>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</si>
  <si>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</si>
  <si>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</si>
  <si>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</si>
  <si>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</si>
  <si>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</si>
  <si>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</si>
  <si>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</si>
  <si>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</si>
  <si>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</si>
  <si>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</si>
  <si>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</si>
  <si>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IMM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</si>
  <si>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</si>
  <si>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</si>
  <si>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</si>
  <si>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</si>
  <si>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</si>
  <si>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</si>
  <si>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</si>
  <si>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</si>
  <si>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EUROIS</t>
  </si>
  <si>
    <t>CREATE CDS</t>
  </si>
  <si>
    <t>SwapName</t>
  </si>
  <si>
    <t>CreateCDS</t>
  </si>
  <si>
    <t>CDS TRADE PARAMETERS</t>
  </si>
  <si>
    <t>PayReceivePremium</t>
  </si>
  <si>
    <t>PAY</t>
  </si>
  <si>
    <t>Notional</t>
  </si>
  <si>
    <t>EffectiveDate</t>
  </si>
  <si>
    <t>CreditSpread</t>
  </si>
  <si>
    <t>MODEL INPUTS</t>
  </si>
  <si>
    <t>IRCurve</t>
  </si>
  <si>
    <t>CreditModel</t>
  </si>
  <si>
    <t>PRICE RESULTS</t>
  </si>
  <si>
    <t>Total PV</t>
  </si>
  <si>
    <t>RiskyAnnuity</t>
  </si>
  <si>
    <t>ParSpread</t>
  </si>
  <si>
    <t>CS01</t>
  </si>
  <si>
    <t>ITALY_CREDIT</t>
  </si>
  <si>
    <t>* Will Price to Par when Calibrating Credit Model to CDS</t>
  </si>
  <si>
    <t>* Will reprice when calibrating to Bonds</t>
  </si>
  <si>
    <t>PAYRECEIVE</t>
  </si>
  <si>
    <t>NOTIONAL</t>
  </si>
  <si>
    <t>CDSSPREAD</t>
  </si>
  <si>
    <t>EFFECTIVEDATE</t>
  </si>
  <si>
    <t>RESULTS</t>
  </si>
  <si>
    <t>MATURITYDATE</t>
  </si>
  <si>
    <t>CurrentIMMDate</t>
  </si>
  <si>
    <t>*</t>
  </si>
  <si>
    <t>Row</t>
  </si>
  <si>
    <t>+/-</t>
  </si>
  <si>
    <t>Check MLIB vs BB</t>
  </si>
  <si>
    <t>END</t>
  </si>
  <si>
    <t>RECEIVE</t>
  </si>
  <si>
    <t>CREDIT MARKET DATA</t>
  </si>
  <si>
    <t>… Bond Dates</t>
  </si>
  <si>
    <t>CREATE EUR CLN TEMPLATE</t>
  </si>
  <si>
    <t>CREATE EUR CDS TEMPLATE</t>
  </si>
  <si>
    <t>EUR_CDS_ITALY</t>
  </si>
  <si>
    <t>EUR_CDS</t>
  </si>
  <si>
    <t>EUR_CLN</t>
  </si>
  <si>
    <t>EUR_CLN_ITALY</t>
  </si>
  <si>
    <t>START_AND_END</t>
  </si>
  <si>
    <t>CREATE TRADE</t>
  </si>
  <si>
    <t>PREMIUM CASHFLOWS</t>
  </si>
  <si>
    <t>PROTECTION CASHFLOWS</t>
  </si>
  <si>
    <r>
      <t xml:space="preserve">Bloomberg </t>
    </r>
    <r>
      <rPr>
        <b/>
        <sz val="11"/>
        <color rgb="FFC00000"/>
        <rFont val="Calibri"/>
        <family val="2"/>
        <scheme val="minor"/>
      </rPr>
      <t>DLIB &lt;GO&gt;</t>
    </r>
    <r>
      <rPr>
        <b/>
        <sz val="11"/>
        <color theme="1"/>
        <rFont val="Calibri"/>
        <family val="2"/>
        <scheme val="minor"/>
      </rPr>
      <t xml:space="preserve"> CLN Price </t>
    </r>
  </si>
  <si>
    <t>Excludes Initial Exchange of Notional</t>
  </si>
  <si>
    <t>Ref Obligation</t>
  </si>
  <si>
    <t>Select Reference Obligation</t>
  </si>
  <si>
    <t>Leg3:Premium</t>
  </si>
  <si>
    <t>BespokeSwap</t>
  </si>
  <si>
    <t>CustomStructure</t>
  </si>
  <si>
    <t>Leg4:Protection</t>
  </si>
  <si>
    <t>Leg5:Fixed</t>
  </si>
  <si>
    <t>Leg6:Float</t>
  </si>
  <si>
    <t>INVESTOR</t>
  </si>
  <si>
    <t>HEDGE</t>
  </si>
  <si>
    <t>IRS</t>
  </si>
  <si>
    <t>EUR3ML</t>
  </si>
  <si>
    <t>FIXEDRATE</t>
  </si>
  <si>
    <t>FLOATSPREAD</t>
  </si>
  <si>
    <t>(Bps)</t>
  </si>
  <si>
    <t>(%)</t>
  </si>
  <si>
    <t>ANNUAL</t>
  </si>
  <si>
    <t>NATURAL</t>
  </si>
  <si>
    <t>MOD_FOLLOWING</t>
  </si>
  <si>
    <t>30/360</t>
  </si>
  <si>
    <t>NORMAL</t>
  </si>
  <si>
    <t>CreateSwap</t>
  </si>
  <si>
    <t>YieldCurve</t>
  </si>
  <si>
    <t>YIELD CURVES</t>
  </si>
  <si>
    <t>CreateFee</t>
  </si>
  <si>
    <t>Handle</t>
  </si>
  <si>
    <t>ObjectName</t>
  </si>
  <si>
    <t>FeeProperties</t>
  </si>
  <si>
    <t>LegType</t>
  </si>
  <si>
    <t>DiscountCurve</t>
  </si>
  <si>
    <t>FeeSchedule</t>
  </si>
  <si>
    <t>PaymentDate</t>
  </si>
  <si>
    <t>PayReceive</t>
  </si>
  <si>
    <t>Amount</t>
  </si>
  <si>
    <t>FEE SCHEDULE</t>
  </si>
  <si>
    <t>Leg7:Fee</t>
  </si>
  <si>
    <t>ApplyFee</t>
  </si>
  <si>
    <t>FEE_SCHEDULE</t>
  </si>
  <si>
    <t>Upfront</t>
  </si>
  <si>
    <t>Maturity</t>
  </si>
  <si>
    <t>MidSwap</t>
  </si>
  <si>
    <t>ParRate</t>
  </si>
  <si>
    <t>INTERIM RESULTS</t>
  </si>
  <si>
    <t>Tsy Spread in Bps</t>
  </si>
  <si>
    <t>EUR_3ML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</si>
</sst>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64" formatCode="#,##0.000000"/>
    <numFmt numFmtId="165" formatCode="0.0000%"/>
    <numFmt numFmtId="166" formatCode="#,##0.0000"/>
    <numFmt numFmtId="167" formatCode="ddd\,\ d\-mmm\-yy"/>
    <numFmt numFmtId="168" formatCode="#,##0.000"/>
    <numFmt numFmtId="169" formatCode="0.00000%"/>
    <numFmt numFmtId="170" formatCode="0.000%"/>
    <numFmt numFmtId="171" formatCode="#,##0.00000"/>
    <numFmt numFmtId="172" formatCode="0.000"/>
    <numFmt numFmtId="173" formatCode="ddd\,\ dd\-mmm\-yy"/>
    <numFmt numFmtId="174" formatCode="0.00000000000000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indexed="81"/>
      <name val="Calibri"/>
      <family val="2"/>
      <scheme val="minor"/>
    </font>
    <font>
      <sz val="11"/>
      <color indexed="81"/>
      <name val="Calibri"/>
      <family val="2"/>
      <scheme val="minor"/>
    </font>
    <font>
      <sz val="9"/>
      <color indexed="81"/>
      <name val="Tahoma"/>
      <family val="2"/>
    </font>
    <font>
      <sz val="11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>
      <alignment vertical="center"/>
    </xf>
    <xf numFmtId="41" fontId="1" fillId="0" borderId="0" applyFont="0" applyFill="0" applyBorder="0" applyAlignment="0" applyProtection="0"/>
  </cellStyleXfs>
  <cellXfs count="342">
    <xf numFmtId="0" fontId="0" fillId="0" borderId="0" xfId="0"/>
    <xf numFmtId="0" fontId="0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/>
    <xf numFmtId="0" fontId="5" fillId="2" borderId="6" xfId="0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167" fontId="5" fillId="2" borderId="7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/>
    </xf>
    <xf numFmtId="4" fontId="5" fillId="2" borderId="8" xfId="0" applyNumberFormat="1" applyFont="1" applyFill="1" applyBorder="1" applyAlignment="1">
      <alignment horizontal="center" vertical="center"/>
    </xf>
    <xf numFmtId="15" fontId="5" fillId="2" borderId="7" xfId="0" applyNumberFormat="1" applyFont="1" applyFill="1" applyBorder="1" applyAlignment="1">
      <alignment horizontal="center" vertical="center"/>
    </xf>
    <xf numFmtId="15" fontId="5" fillId="2" borderId="0" xfId="0" applyNumberFormat="1" applyFont="1" applyFill="1" applyBorder="1" applyAlignment="1">
      <alignment horizontal="center" vertical="center"/>
    </xf>
    <xf numFmtId="168" fontId="5" fillId="2" borderId="0" xfId="0" applyNumberFormat="1" applyFont="1" applyFill="1" applyBorder="1" applyAlignment="1">
      <alignment horizontal="center" vertical="center"/>
    </xf>
    <xf numFmtId="168" fontId="4" fillId="2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/>
    <xf numFmtId="0" fontId="5" fillId="2" borderId="9" xfId="0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15" fontId="5" fillId="2" borderId="10" xfId="0" applyNumberFormat="1" applyFont="1" applyFill="1" applyBorder="1" applyAlignment="1">
      <alignment horizontal="center" vertical="center"/>
    </xf>
    <xf numFmtId="15" fontId="5" fillId="2" borderId="11" xfId="0" applyNumberFormat="1" applyFont="1" applyFill="1" applyBorder="1" applyAlignment="1">
      <alignment horizontal="center" vertical="center"/>
    </xf>
    <xf numFmtId="4" fontId="5" fillId="2" borderId="10" xfId="0" applyNumberFormat="1" applyFont="1" applyFill="1" applyBorder="1" applyAlignment="1">
      <alignment horizontal="center" vertical="center"/>
    </xf>
    <xf numFmtId="0" fontId="7" fillId="0" borderId="0" xfId="0" applyFont="1"/>
    <xf numFmtId="0" fontId="0" fillId="2" borderId="3" xfId="0" applyFill="1" applyBorder="1"/>
    <xf numFmtId="0" fontId="8" fillId="2" borderId="4" xfId="0" applyFont="1" applyFill="1" applyBorder="1"/>
    <xf numFmtId="0" fontId="9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4" borderId="2" xfId="0" applyFill="1" applyBorder="1"/>
    <xf numFmtId="0" fontId="0" fillId="2" borderId="0" xfId="0" applyFill="1" applyBorder="1"/>
    <xf numFmtId="0" fontId="0" fillId="2" borderId="8" xfId="0" applyFill="1" applyBorder="1"/>
    <xf numFmtId="0" fontId="8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8" fillId="2" borderId="0" xfId="0" applyFont="1" applyFill="1"/>
    <xf numFmtId="0" fontId="0" fillId="2" borderId="0" xfId="0" applyFill="1"/>
    <xf numFmtId="0" fontId="6" fillId="2" borderId="11" xfId="0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2" xfId="0" applyFont="1" applyFill="1" applyBorder="1"/>
    <xf numFmtId="0" fontId="0" fillId="4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69" fontId="5" fillId="0" borderId="4" xfId="0" applyNumberFormat="1" applyFont="1" applyFill="1" applyBorder="1" applyAlignment="1">
      <alignment horizontal="center" vertical="center"/>
    </xf>
    <xf numFmtId="15" fontId="5" fillId="0" borderId="4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5" fillId="0" borderId="8" xfId="0" applyNumberFormat="1" applyFont="1" applyFill="1" applyBorder="1" applyAlignment="1">
      <alignment horizontal="center" vertical="center"/>
    </xf>
    <xf numFmtId="165" fontId="5" fillId="0" borderId="5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9" fontId="5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4" borderId="6" xfId="0" applyFont="1" applyFill="1" applyBorder="1"/>
    <xf numFmtId="0" fontId="0" fillId="4" borderId="6" xfId="0" applyFont="1" applyFill="1" applyBorder="1" applyAlignment="1">
      <alignment horizontal="left" vertical="center"/>
    </xf>
    <xf numFmtId="169" fontId="5" fillId="0" borderId="0" xfId="0" applyNumberFormat="1" applyFont="1" applyFill="1" applyBorder="1" applyAlignment="1">
      <alignment horizontal="center" vertical="center"/>
    </xf>
    <xf numFmtId="165" fontId="5" fillId="0" borderId="8" xfId="0" applyNumberFormat="1" applyFont="1" applyFill="1" applyBorder="1" applyAlignment="1">
      <alignment horizontal="center" vertical="center"/>
    </xf>
    <xf numFmtId="0" fontId="0" fillId="4" borderId="9" xfId="0" applyFill="1" applyBorder="1"/>
    <xf numFmtId="0" fontId="0" fillId="4" borderId="9" xfId="0" applyFont="1" applyFill="1" applyBorder="1"/>
    <xf numFmtId="167" fontId="4" fillId="5" borderId="9" xfId="0" applyNumberFormat="1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2" fillId="2" borderId="0" xfId="0" applyFont="1" applyFill="1"/>
    <xf numFmtId="0" fontId="0" fillId="4" borderId="2" xfId="0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 vertical="center"/>
    </xf>
    <xf numFmtId="169" fontId="11" fillId="0" borderId="8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8" xfId="0" applyFont="1" applyFill="1" applyBorder="1"/>
    <xf numFmtId="0" fontId="11" fillId="0" borderId="0" xfId="0" applyFont="1"/>
    <xf numFmtId="0" fontId="0" fillId="0" borderId="2" xfId="0" applyBorder="1"/>
    <xf numFmtId="0" fontId="4" fillId="0" borderId="2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/>
    <xf numFmtId="0" fontId="0" fillId="0" borderId="9" xfId="0" applyBorder="1"/>
    <xf numFmtId="0" fontId="5" fillId="0" borderId="10" xfId="0" applyFont="1" applyFill="1" applyBorder="1" applyAlignment="1">
      <alignment horizontal="center" vertical="center"/>
    </xf>
    <xf numFmtId="169" fontId="5" fillId="0" borderId="11" xfId="0" applyNumberFormat="1" applyFont="1" applyFill="1" applyBorder="1" applyAlignment="1">
      <alignment horizontal="center" vertical="center"/>
    </xf>
    <xf numFmtId="15" fontId="5" fillId="0" borderId="11" xfId="0" applyNumberFormat="1" applyFont="1" applyFill="1" applyBorder="1" applyAlignment="1">
      <alignment horizontal="center" vertical="center"/>
    </xf>
    <xf numFmtId="15" fontId="5" fillId="0" borderId="12" xfId="0" applyNumberFormat="1" applyFont="1" applyFill="1" applyBorder="1" applyAlignment="1">
      <alignment horizontal="center" vertical="center"/>
    </xf>
    <xf numFmtId="169" fontId="5" fillId="0" borderId="12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0" xfId="0" applyFill="1" applyBorder="1" applyAlignment="1">
      <alignment horizontal="center" vertical="center"/>
    </xf>
    <xf numFmtId="0" fontId="0" fillId="2" borderId="17" xfId="0" applyFill="1" applyBorder="1"/>
    <xf numFmtId="0" fontId="6" fillId="4" borderId="2" xfId="0" applyFont="1" applyFill="1" applyBorder="1"/>
    <xf numFmtId="15" fontId="6" fillId="4" borderId="2" xfId="0" applyNumberFormat="1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4" borderId="6" xfId="0" applyFont="1" applyFill="1" applyBorder="1"/>
    <xf numFmtId="15" fontId="6" fillId="4" borderId="6" xfId="0" applyNumberFormat="1" applyFont="1" applyFill="1" applyBorder="1" applyAlignment="1">
      <alignment horizontal="left" vertical="center"/>
    </xf>
    <xf numFmtId="15" fontId="5" fillId="4" borderId="3" xfId="0" applyNumberFormat="1" applyFont="1" applyFill="1" applyBorder="1" applyAlignment="1">
      <alignment horizontal="center" vertical="center"/>
    </xf>
    <xf numFmtId="15" fontId="5" fillId="4" borderId="4" xfId="2" quotePrefix="1" applyNumberFormat="1" applyFont="1" applyFill="1" applyBorder="1" applyAlignment="1">
      <alignment horizontal="center" vertical="center"/>
    </xf>
    <xf numFmtId="168" fontId="5" fillId="4" borderId="4" xfId="0" applyNumberFormat="1" applyFont="1" applyFill="1" applyBorder="1" applyAlignment="1">
      <alignment horizontal="center" vertical="center"/>
    </xf>
    <xf numFmtId="170" fontId="6" fillId="4" borderId="5" xfId="3" quotePrefix="1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5" fontId="5" fillId="4" borderId="0" xfId="2" quotePrefix="1" applyNumberFormat="1" applyFont="1" applyFill="1" applyBorder="1" applyAlignment="1">
      <alignment horizontal="center" vertical="center"/>
    </xf>
    <xf numFmtId="168" fontId="5" fillId="4" borderId="0" xfId="0" applyNumberFormat="1" applyFont="1" applyFill="1" applyBorder="1" applyAlignment="1">
      <alignment horizontal="center" vertical="center"/>
    </xf>
    <xf numFmtId="170" fontId="6" fillId="4" borderId="8" xfId="3" quotePrefix="1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7" fontId="4" fillId="4" borderId="6" xfId="0" applyNumberFormat="1" applyFont="1" applyFill="1" applyBorder="1" applyAlignment="1">
      <alignment horizontal="left" vertical="center"/>
    </xf>
    <xf numFmtId="15" fontId="5" fillId="4" borderId="0" xfId="2" applyNumberFormat="1" applyFont="1" applyFill="1" applyBorder="1" applyAlignment="1">
      <alignment horizontal="center" vertical="center"/>
    </xf>
    <xf numFmtId="170" fontId="6" fillId="4" borderId="8" xfId="3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center" vertical="center"/>
    </xf>
    <xf numFmtId="165" fontId="11" fillId="4" borderId="0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2" borderId="17" xfId="0" applyFont="1" applyFill="1" applyBorder="1"/>
    <xf numFmtId="0" fontId="5" fillId="4" borderId="10" xfId="0" applyFont="1" applyFill="1" applyBorder="1" applyAlignment="1">
      <alignment horizontal="center" vertical="center"/>
    </xf>
    <xf numFmtId="15" fontId="5" fillId="4" borderId="11" xfId="2" applyNumberFormat="1" applyFont="1" applyFill="1" applyBorder="1" applyAlignment="1">
      <alignment horizontal="center" vertical="center"/>
    </xf>
    <xf numFmtId="168" fontId="5" fillId="4" borderId="11" xfId="0" applyNumberFormat="1" applyFont="1" applyFill="1" applyBorder="1" applyAlignment="1">
      <alignment horizontal="center" vertical="center"/>
    </xf>
    <xf numFmtId="170" fontId="6" fillId="4" borderId="12" xfId="3" applyNumberFormat="1" applyFont="1" applyFill="1" applyBorder="1" applyAlignment="1">
      <alignment horizontal="center" vertical="center"/>
    </xf>
    <xf numFmtId="165" fontId="5" fillId="4" borderId="11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65" fontId="5" fillId="4" borderId="5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5" fontId="5" fillId="4" borderId="12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6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3" borderId="0" xfId="0" applyFill="1"/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5" fontId="15" fillId="2" borderId="0" xfId="1" applyNumberFormat="1" applyFont="1" applyFill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10" fontId="15" fillId="2" borderId="0" xfId="0" applyNumberFormat="1" applyFont="1" applyFill="1" applyAlignment="1">
      <alignment horizontal="center" vertical="center"/>
    </xf>
    <xf numFmtId="10" fontId="15" fillId="2" borderId="0" xfId="0" applyNumberFormat="1" applyFont="1" applyFill="1" applyAlignment="1">
      <alignment horizontal="center"/>
    </xf>
    <xf numFmtId="0" fontId="16" fillId="0" borderId="0" xfId="0" applyFont="1" applyAlignment="1">
      <alignment horizontal="left" vertical="center"/>
    </xf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Fill="1"/>
    <xf numFmtId="167" fontId="6" fillId="0" borderId="0" xfId="0" applyNumberFormat="1" applyFont="1" applyFill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quotePrefix="1" applyFont="1" applyFill="1" applyAlignment="1">
      <alignment horizontal="center" vertical="center"/>
    </xf>
    <xf numFmtId="0" fontId="2" fillId="4" borderId="0" xfId="0" applyFont="1" applyFill="1" applyBorder="1"/>
    <xf numFmtId="0" fontId="0" fillId="4" borderId="0" xfId="0" applyFill="1" applyBorder="1"/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2" borderId="2" xfId="0" applyFill="1" applyBorder="1"/>
    <xf numFmtId="167" fontId="9" fillId="3" borderId="2" xfId="0" applyNumberFormat="1" applyFont="1" applyFill="1" applyBorder="1" applyAlignment="1">
      <alignment horizontal="center" vertical="center"/>
    </xf>
    <xf numFmtId="0" fontId="11" fillId="4" borderId="0" xfId="0" applyFont="1" applyFill="1" applyBorder="1"/>
    <xf numFmtId="0" fontId="0" fillId="4" borderId="0" xfId="0" applyFill="1" applyBorder="1" applyAlignment="1">
      <alignment horizontal="center" vertical="center"/>
    </xf>
    <xf numFmtId="0" fontId="0" fillId="2" borderId="6" xfId="0" applyFill="1" applyBorder="1"/>
    <xf numFmtId="167" fontId="9" fillId="3" borderId="6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167" fontId="5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3" fontId="9" fillId="3" borderId="6" xfId="0" applyNumberFormat="1" applyFont="1" applyFill="1" applyBorder="1" applyAlignment="1">
      <alignment horizontal="center" vertical="center"/>
    </xf>
    <xf numFmtId="10" fontId="9" fillId="3" borderId="6" xfId="0" applyNumberFormat="1" applyFont="1" applyFill="1" applyBorder="1" applyAlignment="1">
      <alignment horizontal="center" vertical="center"/>
    </xf>
    <xf numFmtId="168" fontId="9" fillId="4" borderId="2" xfId="1" applyNumberFormat="1" applyFont="1" applyFill="1" applyBorder="1" applyAlignment="1">
      <alignment horizontal="center" vertical="center"/>
    </xf>
    <xf numFmtId="168" fontId="9" fillId="4" borderId="6" xfId="1" applyNumberFormat="1" applyFont="1" applyFill="1" applyBorder="1" applyAlignment="1">
      <alignment horizontal="center" vertical="center"/>
    </xf>
    <xf numFmtId="169" fontId="9" fillId="3" borderId="6" xfId="0" applyNumberFormat="1" applyFont="1" applyFill="1" applyBorder="1" applyAlignment="1">
      <alignment horizontal="center" vertical="center"/>
    </xf>
    <xf numFmtId="169" fontId="9" fillId="3" borderId="9" xfId="0" applyNumberFormat="1" applyFont="1" applyFill="1" applyBorder="1" applyAlignment="1">
      <alignment horizontal="center" vertical="center"/>
    </xf>
    <xf numFmtId="168" fontId="9" fillId="4" borderId="9" xfId="1" applyNumberFormat="1" applyFont="1" applyFill="1" applyBorder="1" applyAlignment="1">
      <alignment horizontal="center" vertical="center"/>
    </xf>
    <xf numFmtId="4" fontId="17" fillId="2" borderId="0" xfId="0" applyNumberFormat="1" applyFont="1" applyFill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5" fontId="17" fillId="2" borderId="6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68" fontId="17" fillId="2" borderId="5" xfId="1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8" fontId="17" fillId="2" borderId="8" xfId="1" applyNumberFormat="1" applyFont="1" applyFill="1" applyBorder="1" applyAlignment="1">
      <alignment horizontal="center" vertical="center"/>
    </xf>
    <xf numFmtId="15" fontId="17" fillId="2" borderId="7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168" fontId="17" fillId="2" borderId="12" xfId="1" applyNumberFormat="1" applyFont="1" applyFill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5" fontId="17" fillId="2" borderId="3" xfId="0" applyNumberFormat="1" applyFont="1" applyFill="1" applyBorder="1" applyAlignment="1">
      <alignment horizontal="center" vertical="center"/>
    </xf>
    <xf numFmtId="165" fontId="17" fillId="2" borderId="5" xfId="0" applyNumberFormat="1" applyFont="1" applyFill="1" applyBorder="1" applyAlignment="1">
      <alignment horizontal="center" vertical="center"/>
    </xf>
    <xf numFmtId="165" fontId="17" fillId="2" borderId="8" xfId="0" applyNumberFormat="1" applyFont="1" applyFill="1" applyBorder="1" applyAlignment="1">
      <alignment horizontal="center" vertical="center"/>
    </xf>
    <xf numFmtId="165" fontId="17" fillId="2" borderId="12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167" fontId="17" fillId="2" borderId="6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5" xfId="0" applyBorder="1"/>
    <xf numFmtId="0" fontId="5" fillId="0" borderId="10" xfId="0" applyFont="1" applyBorder="1" applyAlignment="1">
      <alignment horizontal="left" vertical="center"/>
    </xf>
    <xf numFmtId="0" fontId="0" fillId="0" borderId="12" xfId="0" applyBorder="1"/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10" fontId="9" fillId="3" borderId="9" xfId="0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169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69" fontId="10" fillId="6" borderId="6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3" fontId="5" fillId="4" borderId="0" xfId="0" applyNumberFormat="1" applyFont="1" applyFill="1" applyBorder="1" applyAlignment="1">
      <alignment horizontal="center" vertical="center"/>
    </xf>
    <xf numFmtId="169" fontId="5" fillId="6" borderId="0" xfId="1" applyNumberFormat="1" applyFont="1" applyFill="1" applyBorder="1" applyAlignment="1">
      <alignment horizontal="center" vertical="center"/>
    </xf>
    <xf numFmtId="15" fontId="17" fillId="2" borderId="0" xfId="0" applyNumberFormat="1" applyFont="1" applyFill="1" applyAlignment="1">
      <alignment horizontal="center" vertical="center"/>
    </xf>
    <xf numFmtId="0" fontId="0" fillId="4" borderId="0" xfId="0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0" fontId="17" fillId="4" borderId="0" xfId="0" applyFont="1" applyFill="1" applyBorder="1" applyAlignment="1">
      <alignment horizontal="center"/>
    </xf>
    <xf numFmtId="4" fontId="10" fillId="6" borderId="6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3" fontId="0" fillId="0" borderId="0" xfId="0" applyNumberFormat="1"/>
    <xf numFmtId="172" fontId="17" fillId="2" borderId="0" xfId="0" applyNumberFormat="1" applyFont="1" applyFill="1" applyAlignment="1">
      <alignment horizontal="center" vertical="center"/>
    </xf>
    <xf numFmtId="172" fontId="17" fillId="2" borderId="0" xfId="0" applyNumberFormat="1" applyFont="1" applyFill="1" applyAlignment="1">
      <alignment horizontal="center"/>
    </xf>
    <xf numFmtId="168" fontId="17" fillId="2" borderId="0" xfId="0" applyNumberFormat="1" applyFont="1" applyFill="1" applyAlignment="1">
      <alignment horizontal="center" vertical="center"/>
    </xf>
    <xf numFmtId="169" fontId="17" fillId="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4" fontId="6" fillId="0" borderId="6" xfId="0" applyNumberFormat="1" applyFont="1" applyBorder="1" applyAlignment="1">
      <alignment horizontal="center" vertical="center"/>
    </xf>
    <xf numFmtId="173" fontId="0" fillId="6" borderId="0" xfId="0" applyNumberFormat="1" applyFill="1"/>
    <xf numFmtId="0" fontId="17" fillId="2" borderId="0" xfId="0" applyFont="1" applyFill="1" applyAlignment="1">
      <alignment horizontal="center"/>
    </xf>
    <xf numFmtId="0" fontId="16" fillId="0" borderId="0" xfId="0" applyFont="1"/>
    <xf numFmtId="0" fontId="8" fillId="4" borderId="0" xfId="0" applyFont="1" applyFill="1" applyBorder="1"/>
    <xf numFmtId="0" fontId="8" fillId="0" borderId="0" xfId="0" applyFont="1"/>
    <xf numFmtId="0" fontId="17" fillId="2" borderId="0" xfId="0" applyFont="1" applyFill="1" applyBorder="1" applyAlignment="1">
      <alignment horizontal="center" vertical="center"/>
    </xf>
    <xf numFmtId="15" fontId="17" fillId="2" borderId="0" xfId="0" applyNumberFormat="1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center" vertical="center"/>
    </xf>
    <xf numFmtId="3" fontId="17" fillId="2" borderId="14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3" fontId="17" fillId="2" borderId="0" xfId="0" applyNumberFormat="1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15" fontId="17" fillId="2" borderId="16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Border="1" applyAlignment="1">
      <alignment horizontal="center" vertical="center"/>
    </xf>
    <xf numFmtId="4" fontId="17" fillId="2" borderId="0" xfId="0" applyNumberFormat="1" applyFont="1" applyFill="1" applyBorder="1" applyAlignment="1">
      <alignment horizontal="center" vertical="center"/>
    </xf>
    <xf numFmtId="10" fontId="17" fillId="2" borderId="0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3" fontId="17" fillId="2" borderId="17" xfId="0" applyNumberFormat="1" applyFont="1" applyFill="1" applyBorder="1" applyAlignment="1">
      <alignment horizontal="center" vertical="center"/>
    </xf>
    <xf numFmtId="15" fontId="17" fillId="2" borderId="18" xfId="0" applyNumberFormat="1" applyFont="1" applyFill="1" applyBorder="1" applyAlignment="1">
      <alignment horizontal="center" vertical="center"/>
    </xf>
    <xf numFmtId="15" fontId="17" fillId="2" borderId="19" xfId="0" applyNumberFormat="1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166" fontId="17" fillId="2" borderId="19" xfId="0" applyNumberFormat="1" applyFont="1" applyFill="1" applyBorder="1" applyAlignment="1">
      <alignment horizontal="center" vertical="center"/>
    </xf>
    <xf numFmtId="3" fontId="17" fillId="2" borderId="19" xfId="0" applyNumberFormat="1" applyFont="1" applyFill="1" applyBorder="1" applyAlignment="1">
      <alignment horizontal="center" vertical="center"/>
    </xf>
    <xf numFmtId="4" fontId="17" fillId="2" borderId="19" xfId="0" applyNumberFormat="1" applyFont="1" applyFill="1" applyBorder="1" applyAlignment="1">
      <alignment horizontal="center" vertical="center"/>
    </xf>
    <xf numFmtId="10" fontId="17" fillId="2" borderId="19" xfId="0" applyNumberFormat="1" applyFont="1" applyFill="1" applyBorder="1" applyAlignment="1">
      <alignment horizontal="center" vertical="center"/>
    </xf>
    <xf numFmtId="165" fontId="17" fillId="2" borderId="19" xfId="0" applyNumberFormat="1" applyFont="1" applyFill="1" applyBorder="1" applyAlignment="1">
      <alignment horizontal="center" vertical="center"/>
    </xf>
    <xf numFmtId="164" fontId="17" fillId="2" borderId="19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9" fillId="0" borderId="0" xfId="0" applyFont="1"/>
    <xf numFmtId="169" fontId="6" fillId="4" borderId="6" xfId="0" applyNumberFormat="1" applyFont="1" applyFill="1" applyBorder="1" applyAlignment="1">
      <alignment horizontal="center" vertical="center"/>
    </xf>
    <xf numFmtId="169" fontId="6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9" fontId="10" fillId="6" borderId="22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6" fontId="6" fillId="4" borderId="23" xfId="0" applyNumberFormat="1" applyFont="1" applyFill="1" applyBorder="1" applyAlignment="1">
      <alignment horizontal="center" vertical="center"/>
    </xf>
    <xf numFmtId="166" fontId="6" fillId="0" borderId="23" xfId="0" applyNumberFormat="1" applyFont="1" applyBorder="1" applyAlignment="1">
      <alignment horizontal="center" vertical="center"/>
    </xf>
    <xf numFmtId="166" fontId="10" fillId="6" borderId="23" xfId="0" applyNumberFormat="1" applyFont="1" applyFill="1" applyBorder="1" applyAlignment="1">
      <alignment horizontal="center" vertical="center"/>
    </xf>
    <xf numFmtId="169" fontId="17" fillId="2" borderId="22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17" fillId="2" borderId="0" xfId="0" applyFont="1" applyFill="1" applyBorder="1" applyAlignment="1">
      <alignment horizontal="left" vertical="center"/>
    </xf>
    <xf numFmtId="169" fontId="6" fillId="0" borderId="22" xfId="0" applyNumberFormat="1" applyFont="1" applyBorder="1" applyAlignment="1">
      <alignment horizontal="center" vertical="center"/>
    </xf>
    <xf numFmtId="0" fontId="10" fillId="2" borderId="24" xfId="0" applyFont="1" applyFill="1" applyBorder="1" applyAlignment="1">
      <alignment horizontal="left" vertical="center"/>
    </xf>
    <xf numFmtId="3" fontId="16" fillId="2" borderId="24" xfId="0" applyNumberFormat="1" applyFont="1" applyFill="1" applyBorder="1" applyAlignment="1">
      <alignment horizontal="center" vertical="center"/>
    </xf>
    <xf numFmtId="0" fontId="21" fillId="0" borderId="0" xfId="0" applyFont="1"/>
    <xf numFmtId="0" fontId="2" fillId="0" borderId="3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7" xfId="0" applyFill="1" applyBorder="1"/>
    <xf numFmtId="0" fontId="5" fillId="0" borderId="0" xfId="0" applyFont="1" applyFill="1" applyBorder="1"/>
    <xf numFmtId="0" fontId="0" fillId="0" borderId="8" xfId="0" applyFill="1" applyBorder="1"/>
    <xf numFmtId="0" fontId="0" fillId="0" borderId="0" xfId="0" applyFill="1" applyBorder="1"/>
    <xf numFmtId="0" fontId="2" fillId="0" borderId="7" xfId="0" applyFont="1" applyFill="1" applyBorder="1"/>
    <xf numFmtId="0" fontId="10" fillId="0" borderId="0" xfId="0" applyFont="1" applyFill="1" applyBorder="1"/>
    <xf numFmtId="0" fontId="0" fillId="0" borderId="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7" fontId="6" fillId="0" borderId="7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3" fontId="6" fillId="0" borderId="8" xfId="0" applyNumberFormat="1" applyFont="1" applyFill="1" applyBorder="1" applyAlignment="1">
      <alignment horizontal="center" vertical="center"/>
    </xf>
    <xf numFmtId="167" fontId="6" fillId="0" borderId="10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3" fontId="6" fillId="0" borderId="12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9" fontId="17" fillId="6" borderId="0" xfId="0" applyNumberFormat="1" applyFont="1" applyFill="1" applyAlignment="1">
      <alignment horizontal="center"/>
    </xf>
    <xf numFmtId="166" fontId="3" fillId="9" borderId="0" xfId="0" applyNumberFormat="1" applyFont="1" applyFill="1" applyAlignment="1">
      <alignment horizontal="center"/>
    </xf>
    <xf numFmtId="174" fontId="0" fillId="0" borderId="0" xfId="0" applyNumberFormat="1"/>
    <xf numFmtId="0" fontId="5" fillId="6" borderId="0" xfId="0" applyFont="1" applyFill="1" applyBorder="1"/>
    <xf numFmtId="0" fontId="17" fillId="6" borderId="0" xfId="0" applyFont="1" applyFill="1"/>
  </cellXfs>
  <cellStyles count="4">
    <cellStyle name="Comma [0] 5" xfId="3"/>
    <cellStyle name="Normal" xfId="0" builtinId="0"/>
    <cellStyle name="Percent" xfId="1" builtinId="5"/>
    <cellStyle name="標準_Input_OutPut20060417" xfId="2"/>
  </cellStyles>
  <dxfs count="0"/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2.5572720000000002</v>
        <stp/>
        <stp>##V3_BDPV12</stp>
        <stp>GTITL50Y Corp</stp>
        <stp>YAS_BOND_YLD</stp>
        <stp>[EUR_CreditLinkedNotes.xlsx]CREDIT MKT DATA!R14C19</stp>
        <tr r="S14" s="6"/>
      </tp>
      <tp>
        <v>1.4602930000000001</v>
        <stp/>
        <stp>##V3_BDPV12</stp>
        <stp>GTITL10Y Corp</stp>
        <stp>YAS_BOND_YLD</stp>
        <stp>[EUR_CreditLinkedNotes.xlsx]CREDIT MKT DATA!R11C19</stp>
        <tr r="S11" s="6"/>
      </tp>
      <tp>
        <v>2.3901509999999999</v>
        <stp/>
        <stp>##V3_BDPV12</stp>
        <stp>GTITL30Y Corp</stp>
        <stp>YAS_BOND_YLD</stp>
        <stp>[EUR_CreditLinkedNotes.xlsx]CREDIT MKT DATA!R13C19</stp>
        <tr r="S13" s="6"/>
      </tp>
      <tp>
        <v>235</v>
        <stp/>
        <stp>##V3_BDPV12</stp>
        <stp>CITLY1U5 Curncy</stp>
        <stp>5Y_MID_CDS_SPREAD</stp>
        <stp>[EUR_CreditLinkedNotes.xlsx]CREDIT MKT DATA!R23C7</stp>
        <tr r="G23" s="6"/>
      </tp>
      <tp>
        <v>235</v>
        <stp/>
        <stp>##V3_BDPV12</stp>
        <stp>CITLY1U3 Curncy</stp>
        <stp>7Y_MID_CDS_SPREAD</stp>
        <stp>[EUR_CreditLinkedNotes.xlsx]CREDIT MKT DATA!R21C8</stp>
        <tr r="H21" s="6"/>
      </tp>
      <tp>
        <v>235</v>
        <stp/>
        <stp>##V3_BDPV12</stp>
        <stp>CITLY1U3 Curncy</stp>
        <stp>5Y_MID_CDS_SPREAD</stp>
        <stp>[EUR_CreditLinkedNotes.xlsx]CREDIT MKT DATA!R21C7</stp>
        <tr r="G21" s="6"/>
      </tp>
      <tp>
        <v>235</v>
        <stp/>
        <stp>##V3_BDPV12</stp>
        <stp>CITLY1U5 Curncy</stp>
        <stp>7Y_MID_CDS_SPREAD</stp>
        <stp>[EUR_CreditLinkedNotes.xlsx]CREDIT MKT DATA!R23C8</stp>
        <tr r="H23" s="6"/>
      </tp>
      <tp>
        <v>235</v>
        <stp/>
        <stp>##V3_BDPV12</stp>
        <stp>CITLY1U5 Curncy</stp>
        <stp>1Y_MID_CDS_SPREAD</stp>
        <stp>[EUR_CreditLinkedNotes.xlsx]CREDIT MKT DATA!R23C6</stp>
        <tr r="F23" s="6"/>
      </tp>
      <tp t="s">
        <v>US465410AH18</v>
        <stp/>
        <stp>##V3_BDPV12</stp>
        <stp>CITLY1U5 Curncy</stp>
        <stp>SW_PRIMARY_REF_OBLIGATION_ISIN</stp>
        <stp>[EUR_CreditLinkedNotes.xlsx]CREDIT MKT DATA!R23C10</stp>
        <tr r="J23" s="6"/>
      </tp>
      <tp t="s">
        <v>US465410AH18</v>
        <stp/>
        <stp>##V3_BDPV12</stp>
        <stp>CITLY1U3 Curncy</stp>
        <stp>SW_PRIMARY_REF_OBLIGATION_ISIN</stp>
        <stp>[EUR_CreditLinkedNotes.xlsx]CREDIT MKT DATA!R21C10</stp>
        <tr r="J21" s="6"/>
      </tp>
      <tp t="s">
        <v>US465410AH18</v>
        <stp/>
        <stp>##V3_BDPV12</stp>
        <stp>CITLY1U1 Curncy</stp>
        <stp>SW_PRIMARY_REF_OBLIGATION_ISIN</stp>
        <stp>[EUR_CreditLinkedNotes.xlsx]CREDIT MKT DATA!R19C10</stp>
        <tr r="J19" s="6"/>
      </tp>
      <tp t="s">
        <v>US465410AH18</v>
        <stp/>
        <stp>##V3_BDPV12</stp>
        <stp>CY005704 Curncy</stp>
        <stp>SW_PRIMARY_REF_OBLIGATION_ISIN</stp>
        <stp>[EUR_CreditLinkedNotes.xlsx]CREDIT MKT DATA!R18C10</stp>
        <tr r="J18" s="6"/>
      </tp>
      <tp t="s">
        <v>US465410AH18</v>
        <stp/>
        <stp>##V3_BDPV12</stp>
        <stp>CX760279 Curncy</stp>
        <stp>SW_PRIMARY_REF_OBLIGATION_ISIN</stp>
        <stp>[EUR_CreditLinkedNotes.xlsx]CREDIT MKT DATA!R20C10</stp>
        <tr r="J20" s="6"/>
      </tp>
      <tp>
        <v>1.8751769999999999</v>
        <stp/>
        <stp>##V3_BDPV12</stp>
        <stp>GTITL15Y Corp</stp>
        <stp>YAS_BOND_YLD</stp>
        <stp>[EUR_CreditLinkedNotes.xlsx]CREDIT MKT DATA!R12C19</stp>
        <tr r="S12" s="6"/>
      </tp>
      <tp>
        <v>235</v>
        <stp/>
        <stp>##V3_BDPV12</stp>
        <stp>CY005704 Curncy</stp>
        <stp>10Y_MID_CDS_SPREAD</stp>
        <stp>[EUR_CreditLinkedNotes.xlsx]CREDIT MKT DATA!R18C9</stp>
        <tr r="I18" s="6"/>
      </tp>
      <tp>
        <v>235</v>
        <stp/>
        <stp>##V3_BDPV12</stp>
        <stp>CITLY1U3 Curncy</stp>
        <stp>1Y_MID_CDS_SPREAD</stp>
        <stp>[EUR_CreditLinkedNotes.xlsx]CREDIT MKT DATA!R21C6</stp>
        <tr r="F21" s="6"/>
      </tp>
      <tp>
        <v>235</v>
        <stp/>
        <stp>##V3_BDPV12</stp>
        <stp>CITLY1U1 Curncy</stp>
        <stp>7Y_MID_CDS_SPREAD</stp>
        <stp>[EUR_CreditLinkedNotes.xlsx]CREDIT MKT DATA!R19C8</stp>
        <tr r="H19" s="6"/>
      </tp>
      <tp>
        <v>235</v>
        <stp/>
        <stp>##V3_BDPV12</stp>
        <stp>CX760283 Curncy</stp>
        <stp>10Y_MID_CDS_SPREAD</stp>
        <stp>[EUR_CreditLinkedNotes.xlsx]CREDIT MKT DATA!R22C9</stp>
        <tr r="I22" s="6"/>
      </tp>
      <tp t="s">
        <v>US465410AH18</v>
        <stp/>
        <stp>##V3_BDPV12</stp>
        <stp>CX760283 Curncy</stp>
        <stp>SW_PRIMARY_REF_OBLIGATION_ISIN</stp>
        <stp>[EUR_CreditLinkedNotes.xlsx]CREDIT MKT DATA!R22C10</stp>
        <tr r="J22" s="6"/>
      </tp>
      <tp>
        <v>235</v>
        <stp/>
        <stp>##V3_BDPV12</stp>
        <stp>CX760279 Curncy</stp>
        <stp>10Y_MID_CDS_SPREAD</stp>
        <stp>[EUR_CreditLinkedNotes.xlsx]CREDIT MKT DATA!R20C9</stp>
        <tr r="I20" s="6"/>
      </tp>
      <tp>
        <v>235</v>
        <stp/>
        <stp>##V3_BDPV12</stp>
        <stp>CITLY1U1 Curncy</stp>
        <stp>5Y_MID_CDS_SPREAD</stp>
        <stp>[EUR_CreditLinkedNotes.xlsx]CREDIT MKT DATA!R19C7</stp>
        <tr r="G19" s="6"/>
      </tp>
      <tp t="s">
        <v>01/09/2016</v>
        <stp/>
        <stp>##V3_BDPV12</stp>
        <stp>GTITL50Y Corp</stp>
        <stp>INT_ACC_DT</stp>
        <stp>[EUR_CreditLinkedNotes.xlsx]CREDIT MKT DATA!R14C9</stp>
        <tr r="I14" s="6"/>
      </tp>
      <tp>
        <v>-3.3000000000000002E-2</v>
        <stp/>
        <stp>##V3_BDPV12</stp>
        <stp>EUSW50V3 ICPL Curncy</stp>
        <stp>LAST_PRICE</stp>
        <stp>[EUR_CreditLinkedNotes.xlsx]CURVE MKT DATA!R58C12</stp>
        <tr r="L58" s="1"/>
      </tp>
      <tp>
        <v>3.3000000000000002E-2</v>
        <stp/>
        <stp>##V3_BDPV12</stp>
        <stp>EUSW40V3 ICPL Curncy</stp>
        <stp>LAST_PRICE</stp>
        <stp>[EUR_CreditLinkedNotes.xlsx]CURVE MKT DATA!R57C12</stp>
        <tr r="L57" s="1"/>
      </tp>
      <tp>
        <v>0.10100000000000001</v>
        <stp/>
        <stp>##V3_BDPV12</stp>
        <stp>EUSW30V3 ICPL Curncy</stp>
        <stp>LAST_PRICE</stp>
        <stp>[EUR_CreditLinkedNotes.xlsx]CURVE MKT DATA!R56C12</stp>
        <tr r="L56" s="1"/>
      </tp>
      <tp>
        <v>0.157</v>
        <stp/>
        <stp>##V3_BDPV12</stp>
        <stp>EUSW20V3 ICPL Curncy</stp>
        <stp>LAST_PRICE</stp>
        <stp>[EUR_CreditLinkedNotes.xlsx]CURVE MKT DATA!R54C12</stp>
        <tr r="L54" s="1"/>
      </tp>
      <tp>
        <v>0.14299999999999999</v>
        <stp/>
        <stp>##V3_BDPV12</stp>
        <stp>EUSW25V3 ICPL Curncy</stp>
        <stp>LAST_PRICE</stp>
        <stp>[EUR_CreditLinkedNotes.xlsx]CURVE MKT DATA!R55C12</stp>
        <tr r="L55" s="1"/>
      </tp>
      <tp>
        <v>9.5000000000000001E-2</v>
        <stp/>
        <stp>##V3_BDPV12</stp>
        <stp>EUSW15V3 ICPL Curncy</stp>
        <stp>LAST_PRICE</stp>
        <stp>[EUR_CreditLinkedNotes.xlsx]CURVE MKT DATA!R53C12</stp>
        <tr r="L53" s="1"/>
      </tp>
      <tp>
        <v>-8.5999999999999993E-2</v>
        <stp/>
        <stp>##V3_BDPV12</stp>
        <stp>EUSW10V3 ICPL Curncy</stp>
        <stp>LAST_PRICE</stp>
        <stp>[EUR_CreditLinkedNotes.xlsx]CURVE MKT DATA!R50C12</stp>
        <tr r="L50" s="1"/>
      </tp>
      <tp>
        <v>-4.2999999999999997E-2</v>
        <stp/>
        <stp>##V3_BDPV12</stp>
        <stp>EUSW11V3 ICPL Curncy</stp>
        <stp>LAST_PRICE</stp>
        <stp>[EUR_CreditLinkedNotes.xlsx]CURVE MKT DATA!R51C12</stp>
        <tr r="L51" s="1"/>
      </tp>
      <tp>
        <v>-2E-3</v>
        <stp/>
        <stp>##V3_BDPV12</stp>
        <stp>EUSW12V3 ICPL Curncy</stp>
        <stp>LAST_PRICE</stp>
        <stp>[EUR_CreditLinkedNotes.xlsx]CURVE MKT DATA!R52C12</stp>
        <tr r="L52" s="1"/>
      </tp>
      <tp t="s">
        <v>US465410AH18</v>
        <stp/>
        <stp>##V3_BDPV12</stp>
        <stp>CX760291 Curncy</stp>
        <stp>SW_PRIMARY_REF_OBLIGATION_ISIN</stp>
        <stp>[EUR_CreditLinkedNotes.xlsx]CREDIT MKT DATA!R24C10</stp>
        <tr r="J24" s="6"/>
      </tp>
      <tp>
        <v>-0.46800000000000003</v>
        <stp/>
        <stp>##V3_BDPV12</stp>
        <stp>EUSF2A ICPL Curncy</stp>
        <stp>LAST_PRICE</stp>
        <stp>[EUR_CreditLinkedNotes.xlsx]CURVE MKT DATA!R9C12</stp>
        <tr r="L9" s="1"/>
      </tp>
      <tp>
        <v>-0.45600000000000002</v>
        <stp/>
        <stp>##V3_BDPV12</stp>
        <stp>EUSF1A ICPL Curncy</stp>
        <stp>LAST_PRICE</stp>
        <stp>[EUR_CreditLinkedNotes.xlsx]CURVE MKT DATA!R8C12</stp>
        <tr r="L8" s="1"/>
      </tp>
      <tp t="s">
        <v>01/09/2018</v>
        <stp/>
        <stp>##V3_BDPV12</stp>
        <stp>GTITL15Y Corp</stp>
        <stp>INT_ACC_DT</stp>
        <stp>[EUR_CreditLinkedNotes.xlsx]CREDIT MKT DATA!R12C9</stp>
        <tr r="I12" s="6"/>
      </tp>
      <tp t="s">
        <v>01/09/2018</v>
        <stp/>
        <stp>##V3_BDPV12</stp>
        <stp>GTITL30Y Corp</stp>
        <stp>INT_ACC_DT</stp>
        <stp>[EUR_CreditLinkedNotes.xlsx]CREDIT MKT DATA!R13C9</stp>
        <tr r="I13" s="6"/>
      </tp>
      <tp>
        <v>235</v>
        <stp/>
        <stp>##V3_BDPV12</stp>
        <stp>CITLY1U1 Curncy</stp>
        <stp>1Y_MID_CDS_SPREAD</stp>
        <stp>[EUR_CreditLinkedNotes.xlsx]CREDIT MKT DATA!R19C6</stp>
        <tr r="F19" s="6"/>
      </tp>
      <tp>
        <v>235</v>
        <stp/>
        <stp>##V3_BDPV12</stp>
        <stp>CX760291 Curncy</stp>
        <stp>10Y_MID_CDS_SPREAD</stp>
        <stp>[EUR_CreditLinkedNotes.xlsx]CREDIT MKT DATA!R24C9</stp>
        <tr r="I24" s="6"/>
      </tp>
      <tp t="s">
        <v>15/11/2019</v>
        <stp/>
        <stp>##V3_BDPV12</stp>
        <stp>GTITL7Y Corp</stp>
        <stp>INT_ACC_DT</stp>
        <stp>[EUR_CreditLinkedNotes.xlsx]CREDIT MKT DATA!R10C9</stp>
        <tr r="I10" s="6"/>
      </tp>
      <tp t="s">
        <v>01/09/2019</v>
        <stp/>
        <stp>##V3_BDPV12</stp>
        <stp>GTITL10Y Corp</stp>
        <stp>INT_ACC_DT</stp>
        <stp>[EUR_CreditLinkedNotes.xlsx]CREDIT MKT DATA!R11C9</stp>
        <tr r="I11" s="6"/>
      </tp>
      <tp>
        <v>0.6</v>
        <stp/>
        <stp>##V3_BDPV12</stp>
        <stp>EURTN Curncy</stp>
        <stp>LAST_PRICE</stp>
        <stp>[EUR_CreditLinkedNotes.xlsx]CURVE MKT DATA!R9C40</stp>
        <tr r="AN9" s="1"/>
      </tp>
      <tp>
        <v>0.19</v>
        <stp/>
        <stp>##V3_BDPV12</stp>
        <stp>EURON Curncy</stp>
        <stp>LAST_PRICE</stp>
        <stp>[EUR_CreditLinkedNotes.xlsx]CURVE MKT DATA!R8C40</stp>
        <tr r="AN8" s="1"/>
      </tp>
      <tp>
        <v>0.05</v>
        <stp/>
        <stp>##V3_BDPV12</stp>
        <stp>GTITL3Y Corp</stp>
        <stp>CPN</stp>
        <stp>[EUR_CreditLinkedNotes.xlsx]CREDIT MKT DATA!R8C13</stp>
        <tr r="M8" s="6"/>
      </tp>
      <tp>
        <v>2.2999999999999998</v>
        <stp/>
        <stp>##V3_BDPV12</stp>
        <stp>GTITL2Y Corp</stp>
        <stp>CPN</stp>
        <stp>[EUR_CreditLinkedNotes.xlsx]CREDIT MKT DATA!R7C13</stp>
        <tr r="M7" s="6"/>
      </tp>
      <tp>
        <v>0.35</v>
        <stp/>
        <stp>##V3_BDPV12</stp>
        <stp>GTITL5Y Corp</stp>
        <stp>CPN</stp>
        <stp>[EUR_CreditLinkedNotes.xlsx]CREDIT MKT DATA!R9C13</stp>
        <tr r="M9" s="6"/>
      </tp>
      <tp>
        <v>235</v>
        <stp/>
        <stp>##V3_BDPV12</stp>
        <stp>CITLY1U1 Curncy</stp>
        <stp>10Y_MID_CDS_SPREAD</stp>
        <stp>[EUR_CreditLinkedNotes.xlsx]CREDIT MKT DATA!R19C9</stp>
        <tr r="I19" s="6"/>
      </tp>
      <tp t="s">
        <v>IT0005348443</v>
        <stp/>
        <stp>##V3_BDPV12</stp>
        <stp>GTITL2Y Corp</stp>
        <stp>ID_ISIN</stp>
        <stp>[EUR_CreditLinkedNotes.xlsx]CREDIT MKT DATA!R7C7</stp>
        <tr r="G7" s="6"/>
      </tp>
      <tp>
        <v>0.33117400000000002</v>
        <stp/>
        <stp>##V3_BDPV12</stp>
        <stp>GTITL2Y Corp</stp>
        <stp>YAS_BOND_YLD</stp>
        <stp>[EUR_CreditLinkedNotes.xlsx]CREDIT MKT DATA!R7C19</stp>
        <tr r="S7" s="6"/>
      </tp>
      <tp>
        <v>0.51535399999999998</v>
        <stp/>
        <stp>##V3_BDPV12</stp>
        <stp>GTITL3Y Corp</stp>
        <stp>YAS_BOND_YLD</stp>
        <stp>[EUR_CreditLinkedNotes.xlsx]CREDIT MKT DATA!R8C19</stp>
        <tr r="S8" s="6"/>
      </tp>
      <tp>
        <v>0.87366699999999997</v>
        <stp/>
        <stp>##V3_BDPV12</stp>
        <stp>GTITL5Y Corp</stp>
        <stp>YAS_BOND_YLD</stp>
        <stp>[EUR_CreditLinkedNotes.xlsx]CREDIT MKT DATA!R9C19</stp>
        <tr r="S9" s="6"/>
      </tp>
      <tp>
        <v>8.1</v>
        <stp/>
        <stp>##V3_BDPV12</stp>
        <stp>EUBSA1 CMPN Curncy</stp>
        <stp>LAST_PRICE</stp>
        <stp>[EUR_CreditLinkedNotes.xlsx]CURVE MKT DATA!R7C30</stp>
        <tr r="AD7" s="1"/>
      </tp>
      <tp>
        <v>7.5</v>
        <stp/>
        <stp>##V3_BDPV12</stp>
        <stp>EUBSA3 CMPN Curncy</stp>
        <stp>LAST_PRICE</stp>
        <stp>[EUR_CreditLinkedNotes.xlsx]CURVE MKT DATA!R9C30</stp>
        <tr r="AD9" s="1"/>
      </tp>
      <tp>
        <v>7.65</v>
        <stp/>
        <stp>##V3_BDPV12</stp>
        <stp>EUBSA2 CMPN Curncy</stp>
        <stp>LAST_PRICE</stp>
        <stp>[EUR_CreditLinkedNotes.xlsx]CURVE MKT DATA!R8C30</stp>
        <tr r="AD8" s="1"/>
      </tp>
      <tp t="s">
        <v>01/03/2017</v>
        <stp/>
        <stp>##V3_BDPV12</stp>
        <stp>GTITL50Y Corp</stp>
        <stp>FIRST_CPN_DT</stp>
        <stp>[EUR_CreditLinkedNotes.xlsx]CREDIT MKT DATA!R14C11</stp>
        <tr r="K14" s="6"/>
      </tp>
      <tp t="s">
        <v>01/10/2019</v>
        <stp/>
        <stp>##V3_BDPV12</stp>
        <stp>GTITL10Y Corp</stp>
        <stp>FIRST_CPN_DT</stp>
        <stp>[EUR_CreditLinkedNotes.xlsx]CREDIT MKT DATA!R11C11</stp>
        <tr r="K11" s="6"/>
      </tp>
      <tp t="s">
        <v>01/03/2019</v>
        <stp/>
        <stp>##V3_BDPV12</stp>
        <stp>GTITL30Y Corp</stp>
        <stp>FIRST_CPN_DT</stp>
        <stp>[EUR_CreditLinkedNotes.xlsx]CREDIT MKT DATA!R13C11</stp>
        <tr r="K13" s="6"/>
      </tp>
      <tp>
        <v>235</v>
        <stp/>
        <stp>##V3_BDPV12</stp>
        <stp>CITLY1U3 Curncy</stp>
        <stp>10Y_MID_CDS_SPREAD</stp>
        <stp>[EUR_CreditLinkedNotes.xlsx]CREDIT MKT DATA!R21C9</stp>
        <tr r="I21" s="6"/>
      </tp>
      <tp t="s">
        <v>15/04/2019</v>
        <stp/>
        <stp>##V3_BDPV12</stp>
        <stp>GTITL2Y Corp</stp>
        <stp>FIRST_CPN_DT</stp>
        <stp>[EUR_CreditLinkedNotes.xlsx]CREDIT MKT DATA!R7C11</stp>
        <tr r="K7" s="6"/>
      </tp>
      <tp t="s">
        <v>15/01/2020</v>
        <stp/>
        <stp>##V3_BDPV12</stp>
        <stp>GTITL3Y Corp</stp>
        <stp>FIRST_CPN_DT</stp>
        <stp>[EUR_CreditLinkedNotes.xlsx]CREDIT MKT DATA!R8C11</stp>
        <tr r="K8" s="6"/>
      </tp>
      <tp t="s">
        <v>01/02/2020</v>
        <stp/>
        <stp>##V3_BDPV12</stp>
        <stp>GTITL5Y Corp</stp>
        <stp>FIRST_CPN_DT</stp>
        <stp>[EUR_CreditLinkedNotes.xlsx]CREDIT MKT DATA!R9C11</stp>
        <tr r="K9" s="6"/>
      </tp>
      <tp>
        <v>97.537000000000006</v>
        <stp/>
        <stp>##V3_BDPV12</stp>
        <stp>GTITL5Y Corp</stp>
        <stp>YAS_BOND_PX</stp>
        <stp>[EUR_CreditLinkedNotes.xlsx]CREDIT MKT DATA!R9C18</stp>
        <tr r="R9" s="6"/>
      </tp>
      <tp>
        <v>98.72</v>
        <stp/>
        <stp>##V3_BDPV12</stp>
        <stp>GTITL3Y Corp</stp>
        <stp>YAS_BOND_PX</stp>
        <stp>[EUR_CreditLinkedNotes.xlsx]CREDIT MKT DATA!R8C18</stp>
        <tr r="R8" s="6"/>
      </tp>
      <tp>
        <v>102.992</v>
        <stp/>
        <stp>##V3_BDPV12</stp>
        <stp>GTITL2Y Corp</stp>
        <stp>YAS_BOND_PX</stp>
        <stp>[EUR_CreditLinkedNotes.xlsx]CREDIT MKT DATA!R7C18</stp>
        <tr r="R7" s="6"/>
      </tp>
      <tp>
        <v>235</v>
        <stp/>
        <stp>##V3_BDPV12</stp>
        <stp>CITLY1U5 Curncy</stp>
        <stp>10Y_MID_CDS_SPREAD</stp>
        <stp>[EUR_CreditLinkedNotes.xlsx]CREDIT MKT DATA!R23C9</stp>
        <tr r="I23" s="6"/>
      </tp>
      <tp t="s">
        <v>BTPS 2.8 03/01/67</v>
        <stp/>
        <stp>##V3_BDPV12</stp>
        <stp>GTITL50Y Corp</stp>
        <stp>SECURITY_DES</stp>
        <stp>[EUR_CreditLinkedNotes.xlsx]CREDIT MKT DATA!R14C6</stp>
        <tr r="F14" s="6"/>
      </tp>
      <tp t="s">
        <v>BTPS 1.35 04/01/30</v>
        <stp/>
        <stp>##V3_BDPV12</stp>
        <stp>GTITL10Y Corp</stp>
        <stp>SECURITY_DES</stp>
        <stp>[EUR_CreditLinkedNotes.xlsx]CREDIT MKT DATA!R11C6</stp>
        <tr r="F11" s="6"/>
      </tp>
      <tp t="s">
        <v>BTPS 3.85 09/01/49</v>
        <stp/>
        <stp>##V3_BDPV12</stp>
        <stp>GTITL30Y Corp</stp>
        <stp>SECURITY_DES</stp>
        <stp>[EUR_CreditLinkedNotes.xlsx]CREDIT MKT DATA!R13C6</stp>
        <tr r="F13" s="6"/>
      </tp>
      <tp t="s">
        <v>01/03/2019</v>
        <stp/>
        <stp>##V3_BDPV12</stp>
        <stp>GTITL15Y Corp</stp>
        <stp>FIRST_CPN_DT</stp>
        <stp>[EUR_CreditLinkedNotes.xlsx]CREDIT MKT DATA!R12C11</stp>
        <tr r="K12" s="6"/>
      </tp>
      <tp t="s">
        <v>15/01/2027</v>
        <stp/>
        <stp>##V3_BDPV12</stp>
        <stp>GTITL7Y Corp</stp>
        <stp>MATURITY</stp>
        <stp>[EUR_CreditLinkedNotes.xlsx]CREDIT MKT DATA!R10C14</stp>
        <tr r="N10" s="6"/>
      </tp>
      <tp t="s">
        <v>BTPS 3.35 03/01/35</v>
        <stp/>
        <stp>##V3_BDPV12</stp>
        <stp>GTITL15Y Corp</stp>
        <stp>SECURITY_DES</stp>
        <stp>[EUR_CreditLinkedNotes.xlsx]CREDIT MKT DATA!R12C6</stp>
        <tr r="F12" s="6"/>
      </tp>
      <tp>
        <v>13.8</v>
        <stp/>
        <stp>##V3_BDPV12</stp>
        <stp>EUBSS1 ICPL Curncy</stp>
        <stp>LAST_PRICE</stp>
        <stp>[EUR_CreditLinkedNotes.xlsx]CURVE MKT DATA!R7C35</stp>
        <tr r="AI7" s="1"/>
      </tp>
      <tp>
        <v>11.1</v>
        <stp/>
        <stp>##V3_BDPV12</stp>
        <stp>EUBSS2 ICPL Curncy</stp>
        <stp>LAST_PRICE</stp>
        <stp>[EUR_CreditLinkedNotes.xlsx]CURVE MKT DATA!R8C35</stp>
        <tr r="AI8" s="1"/>
      </tp>
      <tp>
        <v>9.9</v>
        <stp/>
        <stp>##V3_BDPV12</stp>
        <stp>EUBSS3 ICPL Curncy</stp>
        <stp>LAST_PRICE</stp>
        <stp>[EUR_CreditLinkedNotes.xlsx]CURVE MKT DATA!R9C35</stp>
        <tr r="AI9" s="1"/>
      </tp>
      <tp t="s">
        <v>IT0005384497</v>
        <stp/>
        <stp>##V3_BDPV12</stp>
        <stp>GTITL3Y Corp</stp>
        <stp>ID_ISIN</stp>
        <stp>[EUR_CreditLinkedNotes.xlsx]CREDIT MKT DATA!R8C7</stp>
        <tr r="G8" s="6"/>
      </tp>
      <tp>
        <v>47.56</v>
        <stp/>
        <stp>##V3_BDPV12</stp>
        <stp>EUR5M Curncy</stp>
        <stp>LAST_PRICE</stp>
        <stp>[EUR_CreditLinkedNotes.xlsx]CURVE MKT DATA!R17C40</stp>
        <tr r="AN17" s="1"/>
      </tp>
      <tp>
        <v>38.39</v>
        <stp/>
        <stp>##V3_BDPV12</stp>
        <stp>EUR4M Curncy</stp>
        <stp>LAST_PRICE</stp>
        <stp>[EUR_CreditLinkedNotes.xlsx]CURVE MKT DATA!R16C40</stp>
        <tr r="AN16" s="1"/>
      </tp>
      <tp>
        <v>55.74</v>
        <stp/>
        <stp>##V3_BDPV12</stp>
        <stp>EUR6M Curncy</stp>
        <stp>LAST_PRICE</stp>
        <stp>[EUR_CreditLinkedNotes.xlsx]CURVE MKT DATA!R18C40</stp>
        <tr r="AN18" s="1"/>
      </tp>
      <tp>
        <v>9.84</v>
        <stp/>
        <stp>##V3_BDPV12</stp>
        <stp>EUR1M Curncy</stp>
        <stp>LAST_PRICE</stp>
        <stp>[EUR_CreditLinkedNotes.xlsx]CURVE MKT DATA!R13C40</stp>
        <tr r="AN13" s="1"/>
      </tp>
      <tp>
        <v>1.99</v>
        <stp/>
        <stp>##V3_BDPV12</stp>
        <stp>EUR1W Curncy</stp>
        <stp>LAST_PRICE</stp>
        <stp>[EUR_CreditLinkedNotes.xlsx]CURVE MKT DATA!R10C40</stp>
        <tr r="AN10" s="1"/>
      </tp>
      <tp>
        <v>29.43</v>
        <stp/>
        <stp>##V3_BDPV12</stp>
        <stp>EUR3M Curncy</stp>
        <stp>LAST_PRICE</stp>
        <stp>[EUR_CreditLinkedNotes.xlsx]CURVE MKT DATA!R15C40</stp>
        <tr r="AN15" s="1"/>
      </tp>
      <tp>
        <v>6.21</v>
        <stp/>
        <stp>##V3_BDPV12</stp>
        <stp>EUR3W Curncy</stp>
        <stp>LAST_PRICE</stp>
        <stp>[EUR_CreditLinkedNotes.xlsx]CURVE MKT DATA!R12C40</stp>
        <tr r="AN12" s="1"/>
      </tp>
      <tp>
        <v>20.56</v>
        <stp/>
        <stp>##V3_BDPV12</stp>
        <stp>EUR2M Curncy</stp>
        <stp>LAST_PRICE</stp>
        <stp>[EUR_CreditLinkedNotes.xlsx]CURVE MKT DATA!R14C40</stp>
        <tr r="AN14" s="1"/>
      </tp>
      <tp>
        <v>3.86</v>
        <stp/>
        <stp>##V3_BDPV12</stp>
        <stp>EUR2W Curncy</stp>
        <stp>LAST_PRICE</stp>
        <stp>[EUR_CreditLinkedNotes.xlsx]CURVE MKT DATA!R11C40</stp>
        <tr r="AN11" s="1"/>
      </tp>
      <tp>
        <v>86.01</v>
        <stp/>
        <stp>##V3_BDPV12</stp>
        <stp>EUR9M Curncy</stp>
        <stp>LAST_PRICE</stp>
        <stp>[EUR_CreditLinkedNotes.xlsx]CURVE MKT DATA!R19C40</stp>
        <tr r="AN19" s="1"/>
      </tp>
      <tp t="s">
        <v>IT0005386245</v>
        <stp/>
        <stp>##V3_BDPV12</stp>
        <stp>GTITL5Y Corp</stp>
        <stp>ID_ISIN</stp>
        <stp>[EUR_CreditLinkedNotes.xlsx]CREDIT MKT DATA!R9C7</stp>
        <tr r="G9" s="6"/>
      </tp>
    </main>
    <main first="bloomberg.rtd">
      <tp>
        <v>523</v>
        <stp/>
        <stp>##V3_BDPV12</stp>
        <stp>GTITL7Y Corp</stp>
        <stp>CALC_TYP</stp>
        <stp>[EUR_CreditLinkedNotes.xlsx]CREDIT MKT DATA!R10C5</stp>
        <tr r="E10" s="6"/>
      </tp>
      <tp>
        <v>3.85</v>
        <stp/>
        <stp>##V3_BDPV12</stp>
        <stp>GTITL30Y Corp</stp>
        <stp>CPN</stp>
        <stp>[EUR_CreditLinkedNotes.xlsx]CREDIT MKT DATA!R13C13</stp>
        <tr r="M13" s="6"/>
      </tp>
      <tp>
        <v>1.35</v>
        <stp/>
        <stp>##V3_BDPV12</stp>
        <stp>GTITL10Y Corp</stp>
        <stp>CPN</stp>
        <stp>[EUR_CreditLinkedNotes.xlsx]CREDIT MKT DATA!R11C13</stp>
        <tr r="M11" s="6"/>
      </tp>
      <tp>
        <v>3.35</v>
        <stp/>
        <stp>##V3_BDPV12</stp>
        <stp>GTITL15Y Corp</stp>
        <stp>CPN</stp>
        <stp>[EUR_CreditLinkedNotes.xlsx]CREDIT MKT DATA!R12C13</stp>
        <tr r="M12" s="6"/>
      </tp>
      <tp>
        <v>2.8</v>
        <stp/>
        <stp>##V3_BDPV12</stp>
        <stp>GTITL50Y Corp</stp>
        <stp>CPN</stp>
        <stp>[EUR_CreditLinkedNotes.xlsx]CREDIT MKT DATA!R14C13</stp>
        <tr r="M14" s="6"/>
      </tp>
      <tp>
        <v>3.4000000000000002E-2</v>
        <stp/>
        <stp>##V3_BDPV12</stp>
        <stp>EUSA40 ICPL Curncy</stp>
        <stp>LAST_PRICE</stp>
        <stp>[EUR_CreditLinkedNotes.xlsx]CURVE MKT DATA!R37C17</stp>
        <tr r="Q37" s="1"/>
      </tp>
      <tp>
        <v>-0.495</v>
        <stp/>
        <stp>##V3_BDPV12</stp>
        <stp>EUSF4A ICPL Curncy</stp>
        <stp>LAST_PRICE</stp>
        <stp>[EUR_CreditLinkedNotes.xlsx]CURVE MKT DATA!R11C12</stp>
        <tr r="L11" s="1"/>
      </tp>
      <tp t="s">
        <v>IT0005383309</v>
        <stp/>
        <stp>##V3_BDPV12</stp>
        <stp>GTITL10Y Corp</stp>
        <stp>ID_ISIN</stp>
        <stp>[EUR_CreditLinkedNotes.xlsx]CREDIT MKT DATA!R11C7</stp>
        <tr r="G11" s="6"/>
      </tp>
      <tp>
        <v>-3.6999999999999998E-2</v>
        <stp/>
        <stp>##V3_BDPV12</stp>
        <stp>EUSA50 ICPL Curncy</stp>
        <stp>LAST_PRICE</stp>
        <stp>[EUR_CreditLinkedNotes.xlsx]CURVE MKT DATA!R38C17</stp>
        <tr r="Q38" s="1"/>
      </tp>
      <tp t="s">
        <v>IT0005363111</v>
        <stp/>
        <stp>##V3_BDPV12</stp>
        <stp>GTITL30Y Corp</stp>
        <stp>ID_ISIN</stp>
        <stp>[EUR_CreditLinkedNotes.xlsx]CREDIT MKT DATA!R13C7</stp>
        <tr r="G13" s="6"/>
      </tp>
      <tp t="s">
        <v>IT0005358806</v>
        <stp/>
        <stp>##V3_BDPV12</stp>
        <stp>GTITL15Y Corp</stp>
        <stp>ID_ISIN</stp>
        <stp>[EUR_CreditLinkedNotes.xlsx]CREDIT MKT DATA!R12C7</stp>
        <tr r="G12" s="6"/>
      </tp>
      <tp t="s">
        <v>BTPS 2.3 10/15/21</v>
        <stp/>
        <stp>##V3_BDPV12</stp>
        <stp>GTITL2Y Corp</stp>
        <stp>SECURITY_DES</stp>
        <stp>[EUR_CreditLinkedNotes.xlsx]CREDIT MKT DATA!R7C6</stp>
        <tr r="F7" s="6"/>
      </tp>
      <tp>
        <v>6.5</v>
        <stp/>
        <stp>##V3_BDPV12</stp>
        <stp>EUBSS25 ICPL Curncy</stp>
        <stp>LAST_PRICE</stp>
        <stp>[EUR_CreditLinkedNotes.xlsx]CURVE MKT DATA!R20C35</stp>
        <tr r="AI20" s="1"/>
      </tp>
      <tp>
        <v>6.8</v>
        <stp/>
        <stp>##V3_BDPV12</stp>
        <stp>EUBSS20 ICPL Curncy</stp>
        <stp>LAST_PRICE</stp>
        <stp>[EUR_CreditLinkedNotes.xlsx]CURVE MKT DATA!R19C35</stp>
        <tr r="AI19" s="1"/>
      </tp>
      <tp>
        <v>-22.375</v>
        <stp/>
        <stp>##V3_BDPV12</stp>
        <stp>EUBS10 ICPL Curncy</stp>
        <stp>LAST_PRICE</stp>
        <stp>[EUR_CreditLinkedNotes.xlsx]CURVE MKT DATA!R32C40</stp>
        <tr r="AN32" s="1"/>
      </tp>
      <tp>
        <v>0.125</v>
        <stp/>
        <stp>##V3_BDPV12</stp>
        <stp>EUSA15 ICPL Curncy</stp>
        <stp>LAST_PRICE</stp>
        <stp>[EUR_CreditLinkedNotes.xlsx]CURVE MKT DATA!R33C17</stp>
        <tr r="Q33" s="1"/>
      </tp>
      <tp>
        <v>-22</v>
        <stp/>
        <stp>##V3_BDPV12</stp>
        <stp>EUBS12 ICPL Curncy</stp>
        <stp>LAST_PRICE</stp>
        <stp>[EUR_CreditLinkedNotes.xlsx]CURVE MKT DATA!R33C40</stp>
        <tr r="AN33" s="1"/>
      </tp>
      <tp>
        <v>2E-3</v>
        <stp/>
        <stp>##V3_BDPV12</stp>
        <stp>EUSA11 ICPL Curncy</stp>
        <stp>LAST_PRICE</stp>
        <stp>[EUR_CreditLinkedNotes.xlsx]CURVE MKT DATA!R31C17</stp>
        <tr r="Q31" s="1"/>
      </tp>
      <tp>
        <v>-19.625</v>
        <stp/>
        <stp>##V3_BDPV12</stp>
        <stp>EUBS15 ICPL Curncy</stp>
        <stp>LAST_PRICE</stp>
        <stp>[EUR_CreditLinkedNotes.xlsx]CURVE MKT DATA!R34C40</stp>
        <tr r="AN34" s="1"/>
      </tp>
      <tp>
        <v>-3.5999999999999997E-2</v>
        <stp/>
        <stp>##V3_BDPV12</stp>
        <stp>EUSA10 ICPL Curncy</stp>
        <stp>LAST_PRICE</stp>
        <stp>[EUR_CreditLinkedNotes.xlsx]CURVE MKT DATA!R30C17</stp>
        <tr r="Q30" s="1"/>
      </tp>
      <tp>
        <v>3.7999999999999999E-2</v>
        <stp/>
        <stp>##V3_BDPV12</stp>
        <stp>EUSA12 ICPL Curncy</stp>
        <stp>LAST_PRICE</stp>
        <stp>[EUR_CreditLinkedNotes.xlsx]CURVE MKT DATA!R32C17</stp>
        <tr r="Q32" s="1"/>
      </tp>
      <tp t="s">
        <v>IT0005217390</v>
        <stp/>
        <stp>##V3_BDPV12</stp>
        <stp>GTITL50Y Corp</stp>
        <stp>ID_ISIN</stp>
        <stp>[EUR_CreditLinkedNotes.xlsx]CREDIT MKT DATA!R14C7</stp>
        <tr r="G14" s="6"/>
      </tp>
      <tp t="s">
        <v>ITALY CDS USD SR 6M D14</v>
        <stp/>
        <stp>##V3_BDPV12</stp>
        <stp>CY005704 Curncy</stp>
        <stp>Name</stp>
        <stp>[EUR_CreditLinkedNotes.xlsx]CREDIT MKT DATA!R18C5</stp>
        <tr r="E18" s="6"/>
      </tp>
      <tp>
        <v>6.2</v>
        <stp/>
        <stp>##V3_BDPV12</stp>
        <stp>EUBSS30 ICPL Curncy</stp>
        <stp>LAST_PRICE</stp>
        <stp>[EUR_CreditLinkedNotes.xlsx]CURVE MKT DATA!R21C35</stp>
        <tr r="AI21" s="1"/>
      </tp>
      <tp>
        <v>-13.75</v>
        <stp/>
        <stp>##V3_BDPV12</stp>
        <stp>EUBS20 ICPL Curncy</stp>
        <stp>LAST_PRICE</stp>
        <stp>[EUR_CreditLinkedNotes.xlsx]CURVE MKT DATA!R35C40</stp>
        <tr r="AN35" s="1"/>
      </tp>
      <tp>
        <v>0.155</v>
        <stp/>
        <stp>##V3_BDPV12</stp>
        <stp>EUSA25 ICPL Curncy</stp>
        <stp>LAST_PRICE</stp>
        <stp>[EUR_CreditLinkedNotes.xlsx]CURVE MKT DATA!R35C17</stp>
        <tr r="Q35" s="1"/>
      </tp>
      <tp>
        <v>-8.125</v>
        <stp/>
        <stp>##V3_BDPV12</stp>
        <stp>EUBS25 ICPL Curncy</stp>
        <stp>LAST_PRICE</stp>
        <stp>[EUR_CreditLinkedNotes.xlsx]CURVE MKT DATA!R36C40</stp>
        <tr r="AN36" s="1"/>
      </tp>
      <tp>
        <v>0.17599999999999999</v>
        <stp/>
        <stp>##V3_BDPV12</stp>
        <stp>EUSA20 ICPL Curncy</stp>
        <stp>LAST_PRICE</stp>
        <stp>[EUR_CreditLinkedNotes.xlsx]CURVE MKT DATA!R34C17</stp>
        <tr r="Q34" s="1"/>
      </tp>
      <tp t="s">
        <v>ITALY CDS USD SR 2Y D14</v>
        <stp/>
        <stp>##V3_BDPV12</stp>
        <stp>CX760279 Curncy</stp>
        <stp>Name</stp>
        <stp>[EUR_CreditLinkedNotes.xlsx]CREDIT MKT DATA!R20C5</stp>
        <tr r="E20" s="6"/>
      </tp>
      <tp>
        <v>-0.49399999999999999</v>
        <stp/>
        <stp>##V3_BDPV12</stp>
        <stp>EUSWE1F ICPL Curncy</stp>
        <stp>LAST_PRICE</stp>
        <stp>[EUR_CreditLinkedNotes.xlsx]CURVE MKT DATA!R13C12</stp>
        <tr r="L13" s="1"/>
      </tp>
      <tp>
        <v>-4.25</v>
        <stp/>
        <stp>##V3_BDPV12</stp>
        <stp>EUBS30 ICPL Curncy</stp>
        <stp>LAST_PRICE</stp>
        <stp>[EUR_CreditLinkedNotes.xlsx]CURVE MKT DATA!R37C40</stp>
        <tr r="AN37" s="1"/>
      </tp>
      <tp>
        <v>0.108</v>
        <stp/>
        <stp>##V3_BDPV12</stp>
        <stp>EUSA30 ICPL Curncy</stp>
        <stp>LAST_PRICE</stp>
        <stp>[EUR_CreditLinkedNotes.xlsx]CURVE MKT DATA!R36C17</stp>
        <tr r="Q36" s="1"/>
      </tp>
      <tp>
        <v>-0.47599999999999998</v>
        <stp/>
        <stp>##V3_BDPV12</stp>
        <stp>EUSF3A ICPL Curncy</stp>
        <stp>LAST_PRICE</stp>
        <stp>[EUR_CreditLinkedNotes.xlsx]CURVE MKT DATA!R10C12</stp>
        <tr r="L10" s="1"/>
      </tp>
      <tp>
        <v>7.3</v>
        <stp/>
        <stp>##V3_BDPV12</stp>
        <stp>EUBSS15 ICPL Curncy</stp>
        <stp>LAST_PRICE</stp>
        <stp>[EUR_CreditLinkedNotes.xlsx]CURVE MKT DATA!R18C35</stp>
        <tr r="AI18" s="1"/>
      </tp>
      <tp>
        <v>8</v>
        <stp/>
        <stp>##V3_BDPV12</stp>
        <stp>EUBSS10 ICPL Curncy</stp>
        <stp>LAST_PRICE</stp>
        <stp>[EUR_CreditLinkedNotes.xlsx]CURVE MKT DATA!R16C35</stp>
        <tr r="AI16" s="1"/>
      </tp>
      <tp>
        <v>7.8</v>
        <stp/>
        <stp>##V3_BDPV12</stp>
        <stp>EUBSS12 ICPL Curncy</stp>
        <stp>LAST_PRICE</stp>
        <stp>[EUR_CreditLinkedNotes.xlsx]CURVE MKT DATA!R17C35</stp>
        <tr r="AI17" s="1"/>
      </tp>
      <tp>
        <v>-0.21299999999999999</v>
        <stp/>
        <stp>##V3_BDPV12</stp>
        <stp>EUSWE10 ICPL Curncy</stp>
        <stp>LAST_PRICE</stp>
        <stp>[EUR_CreditLinkedNotes.xlsx]CURVE MKT DATA!R22C12</stp>
        <tr r="L22" s="1"/>
      </tp>
      <tp>
        <v>-0.16442999999999999</v>
        <stp/>
        <stp>##V3_BDPV12</stp>
        <stp>EE0012M Index</stp>
        <stp>PX_LAST</stp>
        <stp>[EUR_CreditLinkedNotes.xlsx]CURVE MKT DATA!R10C25</stp>
        <tr r="Y10" s="1"/>
      </tp>
      <tp>
        <v>-0.16442999999999999</v>
        <stp/>
        <stp>##V3_BDPV12</stp>
        <stp>EE0012M Index</stp>
        <stp>PX_LAST</stp>
        <stp>[EUR_CreditLinkedNotes.xlsx]CURVE MKT DATA!R10C17</stp>
        <tr r="Q10" s="1"/>
      </tp>
      <tp>
        <v>119.22</v>
        <stp/>
        <stp>##V3_BDPV12</stp>
        <stp>GTITL15Y Corp</stp>
        <stp>YAS_BOND_PX</stp>
        <stp>[EUR_CreditLinkedNotes.xlsx]CREDIT MKT DATA!R12C18</stp>
        <tr r="R12" s="6"/>
      </tp>
      <tp>
        <v>99.027000000000001</v>
        <stp/>
        <stp>##V3_BDPV12</stp>
        <stp>GTITL10Y Corp</stp>
        <stp>YAS_BOND_PX</stp>
        <stp>[EUR_CreditLinkedNotes.xlsx]CREDIT MKT DATA!R11C18</stp>
        <tr r="R11" s="6"/>
      </tp>
      <tp>
        <v>6.65</v>
        <stp/>
        <stp>##V3_BDPV12</stp>
        <stp>EUBSA15 CMPN Curncy</stp>
        <stp>LAST_PRICE</stp>
        <stp>[EUR_CreditLinkedNotes.xlsx]CURVE MKT DATA!R18C30</stp>
        <tr r="AD18" s="1"/>
      </tp>
      <tp>
        <v>7.05</v>
        <stp/>
        <stp>##V3_BDPV12</stp>
        <stp>EUBSA10 CMPN Curncy</stp>
        <stp>LAST_PRICE</stp>
        <stp>[EUR_CreditLinkedNotes.xlsx]CURVE MKT DATA!R16C30</stp>
        <tr r="AD16" s="1"/>
      </tp>
      <tp>
        <v>8.15</v>
        <stp/>
        <stp>##V3_BDPV12</stp>
        <stp>EUBSA12 CMPN Curncy</stp>
        <stp>LAST_PRICE</stp>
        <stp>[EUR_CreditLinkedNotes.xlsx]CURVE MKT DATA!R17C30</stp>
        <tr r="AD17" s="1"/>
      </tp>
      <tp t="s">
        <v>15/11/2019</v>
        <stp/>
        <stp>##V3_BDPV12</stp>
        <stp>GTITL7Y Corp</stp>
        <stp>ISSUE_DT</stp>
        <stp>[EUR_CreditLinkedNotes.xlsx]CREDIT MKT DATA!R10C8</stp>
        <tr r="H10" s="6"/>
      </tp>
      <tp t="s">
        <v>BTPS 0.35 02/01/25</v>
        <stp/>
        <stp>##V3_BDPV12</stp>
        <stp>GTITL5Y Corp</stp>
        <stp>SECURITY_DES</stp>
        <stp>[EUR_CreditLinkedNotes.xlsx]CREDIT MKT DATA!R9C6</stp>
        <tr r="F9" s="6"/>
      </tp>
      <tp>
        <v>131.05500000000001</v>
        <stp/>
        <stp>##V3_BDPV12</stp>
        <stp>GTITL30Y Corp</stp>
        <stp>YAS_BOND_PX</stp>
        <stp>[EUR_CreditLinkedNotes.xlsx]CREDIT MKT DATA!R13C18</stp>
        <tr r="R13" s="6"/>
      </tp>
      <tp>
        <v>5.75</v>
        <stp/>
        <stp>##V3_BDPV12</stp>
        <stp>EUBSA25 CMPN Curncy</stp>
        <stp>LAST_PRICE</stp>
        <stp>[EUR_CreditLinkedNotes.xlsx]CURVE MKT DATA!R20C30</stp>
        <tr r="AD20" s="1"/>
      </tp>
      <tp>
        <v>6.1</v>
        <stp/>
        <stp>##V3_BDPV12</stp>
        <stp>EUBSA20 CMPN Curncy</stp>
        <stp>LAST_PRICE</stp>
        <stp>[EUR_CreditLinkedNotes.xlsx]CURVE MKT DATA!R19C30</stp>
        <tr r="AD19" s="1"/>
      </tp>
      <tp t="s">
        <v>ITALY CDS USD SR 7Y D14</v>
        <stp/>
        <stp>##V3_BDPV12</stp>
        <stp>CX760291 Curncy</stp>
        <stp>Name</stp>
        <stp>[EUR_CreditLinkedNotes.xlsx]CREDIT MKT DATA!R24C5</stp>
        <tr r="E24" s="6"/>
      </tp>
      <tp t="s">
        <v>BTPS 0.05 01/15/23</v>
        <stp/>
        <stp>##V3_BDPV12</stp>
        <stp>GTITL3Y Corp</stp>
        <stp>SECURITY_DES</stp>
        <stp>[EUR_CreditLinkedNotes.xlsx]CREDIT MKT DATA!R8C6</stp>
        <tr r="F8" s="6"/>
      </tp>
      <tp>
        <v>5.25</v>
        <stp/>
        <stp>##V3_BDPV12</stp>
        <stp>EUBSA30 CMPN Curncy</stp>
        <stp>LAST_PRICE</stp>
        <stp>[EUR_CreditLinkedNotes.xlsx]CURVE MKT DATA!R21C30</stp>
        <tr r="AD21" s="1"/>
      </tp>
      <tp t="s">
        <v>IT0005390874</v>
        <stp/>
        <stp>##V3_BDPV12</stp>
        <stp>GTITL7Y Corp</stp>
        <stp>ID_ISIN</stp>
        <stp>[EUR_CreditLinkedNotes.xlsx]CREDIT MKT DATA!R10C7</stp>
        <tr r="G10" s="6"/>
      </tp>
      <tp>
        <v>107.06699999999999</v>
        <stp/>
        <stp>##V3_BDPV12</stp>
        <stp>GTITL50Y Corp</stp>
        <stp>YAS_BOND_PX</stp>
        <stp>[EUR_CreditLinkedNotes.xlsx]CREDIT MKT DATA!R14C18</stp>
        <tr r="R14" s="6"/>
      </tp>
      <tp t="s">
        <v>ITALY CDS USD SR 4Y D14</v>
        <stp/>
        <stp>##V3_BDPV12</stp>
        <stp>CX760283 Curncy</stp>
        <stp>Name</stp>
        <stp>[EUR_CreditLinkedNotes.xlsx]CREDIT MKT DATA!R22C5</stp>
        <tr r="E22" s="6"/>
      </tp>
      <tp>
        <v>-0.316</v>
        <stp/>
        <stp>##V3_BDPV12</stp>
        <stp>EUFR0F1 ICPL Curncy</stp>
        <stp>LAST_PRICE</stp>
        <stp>[EUR_CreditLinkedNotes.xlsx]CURVE MKT DATA!R16C17</stp>
        <tr r="Q16" s="1"/>
      </tp>
      <tp t="s">
        <v>ITALY CDS USD SR 10Y D14</v>
        <stp/>
        <stp>##V3_BDPV12</stp>
        <stp>CITL1U10 Curncy</stp>
        <stp>Name</stp>
        <stp>[EUR_CreditLinkedNotes.xlsx]CREDIT MKT DATA!R25C5</stp>
        <tr r="E25" s="6"/>
      </tp>
      <tp>
        <v>1.0863499999999999</v>
        <stp/>
        <stp>##V3_BDPV12</stp>
        <stp>EUR L160 Curncy</stp>
        <stp>LAST_PRICE</stp>
        <stp>[EUR_CreditLinkedNotes.xlsx]CURVE MKT DATA!R7C40</stp>
        <tr r="AN7" s="1"/>
      </tp>
      <tp>
        <v>-0.41599999999999998</v>
        <stp/>
        <stp>##V3_BDPV12</stp>
        <stp>EUSWE5 ICPL Curncy</stp>
        <stp>LAST_PRICE</stp>
        <stp>[EUR_CreditLinkedNotes.xlsx]CURVE MKT DATA!R18C12</stp>
        <tr r="L18" s="1"/>
      </tp>
      <tp>
        <v>-0.45500000000000002</v>
        <stp/>
        <stp>##V3_BDPV12</stp>
        <stp>EUSWE4 ICPL Curncy</stp>
        <stp>LAST_PRICE</stp>
        <stp>[EUR_CreditLinkedNotes.xlsx]CURVE MKT DATA!R17C12</stp>
        <tr r="L17" s="1"/>
      </tp>
      <tp>
        <v>-0.34100000000000003</v>
        <stp/>
        <stp>##V3_BDPV12</stp>
        <stp>EUSWE7 ICPL Curncy</stp>
        <stp>LAST_PRICE</stp>
        <stp>[EUR_CreditLinkedNotes.xlsx]CURVE MKT DATA!R20C12</stp>
        <tr r="L20" s="1"/>
      </tp>
      <tp>
        <v>-0.38100000000000001</v>
        <stp/>
        <stp>##V3_BDPV12</stp>
        <stp>EUSWE6 ICPL Curncy</stp>
        <stp>LAST_PRICE</stp>
        <stp>[EUR_CreditLinkedNotes.xlsx]CURVE MKT DATA!R19C12</stp>
        <tr r="L19" s="1"/>
      </tp>
      <tp>
        <v>-0.48699999999999999</v>
        <stp/>
        <stp>##V3_BDPV12</stp>
        <stp>EUSWE1 ICPL Curncy</stp>
        <stp>LAST_PRICE</stp>
        <stp>[EUR_CreditLinkedNotes.xlsx]CURVE MKT DATA!R12C12</stp>
        <tr r="L12" s="1"/>
      </tp>
      <tp>
        <v>-0.48699999999999999</v>
        <stp/>
        <stp>##V3_BDPV12</stp>
        <stp>EUSWE1 ICPL Curncy</stp>
        <stp>LAST_PRICE</stp>
        <stp>[EUR_CreditLinkedNotes.xlsx]CURVE MKT DATA!R14C12</stp>
        <tr r="L14" s="1"/>
      </tp>
      <tp>
        <v>-0.48299999999999998</v>
        <stp/>
        <stp>##V3_BDPV12</stp>
        <stp>EUSWE3 ICPL Curncy</stp>
        <stp>LAST_PRICE</stp>
        <stp>[EUR_CreditLinkedNotes.xlsx]CURVE MKT DATA!R16C12</stp>
        <tr r="L16" s="1"/>
      </tp>
      <tp>
        <v>-0.49199999999999999</v>
        <stp/>
        <stp>##V3_BDPV12</stp>
        <stp>EUSWE2 ICPL Curncy</stp>
        <stp>LAST_PRICE</stp>
        <stp>[EUR_CreditLinkedNotes.xlsx]CURVE MKT DATA!R15C12</stp>
        <tr r="L15" s="1"/>
      </tp>
      <tp>
        <v>-0.29799999999999999</v>
        <stp/>
        <stp>##V3_BDPV12</stp>
        <stp>EUSWE8 ICPL Curncy</stp>
        <stp>LAST_PRICE</stp>
        <stp>[EUR_CreditLinkedNotes.xlsx]CURVE MKT DATA!R21C12</stp>
        <tr r="L21" s="1"/>
      </tp>
      <tp>
        <v>-0.3</v>
        <stp/>
        <stp>##V3_BDPV12</stp>
        <stp>EUFR0DJ ICPL Curncy</stp>
        <stp>LAST_PRICE</stp>
        <stp>[EUR_CreditLinkedNotes.xlsx]CURVE MKT DATA!R14C17</stp>
        <tr r="Q14" s="1"/>
      </tp>
      <tp t="s">
        <v>ITALY CDS USD SR 5Y D14</v>
        <stp/>
        <stp>##V3_BDPV12</stp>
        <stp>CITLY1U5 Curncy</stp>
        <stp>Name</stp>
        <stp>[EUR_CreditLinkedNotes.xlsx]CREDIT MKT DATA!R23C5</stp>
        <tr r="E23" s="6"/>
      </tp>
      <tp>
        <v>-0.31</v>
        <stp/>
        <stp>##V3_BDPV12</stp>
        <stp>EUFR0EK ICPL Curncy</stp>
        <stp>LAST_PRICE</stp>
        <stp>[EUR_CreditLinkedNotes.xlsx]CURVE MKT DATA!R15C17</stp>
        <tr r="Q15" s="1"/>
      </tp>
      <tp>
        <v>-0.28000000000000003</v>
        <stp/>
        <stp>##V3_BDPV12</stp>
        <stp>EUFR0BH ICPL Curncy</stp>
        <stp>LAST_PRICE</stp>
        <stp>[EUR_CreditLinkedNotes.xlsx]CURVE MKT DATA!R12C17</stp>
        <tr r="Q12" s="1"/>
      </tp>
      <tp>
        <v>98.366</v>
        <stp/>
        <stp>##V3_BDPV12</stp>
        <stp>GTITL7Y Corp</stp>
        <stp>YAS_BOND_PX</stp>
        <stp>[EUR_CreditLinkedNotes.xlsx]CREDIT MKT DATA!R10C18</stp>
        <tr r="R10" s="6"/>
      </tp>
      <tp t="s">
        <v>22/01/2019</v>
        <stp/>
        <stp>##V3_BDPV12</stp>
        <stp>GTITL15Y Corp</stp>
        <stp>ISSUE_DT</stp>
        <stp>[EUR_CreditLinkedNotes.xlsx]CREDIT MKT DATA!R12C8</stp>
        <tr r="H12" s="6"/>
      </tp>
      <tp t="s">
        <v>15/01/2023</v>
        <stp/>
        <stp>##V3_BDPV12</stp>
        <stp>GTITL3Y Corp</stp>
        <stp>MATURITY</stp>
        <stp>[EUR_CreditLinkedNotes.xlsx]CREDIT MKT DATA!R8C14</stp>
        <tr r="N8" s="6"/>
      </tp>
      <tp t="s">
        <v>15/10/2021</v>
        <stp/>
        <stp>##V3_BDPV12</stp>
        <stp>GTITL2Y Corp</stp>
        <stp>MATURITY</stp>
        <stp>[EUR_CreditLinkedNotes.xlsx]CREDIT MKT DATA!R7C14</stp>
        <tr r="N7" s="6"/>
      </tp>
      <tp t="s">
        <v>01/02/2025</v>
        <stp/>
        <stp>##V3_BDPV12</stp>
        <stp>GTITL5Y Corp</stp>
        <stp>MATURITY</stp>
        <stp>[EUR_CreditLinkedNotes.xlsx]CREDIT MKT DATA!R9C14</stp>
        <tr r="N9" s="6"/>
      </tp>
      <tp>
        <v>-0.28899999999999998</v>
        <stp/>
        <stp>##V3_BDPV12</stp>
        <stp>EUFR0CI ICPL Curncy</stp>
        <stp>LAST_PRICE</stp>
        <stp>[EUR_CreditLinkedNotes.xlsx]CURVE MKT DATA!R13C17</stp>
        <tr r="Q13" s="1"/>
      </tp>
      <tp t="s">
        <v>15/07/2026</v>
        <stp/>
        <stp>##V3_BDPV12</stp>
        <stp>GTITL7Y Corp</stp>
        <stp>PENULTIMATE_CPN_DT</stp>
        <stp>[EUR_CreditLinkedNotes.xlsx]CREDIT MKT DATA!R10C12</stp>
        <tr r="L10" s="6"/>
      </tp>
      <tp>
        <v>1.103936</v>
        <stp/>
        <stp>##V3_BDPV12</stp>
        <stp>GTITL7Y Corp</stp>
        <stp>YAS_BOND_YLD</stp>
        <stp>[EUR_CreditLinkedNotes.xlsx]CREDIT MKT DATA!R10C19</stp>
        <tr r="S10" s="6"/>
      </tp>
      <tp t="s">
        <v>11/10/2016</v>
        <stp/>
        <stp>##V3_BDPV12</stp>
        <stp>GTITL50Y Corp</stp>
        <stp>ISSUE_DT</stp>
        <stp>[EUR_CreditLinkedNotes.xlsx]CREDIT MKT DATA!R14C8</stp>
        <tr r="H14" s="6"/>
      </tp>
      <tp t="s">
        <v>ITALY CDS USD SR 3Y D14</v>
        <stp/>
        <stp>##V3_BDPV12</stp>
        <stp>CITLY1U3 Curncy</stp>
        <stp>Name</stp>
        <stp>[EUR_CreditLinkedNotes.xlsx]CREDIT MKT DATA!R21C5</stp>
        <tr r="E21" s="6"/>
      </tp>
      <tp>
        <v>-0.27</v>
        <stp/>
        <stp>##V3_BDPV12</stp>
        <stp>EUFR0AG ICPL Curncy</stp>
        <stp>LAST_PRICE</stp>
        <stp>[EUR_CreditLinkedNotes.xlsx]CURVE MKT DATA!R11C17</stp>
        <tr r="Q11" s="1"/>
      </tp>
      <tp t="s">
        <v>02/09/2019</v>
        <stp/>
        <stp>##V3_BDPV12</stp>
        <stp>GTITL10Y Corp</stp>
        <stp>ISSUE_DT</stp>
        <stp>[EUR_CreditLinkedNotes.xlsx]CREDIT MKT DATA!R11C8</stp>
        <tr r="H11" s="6"/>
      </tp>
      <tp t="s">
        <v>13/02/2019</v>
        <stp/>
        <stp>##V3_BDPV12</stp>
        <stp>GTITL30Y Corp</stp>
        <stp>ISSUE_DT</stp>
        <stp>[EUR_CreditLinkedNotes.xlsx]CREDIT MKT DATA!R13C8</stp>
        <tr r="H13" s="6"/>
      </tp>
      <tp>
        <v>7.3</v>
        <stp/>
        <stp>##V3_BDPV12</stp>
        <stp>EUBSA7 CMPN Curncy</stp>
        <stp>LAST_PRICE</stp>
        <stp>[EUR_CreditLinkedNotes.xlsx]CURVE MKT DATA!R13C30</stp>
        <tr r="AD13" s="1"/>
      </tp>
      <tp>
        <v>7.4</v>
        <stp/>
        <stp>##V3_BDPV12</stp>
        <stp>EUBSA6 CMPN Curncy</stp>
        <stp>LAST_PRICE</stp>
        <stp>[EUR_CreditLinkedNotes.xlsx]CURVE MKT DATA!R12C30</stp>
        <tr r="AD12" s="1"/>
      </tp>
      <tp>
        <v>7.4</v>
        <stp/>
        <stp>##V3_BDPV12</stp>
        <stp>EUBSA5 CMPN Curncy</stp>
        <stp>LAST_PRICE</stp>
        <stp>[EUR_CreditLinkedNotes.xlsx]CURVE MKT DATA!R11C30</stp>
        <tr r="AD11" s="1"/>
      </tp>
      <tp>
        <v>7.45</v>
        <stp/>
        <stp>##V3_BDPV12</stp>
        <stp>EUBSA4 CMPN Curncy</stp>
        <stp>LAST_PRICE</stp>
        <stp>[EUR_CreditLinkedNotes.xlsx]CURVE MKT DATA!R10C30</stp>
        <tr r="AD10" s="1"/>
      </tp>
      <tp>
        <v>7.15</v>
        <stp/>
        <stp>##V3_BDPV12</stp>
        <stp>EUBSA9 CMPN Curncy</stp>
        <stp>LAST_PRICE</stp>
        <stp>[EUR_CreditLinkedNotes.xlsx]CURVE MKT DATA!R15C30</stp>
        <tr r="AD15" s="1"/>
      </tp>
      <tp>
        <v>7.25</v>
        <stp/>
        <stp>##V3_BDPV12</stp>
        <stp>EUBSA8 CMPN Curncy</stp>
        <stp>LAST_PRICE</stp>
        <stp>[EUR_CreditLinkedNotes.xlsx]CURVE MKT DATA!R14C30</stp>
        <tr r="AD14" s="1"/>
      </tp>
      <tp t="s">
        <v>01/09/2066</v>
        <stp/>
        <stp>##V3_BDPV12</stp>
        <stp>GTITL50Y Corp</stp>
        <stp>PENULTIMATE_CPN_DT</stp>
        <stp>[EUR_CreditLinkedNotes.xlsx]CREDIT MKT DATA!R14C12</stp>
        <tr r="L14" s="6"/>
      </tp>
      <tp t="s">
        <v>01/03/2049</v>
        <stp/>
        <stp>##V3_BDPV12</stp>
        <stp>GTITL30Y Corp</stp>
        <stp>PENULTIMATE_CPN_DT</stp>
        <stp>[EUR_CreditLinkedNotes.xlsx]CREDIT MKT DATA!R13C12</stp>
        <tr r="L13" s="6"/>
      </tp>
      <tp t="s">
        <v>01/09/2034</v>
        <stp/>
        <stp>##V3_BDPV12</stp>
        <stp>GTITL15Y Corp</stp>
        <stp>PENULTIMATE_CPN_DT</stp>
        <stp>[EUR_CreditLinkedNotes.xlsx]CREDIT MKT DATA!R12C12</stp>
        <tr r="L12" s="6"/>
      </tp>
      <tp t="s">
        <v>01/10/2029</v>
        <stp/>
        <stp>##V3_BDPV12</stp>
        <stp>GTITL10Y Corp</stp>
        <stp>PENULTIMATE_CPN_DT</stp>
        <stp>[EUR_CreditLinkedNotes.xlsx]CREDIT MKT DATA!R11C12</stp>
        <tr r="L11" s="6"/>
      </tp>
      <tp t="s">
        <v>ITALY CDS USD SR 1Y D14</v>
        <stp/>
        <stp>##V3_BDPV12</stp>
        <stp>CITLY1U1 Curncy</stp>
        <stp>Name</stp>
        <stp>[EUR_CreditLinkedNotes.xlsx]CREDIT MKT DATA!R19C5</stp>
        <tr r="E19" s="6"/>
      </tp>
      <tp>
        <v>-0.153</v>
        <stp/>
        <stp>##V3_BDPV12</stp>
        <stp>EUSA7 ICPL Curncy</stp>
        <stp>LAST_PRICE</stp>
        <stp>[EUR_CreditLinkedNotes.xlsx]CURVE MKT DATA!R27C17</stp>
        <tr r="Q27" s="1"/>
      </tp>
      <tp>
        <v>-0.19</v>
        <stp/>
        <stp>##V3_BDPV12</stp>
        <stp>EUSA6 ICPL Curncy</stp>
        <stp>LAST_PRICE</stp>
        <stp>[EUR_CreditLinkedNotes.xlsx]CURVE MKT DATA!R26C17</stp>
        <tr r="Q26" s="1"/>
      </tp>
      <tp>
        <v>-0.223</v>
        <stp/>
        <stp>##V3_BDPV12</stp>
        <stp>EUSA5 ICPL Curncy</stp>
        <stp>LAST_PRICE</stp>
        <stp>[EUR_CreditLinkedNotes.xlsx]CURVE MKT DATA!R25C17</stp>
        <tr r="Q25" s="1"/>
      </tp>
      <tp>
        <v>-0.26200000000000001</v>
        <stp/>
        <stp>##V3_BDPV12</stp>
        <stp>EUSA4 ICPL Curncy</stp>
        <stp>LAST_PRICE</stp>
        <stp>[EUR_CreditLinkedNotes.xlsx]CURVE MKT DATA!R24C17</stp>
        <tr r="Q24" s="1"/>
      </tp>
      <tp>
        <v>-0.29199999999999998</v>
        <stp/>
        <stp>##V3_BDPV12</stp>
        <stp>EUSA3 ICPL Curncy</stp>
        <stp>LAST_PRICE</stp>
        <stp>[EUR_CreditLinkedNotes.xlsx]CURVE MKT DATA!R23C17</stp>
        <tr r="Q23" s="1"/>
      </tp>
      <tp>
        <v>-0.30399999999999999</v>
        <stp/>
        <stp>##V3_BDPV12</stp>
        <stp>EUSA2 ICPL Curncy</stp>
        <stp>LAST_PRICE</stp>
        <stp>[EUR_CreditLinkedNotes.xlsx]CURVE MKT DATA!R22C17</stp>
        <tr r="Q22" s="1"/>
      </tp>
      <tp>
        <v>-7.4999999999999997E-2</v>
        <stp/>
        <stp>##V3_BDPV12</stp>
        <stp>EUSA9 ICPL Curncy</stp>
        <stp>LAST_PRICE</stp>
        <stp>[EUR_CreditLinkedNotes.xlsx]CURVE MKT DATA!R29C17</stp>
        <tr r="Q29" s="1"/>
      </tp>
      <tp>
        <v>-0.114</v>
        <stp/>
        <stp>##V3_BDPV12</stp>
        <stp>EUSA8 ICPL Curncy</stp>
        <stp>LAST_PRICE</stp>
        <stp>[EUR_CreditLinkedNotes.xlsx]CURVE MKT DATA!R28C17</stp>
        <tr r="Q28" s="1"/>
      </tp>
      <tp>
        <v>100.36499999999999</v>
        <stp/>
        <stp>##V3_BDPV12</stp>
        <stp>ER8 Comdty</stp>
        <stp>LAST_PRICE</stp>
        <stp>[EUR_CreditLinkedNotes.xlsx]CURVE MKT DATA!R18C25</stp>
        <tr r="Y18" s="1"/>
      </tp>
      <tp>
        <v>100.395</v>
        <stp/>
        <stp>##V3_BDPV12</stp>
        <stp>ER4 Comdty</stp>
        <stp>LAST_PRICE</stp>
        <stp>[EUR_CreditLinkedNotes.xlsx]CURVE MKT DATA!R14C25</stp>
        <tr r="Y14" s="1"/>
      </tp>
      <tp>
        <v>100.39</v>
        <stp/>
        <stp>##V3_BDPV12</stp>
        <stp>ER5 Comdty</stp>
        <stp>LAST_PRICE</stp>
        <stp>[EUR_CreditLinkedNotes.xlsx]CURVE MKT DATA!R15C25</stp>
        <tr r="Y15" s="1"/>
      </tp>
      <tp>
        <v>100.38</v>
        <stp/>
        <stp>##V3_BDPV12</stp>
        <stp>ER6 Comdty</stp>
        <stp>LAST_PRICE</stp>
        <stp>[EUR_CreditLinkedNotes.xlsx]CURVE MKT DATA!R16C25</stp>
        <tr r="Y16" s="1"/>
      </tp>
      <tp>
        <v>100.37</v>
        <stp/>
        <stp>##V3_BDPV12</stp>
        <stp>ER7 Comdty</stp>
        <stp>LAST_PRICE</stp>
        <stp>[EUR_CreditLinkedNotes.xlsx]CURVE MKT DATA!R17C25</stp>
        <tr r="Y17" s="1"/>
      </tp>
      <tp>
        <v>100.345</v>
        <stp/>
        <stp>##V3_BDPV12</stp>
        <stp>ER1 Comdty</stp>
        <stp>LAST_PRICE</stp>
        <stp>[EUR_CreditLinkedNotes.xlsx]CURVE MKT DATA!R11C25</stp>
        <tr r="Y11" s="1"/>
      </tp>
      <tp>
        <v>100.38</v>
        <stp/>
        <stp>##V3_BDPV12</stp>
        <stp>ER2 Comdty</stp>
        <stp>LAST_PRICE</stp>
        <stp>[EUR_CreditLinkedNotes.xlsx]CURVE MKT DATA!R12C25</stp>
        <tr r="Y12" s="1"/>
      </tp>
      <tp>
        <v>100.4</v>
        <stp/>
        <stp>##V3_BDPV12</stp>
        <stp>ER3 Comdty</stp>
        <stp>LAST_PRICE</stp>
        <stp>[EUR_CreditLinkedNotes.xlsx]CURVE MKT DATA!R13C25</stp>
        <tr r="Y13" s="1"/>
      </tp>
      <tp>
        <v>-0.371</v>
        <stp/>
        <stp>##V3_BDPV12</stp>
        <stp>EUSW1V3 ICPL Curncy</stp>
        <stp>LAST_PRICE</stp>
        <stp>[EUR_CreditLinkedNotes.xlsx]CURVE MKT DATA!R41C12</stp>
        <tr r="L41" s="1"/>
      </tp>
      <tp>
        <v>-0.38</v>
        <stp/>
        <stp>##V3_BDPV12</stp>
        <stp>EUSW2V3 ICPL Curncy</stp>
        <stp>LAST_PRICE</stp>
        <stp>[EUR_CreditLinkedNotes.xlsx]CURVE MKT DATA!R42C12</stp>
        <tr r="L42" s="1"/>
      </tp>
      <tp>
        <v>-0.36699999999999999</v>
        <stp/>
        <stp>##V3_BDPV12</stp>
        <stp>EUSW3V3 ICPL Curncy</stp>
        <stp>LAST_PRICE</stp>
        <stp>[EUR_CreditLinkedNotes.xlsx]CURVE MKT DATA!R43C12</stp>
        <tr r="L43" s="1"/>
      </tp>
      <tp>
        <v>-0.33700000000000002</v>
        <stp/>
        <stp>##V3_BDPV12</stp>
        <stp>EUSW4V3 ICPL Curncy</stp>
        <stp>LAST_PRICE</stp>
        <stp>[EUR_CreditLinkedNotes.xlsx]CURVE MKT DATA!R44C12</stp>
        <tr r="L44" s="1"/>
      </tp>
      <tp>
        <v>-0.29699999999999999</v>
        <stp/>
        <stp>##V3_BDPV12</stp>
        <stp>EUSW5V3 ICPL Curncy</stp>
        <stp>LAST_PRICE</stp>
        <stp>[EUR_CreditLinkedNotes.xlsx]CURVE MKT DATA!R45C12</stp>
        <tr r="L45" s="1"/>
      </tp>
      <tp>
        <v>-0.26</v>
        <stp/>
        <stp>##V3_BDPV12</stp>
        <stp>EUSW6V3 ICPL Curncy</stp>
        <stp>LAST_PRICE</stp>
        <stp>[EUR_CreditLinkedNotes.xlsx]CURVE MKT DATA!R46C12</stp>
        <tr r="L46" s="1"/>
      </tp>
      <tp>
        <v>-0.218</v>
        <stp/>
        <stp>##V3_BDPV12</stp>
        <stp>EUSW7V3 ICPL Curncy</stp>
        <stp>LAST_PRICE</stp>
        <stp>[EUR_CreditLinkedNotes.xlsx]CURVE MKT DATA!R47C12</stp>
        <tr r="L47" s="1"/>
      </tp>
      <tp>
        <v>-0.17399999999999999</v>
        <stp/>
        <stp>##V3_BDPV12</stp>
        <stp>EUSW8V3 ICPL Curncy</stp>
        <stp>LAST_PRICE</stp>
        <stp>[EUR_CreditLinkedNotes.xlsx]CURVE MKT DATA!R48C12</stp>
        <tr r="L48" s="1"/>
      </tp>
      <tp>
        <v>-0.13</v>
        <stp/>
        <stp>##V3_BDPV12</stp>
        <stp>EUSW9V3 ICPL Curncy</stp>
        <stp>LAST_PRICE</stp>
        <stp>[EUR_CreditLinkedNotes.xlsx]CURVE MKT DATA!R49C12</stp>
        <tr r="L49" s="1"/>
      </tp>
      <tp>
        <v>-0.442</v>
        <stp/>
        <stp>##V3_BDPV12</stp>
        <stp>EONIA ICPL Index</stp>
        <stp>LAST_PRICE</stp>
        <stp>[EUR_CreditLinkedNotes.xlsx]CURVE MKT DATA!R7C12</stp>
        <tr r="L7" s="1"/>
      </tp>
      <tp>
        <v>523</v>
        <stp/>
        <stp>##V3_BDPV12</stp>
        <stp>GTITL50Y Corp</stp>
        <stp>CALC_TYP</stp>
        <stp>[EUR_CreditLinkedNotes.xlsx]CREDIT MKT DATA!R14C5</stp>
        <tr r="E14" s="6"/>
      </tp>
      <tp>
        <v>523</v>
        <stp/>
        <stp>##V3_BDPV12</stp>
        <stp>GTITL10Y Corp</stp>
        <stp>CALC_TYP</stp>
        <stp>[EUR_CreditLinkedNotes.xlsx]CREDIT MKT DATA!R11C5</stp>
        <tr r="E11" s="6"/>
      </tp>
      <tp>
        <v>523</v>
        <stp/>
        <stp>##V3_BDPV12</stp>
        <stp>GTITL30Y Corp</stp>
        <stp>CALC_TYP</stp>
        <stp>[EUR_CreditLinkedNotes.xlsx]CREDIT MKT DATA!R13C5</stp>
        <tr r="E13" s="6"/>
      </tp>
      <tp>
        <v>523</v>
        <stp/>
        <stp>##V3_BDPV12</stp>
        <stp>GTITL15Y Corp</stp>
        <stp>CALC_TYP</stp>
        <stp>[EUR_CreditLinkedNotes.xlsx]CREDIT MKT DATA!R12C5</stp>
        <tr r="E12" s="6"/>
      </tp>
      <tp>
        <v>0.85</v>
        <stp/>
        <stp>##V3_BDPV12</stp>
        <stp>GTITL7Y Corp</stp>
        <stp>CPN</stp>
        <stp>[EUR_CreditLinkedNotes.xlsx]CREDIT MKT DATA!R10C13</stp>
        <tr r="M10" s="6"/>
      </tp>
      <tp>
        <v>8.4</v>
        <stp/>
        <stp>##V3_BDPV12</stp>
        <stp>EUBSS7 ICPL Curncy</stp>
        <stp>LAST_PRICE</stp>
        <stp>[EUR_CreditLinkedNotes.xlsx]CURVE MKT DATA!R13C35</stp>
        <tr r="AI13" s="1"/>
      </tp>
      <tp>
        <v>8.6</v>
        <stp/>
        <stp>##V3_BDPV12</stp>
        <stp>EUBSS6 ICPL Curncy</stp>
        <stp>LAST_PRICE</stp>
        <stp>[EUR_CreditLinkedNotes.xlsx]CURVE MKT DATA!R12C35</stp>
        <tr r="AI12" s="1"/>
      </tp>
      <tp>
        <v>8.8000000000000007</v>
        <stp/>
        <stp>##V3_BDPV12</stp>
        <stp>EUBSS5 ICPL Curncy</stp>
        <stp>LAST_PRICE</stp>
        <stp>[EUR_CreditLinkedNotes.xlsx]CURVE MKT DATA!R11C35</stp>
        <tr r="AI11" s="1"/>
      </tp>
      <tp>
        <v>9.1999999999999993</v>
        <stp/>
        <stp>##V3_BDPV12</stp>
        <stp>EUBSS4 ICPL Curncy</stp>
        <stp>LAST_PRICE</stp>
        <stp>[EUR_CreditLinkedNotes.xlsx]CURVE MKT DATA!R10C35</stp>
        <tr r="AI10" s="1"/>
      </tp>
      <tp>
        <v>8.1999999999999993</v>
        <stp/>
        <stp>##V3_BDPV12</stp>
        <stp>EUBSS9 ICPL Curncy</stp>
        <stp>LAST_PRICE</stp>
        <stp>[EUR_CreditLinkedNotes.xlsx]CURVE MKT DATA!R15C35</stp>
        <tr r="AI15" s="1"/>
      </tp>
      <tp>
        <v>8.3000000000000007</v>
        <stp/>
        <stp>##V3_BDPV12</stp>
        <stp>EUBSS8 ICPL Curncy</stp>
        <stp>LAST_PRICE</stp>
        <stp>[EUR_CreditLinkedNotes.xlsx]CURVE MKT DATA!R14C35</stp>
        <tr r="AI14" s="1"/>
      </tp>
      <tp t="s">
        <v>01/04/2030</v>
        <stp/>
        <stp>##V3_BDPV12</stp>
        <stp>GTITL10Y Corp</stp>
        <stp>MATURITY</stp>
        <stp>[EUR_CreditLinkedNotes.xlsx]CREDIT MKT DATA!R11C14</stp>
        <tr r="N11" s="6"/>
      </tp>
      <tp t="s">
        <v>01/09/2049</v>
        <stp/>
        <stp>##V3_BDPV12</stp>
        <stp>GTITL30Y Corp</stp>
        <stp>MATURITY</stp>
        <stp>[EUR_CreditLinkedNotes.xlsx]CREDIT MKT DATA!R13C14</stp>
        <tr r="N13" s="6"/>
      </tp>
      <tp t="s">
        <v>01/03/2067</v>
        <stp/>
        <stp>##V3_BDPV12</stp>
        <stp>GTITL50Y Corp</stp>
        <stp>MATURITY</stp>
        <stp>[EUR_CreditLinkedNotes.xlsx]CREDIT MKT DATA!R14C14</stp>
        <tr r="N14" s="6"/>
      </tp>
      <tp>
        <v>-11.125</v>
        <stp/>
        <stp>##V3_BDPV12</stp>
        <stp>EUBS2 ICPL Curncy</stp>
        <stp>LAST_PRICE</stp>
        <stp>[EUR_CreditLinkedNotes.xlsx]CURVE MKT DATA!R24C40</stp>
        <tr r="AN24" s="1"/>
      </tp>
      <tp>
        <v>-15.375</v>
        <stp/>
        <stp>##V3_BDPV12</stp>
        <stp>EUBS3 ICPL Curncy</stp>
        <stp>LAST_PRICE</stp>
        <stp>[EUR_CreditLinkedNotes.xlsx]CURVE MKT DATA!R25C40</stp>
        <tr r="AN25" s="1"/>
      </tp>
      <tp>
        <v>-0.5</v>
        <stp/>
        <stp>##V3_BDPV12</stp>
        <stp>EUBS1 ICPL Curncy</stp>
        <stp>LAST_PRICE</stp>
        <stp>[EUR_CreditLinkedNotes.xlsx]CURVE MKT DATA!R23C40</stp>
        <tr r="AN23" s="1"/>
      </tp>
      <tp>
        <v>-21.5</v>
        <stp/>
        <stp>##V3_BDPV12</stp>
        <stp>EUBS6 ICPL Curncy</stp>
        <stp>LAST_PRICE</stp>
        <stp>[EUR_CreditLinkedNotes.xlsx]CURVE MKT DATA!R28C40</stp>
        <tr r="AN28" s="1"/>
      </tp>
      <tp>
        <v>-22.125</v>
        <stp/>
        <stp>##V3_BDPV12</stp>
        <stp>EUBS7 ICPL Curncy</stp>
        <stp>LAST_PRICE</stp>
        <stp>[EUR_CreditLinkedNotes.xlsx]CURVE MKT DATA!R29C40</stp>
        <tr r="AN29" s="1"/>
      </tp>
      <tp>
        <v>-18.5</v>
        <stp/>
        <stp>##V3_BDPV12</stp>
        <stp>EUBS4 ICPL Curncy</stp>
        <stp>LAST_PRICE</stp>
        <stp>[EUR_CreditLinkedNotes.xlsx]CURVE MKT DATA!R26C40</stp>
        <tr r="AN26" s="1"/>
      </tp>
      <tp>
        <v>-20.5</v>
        <stp/>
        <stp>##V3_BDPV12</stp>
        <stp>EUBS5 ICPL Curncy</stp>
        <stp>LAST_PRICE</stp>
        <stp>[EUR_CreditLinkedNotes.xlsx]CURVE MKT DATA!R27C40</stp>
        <tr r="AN27" s="1"/>
      </tp>
      <tp>
        <v>-22.375</v>
        <stp/>
        <stp>##V3_BDPV12</stp>
        <stp>EUBS8 ICPL Curncy</stp>
        <stp>LAST_PRICE</stp>
        <stp>[EUR_CreditLinkedNotes.xlsx]CURVE MKT DATA!R30C40</stp>
        <tr r="AN30" s="1"/>
      </tp>
      <tp>
        <v>-22.375</v>
        <stp/>
        <stp>##V3_BDPV12</stp>
        <stp>EUBS9 ICPL Curncy</stp>
        <stp>LAST_PRICE</stp>
        <stp>[EUR_CreditLinkedNotes.xlsx]CURVE MKT DATA!R31C40</stp>
        <tr r="AN31" s="1"/>
      </tp>
      <tp>
        <v>63.625</v>
        <stp/>
        <stp>##V3_BDPV12</stp>
        <stp>EUBSC ICPL Curncy</stp>
        <stp>LAST_PRICE</stp>
        <stp>[EUR_CreditLinkedNotes.xlsx]CURVE MKT DATA!R20C40</stp>
        <tr r="AN20" s="1"/>
      </tp>
      <tp>
        <v>24.625</v>
        <stp/>
        <stp>##V3_BDPV12</stp>
        <stp>EUBSF ICPL Curncy</stp>
        <stp>LAST_PRICE</stp>
        <stp>[EUR_CreditLinkedNotes.xlsx]CURVE MKT DATA!R21C40</stp>
        <tr r="AN21" s="1"/>
      </tp>
      <tp>
        <v>4.75</v>
        <stp/>
        <stp>##V3_BDPV12</stp>
        <stp>EUBSI ICPL Curncy</stp>
        <stp>LAST_PRICE</stp>
        <stp>[EUR_CreditLinkedNotes.xlsx]CURVE MKT DATA!R22C40</stp>
        <tr r="AN22" s="1"/>
      </tp>
      <tp t="s">
        <v>15/01/2020</v>
        <stp/>
        <stp>##V3_BDPV12</stp>
        <stp>GTITL7Y Corp</stp>
        <stp>FIRST_CPN_DT</stp>
        <stp>[EUR_CreditLinkedNotes.xlsx]CREDIT MKT DATA!R10C11</stp>
        <tr r="K10" s="6"/>
      </tp>
      <tp t="s">
        <v>01/03/2035</v>
        <stp/>
        <stp>##V3_BDPV12</stp>
        <stp>GTITL15Y Corp</stp>
        <stp>MATURITY</stp>
        <stp>[EUR_CreditLinkedNotes.xlsx]CREDIT MKT DATA!R12C14</stp>
        <tr r="N12" s="6"/>
      </tp>
      <tp>
        <v>12.7</v>
        <stp/>
        <stp>##V3_BDPV12</stp>
        <stp>EOBSVC8 ICPL Curncy</stp>
        <stp>LAST_PRICE</stp>
        <stp>[EUR_CreditLinkedNotes.xlsx]CURVE MKT DATA!R30C12</stp>
        <tr r="L30" s="1"/>
      </tp>
      <tp>
        <v>12.8</v>
        <stp/>
        <stp>##V3_BDPV12</stp>
        <stp>EOBSVC9 ICPL Curncy</stp>
        <stp>LAST_PRICE</stp>
        <stp>[EUR_CreditLinkedNotes.xlsx]CURVE MKT DATA!R31C12</stp>
        <tr r="L31" s="1"/>
      </tp>
      <tp>
        <v>12.5</v>
        <stp/>
        <stp>##V3_BDPV12</stp>
        <stp>EOBSVC6 ICPL Curncy</stp>
        <stp>LAST_PRICE</stp>
        <stp>[EUR_CreditLinkedNotes.xlsx]CURVE MKT DATA!R28C12</stp>
        <tr r="L28" s="1"/>
      </tp>
      <tp>
        <v>12.6</v>
        <stp/>
        <stp>##V3_BDPV12</stp>
        <stp>EOBSVC7 ICPL Curncy</stp>
        <stp>LAST_PRICE</stp>
        <stp>[EUR_CreditLinkedNotes.xlsx]CURVE MKT DATA!R29C12</stp>
        <tr r="L29" s="1"/>
      </tp>
      <tp>
        <v>12.3</v>
        <stp/>
        <stp>##V3_BDPV12</stp>
        <stp>EOBSVC4 ICPL Curncy</stp>
        <stp>LAST_PRICE</stp>
        <stp>[EUR_CreditLinkedNotes.xlsx]CURVE MKT DATA!R26C12</stp>
        <tr r="L26" s="1"/>
      </tp>
      <tp>
        <v>12.4</v>
        <stp/>
        <stp>##V3_BDPV12</stp>
        <stp>EOBSVC5 ICPL Curncy</stp>
        <stp>LAST_PRICE</stp>
        <stp>[EUR_CreditLinkedNotes.xlsx]CURVE MKT DATA!R27C12</stp>
        <tr r="L27" s="1"/>
      </tp>
      <tp>
        <v>11.8</v>
        <stp/>
        <stp>##V3_BDPV12</stp>
        <stp>EOBSVC2 ICPL Curncy</stp>
        <stp>LAST_PRICE</stp>
        <stp>[EUR_CreditLinkedNotes.xlsx]CURVE MKT DATA!R24C12</stp>
        <tr r="L24" s="1"/>
      </tp>
      <tp>
        <v>12.1</v>
        <stp/>
        <stp>##V3_BDPV12</stp>
        <stp>EOBSVC3 ICPL Curncy</stp>
        <stp>LAST_PRICE</stp>
        <stp>[EUR_CreditLinkedNotes.xlsx]CURVE MKT DATA!R25C12</stp>
        <tr r="L25" s="1"/>
      </tp>
      <tp>
        <v>12</v>
        <stp/>
        <stp>##V3_BDPV12</stp>
        <stp>EOBSVC1 ICPL Curncy</stp>
        <stp>LAST_PRICE</stp>
        <stp>[EUR_CreditLinkedNotes.xlsx]CURVE MKT DATA!R23C12</stp>
        <tr r="L23" s="1"/>
      </tp>
      <tp t="s">
        <v>BTPS 0.85 01/15/27</v>
        <stp/>
        <stp>##V3_BDPV12</stp>
        <stp>GTITL7Y Corp</stp>
        <stp>SECURITY_DES</stp>
        <stp>[EUR_CreditLinkedNotes.xlsx]CREDIT MKT DATA!R10C6</stp>
        <tr r="F10" s="6"/>
      </tp>
      <tp t="s">
        <v>US465410AH18</v>
        <stp/>
        <stp>##V3_BDPV12</stp>
        <stp>CITL1U10 Curncy</stp>
        <stp>SW_PRIMARY_REF_OBLIGATION_ISIN</stp>
        <stp>[EUR_CreditLinkedNotes.xlsx]CREDIT MKT DATA!R25C10</stp>
        <tr r="J25" s="6"/>
      </tp>
      <tp>
        <v>235</v>
        <stp/>
        <stp>##V3_BDPV12</stp>
        <stp>CY005704 Curncy</stp>
        <stp>1Y_MID_CDS_SPREAD</stp>
        <stp>[EUR_CreditLinkedNotes.xlsx]CREDIT MKT DATA!R18C6</stp>
        <tr r="F18" s="6"/>
      </tp>
      <tp t="s">
        <v>15/04/2021</v>
        <stp/>
        <stp>##V3_BDPV12</stp>
        <stp>GTITL2Y Corp</stp>
        <stp>PENULTIMATE_CPN_DT</stp>
        <stp>[EUR_CreditLinkedNotes.xlsx]CREDIT MKT DATA!R7C12</stp>
        <tr r="L7" s="6"/>
      </tp>
      <tp t="s">
        <v>01/08/2024</v>
        <stp/>
        <stp>##V3_BDPV12</stp>
        <stp>GTITL5Y Corp</stp>
        <stp>PENULTIMATE_CPN_DT</stp>
        <stp>[EUR_CreditLinkedNotes.xlsx]CREDIT MKT DATA!R9C12</stp>
        <tr r="L9" s="6"/>
      </tp>
      <tp t="s">
        <v>15/07/2022</v>
        <stp/>
        <stp>##V3_BDPV12</stp>
        <stp>GTITL3Y Corp</stp>
        <stp>PENULTIMATE_CPN_DT</stp>
        <stp>[EUR_CreditLinkedNotes.xlsx]CREDIT MKT DATA!R8C12</stp>
        <tr r="L8" s="6"/>
      </tp>
      <tp>
        <v>235</v>
        <stp/>
        <stp>##V3_BDPV12</stp>
        <stp>CY005704 Curncy</stp>
        <stp>7Y_MID_CDS_SPREAD</stp>
        <stp>[EUR_CreditLinkedNotes.xlsx]CREDIT MKT DATA!R18C8</stp>
        <tr r="H18" s="6"/>
      </tp>
      <tp>
        <v>235</v>
        <stp/>
        <stp>##V3_BDPV12</stp>
        <stp>CY005704 Curncy</stp>
        <stp>5Y_MID_CDS_SPREAD</stp>
        <stp>[EUR_CreditLinkedNotes.xlsx]CREDIT MKT DATA!R18C7</stp>
        <tr r="G18" s="6"/>
      </tp>
      <tp t="s">
        <v>15/10/2018</v>
        <stp/>
        <stp>##V3_BDPV12</stp>
        <stp>GTITL2Y Corp</stp>
        <stp>INT_ACC_DT</stp>
        <stp>[EUR_CreditLinkedNotes.xlsx]CREDIT MKT DATA!R7C9</stp>
        <tr r="I7" s="6"/>
      </tp>
      <tp>
        <v>235</v>
        <stp/>
        <stp>##V3_BDPV12</stp>
        <stp>CX760279 Curncy</stp>
        <stp>7Y_MID_CDS_SPREAD</stp>
        <stp>[EUR_CreditLinkedNotes.xlsx]CREDIT MKT DATA!R20C8</stp>
        <tr r="H20" s="6"/>
      </tp>
      <tp>
        <v>235</v>
        <stp/>
        <stp>##V3_BDPV12</stp>
        <stp>CX760283 Curncy</stp>
        <stp>5Y_MID_CDS_SPREAD</stp>
        <stp>[EUR_CreditLinkedNotes.xlsx]CREDIT MKT DATA!R22C7</stp>
        <tr r="G22" s="6"/>
      </tp>
      <tp t="s">
        <v>16/09/2019</v>
        <stp/>
        <stp>##V3_BDPV12</stp>
        <stp>GTITL3Y Corp</stp>
        <stp>INT_ACC_DT</stp>
        <stp>[EUR_CreditLinkedNotes.xlsx]CREDIT MKT DATA!R8C9</stp>
        <tr r="I8" s="6"/>
      </tp>
      <tp>
        <v>235</v>
        <stp/>
        <stp>##V3_BDPV12</stp>
        <stp>CITL1U10 Curncy</stp>
        <stp>1Y_MID_CDS_SPREAD</stp>
        <stp>[EUR_CreditLinkedNotes.xlsx]CREDIT MKT DATA!R25C6</stp>
        <tr r="F25" s="6"/>
      </tp>
      <tp>
        <v>235</v>
        <stp/>
        <stp>##V3_BDPV12</stp>
        <stp>CX760279 Curncy</stp>
        <stp>5Y_MID_CDS_SPREAD</stp>
        <stp>[EUR_CreditLinkedNotes.xlsx]CREDIT MKT DATA!R20C7</stp>
        <tr r="G20" s="6"/>
      </tp>
      <tp>
        <v>235</v>
        <stp/>
        <stp>##V3_BDPV12</stp>
        <stp>CX760283 Curncy</stp>
        <stp>7Y_MID_CDS_SPREAD</stp>
        <stp>[EUR_CreditLinkedNotes.xlsx]CREDIT MKT DATA!R22C8</stp>
        <tr r="H22" s="6"/>
      </tp>
      <tp>
        <v>235</v>
        <stp/>
        <stp>##V3_BDPV12</stp>
        <stp>CX760291 Curncy</stp>
        <stp>1Y_MID_CDS_SPREAD</stp>
        <stp>[EUR_CreditLinkedNotes.xlsx]CREDIT MKT DATA!R24C6</stp>
        <tr r="F24" s="6"/>
      </tp>
      <tp>
        <v>235</v>
        <stp/>
        <stp>##V3_BDPV12</stp>
        <stp>CITL1U10 Curncy</stp>
        <stp>7Y_MID_CDS_SPREAD</stp>
        <stp>[EUR_CreditLinkedNotes.xlsx]CREDIT MKT DATA!R25C8</stp>
        <tr r="H25" s="6"/>
      </tp>
      <tp>
        <v>235</v>
        <stp/>
        <stp>##V3_BDPV12</stp>
        <stp>CX760291 Curncy</stp>
        <stp>7Y_MID_CDS_SPREAD</stp>
        <stp>[EUR_CreditLinkedNotes.xlsx]CREDIT MKT DATA!R24C8</stp>
        <tr r="H24" s="6"/>
      </tp>
      <tp>
        <v>235</v>
        <stp/>
        <stp>##V3_BDPV12</stp>
        <stp>CX760283 Curncy</stp>
        <stp>1Y_MID_CDS_SPREAD</stp>
        <stp>[EUR_CreditLinkedNotes.xlsx]CREDIT MKT DATA!R22C6</stp>
        <tr r="F22" s="6"/>
      </tp>
      <tp>
        <v>235</v>
        <stp/>
        <stp>##V3_BDPV12</stp>
        <stp>CITL1U10 Curncy</stp>
        <stp>5Y_MID_CDS_SPREAD</stp>
        <stp>[EUR_CreditLinkedNotes.xlsx]CREDIT MKT DATA!R25C7</stp>
        <tr r="G25" s="6"/>
      </tp>
      <tp>
        <v>235</v>
        <stp/>
        <stp>##V3_BDPV12</stp>
        <stp>CX760279 Curncy</stp>
        <stp>1Y_MID_CDS_SPREAD</stp>
        <stp>[EUR_CreditLinkedNotes.xlsx]CREDIT MKT DATA!R20C6</stp>
        <tr r="F20" s="6"/>
      </tp>
      <tp>
        <v>235</v>
        <stp/>
        <stp>##V3_BDPV12</stp>
        <stp>CX760291 Curncy</stp>
        <stp>5Y_MID_CDS_SPREAD</stp>
        <stp>[EUR_CreditLinkedNotes.xlsx]CREDIT MKT DATA!R24C7</stp>
        <tr r="G24" s="6"/>
      </tp>
      <tp t="s">
        <v>01/10/2019</v>
        <stp/>
        <stp>##V3_BDPV12</stp>
        <stp>GTITL5Y Corp</stp>
        <stp>INT_ACC_DT</stp>
        <stp>[EUR_CreditLinkedNotes.xlsx]CREDIT MKT DATA!R9C9</stp>
        <tr r="I9" s="6"/>
      </tp>
      <tp t="s">
        <v>15/12/2021</v>
        <stp/>
        <stp>##V3_BDPV12</stp>
        <stp>ER6 Comdty</stp>
        <stp>INT_RATE_FUT_END_DT</stp>
        <stp>[EUR_CreditLinkedNotes.xlsx]CURVE MKT DATA!R16C24</stp>
        <tr r="X16" s="1"/>
      </tp>
      <tp t="s">
        <v>16/03/2022</v>
        <stp/>
        <stp>##V3_BDPV12</stp>
        <stp>ER7 Comdty</stp>
        <stp>INT_RATE_FUT_END_DT</stp>
        <stp>[EUR_CreditLinkedNotes.xlsx]CURVE MKT DATA!R17C24</stp>
        <tr r="X17" s="1"/>
      </tp>
      <tp t="s">
        <v>16/06/2021</v>
        <stp/>
        <stp>##V3_BDPV12</stp>
        <stp>ER4 Comdty</stp>
        <stp>INT_RATE_FUT_END_DT</stp>
        <stp>[EUR_CreditLinkedNotes.xlsx]CURVE MKT DATA!R14C24</stp>
        <tr r="X14" s="1"/>
      </tp>
      <tp t="s">
        <v>15/09/2021</v>
        <stp/>
        <stp>##V3_BDPV12</stp>
        <stp>ER5 Comdty</stp>
        <stp>INT_RATE_FUT_END_DT</stp>
        <stp>[EUR_CreditLinkedNotes.xlsx]CURVE MKT DATA!R15C24</stp>
        <tr r="X15" s="1"/>
      </tp>
      <tp t="s">
        <v>16/12/2020</v>
        <stp/>
        <stp>##V3_BDPV12</stp>
        <stp>ER2 Comdty</stp>
        <stp>INT_RATE_FUT_END_DT</stp>
        <stp>[EUR_CreditLinkedNotes.xlsx]CURVE MKT DATA!R12C24</stp>
        <tr r="X12" s="1"/>
      </tp>
      <tp t="s">
        <v>17/03/2021</v>
        <stp/>
        <stp>##V3_BDPV12</stp>
        <stp>ER3 Comdty</stp>
        <stp>INT_RATE_FUT_END_DT</stp>
        <stp>[EUR_CreditLinkedNotes.xlsx]CURVE MKT DATA!R13C24</stp>
        <tr r="X13" s="1"/>
      </tp>
      <tp t="s">
        <v>16/09/2020</v>
        <stp/>
        <stp>##V3_BDPV12</stp>
        <stp>ER1 Comdty</stp>
        <stp>INT_RATE_FUT_END_DT</stp>
        <stp>[EUR_CreditLinkedNotes.xlsx]CURVE MKT DATA!R11C24</stp>
        <tr r="X11" s="1"/>
      </tp>
      <tp t="s">
        <v>15/06/2022</v>
        <stp/>
        <stp>##V3_BDPV12</stp>
        <stp>ER8 Comdty</stp>
        <stp>INT_RATE_FUT_END_DT</stp>
        <stp>[EUR_CreditLinkedNotes.xlsx]CURVE MKT DATA!R18C24</stp>
        <tr r="X18" s="1"/>
      </tp>
      <tp t="s">
        <v>15/10/2018</v>
        <stp/>
        <stp>##V3_BDPV12</stp>
        <stp>GTITL2Y Corp</stp>
        <stp>ISSUE_DT</stp>
        <stp>[EUR_CreditLinkedNotes.xlsx]CREDIT MKT DATA!R7C8</stp>
        <tr r="H7" s="6"/>
      </tp>
      <tp>
        <v>523</v>
        <stp/>
        <stp>##V3_BDPV12</stp>
        <stp>GTITL2Y Corp</stp>
        <stp>CALC_TYP</stp>
        <stp>[EUR_CreditLinkedNotes.xlsx]CREDIT MKT DATA!R7C5</stp>
        <tr r="E7" s="6"/>
      </tp>
      <tp>
        <v>-0.32300000000000001</v>
        <stp/>
        <stp>##V3_BDPV12</stp>
        <stp>EUFR0H1B ICPL Curncy</stp>
        <stp>LAST_PRICE</stp>
        <stp>[EUR_CreditLinkedNotes.xlsx]CURVE MKT DATA!R18C17</stp>
        <tr r="Q18" s="1"/>
      </tp>
      <tp>
        <v>-0.32400000000000001</v>
        <stp/>
        <stp>##V3_BDPV12</stp>
        <stp>EUFR0I1C ICPL Curncy</stp>
        <stp>LAST_PRICE</stp>
        <stp>[EUR_CreditLinkedNotes.xlsx]CURVE MKT DATA!R19C17</stp>
        <tr r="Q19" s="1"/>
      </tp>
      <tp>
        <v>-0.32</v>
        <stp/>
        <stp>##V3_BDPV12</stp>
        <stp>EUFR0G1A ICPL Curncy</stp>
        <stp>LAST_PRICE</stp>
        <stp>[EUR_CreditLinkedNotes.xlsx]CURVE MKT DATA!R17C17</stp>
        <tr r="Q17" s="1"/>
      </tp>
      <tp>
        <v>-0.32300000000000001</v>
        <stp/>
        <stp>##V3_BDPV12</stp>
        <stp>EUFR0J1D ICPL Curncy</stp>
        <stp>LAST_PRICE</stp>
        <stp>[EUR_CreditLinkedNotes.xlsx]CURVE MKT DATA!R20C17</stp>
        <tr r="Q20" s="1"/>
      </tp>
      <tp>
        <v>-0.32200000000000001</v>
        <stp/>
        <stp>##V3_BDPV12</stp>
        <stp>EUFR0K1E ICPL Curncy</stp>
        <stp>LAST_PRICE</stp>
        <stp>[EUR_CreditLinkedNotes.xlsx]CURVE MKT DATA!R21C17</stp>
        <tr r="Q21" s="1"/>
      </tp>
      <tp>
        <v>11.6</v>
        <stp/>
        <stp>##V3_BDPV12</stp>
        <stp>EOBSVC50 ICPL Curncy</stp>
        <stp>LAST_PRICE</stp>
        <stp>[EUR_CreditLinkedNotes.xlsx]CURVE MKT DATA!R40C12</stp>
        <tr r="L40" s="1"/>
      </tp>
      <tp>
        <v>235</v>
        <stp/>
        <stp>##V3_BDPV12</stp>
        <stp>CITL1U10 Curncy</stp>
        <stp>10Y_MID_CDS_SPREAD</stp>
        <stp>[EUR_CreditLinkedNotes.xlsx]CREDIT MKT DATA!R25C9</stp>
        <tr r="I25" s="6"/>
      </tp>
      <tp>
        <v>12.2</v>
        <stp/>
        <stp>##V3_BDPV12</stp>
        <stp>EOBSVC40 ICPL Curncy</stp>
        <stp>LAST_PRICE</stp>
        <stp>[EUR_CreditLinkedNotes.xlsx]CURVE MKT DATA!R39C12</stp>
        <tr r="L39" s="1"/>
      </tp>
      <tp t="s">
        <v>17/06/2020</v>
        <stp/>
        <stp>##V3_BDPV12</stp>
        <stp>ER1 Comdty</stp>
        <stp>INT_RATE_FUT_START_DT</stp>
        <stp>[EUR_CreditLinkedNotes.xlsx]CURVE MKT DATA!R11C23</stp>
        <tr r="W11" s="1"/>
      </tp>
      <tp t="s">
        <v>16/09/2020</v>
        <stp/>
        <stp>##V3_BDPV12</stp>
        <stp>ER2 Comdty</stp>
        <stp>INT_RATE_FUT_START_DT</stp>
        <stp>[EUR_CreditLinkedNotes.xlsx]CURVE MKT DATA!R12C23</stp>
        <tr r="W12" s="1"/>
      </tp>
      <tp t="s">
        <v>16/12/2020</v>
        <stp/>
        <stp>##V3_BDPV12</stp>
        <stp>ER3 Comdty</stp>
        <stp>INT_RATE_FUT_START_DT</stp>
        <stp>[EUR_CreditLinkedNotes.xlsx]CURVE MKT DATA!R13C23</stp>
        <tr r="W13" s="1"/>
      </tp>
      <tp t="s">
        <v>17/03/2021</v>
        <stp/>
        <stp>##V3_BDPV12</stp>
        <stp>ER4 Comdty</stp>
        <stp>INT_RATE_FUT_START_DT</stp>
        <stp>[EUR_CreditLinkedNotes.xlsx]CURVE MKT DATA!R14C23</stp>
        <tr r="W14" s="1"/>
      </tp>
      <tp t="s">
        <v>16/06/2021</v>
        <stp/>
        <stp>##V3_BDPV12</stp>
        <stp>ER5 Comdty</stp>
        <stp>INT_RATE_FUT_START_DT</stp>
        <stp>[EUR_CreditLinkedNotes.xlsx]CURVE MKT DATA!R15C23</stp>
        <tr r="W15" s="1"/>
      </tp>
      <tp t="s">
        <v>15/09/2021</v>
        <stp/>
        <stp>##V3_BDPV12</stp>
        <stp>ER6 Comdty</stp>
        <stp>INT_RATE_FUT_START_DT</stp>
        <stp>[EUR_CreditLinkedNotes.xlsx]CURVE MKT DATA!R16C23</stp>
        <tr r="W16" s="1"/>
      </tp>
      <tp t="s">
        <v>15/12/2021</v>
        <stp/>
        <stp>##V3_BDPV12</stp>
        <stp>ER7 Comdty</stp>
        <stp>INT_RATE_FUT_START_DT</stp>
        <stp>[EUR_CreditLinkedNotes.xlsx]CURVE MKT DATA!R17C23</stp>
        <tr r="W17" s="1"/>
      </tp>
      <tp t="s">
        <v>16/03/2022</v>
        <stp/>
        <stp>##V3_BDPV12</stp>
        <stp>ER8 Comdty</stp>
        <stp>INT_RATE_FUT_START_DT</stp>
        <stp>[EUR_CreditLinkedNotes.xlsx]CURVE MKT DATA!R18C23</stp>
        <tr r="W18" s="1"/>
      </tp>
      <tp>
        <v>-0.38943</v>
        <stp/>
        <stp>##V3_BDPV12</stp>
        <stp>EE0001M Index</stp>
        <stp>PX_LAST</stp>
        <stp>[EUR_CreditLinkedNotes.xlsx]CURVE MKT DATA!R7C25</stp>
        <tr r="Y7" s="1"/>
      </tp>
      <tp>
        <v>-0.24113999999999999</v>
        <stp/>
        <stp>##V3_BDPV12</stp>
        <stp>EE0003M Index</stp>
        <stp>PX_LAST</stp>
        <stp>[EUR_CreditLinkedNotes.xlsx]CURVE MKT DATA!R8C25</stp>
        <tr r="Y8" s="1"/>
      </tp>
      <tp>
        <v>-0.17785999999999999</v>
        <stp/>
        <stp>##V3_BDPV12</stp>
        <stp>EE0006M Index</stp>
        <stp>PX_LAST</stp>
        <stp>[EUR_CreditLinkedNotes.xlsx]CURVE MKT DATA!R9C25</stp>
        <tr r="Y9" s="1"/>
      </tp>
      <tp>
        <v>-0.24113999999999999</v>
        <stp/>
        <stp>##V3_BDPV12</stp>
        <stp>EE0003M Index</stp>
        <stp>PX_LAST</stp>
        <stp>[EUR_CreditLinkedNotes.xlsx]CURVE MKT DATA!R8C17</stp>
        <tr r="Q8" s="1"/>
      </tp>
      <tp>
        <v>-0.38943</v>
        <stp/>
        <stp>##V3_BDPV12</stp>
        <stp>EE0001M Index</stp>
        <stp>PX_LAST</stp>
        <stp>[EUR_CreditLinkedNotes.xlsx]CURVE MKT DATA!R7C17</stp>
        <tr r="Q7" s="1"/>
      </tp>
      <tp>
        <v>-0.17785999999999999</v>
        <stp/>
        <stp>##V3_BDPV12</stp>
        <stp>EE0006M Index</stp>
        <stp>PX_LAST</stp>
        <stp>[EUR_CreditLinkedNotes.xlsx]CURVE MKT DATA!R9C17</stp>
        <tr r="Q9" s="1"/>
      </tp>
      <tp>
        <v>523</v>
        <stp/>
        <stp>##V3_BDPV12</stp>
        <stp>GTITL3Y Corp</stp>
        <stp>CALC_TYP</stp>
        <stp>[EUR_CreditLinkedNotes.xlsx]CREDIT MKT DATA!R8C5</stp>
        <tr r="E8" s="6"/>
      </tp>
      <tp>
        <v>-0.36699999999999999</v>
        <stp/>
        <stp>##V3_BDPV12</stp>
        <stp>EUSW3V3 ICPL  Curncy</stp>
        <stp>LAST_PRICE</stp>
        <stp>[EUR_CreditLinkedNotes.xlsx]CURVE MKT DATA!R19C25</stp>
        <tr r="Y19" s="1"/>
      </tp>
      <tp>
        <v>-0.26</v>
        <stp/>
        <stp>##V3_BDPV12</stp>
        <stp>EUSW6V3 ICPL  Curncy</stp>
        <stp>LAST_PRICE</stp>
        <stp>[EUR_CreditLinkedNotes.xlsx]CURVE MKT DATA!R22C25</stp>
        <tr r="Y22" s="1"/>
      </tp>
      <tp>
        <v>-0.218</v>
        <stp/>
        <stp>##V3_BDPV12</stp>
        <stp>EUSW7V3 ICPL  Curncy</stp>
        <stp>LAST_PRICE</stp>
        <stp>[EUR_CreditLinkedNotes.xlsx]CURVE MKT DATA!R23C25</stp>
        <tr r="Y23" s="1"/>
      </tp>
      <tp>
        <v>-0.33700000000000002</v>
        <stp/>
        <stp>##V3_BDPV12</stp>
        <stp>EUSW4V3 ICPL  Curncy</stp>
        <stp>LAST_PRICE</stp>
        <stp>[EUR_CreditLinkedNotes.xlsx]CURVE MKT DATA!R20C25</stp>
        <tr r="Y20" s="1"/>
      </tp>
      <tp>
        <v>-0.29699999999999999</v>
        <stp/>
        <stp>##V3_BDPV12</stp>
        <stp>EUSW5V3 ICPL  Curncy</stp>
        <stp>LAST_PRICE</stp>
        <stp>[EUR_CreditLinkedNotes.xlsx]CURVE MKT DATA!R21C25</stp>
        <tr r="Y21" s="1"/>
      </tp>
      <tp>
        <v>-0.17399999999999999</v>
        <stp/>
        <stp>##V3_BDPV12</stp>
        <stp>EUSW8V3 ICPL  Curncy</stp>
        <stp>LAST_PRICE</stp>
        <stp>[EUR_CreditLinkedNotes.xlsx]CURVE MKT DATA!R24C25</stp>
        <tr r="Y24" s="1"/>
      </tp>
      <tp>
        <v>-0.13</v>
        <stp/>
        <stp>##V3_BDPV12</stp>
        <stp>EUSW9V3 ICPL  Curncy</stp>
        <stp>LAST_PRICE</stp>
        <stp>[EUR_CreditLinkedNotes.xlsx]CURVE MKT DATA!R25C25</stp>
        <tr r="Y25" s="1"/>
      </tp>
      <tp>
        <v>13</v>
        <stp/>
        <stp>##V3_BDPV12</stp>
        <stp>EOBSVC12 ICPL Curncy</stp>
        <stp>LAST_PRICE</stp>
        <stp>[EUR_CreditLinkedNotes.xlsx]CURVE MKT DATA!R34C12</stp>
        <tr r="L34" s="1"/>
      </tp>
      <tp>
        <v>13</v>
        <stp/>
        <stp>##V3_BDPV12</stp>
        <stp>EOBSVC11 ICPL Curncy</stp>
        <stp>LAST_PRICE</stp>
        <stp>[EUR_CreditLinkedNotes.xlsx]CURVE MKT DATA!R33C12</stp>
        <tr r="L33" s="1"/>
      </tp>
      <tp>
        <v>12.9</v>
        <stp/>
        <stp>##V3_BDPV12</stp>
        <stp>EOBSVC10 ICPL Curncy</stp>
        <stp>LAST_PRICE</stp>
        <stp>[EUR_CreditLinkedNotes.xlsx]CURVE MKT DATA!R32C12</stp>
        <tr r="L32" s="1"/>
      </tp>
      <tp>
        <v>13</v>
        <stp/>
        <stp>##V3_BDPV12</stp>
        <stp>EOBSVC15 ICPL Curncy</stp>
        <stp>LAST_PRICE</stp>
        <stp>[EUR_CreditLinkedNotes.xlsx]CURVE MKT DATA!R35C12</stp>
        <tr r="L35" s="1"/>
      </tp>
      <tp>
        <v>-8.5999999999999993E-2</v>
        <stp/>
        <stp>##V3_BDPV12</stp>
        <stp>EUSW10V3 ICPL  Curncy</stp>
        <stp>LAST_PRICE</stp>
        <stp>[EUR_CreditLinkedNotes.xlsx]CURVE MKT DATA!R26C25</stp>
        <tr r="Y26" s="1"/>
      </tp>
      <tp>
        <v>-4.2999999999999997E-2</v>
        <stp/>
        <stp>##V3_BDPV12</stp>
        <stp>EUSW11V3 ICPL  Curncy</stp>
        <stp>LAST_PRICE</stp>
        <stp>[EUR_CreditLinkedNotes.xlsx]CURVE MKT DATA!R27C25</stp>
        <tr r="Y27" s="1"/>
      </tp>
      <tp>
        <v>-2E-3</v>
        <stp/>
        <stp>##V3_BDPV12</stp>
        <stp>EUSW12V3 ICPL  Curncy</stp>
        <stp>LAST_PRICE</stp>
        <stp>[EUR_CreditLinkedNotes.xlsx]CURVE MKT DATA!R28C25</stp>
        <tr r="Y28" s="1"/>
      </tp>
      <tp>
        <v>9.5000000000000001E-2</v>
        <stp/>
        <stp>##V3_BDPV12</stp>
        <stp>EUSW15V3 ICPL  Curncy</stp>
        <stp>LAST_PRICE</stp>
        <stp>[EUR_CreditLinkedNotes.xlsx]CURVE MKT DATA!R29C25</stp>
        <tr r="Y29" s="1"/>
      </tp>
      <tp>
        <v>0.157</v>
        <stp/>
        <stp>##V3_BDPV12</stp>
        <stp>EUSW20V3 ICPL  Curncy</stp>
        <stp>LAST_PRICE</stp>
        <stp>[EUR_CreditLinkedNotes.xlsx]CURVE MKT DATA!R30C25</stp>
        <tr r="Y30" s="1"/>
      </tp>
      <tp>
        <v>0.14299999999999999</v>
        <stp/>
        <stp>##V3_BDPV12</stp>
        <stp>EUSW25V3 ICPL  Curncy</stp>
        <stp>LAST_PRICE</stp>
        <stp>[EUR_CreditLinkedNotes.xlsx]CURVE MKT DATA!R31C25</stp>
        <tr r="Y31" s="1"/>
      </tp>
      <tp>
        <v>0.10100000000000001</v>
        <stp/>
        <stp>##V3_BDPV12</stp>
        <stp>EUSW30V3 ICPL  Curncy</stp>
        <stp>LAST_PRICE</stp>
        <stp>[EUR_CreditLinkedNotes.xlsx]CURVE MKT DATA!R32C25</stp>
        <tr r="Y32" s="1"/>
      </tp>
      <tp>
        <v>3.3000000000000002E-2</v>
        <stp/>
        <stp>##V3_BDPV12</stp>
        <stp>EUSW40V3 ICPL  Curncy</stp>
        <stp>LAST_PRICE</stp>
        <stp>[EUR_CreditLinkedNotes.xlsx]CURVE MKT DATA!R33C25</stp>
        <tr r="Y33" s="1"/>
      </tp>
      <tp>
        <v>-3.3000000000000002E-2</v>
        <stp/>
        <stp>##V3_BDPV12</stp>
        <stp>EUSW50V3 ICPL  Curncy</stp>
        <stp>LAST_PRICE</stp>
        <stp>[EUR_CreditLinkedNotes.xlsx]CURVE MKT DATA!R34C25</stp>
        <tr r="Y34" s="1"/>
      </tp>
      <tp>
        <v>523</v>
        <stp/>
        <stp>##V3_BDPV12</stp>
        <stp>GTITL5Y Corp</stp>
        <stp>CALC_TYP</stp>
        <stp>[EUR_CreditLinkedNotes.xlsx]CREDIT MKT DATA!R9C5</stp>
        <tr r="E9" s="6"/>
      </tp>
      <tp t="s">
        <v>16/09/2019</v>
        <stp/>
        <stp>##V3_BDPV12</stp>
        <stp>GTITL3Y Corp</stp>
        <stp>ISSUE_DT</stp>
        <stp>[EUR_CreditLinkedNotes.xlsx]CREDIT MKT DATA!R8C8</stp>
        <tr r="H8" s="6"/>
      </tp>
      <tp>
        <v>12.7</v>
        <stp/>
        <stp>##V3_BDPV12</stp>
        <stp>EOBSVC30 ICPL Curncy</stp>
        <stp>LAST_PRICE</stp>
        <stp>[EUR_CreditLinkedNotes.xlsx]CURVE MKT DATA!R38C12</stp>
        <tr r="L38" s="1"/>
      </tp>
      <tp t="s">
        <v>01/10/2019</v>
        <stp/>
        <stp>##V3_BDPV12</stp>
        <stp>GTITL5Y Corp</stp>
        <stp>ISSUE_DT</stp>
        <stp>[EUR_CreditLinkedNotes.xlsx]CREDIT MKT DATA!R9C8</stp>
        <tr r="H9" s="6"/>
      </tp>
      <tp>
        <v>12.9</v>
        <stp/>
        <stp>##V3_BDPV12</stp>
        <stp>EOBSVC20 ICPL Curncy</stp>
        <stp>LAST_PRICE</stp>
        <stp>[EUR_CreditLinkedNotes.xlsx]CURVE MKT DATA!R36C12</stp>
        <tr r="L36" s="1"/>
      </tp>
      <tp>
        <v>12.8</v>
        <stp/>
        <stp>##V3_BDPV12</stp>
        <stp>EOBSVC25 ICPL Curncy</stp>
        <stp>LAST_PRICE</stp>
        <stp>[EUR_CreditLinkedNotes.xlsx]CURVE MKT DATA!R37C12</stp>
        <tr r="L3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31</xdr:row>
      <xdr:rowOff>19050</xdr:rowOff>
    </xdr:from>
    <xdr:to>
      <xdr:col>12</xdr:col>
      <xdr:colOff>1182913</xdr:colOff>
      <xdr:row>56</xdr:row>
      <xdr:rowOff>10188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5734050"/>
          <a:ext cx="12993913" cy="4753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C2"/>
  <sheetViews>
    <sheetView workbookViewId="0"/>
  </sheetViews>
  <sheetFormatPr defaultRowHeight="15" x14ac:dyDescent="0.25"/>
  <cols>
    <col min="3" max="3" width="15" bestFit="1" customWidth="1"/>
  </cols>
  <sheetData>
    <row r="2" spans="2:3" x14ac:dyDescent="0.25">
      <c r="B2" t="s">
        <v>301</v>
      </c>
      <c r="C2" s="267">
        <f ca="1">TODAY()</f>
        <v>43923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8"/>
  </sheetPr>
  <dimension ref="B2:AO58"/>
  <sheetViews>
    <sheetView showGridLines="0" zoomScaleNormal="100" workbookViewId="0"/>
  </sheetViews>
  <sheetFormatPr defaultRowHeight="15" x14ac:dyDescent="0.25"/>
  <cols>
    <col min="1" max="1" width="9.140625" style="1"/>
    <col min="2" max="2" width="15.140625" style="1" bestFit="1" customWidth="1"/>
    <col min="3" max="5" width="12.7109375" style="1" customWidth="1"/>
    <col min="6" max="6" width="9.140625" style="1"/>
    <col min="7" max="7" width="22.7109375" style="1" customWidth="1"/>
    <col min="8" max="8" width="9.140625" style="1"/>
    <col min="9" max="9" width="17" style="1" bestFit="1" customWidth="1"/>
    <col min="10" max="11" width="17" style="1" customWidth="1"/>
    <col min="12" max="13" width="12.7109375" style="1" customWidth="1"/>
    <col min="14" max="14" width="9.140625" style="1"/>
    <col min="15" max="15" width="22.7109375" style="1" customWidth="1"/>
    <col min="16" max="16" width="9.140625" style="1"/>
    <col min="17" max="18" width="12.7109375" style="1" customWidth="1"/>
    <col min="19" max="19" width="9.140625" style="1"/>
    <col min="20" max="20" width="20.140625" style="1" bestFit="1" customWidth="1"/>
    <col min="21" max="26" width="12.7109375" style="1" customWidth="1"/>
    <col min="27" max="27" width="9.140625" style="1"/>
    <col min="28" max="28" width="21.7109375" style="1" customWidth="1"/>
    <col min="29" max="31" width="12.7109375" style="1" customWidth="1"/>
    <col min="32" max="32" width="9.140625" style="1"/>
    <col min="33" max="33" width="21.85546875" style="1" bestFit="1" customWidth="1"/>
    <col min="34" max="36" width="12.7109375" style="1" customWidth="1"/>
    <col min="37" max="37" width="9.140625" style="1"/>
    <col min="38" max="38" width="21.7109375" style="1" customWidth="1"/>
    <col min="39" max="41" width="12.7109375" style="1" customWidth="1"/>
    <col min="42" max="16384" width="9.140625" style="1"/>
  </cols>
  <sheetData>
    <row r="2" spans="2:41" x14ac:dyDescent="0.25">
      <c r="G2" s="2"/>
    </row>
    <row r="3" spans="2:41" x14ac:dyDescent="0.25">
      <c r="B3" s="2" t="s">
        <v>0</v>
      </c>
      <c r="C3" s="2"/>
      <c r="D3" s="2"/>
      <c r="E3" s="3" t="s">
        <v>1</v>
      </c>
      <c r="G3" s="4" t="s">
        <v>2</v>
      </c>
      <c r="L3" s="3"/>
      <c r="O3" s="4" t="s">
        <v>3</v>
      </c>
      <c r="Q3" s="3"/>
      <c r="T3" s="4" t="s">
        <v>4</v>
      </c>
      <c r="AB3" s="4" t="s">
        <v>5</v>
      </c>
      <c r="AG3" s="4" t="s">
        <v>6</v>
      </c>
      <c r="AL3" s="4" t="s">
        <v>7</v>
      </c>
    </row>
    <row r="4" spans="2:41" x14ac:dyDescent="0.25">
      <c r="B4" s="5" t="b">
        <f ca="1">SUM(C7:C17)=SUM(D7:D17)</f>
        <v>1</v>
      </c>
      <c r="E4" s="6">
        <f ca="1">SUM(E7:E17)</f>
        <v>0</v>
      </c>
    </row>
    <row r="6" spans="2:41" x14ac:dyDescent="0.25">
      <c r="B6" s="4" t="s">
        <v>8</v>
      </c>
      <c r="C6" s="3" t="s">
        <v>9</v>
      </c>
      <c r="D6" s="3" t="s">
        <v>10</v>
      </c>
      <c r="E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O6" s="3" t="s">
        <v>12</v>
      </c>
      <c r="P6" s="3" t="s">
        <v>13</v>
      </c>
      <c r="Q6" s="3" t="s">
        <v>17</v>
      </c>
      <c r="R6" s="3" t="s">
        <v>18</v>
      </c>
      <c r="T6" s="3" t="s">
        <v>12</v>
      </c>
      <c r="U6" s="3" t="s">
        <v>13</v>
      </c>
      <c r="V6" s="3" t="s">
        <v>12</v>
      </c>
      <c r="W6" s="3" t="s">
        <v>19</v>
      </c>
      <c r="X6" s="3" t="s">
        <v>20</v>
      </c>
      <c r="Y6" s="3" t="s">
        <v>17</v>
      </c>
      <c r="Z6" s="3" t="s">
        <v>18</v>
      </c>
      <c r="AB6" s="3" t="s">
        <v>12</v>
      </c>
      <c r="AC6" s="3" t="s">
        <v>13</v>
      </c>
      <c r="AD6" s="3" t="s">
        <v>17</v>
      </c>
      <c r="AE6" s="3" t="s">
        <v>18</v>
      </c>
      <c r="AG6" s="3" t="s">
        <v>12</v>
      </c>
      <c r="AH6" s="3" t="s">
        <v>13</v>
      </c>
      <c r="AI6" s="3" t="s">
        <v>17</v>
      </c>
      <c r="AJ6" s="3" t="s">
        <v>18</v>
      </c>
      <c r="AL6" s="3" t="s">
        <v>12</v>
      </c>
      <c r="AM6" s="3" t="s">
        <v>13</v>
      </c>
      <c r="AN6" s="3" t="s">
        <v>17</v>
      </c>
      <c r="AO6" s="3" t="s">
        <v>18</v>
      </c>
    </row>
    <row r="7" spans="2:41" x14ac:dyDescent="0.25">
      <c r="B7" s="7" t="s">
        <v>2</v>
      </c>
      <c r="C7" s="8">
        <f>COUNTA(G7:G58)</f>
        <v>52</v>
      </c>
      <c r="D7" s="8">
        <f ca="1">COUNT(L7:L58)</f>
        <v>52</v>
      </c>
      <c r="E7" s="9">
        <f t="shared" ref="E7:E13" ca="1" si="0">C7-D7</f>
        <v>0</v>
      </c>
      <c r="G7" s="10" t="s">
        <v>21</v>
      </c>
      <c r="H7" s="11" t="s">
        <v>22</v>
      </c>
      <c r="I7" s="12"/>
      <c r="J7" s="13"/>
      <c r="K7" s="13"/>
      <c r="L7" s="14">
        <f ca="1">IF(G7="","",IF(Settings.COB=TODAY(),_xll.BDP(G7,"LAST_PRICE"),_xll.BDH(G7,"LAST_PRICE",Settings.COB,Settings.COB)))</f>
        <v>-0.442</v>
      </c>
      <c r="M7" s="15">
        <f ca="1">L7/100</f>
        <v>-4.4200000000000003E-3</v>
      </c>
      <c r="O7" s="10" t="s">
        <v>23</v>
      </c>
      <c r="P7" s="11" t="s">
        <v>24</v>
      </c>
      <c r="Q7" s="16">
        <f ca="1">IF(O7="","",IF(Settings.COB=TODAY(),_xll.BDP(O7,"PX_LAST"),_xll.BDH(O7,"PX_LAST",Settings.COB,Settings.COB)))</f>
        <v>-0.38943</v>
      </c>
      <c r="R7" s="15">
        <f t="shared" ref="R7:R16" ca="1" si="1">Q7/100</f>
        <v>-3.8942999999999998E-3</v>
      </c>
      <c r="T7" s="10" t="s">
        <v>23</v>
      </c>
      <c r="U7" s="11" t="s">
        <v>24</v>
      </c>
      <c r="V7" s="12"/>
      <c r="W7" s="13"/>
      <c r="X7" s="13"/>
      <c r="Y7" s="14">
        <f ca="1">IF(T7="","",IF(Settings.COB=TODAY(),_xll.BDP(T7,"PX_LAST"),_xll.BDH(T7,"PX_LAST",Settings.COB,Settings.COB)))</f>
        <v>-0.38943</v>
      </c>
      <c r="Z7" s="15">
        <f ca="1">Y7/100</f>
        <v>-3.8942999999999998E-3</v>
      </c>
      <c r="AB7" s="10" t="s">
        <v>25</v>
      </c>
      <c r="AC7" s="11" t="s">
        <v>26</v>
      </c>
      <c r="AD7" s="16">
        <f ca="1">IF(AB7="","",IF(Settings.COB=TODAY(),_xll.BDP(AB7,"LAST_PRICE"),_xll.BDH(AB7,"LAST_PRICE",Settings.COB,Settings.COB)))</f>
        <v>8.1</v>
      </c>
      <c r="AE7" s="15">
        <f t="shared" ref="AE7:AE21" ca="1" si="2">AD7/10000</f>
        <v>8.0999999999999996E-4</v>
      </c>
      <c r="AG7" s="10" t="s">
        <v>27</v>
      </c>
      <c r="AH7" s="11" t="s">
        <v>26</v>
      </c>
      <c r="AI7" s="16">
        <f ca="1">IF(AG7="","",IF(Settings.COB=TODAY(),_xll.BDP(AG7,"LAST_PRICE"),_xll.BDH(AG7,"LAST_PRICE",Settings.COB,Settings.COB)))</f>
        <v>13.8</v>
      </c>
      <c r="AJ7" s="15">
        <f ca="1">AI7/10000</f>
        <v>1.3800000000000002E-3</v>
      </c>
      <c r="AL7" s="10" t="s">
        <v>28</v>
      </c>
      <c r="AM7" s="11" t="s">
        <v>29</v>
      </c>
      <c r="AN7" s="17">
        <f ca="1">IF(AL7="","",IF(Settings.COB=TODAY(),_xll.BDP(AL7,"LAST_PRICE"),_xll.BDH(AL7,"LAST_PRICE",Settings.COB,Settings.COB)))</f>
        <v>1.0863499999999999</v>
      </c>
      <c r="AO7" s="18">
        <f ca="1">AN7</f>
        <v>1.0863499999999999</v>
      </c>
    </row>
    <row r="8" spans="2:41" x14ac:dyDescent="0.25">
      <c r="B8" s="19" t="s">
        <v>3</v>
      </c>
      <c r="C8" s="20">
        <f>COUNTA(O7:O58)</f>
        <v>32</v>
      </c>
      <c r="D8" s="20">
        <f ca="1">COUNT(Q7:Q58)</f>
        <v>32</v>
      </c>
      <c r="E8" s="21">
        <f t="shared" ca="1" si="0"/>
        <v>0</v>
      </c>
      <c r="G8" s="22" t="s">
        <v>30</v>
      </c>
      <c r="H8" s="23" t="s">
        <v>31</v>
      </c>
      <c r="I8" s="24">
        <f ca="1">_xll.meDateECB(Settings.COB,TRUE)</f>
        <v>43951</v>
      </c>
      <c r="J8" s="25">
        <f ca="1">_xll.meDateECBSwapStart(I8)</f>
        <v>43957</v>
      </c>
      <c r="K8" s="25">
        <f ca="1">_xll.meDateECBSwapEnd(I8)</f>
        <v>43991</v>
      </c>
      <c r="L8" s="26">
        <f ca="1">IF(G8="","",IF(Settings.COB=TODAY(),_xll.BDP(G8,"LAST_PRICE"),_xll.BDH(G8,"LAST_PRICE",Settings.COB,Settings.COB)))</f>
        <v>-0.45600000000000002</v>
      </c>
      <c r="M8" s="27">
        <f t="shared" ref="M8:M22" ca="1" si="3">L8/100</f>
        <v>-4.5599999999999998E-3</v>
      </c>
      <c r="O8" s="22" t="s">
        <v>32</v>
      </c>
      <c r="P8" s="23" t="s">
        <v>33</v>
      </c>
      <c r="Q8" s="28">
        <f ca="1">IF(O8="","",IF(Settings.COB=TODAY(),_xll.BDP(O8,"PX_LAST"),_xll.BDH(O8,"PX_LAST",Settings.COB,Settings.COB)))</f>
        <v>-0.24113999999999999</v>
      </c>
      <c r="R8" s="27">
        <f t="shared" ca="1" si="1"/>
        <v>-2.4113999999999997E-3</v>
      </c>
      <c r="T8" s="22" t="s">
        <v>32</v>
      </c>
      <c r="U8" s="23" t="s">
        <v>33</v>
      </c>
      <c r="V8" s="29"/>
      <c r="W8" s="30"/>
      <c r="X8" s="30"/>
      <c r="Y8" s="26">
        <f ca="1">IF(T8="","",IF(Settings.COB=TODAY(),_xll.BDP(T8,"PX_LAST"),_xll.BDH(T8,"PX_LAST",Settings.COB,Settings.COB)))</f>
        <v>-0.24113999999999999</v>
      </c>
      <c r="Z8" s="27">
        <f ca="1">Y8/100</f>
        <v>-2.4113999999999997E-3</v>
      </c>
      <c r="AB8" s="22" t="s">
        <v>34</v>
      </c>
      <c r="AC8" s="23" t="s">
        <v>35</v>
      </c>
      <c r="AD8" s="28">
        <f ca="1">IF(AB8="","",IF(Settings.COB=TODAY(),_xll.BDP(AB8,"LAST_PRICE"),_xll.BDH(AB8,"LAST_PRICE",Settings.COB,Settings.COB)))</f>
        <v>7.65</v>
      </c>
      <c r="AE8" s="27">
        <f t="shared" ca="1" si="2"/>
        <v>7.6500000000000005E-4</v>
      </c>
      <c r="AG8" s="22" t="s">
        <v>36</v>
      </c>
      <c r="AH8" s="23" t="s">
        <v>35</v>
      </c>
      <c r="AI8" s="28">
        <f ca="1">IF(AG8="","",IF(Settings.COB=TODAY(),_xll.BDP(AG8,"LAST_PRICE"),_xll.BDH(AG8,"LAST_PRICE",Settings.COB,Settings.COB)))</f>
        <v>11.1</v>
      </c>
      <c r="AJ8" s="27">
        <f t="shared" ref="AJ8:AJ21" ca="1" si="4">AI8/10000</f>
        <v>1.1099999999999999E-3</v>
      </c>
      <c r="AL8" s="22" t="s">
        <v>37</v>
      </c>
      <c r="AM8" s="23" t="s">
        <v>22</v>
      </c>
      <c r="AN8" s="31">
        <f ca="1">IF(AL8="","",IF(Settings.COB=TODAY(),_xll.BDP(AL8,"LAST_PRICE"),_xll.BDH(AL8,"LAST_PRICE",Settings.COB,Settings.COB)))</f>
        <v>0.19400000000000001</v>
      </c>
      <c r="AO8" s="32">
        <f ca="1">AN8</f>
        <v>0.19400000000000001</v>
      </c>
    </row>
    <row r="9" spans="2:41" x14ac:dyDescent="0.25">
      <c r="B9" s="19" t="s">
        <v>4</v>
      </c>
      <c r="C9" s="20">
        <f>COUNTA(T7:T58)</f>
        <v>28</v>
      </c>
      <c r="D9" s="20">
        <f ca="1">COUNT(Y7:Y58)</f>
        <v>28</v>
      </c>
      <c r="E9" s="21">
        <f t="shared" ca="1" si="0"/>
        <v>0</v>
      </c>
      <c r="G9" s="22" t="s">
        <v>38</v>
      </c>
      <c r="H9" s="23" t="s">
        <v>39</v>
      </c>
      <c r="I9" s="24">
        <f ca="1">_xll.meDateECB(I8,TRUE)</f>
        <v>43986</v>
      </c>
      <c r="J9" s="25">
        <f ca="1">_xll.meDateECBSwapStart(I9)</f>
        <v>43992</v>
      </c>
      <c r="K9" s="25">
        <f ca="1">_xll.meDateECBSwapEnd(I9)</f>
        <v>44033</v>
      </c>
      <c r="L9" s="26">
        <f ca="1">IF(G9="","",IF(Settings.COB=TODAY(),_xll.BDP(G9,"LAST_PRICE"),_xll.BDH(G9,"LAST_PRICE",Settings.COB,Settings.COB)))</f>
        <v>-0.46800000000000003</v>
      </c>
      <c r="M9" s="27">
        <f t="shared" ca="1" si="3"/>
        <v>-4.6800000000000001E-3</v>
      </c>
      <c r="O9" s="22" t="s">
        <v>40</v>
      </c>
      <c r="P9" s="23" t="s">
        <v>41</v>
      </c>
      <c r="Q9" s="28">
        <f ca="1">IF(O9="","",IF(Settings.COB=TODAY(),_xll.BDP(O9,"PX_LAST"),_xll.BDH(O9,"PX_LAST",Settings.COB,Settings.COB)))</f>
        <v>-0.17785999999999999</v>
      </c>
      <c r="R9" s="27">
        <f t="shared" ca="1" si="1"/>
        <v>-1.7786E-3</v>
      </c>
      <c r="T9" s="22" t="s">
        <v>40</v>
      </c>
      <c r="U9" s="23" t="s">
        <v>41</v>
      </c>
      <c r="V9" s="29"/>
      <c r="W9" s="30"/>
      <c r="X9" s="30"/>
      <c r="Y9" s="26">
        <f ca="1">IF(T9="","",IF(Settings.COB=TODAY(),_xll.BDP(T9,"PX_LAST"),_xll.BDH(T9,"PX_LAST",Settings.COB,Settings.COB)))</f>
        <v>-0.17785999999999999</v>
      </c>
      <c r="Z9" s="27">
        <f ca="1">Y9/100</f>
        <v>-1.7786E-3</v>
      </c>
      <c r="AB9" s="22" t="s">
        <v>42</v>
      </c>
      <c r="AC9" s="23" t="s">
        <v>43</v>
      </c>
      <c r="AD9" s="28">
        <f ca="1">IF(AB9="","",IF(Settings.COB=TODAY(),_xll.BDP(AB9,"LAST_PRICE"),_xll.BDH(AB9,"LAST_PRICE",Settings.COB,Settings.COB)))</f>
        <v>7.5</v>
      </c>
      <c r="AE9" s="27">
        <f t="shared" ca="1" si="2"/>
        <v>7.5000000000000002E-4</v>
      </c>
      <c r="AG9" s="22" t="s">
        <v>44</v>
      </c>
      <c r="AH9" s="23" t="s">
        <v>43</v>
      </c>
      <c r="AI9" s="28">
        <f ca="1">IF(AG9="","",IF(Settings.COB=TODAY(),_xll.BDP(AG9,"LAST_PRICE"),_xll.BDH(AG9,"LAST_PRICE",Settings.COB,Settings.COB)))</f>
        <v>9.9</v>
      </c>
      <c r="AJ9" s="27">
        <f t="shared" ca="1" si="4"/>
        <v>9.8999999999999999E-4</v>
      </c>
      <c r="AL9" s="22" t="s">
        <v>45</v>
      </c>
      <c r="AM9" s="23" t="s">
        <v>46</v>
      </c>
      <c r="AN9" s="31">
        <f ca="1">IF(AL9="","",IF(Settings.COB=TODAY(),_xll.BDP(AL9,"LAST_PRICE"),_xll.BDH(AL9,"LAST_PRICE",Settings.COB,Settings.COB)))</f>
        <v>0.6</v>
      </c>
      <c r="AO9" s="32">
        <f t="shared" ref="AO9:AO19" ca="1" si="5">AN9</f>
        <v>0.6</v>
      </c>
    </row>
    <row r="10" spans="2:41" x14ac:dyDescent="0.25">
      <c r="B10" s="19" t="s">
        <v>47</v>
      </c>
      <c r="C10" s="20">
        <f>COUNTA(T11:T18)*2</f>
        <v>16</v>
      </c>
      <c r="D10" s="20">
        <f ca="1">COUNT(W11:X18)</f>
        <v>16</v>
      </c>
      <c r="E10" s="21">
        <f t="shared" ca="1" si="0"/>
        <v>0</v>
      </c>
      <c r="G10" s="22" t="s">
        <v>48</v>
      </c>
      <c r="H10" s="23" t="s">
        <v>49</v>
      </c>
      <c r="I10" s="24">
        <f ca="1">_xll.meDateECB(I9,TRUE)</f>
        <v>44028</v>
      </c>
      <c r="J10" s="25">
        <f ca="1">_xll.meDateECBSwapStart(I10)</f>
        <v>44034</v>
      </c>
      <c r="K10" s="25">
        <f ca="1">_xll.meDateECBSwapEnd(I10)</f>
        <v>44089</v>
      </c>
      <c r="L10" s="26">
        <f ca="1">IF(G10="","",IF(Settings.COB=TODAY(),_xll.BDP(G10,"LAST_PRICE"),_xll.BDH(G10,"LAST_PRICE",Settings.COB,Settings.COB)))</f>
        <v>-0.47599999999999998</v>
      </c>
      <c r="M10" s="27">
        <f t="shared" ca="1" si="3"/>
        <v>-4.7599999999999995E-3</v>
      </c>
      <c r="O10" s="22" t="s">
        <v>50</v>
      </c>
      <c r="P10" s="23" t="s">
        <v>51</v>
      </c>
      <c r="Q10" s="28">
        <f ca="1">IF(O10="","",IF(Settings.COB=TODAY(),_xll.BDP(O10,"PX_LAST"),_xll.BDH(O10,"PX_LAST",Settings.COB,Settings.COB)))</f>
        <v>-0.16442999999999999</v>
      </c>
      <c r="R10" s="27">
        <f t="shared" ca="1" si="1"/>
        <v>-1.6443E-3</v>
      </c>
      <c r="T10" s="22" t="s">
        <v>50</v>
      </c>
      <c r="U10" s="23" t="s">
        <v>51</v>
      </c>
      <c r="V10" s="29"/>
      <c r="W10" s="30"/>
      <c r="X10" s="30"/>
      <c r="Y10" s="26">
        <f ca="1">IF(T10="","",IF(Settings.COB=TODAY(),_xll.BDP(T10,"PX_LAST"),_xll.BDH(T10,"PX_LAST",Settings.COB,Settings.COB)))</f>
        <v>-0.16442999999999999</v>
      </c>
      <c r="Z10" s="27">
        <f ca="1">Y10/100</f>
        <v>-1.6443E-3</v>
      </c>
      <c r="AB10" s="22" t="s">
        <v>52</v>
      </c>
      <c r="AC10" s="23" t="s">
        <v>53</v>
      </c>
      <c r="AD10" s="28">
        <f ca="1">IF(AB10="","",IF(Settings.COB=TODAY(),_xll.BDP(AB10,"LAST_PRICE"),_xll.BDH(AB10,"LAST_PRICE",Settings.COB,Settings.COB)))</f>
        <v>7.45</v>
      </c>
      <c r="AE10" s="27">
        <f t="shared" ca="1" si="2"/>
        <v>7.45E-4</v>
      </c>
      <c r="AG10" s="22" t="s">
        <v>54</v>
      </c>
      <c r="AH10" s="23" t="s">
        <v>53</v>
      </c>
      <c r="AI10" s="28">
        <f ca="1">IF(AG10="","",IF(Settings.COB=TODAY(),_xll.BDP(AG10,"LAST_PRICE"),_xll.BDH(AG10,"LAST_PRICE",Settings.COB,Settings.COB)))</f>
        <v>9.1999999999999993</v>
      </c>
      <c r="AJ10" s="27">
        <f t="shared" ca="1" si="4"/>
        <v>9.1999999999999992E-4</v>
      </c>
      <c r="AL10" s="22" t="s">
        <v>55</v>
      </c>
      <c r="AM10" s="23" t="s">
        <v>56</v>
      </c>
      <c r="AN10" s="31">
        <f ca="1">IF(AL10="","",IF(Settings.COB=TODAY(),_xll.BDP(AL10,"LAST_PRICE"),_xll.BDH(AL10,"LAST_PRICE",Settings.COB,Settings.COB)))</f>
        <v>1.99</v>
      </c>
      <c r="AO10" s="32">
        <f t="shared" ca="1" si="5"/>
        <v>1.99</v>
      </c>
    </row>
    <row r="11" spans="2:41" x14ac:dyDescent="0.25">
      <c r="B11" s="19" t="s">
        <v>5</v>
      </c>
      <c r="C11" s="20">
        <f>COUNTA(AB7:AB58)</f>
        <v>15</v>
      </c>
      <c r="D11" s="20">
        <f ca="1">COUNT(AD7:AD58)</f>
        <v>15</v>
      </c>
      <c r="E11" s="21">
        <f t="shared" ca="1" si="0"/>
        <v>0</v>
      </c>
      <c r="G11" s="22" t="s">
        <v>57</v>
      </c>
      <c r="H11" s="23" t="s">
        <v>58</v>
      </c>
      <c r="I11" s="24">
        <f ca="1">_xll.meDateECB(I10,TRUE)</f>
        <v>44084</v>
      </c>
      <c r="J11" s="25">
        <f ca="1">_xll.meDateECBSwapStart(I11)</f>
        <v>44090</v>
      </c>
      <c r="K11" s="25">
        <f ca="1">_xll.meDateECBSwapEnd(I11)</f>
        <v>44138</v>
      </c>
      <c r="L11" s="26">
        <f ca="1">IF(G11="","",IF(Settings.COB=TODAY(),_xll.BDP(G11,"LAST_PRICE"),_xll.BDH(G11,"LAST_PRICE",Settings.COB,Settings.COB)))</f>
        <v>-0.495</v>
      </c>
      <c r="M11" s="27">
        <f t="shared" ca="1" si="3"/>
        <v>-4.9499999999999995E-3</v>
      </c>
      <c r="O11" s="22" t="s">
        <v>59</v>
      </c>
      <c r="P11" s="23" t="s">
        <v>60</v>
      </c>
      <c r="Q11" s="28">
        <f ca="1">IF(O11="","",IF(Settings.COB=TODAY(),_xll.BDP(O11,"LAST_PRICE"),_xll.BDH(O11,"LAST_PRICE",Settings.COB,Settings.COB)))</f>
        <v>-0.27</v>
      </c>
      <c r="R11" s="27">
        <f t="shared" ca="1" si="1"/>
        <v>-2.7000000000000001E-3</v>
      </c>
      <c r="T11" s="22" t="s">
        <v>61</v>
      </c>
      <c r="U11" s="23" t="s">
        <v>62</v>
      </c>
      <c r="V11" s="33" t="str">
        <f ca="1">IF(Settings.COB=TODAY(),$U11,_xll.BDH(T11,"FUT_CUR_GEN_TICKER",Settings.COB,Settings.COB))</f>
        <v>ER1</v>
      </c>
      <c r="W11" s="34">
        <f ca="1">DATEVALUE(_xll.BDP($V11&amp;" Comdty","INT_RATE_FUT_START_DT"))</f>
        <v>43999</v>
      </c>
      <c r="X11" s="34">
        <f ca="1">DATEVALUE(_xll.BDP($V11&amp;" Comdty","INT_RATE_FUT_END_DT"))</f>
        <v>44090</v>
      </c>
      <c r="Y11" s="35">
        <f ca="1">IF(T11="","",IF(Settings.COB=TODAY(),_xll.BDP(T11,"LAST_PRICE"),_xll.BDH(T11,"LAST_PRICE",Settings.COB,Settings.COB)))</f>
        <v>100.345</v>
      </c>
      <c r="Z11" s="36">
        <f ca="1">Y11</f>
        <v>100.345</v>
      </c>
      <c r="AB11" s="22" t="s">
        <v>63</v>
      </c>
      <c r="AC11" s="23" t="s">
        <v>64</v>
      </c>
      <c r="AD11" s="28">
        <f ca="1">IF(AB11="","",IF(Settings.COB=TODAY(),_xll.BDP(AB11,"LAST_PRICE"),_xll.BDH(AB11,"LAST_PRICE",Settings.COB,Settings.COB)))</f>
        <v>7.4</v>
      </c>
      <c r="AE11" s="27">
        <f t="shared" ca="1" si="2"/>
        <v>7.3999999999999999E-4</v>
      </c>
      <c r="AG11" s="22" t="s">
        <v>65</v>
      </c>
      <c r="AH11" s="23" t="s">
        <v>64</v>
      </c>
      <c r="AI11" s="28">
        <f ca="1">IF(AG11="","",IF(Settings.COB=TODAY(),_xll.BDP(AG11,"LAST_PRICE"),_xll.BDH(AG11,"LAST_PRICE",Settings.COB,Settings.COB)))</f>
        <v>8.8000000000000007</v>
      </c>
      <c r="AJ11" s="27">
        <f t="shared" ca="1" si="4"/>
        <v>8.8000000000000003E-4</v>
      </c>
      <c r="AL11" s="22" t="s">
        <v>66</v>
      </c>
      <c r="AM11" s="23" t="s">
        <v>67</v>
      </c>
      <c r="AN11" s="31">
        <f ca="1">IF(AL11="","",IF(Settings.COB=TODAY(),_xll.BDP(AL11,"LAST_PRICE"),_xll.BDH(AL11,"LAST_PRICE",Settings.COB,Settings.COB)))</f>
        <v>3.86</v>
      </c>
      <c r="AO11" s="32">
        <f t="shared" ca="1" si="5"/>
        <v>3.86</v>
      </c>
    </row>
    <row r="12" spans="2:41" x14ac:dyDescent="0.25">
      <c r="B12" s="19" t="s">
        <v>6</v>
      </c>
      <c r="C12" s="20">
        <f>COUNTA(AG7:AG58)</f>
        <v>15</v>
      </c>
      <c r="D12" s="20">
        <f ca="1">COUNT(AI7:AI58)</f>
        <v>15</v>
      </c>
      <c r="E12" s="21">
        <f t="shared" ca="1" si="0"/>
        <v>0</v>
      </c>
      <c r="G12" s="22" t="s">
        <v>68</v>
      </c>
      <c r="H12" s="23" t="s">
        <v>51</v>
      </c>
      <c r="I12" s="29"/>
      <c r="J12" s="30"/>
      <c r="K12" s="30"/>
      <c r="L12" s="26">
        <f ca="1">IF(G12="","",IF(Settings.COB=TODAY(),_xll.BDP(G12,"LAST_PRICE"),_xll.BDH(G12,"LAST_PRICE",Settings.COB,Settings.COB)))</f>
        <v>-0.48699999999999999</v>
      </c>
      <c r="M12" s="27">
        <f t="shared" ca="1" si="3"/>
        <v>-4.8700000000000002E-3</v>
      </c>
      <c r="O12" s="22" t="s">
        <v>69</v>
      </c>
      <c r="P12" s="23" t="s">
        <v>70</v>
      </c>
      <c r="Q12" s="28">
        <f ca="1">IF(O12="","",IF(Settings.COB=TODAY(),_xll.BDP(O12,"LAST_PRICE"),_xll.BDH(O12,"LAST_PRICE",Settings.COB,Settings.COB)))</f>
        <v>-0.28000000000000003</v>
      </c>
      <c r="R12" s="27">
        <f t="shared" ca="1" si="1"/>
        <v>-2.8000000000000004E-3</v>
      </c>
      <c r="T12" s="22" t="s">
        <v>71</v>
      </c>
      <c r="U12" s="23" t="s">
        <v>72</v>
      </c>
      <c r="V12" s="33" t="str">
        <f ca="1">IF(Settings.COB=TODAY(),$U12,_xll.BDH(T12,"FUT_CUR_GEN_TICKER",Settings.COB,Settings.COB))</f>
        <v>ER2</v>
      </c>
      <c r="W12" s="34">
        <f ca="1">DATEVALUE(_xll.BDP($V12&amp;" Comdty","INT_RATE_FUT_START_DT"))</f>
        <v>44090</v>
      </c>
      <c r="X12" s="34">
        <f ca="1">DATEVALUE(_xll.BDP($V12&amp;" Comdty","INT_RATE_FUT_END_DT"))</f>
        <v>44181</v>
      </c>
      <c r="Y12" s="35">
        <f ca="1">IF(T12="","",IF(Settings.COB=TODAY(),_xll.BDP(T12,"LAST_PRICE"),_xll.BDH(T12,"LAST_PRICE",Settings.COB,Settings.COB)))</f>
        <v>100.375</v>
      </c>
      <c r="Z12" s="36">
        <f t="shared" ref="Z12:Z18" ca="1" si="6">Y12</f>
        <v>100.375</v>
      </c>
      <c r="AB12" s="22" t="s">
        <v>73</v>
      </c>
      <c r="AC12" s="23" t="s">
        <v>74</v>
      </c>
      <c r="AD12" s="28">
        <f ca="1">IF(AB12="","",IF(Settings.COB=TODAY(),_xll.BDP(AB12,"LAST_PRICE"),_xll.BDH(AB12,"LAST_PRICE",Settings.COB,Settings.COB)))</f>
        <v>7.4</v>
      </c>
      <c r="AE12" s="27">
        <f t="shared" ca="1" si="2"/>
        <v>7.3999999999999999E-4</v>
      </c>
      <c r="AG12" s="22" t="s">
        <v>75</v>
      </c>
      <c r="AH12" s="23" t="s">
        <v>74</v>
      </c>
      <c r="AI12" s="28">
        <f ca="1">IF(AG12="","",IF(Settings.COB=TODAY(),_xll.BDP(AG12,"LAST_PRICE"),_xll.BDH(AG12,"LAST_PRICE",Settings.COB,Settings.COB)))</f>
        <v>8.6</v>
      </c>
      <c r="AJ12" s="27">
        <f t="shared" ca="1" si="4"/>
        <v>8.5999999999999998E-4</v>
      </c>
      <c r="AL12" s="22" t="s">
        <v>76</v>
      </c>
      <c r="AM12" s="23" t="s">
        <v>77</v>
      </c>
      <c r="AN12" s="31">
        <f ca="1">IF(AL12="","",IF(Settings.COB=TODAY(),_xll.BDP(AL12,"LAST_PRICE"),_xll.BDH(AL12,"LAST_PRICE",Settings.COB,Settings.COB)))</f>
        <v>6.22</v>
      </c>
      <c r="AO12" s="32">
        <f t="shared" ca="1" si="5"/>
        <v>6.22</v>
      </c>
    </row>
    <row r="13" spans="2:41" x14ac:dyDescent="0.25">
      <c r="B13" s="19" t="s">
        <v>78</v>
      </c>
      <c r="C13" s="20">
        <f>COUNTA(AL7:AL58)</f>
        <v>31</v>
      </c>
      <c r="D13" s="20">
        <f ca="1">COUNT(AN7:AN58)</f>
        <v>31</v>
      </c>
      <c r="E13" s="21">
        <f t="shared" ca="1" si="0"/>
        <v>0</v>
      </c>
      <c r="G13" s="22" t="s">
        <v>79</v>
      </c>
      <c r="H13" s="23" t="s">
        <v>80</v>
      </c>
      <c r="I13" s="29"/>
      <c r="J13" s="30"/>
      <c r="K13" s="30"/>
      <c r="L13" s="26">
        <f ca="1">IF(G13="","",IF(Settings.COB=TODAY(),_xll.BDP(G13,"LAST_PRICE"),_xll.BDH(G13,"LAST_PRICE",Settings.COB,Settings.COB)))</f>
        <v>-0.49399999999999999</v>
      </c>
      <c r="M13" s="27">
        <f t="shared" ca="1" si="3"/>
        <v>-4.9399999999999999E-3</v>
      </c>
      <c r="O13" s="22" t="s">
        <v>81</v>
      </c>
      <c r="P13" s="23" t="s">
        <v>82</v>
      </c>
      <c r="Q13" s="28">
        <f ca="1">IF(O13="","",IF(Settings.COB=TODAY(),_xll.BDP(O13,"LAST_PRICE"),_xll.BDH(O13,"LAST_PRICE",Settings.COB,Settings.COB)))</f>
        <v>-0.28899999999999998</v>
      </c>
      <c r="R13" s="27">
        <f t="shared" ca="1" si="1"/>
        <v>-2.8899999999999998E-3</v>
      </c>
      <c r="T13" s="22" t="s">
        <v>83</v>
      </c>
      <c r="U13" s="23" t="s">
        <v>84</v>
      </c>
      <c r="V13" s="33" t="str">
        <f ca="1">IF(Settings.COB=TODAY(),$U13,_xll.BDH(T13,"FUT_CUR_GEN_TICKER",Settings.COB,Settings.COB))</f>
        <v>ER3</v>
      </c>
      <c r="W13" s="34">
        <f ca="1">DATEVALUE(_xll.BDP($V13&amp;" Comdty","INT_RATE_FUT_START_DT"))</f>
        <v>44181</v>
      </c>
      <c r="X13" s="34">
        <f ca="1">DATEVALUE(_xll.BDP($V13&amp;" Comdty","INT_RATE_FUT_END_DT"))</f>
        <v>44272</v>
      </c>
      <c r="Y13" s="35">
        <f ca="1">IF(T13="","",IF(Settings.COB=TODAY(),_xll.BDP(T13,"LAST_PRICE"),_xll.BDH(T13,"LAST_PRICE",Settings.COB,Settings.COB)))</f>
        <v>100.395</v>
      </c>
      <c r="Z13" s="36">
        <f t="shared" ca="1" si="6"/>
        <v>100.395</v>
      </c>
      <c r="AB13" s="22" t="s">
        <v>85</v>
      </c>
      <c r="AC13" s="23" t="s">
        <v>86</v>
      </c>
      <c r="AD13" s="28">
        <f ca="1">IF(AB13="","",IF(Settings.COB=TODAY(),_xll.BDP(AB13,"LAST_PRICE"),_xll.BDH(AB13,"LAST_PRICE",Settings.COB,Settings.COB)))</f>
        <v>7.3</v>
      </c>
      <c r="AE13" s="27">
        <f t="shared" ca="1" si="2"/>
        <v>7.2999999999999996E-4</v>
      </c>
      <c r="AG13" s="22" t="s">
        <v>87</v>
      </c>
      <c r="AH13" s="23" t="s">
        <v>86</v>
      </c>
      <c r="AI13" s="28">
        <f ca="1">IF(AG13="","",IF(Settings.COB=TODAY(),_xll.BDP(AG13,"LAST_PRICE"),_xll.BDH(AG13,"LAST_PRICE",Settings.COB,Settings.COB)))</f>
        <v>8.4</v>
      </c>
      <c r="AJ13" s="27">
        <f t="shared" ca="1" si="4"/>
        <v>8.4000000000000003E-4</v>
      </c>
      <c r="AL13" s="22" t="s">
        <v>88</v>
      </c>
      <c r="AM13" s="23" t="s">
        <v>24</v>
      </c>
      <c r="AN13" s="31">
        <f ca="1">IF(AL13="","",IF(Settings.COB=TODAY(),_xll.BDP(AL13,"LAST_PRICE"),_xll.BDH(AL13,"LAST_PRICE",Settings.COB,Settings.COB)))</f>
        <v>9.84</v>
      </c>
      <c r="AO13" s="32">
        <f t="shared" ca="1" si="5"/>
        <v>9.84</v>
      </c>
    </row>
    <row r="14" spans="2:41" x14ac:dyDescent="0.25">
      <c r="B14" s="19"/>
      <c r="C14" s="20"/>
      <c r="D14" s="20"/>
      <c r="E14" s="20"/>
      <c r="G14" s="22" t="s">
        <v>68</v>
      </c>
      <c r="H14" s="23" t="s">
        <v>26</v>
      </c>
      <c r="I14" s="29"/>
      <c r="J14" s="30"/>
      <c r="K14" s="30"/>
      <c r="L14" s="26">
        <f ca="1">IF(G14="","",IF(Settings.COB=TODAY(),_xll.BDP(G14,"LAST_PRICE"),_xll.BDH(G14,"LAST_PRICE",Settings.COB,Settings.COB)))</f>
        <v>-0.48699999999999999</v>
      </c>
      <c r="M14" s="27">
        <f t="shared" ca="1" si="3"/>
        <v>-4.8700000000000002E-3</v>
      </c>
      <c r="O14" s="22" t="s">
        <v>89</v>
      </c>
      <c r="P14" s="23" t="s">
        <v>90</v>
      </c>
      <c r="Q14" s="28">
        <f ca="1">IF(O14="","",IF(Settings.COB=TODAY(),_xll.BDP(O14,"LAST_PRICE"),_xll.BDH(O14,"LAST_PRICE",Settings.COB,Settings.COB)))</f>
        <v>-0.3</v>
      </c>
      <c r="R14" s="27">
        <f t="shared" ca="1" si="1"/>
        <v>-3.0000000000000001E-3</v>
      </c>
      <c r="T14" s="22" t="s">
        <v>91</v>
      </c>
      <c r="U14" s="23" t="s">
        <v>92</v>
      </c>
      <c r="V14" s="33" t="str">
        <f ca="1">IF(Settings.COB=TODAY(),$U14,_xll.BDH(T14,"FUT_CUR_GEN_TICKER",Settings.COB,Settings.COB))</f>
        <v>ER4</v>
      </c>
      <c r="W14" s="34">
        <f ca="1">DATEVALUE(_xll.BDP($V14&amp;" Comdty","INT_RATE_FUT_START_DT"))</f>
        <v>44272</v>
      </c>
      <c r="X14" s="34">
        <f ca="1">DATEVALUE(_xll.BDP($V14&amp;" Comdty","INT_RATE_FUT_END_DT"))</f>
        <v>44363</v>
      </c>
      <c r="Y14" s="35">
        <f ca="1">IF(T14="","",IF(Settings.COB=TODAY(),_xll.BDP(T14,"LAST_PRICE"),_xll.BDH(T14,"LAST_PRICE",Settings.COB,Settings.COB)))</f>
        <v>100.4</v>
      </c>
      <c r="Z14" s="36">
        <f t="shared" ca="1" si="6"/>
        <v>100.4</v>
      </c>
      <c r="AB14" s="22" t="s">
        <v>93</v>
      </c>
      <c r="AC14" s="23" t="s">
        <v>94</v>
      </c>
      <c r="AD14" s="28">
        <f ca="1">IF(AB14="","",IF(Settings.COB=TODAY(),_xll.BDP(AB14,"LAST_PRICE"),_xll.BDH(AB14,"LAST_PRICE",Settings.COB,Settings.COB)))</f>
        <v>7.25</v>
      </c>
      <c r="AE14" s="27">
        <f t="shared" ca="1" si="2"/>
        <v>7.2499999999999995E-4</v>
      </c>
      <c r="AG14" s="22" t="s">
        <v>95</v>
      </c>
      <c r="AH14" s="23" t="s">
        <v>94</v>
      </c>
      <c r="AI14" s="28">
        <f ca="1">IF(AG14="","",IF(Settings.COB=TODAY(),_xll.BDP(AG14,"LAST_PRICE"),_xll.BDH(AG14,"LAST_PRICE",Settings.COB,Settings.COB)))</f>
        <v>8.3000000000000007</v>
      </c>
      <c r="AJ14" s="27">
        <f t="shared" ca="1" si="4"/>
        <v>8.3000000000000012E-4</v>
      </c>
      <c r="AL14" s="22" t="s">
        <v>96</v>
      </c>
      <c r="AM14" s="23" t="s">
        <v>97</v>
      </c>
      <c r="AN14" s="31">
        <f ca="1">IF(AL14="","",IF(Settings.COB=TODAY(),_xll.BDP(AL14,"LAST_PRICE"),_xll.BDH(AL14,"LAST_PRICE",Settings.COB,Settings.COB)))</f>
        <v>20.57</v>
      </c>
      <c r="AO14" s="32">
        <f t="shared" ca="1" si="5"/>
        <v>20.57</v>
      </c>
    </row>
    <row r="15" spans="2:41" x14ac:dyDescent="0.25">
      <c r="B15" s="19"/>
      <c r="C15" s="20"/>
      <c r="D15" s="20"/>
      <c r="E15" s="20"/>
      <c r="G15" s="22" t="s">
        <v>98</v>
      </c>
      <c r="H15" s="23" t="s">
        <v>35</v>
      </c>
      <c r="I15" s="29"/>
      <c r="J15" s="30"/>
      <c r="K15" s="30"/>
      <c r="L15" s="26">
        <f ca="1">IF(G15="","",IF(Settings.COB=TODAY(),_xll.BDP(G15,"LAST_PRICE"),_xll.BDH(G15,"LAST_PRICE",Settings.COB,Settings.COB)))</f>
        <v>-0.49199999999999999</v>
      </c>
      <c r="M15" s="27">
        <f t="shared" ca="1" si="3"/>
        <v>-4.9199999999999999E-3</v>
      </c>
      <c r="O15" s="22" t="s">
        <v>99</v>
      </c>
      <c r="P15" s="23" t="s">
        <v>100</v>
      </c>
      <c r="Q15" s="28">
        <f ca="1">IF(O15="","",IF(Settings.COB=TODAY(),_xll.BDP(O15,"LAST_PRICE"),_xll.BDH(O15,"LAST_PRICE",Settings.COB,Settings.COB)))</f>
        <v>-0.31</v>
      </c>
      <c r="R15" s="27">
        <f t="shared" ca="1" si="1"/>
        <v>-3.0999999999999999E-3</v>
      </c>
      <c r="T15" s="22" t="s">
        <v>101</v>
      </c>
      <c r="U15" s="23" t="s">
        <v>102</v>
      </c>
      <c r="V15" s="33" t="str">
        <f ca="1">IF(Settings.COB=TODAY(),$U15,_xll.BDH(T15,"FUT_CUR_GEN_TICKER",Settings.COB,Settings.COB))</f>
        <v>ER5</v>
      </c>
      <c r="W15" s="34">
        <f ca="1">DATEVALUE(_xll.BDP($V15&amp;" Comdty","INT_RATE_FUT_START_DT"))</f>
        <v>44363</v>
      </c>
      <c r="X15" s="34">
        <f ca="1">DATEVALUE(_xll.BDP($V15&amp;" Comdty","INT_RATE_FUT_END_DT"))</f>
        <v>44454</v>
      </c>
      <c r="Y15" s="35">
        <f ca="1">IF(T15="","",IF(Settings.COB=TODAY(),_xll.BDP(T15,"LAST_PRICE"),_xll.BDH(T15,"LAST_PRICE",Settings.COB,Settings.COB)))</f>
        <v>100.39</v>
      </c>
      <c r="Z15" s="36">
        <f t="shared" ca="1" si="6"/>
        <v>100.39</v>
      </c>
      <c r="AB15" s="22" t="s">
        <v>103</v>
      </c>
      <c r="AC15" s="23" t="s">
        <v>104</v>
      </c>
      <c r="AD15" s="28">
        <f ca="1">IF(AB15="","",IF(Settings.COB=TODAY(),_xll.BDP(AB15,"LAST_PRICE"),_xll.BDH(AB15,"LAST_PRICE",Settings.COB,Settings.COB)))</f>
        <v>7.15</v>
      </c>
      <c r="AE15" s="27">
        <f t="shared" ca="1" si="2"/>
        <v>7.1500000000000003E-4</v>
      </c>
      <c r="AG15" s="22" t="s">
        <v>105</v>
      </c>
      <c r="AH15" s="23" t="s">
        <v>104</v>
      </c>
      <c r="AI15" s="28">
        <f ca="1">IF(AG15="","",IF(Settings.COB=TODAY(),_xll.BDP(AG15,"LAST_PRICE"),_xll.BDH(AG15,"LAST_PRICE",Settings.COB,Settings.COB)))</f>
        <v>8.1999999999999993</v>
      </c>
      <c r="AJ15" s="27">
        <f t="shared" ca="1" si="4"/>
        <v>8.1999999999999998E-4</v>
      </c>
      <c r="AL15" s="22" t="s">
        <v>106</v>
      </c>
      <c r="AM15" s="23" t="s">
        <v>33</v>
      </c>
      <c r="AN15" s="31">
        <f ca="1">IF(AL15="","",IF(Settings.COB=TODAY(),_xll.BDP(AL15,"LAST_PRICE"),_xll.BDH(AL15,"LAST_PRICE",Settings.COB,Settings.COB)))</f>
        <v>29.46</v>
      </c>
      <c r="AO15" s="32">
        <f t="shared" ca="1" si="5"/>
        <v>29.46</v>
      </c>
    </row>
    <row r="16" spans="2:41" x14ac:dyDescent="0.25">
      <c r="B16" s="19"/>
      <c r="C16" s="20"/>
      <c r="D16" s="20"/>
      <c r="E16" s="20"/>
      <c r="G16" s="22" t="s">
        <v>107</v>
      </c>
      <c r="H16" s="23" t="s">
        <v>43</v>
      </c>
      <c r="I16" s="29"/>
      <c r="J16" s="30"/>
      <c r="K16" s="30"/>
      <c r="L16" s="26">
        <f ca="1">IF(G16="","",IF(Settings.COB=TODAY(),_xll.BDP(G16,"LAST_PRICE"),_xll.BDH(G16,"LAST_PRICE",Settings.COB,Settings.COB)))</f>
        <v>-0.48299999999999998</v>
      </c>
      <c r="M16" s="27">
        <f t="shared" ca="1" si="3"/>
        <v>-4.8300000000000001E-3</v>
      </c>
      <c r="O16" s="22" t="s">
        <v>108</v>
      </c>
      <c r="P16" s="23" t="s">
        <v>109</v>
      </c>
      <c r="Q16" s="28">
        <f ca="1">IF(O16="","",IF(Settings.COB=TODAY(),_xll.BDP(O16,"LAST_PRICE"),_xll.BDH(O16,"LAST_PRICE",Settings.COB,Settings.COB)))</f>
        <v>-0.316</v>
      </c>
      <c r="R16" s="27">
        <f t="shared" ca="1" si="1"/>
        <v>-3.16E-3</v>
      </c>
      <c r="T16" s="22" t="s">
        <v>110</v>
      </c>
      <c r="U16" s="23" t="s">
        <v>111</v>
      </c>
      <c r="V16" s="33" t="str">
        <f ca="1">IF(Settings.COB=TODAY(),$U16,_xll.BDH(T16,"FUT_CUR_GEN_TICKER",Settings.COB,Settings.COB))</f>
        <v>ER6</v>
      </c>
      <c r="W16" s="34">
        <f ca="1">DATEVALUE(_xll.BDP($V16&amp;" Comdty","INT_RATE_FUT_START_DT"))</f>
        <v>44454</v>
      </c>
      <c r="X16" s="34">
        <f ca="1">DATEVALUE(_xll.BDP($V16&amp;" Comdty","INT_RATE_FUT_END_DT"))</f>
        <v>44545</v>
      </c>
      <c r="Y16" s="35">
        <f ca="1">IF(T16="","",IF(Settings.COB=TODAY(),_xll.BDP(T16,"LAST_PRICE"),_xll.BDH(T16,"LAST_PRICE",Settings.COB,Settings.COB)))</f>
        <v>100.38</v>
      </c>
      <c r="Z16" s="36">
        <f t="shared" ca="1" si="6"/>
        <v>100.38</v>
      </c>
      <c r="AB16" s="22" t="s">
        <v>112</v>
      </c>
      <c r="AC16" s="23" t="s">
        <v>113</v>
      </c>
      <c r="AD16" s="28">
        <f ca="1">IF(AB16="","",IF(Settings.COB=TODAY(),_xll.BDP(AB16,"LAST_PRICE"),_xll.BDH(AB16,"LAST_PRICE",Settings.COB,Settings.COB)))</f>
        <v>7.05</v>
      </c>
      <c r="AE16" s="27">
        <f t="shared" ca="1" si="2"/>
        <v>7.0500000000000001E-4</v>
      </c>
      <c r="AG16" s="22" t="s">
        <v>114</v>
      </c>
      <c r="AH16" s="23" t="s">
        <v>113</v>
      </c>
      <c r="AI16" s="28">
        <f ca="1">IF(AG16="","",IF(Settings.COB=TODAY(),_xll.BDP(AG16,"LAST_PRICE"),_xll.BDH(AG16,"LAST_PRICE",Settings.COB,Settings.COB)))</f>
        <v>8</v>
      </c>
      <c r="AJ16" s="27">
        <f t="shared" ca="1" si="4"/>
        <v>8.0000000000000004E-4</v>
      </c>
      <c r="AL16" s="22" t="s">
        <v>115</v>
      </c>
      <c r="AM16" s="23" t="s">
        <v>116</v>
      </c>
      <c r="AN16" s="31">
        <f ca="1">IF(AL16="","",IF(Settings.COB=TODAY(),_xll.BDP(AL16,"LAST_PRICE"),_xll.BDH(AL16,"LAST_PRICE",Settings.COB,Settings.COB)))</f>
        <v>38.4</v>
      </c>
      <c r="AO16" s="32">
        <f t="shared" ca="1" si="5"/>
        <v>38.4</v>
      </c>
    </row>
    <row r="17" spans="2:41" x14ac:dyDescent="0.25">
      <c r="B17" s="37"/>
      <c r="C17" s="38"/>
      <c r="D17" s="38"/>
      <c r="E17" s="38"/>
      <c r="G17" s="22" t="s">
        <v>117</v>
      </c>
      <c r="H17" s="23" t="s">
        <v>53</v>
      </c>
      <c r="I17" s="29"/>
      <c r="J17" s="30"/>
      <c r="K17" s="30"/>
      <c r="L17" s="26">
        <f ca="1">IF(G17="","",IF(Settings.COB=TODAY(),_xll.BDP(G17,"LAST_PRICE"),_xll.BDH(G17,"LAST_PRICE",Settings.COB,Settings.COB)))</f>
        <v>-0.45500000000000002</v>
      </c>
      <c r="M17" s="27">
        <f t="shared" ca="1" si="3"/>
        <v>-4.5500000000000002E-3</v>
      </c>
      <c r="O17" s="22" t="s">
        <v>118</v>
      </c>
      <c r="P17" s="23" t="s">
        <v>119</v>
      </c>
      <c r="Q17" s="28">
        <f ca="1">IF(O17="","",IF(Settings.COB=TODAY(),_xll.BDP(O17,"LAST_PRICE"),_xll.BDH(O17,"LAST_PRICE",Settings.COB,Settings.COB)))</f>
        <v>-0.32</v>
      </c>
      <c r="R17" s="27">
        <f ca="1">Q17/100</f>
        <v>-3.2000000000000002E-3</v>
      </c>
      <c r="T17" s="22" t="s">
        <v>120</v>
      </c>
      <c r="U17" s="23" t="s">
        <v>121</v>
      </c>
      <c r="V17" s="33" t="str">
        <f ca="1">IF(Settings.COB=TODAY(),$U17,_xll.BDH(T17,"FUT_CUR_GEN_TICKER",Settings.COB,Settings.COB))</f>
        <v>ER7</v>
      </c>
      <c r="W17" s="34">
        <f ca="1">DATEVALUE(_xll.BDP($V17&amp;" Comdty","INT_RATE_FUT_START_DT"))</f>
        <v>44545</v>
      </c>
      <c r="X17" s="34">
        <f ca="1">DATEVALUE(_xll.BDP($V17&amp;" Comdty","INT_RATE_FUT_END_DT"))</f>
        <v>44636</v>
      </c>
      <c r="Y17" s="35">
        <f ca="1">IF(T17="","",IF(Settings.COB=TODAY(),_xll.BDP(T17,"LAST_PRICE"),_xll.BDH(T17,"LAST_PRICE",Settings.COB,Settings.COB)))</f>
        <v>100.37</v>
      </c>
      <c r="Z17" s="36">
        <f t="shared" ca="1" si="6"/>
        <v>100.37</v>
      </c>
      <c r="AB17" s="22" t="s">
        <v>122</v>
      </c>
      <c r="AC17" s="23" t="s">
        <v>123</v>
      </c>
      <c r="AD17" s="28">
        <f ca="1">IF(AB17="","",IF(Settings.COB=TODAY(),_xll.BDP(AB17,"LAST_PRICE"),_xll.BDH(AB17,"LAST_PRICE",Settings.COB,Settings.COB)))</f>
        <v>8.15</v>
      </c>
      <c r="AE17" s="27">
        <f t="shared" ca="1" si="2"/>
        <v>8.1500000000000008E-4</v>
      </c>
      <c r="AG17" s="22" t="s">
        <v>124</v>
      </c>
      <c r="AH17" s="23" t="s">
        <v>123</v>
      </c>
      <c r="AI17" s="28">
        <f ca="1">IF(AG17="","",IF(Settings.COB=TODAY(),_xll.BDP(AG17,"LAST_PRICE"),_xll.BDH(AG17,"LAST_PRICE",Settings.COB,Settings.COB)))</f>
        <v>7.8</v>
      </c>
      <c r="AJ17" s="27">
        <f t="shared" ca="1" si="4"/>
        <v>7.7999999999999999E-4</v>
      </c>
      <c r="AL17" s="22" t="s">
        <v>125</v>
      </c>
      <c r="AM17" s="23" t="s">
        <v>126</v>
      </c>
      <c r="AN17" s="31">
        <f ca="1">IF(AL17="","",IF(Settings.COB=TODAY(),_xll.BDP(AL17,"LAST_PRICE"),_xll.BDH(AL17,"LAST_PRICE",Settings.COB,Settings.COB)))</f>
        <v>47.59</v>
      </c>
      <c r="AO17" s="32">
        <f t="shared" ca="1" si="5"/>
        <v>47.59</v>
      </c>
    </row>
    <row r="18" spans="2:41" x14ac:dyDescent="0.25">
      <c r="G18" s="22" t="s">
        <v>127</v>
      </c>
      <c r="H18" s="23" t="s">
        <v>64</v>
      </c>
      <c r="I18" s="29"/>
      <c r="J18" s="30"/>
      <c r="K18" s="30"/>
      <c r="L18" s="26">
        <f ca="1">IF(G18="","",IF(Settings.COB=TODAY(),_xll.BDP(G18,"LAST_PRICE"),_xll.BDH(G18,"LAST_PRICE",Settings.COB,Settings.COB)))</f>
        <v>-0.41599999999999998</v>
      </c>
      <c r="M18" s="27">
        <f t="shared" ca="1" si="3"/>
        <v>-4.1599999999999996E-3</v>
      </c>
      <c r="O18" s="22" t="s">
        <v>128</v>
      </c>
      <c r="P18" s="23" t="s">
        <v>129</v>
      </c>
      <c r="Q18" s="28">
        <f ca="1">IF(O18="","",IF(Settings.COB=TODAY(),_xll.BDP(O18,"LAST_PRICE"),_xll.BDH(O18,"LAST_PRICE",Settings.COB,Settings.COB)))</f>
        <v>-0.32300000000000001</v>
      </c>
      <c r="R18" s="27">
        <f ca="1">Q18/100</f>
        <v>-3.2300000000000002E-3</v>
      </c>
      <c r="T18" s="22" t="s">
        <v>130</v>
      </c>
      <c r="U18" s="23" t="s">
        <v>131</v>
      </c>
      <c r="V18" s="33" t="str">
        <f ca="1">IF(Settings.COB=TODAY(),$U18,_xll.BDH(T18,"FUT_CUR_GEN_TICKER",Settings.COB,Settings.COB))</f>
        <v>ER8</v>
      </c>
      <c r="W18" s="34">
        <f ca="1">DATEVALUE(_xll.BDP($V18&amp;" Comdty","INT_RATE_FUT_START_DT"))</f>
        <v>44636</v>
      </c>
      <c r="X18" s="34">
        <f ca="1">DATEVALUE(_xll.BDP($V18&amp;" Comdty","INT_RATE_FUT_END_DT"))</f>
        <v>44727</v>
      </c>
      <c r="Y18" s="35">
        <f ca="1">IF(T18="","",IF(Settings.COB=TODAY(),_xll.BDP(T18,"LAST_PRICE"),_xll.BDH(T18,"LAST_PRICE",Settings.COB,Settings.COB)))</f>
        <v>100.36499999999999</v>
      </c>
      <c r="Z18" s="36">
        <f t="shared" ca="1" si="6"/>
        <v>100.36499999999999</v>
      </c>
      <c r="AB18" s="22" t="s">
        <v>132</v>
      </c>
      <c r="AC18" s="23" t="s">
        <v>133</v>
      </c>
      <c r="AD18" s="28">
        <f ca="1">IF(AB18="","",IF(Settings.COB=TODAY(),_xll.BDP(AB18,"LAST_PRICE"),_xll.BDH(AB18,"LAST_PRICE",Settings.COB,Settings.COB)))</f>
        <v>6.65</v>
      </c>
      <c r="AE18" s="27">
        <f t="shared" ca="1" si="2"/>
        <v>6.6500000000000001E-4</v>
      </c>
      <c r="AG18" s="22" t="s">
        <v>134</v>
      </c>
      <c r="AH18" s="23" t="s">
        <v>133</v>
      </c>
      <c r="AI18" s="28">
        <f ca="1">IF(AG18="","",IF(Settings.COB=TODAY(),_xll.BDP(AG18,"LAST_PRICE"),_xll.BDH(AG18,"LAST_PRICE",Settings.COB,Settings.COB)))</f>
        <v>7.3</v>
      </c>
      <c r="AJ18" s="27">
        <f t="shared" ca="1" si="4"/>
        <v>7.2999999999999996E-4</v>
      </c>
      <c r="AL18" s="22" t="s">
        <v>135</v>
      </c>
      <c r="AM18" s="23" t="s">
        <v>41</v>
      </c>
      <c r="AN18" s="31">
        <f ca="1">IF(AL18="","",IF(Settings.COB=TODAY(),_xll.BDP(AL18,"LAST_PRICE"),_xll.BDH(AL18,"LAST_PRICE",Settings.COB,Settings.COB)))</f>
        <v>55.75</v>
      </c>
      <c r="AO18" s="32">
        <f t="shared" ca="1" si="5"/>
        <v>55.75</v>
      </c>
    </row>
    <row r="19" spans="2:41" x14ac:dyDescent="0.25">
      <c r="G19" s="22" t="s">
        <v>136</v>
      </c>
      <c r="H19" s="23" t="s">
        <v>74</v>
      </c>
      <c r="I19" s="29"/>
      <c r="J19" s="30"/>
      <c r="K19" s="30"/>
      <c r="L19" s="26">
        <f ca="1">IF(G19="","",IF(Settings.COB=TODAY(),_xll.BDP(G19,"LAST_PRICE"),_xll.BDH(G19,"LAST_PRICE",Settings.COB,Settings.COB)))</f>
        <v>-0.38100000000000001</v>
      </c>
      <c r="M19" s="27">
        <f t="shared" ca="1" si="3"/>
        <v>-3.81E-3</v>
      </c>
      <c r="O19" s="22" t="s">
        <v>137</v>
      </c>
      <c r="P19" s="23" t="s">
        <v>138</v>
      </c>
      <c r="Q19" s="28">
        <f ca="1">IF(O19="","",IF(Settings.COB=TODAY(),_xll.BDP(O19,"LAST_PRICE"),_xll.BDH(O19,"LAST_PRICE",Settings.COB,Settings.COB)))</f>
        <v>-0.32400000000000001</v>
      </c>
      <c r="R19" s="27">
        <f t="shared" ref="R19:R38" ca="1" si="7">Q19/100</f>
        <v>-3.2400000000000003E-3</v>
      </c>
      <c r="T19" s="22" t="s">
        <v>139</v>
      </c>
      <c r="U19" s="23" t="s">
        <v>43</v>
      </c>
      <c r="V19" s="33"/>
      <c r="W19" s="34"/>
      <c r="X19" s="34"/>
      <c r="Y19" s="26">
        <f ca="1">IF(T19="","",IF(Settings.COB=TODAY(),_xll.BDP(T19,"LAST_PRICE"),_xll.BDH(T19,"LAST_PRICE",Settings.COB,Settings.COB)))</f>
        <v>-0.36699999999999999</v>
      </c>
      <c r="Z19" s="27">
        <f ca="1">Y19/100</f>
        <v>-3.6700000000000001E-3</v>
      </c>
      <c r="AB19" s="22" t="s">
        <v>140</v>
      </c>
      <c r="AC19" s="23" t="s">
        <v>141</v>
      </c>
      <c r="AD19" s="28">
        <f ca="1">IF(AB19="","",IF(Settings.COB=TODAY(),_xll.BDP(AB19,"LAST_PRICE"),_xll.BDH(AB19,"LAST_PRICE",Settings.COB,Settings.COB)))</f>
        <v>6.1</v>
      </c>
      <c r="AE19" s="27">
        <f t="shared" ca="1" si="2"/>
        <v>6.0999999999999997E-4</v>
      </c>
      <c r="AG19" s="22" t="s">
        <v>142</v>
      </c>
      <c r="AH19" s="23" t="s">
        <v>141</v>
      </c>
      <c r="AI19" s="28">
        <f ca="1">IF(AG19="","",IF(Settings.COB=TODAY(),_xll.BDP(AG19,"LAST_PRICE"),_xll.BDH(AG19,"LAST_PRICE",Settings.COB,Settings.COB)))</f>
        <v>6.8</v>
      </c>
      <c r="AJ19" s="27">
        <f t="shared" ca="1" si="4"/>
        <v>6.7999999999999994E-4</v>
      </c>
      <c r="AL19" s="22" t="s">
        <v>143</v>
      </c>
      <c r="AM19" s="23" t="s">
        <v>144</v>
      </c>
      <c r="AN19" s="31">
        <f ca="1">IF(AL19="","",IF(Settings.COB=TODAY(),_xll.BDP(AL19,"LAST_PRICE"),_xll.BDH(AL19,"LAST_PRICE",Settings.COB,Settings.COB)))</f>
        <v>86.04</v>
      </c>
      <c r="AO19" s="32">
        <f t="shared" ca="1" si="5"/>
        <v>86.04</v>
      </c>
    </row>
    <row r="20" spans="2:41" x14ac:dyDescent="0.25">
      <c r="G20" s="22" t="s">
        <v>145</v>
      </c>
      <c r="H20" s="23" t="s">
        <v>86</v>
      </c>
      <c r="I20" s="29"/>
      <c r="J20" s="30"/>
      <c r="K20" s="30"/>
      <c r="L20" s="26">
        <f ca="1">IF(G20="","",IF(Settings.COB=TODAY(),_xll.BDP(G20,"LAST_PRICE"),_xll.BDH(G20,"LAST_PRICE",Settings.COB,Settings.COB)))</f>
        <v>-0.34100000000000003</v>
      </c>
      <c r="M20" s="27">
        <f t="shared" ca="1" si="3"/>
        <v>-3.4100000000000003E-3</v>
      </c>
      <c r="O20" s="22" t="s">
        <v>146</v>
      </c>
      <c r="P20" s="23" t="s">
        <v>147</v>
      </c>
      <c r="Q20" s="28">
        <f ca="1">IF(O20="","",IF(Settings.COB=TODAY(),_xll.BDP(O20,"LAST_PRICE"),_xll.BDH(O20,"LAST_PRICE",Settings.COB,Settings.COB)))</f>
        <v>-0.32300000000000001</v>
      </c>
      <c r="R20" s="27">
        <f t="shared" ca="1" si="7"/>
        <v>-3.2300000000000002E-3</v>
      </c>
      <c r="T20" s="22" t="s">
        <v>148</v>
      </c>
      <c r="U20" s="23" t="s">
        <v>53</v>
      </c>
      <c r="V20" s="33"/>
      <c r="W20" s="34"/>
      <c r="X20" s="34"/>
      <c r="Y20" s="26">
        <f ca="1">IF(T20="","",IF(Settings.COB=TODAY(),_xll.BDP(T20,"LAST_PRICE"),_xll.BDH(T20,"LAST_PRICE",Settings.COB,Settings.COB)))</f>
        <v>-0.33700000000000002</v>
      </c>
      <c r="Z20" s="27">
        <f t="shared" ref="Z20:Z34" ca="1" si="8">Y20/100</f>
        <v>-3.3700000000000002E-3</v>
      </c>
      <c r="AB20" s="22" t="s">
        <v>149</v>
      </c>
      <c r="AC20" s="23" t="s">
        <v>150</v>
      </c>
      <c r="AD20" s="28">
        <f ca="1">IF(AB20="","",IF(Settings.COB=TODAY(),_xll.BDP(AB20,"LAST_PRICE"),_xll.BDH(AB20,"LAST_PRICE",Settings.COB,Settings.COB)))</f>
        <v>5.75</v>
      </c>
      <c r="AE20" s="27">
        <f t="shared" ca="1" si="2"/>
        <v>5.7499999999999999E-4</v>
      </c>
      <c r="AG20" s="22" t="s">
        <v>151</v>
      </c>
      <c r="AH20" s="23" t="s">
        <v>150</v>
      </c>
      <c r="AI20" s="28">
        <f ca="1">IF(AG20="","",IF(Settings.COB=TODAY(),_xll.BDP(AG20,"LAST_PRICE"),_xll.BDH(AG20,"LAST_PRICE",Settings.COB,Settings.COB)))</f>
        <v>6.5</v>
      </c>
      <c r="AJ20" s="27">
        <f t="shared" ca="1" si="4"/>
        <v>6.4999999999999997E-4</v>
      </c>
      <c r="AL20" s="22" t="s">
        <v>152</v>
      </c>
      <c r="AM20" s="23" t="s">
        <v>33</v>
      </c>
      <c r="AN20" s="31">
        <f ca="1">IF(AL20="","",IF(Settings.COB=TODAY(),_xll.BDP(AL20,"LAST_PRICE"),_xll.BDH(AL20,"LAST_PRICE",Settings.COB,Settings.COB)))</f>
        <v>63.625</v>
      </c>
      <c r="AO20" s="27">
        <f ca="1">AN20/10000</f>
        <v>6.3625000000000001E-3</v>
      </c>
    </row>
    <row r="21" spans="2:41" x14ac:dyDescent="0.25">
      <c r="G21" s="22" t="s">
        <v>153</v>
      </c>
      <c r="H21" s="23" t="s">
        <v>94</v>
      </c>
      <c r="I21" s="29"/>
      <c r="J21" s="30"/>
      <c r="K21" s="30"/>
      <c r="L21" s="26">
        <f ca="1">IF(G21="","",IF(Settings.COB=TODAY(),_xll.BDP(G21,"LAST_PRICE"),_xll.BDH(G21,"LAST_PRICE",Settings.COB,Settings.COB)))</f>
        <v>-0.29799999999999999</v>
      </c>
      <c r="M21" s="27">
        <f t="shared" ca="1" si="3"/>
        <v>-2.98E-3</v>
      </c>
      <c r="O21" s="22" t="s">
        <v>154</v>
      </c>
      <c r="P21" s="23" t="s">
        <v>155</v>
      </c>
      <c r="Q21" s="28">
        <f ca="1">IF(O21="","",IF(Settings.COB=TODAY(),_xll.BDP(O21,"LAST_PRICE"),_xll.BDH(O21,"LAST_PRICE",Settings.COB,Settings.COB)))</f>
        <v>-0.32200000000000001</v>
      </c>
      <c r="R21" s="27">
        <f t="shared" ca="1" si="7"/>
        <v>-3.2200000000000002E-3</v>
      </c>
      <c r="T21" s="22" t="s">
        <v>156</v>
      </c>
      <c r="U21" s="23" t="s">
        <v>64</v>
      </c>
      <c r="V21" s="33"/>
      <c r="W21" s="34"/>
      <c r="X21" s="34"/>
      <c r="Y21" s="26">
        <f ca="1">IF(T21="","",IF(Settings.COB=TODAY(),_xll.BDP(T21,"LAST_PRICE"),_xll.BDH(T21,"LAST_PRICE",Settings.COB,Settings.COB)))</f>
        <v>-0.29699999999999999</v>
      </c>
      <c r="Z21" s="27">
        <f t="shared" ca="1" si="8"/>
        <v>-2.97E-3</v>
      </c>
      <c r="AB21" s="22" t="s">
        <v>157</v>
      </c>
      <c r="AC21" s="23" t="s">
        <v>158</v>
      </c>
      <c r="AD21" s="28">
        <f ca="1">IF(AB21="","",IF(Settings.COB=TODAY(),_xll.BDP(AB21,"LAST_PRICE"),_xll.BDH(AB21,"LAST_PRICE",Settings.COB,Settings.COB)))</f>
        <v>5.25</v>
      </c>
      <c r="AE21" s="27">
        <f t="shared" ca="1" si="2"/>
        <v>5.2499999999999997E-4</v>
      </c>
      <c r="AG21" s="22" t="s">
        <v>159</v>
      </c>
      <c r="AH21" s="23" t="s">
        <v>158</v>
      </c>
      <c r="AI21" s="28">
        <f ca="1">IF(AG21="","",IF(Settings.COB=TODAY(),_xll.BDP(AG21,"LAST_PRICE"),_xll.BDH(AG21,"LAST_PRICE",Settings.COB,Settings.COB)))</f>
        <v>6.2</v>
      </c>
      <c r="AJ21" s="27">
        <f t="shared" ca="1" si="4"/>
        <v>6.2E-4</v>
      </c>
      <c r="AL21" s="22" t="s">
        <v>160</v>
      </c>
      <c r="AM21" s="23" t="s">
        <v>41</v>
      </c>
      <c r="AN21" s="31">
        <f ca="1">IF(AL21="","",IF(Settings.COB=TODAY(),_xll.BDP(AL21,"LAST_PRICE"),_xll.BDH(AL21,"LAST_PRICE",Settings.COB,Settings.COB)))</f>
        <v>24.625</v>
      </c>
      <c r="AO21" s="27">
        <f t="shared" ref="AO21:AO37" ca="1" si="9">AN21/10000</f>
        <v>2.4624999999999998E-3</v>
      </c>
    </row>
    <row r="22" spans="2:41" x14ac:dyDescent="0.25">
      <c r="G22" s="22" t="s">
        <v>161</v>
      </c>
      <c r="H22" s="23" t="s">
        <v>113</v>
      </c>
      <c r="I22" s="29"/>
      <c r="J22" s="30"/>
      <c r="K22" s="30"/>
      <c r="L22" s="26">
        <f ca="1">IF(G22="","",IF(Settings.COB=TODAY(),_xll.BDP(G22,"LAST_PRICE"),_xll.BDH(G22,"LAST_PRICE",Settings.COB,Settings.COB)))</f>
        <v>-0.21299999999999999</v>
      </c>
      <c r="M22" s="27">
        <f t="shared" ca="1" si="3"/>
        <v>-2.1299999999999999E-3</v>
      </c>
      <c r="O22" s="22" t="s">
        <v>162</v>
      </c>
      <c r="P22" s="23" t="s">
        <v>35</v>
      </c>
      <c r="Q22" s="28">
        <f ca="1">IF(O22="","",IF(Settings.COB=TODAY(),_xll.BDP(O22,"LAST_PRICE"),_xll.BDH(O22,"LAST_PRICE",Settings.COB,Settings.COB)))</f>
        <v>-0.30399999999999999</v>
      </c>
      <c r="R22" s="27">
        <f t="shared" ca="1" si="7"/>
        <v>-3.0399999999999997E-3</v>
      </c>
      <c r="T22" s="22" t="s">
        <v>163</v>
      </c>
      <c r="U22" s="23" t="s">
        <v>74</v>
      </c>
      <c r="V22" s="33"/>
      <c r="W22" s="34"/>
      <c r="X22" s="34"/>
      <c r="Y22" s="26">
        <f ca="1">IF(T22="","",IF(Settings.COB=TODAY(),_xll.BDP(T22,"LAST_PRICE"),_xll.BDH(T22,"LAST_PRICE",Settings.COB,Settings.COB)))</f>
        <v>-0.26</v>
      </c>
      <c r="Z22" s="27">
        <f t="shared" ca="1" si="8"/>
        <v>-2.5999999999999999E-3</v>
      </c>
      <c r="AB22" s="22"/>
      <c r="AC22" s="23"/>
      <c r="AD22" s="28" t="str">
        <f ca="1">IF(AB22="","",IF(Settings.COB=TODAY(),_xll.BDP(AB22,"LAST_PRICE"),_xll.BDH(AB22,"LAST_PRICE",Settings.COB,Settings.COB)))</f>
        <v/>
      </c>
      <c r="AE22" s="27"/>
      <c r="AG22" s="22"/>
      <c r="AH22" s="23"/>
      <c r="AI22" s="28" t="str">
        <f ca="1">IF(AG22="","",IF(Settings.COB=TODAY(),_xll.BDP(AG22,"LAST_PRICE"),_xll.BDH(AG22,"LAST_PRICE",Settings.COB,Settings.COB)))</f>
        <v/>
      </c>
      <c r="AJ22" s="27"/>
      <c r="AL22" s="22" t="s">
        <v>164</v>
      </c>
      <c r="AM22" s="23" t="s">
        <v>144</v>
      </c>
      <c r="AN22" s="31">
        <f ca="1">IF(AL22="","",IF(Settings.COB=TODAY(),_xll.BDP(AL22,"LAST_PRICE"),_xll.BDH(AL22,"LAST_PRICE",Settings.COB,Settings.COB)))</f>
        <v>4.75</v>
      </c>
      <c r="AO22" s="27">
        <f t="shared" ca="1" si="9"/>
        <v>4.75E-4</v>
      </c>
    </row>
    <row r="23" spans="2:41" x14ac:dyDescent="0.25">
      <c r="G23" s="22" t="s">
        <v>165</v>
      </c>
      <c r="H23" s="23" t="s">
        <v>26</v>
      </c>
      <c r="I23" s="29"/>
      <c r="J23" s="30"/>
      <c r="K23" s="30"/>
      <c r="L23" s="26">
        <f ca="1">IF(G23="","",IF(Settings.COB=TODAY(),_xll.BDP(G23,"LAST_PRICE"),_xll.BDH(G23,"LAST_PRICE",Settings.COB,Settings.COB)))</f>
        <v>12</v>
      </c>
      <c r="M23" s="39">
        <f ca="1">L23/10000</f>
        <v>1.1999999999999999E-3</v>
      </c>
      <c r="O23" s="22" t="s">
        <v>166</v>
      </c>
      <c r="P23" s="23" t="s">
        <v>43</v>
      </c>
      <c r="Q23" s="28">
        <f ca="1">IF(O23="","",IF(Settings.COB=TODAY(),_xll.BDP(O23,"LAST_PRICE"),_xll.BDH(O23,"LAST_PRICE",Settings.COB,Settings.COB)))</f>
        <v>-0.29199999999999998</v>
      </c>
      <c r="R23" s="27">
        <f t="shared" ca="1" si="7"/>
        <v>-2.9199999999999999E-3</v>
      </c>
      <c r="T23" s="22" t="s">
        <v>167</v>
      </c>
      <c r="U23" s="23" t="s">
        <v>86</v>
      </c>
      <c r="V23" s="33"/>
      <c r="W23" s="34"/>
      <c r="X23" s="34"/>
      <c r="Y23" s="26">
        <f ca="1">IF(T23="","",IF(Settings.COB=TODAY(),_xll.BDP(T23,"LAST_PRICE"),_xll.BDH(T23,"LAST_PRICE",Settings.COB,Settings.COB)))</f>
        <v>-0.218</v>
      </c>
      <c r="Z23" s="27">
        <f t="shared" ca="1" si="8"/>
        <v>-2.1800000000000001E-3</v>
      </c>
      <c r="AB23" s="22"/>
      <c r="AC23" s="23"/>
      <c r="AD23" s="28" t="str">
        <f ca="1">IF(AB23="","",IF(Settings.COB=TODAY(),_xll.BDP(AB23,"LAST_PRICE"),_xll.BDH(AB23,"LAST_PRICE",Settings.COB,Settings.COB)))</f>
        <v/>
      </c>
      <c r="AE23" s="27"/>
      <c r="AG23" s="22"/>
      <c r="AH23" s="23"/>
      <c r="AI23" s="28" t="str">
        <f ca="1">IF(AG23="","",IF(Settings.COB=TODAY(),_xll.BDP(AG23,"LAST_PRICE"),_xll.BDH(AG23,"LAST_PRICE",Settings.COB,Settings.COB)))</f>
        <v/>
      </c>
      <c r="AJ23" s="27"/>
      <c r="AL23" s="22" t="s">
        <v>168</v>
      </c>
      <c r="AM23" s="23" t="s">
        <v>26</v>
      </c>
      <c r="AN23" s="31">
        <f ca="1">IF(AL23="","",IF(Settings.COB=TODAY(),_xll.BDP(AL23,"LAST_PRICE"),_xll.BDH(AL23,"LAST_PRICE",Settings.COB,Settings.COB)))</f>
        <v>-0.5</v>
      </c>
      <c r="AO23" s="27">
        <f t="shared" ca="1" si="9"/>
        <v>-5.0000000000000002E-5</v>
      </c>
    </row>
    <row r="24" spans="2:41" x14ac:dyDescent="0.25">
      <c r="G24" s="22" t="s">
        <v>169</v>
      </c>
      <c r="H24" s="23" t="s">
        <v>35</v>
      </c>
      <c r="I24" s="29"/>
      <c r="J24" s="30"/>
      <c r="K24" s="30"/>
      <c r="L24" s="26">
        <f ca="1">IF(G24="","",IF(Settings.COB=TODAY(),_xll.BDP(G24,"LAST_PRICE"),_xll.BDH(G24,"LAST_PRICE",Settings.COB,Settings.COB)))</f>
        <v>11.8</v>
      </c>
      <c r="M24" s="39">
        <f ca="1">L24/10000</f>
        <v>1.1800000000000001E-3</v>
      </c>
      <c r="O24" s="22" t="s">
        <v>170</v>
      </c>
      <c r="P24" s="23" t="s">
        <v>53</v>
      </c>
      <c r="Q24" s="28">
        <f ca="1">IF(O24="","",IF(Settings.COB=TODAY(),_xll.BDP(O24,"LAST_PRICE"),_xll.BDH(O24,"LAST_PRICE",Settings.COB,Settings.COB)))</f>
        <v>-0.26200000000000001</v>
      </c>
      <c r="R24" s="27">
        <f t="shared" ca="1" si="7"/>
        <v>-2.6199999999999999E-3</v>
      </c>
      <c r="T24" s="22" t="s">
        <v>171</v>
      </c>
      <c r="U24" s="23" t="s">
        <v>94</v>
      </c>
      <c r="V24" s="33"/>
      <c r="W24" s="34"/>
      <c r="X24" s="34"/>
      <c r="Y24" s="26">
        <f ca="1">IF(T24="","",IF(Settings.COB=TODAY(),_xll.BDP(T24,"LAST_PRICE"),_xll.BDH(T24,"LAST_PRICE",Settings.COB,Settings.COB)))</f>
        <v>-0.17399999999999999</v>
      </c>
      <c r="Z24" s="27">
        <f t="shared" ca="1" si="8"/>
        <v>-1.7399999999999998E-3</v>
      </c>
      <c r="AB24" s="22"/>
      <c r="AC24" s="23"/>
      <c r="AD24" s="28" t="str">
        <f ca="1">IF(AB24="","",IF(Settings.COB=TODAY(),_xll.BDP(AB24,"LAST_PRICE"),_xll.BDH(AB24,"LAST_PRICE",Settings.COB,Settings.COB)))</f>
        <v/>
      </c>
      <c r="AE24" s="27"/>
      <c r="AG24" s="22"/>
      <c r="AH24" s="23"/>
      <c r="AI24" s="28" t="str">
        <f ca="1">IF(AG24="","",IF(Settings.COB=TODAY(),_xll.BDP(AG24,"LAST_PRICE"),_xll.BDH(AG24,"LAST_PRICE",Settings.COB,Settings.COB)))</f>
        <v/>
      </c>
      <c r="AJ24" s="27"/>
      <c r="AL24" s="22" t="s">
        <v>172</v>
      </c>
      <c r="AM24" s="23" t="s">
        <v>35</v>
      </c>
      <c r="AN24" s="31">
        <f ca="1">IF(AL24="","",IF(Settings.COB=TODAY(),_xll.BDP(AL24,"LAST_PRICE"),_xll.BDH(AL24,"LAST_PRICE",Settings.COB,Settings.COB)))</f>
        <v>-11.125</v>
      </c>
      <c r="AO24" s="27">
        <f t="shared" ca="1" si="9"/>
        <v>-1.1125E-3</v>
      </c>
    </row>
    <row r="25" spans="2:41" x14ac:dyDescent="0.25">
      <c r="G25" s="22" t="s">
        <v>173</v>
      </c>
      <c r="H25" s="23" t="s">
        <v>43</v>
      </c>
      <c r="I25" s="29"/>
      <c r="J25" s="30"/>
      <c r="K25" s="30"/>
      <c r="L25" s="26">
        <f ca="1">IF(G25="","",IF(Settings.COB=TODAY(),_xll.BDP(G25,"LAST_PRICE"),_xll.BDH(G25,"LAST_PRICE",Settings.COB,Settings.COB)))</f>
        <v>12.1</v>
      </c>
      <c r="M25" s="39">
        <f t="shared" ref="M25:M40" ca="1" si="10">L25/10000</f>
        <v>1.2099999999999999E-3</v>
      </c>
      <c r="O25" s="22" t="s">
        <v>174</v>
      </c>
      <c r="P25" s="23" t="s">
        <v>64</v>
      </c>
      <c r="Q25" s="28">
        <f ca="1">IF(O25="","",IF(Settings.COB=TODAY(),_xll.BDP(O25,"LAST_PRICE"),_xll.BDH(O25,"LAST_PRICE",Settings.COB,Settings.COB)))</f>
        <v>-0.223</v>
      </c>
      <c r="R25" s="27">
        <f t="shared" ca="1" si="7"/>
        <v>-2.2300000000000002E-3</v>
      </c>
      <c r="T25" s="22" t="s">
        <v>175</v>
      </c>
      <c r="U25" s="23" t="s">
        <v>104</v>
      </c>
      <c r="V25" s="33"/>
      <c r="W25" s="34"/>
      <c r="X25" s="34"/>
      <c r="Y25" s="26">
        <f ca="1">IF(T25="","",IF(Settings.COB=TODAY(),_xll.BDP(T25,"LAST_PRICE"),_xll.BDH(T25,"LAST_PRICE",Settings.COB,Settings.COB)))</f>
        <v>-0.13</v>
      </c>
      <c r="Z25" s="27">
        <f t="shared" ca="1" si="8"/>
        <v>-1.2999999999999999E-3</v>
      </c>
      <c r="AB25" s="22"/>
      <c r="AC25" s="23"/>
      <c r="AD25" s="28" t="str">
        <f ca="1">IF(AB25="","",IF(Settings.COB=TODAY(),_xll.BDP(AB25,"LAST_PRICE"),_xll.BDH(AB25,"LAST_PRICE",Settings.COB,Settings.COB)))</f>
        <v/>
      </c>
      <c r="AE25" s="27"/>
      <c r="AG25" s="22"/>
      <c r="AH25" s="23"/>
      <c r="AI25" s="28" t="str">
        <f ca="1">IF(AG25="","",IF(Settings.COB=TODAY(),_xll.BDP(AG25,"LAST_PRICE"),_xll.BDH(AG25,"LAST_PRICE",Settings.COB,Settings.COB)))</f>
        <v/>
      </c>
      <c r="AJ25" s="27"/>
      <c r="AL25" s="22" t="s">
        <v>176</v>
      </c>
      <c r="AM25" s="23" t="s">
        <v>43</v>
      </c>
      <c r="AN25" s="31">
        <f ca="1">IF(AL25="","",IF(Settings.COB=TODAY(),_xll.BDP(AL25,"LAST_PRICE"),_xll.BDH(AL25,"LAST_PRICE",Settings.COB,Settings.COB)))</f>
        <v>-15.375</v>
      </c>
      <c r="AO25" s="27">
        <f t="shared" ca="1" si="9"/>
        <v>-1.5375E-3</v>
      </c>
    </row>
    <row r="26" spans="2:41" x14ac:dyDescent="0.25">
      <c r="G26" s="22" t="s">
        <v>177</v>
      </c>
      <c r="H26" s="23" t="s">
        <v>53</v>
      </c>
      <c r="I26" s="29"/>
      <c r="J26" s="30"/>
      <c r="K26" s="30"/>
      <c r="L26" s="26">
        <f ca="1">IF(G26="","",IF(Settings.COB=TODAY(),_xll.BDP(G26,"LAST_PRICE"),_xll.BDH(G26,"LAST_PRICE",Settings.COB,Settings.COB)))</f>
        <v>12.3</v>
      </c>
      <c r="M26" s="39">
        <f t="shared" ca="1" si="10"/>
        <v>1.23E-3</v>
      </c>
      <c r="O26" s="22" t="s">
        <v>178</v>
      </c>
      <c r="P26" s="23" t="s">
        <v>74</v>
      </c>
      <c r="Q26" s="28">
        <f ca="1">IF(O26="","",IF(Settings.COB=TODAY(),_xll.BDP(O26,"LAST_PRICE"),_xll.BDH(O26,"LAST_PRICE",Settings.COB,Settings.COB)))</f>
        <v>-0.19</v>
      </c>
      <c r="R26" s="27">
        <f t="shared" ca="1" si="7"/>
        <v>-1.9E-3</v>
      </c>
      <c r="T26" s="22" t="s">
        <v>179</v>
      </c>
      <c r="U26" s="23" t="s">
        <v>113</v>
      </c>
      <c r="V26" s="33"/>
      <c r="W26" s="34"/>
      <c r="X26" s="34"/>
      <c r="Y26" s="26">
        <f ca="1">IF(T26="","",IF(Settings.COB=TODAY(),_xll.BDP(T26,"LAST_PRICE"),_xll.BDH(T26,"LAST_PRICE",Settings.COB,Settings.COB)))</f>
        <v>-8.5999999999999993E-2</v>
      </c>
      <c r="Z26" s="27">
        <f t="shared" ca="1" si="8"/>
        <v>-8.5999999999999998E-4</v>
      </c>
      <c r="AB26" s="22"/>
      <c r="AC26" s="23"/>
      <c r="AD26" s="28" t="str">
        <f ca="1">IF(AB26="","",IF(Settings.COB=TODAY(),_xll.BDP(AB26,"LAST_PRICE"),_xll.BDH(AB26,"LAST_PRICE",Settings.COB,Settings.COB)))</f>
        <v/>
      </c>
      <c r="AE26" s="27"/>
      <c r="AG26" s="22"/>
      <c r="AH26" s="23"/>
      <c r="AI26" s="28" t="str">
        <f ca="1">IF(AG26="","",IF(Settings.COB=TODAY(),_xll.BDP(AG26,"LAST_PRICE"),_xll.BDH(AG26,"LAST_PRICE",Settings.COB,Settings.COB)))</f>
        <v/>
      </c>
      <c r="AJ26" s="27"/>
      <c r="AL26" s="22" t="s">
        <v>180</v>
      </c>
      <c r="AM26" s="23" t="s">
        <v>53</v>
      </c>
      <c r="AN26" s="31">
        <f ca="1">IF(AL26="","",IF(Settings.COB=TODAY(),_xll.BDP(AL26,"LAST_PRICE"),_xll.BDH(AL26,"LAST_PRICE",Settings.COB,Settings.COB)))</f>
        <v>-18.5</v>
      </c>
      <c r="AO26" s="27">
        <f t="shared" ca="1" si="9"/>
        <v>-1.8500000000000001E-3</v>
      </c>
    </row>
    <row r="27" spans="2:41" x14ac:dyDescent="0.25">
      <c r="G27" s="22" t="s">
        <v>181</v>
      </c>
      <c r="H27" s="23" t="s">
        <v>64</v>
      </c>
      <c r="I27" s="29"/>
      <c r="J27" s="30"/>
      <c r="K27" s="30"/>
      <c r="L27" s="26">
        <f ca="1">IF(G27="","",IF(Settings.COB=TODAY(),_xll.BDP(G27,"LAST_PRICE"),_xll.BDH(G27,"LAST_PRICE",Settings.COB,Settings.COB)))</f>
        <v>12.4</v>
      </c>
      <c r="M27" s="39">
        <f t="shared" ca="1" si="10"/>
        <v>1.24E-3</v>
      </c>
      <c r="O27" s="22" t="s">
        <v>182</v>
      </c>
      <c r="P27" s="23" t="s">
        <v>86</v>
      </c>
      <c r="Q27" s="28">
        <f ca="1">IF(O27="","",IF(Settings.COB=TODAY(),_xll.BDP(O27,"LAST_PRICE"),_xll.BDH(O27,"LAST_PRICE",Settings.COB,Settings.COB)))</f>
        <v>-0.153</v>
      </c>
      <c r="R27" s="27">
        <f t="shared" ca="1" si="7"/>
        <v>-1.5299999999999999E-3</v>
      </c>
      <c r="T27" s="22" t="s">
        <v>183</v>
      </c>
      <c r="U27" s="23" t="s">
        <v>184</v>
      </c>
      <c r="V27" s="33"/>
      <c r="W27" s="34"/>
      <c r="X27" s="34"/>
      <c r="Y27" s="26">
        <f ca="1">IF(T27="","",IF(Settings.COB=TODAY(),_xll.BDP(T27,"LAST_PRICE"),_xll.BDH(T27,"LAST_PRICE",Settings.COB,Settings.COB)))</f>
        <v>-4.2999999999999997E-2</v>
      </c>
      <c r="Z27" s="27">
        <f t="shared" ca="1" si="8"/>
        <v>-4.2999999999999999E-4</v>
      </c>
      <c r="AB27" s="22"/>
      <c r="AC27" s="23"/>
      <c r="AD27" s="28" t="str">
        <f ca="1">IF(AB27="","",IF(Settings.COB=TODAY(),_xll.BDP(AB27,"LAST_PRICE"),_xll.BDH(AB27,"LAST_PRICE",Settings.COB,Settings.COB)))</f>
        <v/>
      </c>
      <c r="AE27" s="27"/>
      <c r="AG27" s="22"/>
      <c r="AH27" s="23"/>
      <c r="AI27" s="28" t="str">
        <f ca="1">IF(AG27="","",IF(Settings.COB=TODAY(),_xll.BDP(AG27,"LAST_PRICE"),_xll.BDH(AG27,"LAST_PRICE",Settings.COB,Settings.COB)))</f>
        <v/>
      </c>
      <c r="AJ27" s="27"/>
      <c r="AL27" s="22" t="s">
        <v>185</v>
      </c>
      <c r="AM27" s="23" t="s">
        <v>64</v>
      </c>
      <c r="AN27" s="31">
        <f ca="1">IF(AL27="","",IF(Settings.COB=TODAY(),_xll.BDP(AL27,"LAST_PRICE"),_xll.BDH(AL27,"LAST_PRICE",Settings.COB,Settings.COB)))</f>
        <v>-20.5</v>
      </c>
      <c r="AO27" s="27">
        <f t="shared" ca="1" si="9"/>
        <v>-2.0500000000000002E-3</v>
      </c>
    </row>
    <row r="28" spans="2:41" x14ac:dyDescent="0.25">
      <c r="G28" s="22" t="s">
        <v>186</v>
      </c>
      <c r="H28" s="23" t="s">
        <v>74</v>
      </c>
      <c r="I28" s="29"/>
      <c r="J28" s="30"/>
      <c r="K28" s="30"/>
      <c r="L28" s="26">
        <f ca="1">IF(G28="","",IF(Settings.COB=TODAY(),_xll.BDP(G28,"LAST_PRICE"),_xll.BDH(G28,"LAST_PRICE",Settings.COB,Settings.COB)))</f>
        <v>12.5</v>
      </c>
      <c r="M28" s="39">
        <f t="shared" ca="1" si="10"/>
        <v>1.25E-3</v>
      </c>
      <c r="O28" s="22" t="s">
        <v>187</v>
      </c>
      <c r="P28" s="23" t="s">
        <v>94</v>
      </c>
      <c r="Q28" s="28">
        <f ca="1">IF(O28="","",IF(Settings.COB=TODAY(),_xll.BDP(O28,"LAST_PRICE"),_xll.BDH(O28,"LAST_PRICE",Settings.COB,Settings.COB)))</f>
        <v>-0.114</v>
      </c>
      <c r="R28" s="27">
        <f t="shared" ca="1" si="7"/>
        <v>-1.14E-3</v>
      </c>
      <c r="T28" s="22" t="s">
        <v>188</v>
      </c>
      <c r="U28" s="23" t="s">
        <v>123</v>
      </c>
      <c r="V28" s="33"/>
      <c r="W28" s="34"/>
      <c r="X28" s="34"/>
      <c r="Y28" s="26">
        <f ca="1">IF(T28="","",IF(Settings.COB=TODAY(),_xll.BDP(T28,"LAST_PRICE"),_xll.BDH(T28,"LAST_PRICE",Settings.COB,Settings.COB)))</f>
        <v>-2E-3</v>
      </c>
      <c r="Z28" s="27">
        <f t="shared" ca="1" si="8"/>
        <v>-2.0000000000000002E-5</v>
      </c>
      <c r="AB28" s="22"/>
      <c r="AC28" s="23"/>
      <c r="AD28" s="28" t="str">
        <f ca="1">IF(AB28="","",IF(Settings.COB=TODAY(),_xll.BDP(AB28,"LAST_PRICE"),_xll.BDH(AB28,"LAST_PRICE",Settings.COB,Settings.COB)))</f>
        <v/>
      </c>
      <c r="AE28" s="27"/>
      <c r="AG28" s="22"/>
      <c r="AH28" s="23"/>
      <c r="AI28" s="28" t="str">
        <f ca="1">IF(AG28="","",IF(Settings.COB=TODAY(),_xll.BDP(AG28,"LAST_PRICE"),_xll.BDH(AG28,"LAST_PRICE",Settings.COB,Settings.COB)))</f>
        <v/>
      </c>
      <c r="AJ28" s="27"/>
      <c r="AL28" s="22" t="s">
        <v>189</v>
      </c>
      <c r="AM28" s="23" t="s">
        <v>74</v>
      </c>
      <c r="AN28" s="31">
        <f ca="1">IF(AL28="","",IF(Settings.COB=TODAY(),_xll.BDP(AL28,"LAST_PRICE"),_xll.BDH(AL28,"LAST_PRICE",Settings.COB,Settings.COB)))</f>
        <v>-21.5</v>
      </c>
      <c r="AO28" s="27">
        <f t="shared" ca="1" si="9"/>
        <v>-2.15E-3</v>
      </c>
    </row>
    <row r="29" spans="2:41" x14ac:dyDescent="0.25">
      <c r="G29" s="22" t="s">
        <v>190</v>
      </c>
      <c r="H29" s="23" t="s">
        <v>86</v>
      </c>
      <c r="I29" s="29"/>
      <c r="J29" s="30"/>
      <c r="K29" s="30"/>
      <c r="L29" s="26">
        <f ca="1">IF(G29="","",IF(Settings.COB=TODAY(),_xll.BDP(G29,"LAST_PRICE"),_xll.BDH(G29,"LAST_PRICE",Settings.COB,Settings.COB)))</f>
        <v>12.6</v>
      </c>
      <c r="M29" s="39">
        <f t="shared" ca="1" si="10"/>
        <v>1.2600000000000001E-3</v>
      </c>
      <c r="O29" s="22" t="s">
        <v>191</v>
      </c>
      <c r="P29" s="23" t="s">
        <v>104</v>
      </c>
      <c r="Q29" s="28">
        <f ca="1">IF(O29="","",IF(Settings.COB=TODAY(),_xll.BDP(O29,"LAST_PRICE"),_xll.BDH(O29,"LAST_PRICE",Settings.COB,Settings.COB)))</f>
        <v>-7.4999999999999997E-2</v>
      </c>
      <c r="R29" s="27">
        <f t="shared" ca="1" si="7"/>
        <v>-7.5000000000000002E-4</v>
      </c>
      <c r="T29" s="22" t="s">
        <v>192</v>
      </c>
      <c r="U29" s="23" t="s">
        <v>133</v>
      </c>
      <c r="V29" s="33"/>
      <c r="W29" s="34"/>
      <c r="X29" s="34"/>
      <c r="Y29" s="26">
        <f ca="1">IF(T29="","",IF(Settings.COB=TODAY(),_xll.BDP(T29,"LAST_PRICE"),_xll.BDH(T29,"LAST_PRICE",Settings.COB,Settings.COB)))</f>
        <v>9.5000000000000001E-2</v>
      </c>
      <c r="Z29" s="27">
        <f t="shared" ca="1" si="8"/>
        <v>9.5E-4</v>
      </c>
      <c r="AB29" s="22"/>
      <c r="AC29" s="23"/>
      <c r="AD29" s="28" t="str">
        <f ca="1">IF(AB29="","",IF(Settings.COB=TODAY(),_xll.BDP(AB29,"LAST_PRICE"),_xll.BDH(AB29,"LAST_PRICE",Settings.COB,Settings.COB)))</f>
        <v/>
      </c>
      <c r="AE29" s="27"/>
      <c r="AG29" s="22"/>
      <c r="AH29" s="23"/>
      <c r="AI29" s="28" t="str">
        <f ca="1">IF(AG29="","",IF(Settings.COB=TODAY(),_xll.BDP(AG29,"LAST_PRICE"),_xll.BDH(AG29,"LAST_PRICE",Settings.COB,Settings.COB)))</f>
        <v/>
      </c>
      <c r="AJ29" s="27"/>
      <c r="AL29" s="22" t="s">
        <v>193</v>
      </c>
      <c r="AM29" s="23" t="s">
        <v>86</v>
      </c>
      <c r="AN29" s="31">
        <f ca="1">IF(AL29="","",IF(Settings.COB=TODAY(),_xll.BDP(AL29,"LAST_PRICE"),_xll.BDH(AL29,"LAST_PRICE",Settings.COB,Settings.COB)))</f>
        <v>-22.125</v>
      </c>
      <c r="AO29" s="27">
        <f t="shared" ca="1" si="9"/>
        <v>-2.2125000000000001E-3</v>
      </c>
    </row>
    <row r="30" spans="2:41" x14ac:dyDescent="0.25">
      <c r="G30" s="22" t="s">
        <v>194</v>
      </c>
      <c r="H30" s="23" t="s">
        <v>94</v>
      </c>
      <c r="I30" s="29"/>
      <c r="J30" s="30"/>
      <c r="K30" s="30"/>
      <c r="L30" s="26">
        <f ca="1">IF(G30="","",IF(Settings.COB=TODAY(),_xll.BDP(G30,"LAST_PRICE"),_xll.BDH(G30,"LAST_PRICE",Settings.COB,Settings.COB)))</f>
        <v>12.7</v>
      </c>
      <c r="M30" s="39">
        <f t="shared" ca="1" si="10"/>
        <v>1.2699999999999999E-3</v>
      </c>
      <c r="O30" s="22" t="s">
        <v>195</v>
      </c>
      <c r="P30" s="23" t="s">
        <v>113</v>
      </c>
      <c r="Q30" s="28">
        <f ca="1">IF(O30="","",IF(Settings.COB=TODAY(),_xll.BDP(O30,"LAST_PRICE"),_xll.BDH(O30,"LAST_PRICE",Settings.COB,Settings.COB)))</f>
        <v>-3.5999999999999997E-2</v>
      </c>
      <c r="R30" s="27">
        <f t="shared" ca="1" si="7"/>
        <v>-3.5999999999999997E-4</v>
      </c>
      <c r="T30" s="22" t="s">
        <v>196</v>
      </c>
      <c r="U30" s="23" t="s">
        <v>141</v>
      </c>
      <c r="V30" s="33"/>
      <c r="W30" s="34"/>
      <c r="X30" s="34"/>
      <c r="Y30" s="26">
        <f ca="1">IF(T30="","",IF(Settings.COB=TODAY(),_xll.BDP(T30,"LAST_PRICE"),_xll.BDH(T30,"LAST_PRICE",Settings.COB,Settings.COB)))</f>
        <v>0.157</v>
      </c>
      <c r="Z30" s="27">
        <f t="shared" ca="1" si="8"/>
        <v>1.57E-3</v>
      </c>
      <c r="AB30" s="22"/>
      <c r="AC30" s="23"/>
      <c r="AD30" s="28" t="str">
        <f ca="1">IF(AB30="","",IF(Settings.COB=TODAY(),_xll.BDP(AB30,"LAST_PRICE"),_xll.BDH(AB30,"LAST_PRICE",Settings.COB,Settings.COB)))</f>
        <v/>
      </c>
      <c r="AE30" s="27"/>
      <c r="AG30" s="22"/>
      <c r="AH30" s="23"/>
      <c r="AI30" s="28" t="str">
        <f ca="1">IF(AG30="","",IF(Settings.COB=TODAY(),_xll.BDP(AG30,"LAST_PRICE"),_xll.BDH(AG30,"LAST_PRICE",Settings.COB,Settings.COB)))</f>
        <v/>
      </c>
      <c r="AJ30" s="27"/>
      <c r="AL30" s="22" t="s">
        <v>197</v>
      </c>
      <c r="AM30" s="23" t="s">
        <v>94</v>
      </c>
      <c r="AN30" s="31">
        <f ca="1">IF(AL30="","",IF(Settings.COB=TODAY(),_xll.BDP(AL30,"LAST_PRICE"),_xll.BDH(AL30,"LAST_PRICE",Settings.COB,Settings.COB)))</f>
        <v>-22.375</v>
      </c>
      <c r="AO30" s="27">
        <f t="shared" ca="1" si="9"/>
        <v>-2.2374999999999999E-3</v>
      </c>
    </row>
    <row r="31" spans="2:41" x14ac:dyDescent="0.25">
      <c r="G31" s="22" t="s">
        <v>198</v>
      </c>
      <c r="H31" s="23" t="s">
        <v>104</v>
      </c>
      <c r="I31" s="29"/>
      <c r="J31" s="30"/>
      <c r="K31" s="30"/>
      <c r="L31" s="26">
        <f ca="1">IF(G31="","",IF(Settings.COB=TODAY(),_xll.BDP(G31,"LAST_PRICE"),_xll.BDH(G31,"LAST_PRICE",Settings.COB,Settings.COB)))</f>
        <v>12.8</v>
      </c>
      <c r="M31" s="39">
        <f t="shared" ca="1" si="10"/>
        <v>1.2800000000000001E-3</v>
      </c>
      <c r="O31" s="22" t="s">
        <v>199</v>
      </c>
      <c r="P31" s="23" t="s">
        <v>184</v>
      </c>
      <c r="Q31" s="28">
        <f ca="1">IF(O31="","",IF(Settings.COB=TODAY(),_xll.BDP(O31,"LAST_PRICE"),_xll.BDH(O31,"LAST_PRICE",Settings.COB,Settings.COB)))</f>
        <v>2E-3</v>
      </c>
      <c r="R31" s="27">
        <f t="shared" ca="1" si="7"/>
        <v>2.0000000000000002E-5</v>
      </c>
      <c r="T31" s="22" t="s">
        <v>200</v>
      </c>
      <c r="U31" s="23" t="s">
        <v>150</v>
      </c>
      <c r="V31" s="33"/>
      <c r="W31" s="34"/>
      <c r="X31" s="34"/>
      <c r="Y31" s="26">
        <f ca="1">IF(T31="","",IF(Settings.COB=TODAY(),_xll.BDP(T31,"LAST_PRICE"),_xll.BDH(T31,"LAST_PRICE",Settings.COB,Settings.COB)))</f>
        <v>0.14299999999999999</v>
      </c>
      <c r="Z31" s="27">
        <f t="shared" ca="1" si="8"/>
        <v>1.4299999999999998E-3</v>
      </c>
      <c r="AB31" s="22"/>
      <c r="AC31" s="23"/>
      <c r="AD31" s="28" t="str">
        <f ca="1">IF(AB31="","",IF(Settings.COB=TODAY(),_xll.BDP(AB31,"LAST_PRICE"),_xll.BDH(AB31,"LAST_PRICE",Settings.COB,Settings.COB)))</f>
        <v/>
      </c>
      <c r="AE31" s="27"/>
      <c r="AG31" s="22"/>
      <c r="AH31" s="23"/>
      <c r="AI31" s="28" t="str">
        <f ca="1">IF(AG31="","",IF(Settings.COB=TODAY(),_xll.BDP(AG31,"LAST_PRICE"),_xll.BDH(AG31,"LAST_PRICE",Settings.COB,Settings.COB)))</f>
        <v/>
      </c>
      <c r="AJ31" s="27"/>
      <c r="AL31" s="22" t="s">
        <v>201</v>
      </c>
      <c r="AM31" s="23" t="s">
        <v>104</v>
      </c>
      <c r="AN31" s="31">
        <f ca="1">IF(AL31="","",IF(Settings.COB=TODAY(),_xll.BDP(AL31,"LAST_PRICE"),_xll.BDH(AL31,"LAST_PRICE",Settings.COB,Settings.COB)))</f>
        <v>-22.375</v>
      </c>
      <c r="AO31" s="27">
        <f t="shared" ca="1" si="9"/>
        <v>-2.2374999999999999E-3</v>
      </c>
    </row>
    <row r="32" spans="2:41" x14ac:dyDescent="0.25">
      <c r="G32" s="22" t="s">
        <v>202</v>
      </c>
      <c r="H32" s="23" t="s">
        <v>113</v>
      </c>
      <c r="I32" s="29"/>
      <c r="J32" s="30"/>
      <c r="K32" s="30"/>
      <c r="L32" s="26">
        <f ca="1">IF(G32="","",IF(Settings.COB=TODAY(),_xll.BDP(G32,"LAST_PRICE"),_xll.BDH(G32,"LAST_PRICE",Settings.COB,Settings.COB)))</f>
        <v>12.9</v>
      </c>
      <c r="M32" s="39">
        <f t="shared" ca="1" si="10"/>
        <v>1.2900000000000001E-3</v>
      </c>
      <c r="O32" s="22" t="s">
        <v>203</v>
      </c>
      <c r="P32" s="23" t="s">
        <v>123</v>
      </c>
      <c r="Q32" s="28">
        <f ca="1">IF(O32="","",IF(Settings.COB=TODAY(),_xll.BDP(O32,"LAST_PRICE"),_xll.BDH(O32,"LAST_PRICE",Settings.COB,Settings.COB)))</f>
        <v>3.7999999999999999E-2</v>
      </c>
      <c r="R32" s="27">
        <f t="shared" ca="1" si="7"/>
        <v>3.7999999999999997E-4</v>
      </c>
      <c r="T32" s="22" t="s">
        <v>204</v>
      </c>
      <c r="U32" s="23" t="s">
        <v>158</v>
      </c>
      <c r="V32" s="33"/>
      <c r="W32" s="34"/>
      <c r="X32" s="34"/>
      <c r="Y32" s="26">
        <f ca="1">IF(T32="","",IF(Settings.COB=TODAY(),_xll.BDP(T32,"LAST_PRICE"),_xll.BDH(T32,"LAST_PRICE",Settings.COB,Settings.COB)))</f>
        <v>0.10100000000000001</v>
      </c>
      <c r="Z32" s="27">
        <f t="shared" ca="1" si="8"/>
        <v>1.01E-3</v>
      </c>
      <c r="AB32" s="22"/>
      <c r="AC32" s="23"/>
      <c r="AD32" s="28" t="str">
        <f ca="1">IF(AB32="","",IF(Settings.COB=TODAY(),_xll.BDP(AB32,"LAST_PRICE"),_xll.BDH(AB32,"LAST_PRICE",Settings.COB,Settings.COB)))</f>
        <v/>
      </c>
      <c r="AE32" s="27"/>
      <c r="AG32" s="22"/>
      <c r="AH32" s="23"/>
      <c r="AI32" s="28" t="str">
        <f ca="1">IF(AG32="","",IF(Settings.COB=TODAY(),_xll.BDP(AG32,"LAST_PRICE"),_xll.BDH(AG32,"LAST_PRICE",Settings.COB,Settings.COB)))</f>
        <v/>
      </c>
      <c r="AJ32" s="27"/>
      <c r="AL32" s="22" t="s">
        <v>205</v>
      </c>
      <c r="AM32" s="23" t="s">
        <v>113</v>
      </c>
      <c r="AN32" s="31">
        <f ca="1">IF(AL32="","",IF(Settings.COB=TODAY(),_xll.BDP(AL32,"LAST_PRICE"),_xll.BDH(AL32,"LAST_PRICE",Settings.COB,Settings.COB)))</f>
        <v>-22.375</v>
      </c>
      <c r="AO32" s="27">
        <f t="shared" ca="1" si="9"/>
        <v>-2.2374999999999999E-3</v>
      </c>
    </row>
    <row r="33" spans="7:41" x14ac:dyDescent="0.25">
      <c r="G33" s="22" t="s">
        <v>206</v>
      </c>
      <c r="H33" s="23" t="s">
        <v>184</v>
      </c>
      <c r="I33" s="29"/>
      <c r="J33" s="30"/>
      <c r="K33" s="30"/>
      <c r="L33" s="26">
        <f ca="1">IF(G33="","",IF(Settings.COB=TODAY(),_xll.BDP(G33,"LAST_PRICE"),_xll.BDH(G33,"LAST_PRICE",Settings.COB,Settings.COB)))</f>
        <v>13</v>
      </c>
      <c r="M33" s="39">
        <f t="shared" ca="1" si="10"/>
        <v>1.2999999999999999E-3</v>
      </c>
      <c r="O33" s="22" t="s">
        <v>207</v>
      </c>
      <c r="P33" s="23" t="s">
        <v>133</v>
      </c>
      <c r="Q33" s="28">
        <f ca="1">IF(O33="","",IF(Settings.COB=TODAY(),_xll.BDP(O33,"LAST_PRICE"),_xll.BDH(O33,"LAST_PRICE",Settings.COB,Settings.COB)))</f>
        <v>0.125</v>
      </c>
      <c r="R33" s="27">
        <f t="shared" ca="1" si="7"/>
        <v>1.25E-3</v>
      </c>
      <c r="T33" s="22" t="s">
        <v>208</v>
      </c>
      <c r="U33" s="23" t="s">
        <v>209</v>
      </c>
      <c r="V33" s="33"/>
      <c r="W33" s="34"/>
      <c r="X33" s="34"/>
      <c r="Y33" s="26">
        <f ca="1">IF(T33="","",IF(Settings.COB=TODAY(),_xll.BDP(T33,"LAST_PRICE"),_xll.BDH(T33,"LAST_PRICE",Settings.COB,Settings.COB)))</f>
        <v>3.3000000000000002E-2</v>
      </c>
      <c r="Z33" s="27">
        <f t="shared" ca="1" si="8"/>
        <v>3.3E-4</v>
      </c>
      <c r="AB33" s="22"/>
      <c r="AC33" s="23"/>
      <c r="AD33" s="28" t="str">
        <f ca="1">IF(AB33="","",IF(Settings.COB=TODAY(),_xll.BDP(AB33,"LAST_PRICE"),_xll.BDH(AB33,"LAST_PRICE",Settings.COB,Settings.COB)))</f>
        <v/>
      </c>
      <c r="AE33" s="27"/>
      <c r="AG33" s="22"/>
      <c r="AH33" s="23"/>
      <c r="AI33" s="28" t="str">
        <f ca="1">IF(AG33="","",IF(Settings.COB=TODAY(),_xll.BDP(AG33,"LAST_PRICE"),_xll.BDH(AG33,"LAST_PRICE",Settings.COB,Settings.COB)))</f>
        <v/>
      </c>
      <c r="AJ33" s="27"/>
      <c r="AL33" s="22" t="s">
        <v>210</v>
      </c>
      <c r="AM33" s="23" t="s">
        <v>123</v>
      </c>
      <c r="AN33" s="31">
        <f ca="1">IF(AL33="","",IF(Settings.COB=TODAY(),_xll.BDP(AL33,"LAST_PRICE"),_xll.BDH(AL33,"LAST_PRICE",Settings.COB,Settings.COB)))</f>
        <v>-22</v>
      </c>
      <c r="AO33" s="27">
        <f ca="1">AN33/10000</f>
        <v>-2.2000000000000001E-3</v>
      </c>
    </row>
    <row r="34" spans="7:41" x14ac:dyDescent="0.25">
      <c r="G34" s="22" t="s">
        <v>211</v>
      </c>
      <c r="H34" s="23" t="s">
        <v>123</v>
      </c>
      <c r="I34" s="29"/>
      <c r="J34" s="30"/>
      <c r="K34" s="30"/>
      <c r="L34" s="26">
        <f ca="1">IF(G34="","",IF(Settings.COB=TODAY(),_xll.BDP(G34,"LAST_PRICE"),_xll.BDH(G34,"LAST_PRICE",Settings.COB,Settings.COB)))</f>
        <v>13</v>
      </c>
      <c r="M34" s="39">
        <f t="shared" ca="1" si="10"/>
        <v>1.2999999999999999E-3</v>
      </c>
      <c r="O34" s="22" t="s">
        <v>212</v>
      </c>
      <c r="P34" s="23" t="s">
        <v>141</v>
      </c>
      <c r="Q34" s="28">
        <f ca="1">IF(O34="","",IF(Settings.COB=TODAY(),_xll.BDP(O34,"LAST_PRICE"),_xll.BDH(O34,"LAST_PRICE",Settings.COB,Settings.COB)))</f>
        <v>0.17599999999999999</v>
      </c>
      <c r="R34" s="27">
        <f t="shared" ca="1" si="7"/>
        <v>1.7599999999999998E-3</v>
      </c>
      <c r="T34" s="22" t="s">
        <v>213</v>
      </c>
      <c r="U34" s="23" t="s">
        <v>214</v>
      </c>
      <c r="V34" s="33"/>
      <c r="W34" s="34"/>
      <c r="X34" s="34"/>
      <c r="Y34" s="26">
        <f ca="1">IF(T34="","",IF(Settings.COB=TODAY(),_xll.BDP(T34,"LAST_PRICE"),_xll.BDH(T34,"LAST_PRICE",Settings.COB,Settings.COB)))</f>
        <v>-3.3000000000000002E-2</v>
      </c>
      <c r="Z34" s="27">
        <f t="shared" ca="1" si="8"/>
        <v>-3.3E-4</v>
      </c>
      <c r="AB34" s="22"/>
      <c r="AC34" s="23"/>
      <c r="AD34" s="28" t="str">
        <f ca="1">IF(AB34="","",IF(Settings.COB=TODAY(),_xll.BDP(AB34,"LAST_PRICE"),_xll.BDH(AB34,"LAST_PRICE",Settings.COB,Settings.COB)))</f>
        <v/>
      </c>
      <c r="AE34" s="27"/>
      <c r="AG34" s="22"/>
      <c r="AH34" s="23"/>
      <c r="AI34" s="28" t="str">
        <f ca="1">IF(AG34="","",IF(Settings.COB=TODAY(),_xll.BDP(AG34,"LAST_PRICE"),_xll.BDH(AG34,"LAST_PRICE",Settings.COB,Settings.COB)))</f>
        <v/>
      </c>
      <c r="AJ34" s="27"/>
      <c r="AL34" s="22" t="s">
        <v>215</v>
      </c>
      <c r="AM34" s="23" t="s">
        <v>133</v>
      </c>
      <c r="AN34" s="31">
        <f ca="1">IF(AL34="","",IF(Settings.COB=TODAY(),_xll.BDP(AL34,"LAST_PRICE"),_xll.BDH(AL34,"LAST_PRICE",Settings.COB,Settings.COB)))</f>
        <v>-19.625</v>
      </c>
      <c r="AO34" s="27">
        <f t="shared" ca="1" si="9"/>
        <v>-1.9624999999999998E-3</v>
      </c>
    </row>
    <row r="35" spans="7:41" x14ac:dyDescent="0.25">
      <c r="G35" s="22" t="s">
        <v>216</v>
      </c>
      <c r="H35" s="23" t="s">
        <v>133</v>
      </c>
      <c r="I35" s="29"/>
      <c r="J35" s="30"/>
      <c r="K35" s="30"/>
      <c r="L35" s="26">
        <f ca="1">IF(G35="","",IF(Settings.COB=TODAY(),_xll.BDP(G35,"LAST_PRICE"),_xll.BDH(G35,"LAST_PRICE",Settings.COB,Settings.COB)))</f>
        <v>13</v>
      </c>
      <c r="M35" s="39">
        <f t="shared" ca="1" si="10"/>
        <v>1.2999999999999999E-3</v>
      </c>
      <c r="O35" s="22" t="s">
        <v>217</v>
      </c>
      <c r="P35" s="23" t="s">
        <v>150</v>
      </c>
      <c r="Q35" s="28">
        <f ca="1">IF(O35="","",IF(Settings.COB=TODAY(),_xll.BDP(O35,"LAST_PRICE"),_xll.BDH(O35,"LAST_PRICE",Settings.COB,Settings.COB)))</f>
        <v>0.155</v>
      </c>
      <c r="R35" s="27">
        <f t="shared" ca="1" si="7"/>
        <v>1.5499999999999999E-3</v>
      </c>
      <c r="T35" s="22"/>
      <c r="U35" s="23"/>
      <c r="V35" s="33"/>
      <c r="W35" s="34"/>
      <c r="X35" s="34"/>
      <c r="Y35" s="26"/>
      <c r="Z35" s="27"/>
      <c r="AB35" s="22"/>
      <c r="AC35" s="23"/>
      <c r="AD35" s="28" t="str">
        <f ca="1">IF(AB35="","",IF(Settings.COB=TODAY(),_xll.BDP(AB35,"LAST_PRICE"),_xll.BDH(AB35,"LAST_PRICE",Settings.COB,Settings.COB)))</f>
        <v/>
      </c>
      <c r="AE35" s="27"/>
      <c r="AG35" s="22"/>
      <c r="AH35" s="23"/>
      <c r="AI35" s="28" t="str">
        <f ca="1">IF(AG35="","",IF(Settings.COB=TODAY(),_xll.BDP(AG35,"LAST_PRICE"),_xll.BDH(AG35,"LAST_PRICE",Settings.COB,Settings.COB)))</f>
        <v/>
      </c>
      <c r="AJ35" s="27"/>
      <c r="AL35" s="22" t="s">
        <v>218</v>
      </c>
      <c r="AM35" s="23" t="s">
        <v>141</v>
      </c>
      <c r="AN35" s="31">
        <f ca="1">IF(AL35="","",IF(Settings.COB=TODAY(),_xll.BDP(AL35,"LAST_PRICE"),_xll.BDH(AL35,"LAST_PRICE",Settings.COB,Settings.COB)))</f>
        <v>-13.75</v>
      </c>
      <c r="AO35" s="27">
        <f t="shared" ca="1" si="9"/>
        <v>-1.3749999999999999E-3</v>
      </c>
    </row>
    <row r="36" spans="7:41" x14ac:dyDescent="0.25">
      <c r="G36" s="22" t="s">
        <v>219</v>
      </c>
      <c r="H36" s="23" t="s">
        <v>141</v>
      </c>
      <c r="I36" s="29"/>
      <c r="J36" s="30"/>
      <c r="K36" s="30"/>
      <c r="L36" s="26">
        <f ca="1">IF(G36="","",IF(Settings.COB=TODAY(),_xll.BDP(G36,"LAST_PRICE"),_xll.BDH(G36,"LAST_PRICE",Settings.COB,Settings.COB)))</f>
        <v>12.9</v>
      </c>
      <c r="M36" s="39">
        <f t="shared" ca="1" si="10"/>
        <v>1.2900000000000001E-3</v>
      </c>
      <c r="O36" s="22" t="s">
        <v>220</v>
      </c>
      <c r="P36" s="23" t="s">
        <v>158</v>
      </c>
      <c r="Q36" s="28">
        <f ca="1">IF(O36="","",IF(Settings.COB=TODAY(),_xll.BDP(O36,"LAST_PRICE"),_xll.BDH(O36,"LAST_PRICE",Settings.COB,Settings.COB)))</f>
        <v>0.108</v>
      </c>
      <c r="R36" s="27">
        <f t="shared" ca="1" si="7"/>
        <v>1.08E-3</v>
      </c>
      <c r="T36" s="22"/>
      <c r="U36" s="23"/>
      <c r="V36" s="33"/>
      <c r="W36" s="34"/>
      <c r="X36" s="34"/>
      <c r="Y36" s="26" t="str">
        <f ca="1">IF(T36="","",IF(Settings.COB=TODAY(),_xll.BDP(T36,"LAST_PRICE"),_xll.BDH(T36,"LAST_PRICE",Settings.COB,Settings.COB)))</f>
        <v/>
      </c>
      <c r="Z36" s="27"/>
      <c r="AB36" s="22"/>
      <c r="AC36" s="23"/>
      <c r="AD36" s="28" t="str">
        <f ca="1">IF(AB36="","",IF(Settings.COB=TODAY(),_xll.BDP(AB36,"LAST_PRICE"),_xll.BDH(AB36,"LAST_PRICE",Settings.COB,Settings.COB)))</f>
        <v/>
      </c>
      <c r="AE36" s="27"/>
      <c r="AG36" s="22"/>
      <c r="AH36" s="23"/>
      <c r="AI36" s="28" t="str">
        <f ca="1">IF(AG36="","",IF(Settings.COB=TODAY(),_xll.BDP(AG36,"LAST_PRICE"),_xll.BDH(AG36,"LAST_PRICE",Settings.COB,Settings.COB)))</f>
        <v/>
      </c>
      <c r="AJ36" s="27"/>
      <c r="AL36" s="22" t="s">
        <v>221</v>
      </c>
      <c r="AM36" s="23" t="s">
        <v>150</v>
      </c>
      <c r="AN36" s="31">
        <f ca="1">IF(AL36="","",IF(Settings.COB=TODAY(),_xll.BDP(AL36,"LAST_PRICE"),_xll.BDH(AL36,"LAST_PRICE",Settings.COB,Settings.COB)))</f>
        <v>-8.125</v>
      </c>
      <c r="AO36" s="27">
        <f t="shared" ca="1" si="9"/>
        <v>-8.1249999999999996E-4</v>
      </c>
    </row>
    <row r="37" spans="7:41" x14ac:dyDescent="0.25">
      <c r="G37" s="22" t="s">
        <v>222</v>
      </c>
      <c r="H37" s="23" t="s">
        <v>150</v>
      </c>
      <c r="I37" s="29"/>
      <c r="J37" s="30"/>
      <c r="K37" s="30"/>
      <c r="L37" s="26">
        <f ca="1">IF(G37="","",IF(Settings.COB=TODAY(),_xll.BDP(G37,"LAST_PRICE"),_xll.BDH(G37,"LAST_PRICE",Settings.COB,Settings.COB)))</f>
        <v>12.8</v>
      </c>
      <c r="M37" s="39">
        <f t="shared" ca="1" si="10"/>
        <v>1.2800000000000001E-3</v>
      </c>
      <c r="O37" s="22" t="s">
        <v>223</v>
      </c>
      <c r="P37" s="23" t="s">
        <v>209</v>
      </c>
      <c r="Q37" s="28">
        <f ca="1">IF(O37="","",IF(Settings.COB=TODAY(),_xll.BDP(O37,"LAST_PRICE"),_xll.BDH(O37,"LAST_PRICE",Settings.COB,Settings.COB)))</f>
        <v>3.4000000000000002E-2</v>
      </c>
      <c r="R37" s="27">
        <f t="shared" ca="1" si="7"/>
        <v>3.4000000000000002E-4</v>
      </c>
      <c r="T37" s="22"/>
      <c r="U37" s="23"/>
      <c r="V37" s="33"/>
      <c r="W37" s="34"/>
      <c r="X37" s="34"/>
      <c r="Y37" s="26" t="str">
        <f ca="1">IF(T37="","",IF(Settings.COB=TODAY(),_xll.BDP(T37,"LAST_PRICE"),_xll.BDH(T37,"LAST_PRICE",Settings.COB,Settings.COB)))</f>
        <v/>
      </c>
      <c r="Z37" s="27"/>
      <c r="AB37" s="22"/>
      <c r="AC37" s="23"/>
      <c r="AD37" s="28" t="str">
        <f ca="1">IF(AB37="","",IF(Settings.COB=TODAY(),_xll.BDP(AB37,"LAST_PRICE"),_xll.BDH(AB37,"LAST_PRICE",Settings.COB,Settings.COB)))</f>
        <v/>
      </c>
      <c r="AE37" s="27"/>
      <c r="AG37" s="22"/>
      <c r="AH37" s="23"/>
      <c r="AI37" s="28" t="str">
        <f ca="1">IF(AG37="","",IF(Settings.COB=TODAY(),_xll.BDP(AG37,"LAST_PRICE"),_xll.BDH(AG37,"LAST_PRICE",Settings.COB,Settings.COB)))</f>
        <v/>
      </c>
      <c r="AJ37" s="27"/>
      <c r="AL37" s="22" t="s">
        <v>224</v>
      </c>
      <c r="AM37" s="23" t="s">
        <v>158</v>
      </c>
      <c r="AN37" s="31">
        <f ca="1">IF(AL37="","",IF(Settings.COB=TODAY(),_xll.BDP(AL37,"LAST_PRICE"),_xll.BDH(AL37,"LAST_PRICE",Settings.COB,Settings.COB)))</f>
        <v>-4.25</v>
      </c>
      <c r="AO37" s="27">
        <f t="shared" ca="1" si="9"/>
        <v>-4.2499999999999998E-4</v>
      </c>
    </row>
    <row r="38" spans="7:41" x14ac:dyDescent="0.25">
      <c r="G38" s="22" t="s">
        <v>225</v>
      </c>
      <c r="H38" s="23" t="s">
        <v>158</v>
      </c>
      <c r="I38" s="29"/>
      <c r="J38" s="30"/>
      <c r="K38" s="30"/>
      <c r="L38" s="26">
        <f ca="1">IF(G38="","",IF(Settings.COB=TODAY(),_xll.BDP(G38,"LAST_PRICE"),_xll.BDH(G38,"LAST_PRICE",Settings.COB,Settings.COB)))</f>
        <v>12.7</v>
      </c>
      <c r="M38" s="39">
        <f t="shared" ca="1" si="10"/>
        <v>1.2699999999999999E-3</v>
      </c>
      <c r="O38" s="22" t="s">
        <v>226</v>
      </c>
      <c r="P38" s="23" t="s">
        <v>214</v>
      </c>
      <c r="Q38" s="28">
        <f ca="1">IF(O38="","",IF(Settings.COB=TODAY(),_xll.BDP(O38,"LAST_PRICE"),_xll.BDH(O38,"LAST_PRICE",Settings.COB,Settings.COB)))</f>
        <v>-3.6999999999999998E-2</v>
      </c>
      <c r="R38" s="27">
        <f t="shared" ca="1" si="7"/>
        <v>-3.6999999999999999E-4</v>
      </c>
      <c r="T38" s="22"/>
      <c r="U38" s="23"/>
      <c r="V38" s="33"/>
      <c r="W38" s="34"/>
      <c r="X38" s="34"/>
      <c r="Y38" s="26" t="str">
        <f ca="1">IF(T38="","",IF(Settings.COB=TODAY(),_xll.BDP(T38,"LAST_PRICE"),_xll.BDH(T38,"LAST_PRICE",Settings.COB,Settings.COB)))</f>
        <v/>
      </c>
      <c r="Z38" s="27"/>
      <c r="AB38" s="22"/>
      <c r="AC38" s="23"/>
      <c r="AD38" s="28" t="str">
        <f ca="1">IF(AB38="","",IF(Settings.COB=TODAY(),_xll.BDP(AB38,"LAST_PRICE"),_xll.BDH(AB38,"LAST_PRICE",Settings.COB,Settings.COB)))</f>
        <v/>
      </c>
      <c r="AE38" s="27"/>
      <c r="AG38" s="22"/>
      <c r="AH38" s="23"/>
      <c r="AI38" s="28" t="str">
        <f ca="1">IF(AG38="","",IF(Settings.COB=TODAY(),_xll.BDP(AG38,"LAST_PRICE"),_xll.BDH(AG38,"LAST_PRICE",Settings.COB,Settings.COB)))</f>
        <v/>
      </c>
      <c r="AJ38" s="27"/>
      <c r="AL38" s="22"/>
      <c r="AM38" s="23"/>
      <c r="AN38" s="31"/>
      <c r="AO38" s="27"/>
    </row>
    <row r="39" spans="7:41" x14ac:dyDescent="0.25">
      <c r="G39" s="22" t="s">
        <v>227</v>
      </c>
      <c r="H39" s="23" t="s">
        <v>209</v>
      </c>
      <c r="I39" s="29"/>
      <c r="J39" s="30"/>
      <c r="K39" s="30"/>
      <c r="L39" s="26">
        <f ca="1">IF(G39="","",IF(Settings.COB=TODAY(),_xll.BDP(G39,"LAST_PRICE"),_xll.BDH(G39,"LAST_PRICE",Settings.COB,Settings.COB)))</f>
        <v>12.2</v>
      </c>
      <c r="M39" s="39">
        <f t="shared" ca="1" si="10"/>
        <v>1.2199999999999999E-3</v>
      </c>
      <c r="O39" s="22"/>
      <c r="P39" s="23"/>
      <c r="Q39" s="28" t="str">
        <f ca="1">IF(O39="","",IF(Settings.COB=TODAY(),_xll.BDP(O39,"LAST_PRICE"),_xll.BDH(O39,"LAST_PRICE",Settings.COB,Settings.COB)))</f>
        <v/>
      </c>
      <c r="R39" s="27"/>
      <c r="T39" s="22"/>
      <c r="U39" s="23"/>
      <c r="V39" s="33"/>
      <c r="W39" s="34"/>
      <c r="X39" s="34"/>
      <c r="Y39" s="26" t="str">
        <f ca="1">IF(T39="","",IF(Settings.COB=TODAY(),_xll.BDP(T39,"LAST_PRICE"),_xll.BDH(T39,"LAST_PRICE",Settings.COB,Settings.COB)))</f>
        <v/>
      </c>
      <c r="Z39" s="27"/>
      <c r="AB39" s="22"/>
      <c r="AC39" s="23"/>
      <c r="AD39" s="28" t="str">
        <f ca="1">IF(AB39="","",IF(Settings.COB=TODAY(),_xll.BDP(AB39,"LAST_PRICE"),_xll.BDH(AB39,"LAST_PRICE",Settings.COB,Settings.COB)))</f>
        <v/>
      </c>
      <c r="AE39" s="27"/>
      <c r="AG39" s="22"/>
      <c r="AH39" s="23"/>
      <c r="AI39" s="28" t="str">
        <f ca="1">IF(AG39="","",IF(Settings.COB=TODAY(),_xll.BDP(AG39,"LAST_PRICE"),_xll.BDH(AG39,"LAST_PRICE",Settings.COB,Settings.COB)))</f>
        <v/>
      </c>
      <c r="AJ39" s="27"/>
      <c r="AL39" s="22"/>
      <c r="AM39" s="23"/>
      <c r="AN39" s="31"/>
      <c r="AO39" s="27"/>
    </row>
    <row r="40" spans="7:41" x14ac:dyDescent="0.25">
      <c r="G40" s="22" t="s">
        <v>228</v>
      </c>
      <c r="H40" s="23" t="s">
        <v>214</v>
      </c>
      <c r="I40" s="29"/>
      <c r="J40" s="30"/>
      <c r="K40" s="30"/>
      <c r="L40" s="26">
        <f ca="1">IF(G40="","",IF(Settings.COB=TODAY(),_xll.BDP(G40,"LAST_PRICE"),_xll.BDH(G40,"LAST_PRICE",Settings.COB,Settings.COB)))</f>
        <v>11.6</v>
      </c>
      <c r="M40" s="39">
        <f t="shared" ca="1" si="10"/>
        <v>1.16E-3</v>
      </c>
      <c r="O40" s="22"/>
      <c r="P40" s="23"/>
      <c r="Q40" s="28" t="str">
        <f ca="1">IF(O40="","",IF(Settings.COB=TODAY(),_xll.BDP(O40,"LAST_PRICE"),_xll.BDH(O40,"LAST_PRICE",Settings.COB,Settings.COB)))</f>
        <v/>
      </c>
      <c r="R40" s="27"/>
      <c r="T40" s="22"/>
      <c r="U40" s="23"/>
      <c r="V40" s="33"/>
      <c r="W40" s="34"/>
      <c r="X40" s="34"/>
      <c r="Y40" s="26" t="str">
        <f ca="1">IF(T40="","",IF(Settings.COB=TODAY(),_xll.BDP(T40,"LAST_PRICE"),_xll.BDH(T40,"LAST_PRICE",Settings.COB,Settings.COB)))</f>
        <v/>
      </c>
      <c r="Z40" s="27"/>
      <c r="AB40" s="22"/>
      <c r="AC40" s="23"/>
      <c r="AD40" s="28" t="str">
        <f ca="1">IF(AB40="","",IF(Settings.COB=TODAY(),_xll.BDP(AB40,"LAST_PRICE"),_xll.BDH(AB40,"LAST_PRICE",Settings.COB,Settings.COB)))</f>
        <v/>
      </c>
      <c r="AE40" s="27"/>
      <c r="AG40" s="22"/>
      <c r="AH40" s="23"/>
      <c r="AI40" s="28" t="str">
        <f ca="1">IF(AG40="","",IF(Settings.COB=TODAY(),_xll.BDP(AG40,"LAST_PRICE"),_xll.BDH(AG40,"LAST_PRICE",Settings.COB,Settings.COB)))</f>
        <v/>
      </c>
      <c r="AJ40" s="27"/>
      <c r="AL40" s="22"/>
      <c r="AM40" s="23"/>
      <c r="AN40" s="31"/>
      <c r="AO40" s="27"/>
    </row>
    <row r="41" spans="7:41" x14ac:dyDescent="0.25">
      <c r="G41" s="22" t="s">
        <v>229</v>
      </c>
      <c r="H41" s="23" t="s">
        <v>26</v>
      </c>
      <c r="I41" s="29"/>
      <c r="J41" s="30"/>
      <c r="K41" s="30"/>
      <c r="L41" s="26">
        <f ca="1">IF(G41="","",IF(Settings.COB=TODAY(),_xll.BDP(G41,"LAST_PRICE"),_xll.BDH(G41,"LAST_PRICE",Settings.COB,Settings.COB)))</f>
        <v>-0.371</v>
      </c>
      <c r="M41" s="27">
        <f ca="1">L41/100</f>
        <v>-3.7099999999999998E-3</v>
      </c>
      <c r="O41" s="22"/>
      <c r="P41" s="23"/>
      <c r="Q41" s="28"/>
      <c r="R41" s="27"/>
      <c r="T41" s="22"/>
      <c r="U41" s="23"/>
      <c r="V41" s="33"/>
      <c r="W41" s="34"/>
      <c r="X41" s="34"/>
      <c r="Y41" s="26"/>
      <c r="Z41" s="27"/>
      <c r="AB41" s="22"/>
      <c r="AC41" s="23"/>
      <c r="AD41" s="28"/>
      <c r="AE41" s="27"/>
      <c r="AG41" s="22"/>
      <c r="AH41" s="23"/>
      <c r="AI41" s="28"/>
      <c r="AJ41" s="27"/>
      <c r="AL41" s="22"/>
      <c r="AM41" s="23"/>
      <c r="AN41" s="31"/>
      <c r="AO41" s="27"/>
    </row>
    <row r="42" spans="7:41" x14ac:dyDescent="0.25">
      <c r="G42" s="22" t="s">
        <v>230</v>
      </c>
      <c r="H42" s="23" t="s">
        <v>35</v>
      </c>
      <c r="I42" s="29"/>
      <c r="J42" s="30"/>
      <c r="K42" s="30"/>
      <c r="L42" s="26">
        <f ca="1">IF(G42="","",IF(Settings.COB=TODAY(),_xll.BDP(G42,"LAST_PRICE"),_xll.BDH(G42,"LAST_PRICE",Settings.COB,Settings.COB)))</f>
        <v>-0.38</v>
      </c>
      <c r="M42" s="27">
        <f t="shared" ref="M42:M58" ca="1" si="11">L42/100</f>
        <v>-3.8E-3</v>
      </c>
      <c r="O42" s="22"/>
      <c r="P42" s="23"/>
      <c r="Q42" s="28"/>
      <c r="R42" s="27"/>
      <c r="T42" s="22"/>
      <c r="U42" s="23"/>
      <c r="V42" s="33"/>
      <c r="W42" s="34"/>
      <c r="X42" s="34"/>
      <c r="Y42" s="26"/>
      <c r="Z42" s="27"/>
      <c r="AB42" s="22"/>
      <c r="AC42" s="23"/>
      <c r="AD42" s="28"/>
      <c r="AE42" s="27"/>
      <c r="AG42" s="22"/>
      <c r="AH42" s="23"/>
      <c r="AI42" s="28"/>
      <c r="AJ42" s="27"/>
      <c r="AL42" s="22"/>
      <c r="AM42" s="23"/>
      <c r="AN42" s="31"/>
      <c r="AO42" s="27"/>
    </row>
    <row r="43" spans="7:41" x14ac:dyDescent="0.25">
      <c r="G43" s="22" t="s">
        <v>231</v>
      </c>
      <c r="H43" s="23" t="s">
        <v>43</v>
      </c>
      <c r="I43" s="29"/>
      <c r="J43" s="30"/>
      <c r="K43" s="30"/>
      <c r="L43" s="26">
        <f ca="1">IF(G43="","",IF(Settings.COB=TODAY(),_xll.BDP(G43,"LAST_PRICE"),_xll.BDH(G43,"LAST_PRICE",Settings.COB,Settings.COB)))</f>
        <v>-0.36699999999999999</v>
      </c>
      <c r="M43" s="27">
        <f t="shared" ca="1" si="11"/>
        <v>-3.6700000000000001E-3</v>
      </c>
      <c r="O43" s="22"/>
      <c r="P43" s="23"/>
      <c r="Q43" s="28"/>
      <c r="R43" s="27"/>
      <c r="T43" s="22"/>
      <c r="U43" s="23"/>
      <c r="V43" s="33"/>
      <c r="W43" s="34"/>
      <c r="X43" s="34"/>
      <c r="Y43" s="26"/>
      <c r="Z43" s="27"/>
      <c r="AB43" s="22"/>
      <c r="AC43" s="23"/>
      <c r="AD43" s="28"/>
      <c r="AE43" s="27"/>
      <c r="AG43" s="22"/>
      <c r="AH43" s="23"/>
      <c r="AI43" s="28"/>
      <c r="AJ43" s="27"/>
      <c r="AL43" s="22"/>
      <c r="AM43" s="23"/>
      <c r="AN43" s="31"/>
      <c r="AO43" s="27"/>
    </row>
    <row r="44" spans="7:41" x14ac:dyDescent="0.25">
      <c r="G44" s="22" t="s">
        <v>232</v>
      </c>
      <c r="H44" s="23" t="s">
        <v>53</v>
      </c>
      <c r="I44" s="29"/>
      <c r="J44" s="30"/>
      <c r="K44" s="30"/>
      <c r="L44" s="26">
        <f ca="1">IF(G44="","",IF(Settings.COB=TODAY(),_xll.BDP(G44,"LAST_PRICE"),_xll.BDH(G44,"LAST_PRICE",Settings.COB,Settings.COB)))</f>
        <v>-0.33700000000000002</v>
      </c>
      <c r="M44" s="27">
        <f t="shared" ca="1" si="11"/>
        <v>-3.3700000000000002E-3</v>
      </c>
      <c r="O44" s="22"/>
      <c r="P44" s="23"/>
      <c r="Q44" s="28"/>
      <c r="R44" s="27"/>
      <c r="T44" s="22"/>
      <c r="U44" s="23"/>
      <c r="V44" s="33"/>
      <c r="W44" s="34"/>
      <c r="X44" s="34"/>
      <c r="Y44" s="26"/>
      <c r="Z44" s="27"/>
      <c r="AB44" s="22"/>
      <c r="AC44" s="23"/>
      <c r="AD44" s="28"/>
      <c r="AE44" s="27"/>
      <c r="AG44" s="22"/>
      <c r="AH44" s="23"/>
      <c r="AI44" s="28"/>
      <c r="AJ44" s="27"/>
      <c r="AL44" s="22"/>
      <c r="AM44" s="23"/>
      <c r="AN44" s="31"/>
      <c r="AO44" s="27"/>
    </row>
    <row r="45" spans="7:41" x14ac:dyDescent="0.25">
      <c r="G45" s="22" t="s">
        <v>233</v>
      </c>
      <c r="H45" s="23" t="s">
        <v>64</v>
      </c>
      <c r="I45" s="29"/>
      <c r="J45" s="30"/>
      <c r="K45" s="30"/>
      <c r="L45" s="26">
        <f ca="1">IF(G45="","",IF(Settings.COB=TODAY(),_xll.BDP(G45,"LAST_PRICE"),_xll.BDH(G45,"LAST_PRICE",Settings.COB,Settings.COB)))</f>
        <v>-0.29699999999999999</v>
      </c>
      <c r="M45" s="27">
        <f t="shared" ca="1" si="11"/>
        <v>-2.97E-3</v>
      </c>
      <c r="O45" s="22"/>
      <c r="P45" s="23"/>
      <c r="Q45" s="28"/>
      <c r="R45" s="27"/>
      <c r="T45" s="22"/>
      <c r="U45" s="23"/>
      <c r="V45" s="33"/>
      <c r="W45" s="34"/>
      <c r="X45" s="34"/>
      <c r="Y45" s="26"/>
      <c r="Z45" s="27"/>
      <c r="AB45" s="22"/>
      <c r="AC45" s="23"/>
      <c r="AD45" s="28"/>
      <c r="AE45" s="27"/>
      <c r="AG45" s="22"/>
      <c r="AH45" s="23"/>
      <c r="AI45" s="28"/>
      <c r="AJ45" s="27"/>
      <c r="AL45" s="22"/>
      <c r="AM45" s="23"/>
      <c r="AN45" s="31"/>
      <c r="AO45" s="27"/>
    </row>
    <row r="46" spans="7:41" x14ac:dyDescent="0.25">
      <c r="G46" s="22" t="s">
        <v>234</v>
      </c>
      <c r="H46" s="23" t="s">
        <v>74</v>
      </c>
      <c r="I46" s="29"/>
      <c r="J46" s="30"/>
      <c r="K46" s="30"/>
      <c r="L46" s="26">
        <f ca="1">IF(G46="","",IF(Settings.COB=TODAY(),_xll.BDP(G46,"LAST_PRICE"),_xll.BDH(G46,"LAST_PRICE",Settings.COB,Settings.COB)))</f>
        <v>-0.26</v>
      </c>
      <c r="M46" s="27">
        <f t="shared" ca="1" si="11"/>
        <v>-2.5999999999999999E-3</v>
      </c>
      <c r="O46" s="22"/>
      <c r="P46" s="23"/>
      <c r="Q46" s="28"/>
      <c r="R46" s="27"/>
      <c r="T46" s="22"/>
      <c r="U46" s="23"/>
      <c r="V46" s="33"/>
      <c r="W46" s="34"/>
      <c r="X46" s="34"/>
      <c r="Y46" s="26"/>
      <c r="Z46" s="27"/>
      <c r="AB46" s="22"/>
      <c r="AC46" s="23"/>
      <c r="AD46" s="28"/>
      <c r="AE46" s="27"/>
      <c r="AG46" s="22"/>
      <c r="AH46" s="23"/>
      <c r="AI46" s="28"/>
      <c r="AJ46" s="27"/>
      <c r="AL46" s="22"/>
      <c r="AM46" s="23"/>
      <c r="AN46" s="31"/>
      <c r="AO46" s="27"/>
    </row>
    <row r="47" spans="7:41" x14ac:dyDescent="0.25">
      <c r="G47" s="22" t="s">
        <v>235</v>
      </c>
      <c r="H47" s="23" t="s">
        <v>86</v>
      </c>
      <c r="I47" s="29"/>
      <c r="J47" s="30"/>
      <c r="K47" s="30"/>
      <c r="L47" s="26">
        <f ca="1">IF(G47="","",IF(Settings.COB=TODAY(),_xll.BDP(G47,"LAST_PRICE"),_xll.BDH(G47,"LAST_PRICE",Settings.COB,Settings.COB)))</f>
        <v>-0.218</v>
      </c>
      <c r="M47" s="27">
        <f t="shared" ca="1" si="11"/>
        <v>-2.1800000000000001E-3</v>
      </c>
      <c r="O47" s="22"/>
      <c r="P47" s="23"/>
      <c r="Q47" s="28"/>
      <c r="R47" s="27"/>
      <c r="T47" s="22"/>
      <c r="U47" s="23"/>
      <c r="V47" s="33"/>
      <c r="W47" s="34"/>
      <c r="X47" s="34"/>
      <c r="Y47" s="26"/>
      <c r="Z47" s="27"/>
      <c r="AB47" s="22"/>
      <c r="AC47" s="23"/>
      <c r="AD47" s="28"/>
      <c r="AE47" s="27"/>
      <c r="AG47" s="22"/>
      <c r="AH47" s="23"/>
      <c r="AI47" s="28"/>
      <c r="AJ47" s="27"/>
      <c r="AL47" s="22"/>
      <c r="AM47" s="23"/>
      <c r="AN47" s="31"/>
      <c r="AO47" s="27"/>
    </row>
    <row r="48" spans="7:41" x14ac:dyDescent="0.25">
      <c r="G48" s="22" t="s">
        <v>236</v>
      </c>
      <c r="H48" s="23" t="s">
        <v>94</v>
      </c>
      <c r="I48" s="29"/>
      <c r="J48" s="30"/>
      <c r="K48" s="30"/>
      <c r="L48" s="26">
        <f ca="1">IF(G48="","",IF(Settings.COB=TODAY(),_xll.BDP(G48,"LAST_PRICE"),_xll.BDH(G48,"LAST_PRICE",Settings.COB,Settings.COB)))</f>
        <v>-0.17399999999999999</v>
      </c>
      <c r="M48" s="27">
        <f t="shared" ca="1" si="11"/>
        <v>-1.7399999999999998E-3</v>
      </c>
      <c r="O48" s="22"/>
      <c r="P48" s="23"/>
      <c r="Q48" s="28"/>
      <c r="R48" s="27"/>
      <c r="T48" s="22"/>
      <c r="U48" s="23"/>
      <c r="V48" s="33"/>
      <c r="W48" s="34"/>
      <c r="X48" s="34"/>
      <c r="Y48" s="26"/>
      <c r="Z48" s="27"/>
      <c r="AB48" s="22"/>
      <c r="AC48" s="23"/>
      <c r="AD48" s="28"/>
      <c r="AE48" s="27"/>
      <c r="AG48" s="22"/>
      <c r="AH48" s="23"/>
      <c r="AI48" s="28"/>
      <c r="AJ48" s="27"/>
      <c r="AL48" s="22"/>
      <c r="AM48" s="23"/>
      <c r="AN48" s="31"/>
      <c r="AO48" s="27"/>
    </row>
    <row r="49" spans="7:41" x14ac:dyDescent="0.25">
      <c r="G49" s="22" t="s">
        <v>237</v>
      </c>
      <c r="H49" s="23" t="s">
        <v>104</v>
      </c>
      <c r="I49" s="29"/>
      <c r="J49" s="30"/>
      <c r="K49" s="30"/>
      <c r="L49" s="26">
        <f ca="1">IF(G49="","",IF(Settings.COB=TODAY(),_xll.BDP(G49,"LAST_PRICE"),_xll.BDH(G49,"LAST_PRICE",Settings.COB,Settings.COB)))</f>
        <v>-0.13</v>
      </c>
      <c r="M49" s="27">
        <f t="shared" ca="1" si="11"/>
        <v>-1.2999999999999999E-3</v>
      </c>
      <c r="O49" s="22"/>
      <c r="P49" s="23"/>
      <c r="Q49" s="28"/>
      <c r="R49" s="27"/>
      <c r="T49" s="22"/>
      <c r="U49" s="23"/>
      <c r="V49" s="33"/>
      <c r="W49" s="34"/>
      <c r="X49" s="34"/>
      <c r="Y49" s="26"/>
      <c r="Z49" s="27"/>
      <c r="AB49" s="22"/>
      <c r="AC49" s="23"/>
      <c r="AD49" s="28"/>
      <c r="AE49" s="27"/>
      <c r="AG49" s="22"/>
      <c r="AH49" s="23"/>
      <c r="AI49" s="28"/>
      <c r="AJ49" s="27"/>
      <c r="AL49" s="22"/>
      <c r="AM49" s="23"/>
      <c r="AN49" s="31"/>
      <c r="AO49" s="27"/>
    </row>
    <row r="50" spans="7:41" x14ac:dyDescent="0.25">
      <c r="G50" s="22" t="s">
        <v>238</v>
      </c>
      <c r="H50" s="23" t="s">
        <v>113</v>
      </c>
      <c r="I50" s="29"/>
      <c r="J50" s="30"/>
      <c r="K50" s="30"/>
      <c r="L50" s="26">
        <f ca="1">IF(G50="","",IF(Settings.COB=TODAY(),_xll.BDP(G50,"LAST_PRICE"),_xll.BDH(G50,"LAST_PRICE",Settings.COB,Settings.COB)))</f>
        <v>-8.5999999999999993E-2</v>
      </c>
      <c r="M50" s="27">
        <f t="shared" ca="1" si="11"/>
        <v>-8.5999999999999998E-4</v>
      </c>
      <c r="O50" s="22"/>
      <c r="P50" s="23"/>
      <c r="Q50" s="28"/>
      <c r="R50" s="27"/>
      <c r="T50" s="22"/>
      <c r="U50" s="23"/>
      <c r="V50" s="33"/>
      <c r="W50" s="34"/>
      <c r="X50" s="34"/>
      <c r="Y50" s="26"/>
      <c r="Z50" s="27"/>
      <c r="AB50" s="22"/>
      <c r="AC50" s="23"/>
      <c r="AD50" s="28"/>
      <c r="AE50" s="27"/>
      <c r="AG50" s="22"/>
      <c r="AH50" s="23"/>
      <c r="AI50" s="28"/>
      <c r="AJ50" s="27"/>
      <c r="AL50" s="22"/>
      <c r="AM50" s="23"/>
      <c r="AN50" s="31"/>
      <c r="AO50" s="27"/>
    </row>
    <row r="51" spans="7:41" x14ac:dyDescent="0.25">
      <c r="G51" s="22" t="s">
        <v>239</v>
      </c>
      <c r="H51" s="23" t="s">
        <v>184</v>
      </c>
      <c r="I51" s="29"/>
      <c r="J51" s="30"/>
      <c r="K51" s="30"/>
      <c r="L51" s="26">
        <f ca="1">IF(G51="","",IF(Settings.COB=TODAY(),_xll.BDP(G51,"LAST_PRICE"),_xll.BDH(G51,"LAST_PRICE",Settings.COB,Settings.COB)))</f>
        <v>-4.2999999999999997E-2</v>
      </c>
      <c r="M51" s="27">
        <f t="shared" ca="1" si="11"/>
        <v>-4.2999999999999999E-4</v>
      </c>
      <c r="O51" s="22"/>
      <c r="P51" s="23"/>
      <c r="Q51" s="28"/>
      <c r="R51" s="27"/>
      <c r="T51" s="22"/>
      <c r="U51" s="23"/>
      <c r="V51" s="33"/>
      <c r="W51" s="34"/>
      <c r="X51" s="34"/>
      <c r="Y51" s="26"/>
      <c r="Z51" s="27"/>
      <c r="AB51" s="22"/>
      <c r="AC51" s="23"/>
      <c r="AD51" s="28"/>
      <c r="AE51" s="27"/>
      <c r="AG51" s="22"/>
      <c r="AH51" s="23"/>
      <c r="AI51" s="28"/>
      <c r="AJ51" s="27"/>
      <c r="AL51" s="22"/>
      <c r="AM51" s="23"/>
      <c r="AN51" s="31"/>
      <c r="AO51" s="27"/>
    </row>
    <row r="52" spans="7:41" x14ac:dyDescent="0.25">
      <c r="G52" s="22" t="s">
        <v>240</v>
      </c>
      <c r="H52" s="23" t="s">
        <v>123</v>
      </c>
      <c r="I52" s="29"/>
      <c r="J52" s="30"/>
      <c r="K52" s="30"/>
      <c r="L52" s="26">
        <f ca="1">IF(G52="","",IF(Settings.COB=TODAY(),_xll.BDP(G52,"LAST_PRICE"),_xll.BDH(G52,"LAST_PRICE",Settings.COB,Settings.COB)))</f>
        <v>-2E-3</v>
      </c>
      <c r="M52" s="27">
        <f t="shared" ca="1" si="11"/>
        <v>-2.0000000000000002E-5</v>
      </c>
      <c r="O52" s="22"/>
      <c r="P52" s="23"/>
      <c r="Q52" s="28"/>
      <c r="R52" s="27"/>
      <c r="T52" s="22"/>
      <c r="U52" s="23"/>
      <c r="V52" s="33"/>
      <c r="W52" s="34"/>
      <c r="X52" s="34"/>
      <c r="Y52" s="26"/>
      <c r="Z52" s="27"/>
      <c r="AB52" s="22"/>
      <c r="AC52" s="23"/>
      <c r="AD52" s="28"/>
      <c r="AE52" s="27"/>
      <c r="AG52" s="22"/>
      <c r="AH52" s="23"/>
      <c r="AI52" s="28"/>
      <c r="AJ52" s="27"/>
      <c r="AL52" s="22"/>
      <c r="AM52" s="23"/>
      <c r="AN52" s="31"/>
      <c r="AO52" s="27"/>
    </row>
    <row r="53" spans="7:41" x14ac:dyDescent="0.25">
      <c r="G53" s="22" t="s">
        <v>241</v>
      </c>
      <c r="H53" s="23" t="s">
        <v>133</v>
      </c>
      <c r="I53" s="29"/>
      <c r="J53" s="30"/>
      <c r="K53" s="30"/>
      <c r="L53" s="26">
        <f ca="1">IF(G53="","",IF(Settings.COB=TODAY(),_xll.BDP(G53,"LAST_PRICE"),_xll.BDH(G53,"LAST_PRICE",Settings.COB,Settings.COB)))</f>
        <v>9.5000000000000001E-2</v>
      </c>
      <c r="M53" s="27">
        <f t="shared" ca="1" si="11"/>
        <v>9.5E-4</v>
      </c>
      <c r="O53" s="22"/>
      <c r="P53" s="23"/>
      <c r="Q53" s="28"/>
      <c r="R53" s="27"/>
      <c r="T53" s="22"/>
      <c r="U53" s="23"/>
      <c r="V53" s="33"/>
      <c r="W53" s="34"/>
      <c r="X53" s="34"/>
      <c r="Y53" s="26"/>
      <c r="Z53" s="27"/>
      <c r="AB53" s="22"/>
      <c r="AC53" s="23"/>
      <c r="AD53" s="28"/>
      <c r="AE53" s="27"/>
      <c r="AG53" s="22"/>
      <c r="AH53" s="23"/>
      <c r="AI53" s="28"/>
      <c r="AJ53" s="27"/>
      <c r="AL53" s="22"/>
      <c r="AM53" s="23"/>
      <c r="AN53" s="31"/>
      <c r="AO53" s="27"/>
    </row>
    <row r="54" spans="7:41" x14ac:dyDescent="0.25">
      <c r="G54" s="22" t="s">
        <v>242</v>
      </c>
      <c r="H54" s="23" t="s">
        <v>141</v>
      </c>
      <c r="I54" s="29"/>
      <c r="J54" s="30"/>
      <c r="K54" s="30"/>
      <c r="L54" s="26">
        <f ca="1">IF(G54="","",IF(Settings.COB=TODAY(),_xll.BDP(G54,"LAST_PRICE"),_xll.BDH(G54,"LAST_PRICE",Settings.COB,Settings.COB)))</f>
        <v>0.157</v>
      </c>
      <c r="M54" s="27">
        <f t="shared" ca="1" si="11"/>
        <v>1.57E-3</v>
      </c>
      <c r="O54" s="22"/>
      <c r="P54" s="23"/>
      <c r="Q54" s="28"/>
      <c r="R54" s="27"/>
      <c r="T54" s="22"/>
      <c r="U54" s="23"/>
      <c r="V54" s="33"/>
      <c r="W54" s="34"/>
      <c r="X54" s="34"/>
      <c r="Y54" s="26"/>
      <c r="Z54" s="27"/>
      <c r="AB54" s="22"/>
      <c r="AC54" s="23"/>
      <c r="AD54" s="28"/>
      <c r="AE54" s="27"/>
      <c r="AG54" s="22"/>
      <c r="AH54" s="23"/>
      <c r="AI54" s="28"/>
      <c r="AJ54" s="27"/>
      <c r="AL54" s="22"/>
      <c r="AM54" s="23"/>
      <c r="AN54" s="31"/>
      <c r="AO54" s="27"/>
    </row>
    <row r="55" spans="7:41" x14ac:dyDescent="0.25">
      <c r="G55" s="22" t="s">
        <v>243</v>
      </c>
      <c r="H55" s="23" t="s">
        <v>150</v>
      </c>
      <c r="I55" s="29"/>
      <c r="J55" s="30"/>
      <c r="K55" s="30"/>
      <c r="L55" s="26">
        <f ca="1">IF(G55="","",IF(Settings.COB=TODAY(),_xll.BDP(G55,"LAST_PRICE"),_xll.BDH(G55,"LAST_PRICE",Settings.COB,Settings.COB)))</f>
        <v>0.14299999999999999</v>
      </c>
      <c r="M55" s="27">
        <f t="shared" ca="1" si="11"/>
        <v>1.4299999999999998E-3</v>
      </c>
      <c r="O55" s="22"/>
      <c r="P55" s="23"/>
      <c r="Q55" s="28"/>
      <c r="R55" s="27"/>
      <c r="T55" s="22"/>
      <c r="U55" s="23"/>
      <c r="V55" s="33"/>
      <c r="W55" s="34"/>
      <c r="X55" s="34"/>
      <c r="Y55" s="26"/>
      <c r="Z55" s="27"/>
      <c r="AB55" s="22"/>
      <c r="AC55" s="23"/>
      <c r="AD55" s="28"/>
      <c r="AE55" s="27"/>
      <c r="AG55" s="22"/>
      <c r="AH55" s="23"/>
      <c r="AI55" s="28"/>
      <c r="AJ55" s="27"/>
      <c r="AL55" s="22"/>
      <c r="AM55" s="23"/>
      <c r="AN55" s="31"/>
      <c r="AO55" s="27"/>
    </row>
    <row r="56" spans="7:41" x14ac:dyDescent="0.25">
      <c r="G56" s="22" t="s">
        <v>244</v>
      </c>
      <c r="H56" s="23" t="s">
        <v>158</v>
      </c>
      <c r="I56" s="29"/>
      <c r="J56" s="30"/>
      <c r="K56" s="30"/>
      <c r="L56" s="26">
        <f ca="1">IF(G56="","",IF(Settings.COB=TODAY(),_xll.BDP(G56,"LAST_PRICE"),_xll.BDH(G56,"LAST_PRICE",Settings.COB,Settings.COB)))</f>
        <v>0.10100000000000001</v>
      </c>
      <c r="M56" s="27">
        <f t="shared" ca="1" si="11"/>
        <v>1.01E-3</v>
      </c>
      <c r="O56" s="22"/>
      <c r="P56" s="23"/>
      <c r="Q56" s="28"/>
      <c r="R56" s="27"/>
      <c r="T56" s="22"/>
      <c r="U56" s="23"/>
      <c r="V56" s="33"/>
      <c r="W56" s="34"/>
      <c r="X56" s="34"/>
      <c r="Y56" s="26"/>
      <c r="Z56" s="27"/>
      <c r="AB56" s="22"/>
      <c r="AC56" s="23"/>
      <c r="AD56" s="28"/>
      <c r="AE56" s="27"/>
      <c r="AG56" s="22"/>
      <c r="AH56" s="23"/>
      <c r="AI56" s="28"/>
      <c r="AJ56" s="27"/>
      <c r="AL56" s="22"/>
      <c r="AM56" s="23"/>
      <c r="AN56" s="31"/>
      <c r="AO56" s="27"/>
    </row>
    <row r="57" spans="7:41" x14ac:dyDescent="0.25">
      <c r="G57" s="22" t="s">
        <v>245</v>
      </c>
      <c r="H57" s="23" t="s">
        <v>209</v>
      </c>
      <c r="I57" s="29"/>
      <c r="J57" s="30"/>
      <c r="K57" s="30"/>
      <c r="L57" s="26">
        <f ca="1">IF(G57="","",IF(Settings.COB=TODAY(),_xll.BDP(G57,"LAST_PRICE"),_xll.BDH(G57,"LAST_PRICE",Settings.COB,Settings.COB)))</f>
        <v>3.3000000000000002E-2</v>
      </c>
      <c r="M57" s="27">
        <f t="shared" ca="1" si="11"/>
        <v>3.3E-4</v>
      </c>
      <c r="O57" s="22"/>
      <c r="P57" s="23"/>
      <c r="Q57" s="28"/>
      <c r="R57" s="27"/>
      <c r="T57" s="22"/>
      <c r="U57" s="23"/>
      <c r="V57" s="33"/>
      <c r="W57" s="34"/>
      <c r="X57" s="34"/>
      <c r="Y57" s="26"/>
      <c r="Z57" s="27"/>
      <c r="AB57" s="22"/>
      <c r="AC57" s="23"/>
      <c r="AD57" s="28"/>
      <c r="AE57" s="27"/>
      <c r="AG57" s="22"/>
      <c r="AH57" s="23"/>
      <c r="AI57" s="28"/>
      <c r="AJ57" s="27"/>
      <c r="AL57" s="22"/>
      <c r="AM57" s="23"/>
      <c r="AN57" s="31"/>
      <c r="AO57" s="27"/>
    </row>
    <row r="58" spans="7:41" x14ac:dyDescent="0.25">
      <c r="G58" s="40" t="s">
        <v>246</v>
      </c>
      <c r="H58" s="41" t="s">
        <v>214</v>
      </c>
      <c r="I58" s="42"/>
      <c r="J58" s="43"/>
      <c r="K58" s="43"/>
      <c r="L58" s="44">
        <f ca="1">IF(G58="","",IF(Settings.COB=TODAY(),_xll.BDP(G58,"LAST_PRICE"),_xll.BDH(G58,"LAST_PRICE",Settings.COB,Settings.COB)))</f>
        <v>-3.3000000000000002E-2</v>
      </c>
      <c r="M58" s="45">
        <f t="shared" ca="1" si="11"/>
        <v>-3.3E-4</v>
      </c>
      <c r="O58" s="40"/>
      <c r="P58" s="41"/>
      <c r="Q58" s="46" t="str">
        <f ca="1">IF(O58="","",IF(Settings.COB=TODAY(),_xll.BDP(O58,"LAST_PRICE"),_xll.BDH(O58,"LAST_PRICE",Settings.COB,Settings.COB)))</f>
        <v/>
      </c>
      <c r="R58" s="45"/>
      <c r="T58" s="40"/>
      <c r="U58" s="41"/>
      <c r="V58" s="47"/>
      <c r="W58" s="48"/>
      <c r="X58" s="48"/>
      <c r="Y58" s="44" t="str">
        <f ca="1">IF(T58="","",IF(Settings.COB=TODAY(),_xll.BDP(T58,"LAST_PRICE"),_xll.BDH(T58,"LAST_PRICE",Settings.COB,Settings.COB)))</f>
        <v/>
      </c>
      <c r="Z58" s="45"/>
      <c r="AB58" s="40"/>
      <c r="AC58" s="41"/>
      <c r="AD58" s="46" t="str">
        <f ca="1">IF(AB58="","",IF(Settings.COB=TODAY(),_xll.BDP(AB58,"LAST_PRICE"),_xll.BDH(AB58,"LAST_PRICE",Settings.COB,Settings.COB)))</f>
        <v/>
      </c>
      <c r="AE58" s="45"/>
      <c r="AG58" s="40"/>
      <c r="AH58" s="41"/>
      <c r="AI58" s="46" t="str">
        <f ca="1">IF(AG58="","",IF(Settings.COB=TODAY(),_xll.BDP(AG58,"LAST_PRICE"),_xll.BDH(AG58,"LAST_PRICE",Settings.COB,Settings.COB)))</f>
        <v/>
      </c>
      <c r="AJ58" s="45"/>
      <c r="AL58" s="40"/>
      <c r="AM58" s="41"/>
      <c r="AN58" s="49" t="str">
        <f ca="1">IF(AL58="","",IF(Settings.COB=TODAY(),_xll.BDP(AL58,"LAST_PRICE"),_xll.BDH(AL58,"LAST_PRICE",Settings.COB,Settings.COB)))</f>
        <v/>
      </c>
      <c r="AO58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8"/>
  </sheetPr>
  <dimension ref="B2:R87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34.28515625" bestFit="1" customWidth="1"/>
    <col min="5" max="5" width="2.7109375" customWidth="1"/>
    <col min="6" max="10" width="15.7109375" customWidth="1"/>
    <col min="11" max="11" width="2.7109375" customWidth="1"/>
    <col min="12" max="13" width="15.7109375" customWidth="1"/>
    <col min="14" max="14" width="2.7109375" customWidth="1"/>
    <col min="15" max="16" width="15.7109375" customWidth="1"/>
    <col min="17" max="17" width="2.7109375" customWidth="1"/>
  </cols>
  <sheetData>
    <row r="2" spans="2:18" x14ac:dyDescent="0.25">
      <c r="B2" s="50"/>
    </row>
    <row r="3" spans="2:18" x14ac:dyDescent="0.25">
      <c r="B3" s="51"/>
      <c r="C3" s="52"/>
      <c r="D3" s="53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2:18" x14ac:dyDescent="0.25">
      <c r="B4" s="56"/>
      <c r="C4" s="60" t="s">
        <v>247</v>
      </c>
      <c r="D4" s="61"/>
      <c r="E4" s="58"/>
      <c r="F4" s="62" t="s">
        <v>248</v>
      </c>
      <c r="G4" s="63"/>
      <c r="H4" s="63"/>
      <c r="I4" s="63"/>
      <c r="J4" s="63"/>
      <c r="K4" s="63"/>
      <c r="L4" s="62" t="s">
        <v>249</v>
      </c>
      <c r="M4" s="62"/>
      <c r="N4" s="63"/>
      <c r="O4" s="62" t="s">
        <v>250</v>
      </c>
      <c r="P4" s="63"/>
      <c r="Q4" s="59"/>
    </row>
    <row r="5" spans="2:18" x14ac:dyDescent="0.25">
      <c r="B5" s="56" t="s">
        <v>251</v>
      </c>
      <c r="C5" s="61"/>
      <c r="D5" s="61"/>
      <c r="E5" s="58" t="s">
        <v>251</v>
      </c>
      <c r="F5" s="64" t="s">
        <v>252</v>
      </c>
      <c r="G5" s="64" t="s">
        <v>253</v>
      </c>
      <c r="H5" s="64" t="s">
        <v>254</v>
      </c>
      <c r="I5" s="64" t="s">
        <v>255</v>
      </c>
      <c r="J5" s="64" t="s">
        <v>256</v>
      </c>
      <c r="K5" s="58"/>
      <c r="L5" s="64" t="s">
        <v>252</v>
      </c>
      <c r="M5" s="64" t="s">
        <v>253</v>
      </c>
      <c r="N5" s="58"/>
      <c r="O5" s="64" t="s">
        <v>252</v>
      </c>
      <c r="P5" s="64" t="s">
        <v>253</v>
      </c>
      <c r="Q5" s="59"/>
    </row>
    <row r="6" spans="2:18" x14ac:dyDescent="0.25">
      <c r="B6" s="56"/>
      <c r="C6" s="66" t="s">
        <v>257</v>
      </c>
      <c r="D6" s="67" t="s">
        <v>258</v>
      </c>
      <c r="E6" s="58" t="s">
        <v>251</v>
      </c>
      <c r="F6" s="68" t="str">
        <f>'CURVE MKT DATA'!H7</f>
        <v>ON</v>
      </c>
      <c r="G6" s="69">
        <f ca="1">'CURVE MKT DATA'!M7</f>
        <v>-4.4200000000000003E-3</v>
      </c>
      <c r="H6" s="70"/>
      <c r="I6" s="71"/>
      <c r="J6" s="72" t="b">
        <v>1</v>
      </c>
      <c r="K6" s="63"/>
      <c r="L6" s="68" t="str">
        <f>'CURVE MKT DATA'!H23</f>
        <v>1Y</v>
      </c>
      <c r="M6" s="73">
        <f ca="1">'CURVE MKT DATA'!M23</f>
        <v>1.1999999999999999E-3</v>
      </c>
      <c r="N6" s="58"/>
      <c r="O6" s="74" t="str">
        <f>'CURVE MKT DATA'!H41</f>
        <v>1Y</v>
      </c>
      <c r="P6" s="75">
        <f ca="1">'CURVE MKT DATA'!M41</f>
        <v>-3.7099999999999998E-3</v>
      </c>
      <c r="Q6" s="59"/>
      <c r="R6" s="76"/>
    </row>
    <row r="7" spans="2:18" x14ac:dyDescent="0.25">
      <c r="B7" s="56"/>
      <c r="C7" s="77" t="s">
        <v>259</v>
      </c>
      <c r="D7" s="78" t="s">
        <v>248</v>
      </c>
      <c r="E7" s="58" t="s">
        <v>251</v>
      </c>
      <c r="F7" s="74" t="str">
        <f>'CURVE MKT DATA'!H8</f>
        <v>ECB1</v>
      </c>
      <c r="G7" s="79">
        <f ca="1">'CURVE MKT DATA'!M8</f>
        <v>-4.5599999999999998E-3</v>
      </c>
      <c r="H7" s="71">
        <f ca="1">'CURVE MKT DATA'!J8</f>
        <v>43957</v>
      </c>
      <c r="I7" s="71">
        <f ca="1">'CURVE MKT DATA'!K8</f>
        <v>43991</v>
      </c>
      <c r="J7" s="72" t="b">
        <v>1</v>
      </c>
      <c r="K7" s="63"/>
      <c r="L7" s="74" t="str">
        <f>'CURVE MKT DATA'!H24</f>
        <v>2Y</v>
      </c>
      <c r="M7" s="80">
        <f ca="1">'CURVE MKT DATA'!M24</f>
        <v>1.1800000000000001E-3</v>
      </c>
      <c r="N7" s="58"/>
      <c r="O7" s="74" t="str">
        <f>'CURVE MKT DATA'!H42</f>
        <v>2Y</v>
      </c>
      <c r="P7" s="75">
        <f ca="1">'CURVE MKT DATA'!M42</f>
        <v>-3.8E-3</v>
      </c>
      <c r="Q7" s="59"/>
      <c r="R7" s="76"/>
    </row>
    <row r="8" spans="2:18" x14ac:dyDescent="0.25">
      <c r="B8" s="56"/>
      <c r="C8" s="77" t="s">
        <v>261</v>
      </c>
      <c r="D8" s="78" t="s">
        <v>262</v>
      </c>
      <c r="E8" s="58" t="s">
        <v>251</v>
      </c>
      <c r="F8" s="74" t="str">
        <f>'CURVE MKT DATA'!H9</f>
        <v>ECB2</v>
      </c>
      <c r="G8" s="79">
        <f ca="1">'CURVE MKT DATA'!M9</f>
        <v>-4.6800000000000001E-3</v>
      </c>
      <c r="H8" s="71">
        <f ca="1">'CURVE MKT DATA'!J9</f>
        <v>43992</v>
      </c>
      <c r="I8" s="71">
        <f ca="1">'CURVE MKT DATA'!K9</f>
        <v>44033</v>
      </c>
      <c r="J8" s="72" t="b">
        <v>1</v>
      </c>
      <c r="K8" s="63"/>
      <c r="L8" s="74" t="str">
        <f>'CURVE MKT DATA'!H25</f>
        <v>3Y</v>
      </c>
      <c r="M8" s="80">
        <f ca="1">'CURVE MKT DATA'!M25</f>
        <v>1.2099999999999999E-3</v>
      </c>
      <c r="N8" s="63"/>
      <c r="O8" s="74" t="str">
        <f>'CURVE MKT DATA'!H43</f>
        <v>3Y</v>
      </c>
      <c r="P8" s="75">
        <f ca="1">'CURVE MKT DATA'!M43</f>
        <v>-3.6700000000000001E-3</v>
      </c>
      <c r="Q8" s="59"/>
      <c r="R8" s="76"/>
    </row>
    <row r="9" spans="2:18" x14ac:dyDescent="0.25">
      <c r="B9" s="56"/>
      <c r="C9" s="82" t="s">
        <v>263</v>
      </c>
      <c r="D9" s="83">
        <f ca="1">Settings.COB</f>
        <v>43923</v>
      </c>
      <c r="E9" s="58" t="s">
        <v>251</v>
      </c>
      <c r="F9" s="74" t="str">
        <f>'CURVE MKT DATA'!H10</f>
        <v>ECB3</v>
      </c>
      <c r="G9" s="79">
        <f ca="1">'CURVE MKT DATA'!M10</f>
        <v>-4.7599999999999995E-3</v>
      </c>
      <c r="H9" s="71">
        <f ca="1">'CURVE MKT DATA'!J10</f>
        <v>44034</v>
      </c>
      <c r="I9" s="71">
        <f ca="1">'CURVE MKT DATA'!K10</f>
        <v>44089</v>
      </c>
      <c r="J9" s="72" t="b">
        <v>1</v>
      </c>
      <c r="K9" s="63"/>
      <c r="L9" s="74" t="str">
        <f>'CURVE MKT DATA'!H26</f>
        <v>4Y</v>
      </c>
      <c r="M9" s="80">
        <f ca="1">'CURVE MKT DATA'!M26</f>
        <v>1.23E-3</v>
      </c>
      <c r="N9" s="63"/>
      <c r="O9" s="74" t="str">
        <f>'CURVE MKT DATA'!H44</f>
        <v>4Y</v>
      </c>
      <c r="P9" s="75">
        <f ca="1">'CURVE MKT DATA'!M44</f>
        <v>-3.3700000000000002E-3</v>
      </c>
      <c r="Q9" s="59"/>
      <c r="R9" s="76"/>
    </row>
    <row r="10" spans="2:18" x14ac:dyDescent="0.25">
      <c r="B10" s="56"/>
      <c r="C10" s="61"/>
      <c r="D10" s="61"/>
      <c r="E10" s="58" t="s">
        <v>251</v>
      </c>
      <c r="F10" s="74" t="str">
        <f>'CURVE MKT DATA'!H11</f>
        <v>ECB4</v>
      </c>
      <c r="G10" s="79">
        <f ca="1">'CURVE MKT DATA'!M11</f>
        <v>-4.9499999999999995E-3</v>
      </c>
      <c r="H10" s="71">
        <f ca="1">'CURVE MKT DATA'!J11</f>
        <v>44090</v>
      </c>
      <c r="I10" s="71">
        <f ca="1">'CURVE MKT DATA'!K11</f>
        <v>44138</v>
      </c>
      <c r="J10" s="72" t="b">
        <v>1</v>
      </c>
      <c r="K10" s="63"/>
      <c r="L10" s="74" t="str">
        <f>'CURVE MKT DATA'!H27</f>
        <v>5Y</v>
      </c>
      <c r="M10" s="80">
        <f ca="1">'CURVE MKT DATA'!M27</f>
        <v>1.24E-3</v>
      </c>
      <c r="N10" s="63"/>
      <c r="O10" s="74" t="str">
        <f>'CURVE MKT DATA'!H45</f>
        <v>5Y</v>
      </c>
      <c r="P10" s="75">
        <f ca="1">'CURVE MKT DATA'!M45</f>
        <v>-2.97E-3</v>
      </c>
      <c r="Q10" s="59"/>
      <c r="R10" s="76"/>
    </row>
    <row r="11" spans="2:18" x14ac:dyDescent="0.25">
      <c r="B11" s="56"/>
      <c r="C11" s="58"/>
      <c r="D11" s="58"/>
      <c r="E11" s="58" t="s">
        <v>251</v>
      </c>
      <c r="F11" s="74"/>
      <c r="G11" s="79"/>
      <c r="H11" s="71"/>
      <c r="I11" s="71"/>
      <c r="J11" s="72"/>
      <c r="K11" s="63"/>
      <c r="L11" s="74" t="str">
        <f>'CURVE MKT DATA'!H28</f>
        <v>6Y</v>
      </c>
      <c r="M11" s="80">
        <f ca="1">'CURVE MKT DATA'!M28</f>
        <v>1.25E-3</v>
      </c>
      <c r="N11" s="63"/>
      <c r="O11" s="74" t="str">
        <f>'CURVE MKT DATA'!H46</f>
        <v>6Y</v>
      </c>
      <c r="P11" s="75">
        <f ca="1">'CURVE MKT DATA'!M46</f>
        <v>-2.5999999999999999E-3</v>
      </c>
      <c r="Q11" s="59"/>
      <c r="R11" s="76"/>
    </row>
    <row r="12" spans="2:18" x14ac:dyDescent="0.25">
      <c r="B12" s="56"/>
      <c r="C12" s="87" t="s">
        <v>264</v>
      </c>
      <c r="D12" s="61"/>
      <c r="E12" s="58" t="s">
        <v>251</v>
      </c>
      <c r="F12" s="74"/>
      <c r="G12" s="79"/>
      <c r="H12" s="71"/>
      <c r="I12" s="71"/>
      <c r="J12" s="72"/>
      <c r="K12" s="63"/>
      <c r="L12" s="74" t="str">
        <f>'CURVE MKT DATA'!H29</f>
        <v>7Y</v>
      </c>
      <c r="M12" s="80">
        <f ca="1">'CURVE MKT DATA'!M29</f>
        <v>1.2600000000000001E-3</v>
      </c>
      <c r="N12" s="63"/>
      <c r="O12" s="74" t="str">
        <f>'CURVE MKT DATA'!H47</f>
        <v>7Y</v>
      </c>
      <c r="P12" s="75">
        <f ca="1">'CURVE MKT DATA'!M47</f>
        <v>-2.1800000000000001E-3</v>
      </c>
      <c r="Q12" s="59"/>
      <c r="R12" s="76"/>
    </row>
    <row r="13" spans="2:18" x14ac:dyDescent="0.25">
      <c r="B13" s="56"/>
      <c r="C13" s="57" t="s">
        <v>265</v>
      </c>
      <c r="D13" s="88" t="s">
        <v>266</v>
      </c>
      <c r="E13" s="58" t="s">
        <v>251</v>
      </c>
      <c r="F13" s="74"/>
      <c r="G13" s="79"/>
      <c r="H13" s="71"/>
      <c r="I13" s="71"/>
      <c r="J13" s="72"/>
      <c r="K13" s="63"/>
      <c r="L13" s="74" t="str">
        <f>'CURVE MKT DATA'!H30</f>
        <v>8Y</v>
      </c>
      <c r="M13" s="80">
        <f ca="1">'CURVE MKT DATA'!M30</f>
        <v>1.2699999999999999E-3</v>
      </c>
      <c r="N13" s="63"/>
      <c r="O13" s="74" t="str">
        <f>'CURVE MKT DATA'!H48</f>
        <v>8Y</v>
      </c>
      <c r="P13" s="75">
        <f ca="1">'CURVE MKT DATA'!M48</f>
        <v>-1.7399999999999998E-3</v>
      </c>
      <c r="Q13" s="59"/>
      <c r="R13" s="76"/>
    </row>
    <row r="14" spans="2:18" x14ac:dyDescent="0.25">
      <c r="B14" s="56"/>
      <c r="C14" s="81" t="s">
        <v>267</v>
      </c>
      <c r="D14" s="89" t="str">
        <f ca="1">_xll.meLWOCurveMarketDataCreate(D13,C4,C6:D9,F4,F6:J31,L4,L6:M31,O4,O6:P31)</f>
        <v>EUR_OIS_CURVE_MARKETDATA@2:4</v>
      </c>
      <c r="E14" s="58" t="s">
        <v>251</v>
      </c>
      <c r="F14" s="74"/>
      <c r="G14" s="79"/>
      <c r="H14" s="71"/>
      <c r="I14" s="71"/>
      <c r="J14" s="72"/>
      <c r="K14" s="63"/>
      <c r="L14" s="74" t="str">
        <f>'CURVE MKT DATA'!H31</f>
        <v>9Y</v>
      </c>
      <c r="M14" s="80">
        <f ca="1">'CURVE MKT DATA'!M31</f>
        <v>1.2800000000000001E-3</v>
      </c>
      <c r="N14" s="63"/>
      <c r="O14" s="74" t="str">
        <f>'CURVE MKT DATA'!H49</f>
        <v>9Y</v>
      </c>
      <c r="P14" s="75">
        <f ca="1">'CURVE MKT DATA'!M49</f>
        <v>-1.2999999999999999E-3</v>
      </c>
      <c r="Q14" s="59"/>
      <c r="R14" s="76"/>
    </row>
    <row r="15" spans="2:18" x14ac:dyDescent="0.25">
      <c r="B15" s="56"/>
      <c r="C15" s="90"/>
      <c r="D15" s="61"/>
      <c r="E15" s="58" t="s">
        <v>251</v>
      </c>
      <c r="F15" s="74"/>
      <c r="G15" s="79"/>
      <c r="H15" s="71"/>
      <c r="I15" s="71"/>
      <c r="J15" s="72"/>
      <c r="K15" s="63"/>
      <c r="L15" s="74" t="str">
        <f>'CURVE MKT DATA'!H32</f>
        <v>10Y</v>
      </c>
      <c r="M15" s="80">
        <f ca="1">'CURVE MKT DATA'!M32</f>
        <v>1.2900000000000001E-3</v>
      </c>
      <c r="N15" s="63"/>
      <c r="O15" s="74" t="str">
        <f>'CURVE MKT DATA'!H50</f>
        <v>10Y</v>
      </c>
      <c r="P15" s="75">
        <f ca="1">'CURVE MKT DATA'!M50</f>
        <v>-8.5999999999999998E-4</v>
      </c>
      <c r="Q15" s="59"/>
      <c r="R15" s="76"/>
    </row>
    <row r="16" spans="2:18" x14ac:dyDescent="0.25">
      <c r="B16" s="56"/>
      <c r="C16" s="90"/>
      <c r="D16" s="61"/>
      <c r="E16" s="58" t="s">
        <v>251</v>
      </c>
      <c r="F16" s="74"/>
      <c r="G16" s="79"/>
      <c r="H16" s="71"/>
      <c r="I16" s="71"/>
      <c r="J16" s="72"/>
      <c r="K16" s="63"/>
      <c r="L16" s="74" t="str">
        <f>'CURVE MKT DATA'!H33</f>
        <v>11Y</v>
      </c>
      <c r="M16" s="80">
        <f ca="1">'CURVE MKT DATA'!M33</f>
        <v>1.2999999999999999E-3</v>
      </c>
      <c r="N16" s="63"/>
      <c r="O16" s="74" t="str">
        <f>'CURVE MKT DATA'!H51</f>
        <v>11Y</v>
      </c>
      <c r="P16" s="75">
        <f ca="1">'CURVE MKT DATA'!M51</f>
        <v>-4.2999999999999999E-4</v>
      </c>
      <c r="Q16" s="59"/>
      <c r="R16" s="76"/>
    </row>
    <row r="17" spans="2:18" x14ac:dyDescent="0.25">
      <c r="B17" s="56"/>
      <c r="C17" s="90"/>
      <c r="D17" s="61"/>
      <c r="E17" s="58" t="s">
        <v>251</v>
      </c>
      <c r="F17" s="74"/>
      <c r="G17" s="79"/>
      <c r="H17" s="71"/>
      <c r="I17" s="71"/>
      <c r="J17" s="72"/>
      <c r="K17" s="63"/>
      <c r="L17" s="74" t="str">
        <f>'CURVE MKT DATA'!H34</f>
        <v>12Y</v>
      </c>
      <c r="M17" s="80">
        <f ca="1">'CURVE MKT DATA'!M34</f>
        <v>1.2999999999999999E-3</v>
      </c>
      <c r="N17" s="63"/>
      <c r="O17" s="74" t="str">
        <f>'CURVE MKT DATA'!H52</f>
        <v>12Y</v>
      </c>
      <c r="P17" s="75">
        <f ca="1">'CURVE MKT DATA'!M52</f>
        <v>-2.0000000000000002E-5</v>
      </c>
      <c r="Q17" s="59"/>
      <c r="R17" s="76"/>
    </row>
    <row r="18" spans="2:18" x14ac:dyDescent="0.25">
      <c r="B18" s="56"/>
      <c r="C18" s="90"/>
      <c r="D18" s="61"/>
      <c r="E18" s="58" t="s">
        <v>251</v>
      </c>
      <c r="F18" s="74"/>
      <c r="G18" s="79"/>
      <c r="H18" s="71"/>
      <c r="I18" s="71"/>
      <c r="J18" s="72"/>
      <c r="K18" s="63"/>
      <c r="L18" s="74" t="str">
        <f>'CURVE MKT DATA'!H35</f>
        <v>15Y</v>
      </c>
      <c r="M18" s="80">
        <f ca="1">'CURVE MKT DATA'!M35</f>
        <v>1.2999999999999999E-3</v>
      </c>
      <c r="N18" s="63"/>
      <c r="O18" s="74" t="str">
        <f>'CURVE MKT DATA'!H53</f>
        <v>15Y</v>
      </c>
      <c r="P18" s="75">
        <f ca="1">'CURVE MKT DATA'!M53</f>
        <v>9.5E-4</v>
      </c>
      <c r="Q18" s="59"/>
      <c r="R18" s="76"/>
    </row>
    <row r="19" spans="2:18" x14ac:dyDescent="0.25">
      <c r="B19" s="56"/>
      <c r="C19" s="90"/>
      <c r="D19" s="61"/>
      <c r="E19" s="58" t="s">
        <v>251</v>
      </c>
      <c r="F19" s="74"/>
      <c r="G19" s="79"/>
      <c r="H19" s="71"/>
      <c r="I19" s="71"/>
      <c r="J19" s="72"/>
      <c r="K19" s="63"/>
      <c r="L19" s="74" t="str">
        <f>'CURVE MKT DATA'!H36</f>
        <v>20Y</v>
      </c>
      <c r="M19" s="80">
        <f ca="1">'CURVE MKT DATA'!M36</f>
        <v>1.2900000000000001E-3</v>
      </c>
      <c r="N19" s="63"/>
      <c r="O19" s="74" t="str">
        <f>'CURVE MKT DATA'!H54</f>
        <v>20Y</v>
      </c>
      <c r="P19" s="75">
        <f ca="1">'CURVE MKT DATA'!M54</f>
        <v>1.57E-3</v>
      </c>
      <c r="Q19" s="59"/>
      <c r="R19" s="76"/>
    </row>
    <row r="20" spans="2:18" x14ac:dyDescent="0.25">
      <c r="B20" s="56"/>
      <c r="C20" s="91" t="s">
        <v>268</v>
      </c>
      <c r="D20" s="61"/>
      <c r="E20" s="58" t="s">
        <v>251</v>
      </c>
      <c r="F20" s="74"/>
      <c r="G20" s="79"/>
      <c r="H20" s="71"/>
      <c r="I20" s="71"/>
      <c r="J20" s="72"/>
      <c r="K20" s="63"/>
      <c r="L20" s="74" t="str">
        <f>'CURVE MKT DATA'!H37</f>
        <v>25Y</v>
      </c>
      <c r="M20" s="80">
        <f ca="1">'CURVE MKT DATA'!M37</f>
        <v>1.2800000000000001E-3</v>
      </c>
      <c r="N20" s="63"/>
      <c r="O20" s="74" t="str">
        <f>'CURVE MKT DATA'!H55</f>
        <v>25Y</v>
      </c>
      <c r="P20" s="75">
        <f ca="1">'CURVE MKT DATA'!M55</f>
        <v>1.4299999999999998E-3</v>
      </c>
      <c r="Q20" s="59"/>
      <c r="R20" s="76"/>
    </row>
    <row r="21" spans="2:18" x14ac:dyDescent="0.25">
      <c r="B21" s="56"/>
      <c r="C21" s="7" t="s">
        <v>265</v>
      </c>
      <c r="D21" s="92" t="s">
        <v>269</v>
      </c>
      <c r="E21" s="58" t="s">
        <v>251</v>
      </c>
      <c r="F21" s="74"/>
      <c r="G21" s="79"/>
      <c r="H21" s="71"/>
      <c r="I21" s="71"/>
      <c r="J21" s="72"/>
      <c r="K21" s="63"/>
      <c r="L21" s="74" t="str">
        <f>'CURVE MKT DATA'!H38</f>
        <v>30Y</v>
      </c>
      <c r="M21" s="80">
        <f ca="1">'CURVE MKT DATA'!M38</f>
        <v>1.2699999999999999E-3</v>
      </c>
      <c r="N21" s="63"/>
      <c r="O21" s="74" t="str">
        <f>'CURVE MKT DATA'!H56</f>
        <v>30Y</v>
      </c>
      <c r="P21" s="75">
        <f ca="1">'CURVE MKT DATA'!M56</f>
        <v>1.01E-3</v>
      </c>
      <c r="Q21" s="59"/>
      <c r="R21" s="76"/>
    </row>
    <row r="22" spans="2:18" x14ac:dyDescent="0.25">
      <c r="B22" s="56"/>
      <c r="C22" s="19" t="s">
        <v>271</v>
      </c>
      <c r="D22" s="93" t="s">
        <v>272</v>
      </c>
      <c r="E22" s="58" t="s">
        <v>251</v>
      </c>
      <c r="F22" s="74"/>
      <c r="G22" s="79"/>
      <c r="H22" s="71"/>
      <c r="I22" s="71"/>
      <c r="J22" s="72"/>
      <c r="K22" s="63"/>
      <c r="L22" s="74" t="str">
        <f>'CURVE MKT DATA'!H39</f>
        <v>40Y</v>
      </c>
      <c r="M22" s="80">
        <f ca="1">'CURVE MKT DATA'!M39</f>
        <v>1.2199999999999999E-3</v>
      </c>
      <c r="N22" s="63"/>
      <c r="O22" s="74" t="str">
        <f>'CURVE MKT DATA'!H57</f>
        <v>40Y</v>
      </c>
      <c r="P22" s="75">
        <f ca="1">'CURVE MKT DATA'!M57</f>
        <v>3.3E-4</v>
      </c>
      <c r="Q22" s="59"/>
      <c r="R22" s="76"/>
    </row>
    <row r="23" spans="2:18" x14ac:dyDescent="0.25">
      <c r="B23" s="56"/>
      <c r="C23" s="19" t="s">
        <v>274</v>
      </c>
      <c r="D23" s="93" t="s">
        <v>260</v>
      </c>
      <c r="E23" s="58" t="s">
        <v>251</v>
      </c>
      <c r="F23" s="74"/>
      <c r="G23" s="79"/>
      <c r="H23" s="71"/>
      <c r="I23" s="71"/>
      <c r="J23" s="72"/>
      <c r="K23" s="63"/>
      <c r="L23" s="74" t="str">
        <f>'CURVE MKT DATA'!H40</f>
        <v>50Y</v>
      </c>
      <c r="M23" s="80">
        <f ca="1">'CURVE MKT DATA'!M40</f>
        <v>1.16E-3</v>
      </c>
      <c r="N23" s="63"/>
      <c r="O23" s="74" t="str">
        <f>'CURVE MKT DATA'!H58</f>
        <v>50Y</v>
      </c>
      <c r="P23" s="75">
        <f ca="1">'CURVE MKT DATA'!M58</f>
        <v>-3.3E-4</v>
      </c>
      <c r="Q23" s="59"/>
      <c r="R23" s="76"/>
    </row>
    <row r="24" spans="2:18" x14ac:dyDescent="0.25">
      <c r="B24" s="56"/>
      <c r="C24" s="37" t="s">
        <v>275</v>
      </c>
      <c r="D24" s="94"/>
      <c r="E24" s="58" t="s">
        <v>251</v>
      </c>
      <c r="F24" s="74"/>
      <c r="G24" s="79"/>
      <c r="H24" s="71"/>
      <c r="I24" s="71"/>
      <c r="J24" s="72"/>
      <c r="K24" s="63"/>
      <c r="L24" s="95" t="s">
        <v>276</v>
      </c>
      <c r="M24" s="96">
        <f ca="1">M23</f>
        <v>1.16E-3</v>
      </c>
      <c r="N24" s="97"/>
      <c r="O24" s="95" t="s">
        <v>276</v>
      </c>
      <c r="P24" s="96">
        <f ca="1">P23</f>
        <v>-3.3E-4</v>
      </c>
      <c r="Q24" s="98"/>
      <c r="R24" s="99" t="s">
        <v>277</v>
      </c>
    </row>
    <row r="25" spans="2:18" x14ac:dyDescent="0.25">
      <c r="B25" s="56"/>
      <c r="C25" s="58"/>
      <c r="D25" s="58"/>
      <c r="E25" s="58" t="s">
        <v>251</v>
      </c>
      <c r="F25" s="74"/>
      <c r="G25" s="79"/>
      <c r="H25" s="71"/>
      <c r="I25" s="71"/>
      <c r="J25" s="72"/>
      <c r="K25" s="63"/>
      <c r="L25" s="74"/>
      <c r="M25" s="75"/>
      <c r="N25" s="63"/>
      <c r="O25" s="74"/>
      <c r="P25" s="75"/>
      <c r="Q25" s="59"/>
    </row>
    <row r="26" spans="2:18" x14ac:dyDescent="0.25">
      <c r="B26" s="56"/>
      <c r="C26" s="58"/>
      <c r="D26" s="58"/>
      <c r="E26" s="58" t="s">
        <v>251</v>
      </c>
      <c r="F26" s="74"/>
      <c r="G26" s="79"/>
      <c r="H26" s="71"/>
      <c r="I26" s="71"/>
      <c r="J26" s="72"/>
      <c r="K26" s="63"/>
      <c r="L26" s="74"/>
      <c r="M26" s="75"/>
      <c r="N26" s="63"/>
      <c r="O26" s="74"/>
      <c r="P26" s="75"/>
      <c r="Q26" s="59"/>
    </row>
    <row r="27" spans="2:18" x14ac:dyDescent="0.25">
      <c r="B27" s="56"/>
      <c r="C27" s="91" t="s">
        <v>279</v>
      </c>
      <c r="D27" s="58"/>
      <c r="E27" s="58" t="s">
        <v>251</v>
      </c>
      <c r="F27" s="74"/>
      <c r="G27" s="79"/>
      <c r="H27" s="71"/>
      <c r="I27" s="71"/>
      <c r="J27" s="72"/>
      <c r="K27" s="63"/>
      <c r="L27" s="74"/>
      <c r="M27" s="75"/>
      <c r="N27" s="63"/>
      <c r="O27" s="74"/>
      <c r="P27" s="75"/>
      <c r="Q27" s="59"/>
    </row>
    <row r="28" spans="2:18" x14ac:dyDescent="0.25">
      <c r="B28" s="56"/>
      <c r="C28" s="100" t="s">
        <v>265</v>
      </c>
      <c r="D28" s="101" t="str">
        <f t="array" aca="1" ref="D28:D31" ca="1">_xll.meLWOCurveCalibrate(D21,D22,D14,D23,D24)</f>
        <v>EUR_OIS_CURVE@9:4</v>
      </c>
      <c r="E28" s="58" t="s">
        <v>251</v>
      </c>
      <c r="F28" s="74"/>
      <c r="G28" s="79"/>
      <c r="H28" s="71"/>
      <c r="I28" s="71"/>
      <c r="J28" s="72"/>
      <c r="K28" s="63"/>
      <c r="L28" s="74"/>
      <c r="M28" s="75"/>
      <c r="N28" s="63"/>
      <c r="O28" s="74"/>
      <c r="P28" s="75"/>
      <c r="Q28" s="59"/>
    </row>
    <row r="29" spans="2:18" x14ac:dyDescent="0.25">
      <c r="B29" s="56"/>
      <c r="C29" s="104" t="s">
        <v>281</v>
      </c>
      <c r="D29" s="102" t="str">
        <f ca="1"/>
        <v>EURYC</v>
      </c>
      <c r="E29" s="58" t="s">
        <v>251</v>
      </c>
      <c r="F29" s="74"/>
      <c r="G29" s="79"/>
      <c r="H29" s="71"/>
      <c r="I29" s="71"/>
      <c r="J29" s="72"/>
      <c r="K29" s="63"/>
      <c r="L29" s="74"/>
      <c r="M29" s="75"/>
      <c r="N29" s="63"/>
      <c r="O29" s="74"/>
      <c r="P29" s="75"/>
      <c r="Q29" s="59"/>
    </row>
    <row r="30" spans="2:18" x14ac:dyDescent="0.25">
      <c r="B30" s="56"/>
      <c r="C30" s="104" t="s">
        <v>282</v>
      </c>
      <c r="D30" s="102" t="str">
        <f ca="1"/>
        <v>OIS:EUROIS:EURDF:EURDF_EURCSA:EURDF_NOCSA</v>
      </c>
      <c r="E30" s="58" t="s">
        <v>251</v>
      </c>
      <c r="F30" s="74"/>
      <c r="G30" s="79"/>
      <c r="H30" s="71"/>
      <c r="I30" s="71"/>
      <c r="J30" s="72"/>
      <c r="K30" s="63"/>
      <c r="L30" s="74"/>
      <c r="M30" s="75"/>
      <c r="N30" s="63"/>
      <c r="O30" s="74"/>
      <c r="P30" s="75"/>
      <c r="Q30" s="59"/>
    </row>
    <row r="31" spans="2:18" x14ac:dyDescent="0.25">
      <c r="B31" s="56"/>
      <c r="C31" s="105" t="s">
        <v>283</v>
      </c>
      <c r="D31" s="103" t="str">
        <f ca="1"/>
        <v>0.02100 sec</v>
      </c>
      <c r="E31" s="58" t="s">
        <v>251</v>
      </c>
      <c r="F31" s="106"/>
      <c r="G31" s="107"/>
      <c r="H31" s="108"/>
      <c r="I31" s="108"/>
      <c r="J31" s="109"/>
      <c r="K31" s="63"/>
      <c r="L31" s="106"/>
      <c r="M31" s="110"/>
      <c r="N31" s="63"/>
      <c r="O31" s="106"/>
      <c r="P31" s="110"/>
      <c r="Q31" s="59"/>
    </row>
    <row r="32" spans="2:18" x14ac:dyDescent="0.25">
      <c r="B32" s="56"/>
      <c r="C32" s="111" t="s">
        <v>284</v>
      </c>
      <c r="D32" s="112" t="b">
        <f ca="1">_xll.meLWOExists(D28,"CURVE")</f>
        <v>1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9"/>
    </row>
    <row r="33" spans="2:17" x14ac:dyDescent="0.25">
      <c r="B33" s="56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9"/>
    </row>
    <row r="34" spans="2:17" x14ac:dyDescent="0.25">
      <c r="B34" s="56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9"/>
    </row>
    <row r="35" spans="2:17" x14ac:dyDescent="0.25">
      <c r="B35" s="56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9"/>
    </row>
    <row r="36" spans="2:17" x14ac:dyDescent="0.25">
      <c r="B36" s="56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9"/>
    </row>
    <row r="37" spans="2:17" x14ac:dyDescent="0.25">
      <c r="B37" s="56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9"/>
    </row>
    <row r="38" spans="2:17" x14ac:dyDescent="0.25">
      <c r="B38" s="56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/>
    </row>
    <row r="39" spans="2:17" x14ac:dyDescent="0.25">
      <c r="B39" s="56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9"/>
    </row>
    <row r="40" spans="2:17" x14ac:dyDescent="0.25">
      <c r="B40" s="56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9"/>
    </row>
    <row r="41" spans="2:17" x14ac:dyDescent="0.25">
      <c r="B41" s="56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9"/>
    </row>
    <row r="42" spans="2:17" x14ac:dyDescent="0.25">
      <c r="B42" s="56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9"/>
    </row>
    <row r="43" spans="2:17" x14ac:dyDescent="0.25"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9"/>
    </row>
    <row r="44" spans="2:17" x14ac:dyDescent="0.25">
      <c r="B44" s="56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9"/>
    </row>
    <row r="45" spans="2:17" x14ac:dyDescent="0.25">
      <c r="B45" s="56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9"/>
    </row>
    <row r="46" spans="2:17" x14ac:dyDescent="0.25">
      <c r="B46" s="56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9"/>
    </row>
    <row r="47" spans="2:17" x14ac:dyDescent="0.25"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9"/>
    </row>
    <row r="48" spans="2:17" x14ac:dyDescent="0.25">
      <c r="B48" s="56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9"/>
    </row>
    <row r="49" spans="2:17" x14ac:dyDescent="0.25">
      <c r="B49" s="56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9"/>
    </row>
    <row r="50" spans="2:17" x14ac:dyDescent="0.25">
      <c r="B50" s="56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9"/>
    </row>
    <row r="51" spans="2:17" x14ac:dyDescent="0.25">
      <c r="B51" s="56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9"/>
    </row>
    <row r="52" spans="2:17" x14ac:dyDescent="0.25">
      <c r="B52" s="56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9"/>
    </row>
    <row r="53" spans="2:17" x14ac:dyDescent="0.25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9"/>
    </row>
    <row r="54" spans="2:17" x14ac:dyDescent="0.25">
      <c r="B54" s="56"/>
      <c r="C54" s="90"/>
      <c r="D54" s="61"/>
      <c r="E54" s="58"/>
      <c r="F54" s="58"/>
      <c r="G54" s="58"/>
      <c r="H54" s="58"/>
      <c r="I54" s="58"/>
      <c r="J54" s="58"/>
      <c r="K54" s="63"/>
      <c r="L54" s="58"/>
      <c r="M54" s="58"/>
      <c r="N54" s="63"/>
      <c r="O54" s="58"/>
      <c r="P54" s="58"/>
      <c r="Q54" s="59"/>
    </row>
    <row r="55" spans="2:17" x14ac:dyDescent="0.25">
      <c r="B55" s="56"/>
      <c r="C55" s="90"/>
      <c r="D55" s="61"/>
      <c r="E55" s="58"/>
      <c r="F55" s="58"/>
      <c r="G55" s="58"/>
      <c r="H55" s="58"/>
      <c r="I55" s="58"/>
      <c r="J55" s="58"/>
      <c r="K55" s="63"/>
      <c r="L55" s="58"/>
      <c r="M55" s="58"/>
      <c r="N55" s="63"/>
      <c r="O55" s="58"/>
      <c r="P55" s="58"/>
      <c r="Q55" s="59"/>
    </row>
    <row r="56" spans="2:17" x14ac:dyDescent="0.25">
      <c r="B56" s="56"/>
      <c r="C56" s="90"/>
      <c r="D56" s="61"/>
      <c r="E56" s="58"/>
      <c r="F56" s="58"/>
      <c r="G56" s="58"/>
      <c r="H56" s="58"/>
      <c r="I56" s="58"/>
      <c r="J56" s="58"/>
      <c r="K56" s="63"/>
      <c r="L56" s="58"/>
      <c r="M56" s="58"/>
      <c r="N56" s="63"/>
      <c r="O56" s="58"/>
      <c r="P56" s="58"/>
      <c r="Q56" s="59"/>
    </row>
    <row r="57" spans="2:17" x14ac:dyDescent="0.25">
      <c r="B57" s="56"/>
      <c r="C57" s="90"/>
      <c r="D57" s="61"/>
      <c r="E57" s="58"/>
      <c r="F57" s="58"/>
      <c r="G57" s="58"/>
      <c r="H57" s="58"/>
      <c r="I57" s="58"/>
      <c r="J57" s="58"/>
      <c r="K57" s="63"/>
      <c r="L57" s="58"/>
      <c r="M57" s="58"/>
      <c r="N57" s="63"/>
      <c r="O57" s="58"/>
      <c r="P57" s="58"/>
      <c r="Q57" s="59"/>
    </row>
    <row r="58" spans="2:17" x14ac:dyDescent="0.25">
      <c r="B58" s="56"/>
      <c r="C58" s="90"/>
      <c r="D58" s="61"/>
      <c r="E58" s="58"/>
      <c r="F58" s="58"/>
      <c r="G58" s="58"/>
      <c r="H58" s="58"/>
      <c r="I58" s="58"/>
      <c r="J58" s="58"/>
      <c r="K58" s="63"/>
      <c r="L58" s="58"/>
      <c r="M58" s="58"/>
      <c r="N58" s="63"/>
      <c r="O58" s="58"/>
      <c r="P58" s="58"/>
      <c r="Q58" s="59"/>
    </row>
    <row r="59" spans="2:17" x14ac:dyDescent="0.25">
      <c r="B59" s="56"/>
      <c r="C59" s="90"/>
      <c r="D59" s="61"/>
      <c r="E59" s="58"/>
      <c r="F59" s="58"/>
      <c r="G59" s="58"/>
      <c r="H59" s="58"/>
      <c r="I59" s="58"/>
      <c r="J59" s="58"/>
      <c r="K59" s="63"/>
      <c r="L59" s="58"/>
      <c r="M59" s="58"/>
      <c r="N59" s="63"/>
      <c r="O59" s="58"/>
      <c r="P59" s="58"/>
      <c r="Q59" s="59"/>
    </row>
    <row r="60" spans="2:17" x14ac:dyDescent="0.25">
      <c r="B60" s="56"/>
      <c r="C60" s="90"/>
      <c r="D60" s="61"/>
      <c r="E60" s="58"/>
      <c r="F60" s="58"/>
      <c r="G60" s="58"/>
      <c r="H60" s="58"/>
      <c r="I60" s="58"/>
      <c r="J60" s="58"/>
      <c r="K60" s="63"/>
      <c r="L60" s="58"/>
      <c r="M60" s="58"/>
      <c r="N60" s="63"/>
      <c r="O60" s="58"/>
      <c r="P60" s="58"/>
      <c r="Q60" s="59"/>
    </row>
    <row r="61" spans="2:17" x14ac:dyDescent="0.25">
      <c r="B61" s="56"/>
      <c r="C61" s="90"/>
      <c r="D61" s="61"/>
      <c r="E61" s="58"/>
      <c r="F61" s="58"/>
      <c r="G61" s="58"/>
      <c r="H61" s="58"/>
      <c r="I61" s="58"/>
      <c r="J61" s="58"/>
      <c r="K61" s="63"/>
      <c r="L61" s="58"/>
      <c r="M61" s="58"/>
      <c r="N61" s="63"/>
      <c r="O61" s="58"/>
      <c r="P61" s="58"/>
      <c r="Q61" s="59"/>
    </row>
    <row r="62" spans="2:17" x14ac:dyDescent="0.25">
      <c r="B62" s="56"/>
      <c r="C62" s="90"/>
      <c r="D62" s="61"/>
      <c r="E62" s="58"/>
      <c r="F62" s="58"/>
      <c r="G62" s="58"/>
      <c r="H62" s="58"/>
      <c r="I62" s="58"/>
      <c r="J62" s="58"/>
      <c r="K62" s="63"/>
      <c r="L62" s="58"/>
      <c r="M62" s="58"/>
      <c r="N62" s="63"/>
      <c r="O62" s="58"/>
      <c r="P62" s="58"/>
      <c r="Q62" s="59"/>
    </row>
    <row r="63" spans="2:17" x14ac:dyDescent="0.25">
      <c r="B63" s="56"/>
      <c r="C63" s="90"/>
      <c r="D63" s="61"/>
      <c r="E63" s="58"/>
      <c r="F63" s="58"/>
      <c r="G63" s="58"/>
      <c r="H63" s="58"/>
      <c r="I63" s="58"/>
      <c r="J63" s="58"/>
      <c r="K63" s="63"/>
      <c r="L63" s="58"/>
      <c r="M63" s="58"/>
      <c r="N63" s="63"/>
      <c r="O63" s="58"/>
      <c r="P63" s="58"/>
      <c r="Q63" s="59"/>
    </row>
    <row r="64" spans="2:17" x14ac:dyDescent="0.25">
      <c r="B64" s="56"/>
      <c r="C64" s="90"/>
      <c r="D64" s="61"/>
      <c r="E64" s="58"/>
      <c r="F64" s="58"/>
      <c r="G64" s="58"/>
      <c r="H64" s="58"/>
      <c r="I64" s="58"/>
      <c r="J64" s="58"/>
      <c r="K64" s="63"/>
      <c r="L64" s="58"/>
      <c r="M64" s="58"/>
      <c r="N64" s="63"/>
      <c r="O64" s="58"/>
      <c r="P64" s="58"/>
      <c r="Q64" s="59"/>
    </row>
    <row r="65" spans="2:17" x14ac:dyDescent="0.25">
      <c r="B65" s="56"/>
      <c r="C65" s="90"/>
      <c r="D65" s="61"/>
      <c r="E65" s="58"/>
      <c r="F65" s="58"/>
      <c r="G65" s="58"/>
      <c r="H65" s="58"/>
      <c r="I65" s="58"/>
      <c r="J65" s="58"/>
      <c r="K65" s="63"/>
      <c r="L65" s="58"/>
      <c r="M65" s="58"/>
      <c r="N65" s="63"/>
      <c r="O65" s="58"/>
      <c r="P65" s="58"/>
      <c r="Q65" s="59"/>
    </row>
    <row r="66" spans="2:17" x14ac:dyDescent="0.25">
      <c r="B66" s="56"/>
      <c r="C66" s="90"/>
      <c r="D66" s="61"/>
      <c r="E66" s="58"/>
      <c r="F66" s="58"/>
      <c r="G66" s="58"/>
      <c r="H66" s="58"/>
      <c r="I66" s="58"/>
      <c r="J66" s="58"/>
      <c r="K66" s="63"/>
      <c r="L66" s="58"/>
      <c r="M66" s="58"/>
      <c r="N66" s="63"/>
      <c r="O66" s="58"/>
      <c r="P66" s="58"/>
      <c r="Q66" s="59"/>
    </row>
    <row r="67" spans="2:17" x14ac:dyDescent="0.25">
      <c r="B67" s="56"/>
      <c r="C67" s="90"/>
      <c r="D67" s="61"/>
      <c r="E67" s="58"/>
      <c r="F67" s="58"/>
      <c r="G67" s="58"/>
      <c r="H67" s="58"/>
      <c r="I67" s="58"/>
      <c r="J67" s="58"/>
      <c r="K67" s="63"/>
      <c r="L67" s="58"/>
      <c r="M67" s="58"/>
      <c r="N67" s="63"/>
      <c r="O67" s="58"/>
      <c r="P67" s="58"/>
      <c r="Q67" s="59"/>
    </row>
    <row r="68" spans="2:17" x14ac:dyDescent="0.25">
      <c r="B68" s="56"/>
      <c r="C68" s="90"/>
      <c r="D68" s="61"/>
      <c r="E68" s="58"/>
      <c r="F68" s="58"/>
      <c r="G68" s="58"/>
      <c r="H68" s="58"/>
      <c r="I68" s="58"/>
      <c r="J68" s="58"/>
      <c r="K68" s="63"/>
      <c r="L68" s="58"/>
      <c r="M68" s="58"/>
      <c r="N68" s="63"/>
      <c r="O68" s="58"/>
      <c r="P68" s="58"/>
      <c r="Q68" s="59"/>
    </row>
    <row r="69" spans="2:17" x14ac:dyDescent="0.25">
      <c r="B69" s="56"/>
      <c r="C69" s="90"/>
      <c r="D69" s="61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9"/>
    </row>
    <row r="70" spans="2:17" x14ac:dyDescent="0.25">
      <c r="B70" s="56"/>
      <c r="C70" s="90"/>
      <c r="D70" s="61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9"/>
    </row>
    <row r="71" spans="2:17" x14ac:dyDescent="0.25">
      <c r="B71" s="56"/>
      <c r="C71" s="90"/>
      <c r="D71" s="61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9"/>
    </row>
    <row r="72" spans="2:17" x14ac:dyDescent="0.25">
      <c r="B72" s="56"/>
      <c r="C72" s="90"/>
      <c r="D72" s="61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9"/>
    </row>
    <row r="73" spans="2:17" x14ac:dyDescent="0.25">
      <c r="B73" s="56"/>
      <c r="C73" s="90"/>
      <c r="D73" s="61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9"/>
    </row>
    <row r="74" spans="2:17" x14ac:dyDescent="0.25">
      <c r="B74" s="56"/>
      <c r="C74" s="90"/>
      <c r="D74" s="61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9"/>
    </row>
    <row r="75" spans="2:17" x14ac:dyDescent="0.25">
      <c r="B75" s="56"/>
      <c r="C75" s="90"/>
      <c r="D75" s="61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9"/>
    </row>
    <row r="76" spans="2:17" x14ac:dyDescent="0.25">
      <c r="B76" s="56"/>
      <c r="C76" s="90"/>
      <c r="D76" s="61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9"/>
    </row>
    <row r="77" spans="2:17" x14ac:dyDescent="0.25">
      <c r="B77" s="56"/>
      <c r="C77" s="90"/>
      <c r="D77" s="61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9"/>
    </row>
    <row r="78" spans="2:17" x14ac:dyDescent="0.25">
      <c r="B78" s="56"/>
      <c r="C78" s="90"/>
      <c r="D78" s="61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9"/>
    </row>
    <row r="79" spans="2:17" x14ac:dyDescent="0.25">
      <c r="B79" s="56"/>
      <c r="C79" s="90"/>
      <c r="D79" s="61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9"/>
    </row>
    <row r="80" spans="2:17" x14ac:dyDescent="0.25">
      <c r="B80" s="56"/>
      <c r="C80" s="90"/>
      <c r="D80" s="61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9"/>
    </row>
    <row r="81" spans="2:17" x14ac:dyDescent="0.25">
      <c r="B81" s="56"/>
      <c r="C81" s="90"/>
      <c r="D81" s="61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9"/>
    </row>
    <row r="82" spans="2:17" x14ac:dyDescent="0.25">
      <c r="B82" s="56"/>
      <c r="C82" s="90"/>
      <c r="D82" s="61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9"/>
    </row>
    <row r="83" spans="2:17" x14ac:dyDescent="0.25">
      <c r="B83" s="56"/>
      <c r="C83" s="90"/>
      <c r="D83" s="61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9"/>
    </row>
    <row r="84" spans="2:17" x14ac:dyDescent="0.25">
      <c r="B84" s="56"/>
      <c r="C84" s="90"/>
      <c r="D84" s="61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9"/>
    </row>
    <row r="85" spans="2:17" x14ac:dyDescent="0.25">
      <c r="B85" s="56"/>
      <c r="C85" s="90"/>
      <c r="D85" s="61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9"/>
    </row>
    <row r="86" spans="2:17" x14ac:dyDescent="0.25">
      <c r="B86" s="56"/>
      <c r="C86" s="90"/>
      <c r="D86" s="61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9"/>
    </row>
    <row r="87" spans="2:17" x14ac:dyDescent="0.25">
      <c r="B87" s="84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8"/>
  </sheetPr>
  <dimension ref="B3:R109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41.5703125" bestFit="1" customWidth="1"/>
    <col min="5" max="5" width="2.7109375" customWidth="1"/>
    <col min="6" max="7" width="10.7109375" customWidth="1"/>
    <col min="8" max="8" width="2.7109375" customWidth="1"/>
    <col min="9" max="13" width="12.7109375" customWidth="1"/>
    <col min="14" max="14" width="2.7109375" customWidth="1"/>
    <col min="15" max="17" width="12.7109375" customWidth="1"/>
    <col min="18" max="18" width="2.7109375" customWidth="1"/>
  </cols>
  <sheetData>
    <row r="3" spans="2:18" x14ac:dyDescent="0.25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6"/>
    </row>
    <row r="4" spans="2:18" x14ac:dyDescent="0.25">
      <c r="B4" s="117"/>
      <c r="C4" s="62" t="s">
        <v>247</v>
      </c>
      <c r="D4" s="63"/>
      <c r="E4" s="58"/>
      <c r="F4" s="62" t="s">
        <v>287</v>
      </c>
      <c r="G4" s="63"/>
      <c r="H4" s="58"/>
      <c r="I4" s="62" t="s">
        <v>288</v>
      </c>
      <c r="J4" s="118"/>
      <c r="K4" s="63"/>
      <c r="L4" s="63"/>
      <c r="M4" s="63"/>
      <c r="N4" s="58"/>
      <c r="O4" s="62" t="s">
        <v>250</v>
      </c>
      <c r="P4" s="58"/>
      <c r="Q4" s="58"/>
      <c r="R4" s="119"/>
    </row>
    <row r="5" spans="2:18" x14ac:dyDescent="0.25">
      <c r="B5" s="117"/>
      <c r="C5" s="120" t="s">
        <v>257</v>
      </c>
      <c r="D5" s="121" t="s">
        <v>258</v>
      </c>
      <c r="E5" s="58" t="s">
        <v>251</v>
      </c>
      <c r="F5" s="61" t="s">
        <v>252</v>
      </c>
      <c r="G5" s="61" t="s">
        <v>253</v>
      </c>
      <c r="H5" s="90"/>
      <c r="I5" s="122" t="s">
        <v>252</v>
      </c>
      <c r="J5" s="122" t="s">
        <v>254</v>
      </c>
      <c r="K5" s="122" t="s">
        <v>255</v>
      </c>
      <c r="L5" s="122" t="s">
        <v>253</v>
      </c>
      <c r="M5" s="122" t="s">
        <v>289</v>
      </c>
      <c r="N5" s="90"/>
      <c r="O5" s="123" t="s">
        <v>252</v>
      </c>
      <c r="P5" s="61" t="s">
        <v>253</v>
      </c>
      <c r="Q5" s="61" t="s">
        <v>256</v>
      </c>
      <c r="R5" s="119"/>
    </row>
    <row r="6" spans="2:18" x14ac:dyDescent="0.25">
      <c r="B6" s="117"/>
      <c r="C6" s="124" t="s">
        <v>259</v>
      </c>
      <c r="D6" s="125" t="s">
        <v>290</v>
      </c>
      <c r="E6" s="58" t="s">
        <v>251</v>
      </c>
      <c r="F6" s="68" t="str">
        <f>'CURVE MKT DATA'!U7</f>
        <v>1M</v>
      </c>
      <c r="G6" s="73">
        <f ca="1">'CURVE MKT DATA'!Z7</f>
        <v>-3.8942999999999998E-3</v>
      </c>
      <c r="H6" s="58"/>
      <c r="I6" s="126" t="str">
        <f ca="1">'CURVE MKT DATA'!V11</f>
        <v>ER1</v>
      </c>
      <c r="J6" s="127">
        <f ca="1">'CURVE MKT DATA'!W11</f>
        <v>43999</v>
      </c>
      <c r="K6" s="127">
        <f ca="1">'CURVE MKT DATA'!X11</f>
        <v>44090</v>
      </c>
      <c r="L6" s="128">
        <f ca="1">'CURVE MKT DATA'!Z11</f>
        <v>100.345</v>
      </c>
      <c r="M6" s="129">
        <v>5.0000000000000001E-3</v>
      </c>
      <c r="N6" s="58"/>
      <c r="O6" s="130" t="str">
        <f>'CURVE MKT DATA'!U19</f>
        <v>3Y</v>
      </c>
      <c r="P6" s="131">
        <f ca="1">'CURVE MKT DATA'!Z19</f>
        <v>-3.6700000000000001E-3</v>
      </c>
      <c r="Q6" s="132" t="b">
        <v>1</v>
      </c>
      <c r="R6" s="119"/>
    </row>
    <row r="7" spans="2:18" x14ac:dyDescent="0.25">
      <c r="B7" s="117"/>
      <c r="C7" s="124" t="s">
        <v>261</v>
      </c>
      <c r="D7" s="125" t="s">
        <v>286</v>
      </c>
      <c r="E7" s="58" t="s">
        <v>251</v>
      </c>
      <c r="F7" s="74" t="str">
        <f>'CURVE MKT DATA'!U8</f>
        <v>3M</v>
      </c>
      <c r="G7" s="80">
        <f ca="1">'CURVE MKT DATA'!Z8</f>
        <v>-2.4113999999999997E-3</v>
      </c>
      <c r="H7" s="58"/>
      <c r="I7" s="133" t="str">
        <f ca="1">'CURVE MKT DATA'!V12</f>
        <v>ER2</v>
      </c>
      <c r="J7" s="134">
        <f ca="1">'CURVE MKT DATA'!W12</f>
        <v>44090</v>
      </c>
      <c r="K7" s="134">
        <f ca="1">'CURVE MKT DATA'!X12</f>
        <v>44181</v>
      </c>
      <c r="L7" s="135">
        <f ca="1">'CURVE MKT DATA'!Z12</f>
        <v>100.375</v>
      </c>
      <c r="M7" s="136">
        <v>5.0000000000000001E-3</v>
      </c>
      <c r="N7" s="58"/>
      <c r="O7" s="133" t="str">
        <f>'CURVE MKT DATA'!U20</f>
        <v>4Y</v>
      </c>
      <c r="P7" s="137">
        <f ca="1">'CURVE MKT DATA'!Z20</f>
        <v>-3.3700000000000002E-3</v>
      </c>
      <c r="Q7" s="138" t="b">
        <v>1</v>
      </c>
      <c r="R7" s="119"/>
    </row>
    <row r="8" spans="2:18" x14ac:dyDescent="0.25">
      <c r="B8" s="117"/>
      <c r="C8" s="124" t="s">
        <v>263</v>
      </c>
      <c r="D8" s="139">
        <f ca="1">Settings.COB</f>
        <v>43923</v>
      </c>
      <c r="E8" s="58" t="s">
        <v>251</v>
      </c>
      <c r="F8" s="74" t="str">
        <f>'CURVE MKT DATA'!U9</f>
        <v>6M</v>
      </c>
      <c r="G8" s="80">
        <f ca="1">'CURVE MKT DATA'!Z9</f>
        <v>-1.7786E-3</v>
      </c>
      <c r="H8" s="58"/>
      <c r="I8" s="133" t="str">
        <f ca="1">'CURVE MKT DATA'!V13</f>
        <v>ER3</v>
      </c>
      <c r="J8" s="140">
        <f ca="1">'CURVE MKT DATA'!W13</f>
        <v>44181</v>
      </c>
      <c r="K8" s="140">
        <f ca="1">'CURVE MKT DATA'!X13</f>
        <v>44272</v>
      </c>
      <c r="L8" s="135">
        <f ca="1">'CURVE MKT DATA'!Z13</f>
        <v>100.395</v>
      </c>
      <c r="M8" s="141">
        <v>5.0000000000000001E-3</v>
      </c>
      <c r="N8" s="58"/>
      <c r="O8" s="133" t="str">
        <f>'CURVE MKT DATA'!U21</f>
        <v>5Y</v>
      </c>
      <c r="P8" s="137">
        <f ca="1">'CURVE MKT DATA'!Z21</f>
        <v>-2.97E-3</v>
      </c>
      <c r="Q8" s="138" t="b">
        <v>1</v>
      </c>
      <c r="R8" s="119"/>
    </row>
    <row r="9" spans="2:18" x14ac:dyDescent="0.25">
      <c r="B9" s="117"/>
      <c r="C9" s="65"/>
      <c r="D9" s="142"/>
      <c r="E9" s="58" t="s">
        <v>251</v>
      </c>
      <c r="F9" s="74" t="str">
        <f>'CURVE MKT DATA'!U10</f>
        <v>12M</v>
      </c>
      <c r="G9" s="80">
        <f ca="1">'CURVE MKT DATA'!Z10</f>
        <v>-1.6443E-3</v>
      </c>
      <c r="H9" s="58"/>
      <c r="I9" s="133" t="str">
        <f ca="1">'CURVE MKT DATA'!V14</f>
        <v>ER4</v>
      </c>
      <c r="J9" s="140">
        <f ca="1">'CURVE MKT DATA'!W14</f>
        <v>44272</v>
      </c>
      <c r="K9" s="140">
        <f ca="1">'CURVE MKT DATA'!X14</f>
        <v>44363</v>
      </c>
      <c r="L9" s="135">
        <f ca="1">'CURVE MKT DATA'!Z14</f>
        <v>100.4</v>
      </c>
      <c r="M9" s="141">
        <v>5.0000000000000001E-3</v>
      </c>
      <c r="N9" s="58"/>
      <c r="O9" s="133" t="str">
        <f>'CURVE MKT DATA'!U22</f>
        <v>6Y</v>
      </c>
      <c r="P9" s="137">
        <f ca="1">'CURVE MKT DATA'!Z22</f>
        <v>-2.5999999999999999E-3</v>
      </c>
      <c r="Q9" s="138" t="b">
        <v>1</v>
      </c>
      <c r="R9" s="119"/>
    </row>
    <row r="10" spans="2:18" x14ac:dyDescent="0.25">
      <c r="B10" s="117"/>
      <c r="C10" s="81"/>
      <c r="D10" s="143"/>
      <c r="E10" s="58" t="s">
        <v>251</v>
      </c>
      <c r="F10" s="113"/>
      <c r="G10" s="110"/>
      <c r="H10" s="58"/>
      <c r="I10" s="133"/>
      <c r="J10" s="140"/>
      <c r="K10" s="140"/>
      <c r="L10" s="135"/>
      <c r="M10" s="141"/>
      <c r="N10" s="58"/>
      <c r="O10" s="133" t="str">
        <f>'CURVE MKT DATA'!U23</f>
        <v>7Y</v>
      </c>
      <c r="P10" s="137">
        <f ca="1">'CURVE MKT DATA'!Z23</f>
        <v>-2.1800000000000001E-3</v>
      </c>
      <c r="Q10" s="138" t="b">
        <v>1</v>
      </c>
      <c r="R10" s="119"/>
    </row>
    <row r="11" spans="2:18" x14ac:dyDescent="0.25">
      <c r="B11" s="117"/>
      <c r="C11" s="58"/>
      <c r="D11" s="58"/>
      <c r="E11" s="58" t="s">
        <v>251</v>
      </c>
      <c r="F11" s="58"/>
      <c r="G11" s="58"/>
      <c r="H11" s="58"/>
      <c r="I11" s="133"/>
      <c r="J11" s="140"/>
      <c r="K11" s="140"/>
      <c r="L11" s="135"/>
      <c r="M11" s="141"/>
      <c r="N11" s="58"/>
      <c r="O11" s="133" t="str">
        <f>'CURVE MKT DATA'!U24</f>
        <v>8Y</v>
      </c>
      <c r="P11" s="137">
        <f ca="1">'CURVE MKT DATA'!Z24</f>
        <v>-1.7399999999999998E-3</v>
      </c>
      <c r="Q11" s="138" t="b">
        <v>1</v>
      </c>
      <c r="R11" s="119"/>
    </row>
    <row r="12" spans="2:18" x14ac:dyDescent="0.25">
      <c r="B12" s="117"/>
      <c r="C12" s="87" t="s">
        <v>264</v>
      </c>
      <c r="D12" s="61"/>
      <c r="E12" s="58" t="s">
        <v>251</v>
      </c>
      <c r="F12" s="58"/>
      <c r="G12" s="58"/>
      <c r="H12" s="58"/>
      <c r="I12" s="133"/>
      <c r="J12" s="140"/>
      <c r="K12" s="140"/>
      <c r="L12" s="135"/>
      <c r="M12" s="141"/>
      <c r="N12" s="58"/>
      <c r="O12" s="133" t="str">
        <f>'CURVE MKT DATA'!U25</f>
        <v>9Y</v>
      </c>
      <c r="P12" s="137">
        <f ca="1">'CURVE MKT DATA'!Z25</f>
        <v>-1.2999999999999999E-3</v>
      </c>
      <c r="Q12" s="138" t="b">
        <v>1</v>
      </c>
      <c r="R12" s="119"/>
    </row>
    <row r="13" spans="2:18" x14ac:dyDescent="0.25">
      <c r="B13" s="117"/>
      <c r="C13" s="57" t="s">
        <v>265</v>
      </c>
      <c r="D13" s="88" t="s">
        <v>291</v>
      </c>
      <c r="E13" s="58" t="s">
        <v>251</v>
      </c>
      <c r="F13" s="58"/>
      <c r="G13" s="58"/>
      <c r="H13" s="58"/>
      <c r="I13" s="133"/>
      <c r="J13" s="140"/>
      <c r="K13" s="140"/>
      <c r="L13" s="135"/>
      <c r="M13" s="141"/>
      <c r="N13" s="58"/>
      <c r="O13" s="133" t="str">
        <f>'CURVE MKT DATA'!U26</f>
        <v>10Y</v>
      </c>
      <c r="P13" s="137">
        <f ca="1">'CURVE MKT DATA'!Z26</f>
        <v>-8.5999999999999998E-4</v>
      </c>
      <c r="Q13" s="138" t="b">
        <v>1</v>
      </c>
      <c r="R13" s="119"/>
    </row>
    <row r="14" spans="2:18" x14ac:dyDescent="0.25">
      <c r="B14" s="117"/>
      <c r="C14" s="81" t="s">
        <v>267</v>
      </c>
      <c r="D14" s="89" t="str">
        <f ca="1">_xll.meLWOCurveMarketDataCreate(D13,C4,C5:D10,F4,F6:G10,I4,I6:M31,O4,O6:Q31)</f>
        <v>EUR_SWAP_3M_CURVE_MARKETDATA@10:2</v>
      </c>
      <c r="E14" s="58" t="s">
        <v>251</v>
      </c>
      <c r="F14" s="58"/>
      <c r="G14" s="58"/>
      <c r="H14" s="58"/>
      <c r="I14" s="133"/>
      <c r="J14" s="140"/>
      <c r="K14" s="140"/>
      <c r="L14" s="135"/>
      <c r="M14" s="141"/>
      <c r="N14" s="58"/>
      <c r="O14" s="133" t="str">
        <f>'CURVE MKT DATA'!U27</f>
        <v>11Y</v>
      </c>
      <c r="P14" s="137">
        <f ca="1">'CURVE MKT DATA'!Z27</f>
        <v>-4.2999999999999999E-4</v>
      </c>
      <c r="Q14" s="138" t="b">
        <v>1</v>
      </c>
      <c r="R14" s="119"/>
    </row>
    <row r="15" spans="2:18" x14ac:dyDescent="0.25">
      <c r="B15" s="117"/>
      <c r="C15" s="58"/>
      <c r="D15" s="58"/>
      <c r="E15" s="58" t="s">
        <v>251</v>
      </c>
      <c r="F15" s="58"/>
      <c r="G15" s="58"/>
      <c r="H15" s="58"/>
      <c r="I15" s="133"/>
      <c r="J15" s="140"/>
      <c r="K15" s="140"/>
      <c r="L15" s="135"/>
      <c r="M15" s="141"/>
      <c r="N15" s="58"/>
      <c r="O15" s="133" t="str">
        <f>'CURVE MKT DATA'!U28</f>
        <v>12Y</v>
      </c>
      <c r="P15" s="137">
        <f ca="1">'CURVE MKT DATA'!Z28</f>
        <v>-2.0000000000000002E-5</v>
      </c>
      <c r="Q15" s="138" t="b">
        <v>1</v>
      </c>
      <c r="R15" s="119"/>
    </row>
    <row r="16" spans="2:18" x14ac:dyDescent="0.25">
      <c r="B16" s="117"/>
      <c r="C16" s="58"/>
      <c r="D16" s="58"/>
      <c r="E16" s="58" t="s">
        <v>251</v>
      </c>
      <c r="F16" s="58"/>
      <c r="G16" s="58"/>
      <c r="H16" s="58"/>
      <c r="I16" s="133"/>
      <c r="J16" s="140"/>
      <c r="K16" s="140"/>
      <c r="L16" s="135"/>
      <c r="M16" s="141"/>
      <c r="N16" s="58"/>
      <c r="O16" s="133" t="str">
        <f>'CURVE MKT DATA'!U29</f>
        <v>15Y</v>
      </c>
      <c r="P16" s="137">
        <f ca="1">'CURVE MKT DATA'!Z29</f>
        <v>9.5E-4</v>
      </c>
      <c r="Q16" s="138" t="b">
        <v>1</v>
      </c>
      <c r="R16" s="119"/>
    </row>
    <row r="17" spans="2:18" x14ac:dyDescent="0.25">
      <c r="B17" s="117"/>
      <c r="C17" s="58"/>
      <c r="D17" s="58"/>
      <c r="E17" s="58" t="s">
        <v>251</v>
      </c>
      <c r="F17" s="58"/>
      <c r="G17" s="58"/>
      <c r="H17" s="58"/>
      <c r="I17" s="133"/>
      <c r="J17" s="140"/>
      <c r="K17" s="140"/>
      <c r="L17" s="135"/>
      <c r="M17" s="141"/>
      <c r="N17" s="58"/>
      <c r="O17" s="133" t="str">
        <f>'CURVE MKT DATA'!U30</f>
        <v>20Y</v>
      </c>
      <c r="P17" s="137">
        <f ca="1">'CURVE MKT DATA'!Z30</f>
        <v>1.57E-3</v>
      </c>
      <c r="Q17" s="138" t="b">
        <v>1</v>
      </c>
      <c r="R17" s="119"/>
    </row>
    <row r="18" spans="2:18" x14ac:dyDescent="0.25">
      <c r="B18" s="117"/>
      <c r="C18" s="58"/>
      <c r="D18" s="58"/>
      <c r="E18" s="58"/>
      <c r="F18" s="58"/>
      <c r="G18" s="58"/>
      <c r="H18" s="58"/>
      <c r="I18" s="133"/>
      <c r="J18" s="140"/>
      <c r="K18" s="140"/>
      <c r="L18" s="135"/>
      <c r="M18" s="141"/>
      <c r="N18" s="58"/>
      <c r="O18" s="133" t="str">
        <f>'CURVE MKT DATA'!U31</f>
        <v>25Y</v>
      </c>
      <c r="P18" s="137">
        <f ca="1">'CURVE MKT DATA'!Z31</f>
        <v>1.4299999999999998E-3</v>
      </c>
      <c r="Q18" s="138" t="b">
        <v>1</v>
      </c>
      <c r="R18" s="119"/>
    </row>
    <row r="19" spans="2:18" x14ac:dyDescent="0.25">
      <c r="B19" s="117"/>
      <c r="C19" s="58"/>
      <c r="D19" s="58"/>
      <c r="E19" s="58" t="s">
        <v>251</v>
      </c>
      <c r="F19" s="58"/>
      <c r="G19" s="58"/>
      <c r="H19" s="58"/>
      <c r="I19" s="133"/>
      <c r="J19" s="140"/>
      <c r="K19" s="140"/>
      <c r="L19" s="135"/>
      <c r="M19" s="141"/>
      <c r="N19" s="58"/>
      <c r="O19" s="133" t="str">
        <f>'CURVE MKT DATA'!U32</f>
        <v>30Y</v>
      </c>
      <c r="P19" s="137">
        <f ca="1">'CURVE MKT DATA'!Z32</f>
        <v>1.01E-3</v>
      </c>
      <c r="Q19" s="138" t="b">
        <v>1</v>
      </c>
      <c r="R19" s="119"/>
    </row>
    <row r="20" spans="2:18" x14ac:dyDescent="0.25">
      <c r="B20" s="117"/>
      <c r="C20" s="91" t="s">
        <v>268</v>
      </c>
      <c r="D20" s="144"/>
      <c r="E20" s="58" t="s">
        <v>251</v>
      </c>
      <c r="F20" s="58"/>
      <c r="G20" s="58"/>
      <c r="H20" s="58"/>
      <c r="I20" s="133"/>
      <c r="J20" s="140"/>
      <c r="K20" s="140"/>
      <c r="L20" s="135"/>
      <c r="M20" s="141"/>
      <c r="N20" s="58"/>
      <c r="O20" s="133" t="str">
        <f>'CURVE MKT DATA'!U33</f>
        <v>40Y</v>
      </c>
      <c r="P20" s="137">
        <f ca="1">'CURVE MKT DATA'!Z33</f>
        <v>3.3E-4</v>
      </c>
      <c r="Q20" s="138" t="b">
        <v>1</v>
      </c>
      <c r="R20" s="119"/>
    </row>
    <row r="21" spans="2:18" x14ac:dyDescent="0.25">
      <c r="B21" s="117"/>
      <c r="C21" s="7" t="s">
        <v>265</v>
      </c>
      <c r="D21" s="92" t="s">
        <v>292</v>
      </c>
      <c r="E21" s="58" t="s">
        <v>251</v>
      </c>
      <c r="F21" s="58"/>
      <c r="G21" s="58"/>
      <c r="H21" s="58"/>
      <c r="I21" s="133"/>
      <c r="J21" s="140"/>
      <c r="K21" s="140"/>
      <c r="L21" s="135"/>
      <c r="M21" s="141"/>
      <c r="N21" s="58"/>
      <c r="O21" s="133" t="str">
        <f>'CURVE MKT DATA'!U34</f>
        <v>50Y</v>
      </c>
      <c r="P21" s="137">
        <f ca="1">'CURVE MKT DATA'!Z34</f>
        <v>-3.3E-4</v>
      </c>
      <c r="Q21" s="138" t="b">
        <v>1</v>
      </c>
      <c r="R21" s="119"/>
    </row>
    <row r="22" spans="2:18" x14ac:dyDescent="0.25">
      <c r="B22" s="117"/>
      <c r="C22" s="19" t="s">
        <v>271</v>
      </c>
      <c r="D22" s="104" t="s">
        <v>293</v>
      </c>
      <c r="E22" s="58" t="s">
        <v>251</v>
      </c>
      <c r="F22" s="58"/>
      <c r="G22" s="58"/>
      <c r="H22" s="58"/>
      <c r="I22" s="133"/>
      <c r="J22" s="140"/>
      <c r="K22" s="140"/>
      <c r="L22" s="135"/>
      <c r="M22" s="141"/>
      <c r="N22" s="58"/>
      <c r="O22" s="145" t="s">
        <v>276</v>
      </c>
      <c r="P22" s="146">
        <f ca="1">P21</f>
        <v>-3.3E-4</v>
      </c>
      <c r="Q22" s="147" t="b">
        <v>1</v>
      </c>
      <c r="R22" s="148" t="s">
        <v>277</v>
      </c>
    </row>
    <row r="23" spans="2:18" x14ac:dyDescent="0.25">
      <c r="B23" s="117"/>
      <c r="C23" s="19" t="s">
        <v>274</v>
      </c>
      <c r="D23" s="93" t="s">
        <v>260</v>
      </c>
      <c r="E23" s="58" t="s">
        <v>251</v>
      </c>
      <c r="F23" s="58"/>
      <c r="G23" s="58"/>
      <c r="H23" s="58"/>
      <c r="I23" s="133"/>
      <c r="J23" s="140"/>
      <c r="K23" s="140"/>
      <c r="L23" s="135"/>
      <c r="M23" s="141"/>
      <c r="N23" s="58"/>
      <c r="O23" s="133"/>
      <c r="P23" s="137"/>
      <c r="Q23" s="138"/>
      <c r="R23" s="119"/>
    </row>
    <row r="24" spans="2:18" x14ac:dyDescent="0.25">
      <c r="B24" s="117"/>
      <c r="C24" s="37" t="s">
        <v>275</v>
      </c>
      <c r="D24" s="94"/>
      <c r="E24" s="58" t="s">
        <v>251</v>
      </c>
      <c r="F24" s="58"/>
      <c r="G24" s="58"/>
      <c r="H24" s="58"/>
      <c r="I24" s="133"/>
      <c r="J24" s="140"/>
      <c r="K24" s="140"/>
      <c r="L24" s="135"/>
      <c r="M24" s="141"/>
      <c r="N24" s="58"/>
      <c r="O24" s="133"/>
      <c r="P24" s="137"/>
      <c r="Q24" s="138"/>
      <c r="R24" s="119"/>
    </row>
    <row r="25" spans="2:18" x14ac:dyDescent="0.25">
      <c r="B25" s="117"/>
      <c r="C25" s="58"/>
      <c r="D25" s="58"/>
      <c r="E25" s="58" t="s">
        <v>251</v>
      </c>
      <c r="F25" s="58"/>
      <c r="G25" s="58"/>
      <c r="H25" s="58"/>
      <c r="I25" s="133"/>
      <c r="J25" s="140"/>
      <c r="K25" s="140"/>
      <c r="L25" s="135"/>
      <c r="M25" s="141"/>
      <c r="N25" s="58"/>
      <c r="O25" s="133"/>
      <c r="P25" s="137"/>
      <c r="Q25" s="138"/>
      <c r="R25" s="119"/>
    </row>
    <row r="26" spans="2:18" x14ac:dyDescent="0.25">
      <c r="B26" s="117"/>
      <c r="C26" s="58"/>
      <c r="D26" s="58"/>
      <c r="E26" s="58" t="s">
        <v>251</v>
      </c>
      <c r="F26" s="58"/>
      <c r="G26" s="58"/>
      <c r="H26" s="58"/>
      <c r="I26" s="133"/>
      <c r="J26" s="140"/>
      <c r="K26" s="140"/>
      <c r="L26" s="135"/>
      <c r="M26" s="141"/>
      <c r="N26" s="58"/>
      <c r="O26" s="133"/>
      <c r="P26" s="137"/>
      <c r="Q26" s="138"/>
      <c r="R26" s="119"/>
    </row>
    <row r="27" spans="2:18" x14ac:dyDescent="0.25">
      <c r="B27" s="117"/>
      <c r="C27" s="91" t="s">
        <v>279</v>
      </c>
      <c r="D27" s="58"/>
      <c r="E27" s="58" t="s">
        <v>251</v>
      </c>
      <c r="F27" s="58"/>
      <c r="G27" s="58"/>
      <c r="H27" s="58"/>
      <c r="I27" s="133"/>
      <c r="J27" s="140"/>
      <c r="K27" s="140"/>
      <c r="L27" s="135"/>
      <c r="M27" s="141"/>
      <c r="N27" s="58"/>
      <c r="O27" s="133"/>
      <c r="P27" s="137"/>
      <c r="Q27" s="138"/>
      <c r="R27" s="119"/>
    </row>
    <row r="28" spans="2:18" x14ac:dyDescent="0.25">
      <c r="B28" s="117"/>
      <c r="C28" s="100" t="s">
        <v>265</v>
      </c>
      <c r="D28" s="101" t="str">
        <f t="array" aca="1" ref="D28:D31" ca="1">IF('EUR OIS'!$D$32,_xll.meLWOCurveCalibrate(D21,D22,D14,D23,D24),"LOAD DEPENDENCY CURVE")</f>
        <v>EUR_SWAP_3M_CURVE@11:2</v>
      </c>
      <c r="E28" s="58" t="s">
        <v>251</v>
      </c>
      <c r="F28" s="58"/>
      <c r="G28" s="58"/>
      <c r="H28" s="58"/>
      <c r="I28" s="133"/>
      <c r="J28" s="140"/>
      <c r="K28" s="140"/>
      <c r="L28" s="135"/>
      <c r="M28" s="141"/>
      <c r="N28" s="58"/>
      <c r="O28" s="133"/>
      <c r="P28" s="137"/>
      <c r="Q28" s="138"/>
      <c r="R28" s="119"/>
    </row>
    <row r="29" spans="2:18" x14ac:dyDescent="0.25">
      <c r="B29" s="117"/>
      <c r="C29" s="104" t="s">
        <v>281</v>
      </c>
      <c r="D29" s="102" t="str">
        <f ca="1"/>
        <v>EURYC</v>
      </c>
      <c r="E29" s="58" t="s">
        <v>251</v>
      </c>
      <c r="F29" s="58"/>
      <c r="G29" s="58"/>
      <c r="H29" s="58"/>
      <c r="I29" s="133"/>
      <c r="J29" s="140"/>
      <c r="K29" s="140"/>
      <c r="L29" s="135"/>
      <c r="M29" s="141"/>
      <c r="N29" s="58"/>
      <c r="O29" s="133"/>
      <c r="P29" s="137"/>
      <c r="Q29" s="138"/>
      <c r="R29" s="119"/>
    </row>
    <row r="30" spans="2:18" x14ac:dyDescent="0.25">
      <c r="B30" s="117"/>
      <c r="C30" s="104" t="s">
        <v>282</v>
      </c>
      <c r="D30" s="102" t="str">
        <f ca="1"/>
        <v>STD:EUR3ML</v>
      </c>
      <c r="E30" s="58" t="s">
        <v>251</v>
      </c>
      <c r="F30" s="58"/>
      <c r="G30" s="58"/>
      <c r="H30" s="58"/>
      <c r="I30" s="133"/>
      <c r="J30" s="140"/>
      <c r="K30" s="140"/>
      <c r="L30" s="135"/>
      <c r="M30" s="141"/>
      <c r="N30" s="58"/>
      <c r="O30" s="133"/>
      <c r="P30" s="137"/>
      <c r="Q30" s="138"/>
      <c r="R30" s="119"/>
    </row>
    <row r="31" spans="2:18" x14ac:dyDescent="0.25">
      <c r="B31" s="117"/>
      <c r="C31" s="105" t="s">
        <v>283</v>
      </c>
      <c r="D31" s="103" t="str">
        <f ca="1"/>
        <v>0.00900 sec</v>
      </c>
      <c r="E31" s="58" t="s">
        <v>251</v>
      </c>
      <c r="F31" s="58"/>
      <c r="G31" s="58"/>
      <c r="H31" s="58"/>
      <c r="I31" s="149"/>
      <c r="J31" s="150"/>
      <c r="K31" s="150"/>
      <c r="L31" s="151"/>
      <c r="M31" s="152"/>
      <c r="N31" s="58"/>
      <c r="O31" s="149"/>
      <c r="P31" s="153"/>
      <c r="Q31" s="154"/>
      <c r="R31" s="119"/>
    </row>
    <row r="32" spans="2:18" x14ac:dyDescent="0.25">
      <c r="B32" s="117"/>
      <c r="C32" s="111" t="s">
        <v>284</v>
      </c>
      <c r="D32" s="112" t="b">
        <f ca="1">_xll.meLWOExists(D28,"CURVE")</f>
        <v>1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119"/>
    </row>
    <row r="33" spans="2:18" x14ac:dyDescent="0.25">
      <c r="B33" s="117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119"/>
    </row>
    <row r="34" spans="2:18" x14ac:dyDescent="0.25">
      <c r="B34" s="11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119"/>
    </row>
    <row r="35" spans="2:18" x14ac:dyDescent="0.25">
      <c r="B35" s="117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119"/>
    </row>
    <row r="36" spans="2:18" x14ac:dyDescent="0.25">
      <c r="B36" s="117"/>
      <c r="C36" s="58"/>
      <c r="D36" s="58"/>
      <c r="E36" s="58" t="s">
        <v>251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119"/>
    </row>
    <row r="37" spans="2:18" x14ac:dyDescent="0.25">
      <c r="B37" s="117"/>
      <c r="C37" s="58"/>
      <c r="D37" s="58"/>
      <c r="E37" s="58" t="s">
        <v>251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119"/>
    </row>
    <row r="38" spans="2:18" x14ac:dyDescent="0.25">
      <c r="B38" s="117"/>
      <c r="C38" s="58"/>
      <c r="D38" s="58"/>
      <c r="E38" s="58" t="s">
        <v>251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119"/>
    </row>
    <row r="39" spans="2:18" x14ac:dyDescent="0.25">
      <c r="B39" s="117"/>
      <c r="C39" s="58"/>
      <c r="D39" s="58"/>
      <c r="E39" s="58" t="s">
        <v>251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119"/>
    </row>
    <row r="40" spans="2:18" x14ac:dyDescent="0.25">
      <c r="B40" s="11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119"/>
    </row>
    <row r="41" spans="2:18" x14ac:dyDescent="0.25">
      <c r="B41" s="11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119"/>
    </row>
    <row r="42" spans="2:18" x14ac:dyDescent="0.25">
      <c r="B42" s="11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119"/>
    </row>
    <row r="43" spans="2:18" x14ac:dyDescent="0.25">
      <c r="B43" s="11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119"/>
    </row>
    <row r="44" spans="2:18" x14ac:dyDescent="0.25">
      <c r="B44" s="11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119"/>
    </row>
    <row r="45" spans="2:18" x14ac:dyDescent="0.25">
      <c r="B45" s="117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119"/>
    </row>
    <row r="46" spans="2:18" x14ac:dyDescent="0.25">
      <c r="B46" s="11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119"/>
    </row>
    <row r="47" spans="2:18" x14ac:dyDescent="0.25">
      <c r="B47" s="117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119"/>
    </row>
    <row r="48" spans="2:18" x14ac:dyDescent="0.25">
      <c r="B48" s="11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119"/>
    </row>
    <row r="49" spans="2:18" x14ac:dyDescent="0.25">
      <c r="B49" s="117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119"/>
    </row>
    <row r="50" spans="2:18" x14ac:dyDescent="0.25">
      <c r="B50" s="117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119"/>
    </row>
    <row r="51" spans="2:18" x14ac:dyDescent="0.25">
      <c r="B51" s="11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119"/>
    </row>
    <row r="52" spans="2:18" x14ac:dyDescent="0.25">
      <c r="B52" s="117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19"/>
    </row>
    <row r="53" spans="2:18" x14ac:dyDescent="0.25">
      <c r="B53" s="117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119"/>
    </row>
    <row r="54" spans="2:18" x14ac:dyDescent="0.25">
      <c r="B54" s="11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119"/>
    </row>
    <row r="55" spans="2:18" x14ac:dyDescent="0.25">
      <c r="B55" s="117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119"/>
    </row>
    <row r="56" spans="2:18" x14ac:dyDescent="0.25">
      <c r="B56" s="117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119"/>
    </row>
    <row r="57" spans="2:18" x14ac:dyDescent="0.25">
      <c r="B57" s="117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119"/>
    </row>
    <row r="58" spans="2:18" x14ac:dyDescent="0.25">
      <c r="B58" s="117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119"/>
    </row>
    <row r="59" spans="2:18" x14ac:dyDescent="0.25">
      <c r="B59" s="117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119"/>
    </row>
    <row r="60" spans="2:18" x14ac:dyDescent="0.25">
      <c r="B60" s="117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119"/>
    </row>
    <row r="61" spans="2:18" x14ac:dyDescent="0.25">
      <c r="B61" s="117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119"/>
    </row>
    <row r="62" spans="2:18" x14ac:dyDescent="0.25">
      <c r="B62" s="11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119"/>
    </row>
    <row r="63" spans="2:18" x14ac:dyDescent="0.25">
      <c r="B63" s="117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119"/>
    </row>
    <row r="64" spans="2:18" x14ac:dyDescent="0.25">
      <c r="B64" s="117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119"/>
    </row>
    <row r="65" spans="2:18" x14ac:dyDescent="0.25">
      <c r="B65" s="11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119"/>
    </row>
    <row r="66" spans="2:18" x14ac:dyDescent="0.25">
      <c r="B66" s="117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119"/>
    </row>
    <row r="67" spans="2:18" x14ac:dyDescent="0.25">
      <c r="B67" s="117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119"/>
    </row>
    <row r="68" spans="2:18" x14ac:dyDescent="0.25">
      <c r="B68" s="117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119"/>
    </row>
    <row r="69" spans="2:18" x14ac:dyDescent="0.25">
      <c r="B69" s="117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119"/>
    </row>
    <row r="70" spans="2:18" x14ac:dyDescent="0.25">
      <c r="B70" s="117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119"/>
    </row>
    <row r="71" spans="2:18" x14ac:dyDescent="0.25">
      <c r="B71" s="117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119"/>
    </row>
    <row r="72" spans="2:18" x14ac:dyDescent="0.25">
      <c r="B72" s="117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119"/>
    </row>
    <row r="73" spans="2:18" x14ac:dyDescent="0.25">
      <c r="B73" s="117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119"/>
    </row>
    <row r="74" spans="2:18" x14ac:dyDescent="0.25">
      <c r="B74" s="117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119"/>
    </row>
    <row r="75" spans="2:18" x14ac:dyDescent="0.25">
      <c r="B75" s="117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119"/>
    </row>
    <row r="76" spans="2:18" x14ac:dyDescent="0.25">
      <c r="B76" s="117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119"/>
    </row>
    <row r="77" spans="2:18" x14ac:dyDescent="0.25">
      <c r="B77" s="117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119"/>
    </row>
    <row r="78" spans="2:18" x14ac:dyDescent="0.25">
      <c r="B78" s="117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119"/>
    </row>
    <row r="79" spans="2:18" x14ac:dyDescent="0.25">
      <c r="B79" s="117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119"/>
    </row>
    <row r="80" spans="2:18" x14ac:dyDescent="0.25">
      <c r="B80" s="117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119"/>
    </row>
    <row r="81" spans="2:18" x14ac:dyDescent="0.25">
      <c r="B81" s="117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119"/>
    </row>
    <row r="82" spans="2:18" x14ac:dyDescent="0.25">
      <c r="B82" s="117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119"/>
    </row>
    <row r="83" spans="2:18" x14ac:dyDescent="0.25">
      <c r="B83" s="117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119"/>
    </row>
    <row r="84" spans="2:18" x14ac:dyDescent="0.25">
      <c r="B84" s="117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119"/>
    </row>
    <row r="85" spans="2:18" x14ac:dyDescent="0.25">
      <c r="B85" s="117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119"/>
    </row>
    <row r="86" spans="2:18" x14ac:dyDescent="0.25">
      <c r="B86" s="117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119"/>
    </row>
    <row r="87" spans="2:18" x14ac:dyDescent="0.25">
      <c r="B87" s="117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119"/>
    </row>
    <row r="88" spans="2:18" x14ac:dyDescent="0.25">
      <c r="B88" s="117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119"/>
    </row>
    <row r="89" spans="2:18" x14ac:dyDescent="0.25">
      <c r="B89" s="117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119"/>
    </row>
    <row r="90" spans="2:18" x14ac:dyDescent="0.25">
      <c r="B90" s="117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119"/>
    </row>
    <row r="91" spans="2:18" x14ac:dyDescent="0.25">
      <c r="B91" s="117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119"/>
    </row>
    <row r="92" spans="2:18" x14ac:dyDescent="0.25">
      <c r="B92" s="117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119"/>
    </row>
    <row r="93" spans="2:18" x14ac:dyDescent="0.25">
      <c r="B93" s="117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119"/>
    </row>
    <row r="94" spans="2:18" x14ac:dyDescent="0.25">
      <c r="B94" s="117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119"/>
    </row>
    <row r="95" spans="2:18" x14ac:dyDescent="0.25">
      <c r="B95" s="117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119"/>
    </row>
    <row r="96" spans="2:18" x14ac:dyDescent="0.25">
      <c r="B96" s="117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119"/>
    </row>
    <row r="97" spans="2:18" x14ac:dyDescent="0.25">
      <c r="B97" s="117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119"/>
    </row>
    <row r="98" spans="2:18" x14ac:dyDescent="0.25">
      <c r="B98" s="117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119"/>
    </row>
    <row r="99" spans="2:18" x14ac:dyDescent="0.25">
      <c r="B99" s="117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119"/>
    </row>
    <row r="100" spans="2:18" x14ac:dyDescent="0.25">
      <c r="B100" s="117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119"/>
    </row>
    <row r="101" spans="2:18" x14ac:dyDescent="0.25">
      <c r="B101" s="117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119"/>
    </row>
    <row r="102" spans="2:18" x14ac:dyDescent="0.25">
      <c r="B102" s="117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119"/>
    </row>
    <row r="103" spans="2:18" x14ac:dyDescent="0.25">
      <c r="B103" s="117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119"/>
    </row>
    <row r="104" spans="2:18" x14ac:dyDescent="0.25">
      <c r="B104" s="117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119"/>
    </row>
    <row r="105" spans="2:18" x14ac:dyDescent="0.25">
      <c r="B105" s="117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119"/>
    </row>
    <row r="106" spans="2:18" x14ac:dyDescent="0.25">
      <c r="B106" s="117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119"/>
    </row>
    <row r="107" spans="2:18" x14ac:dyDescent="0.25">
      <c r="B107" s="11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119"/>
    </row>
    <row r="108" spans="2:18" x14ac:dyDescent="0.25">
      <c r="B108" s="11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119"/>
    </row>
    <row r="109" spans="2:18" x14ac:dyDescent="0.25">
      <c r="B109" s="157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8"/>
  </sheetPr>
  <dimension ref="B3:O109"/>
  <sheetViews>
    <sheetView showGridLines="0" workbookViewId="0"/>
  </sheetViews>
  <sheetFormatPr defaultRowHeight="15" x14ac:dyDescent="0.25"/>
  <cols>
    <col min="1" max="2" width="2.7109375" customWidth="1"/>
    <col min="3" max="3" width="30.7109375" customWidth="1"/>
    <col min="4" max="4" width="40.5703125" bestFit="1" customWidth="1"/>
    <col min="5" max="5" width="2.7109375" customWidth="1"/>
    <col min="6" max="7" width="10.7109375" customWidth="1"/>
    <col min="8" max="8" width="2.7109375" customWidth="1"/>
    <col min="9" max="10" width="10.7109375" customWidth="1"/>
    <col min="11" max="11" width="2.7109375" customWidth="1"/>
    <col min="12" max="14" width="12.7109375" customWidth="1"/>
    <col min="15" max="15" width="2.7109375" customWidth="1"/>
  </cols>
  <sheetData>
    <row r="3" spans="2:15" x14ac:dyDescent="0.25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</row>
    <row r="4" spans="2:15" x14ac:dyDescent="0.25">
      <c r="B4" s="117"/>
      <c r="C4" s="62" t="s">
        <v>247</v>
      </c>
      <c r="D4" s="63"/>
      <c r="E4" s="58"/>
      <c r="F4" s="62" t="s">
        <v>287</v>
      </c>
      <c r="G4" s="63"/>
      <c r="H4" s="58"/>
      <c r="I4" s="62" t="s">
        <v>295</v>
      </c>
      <c r="J4" s="63"/>
      <c r="K4" s="58"/>
      <c r="L4" s="62" t="s">
        <v>250</v>
      </c>
      <c r="M4" s="58"/>
      <c r="N4" s="58"/>
      <c r="O4" s="119"/>
    </row>
    <row r="5" spans="2:15" x14ac:dyDescent="0.25">
      <c r="B5" s="117"/>
      <c r="C5" s="120" t="s">
        <v>257</v>
      </c>
      <c r="D5" s="121" t="s">
        <v>258</v>
      </c>
      <c r="E5" s="58" t="s">
        <v>251</v>
      </c>
      <c r="F5" s="61" t="s">
        <v>252</v>
      </c>
      <c r="G5" s="61" t="s">
        <v>253</v>
      </c>
      <c r="H5" s="90"/>
      <c r="I5" s="61" t="s">
        <v>252</v>
      </c>
      <c r="J5" s="61" t="s">
        <v>253</v>
      </c>
      <c r="K5" s="90"/>
      <c r="L5" s="123" t="s">
        <v>252</v>
      </c>
      <c r="M5" s="61" t="s">
        <v>253</v>
      </c>
      <c r="N5" s="61" t="s">
        <v>256</v>
      </c>
      <c r="O5" s="119"/>
    </row>
    <row r="6" spans="2:15" x14ac:dyDescent="0.25">
      <c r="B6" s="117"/>
      <c r="C6" s="124" t="s">
        <v>259</v>
      </c>
      <c r="D6" s="125" t="s">
        <v>290</v>
      </c>
      <c r="E6" s="58" t="s">
        <v>251</v>
      </c>
      <c r="F6" s="68" t="str">
        <f>'CURVE MKT DATA'!P7</f>
        <v>1M</v>
      </c>
      <c r="G6" s="73">
        <f ca="1">'CURVE MKT DATA'!R7</f>
        <v>-3.8942999999999998E-3</v>
      </c>
      <c r="H6" s="58"/>
      <c r="I6" s="130" t="str">
        <f>'CURVE MKT DATA'!P11</f>
        <v>1X7</v>
      </c>
      <c r="J6" s="160">
        <f ca="1">'CURVE MKT DATA'!R11</f>
        <v>-2.7000000000000001E-3</v>
      </c>
      <c r="K6" s="58"/>
      <c r="L6" s="130" t="str">
        <f>'CURVE MKT DATA'!P22</f>
        <v>2Y</v>
      </c>
      <c r="M6" s="131">
        <f ca="1">'CURVE MKT DATA'!R22</f>
        <v>-3.0399999999999997E-3</v>
      </c>
      <c r="N6" s="132" t="b">
        <v>1</v>
      </c>
      <c r="O6" s="119"/>
    </row>
    <row r="7" spans="2:15" x14ac:dyDescent="0.25">
      <c r="B7" s="117"/>
      <c r="C7" s="124" t="s">
        <v>261</v>
      </c>
      <c r="D7" s="125" t="s">
        <v>297</v>
      </c>
      <c r="E7" s="58" t="s">
        <v>251</v>
      </c>
      <c r="F7" s="74" t="str">
        <f>'CURVE MKT DATA'!P8</f>
        <v>3M</v>
      </c>
      <c r="G7" s="80">
        <f ca="1">'CURVE MKT DATA'!R8</f>
        <v>-2.4113999999999997E-3</v>
      </c>
      <c r="H7" s="58"/>
      <c r="I7" s="133" t="str">
        <f>'CURVE MKT DATA'!P12</f>
        <v>2X8</v>
      </c>
      <c r="J7" s="161">
        <f ca="1">'CURVE MKT DATA'!R12</f>
        <v>-2.8000000000000004E-3</v>
      </c>
      <c r="K7" s="58"/>
      <c r="L7" s="133" t="str">
        <f>'CURVE MKT DATA'!P23</f>
        <v>3Y</v>
      </c>
      <c r="M7" s="137">
        <f ca="1">'CURVE MKT DATA'!R23</f>
        <v>-2.9199999999999999E-3</v>
      </c>
      <c r="N7" s="138" t="b">
        <v>1</v>
      </c>
      <c r="O7" s="119"/>
    </row>
    <row r="8" spans="2:15" x14ac:dyDescent="0.25">
      <c r="B8" s="117"/>
      <c r="C8" s="124" t="s">
        <v>263</v>
      </c>
      <c r="D8" s="139">
        <f ca="1">Settings.COB</f>
        <v>43923</v>
      </c>
      <c r="E8" s="58" t="s">
        <v>251</v>
      </c>
      <c r="F8" s="74" t="str">
        <f>'CURVE MKT DATA'!P9</f>
        <v>6M</v>
      </c>
      <c r="G8" s="80">
        <f ca="1">'CURVE MKT DATA'!R9</f>
        <v>-1.7786E-3</v>
      </c>
      <c r="H8" s="58"/>
      <c r="I8" s="133" t="str">
        <f>'CURVE MKT DATA'!P13</f>
        <v>3X9</v>
      </c>
      <c r="J8" s="161">
        <f ca="1">'CURVE MKT DATA'!R13</f>
        <v>-2.8899999999999998E-3</v>
      </c>
      <c r="K8" s="58"/>
      <c r="L8" s="133" t="str">
        <f>'CURVE MKT DATA'!P24</f>
        <v>4Y</v>
      </c>
      <c r="M8" s="137">
        <f ca="1">'CURVE MKT DATA'!R24</f>
        <v>-2.6199999999999999E-3</v>
      </c>
      <c r="N8" s="138" t="b">
        <v>1</v>
      </c>
      <c r="O8" s="119"/>
    </row>
    <row r="9" spans="2:15" x14ac:dyDescent="0.25">
      <c r="B9" s="117"/>
      <c r="C9" s="65"/>
      <c r="D9" s="142"/>
      <c r="E9" s="58" t="s">
        <v>251</v>
      </c>
      <c r="F9" s="74" t="str">
        <f>'CURVE MKT DATA'!P10</f>
        <v>12M</v>
      </c>
      <c r="G9" s="80">
        <f ca="1">'CURVE MKT DATA'!R10</f>
        <v>-1.6443E-3</v>
      </c>
      <c r="H9" s="58"/>
      <c r="I9" s="133" t="str">
        <f>'CURVE MKT DATA'!P14</f>
        <v>4X10</v>
      </c>
      <c r="J9" s="161">
        <f ca="1">'CURVE MKT DATA'!R14</f>
        <v>-3.0000000000000001E-3</v>
      </c>
      <c r="K9" s="58"/>
      <c r="L9" s="133" t="str">
        <f>'CURVE MKT DATA'!P25</f>
        <v>5Y</v>
      </c>
      <c r="M9" s="137">
        <f ca="1">'CURVE MKT DATA'!R25</f>
        <v>-2.2300000000000002E-3</v>
      </c>
      <c r="N9" s="138" t="b">
        <v>1</v>
      </c>
      <c r="O9" s="119"/>
    </row>
    <row r="10" spans="2:15" x14ac:dyDescent="0.25">
      <c r="B10" s="117"/>
      <c r="C10" s="81"/>
      <c r="D10" s="143"/>
      <c r="E10" s="58" t="s">
        <v>251</v>
      </c>
      <c r="F10" s="113"/>
      <c r="G10" s="110"/>
      <c r="H10" s="58"/>
      <c r="I10" s="133" t="str">
        <f>'CURVE MKT DATA'!P15</f>
        <v>5X11</v>
      </c>
      <c r="J10" s="161">
        <f ca="1">'CURVE MKT DATA'!R15</f>
        <v>-3.0999999999999999E-3</v>
      </c>
      <c r="K10" s="58"/>
      <c r="L10" s="133" t="str">
        <f>'CURVE MKT DATA'!P26</f>
        <v>6Y</v>
      </c>
      <c r="M10" s="137">
        <f ca="1">'CURVE MKT DATA'!R26</f>
        <v>-1.9E-3</v>
      </c>
      <c r="N10" s="138" t="b">
        <v>1</v>
      </c>
      <c r="O10" s="119"/>
    </row>
    <row r="11" spans="2:15" x14ac:dyDescent="0.25">
      <c r="B11" s="117"/>
      <c r="C11" s="58"/>
      <c r="D11" s="58"/>
      <c r="E11" s="58" t="s">
        <v>251</v>
      </c>
      <c r="F11" s="58"/>
      <c r="G11" s="58"/>
      <c r="H11" s="58"/>
      <c r="I11" s="133" t="str">
        <f>'CURVE MKT DATA'!P16</f>
        <v>6X12</v>
      </c>
      <c r="J11" s="161">
        <f ca="1">'CURVE MKT DATA'!R16</f>
        <v>-3.16E-3</v>
      </c>
      <c r="K11" s="58"/>
      <c r="L11" s="133" t="str">
        <f>'CURVE MKT DATA'!P27</f>
        <v>7Y</v>
      </c>
      <c r="M11" s="137">
        <f ca="1">'CURVE MKT DATA'!R27</f>
        <v>-1.5299999999999999E-3</v>
      </c>
      <c r="N11" s="138" t="b">
        <v>1</v>
      </c>
      <c r="O11" s="119"/>
    </row>
    <row r="12" spans="2:15" x14ac:dyDescent="0.25">
      <c r="B12" s="117"/>
      <c r="C12" s="87" t="s">
        <v>264</v>
      </c>
      <c r="D12" s="61"/>
      <c r="E12" s="58" t="s">
        <v>251</v>
      </c>
      <c r="F12" s="58"/>
      <c r="G12" s="58"/>
      <c r="H12" s="58"/>
      <c r="I12" s="133" t="str">
        <f>'CURVE MKT DATA'!P17</f>
        <v>7X13</v>
      </c>
      <c r="J12" s="161">
        <f ca="1">'CURVE MKT DATA'!R17</f>
        <v>-3.2000000000000002E-3</v>
      </c>
      <c r="K12" s="58"/>
      <c r="L12" s="133" t="str">
        <f>'CURVE MKT DATA'!P28</f>
        <v>8Y</v>
      </c>
      <c r="M12" s="137">
        <f ca="1">'CURVE MKT DATA'!R28</f>
        <v>-1.14E-3</v>
      </c>
      <c r="N12" s="138" t="b">
        <v>1</v>
      </c>
      <c r="O12" s="119"/>
    </row>
    <row r="13" spans="2:15" x14ac:dyDescent="0.25">
      <c r="B13" s="117"/>
      <c r="C13" s="57" t="s">
        <v>265</v>
      </c>
      <c r="D13" s="88" t="s">
        <v>298</v>
      </c>
      <c r="E13" s="58" t="s">
        <v>251</v>
      </c>
      <c r="F13" s="58"/>
      <c r="G13" s="58"/>
      <c r="H13" s="58"/>
      <c r="I13" s="133" t="str">
        <f>'CURVE MKT DATA'!P18</f>
        <v>8X14</v>
      </c>
      <c r="J13" s="161">
        <f ca="1">'CURVE MKT DATA'!R18</f>
        <v>-3.2300000000000002E-3</v>
      </c>
      <c r="K13" s="58"/>
      <c r="L13" s="133" t="str">
        <f>'CURVE MKT DATA'!P29</f>
        <v>9Y</v>
      </c>
      <c r="M13" s="137">
        <f ca="1">'CURVE MKT DATA'!R29</f>
        <v>-7.5000000000000002E-4</v>
      </c>
      <c r="N13" s="138" t="b">
        <v>1</v>
      </c>
      <c r="O13" s="119"/>
    </row>
    <row r="14" spans="2:15" x14ac:dyDescent="0.25">
      <c r="B14" s="117"/>
      <c r="C14" s="81" t="s">
        <v>267</v>
      </c>
      <c r="D14" s="89" t="str">
        <f ca="1">_xll.meLWOCurveMarketDataCreate(D13,C4,C5:D10,F4,F6:G10,I4,I6:J31,L4,L6:N31)</f>
        <v>EUR_SWAP_6M_CURVE_MARKETDATA@6:2</v>
      </c>
      <c r="E14" s="58" t="s">
        <v>251</v>
      </c>
      <c r="F14" s="58"/>
      <c r="G14" s="58"/>
      <c r="H14" s="58"/>
      <c r="I14" s="133" t="str">
        <f>'CURVE MKT DATA'!P19</f>
        <v>9X15</v>
      </c>
      <c r="J14" s="161">
        <f ca="1">'CURVE MKT DATA'!R19</f>
        <v>-3.2400000000000003E-3</v>
      </c>
      <c r="K14" s="58"/>
      <c r="L14" s="133" t="str">
        <f>'CURVE MKT DATA'!P30</f>
        <v>10Y</v>
      </c>
      <c r="M14" s="137">
        <f ca="1">'CURVE MKT DATA'!R30</f>
        <v>-3.5999999999999997E-4</v>
      </c>
      <c r="N14" s="138" t="b">
        <v>1</v>
      </c>
      <c r="O14" s="119"/>
    </row>
    <row r="15" spans="2:15" x14ac:dyDescent="0.25">
      <c r="B15" s="117"/>
      <c r="C15" s="58"/>
      <c r="D15" s="58"/>
      <c r="E15" s="58" t="s">
        <v>251</v>
      </c>
      <c r="F15" s="58"/>
      <c r="G15" s="58"/>
      <c r="H15" s="58"/>
      <c r="I15" s="133" t="str">
        <f>'CURVE MKT DATA'!P20</f>
        <v>10X16</v>
      </c>
      <c r="J15" s="161">
        <f ca="1">'CURVE MKT DATA'!R20</f>
        <v>-3.2300000000000002E-3</v>
      </c>
      <c r="K15" s="58"/>
      <c r="L15" s="133" t="str">
        <f>'CURVE MKT DATA'!P31</f>
        <v>11Y</v>
      </c>
      <c r="M15" s="137">
        <f ca="1">'CURVE MKT DATA'!R31</f>
        <v>2.0000000000000002E-5</v>
      </c>
      <c r="N15" s="138" t="b">
        <v>1</v>
      </c>
      <c r="O15" s="119"/>
    </row>
    <row r="16" spans="2:15" x14ac:dyDescent="0.25">
      <c r="B16" s="117"/>
      <c r="C16" s="58"/>
      <c r="D16" s="58"/>
      <c r="E16" s="58" t="s">
        <v>251</v>
      </c>
      <c r="F16" s="58"/>
      <c r="G16" s="58"/>
      <c r="H16" s="58"/>
      <c r="I16" s="133" t="str">
        <f>'CURVE MKT DATA'!P21</f>
        <v>11X17</v>
      </c>
      <c r="J16" s="161">
        <f ca="1">'CURVE MKT DATA'!R21</f>
        <v>-3.2200000000000002E-3</v>
      </c>
      <c r="K16" s="58"/>
      <c r="L16" s="133" t="str">
        <f>'CURVE MKT DATA'!P32</f>
        <v>12Y</v>
      </c>
      <c r="M16" s="137">
        <f ca="1">'CURVE MKT DATA'!R32</f>
        <v>3.7999999999999997E-4</v>
      </c>
      <c r="N16" s="138" t="b">
        <v>1</v>
      </c>
      <c r="O16" s="119"/>
    </row>
    <row r="17" spans="2:15" x14ac:dyDescent="0.25">
      <c r="B17" s="117"/>
      <c r="C17" s="58"/>
      <c r="D17" s="58"/>
      <c r="E17" s="58" t="s">
        <v>251</v>
      </c>
      <c r="F17" s="58"/>
      <c r="G17" s="58"/>
      <c r="H17" s="58"/>
      <c r="I17" s="133"/>
      <c r="J17" s="161"/>
      <c r="K17" s="58"/>
      <c r="L17" s="133" t="str">
        <f>'CURVE MKT DATA'!P33</f>
        <v>15Y</v>
      </c>
      <c r="M17" s="137">
        <f ca="1">'CURVE MKT DATA'!R33</f>
        <v>1.25E-3</v>
      </c>
      <c r="N17" s="138" t="b">
        <v>1</v>
      </c>
      <c r="O17" s="119"/>
    </row>
    <row r="18" spans="2:15" x14ac:dyDescent="0.25">
      <c r="B18" s="117"/>
      <c r="C18" s="58"/>
      <c r="D18" s="58"/>
      <c r="E18" s="58" t="s">
        <v>251</v>
      </c>
      <c r="F18" s="58"/>
      <c r="G18" s="58"/>
      <c r="H18" s="58"/>
      <c r="I18" s="133"/>
      <c r="J18" s="161"/>
      <c r="K18" s="58"/>
      <c r="L18" s="133" t="str">
        <f>'CURVE MKT DATA'!P34</f>
        <v>20Y</v>
      </c>
      <c r="M18" s="137">
        <f ca="1">'CURVE MKT DATA'!R34</f>
        <v>1.7599999999999998E-3</v>
      </c>
      <c r="N18" s="138" t="b">
        <v>1</v>
      </c>
      <c r="O18" s="119"/>
    </row>
    <row r="19" spans="2:15" x14ac:dyDescent="0.25">
      <c r="B19" s="117"/>
      <c r="C19" s="58"/>
      <c r="D19" s="58"/>
      <c r="E19" s="58" t="s">
        <v>251</v>
      </c>
      <c r="F19" s="58"/>
      <c r="G19" s="58"/>
      <c r="H19" s="58"/>
      <c r="I19" s="133"/>
      <c r="J19" s="161"/>
      <c r="K19" s="58"/>
      <c r="L19" s="133" t="str">
        <f>'CURVE MKT DATA'!P35</f>
        <v>25Y</v>
      </c>
      <c r="M19" s="137">
        <f ca="1">'CURVE MKT DATA'!R35</f>
        <v>1.5499999999999999E-3</v>
      </c>
      <c r="N19" s="138" t="b">
        <v>1</v>
      </c>
      <c r="O19" s="119"/>
    </row>
    <row r="20" spans="2:15" x14ac:dyDescent="0.25">
      <c r="B20" s="117"/>
      <c r="C20" s="91" t="s">
        <v>268</v>
      </c>
      <c r="D20" s="61"/>
      <c r="E20" s="58" t="s">
        <v>251</v>
      </c>
      <c r="F20" s="58"/>
      <c r="G20" s="58"/>
      <c r="H20" s="58"/>
      <c r="I20" s="133"/>
      <c r="J20" s="161"/>
      <c r="K20" s="58"/>
      <c r="L20" s="133" t="str">
        <f>'CURVE MKT DATA'!P36</f>
        <v>30Y</v>
      </c>
      <c r="M20" s="137">
        <f ca="1">'CURVE MKT DATA'!R36</f>
        <v>1.08E-3</v>
      </c>
      <c r="N20" s="138" t="b">
        <v>1</v>
      </c>
      <c r="O20" s="119"/>
    </row>
    <row r="21" spans="2:15" x14ac:dyDescent="0.25">
      <c r="B21" s="117"/>
      <c r="C21" s="7" t="s">
        <v>265</v>
      </c>
      <c r="D21" s="92" t="s">
        <v>299</v>
      </c>
      <c r="E21" s="58" t="s">
        <v>251</v>
      </c>
      <c r="F21" s="58"/>
      <c r="G21" s="58"/>
      <c r="H21" s="58"/>
      <c r="I21" s="133"/>
      <c r="J21" s="161"/>
      <c r="K21" s="58"/>
      <c r="L21" s="133" t="str">
        <f>'CURVE MKT DATA'!P37</f>
        <v>40Y</v>
      </c>
      <c r="M21" s="137">
        <f ca="1">'CURVE MKT DATA'!R37</f>
        <v>3.4000000000000002E-4</v>
      </c>
      <c r="N21" s="138" t="b">
        <v>1</v>
      </c>
      <c r="O21" s="119"/>
    </row>
    <row r="22" spans="2:15" x14ac:dyDescent="0.25">
      <c r="B22" s="117"/>
      <c r="C22" s="19" t="s">
        <v>271</v>
      </c>
      <c r="D22" s="104" t="s">
        <v>300</v>
      </c>
      <c r="E22" s="58" t="s">
        <v>251</v>
      </c>
      <c r="F22" s="58"/>
      <c r="G22" s="58"/>
      <c r="H22" s="58"/>
      <c r="I22" s="133"/>
      <c r="J22" s="161"/>
      <c r="K22" s="58"/>
      <c r="L22" s="133" t="str">
        <f>'CURVE MKT DATA'!P38</f>
        <v>50Y</v>
      </c>
      <c r="M22" s="137">
        <f ca="1">'CURVE MKT DATA'!R38</f>
        <v>-3.6999999999999999E-4</v>
      </c>
      <c r="N22" s="138" t="b">
        <v>1</v>
      </c>
      <c r="O22" s="119"/>
    </row>
    <row r="23" spans="2:15" x14ac:dyDescent="0.25">
      <c r="B23" s="117"/>
      <c r="C23" s="19" t="s">
        <v>274</v>
      </c>
      <c r="D23" s="93" t="s">
        <v>260</v>
      </c>
      <c r="E23" s="58" t="s">
        <v>251</v>
      </c>
      <c r="F23" s="58"/>
      <c r="G23" s="58"/>
      <c r="H23" s="58"/>
      <c r="I23" s="133"/>
      <c r="J23" s="161"/>
      <c r="K23" s="58"/>
      <c r="L23" s="145" t="s">
        <v>276</v>
      </c>
      <c r="M23" s="146">
        <f ca="1">M22</f>
        <v>-3.6999999999999999E-4</v>
      </c>
      <c r="N23" s="147" t="b">
        <v>1</v>
      </c>
      <c r="O23" s="148" t="s">
        <v>277</v>
      </c>
    </row>
    <row r="24" spans="2:15" x14ac:dyDescent="0.25">
      <c r="B24" s="117"/>
      <c r="C24" s="37" t="s">
        <v>275</v>
      </c>
      <c r="D24" s="94"/>
      <c r="E24" s="58" t="s">
        <v>251</v>
      </c>
      <c r="F24" s="58"/>
      <c r="G24" s="58"/>
      <c r="H24" s="58"/>
      <c r="I24" s="133"/>
      <c r="J24" s="161"/>
      <c r="K24" s="58"/>
      <c r="L24" s="133"/>
      <c r="M24" s="137"/>
      <c r="N24" s="162"/>
      <c r="O24" s="119"/>
    </row>
    <row r="25" spans="2:15" x14ac:dyDescent="0.25">
      <c r="B25" s="117"/>
      <c r="C25" s="58"/>
      <c r="D25" s="58"/>
      <c r="E25" s="58" t="s">
        <v>251</v>
      </c>
      <c r="F25" s="58"/>
      <c r="G25" s="58"/>
      <c r="H25" s="58"/>
      <c r="I25" s="133"/>
      <c r="J25" s="161"/>
      <c r="K25" s="58"/>
      <c r="L25" s="133"/>
      <c r="M25" s="137"/>
      <c r="N25" s="162"/>
      <c r="O25" s="119"/>
    </row>
    <row r="26" spans="2:15" x14ac:dyDescent="0.25">
      <c r="B26" s="117"/>
      <c r="C26" s="58"/>
      <c r="D26" s="58"/>
      <c r="E26" s="58" t="s">
        <v>251</v>
      </c>
      <c r="F26" s="58"/>
      <c r="G26" s="58"/>
      <c r="H26" s="58"/>
      <c r="I26" s="133"/>
      <c r="J26" s="161"/>
      <c r="K26" s="58"/>
      <c r="L26" s="133"/>
      <c r="M26" s="137"/>
      <c r="N26" s="162"/>
      <c r="O26" s="119"/>
    </row>
    <row r="27" spans="2:15" x14ac:dyDescent="0.25">
      <c r="B27" s="117"/>
      <c r="C27" s="91" t="s">
        <v>279</v>
      </c>
      <c r="D27" s="58"/>
      <c r="E27" s="58" t="s">
        <v>251</v>
      </c>
      <c r="F27" s="58"/>
      <c r="G27" s="58"/>
      <c r="H27" s="58"/>
      <c r="I27" s="133"/>
      <c r="J27" s="161"/>
      <c r="K27" s="58"/>
      <c r="L27" s="133"/>
      <c r="M27" s="137"/>
      <c r="N27" s="162"/>
      <c r="O27" s="119"/>
    </row>
    <row r="28" spans="2:15" x14ac:dyDescent="0.25">
      <c r="B28" s="117"/>
      <c r="C28" s="100" t="s">
        <v>265</v>
      </c>
      <c r="D28" s="101" t="str">
        <f t="array" aca="1" ref="D28:D31" ca="1">IF('EUR SWAP 3ML'!$D$32,_xll.meLWOCurveCalibrate(D21,D22,D14,D23,D24),"LOAD DEPENDENCY CURVE")</f>
        <v>EUR_SWAP_6M_CURVE@23:2</v>
      </c>
      <c r="E28" s="58" t="s">
        <v>251</v>
      </c>
      <c r="F28" s="58"/>
      <c r="G28" s="58"/>
      <c r="H28" s="58"/>
      <c r="I28" s="133"/>
      <c r="J28" s="161"/>
      <c r="K28" s="58"/>
      <c r="L28" s="133"/>
      <c r="M28" s="137"/>
      <c r="N28" s="162"/>
      <c r="O28" s="119"/>
    </row>
    <row r="29" spans="2:15" x14ac:dyDescent="0.25">
      <c r="B29" s="117"/>
      <c r="C29" s="104" t="s">
        <v>281</v>
      </c>
      <c r="D29" s="102" t="str">
        <f ca="1"/>
        <v>EURYC</v>
      </c>
      <c r="E29" s="58" t="s">
        <v>251</v>
      </c>
      <c r="F29" s="58"/>
      <c r="G29" s="58"/>
      <c r="H29" s="58"/>
      <c r="I29" s="133"/>
      <c r="J29" s="161"/>
      <c r="K29" s="58"/>
      <c r="L29" s="133"/>
      <c r="M29" s="137"/>
      <c r="N29" s="162"/>
      <c r="O29" s="119"/>
    </row>
    <row r="30" spans="2:15" x14ac:dyDescent="0.25">
      <c r="B30" s="117"/>
      <c r="C30" s="104" t="s">
        <v>282</v>
      </c>
      <c r="D30" s="102" t="str">
        <f ca="1"/>
        <v>EUR6ML</v>
      </c>
      <c r="E30" s="58" t="s">
        <v>251</v>
      </c>
      <c r="F30" s="58"/>
      <c r="G30" s="58"/>
      <c r="H30" s="58"/>
      <c r="I30" s="133"/>
      <c r="J30" s="161"/>
      <c r="K30" s="58"/>
      <c r="L30" s="133"/>
      <c r="M30" s="137"/>
      <c r="N30" s="162"/>
      <c r="O30" s="119"/>
    </row>
    <row r="31" spans="2:15" x14ac:dyDescent="0.25">
      <c r="B31" s="117"/>
      <c r="C31" s="105" t="s">
        <v>283</v>
      </c>
      <c r="D31" s="103" t="str">
        <f ca="1"/>
        <v>0.00800 sec</v>
      </c>
      <c r="E31" s="58"/>
      <c r="F31" s="58"/>
      <c r="G31" s="58"/>
      <c r="H31" s="58"/>
      <c r="I31" s="149"/>
      <c r="J31" s="163"/>
      <c r="K31" s="58"/>
      <c r="L31" s="149"/>
      <c r="M31" s="153"/>
      <c r="N31" s="164"/>
      <c r="O31" s="119"/>
    </row>
    <row r="32" spans="2:15" x14ac:dyDescent="0.25">
      <c r="B32" s="117"/>
      <c r="C32" s="111" t="s">
        <v>284</v>
      </c>
      <c r="D32" s="112" t="b">
        <f ca="1">_xll.meLWOExists(D28,"CURVE")</f>
        <v>1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119"/>
    </row>
    <row r="33" spans="2:15" x14ac:dyDescent="0.25">
      <c r="B33" s="117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119"/>
    </row>
    <row r="34" spans="2:15" x14ac:dyDescent="0.25">
      <c r="B34" s="11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119"/>
    </row>
    <row r="35" spans="2:15" x14ac:dyDescent="0.25">
      <c r="B35" s="117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119"/>
    </row>
    <row r="36" spans="2:15" x14ac:dyDescent="0.25">
      <c r="B36" s="11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119"/>
    </row>
    <row r="37" spans="2:15" x14ac:dyDescent="0.25">
      <c r="B37" s="11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19"/>
    </row>
    <row r="38" spans="2:15" x14ac:dyDescent="0.25">
      <c r="B38" s="11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119"/>
    </row>
    <row r="39" spans="2:15" x14ac:dyDescent="0.25">
      <c r="B39" s="117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119"/>
    </row>
    <row r="40" spans="2:15" x14ac:dyDescent="0.25">
      <c r="B40" s="11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119"/>
    </row>
    <row r="41" spans="2:15" x14ac:dyDescent="0.25">
      <c r="B41" s="11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119"/>
    </row>
    <row r="42" spans="2:15" x14ac:dyDescent="0.25">
      <c r="B42" s="11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119"/>
    </row>
    <row r="43" spans="2:15" x14ac:dyDescent="0.25">
      <c r="B43" s="11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119"/>
    </row>
    <row r="44" spans="2:15" x14ac:dyDescent="0.25">
      <c r="B44" s="11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119"/>
    </row>
    <row r="45" spans="2:15" x14ac:dyDescent="0.25">
      <c r="B45" s="117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119"/>
    </row>
    <row r="46" spans="2:15" x14ac:dyDescent="0.25">
      <c r="B46" s="11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119"/>
    </row>
    <row r="47" spans="2:15" x14ac:dyDescent="0.25">
      <c r="B47" s="117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119"/>
    </row>
    <row r="48" spans="2:15" x14ac:dyDescent="0.25">
      <c r="B48" s="11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119"/>
    </row>
    <row r="49" spans="2:15" x14ac:dyDescent="0.25">
      <c r="B49" s="117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119"/>
    </row>
    <row r="50" spans="2:15" x14ac:dyDescent="0.25">
      <c r="B50" s="117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119"/>
    </row>
    <row r="51" spans="2:15" x14ac:dyDescent="0.25">
      <c r="B51" s="11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119"/>
    </row>
    <row r="52" spans="2:15" x14ac:dyDescent="0.25">
      <c r="B52" s="117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119"/>
    </row>
    <row r="53" spans="2:15" x14ac:dyDescent="0.25">
      <c r="B53" s="117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119"/>
    </row>
    <row r="54" spans="2:15" x14ac:dyDescent="0.25">
      <c r="B54" s="11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119"/>
    </row>
    <row r="55" spans="2:15" x14ac:dyDescent="0.25">
      <c r="B55" s="117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119"/>
    </row>
    <row r="56" spans="2:15" x14ac:dyDescent="0.25">
      <c r="B56" s="117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119"/>
    </row>
    <row r="57" spans="2:15" x14ac:dyDescent="0.25">
      <c r="B57" s="117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119"/>
    </row>
    <row r="58" spans="2:15" x14ac:dyDescent="0.25">
      <c r="B58" s="117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119"/>
    </row>
    <row r="59" spans="2:15" x14ac:dyDescent="0.25">
      <c r="B59" s="117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119"/>
    </row>
    <row r="60" spans="2:15" x14ac:dyDescent="0.25">
      <c r="B60" s="117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9"/>
    </row>
    <row r="61" spans="2:15" x14ac:dyDescent="0.25">
      <c r="B61" s="117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119"/>
    </row>
    <row r="62" spans="2:15" x14ac:dyDescent="0.25">
      <c r="B62" s="11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119"/>
    </row>
    <row r="63" spans="2:15" x14ac:dyDescent="0.25">
      <c r="B63" s="117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119"/>
    </row>
    <row r="64" spans="2:15" x14ac:dyDescent="0.25">
      <c r="B64" s="117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119"/>
    </row>
    <row r="65" spans="2:15" x14ac:dyDescent="0.25">
      <c r="B65" s="11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119"/>
    </row>
    <row r="66" spans="2:15" x14ac:dyDescent="0.25">
      <c r="B66" s="117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119"/>
    </row>
    <row r="67" spans="2:15" x14ac:dyDescent="0.25">
      <c r="B67" s="117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119"/>
    </row>
    <row r="68" spans="2:15" x14ac:dyDescent="0.25">
      <c r="B68" s="117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119"/>
    </row>
    <row r="69" spans="2:15" x14ac:dyDescent="0.25">
      <c r="B69" s="117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119"/>
    </row>
    <row r="70" spans="2:15" x14ac:dyDescent="0.25">
      <c r="B70" s="117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119"/>
    </row>
    <row r="71" spans="2:15" x14ac:dyDescent="0.25">
      <c r="B71" s="117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119"/>
    </row>
    <row r="72" spans="2:15" x14ac:dyDescent="0.25">
      <c r="B72" s="117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119"/>
    </row>
    <row r="73" spans="2:15" x14ac:dyDescent="0.25">
      <c r="B73" s="117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119"/>
    </row>
    <row r="74" spans="2:15" x14ac:dyDescent="0.25">
      <c r="B74" s="117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119"/>
    </row>
    <row r="75" spans="2:15" x14ac:dyDescent="0.25">
      <c r="B75" s="117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119"/>
    </row>
    <row r="76" spans="2:15" x14ac:dyDescent="0.25">
      <c r="B76" s="117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119"/>
    </row>
    <row r="77" spans="2:15" x14ac:dyDescent="0.25">
      <c r="B77" s="117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119"/>
    </row>
    <row r="78" spans="2:15" x14ac:dyDescent="0.25">
      <c r="B78" s="117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119"/>
    </row>
    <row r="79" spans="2:15" x14ac:dyDescent="0.25">
      <c r="B79" s="117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119"/>
    </row>
    <row r="80" spans="2:15" x14ac:dyDescent="0.25">
      <c r="B80" s="117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119"/>
    </row>
    <row r="81" spans="2:15" x14ac:dyDescent="0.25">
      <c r="B81" s="117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119"/>
    </row>
    <row r="82" spans="2:15" x14ac:dyDescent="0.25">
      <c r="B82" s="117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119"/>
    </row>
    <row r="83" spans="2:15" x14ac:dyDescent="0.25">
      <c r="B83" s="117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119"/>
    </row>
    <row r="84" spans="2:15" x14ac:dyDescent="0.25">
      <c r="B84" s="117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119"/>
    </row>
    <row r="85" spans="2:15" x14ac:dyDescent="0.25">
      <c r="B85" s="117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119"/>
    </row>
    <row r="86" spans="2:15" x14ac:dyDescent="0.25">
      <c r="B86" s="117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119"/>
    </row>
    <row r="87" spans="2:15" x14ac:dyDescent="0.25">
      <c r="B87" s="117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119"/>
    </row>
    <row r="88" spans="2:15" x14ac:dyDescent="0.25">
      <c r="B88" s="117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119"/>
    </row>
    <row r="89" spans="2:15" x14ac:dyDescent="0.25">
      <c r="B89" s="117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119"/>
    </row>
    <row r="90" spans="2:15" x14ac:dyDescent="0.25">
      <c r="B90" s="117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119"/>
    </row>
    <row r="91" spans="2:15" x14ac:dyDescent="0.25">
      <c r="B91" s="117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119"/>
    </row>
    <row r="92" spans="2:15" x14ac:dyDescent="0.25">
      <c r="B92" s="117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119"/>
    </row>
    <row r="93" spans="2:15" x14ac:dyDescent="0.25">
      <c r="B93" s="117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119"/>
    </row>
    <row r="94" spans="2:15" x14ac:dyDescent="0.25">
      <c r="B94" s="117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119"/>
    </row>
    <row r="95" spans="2:15" x14ac:dyDescent="0.25">
      <c r="B95" s="117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119"/>
    </row>
    <row r="96" spans="2:15" x14ac:dyDescent="0.25">
      <c r="B96" s="117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119"/>
    </row>
    <row r="97" spans="2:15" x14ac:dyDescent="0.25">
      <c r="B97" s="117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119"/>
    </row>
    <row r="98" spans="2:15" x14ac:dyDescent="0.25">
      <c r="B98" s="117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9"/>
    </row>
    <row r="99" spans="2:15" x14ac:dyDescent="0.25">
      <c r="B99" s="117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119"/>
    </row>
    <row r="100" spans="2:15" x14ac:dyDescent="0.25">
      <c r="B100" s="117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119"/>
    </row>
    <row r="101" spans="2:15" x14ac:dyDescent="0.25">
      <c r="B101" s="117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119"/>
    </row>
    <row r="102" spans="2:15" x14ac:dyDescent="0.25">
      <c r="B102" s="117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119"/>
    </row>
    <row r="103" spans="2:15" x14ac:dyDescent="0.25">
      <c r="B103" s="117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119"/>
    </row>
    <row r="104" spans="2:15" x14ac:dyDescent="0.25">
      <c r="B104" s="117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119"/>
    </row>
    <row r="105" spans="2:15" x14ac:dyDescent="0.25">
      <c r="B105" s="117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119"/>
    </row>
    <row r="106" spans="2:15" x14ac:dyDescent="0.25">
      <c r="B106" s="117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119"/>
    </row>
    <row r="107" spans="2:15" x14ac:dyDescent="0.25">
      <c r="B107" s="11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119"/>
    </row>
    <row r="108" spans="2:15" x14ac:dyDescent="0.25">
      <c r="B108" s="11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119"/>
    </row>
    <row r="109" spans="2:15" x14ac:dyDescent="0.25">
      <c r="B109" s="157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Y25"/>
  <sheetViews>
    <sheetView workbookViewId="0"/>
  </sheetViews>
  <sheetFormatPr defaultRowHeight="15" outlineLevelCol="1" x14ac:dyDescent="0.25"/>
  <cols>
    <col min="1" max="1" width="9.140625" customWidth="1"/>
    <col min="2" max="2" width="41.7109375" hidden="1" customWidth="1" outlineLevel="1"/>
    <col min="3" max="3" width="0" hidden="1" customWidth="1" outlineLevel="1"/>
    <col min="4" max="4" width="21.5703125" bestFit="1" customWidth="1" collapsed="1"/>
    <col min="5" max="5" width="23.7109375" bestFit="1" customWidth="1"/>
    <col min="6" max="8" width="20.140625" bestFit="1" customWidth="1"/>
    <col min="9" max="9" width="21.140625" bestFit="1" customWidth="1"/>
    <col min="10" max="10" width="17.5703125" customWidth="1"/>
    <col min="11" max="11" width="23.7109375" bestFit="1" customWidth="1"/>
    <col min="13" max="13" width="14" bestFit="1" customWidth="1"/>
    <col min="14" max="14" width="14.85546875" bestFit="1" customWidth="1"/>
    <col min="15" max="15" width="25.28515625" customWidth="1"/>
    <col min="16" max="16" width="9.140625" customWidth="1"/>
    <col min="17" max="17" width="15.7109375" bestFit="1" customWidth="1"/>
    <col min="21" max="21" width="15" bestFit="1" customWidth="1"/>
    <col min="22" max="22" width="15.7109375" bestFit="1" customWidth="1"/>
    <col min="23" max="23" width="7.28515625" customWidth="1"/>
    <col min="24" max="24" width="16.28515625" bestFit="1" customWidth="1"/>
    <col min="25" max="25" width="8.42578125" bestFit="1" customWidth="1"/>
    <col min="26" max="26" width="21.7109375" customWidth="1"/>
  </cols>
  <sheetData>
    <row r="1" spans="2:25" x14ac:dyDescent="0.25">
      <c r="D1" s="179" t="s">
        <v>359</v>
      </c>
      <c r="M1" s="269" t="s">
        <v>473</v>
      </c>
    </row>
    <row r="2" spans="2:25" x14ac:dyDescent="0.25">
      <c r="U2" s="165" t="s">
        <v>357</v>
      </c>
      <c r="V2" s="165" t="s">
        <v>358</v>
      </c>
      <c r="W2" s="182"/>
    </row>
    <row r="3" spans="2:25" x14ac:dyDescent="0.25">
      <c r="O3" s="166" t="s">
        <v>343</v>
      </c>
      <c r="R3" s="167"/>
      <c r="S3" s="167"/>
      <c r="U3" s="183">
        <f ca="1">Settings.COB</f>
        <v>43923</v>
      </c>
      <c r="V3" s="184">
        <f ca="1">_xll.meDateFromTenor(U3,$W$3,"MOD_FOLLOWING","TGT")</f>
        <v>43927</v>
      </c>
      <c r="W3" s="185" t="s">
        <v>278</v>
      </c>
    </row>
    <row r="4" spans="2:25" x14ac:dyDescent="0.25">
      <c r="R4" s="167"/>
      <c r="S4" s="167"/>
    </row>
    <row r="5" spans="2:25" x14ac:dyDescent="0.25">
      <c r="B5" s="4" t="s">
        <v>329</v>
      </c>
      <c r="D5" s="4" t="s">
        <v>472</v>
      </c>
      <c r="E5" s="167" t="s">
        <v>331</v>
      </c>
      <c r="F5" s="167" t="s">
        <v>302</v>
      </c>
      <c r="G5" s="167" t="s">
        <v>303</v>
      </c>
      <c r="H5" s="167" t="s">
        <v>304</v>
      </c>
      <c r="I5" s="167" t="s">
        <v>305</v>
      </c>
      <c r="J5" s="167"/>
      <c r="K5" s="167" t="s">
        <v>306</v>
      </c>
      <c r="L5" s="167" t="s">
        <v>307</v>
      </c>
      <c r="M5" s="167" t="s">
        <v>308</v>
      </c>
      <c r="N5" s="167" t="s">
        <v>309</v>
      </c>
      <c r="R5" s="167" t="s">
        <v>354</v>
      </c>
      <c r="S5" s="167" t="s">
        <v>353</v>
      </c>
      <c r="X5" s="4" t="s">
        <v>469</v>
      </c>
    </row>
    <row r="6" spans="2:25" x14ac:dyDescent="0.25">
      <c r="B6" s="180" t="s">
        <v>332</v>
      </c>
      <c r="D6" s="168" t="s">
        <v>310</v>
      </c>
      <c r="E6" s="168" t="s">
        <v>330</v>
      </c>
      <c r="F6" s="168" t="s">
        <v>311</v>
      </c>
      <c r="G6" s="168" t="s">
        <v>312</v>
      </c>
      <c r="H6" s="168" t="s">
        <v>313</v>
      </c>
      <c r="I6" s="168" t="s">
        <v>314</v>
      </c>
      <c r="J6" s="168" t="s">
        <v>315</v>
      </c>
      <c r="K6" s="168" t="s">
        <v>316</v>
      </c>
      <c r="L6" s="168" t="s">
        <v>317</v>
      </c>
      <c r="M6" s="168" t="s">
        <v>318</v>
      </c>
      <c r="N6" s="168" t="s">
        <v>319</v>
      </c>
      <c r="O6" s="168" t="s">
        <v>320</v>
      </c>
      <c r="Q6" s="186" t="s">
        <v>388</v>
      </c>
      <c r="R6" s="168" t="s">
        <v>351</v>
      </c>
      <c r="S6" s="168" t="s">
        <v>352</v>
      </c>
      <c r="U6" s="168" t="s">
        <v>355</v>
      </c>
      <c r="V6" s="168" t="s">
        <v>356</v>
      </c>
      <c r="W6" s="188"/>
      <c r="X6" s="188" t="s">
        <v>468</v>
      </c>
      <c r="Y6" s="188" t="s">
        <v>468</v>
      </c>
    </row>
    <row r="7" spans="2:25" x14ac:dyDescent="0.25">
      <c r="B7" s="180" t="s">
        <v>333</v>
      </c>
      <c r="D7" s="170" t="s">
        <v>321</v>
      </c>
      <c r="E7" s="172">
        <f>_xll.BDP($D7,E$5)</f>
        <v>523</v>
      </c>
      <c r="F7" s="171" t="str">
        <f>_xll.BDP($D7,F$5)</f>
        <v>BTPS 2.3 10/15/21</v>
      </c>
      <c r="G7" s="172" t="str">
        <f>_xll.BDP($D7,G$5)</f>
        <v>IT0005348443</v>
      </c>
      <c r="H7" s="173" t="str">
        <f>_xll.BDP($D7,H$5)</f>
        <v>15/10/2018</v>
      </c>
      <c r="I7" s="173" t="str">
        <f>_xll.BDP($D7,I$5)</f>
        <v>15/10/2018</v>
      </c>
      <c r="J7" s="174"/>
      <c r="K7" s="173" t="str">
        <f>_xll.BDP($D7,K$5)</f>
        <v>15/04/2019</v>
      </c>
      <c r="L7" s="173" t="str">
        <f>_xll.BDP($D7,L$5)</f>
        <v>15/04/2021</v>
      </c>
      <c r="M7" s="177">
        <f>_xll.BDP($D7,M$5)%</f>
        <v>2.3E-2</v>
      </c>
      <c r="N7" s="173" t="str">
        <f>_xll.BDP($D7,N$5)</f>
        <v>15/10/2021</v>
      </c>
      <c r="O7" s="169" t="str">
        <f>_xll.meLWOBondCreateFromGeneratorLVB(F7,$O$3,_xll.meUtilityLVBFromKeysValues($F$6:$N$6,F7:N7))</f>
        <v>BTPS 2.3 10/15/21@18:2</v>
      </c>
      <c r="Q7" s="213" t="str">
        <f t="shared" ref="Q7:Q14" ca="1" si="0">YEAR(N7)-YEAR(Settings.COB)&amp;"Y"</f>
        <v>1Y</v>
      </c>
      <c r="R7" s="261">
        <f>_xll.BDP($D7,R$5)</f>
        <v>102.992</v>
      </c>
      <c r="S7" s="264">
        <f>_xll.BDP($D7,S$5)%</f>
        <v>3.3117400000000001E-3</v>
      </c>
      <c r="U7" s="263">
        <f ca="1">_xll.meLWOBondQuote($O7,$V$3,$S7)</f>
        <v>102.992</v>
      </c>
      <c r="V7" s="264">
        <f ca="1">_xll.meLWOBondYield($O7,$V$3,$U7)</f>
        <v>3.3117412340992747E-3</v>
      </c>
      <c r="W7" s="187"/>
      <c r="X7" s="187">
        <f t="shared" ref="X7:X14" ca="1" si="1">U7-R7</f>
        <v>0</v>
      </c>
      <c r="Y7" s="265">
        <f t="shared" ref="Y7:Y14" ca="1" si="2">V7-S7</f>
        <v>1.2340992745947521E-9</v>
      </c>
    </row>
    <row r="8" spans="2:25" x14ac:dyDescent="0.25">
      <c r="B8" s="180" t="s">
        <v>334</v>
      </c>
      <c r="D8" s="170" t="s">
        <v>322</v>
      </c>
      <c r="E8" s="176">
        <f>_xll.BDP($D8,E$5)</f>
        <v>523</v>
      </c>
      <c r="F8" s="175" t="str">
        <f>_xll.BDP($D8,F$5)</f>
        <v>BTPS 0.05 01/15/23</v>
      </c>
      <c r="G8" s="176" t="str">
        <f>_xll.BDP($D8,G$5)</f>
        <v>IT0005384497</v>
      </c>
      <c r="H8" s="176" t="str">
        <f>_xll.BDP($D8,H$5)</f>
        <v>16/09/2019</v>
      </c>
      <c r="I8" s="176" t="str">
        <f>_xll.BDP($D8,I$5)</f>
        <v>16/09/2019</v>
      </c>
      <c r="J8" s="176"/>
      <c r="K8" s="176" t="str">
        <f>_xll.BDP($D8,K$5)</f>
        <v>15/01/2020</v>
      </c>
      <c r="L8" s="176" t="str">
        <f>_xll.BDP($D8,L$5)</f>
        <v>15/07/2022</v>
      </c>
      <c r="M8" s="178">
        <f>_xll.BDP($D8,M$5)%</f>
        <v>5.0000000000000001E-4</v>
      </c>
      <c r="N8" s="176" t="str">
        <f>_xll.BDP($D8,N$5)</f>
        <v>15/01/2023</v>
      </c>
      <c r="O8" s="169" t="str">
        <f>_xll.meLWOBondCreateFromGeneratorLVB(F8,$O$3,_xll.meUtilityLVBFromKeysValues($F$6:$N$6,F8:N8))</f>
        <v>BTPS 0.05 01/15/23@21:2</v>
      </c>
      <c r="Q8" s="213" t="str">
        <f t="shared" ca="1" si="0"/>
        <v>3Y</v>
      </c>
      <c r="R8" s="262">
        <f>_xll.BDP($D8,R$5)</f>
        <v>98.72</v>
      </c>
      <c r="S8" s="264">
        <f>_xll.BDP($D8,S$5)%</f>
        <v>5.1535399999999999E-3</v>
      </c>
      <c r="U8" s="263">
        <f ca="1">_xll.meLWOBondQuote($O8,$V$3,$S8)</f>
        <v>98.72</v>
      </c>
      <c r="V8" s="264">
        <f ca="1">_xll.meLWOBondYield($O8,$V$3,$U8)</f>
        <v>5.1537883034555865E-3</v>
      </c>
      <c r="W8" s="187"/>
      <c r="X8" s="187">
        <f t="shared" ca="1" si="1"/>
        <v>0</v>
      </c>
      <c r="Y8" s="265">
        <f t="shared" ca="1" si="2"/>
        <v>2.4830345558661537E-7</v>
      </c>
    </row>
    <row r="9" spans="2:25" x14ac:dyDescent="0.25">
      <c r="B9" s="180" t="s">
        <v>335</v>
      </c>
      <c r="D9" s="170" t="s">
        <v>323</v>
      </c>
      <c r="E9" s="176">
        <f>_xll.BDP($D9,E$5)</f>
        <v>523</v>
      </c>
      <c r="F9" s="175" t="str">
        <f>_xll.BDP($D9,F$5)</f>
        <v>BTPS 0.35 02/01/25</v>
      </c>
      <c r="G9" s="176" t="str">
        <f>_xll.BDP($D9,G$5)</f>
        <v>IT0005386245</v>
      </c>
      <c r="H9" s="176" t="str">
        <f>_xll.BDP($D9,H$5)</f>
        <v>01/10/2019</v>
      </c>
      <c r="I9" s="176" t="str">
        <f>_xll.BDP($D9,I$5)</f>
        <v>01/10/2019</v>
      </c>
      <c r="J9" s="176"/>
      <c r="K9" s="176" t="str">
        <f>_xll.BDP($D9,K$5)</f>
        <v>01/02/2020</v>
      </c>
      <c r="L9" s="176" t="str">
        <f>_xll.BDP($D9,L$5)</f>
        <v>01/08/2024</v>
      </c>
      <c r="M9" s="178">
        <f>_xll.BDP($D9,M$5)%</f>
        <v>3.4999999999999996E-3</v>
      </c>
      <c r="N9" s="176" t="str">
        <f>_xll.BDP($D9,N$5)</f>
        <v>01/02/2025</v>
      </c>
      <c r="O9" s="169" t="str">
        <f>_xll.meLWOBondCreateFromGeneratorLVB(F9,$O$3,_xll.meUtilityLVBFromKeysValues($F$6:$N$6,F9:N9))</f>
        <v>BTPS 0.35 02/01/25@22:2</v>
      </c>
      <c r="Q9" s="213" t="str">
        <f t="shared" ca="1" si="0"/>
        <v>5Y</v>
      </c>
      <c r="R9" s="262">
        <f>_xll.BDP($D9,R$5)</f>
        <v>97.537000000000006</v>
      </c>
      <c r="S9" s="264">
        <f>_xll.BDP($D9,S$5)%</f>
        <v>8.7366700000000002E-3</v>
      </c>
      <c r="U9" s="263">
        <f ca="1">_xll.meLWOBondQuote($O9,$V$3,$S9)</f>
        <v>97.537000000000006</v>
      </c>
      <c r="V9" s="264">
        <f ca="1">_xll.meLWOBondYield($O9,$V$3,$U9)</f>
        <v>8.7366384887519466E-3</v>
      </c>
      <c r="W9" s="187"/>
      <c r="X9" s="187">
        <f t="shared" ca="1" si="1"/>
        <v>0</v>
      </c>
      <c r="Y9" s="265">
        <f t="shared" ca="1" si="2"/>
        <v>-3.1511248053603391E-8</v>
      </c>
    </row>
    <row r="10" spans="2:25" x14ac:dyDescent="0.25">
      <c r="B10" s="180" t="s">
        <v>336</v>
      </c>
      <c r="D10" s="170" t="s">
        <v>324</v>
      </c>
      <c r="E10" s="176">
        <f>_xll.BDP($D10,E$5)</f>
        <v>523</v>
      </c>
      <c r="F10" s="175" t="str">
        <f>_xll.BDP($D10,F$5)</f>
        <v>BTPS 0.85 01/15/27</v>
      </c>
      <c r="G10" s="176" t="str">
        <f>_xll.BDP($D10,G$5)</f>
        <v>IT0005390874</v>
      </c>
      <c r="H10" s="176" t="str">
        <f>_xll.BDP($D10,H$5)</f>
        <v>15/11/2019</v>
      </c>
      <c r="I10" s="176" t="str">
        <f>_xll.BDP($D10,I$5)</f>
        <v>15/11/2019</v>
      </c>
      <c r="J10" s="176"/>
      <c r="K10" s="176" t="str">
        <f>_xll.BDP($D10,K$5)</f>
        <v>15/01/2020</v>
      </c>
      <c r="L10" s="176" t="str">
        <f>_xll.BDP($D10,L$5)</f>
        <v>15/07/2026</v>
      </c>
      <c r="M10" s="178">
        <f>_xll.BDP($D10,M$5)%</f>
        <v>8.5000000000000006E-3</v>
      </c>
      <c r="N10" s="176" t="str">
        <f>_xll.BDP($D10,N$5)</f>
        <v>15/01/2027</v>
      </c>
      <c r="O10" s="169" t="str">
        <f>_xll.meLWOBondCreateFromGeneratorLVB(F10,$O$3,_xll.meUtilityLVBFromKeysValues($F$6:$N$6,F10:N10))</f>
        <v>BTPS 0.85 01/15/27@19:2</v>
      </c>
      <c r="Q10" s="213" t="str">
        <f t="shared" ca="1" si="0"/>
        <v>7Y</v>
      </c>
      <c r="R10" s="262">
        <f>_xll.BDP($D10,R$5)</f>
        <v>98.366</v>
      </c>
      <c r="S10" s="264">
        <f>_xll.BDP($D10,S$5)%</f>
        <v>1.103936E-2</v>
      </c>
      <c r="U10" s="263">
        <f ca="1">_xll.meLWOBondQuote($O10,$V$3,$S10)</f>
        <v>98.366</v>
      </c>
      <c r="V10" s="264">
        <f ca="1">_xll.meLWOBondYield($O10,$V$3,$U10)</f>
        <v>1.1039439421543618E-2</v>
      </c>
      <c r="W10" s="187"/>
      <c r="X10" s="187">
        <f t="shared" ca="1" si="1"/>
        <v>0</v>
      </c>
      <c r="Y10" s="265">
        <f t="shared" ca="1" si="2"/>
        <v>7.9421543617771984E-8</v>
      </c>
    </row>
    <row r="11" spans="2:25" x14ac:dyDescent="0.25">
      <c r="B11" s="180" t="s">
        <v>337</v>
      </c>
      <c r="D11" s="170" t="s">
        <v>325</v>
      </c>
      <c r="E11" s="176">
        <f>_xll.BDP($D11,E$5)</f>
        <v>523</v>
      </c>
      <c r="F11" s="175" t="str">
        <f>_xll.BDP($D11,F$5)</f>
        <v>BTPS 1.35 04/01/30</v>
      </c>
      <c r="G11" s="176" t="str">
        <f>_xll.BDP($D11,G$5)</f>
        <v>IT0005383309</v>
      </c>
      <c r="H11" s="176" t="str">
        <f>_xll.BDP($D11,H$5)</f>
        <v>02/09/2019</v>
      </c>
      <c r="I11" s="176" t="str">
        <f>_xll.BDP($D11,I$5)</f>
        <v>01/09/2019</v>
      </c>
      <c r="J11" s="176"/>
      <c r="K11" s="176" t="str">
        <f>_xll.BDP($D11,K$5)</f>
        <v>01/10/2019</v>
      </c>
      <c r="L11" s="176" t="str">
        <f>_xll.BDP($D11,L$5)</f>
        <v>01/10/2029</v>
      </c>
      <c r="M11" s="178">
        <f>_xll.BDP($D11,M$5)%</f>
        <v>1.3500000000000002E-2</v>
      </c>
      <c r="N11" s="176" t="str">
        <f>_xll.BDP($D11,N$5)</f>
        <v>01/04/2030</v>
      </c>
      <c r="O11" s="169" t="str">
        <f>_xll.meLWOBondCreateFromGeneratorLVB(F11,$O$3,_xll.meUtilityLVBFromKeysValues($F$6:$N$6,F11:N11))</f>
        <v>BTPS 1.35 04/01/30@20:2</v>
      </c>
      <c r="Q11" s="213" t="str">
        <f t="shared" ca="1" si="0"/>
        <v>10Y</v>
      </c>
      <c r="R11" s="262">
        <f>_xll.BDP($D11,R$5)</f>
        <v>99.027000000000001</v>
      </c>
      <c r="S11" s="264">
        <f>_xll.BDP($D11,S$5)%</f>
        <v>1.460293E-2</v>
      </c>
      <c r="U11" s="263">
        <f ca="1">_xll.meLWOBondQuote($O11,$V$3,$S11)</f>
        <v>99.027000000000001</v>
      </c>
      <c r="V11" s="264">
        <f ca="1">_xll.meLWOBondYield($O11,$V$3,$U11)</f>
        <v>1.4602908205789022E-2</v>
      </c>
      <c r="W11" s="187"/>
      <c r="X11" s="187">
        <f t="shared" ca="1" si="1"/>
        <v>0</v>
      </c>
      <c r="Y11" s="265">
        <f t="shared" ca="1" si="2"/>
        <v>-2.1794210977588158E-8</v>
      </c>
    </row>
    <row r="12" spans="2:25" x14ac:dyDescent="0.25">
      <c r="B12" s="180" t="s">
        <v>338</v>
      </c>
      <c r="D12" s="170" t="s">
        <v>326</v>
      </c>
      <c r="E12" s="176">
        <f>_xll.BDP($D12,E$5)</f>
        <v>523</v>
      </c>
      <c r="F12" s="175" t="str">
        <f>_xll.BDP($D12,F$5)</f>
        <v>BTPS 3.35 03/01/35</v>
      </c>
      <c r="G12" s="176" t="str">
        <f>_xll.BDP($D12,G$5)</f>
        <v>IT0005358806</v>
      </c>
      <c r="H12" s="176" t="str">
        <f>_xll.BDP($D12,H$5)</f>
        <v>22/01/2019</v>
      </c>
      <c r="I12" s="176" t="str">
        <f>_xll.BDP($D12,I$5)</f>
        <v>01/09/2018</v>
      </c>
      <c r="J12" s="176"/>
      <c r="K12" s="176" t="str">
        <f>_xll.BDP($D12,K$5)</f>
        <v>01/03/2019</v>
      </c>
      <c r="L12" s="176" t="str">
        <f>_xll.BDP($D12,L$5)</f>
        <v>01/09/2034</v>
      </c>
      <c r="M12" s="178">
        <f>_xll.BDP($D12,M$5)%</f>
        <v>3.3500000000000002E-2</v>
      </c>
      <c r="N12" s="176" t="str">
        <f>_xll.BDP($D12,N$5)</f>
        <v>01/03/2035</v>
      </c>
      <c r="O12" s="169" t="str">
        <f>_xll.meLWOBondCreateFromGeneratorLVB(F12,$O$3,_xll.meUtilityLVBFromKeysValues($F$6:$N$6,F12:N12))</f>
        <v>BTPS 3.35 03/01/35@16:2</v>
      </c>
      <c r="Q12" s="213" t="str">
        <f t="shared" ca="1" si="0"/>
        <v>15Y</v>
      </c>
      <c r="R12" s="262">
        <f>_xll.BDP($D12,R$5)</f>
        <v>119.22</v>
      </c>
      <c r="S12" s="264">
        <f>_xll.BDP($D12,S$5)%</f>
        <v>1.8751769999999997E-2</v>
      </c>
      <c r="U12" s="263">
        <f ca="1">_xll.meLWOBondQuote($O12,$V$3,$S12)</f>
        <v>119.22</v>
      </c>
      <c r="V12" s="264">
        <f ca="1">_xll.meLWOBondYield($O12,$V$3,$U12)</f>
        <v>1.8751701753102479E-2</v>
      </c>
      <c r="W12" s="187"/>
      <c r="X12" s="187">
        <f t="shared" ca="1" si="1"/>
        <v>0</v>
      </c>
      <c r="Y12" s="265">
        <f t="shared" ca="1" si="2"/>
        <v>-6.8246897518692284E-8</v>
      </c>
    </row>
    <row r="13" spans="2:25" x14ac:dyDescent="0.25">
      <c r="B13" s="180" t="s">
        <v>339</v>
      </c>
      <c r="D13" s="170" t="s">
        <v>327</v>
      </c>
      <c r="E13" s="176">
        <f>_xll.BDP($D13,E$5)</f>
        <v>523</v>
      </c>
      <c r="F13" s="175" t="str">
        <f>_xll.BDP($D13,F$5)</f>
        <v>BTPS 3.85 09/01/49</v>
      </c>
      <c r="G13" s="176" t="str">
        <f>_xll.BDP($D13,G$5)</f>
        <v>IT0005363111</v>
      </c>
      <c r="H13" s="176" t="str">
        <f>_xll.BDP($D13,H$5)</f>
        <v>13/02/2019</v>
      </c>
      <c r="I13" s="176" t="str">
        <f>_xll.BDP($D13,I$5)</f>
        <v>01/09/2018</v>
      </c>
      <c r="J13" s="176"/>
      <c r="K13" s="176" t="str">
        <f>_xll.BDP($D13,K$5)</f>
        <v>01/03/2019</v>
      </c>
      <c r="L13" s="176" t="str">
        <f>_xll.BDP($D13,L$5)</f>
        <v>01/03/2049</v>
      </c>
      <c r="M13" s="178">
        <f>_xll.BDP($D13,M$5)%</f>
        <v>3.85E-2</v>
      </c>
      <c r="N13" s="176" t="str">
        <f>_xll.BDP($D13,N$5)</f>
        <v>01/09/2049</v>
      </c>
      <c r="O13" s="169" t="str">
        <f>_xll.meLWOBondCreateFromGeneratorLVB(F13,$O$3,_xll.meUtilityLVBFromKeysValues($F$6:$N$6,F13:N13))</f>
        <v>BTPS 3.85 09/01/49@17:2</v>
      </c>
      <c r="Q13" s="213" t="str">
        <f t="shared" ca="1" si="0"/>
        <v>29Y</v>
      </c>
      <c r="R13" s="262">
        <f>_xll.BDP($D13,R$5)</f>
        <v>131.05500000000001</v>
      </c>
      <c r="S13" s="264">
        <f>_xll.BDP($D13,S$5)%</f>
        <v>2.3901510000000001E-2</v>
      </c>
      <c r="U13" s="263">
        <f ca="1">_xll.meLWOBondQuote($O13,$V$3,$S13)</f>
        <v>131.05500000000001</v>
      </c>
      <c r="V13" s="264">
        <f ca="1">_xll.meLWOBondYield($O13,$V$3,$U13)</f>
        <v>2.3901478739406956E-2</v>
      </c>
      <c r="W13" s="187"/>
      <c r="X13" s="187">
        <f t="shared" ca="1" si="1"/>
        <v>0</v>
      </c>
      <c r="Y13" s="265">
        <f t="shared" ca="1" si="2"/>
        <v>-3.1260593044701857E-8</v>
      </c>
    </row>
    <row r="14" spans="2:25" x14ac:dyDescent="0.25">
      <c r="B14" s="180" t="s">
        <v>340</v>
      </c>
      <c r="D14" s="170" t="s">
        <v>328</v>
      </c>
      <c r="E14" s="176">
        <f>_xll.BDP($D14,E$5)</f>
        <v>523</v>
      </c>
      <c r="F14" s="175" t="str">
        <f>_xll.BDP($D14,F$5)</f>
        <v>BTPS 2.8 03/01/67</v>
      </c>
      <c r="G14" s="176" t="str">
        <f>_xll.BDP($D14,G$5)</f>
        <v>IT0005217390</v>
      </c>
      <c r="H14" s="176" t="str">
        <f>_xll.BDP($D14,H$5)</f>
        <v>11/10/2016</v>
      </c>
      <c r="I14" s="176" t="str">
        <f>_xll.BDP($D14,I$5)</f>
        <v>01/09/2016</v>
      </c>
      <c r="J14" s="176"/>
      <c r="K14" s="176" t="str">
        <f>_xll.BDP($D14,K$5)</f>
        <v>01/03/2017</v>
      </c>
      <c r="L14" s="176" t="str">
        <f>_xll.BDP($D14,L$5)</f>
        <v>01/09/2066</v>
      </c>
      <c r="M14" s="178">
        <f>_xll.BDP($D14,M$5)%</f>
        <v>2.7999999999999997E-2</v>
      </c>
      <c r="N14" s="176" t="str">
        <f>_xll.BDP($D14,N$5)</f>
        <v>01/03/2067</v>
      </c>
      <c r="O14" s="169" t="str">
        <f>_xll.meLWOBondCreateFromGeneratorLVB(F14,$O$3,_xll.meUtilityLVBFromKeysValues($F$6:$N$6,F14:N14))</f>
        <v>BTPS 2.8 03/01/67@15:2</v>
      </c>
      <c r="Q14" s="213" t="str">
        <f t="shared" ca="1" si="0"/>
        <v>47Y</v>
      </c>
      <c r="R14" s="262">
        <f>_xll.BDP($D14,R$5)</f>
        <v>107.06699999999999</v>
      </c>
      <c r="S14" s="264">
        <f>_xll.BDP($D14,S$5)%</f>
        <v>2.5572720000000004E-2</v>
      </c>
      <c r="U14" s="263">
        <f ca="1">_xll.meLWOBondQuote($O14,$V$3,$S14)</f>
        <v>107.06699999999999</v>
      </c>
      <c r="V14" s="264">
        <f ca="1">_xll.meLWOBondYield($O14,$V$3,$U14)</f>
        <v>2.5572670136537523E-2</v>
      </c>
      <c r="W14" s="187"/>
      <c r="X14" s="187">
        <f t="shared" ca="1" si="1"/>
        <v>0</v>
      </c>
      <c r="Y14" s="265">
        <f t="shared" ca="1" si="2"/>
        <v>-4.9863462480564946E-8</v>
      </c>
    </row>
    <row r="15" spans="2:25" x14ac:dyDescent="0.25">
      <c r="B15" s="180" t="s">
        <v>341</v>
      </c>
    </row>
    <row r="16" spans="2:25" x14ac:dyDescent="0.25">
      <c r="B16" s="180" t="s">
        <v>342</v>
      </c>
      <c r="D16" s="4" t="s">
        <v>472</v>
      </c>
      <c r="F16" s="167" t="s">
        <v>398</v>
      </c>
      <c r="G16" s="167" t="s">
        <v>399</v>
      </c>
      <c r="H16" s="167" t="s">
        <v>400</v>
      </c>
      <c r="I16" s="167" t="s">
        <v>401</v>
      </c>
      <c r="J16" s="167" t="s">
        <v>403</v>
      </c>
    </row>
    <row r="17" spans="2:10" x14ac:dyDescent="0.25">
      <c r="B17" s="180" t="s">
        <v>343</v>
      </c>
      <c r="D17" s="168" t="s">
        <v>310</v>
      </c>
      <c r="E17" s="186" t="s">
        <v>397</v>
      </c>
      <c r="F17" s="186" t="s">
        <v>26</v>
      </c>
      <c r="G17" s="186" t="s">
        <v>64</v>
      </c>
      <c r="H17" s="186" t="s">
        <v>86</v>
      </c>
      <c r="I17" s="186" t="s">
        <v>113</v>
      </c>
      <c r="J17" s="186" t="s">
        <v>486</v>
      </c>
    </row>
    <row r="18" spans="2:10" x14ac:dyDescent="0.25">
      <c r="B18" s="180" t="s">
        <v>344</v>
      </c>
      <c r="D18" s="170" t="s">
        <v>389</v>
      </c>
      <c r="E18" s="224" t="str">
        <f>_xll.BDP($D18,E$17)</f>
        <v>ITALY CDS USD SR 6M D14</v>
      </c>
      <c r="F18" s="268">
        <f>_xll.BDP($D18,F$16)</f>
        <v>235</v>
      </c>
      <c r="G18" s="268">
        <f>_xll.BDP($D18,G$16)</f>
        <v>235</v>
      </c>
      <c r="H18" s="268">
        <f>_xll.BDP($D18,H$16)</f>
        <v>235</v>
      </c>
      <c r="I18" s="268">
        <f>_xll.BDP($D18,I$16)</f>
        <v>235</v>
      </c>
      <c r="J18" s="224" t="str">
        <f>_xll.BDP($D18,J$16)</f>
        <v>US465410AH18</v>
      </c>
    </row>
    <row r="19" spans="2:10" x14ac:dyDescent="0.25">
      <c r="B19" s="180" t="s">
        <v>345</v>
      </c>
      <c r="D19" s="170" t="s">
        <v>390</v>
      </c>
      <c r="E19" s="224" t="str">
        <f>_xll.BDP($D19,E$17)</f>
        <v>ITALY CDS USD SR 1Y D14</v>
      </c>
      <c r="F19" s="268">
        <f>_xll.BDP($D19,F$16)</f>
        <v>235</v>
      </c>
      <c r="G19" s="268">
        <f>_xll.BDP($D19,G$16)</f>
        <v>235</v>
      </c>
      <c r="H19" s="268">
        <f>_xll.BDP($D19,H$16)</f>
        <v>235</v>
      </c>
      <c r="I19" s="268">
        <f>_xll.BDP($D19,I$16)</f>
        <v>235</v>
      </c>
      <c r="J19" s="224" t="str">
        <f>_xll.BDP($D19,J$16)</f>
        <v>US465410AH18</v>
      </c>
    </row>
    <row r="20" spans="2:10" x14ac:dyDescent="0.25">
      <c r="B20" s="180" t="s">
        <v>346</v>
      </c>
      <c r="D20" s="170" t="s">
        <v>391</v>
      </c>
      <c r="E20" s="224" t="str">
        <f>_xll.BDP($D20,E$17)</f>
        <v>ITALY CDS USD SR 2Y D14</v>
      </c>
      <c r="F20" s="268">
        <f>_xll.BDP($D20,F$16)</f>
        <v>235</v>
      </c>
      <c r="G20" s="268">
        <f>_xll.BDP($D20,G$16)</f>
        <v>235</v>
      </c>
      <c r="H20" s="268">
        <f>_xll.BDP($D20,H$16)</f>
        <v>235</v>
      </c>
      <c r="I20" s="268">
        <f>_xll.BDP($D20,I$16)</f>
        <v>235</v>
      </c>
      <c r="J20" s="224" t="str">
        <f>_xll.BDP($D20,J$16)</f>
        <v>US465410AH18</v>
      </c>
    </row>
    <row r="21" spans="2:10" x14ac:dyDescent="0.25">
      <c r="B21" s="180" t="s">
        <v>347</v>
      </c>
      <c r="D21" s="170" t="s">
        <v>392</v>
      </c>
      <c r="E21" s="224" t="str">
        <f>_xll.BDP($D21,E$17)</f>
        <v>ITALY CDS USD SR 3Y D14</v>
      </c>
      <c r="F21" s="268">
        <f>_xll.BDP($D21,F$16)</f>
        <v>235</v>
      </c>
      <c r="G21" s="268">
        <f>_xll.BDP($D21,G$16)</f>
        <v>235</v>
      </c>
      <c r="H21" s="268">
        <f>_xll.BDP($D21,H$16)</f>
        <v>235</v>
      </c>
      <c r="I21" s="268">
        <f>_xll.BDP($D21,I$16)</f>
        <v>235</v>
      </c>
      <c r="J21" s="224" t="str">
        <f>_xll.BDP($D21,J$16)</f>
        <v>US465410AH18</v>
      </c>
    </row>
    <row r="22" spans="2:10" x14ac:dyDescent="0.25">
      <c r="B22" s="180" t="s">
        <v>348</v>
      </c>
      <c r="D22" s="170" t="s">
        <v>393</v>
      </c>
      <c r="E22" s="224" t="str">
        <f>_xll.BDP($D22,E$17)</f>
        <v>ITALY CDS USD SR 4Y D14</v>
      </c>
      <c r="F22" s="268">
        <f>_xll.BDP($D22,F$16)</f>
        <v>235</v>
      </c>
      <c r="G22" s="268">
        <f>_xll.BDP($D22,G$16)</f>
        <v>235</v>
      </c>
      <c r="H22" s="268">
        <f>_xll.BDP($D22,H$16)</f>
        <v>235</v>
      </c>
      <c r="I22" s="268">
        <f>_xll.BDP($D22,I$16)</f>
        <v>235</v>
      </c>
      <c r="J22" s="224" t="str">
        <f>_xll.BDP($D22,J$16)</f>
        <v>US465410AH18</v>
      </c>
    </row>
    <row r="23" spans="2:10" x14ac:dyDescent="0.25">
      <c r="B23" s="180" t="s">
        <v>349</v>
      </c>
      <c r="D23" s="170" t="s">
        <v>394</v>
      </c>
      <c r="E23" s="224" t="str">
        <f>_xll.BDP($D23,E$17)</f>
        <v>ITALY CDS USD SR 5Y D14</v>
      </c>
      <c r="F23" s="268">
        <f>_xll.BDP($D23,F$16)</f>
        <v>235</v>
      </c>
      <c r="G23" s="268">
        <f>_xll.BDP($D23,G$16)</f>
        <v>235</v>
      </c>
      <c r="H23" s="268">
        <f>_xll.BDP($D23,H$16)</f>
        <v>235</v>
      </c>
      <c r="I23" s="268">
        <f>_xll.BDP($D23,I$16)</f>
        <v>235</v>
      </c>
      <c r="J23" s="224" t="str">
        <f>_xll.BDP($D23,J$16)</f>
        <v>US465410AH18</v>
      </c>
    </row>
    <row r="24" spans="2:10" x14ac:dyDescent="0.25">
      <c r="B24" s="180" t="s">
        <v>350</v>
      </c>
      <c r="D24" s="170" t="s">
        <v>395</v>
      </c>
      <c r="E24" s="224" t="str">
        <f>_xll.BDP($D24,E$17)</f>
        <v>ITALY CDS USD SR 7Y D14</v>
      </c>
      <c r="F24" s="268">
        <f>_xll.BDP($D24,F$16)</f>
        <v>235</v>
      </c>
      <c r="G24" s="268">
        <f>_xll.BDP($D24,G$16)</f>
        <v>235</v>
      </c>
      <c r="H24" s="268">
        <f>_xll.BDP($D24,H$16)</f>
        <v>235</v>
      </c>
      <c r="I24" s="268">
        <f>_xll.BDP($D24,I$16)</f>
        <v>235</v>
      </c>
      <c r="J24" s="224" t="str">
        <f>_xll.BDP($D24,J$16)</f>
        <v>US465410AH18</v>
      </c>
    </row>
    <row r="25" spans="2:10" x14ac:dyDescent="0.25">
      <c r="B25" s="180" t="str">
        <f t="array" ref="B25">_xll.meLWOList(B24)</f>
        <v>#Error: Object type 'USD_FLOATER_TYPE21' not supported. Available objects include: TABLE, CURVE, BOND, BOND_GENERATOR, SWAP, SWAP_GENERATOR, SCHEDULE, FIXING_TABLE, CURVE_DATA, CURVE_GENERATOR, CURVE_MARKETDATA, FX_CURVE, OPTION, VOLATILITY, CREDIT_MODEL, CREDIT_BASKET_MODEL, BOND_CURVE and FREE_OBJECT.</v>
      </c>
      <c r="D25" s="170" t="s">
        <v>396</v>
      </c>
      <c r="E25" s="224" t="str">
        <f>_xll.BDP($D25,E$17)</f>
        <v>ITALY CDS USD SR 10Y D14</v>
      </c>
      <c r="F25" s="268">
        <f>_xll.BDP($D25,F$16)</f>
        <v>235</v>
      </c>
      <c r="G25" s="268">
        <f>_xll.BDP($D25,G$16)</f>
        <v>235</v>
      </c>
      <c r="H25" s="268">
        <f>_xll.BDP($D25,H$16)</f>
        <v>235</v>
      </c>
      <c r="I25" s="268">
        <f>_xll.BDP($D25,I$16)</f>
        <v>235</v>
      </c>
      <c r="J25" s="224" t="str">
        <f>_xll.BDP($D25,J$16)</f>
        <v>US465410AH18</v>
      </c>
    </row>
  </sheetData>
  <dataValidations count="1">
    <dataValidation type="list" allowBlank="1" showInputMessage="1" showErrorMessage="1" sqref="O3">
      <formula1>$B$6:$B$25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H33"/>
  <sheetViews>
    <sheetView showGridLines="0" workbookViewId="0"/>
  </sheetViews>
  <sheetFormatPr defaultRowHeight="15" x14ac:dyDescent="0.25"/>
  <cols>
    <col min="2" max="2" width="35.7109375" customWidth="1"/>
    <col min="3" max="4" width="20.7109375" customWidth="1"/>
    <col min="6" max="6" width="35.7109375" customWidth="1"/>
    <col min="7" max="8" width="20.7109375" customWidth="1"/>
  </cols>
  <sheetData>
    <row r="2" spans="2:8" x14ac:dyDescent="0.25">
      <c r="B2" s="4" t="s">
        <v>475</v>
      </c>
      <c r="F2" s="4" t="s">
        <v>474</v>
      </c>
    </row>
    <row r="3" spans="2:8" x14ac:dyDescent="0.25">
      <c r="B3" s="191" t="s">
        <v>404</v>
      </c>
      <c r="C3" s="232" t="s">
        <v>477</v>
      </c>
      <c r="D3" s="233"/>
      <c r="F3" s="191" t="s">
        <v>404</v>
      </c>
      <c r="G3" s="232" t="s">
        <v>478</v>
      </c>
      <c r="H3" s="233"/>
    </row>
    <row r="4" spans="2:8" x14ac:dyDescent="0.25">
      <c r="B4" s="193" t="s">
        <v>405</v>
      </c>
      <c r="C4" s="234" t="str">
        <f>_xll.meLWOSwapGeneratorCreate($C$3,$B$8:$D$33)</f>
        <v>EUR_CDS@14:3</v>
      </c>
      <c r="D4" s="235"/>
      <c r="F4" s="193" t="s">
        <v>405</v>
      </c>
      <c r="G4" s="234" t="str">
        <f>_xll.meLWOSwapGeneratorCreate($G$3,$F$8:$H$33)</f>
        <v>EUR_CLN@13:3</v>
      </c>
      <c r="H4" s="235"/>
    </row>
    <row r="7" spans="2:8" x14ac:dyDescent="0.25">
      <c r="B7" s="4" t="s">
        <v>406</v>
      </c>
      <c r="F7" s="4" t="s">
        <v>406</v>
      </c>
    </row>
    <row r="8" spans="2:8" x14ac:dyDescent="0.25">
      <c r="B8" s="191" t="s">
        <v>407</v>
      </c>
      <c r="C8" s="155" t="s">
        <v>408</v>
      </c>
      <c r="D8" s="155" t="s">
        <v>409</v>
      </c>
      <c r="F8" s="191" t="s">
        <v>407</v>
      </c>
      <c r="G8" s="155" t="s">
        <v>408</v>
      </c>
      <c r="H8" s="155" t="s">
        <v>409</v>
      </c>
    </row>
    <row r="9" spans="2:8" x14ac:dyDescent="0.25">
      <c r="B9" s="205" t="s">
        <v>410</v>
      </c>
      <c r="C9" s="257">
        <v>1</v>
      </c>
      <c r="D9" s="257">
        <v>1</v>
      </c>
      <c r="F9" s="205" t="s">
        <v>410</v>
      </c>
      <c r="G9" s="257">
        <v>1</v>
      </c>
      <c r="H9" s="257">
        <v>-1</v>
      </c>
    </row>
    <row r="10" spans="2:8" x14ac:dyDescent="0.25">
      <c r="B10" s="205" t="s">
        <v>411</v>
      </c>
      <c r="C10" s="156" t="s">
        <v>280</v>
      </c>
      <c r="D10" s="156" t="s">
        <v>280</v>
      </c>
      <c r="F10" s="205" t="s">
        <v>411</v>
      </c>
      <c r="G10" s="156" t="s">
        <v>280</v>
      </c>
      <c r="H10" s="156" t="s">
        <v>280</v>
      </c>
    </row>
    <row r="11" spans="2:8" x14ac:dyDescent="0.25">
      <c r="B11" s="205" t="s">
        <v>412</v>
      </c>
      <c r="C11" s="156" t="s">
        <v>285</v>
      </c>
      <c r="D11" s="156" t="s">
        <v>285</v>
      </c>
      <c r="F11" s="205" t="s">
        <v>412</v>
      </c>
      <c r="G11" s="156" t="s">
        <v>285</v>
      </c>
      <c r="H11" s="156" t="s">
        <v>285</v>
      </c>
    </row>
    <row r="12" spans="2:8" x14ac:dyDescent="0.25">
      <c r="B12" s="205" t="s">
        <v>413</v>
      </c>
      <c r="C12" s="156" t="s">
        <v>285</v>
      </c>
      <c r="D12" s="156" t="s">
        <v>285</v>
      </c>
      <c r="F12" s="205" t="s">
        <v>413</v>
      </c>
      <c r="G12" s="258" t="s">
        <v>480</v>
      </c>
      <c r="H12" s="156" t="s">
        <v>285</v>
      </c>
    </row>
    <row r="13" spans="2:8" x14ac:dyDescent="0.25">
      <c r="B13" s="205" t="s">
        <v>414</v>
      </c>
      <c r="C13" s="156" t="s">
        <v>438</v>
      </c>
      <c r="D13" s="156" t="s">
        <v>438</v>
      </c>
      <c r="F13" s="205" t="s">
        <v>414</v>
      </c>
      <c r="G13" s="156" t="s">
        <v>438</v>
      </c>
      <c r="H13" s="156" t="s">
        <v>438</v>
      </c>
    </row>
    <row r="14" spans="2:8" x14ac:dyDescent="0.25">
      <c r="B14" s="205" t="s">
        <v>415</v>
      </c>
      <c r="C14" s="156" t="s">
        <v>258</v>
      </c>
      <c r="D14" s="156" t="s">
        <v>258</v>
      </c>
      <c r="F14" s="205" t="s">
        <v>415</v>
      </c>
      <c r="G14" s="156" t="s">
        <v>258</v>
      </c>
      <c r="H14" s="156" t="s">
        <v>258</v>
      </c>
    </row>
    <row r="15" spans="2:8" x14ac:dyDescent="0.25">
      <c r="B15" s="205" t="s">
        <v>416</v>
      </c>
      <c r="C15" s="236" t="s">
        <v>258</v>
      </c>
      <c r="D15" s="236" t="s">
        <v>258</v>
      </c>
      <c r="F15" s="205" t="s">
        <v>416</v>
      </c>
      <c r="G15" s="236" t="s">
        <v>258</v>
      </c>
      <c r="H15" s="236" t="s">
        <v>258</v>
      </c>
    </row>
    <row r="16" spans="2:8" x14ac:dyDescent="0.25">
      <c r="B16" s="205" t="s">
        <v>417</v>
      </c>
      <c r="C16" s="236" t="s">
        <v>286</v>
      </c>
      <c r="D16" s="236" t="s">
        <v>286</v>
      </c>
      <c r="F16" s="205" t="s">
        <v>417</v>
      </c>
      <c r="G16" s="236" t="s">
        <v>286</v>
      </c>
      <c r="H16" s="236" t="s">
        <v>286</v>
      </c>
    </row>
    <row r="17" spans="2:8" x14ac:dyDescent="0.25">
      <c r="B17" s="205" t="s">
        <v>418</v>
      </c>
      <c r="C17" s="236" t="s">
        <v>294</v>
      </c>
      <c r="D17" s="236" t="s">
        <v>294</v>
      </c>
      <c r="F17" s="205" t="s">
        <v>418</v>
      </c>
      <c r="G17" s="236" t="s">
        <v>294</v>
      </c>
      <c r="H17" s="236" t="s">
        <v>294</v>
      </c>
    </row>
    <row r="18" spans="2:8" x14ac:dyDescent="0.25">
      <c r="B18" s="205" t="s">
        <v>419</v>
      </c>
      <c r="C18" s="236" t="s">
        <v>270</v>
      </c>
      <c r="D18" s="236" t="s">
        <v>270</v>
      </c>
      <c r="F18" s="205" t="s">
        <v>419</v>
      </c>
      <c r="G18" s="236" t="s">
        <v>270</v>
      </c>
      <c r="H18" s="236" t="s">
        <v>270</v>
      </c>
    </row>
    <row r="19" spans="2:8" x14ac:dyDescent="0.25">
      <c r="B19" s="205" t="s">
        <v>420</v>
      </c>
      <c r="C19" s="236" t="s">
        <v>273</v>
      </c>
      <c r="D19" s="236" t="s">
        <v>273</v>
      </c>
      <c r="F19" s="205" t="s">
        <v>420</v>
      </c>
      <c r="G19" s="236" t="s">
        <v>273</v>
      </c>
      <c r="H19" s="236" t="s">
        <v>273</v>
      </c>
    </row>
    <row r="20" spans="2:8" x14ac:dyDescent="0.25">
      <c r="B20" s="205" t="s">
        <v>421</v>
      </c>
      <c r="C20" s="236" t="s">
        <v>286</v>
      </c>
      <c r="D20" s="236" t="s">
        <v>286</v>
      </c>
      <c r="F20" s="205" t="s">
        <v>421</v>
      </c>
      <c r="G20" s="236" t="s">
        <v>286</v>
      </c>
      <c r="H20" s="236" t="s">
        <v>286</v>
      </c>
    </row>
    <row r="21" spans="2:8" x14ac:dyDescent="0.25">
      <c r="B21" s="205" t="s">
        <v>422</v>
      </c>
      <c r="C21" s="236" t="s">
        <v>294</v>
      </c>
      <c r="D21" s="236" t="s">
        <v>294</v>
      </c>
      <c r="F21" s="205" t="s">
        <v>422</v>
      </c>
      <c r="G21" s="236" t="s">
        <v>294</v>
      </c>
      <c r="H21" s="236" t="s">
        <v>294</v>
      </c>
    </row>
    <row r="22" spans="2:8" x14ac:dyDescent="0.25">
      <c r="B22" s="205" t="s">
        <v>423</v>
      </c>
      <c r="C22" s="236" t="s">
        <v>270</v>
      </c>
      <c r="D22" s="236" t="s">
        <v>270</v>
      </c>
      <c r="F22" s="205" t="s">
        <v>423</v>
      </c>
      <c r="G22" s="236" t="s">
        <v>270</v>
      </c>
      <c r="H22" s="236" t="s">
        <v>270</v>
      </c>
    </row>
    <row r="23" spans="2:8" x14ac:dyDescent="0.25">
      <c r="B23" s="205" t="s">
        <v>424</v>
      </c>
      <c r="C23" s="236" t="s">
        <v>425</v>
      </c>
      <c r="D23" s="236" t="s">
        <v>425</v>
      </c>
      <c r="F23" s="205" t="s">
        <v>424</v>
      </c>
      <c r="G23" s="236" t="s">
        <v>425</v>
      </c>
      <c r="H23" s="236" t="s">
        <v>425</v>
      </c>
    </row>
    <row r="24" spans="2:8" x14ac:dyDescent="0.25">
      <c r="B24" s="205" t="s">
        <v>426</v>
      </c>
      <c r="C24" s="236" t="s">
        <v>280</v>
      </c>
      <c r="D24" s="236" t="s">
        <v>280</v>
      </c>
      <c r="F24" s="205" t="s">
        <v>426</v>
      </c>
      <c r="G24" s="236" t="s">
        <v>280</v>
      </c>
      <c r="H24" s="236" t="s">
        <v>280</v>
      </c>
    </row>
    <row r="25" spans="2:8" x14ac:dyDescent="0.25">
      <c r="B25" s="205" t="s">
        <v>427</v>
      </c>
      <c r="C25" s="236" t="s">
        <v>280</v>
      </c>
      <c r="D25" s="236" t="s">
        <v>280</v>
      </c>
      <c r="F25" s="205" t="s">
        <v>427</v>
      </c>
      <c r="G25" s="236" t="s">
        <v>280</v>
      </c>
      <c r="H25" s="236" t="s">
        <v>280</v>
      </c>
    </row>
    <row r="26" spans="2:8" x14ac:dyDescent="0.25">
      <c r="B26" s="205" t="s">
        <v>428</v>
      </c>
      <c r="C26" s="236" t="s">
        <v>429</v>
      </c>
      <c r="D26" s="236" t="s">
        <v>429</v>
      </c>
      <c r="F26" s="205" t="s">
        <v>428</v>
      </c>
      <c r="G26" s="236" t="s">
        <v>429</v>
      </c>
      <c r="H26" s="236" t="s">
        <v>429</v>
      </c>
    </row>
    <row r="27" spans="2:8" x14ac:dyDescent="0.25">
      <c r="B27" s="205" t="s">
        <v>430</v>
      </c>
      <c r="C27" s="236" t="s">
        <v>431</v>
      </c>
      <c r="D27" s="236" t="s">
        <v>431</v>
      </c>
      <c r="F27" s="205" t="s">
        <v>430</v>
      </c>
      <c r="G27" s="236" t="s">
        <v>431</v>
      </c>
      <c r="H27" s="236" t="s">
        <v>431</v>
      </c>
    </row>
    <row r="28" spans="2:8" x14ac:dyDescent="0.25">
      <c r="B28" s="205" t="s">
        <v>432</v>
      </c>
      <c r="C28" s="236" t="s">
        <v>280</v>
      </c>
      <c r="D28" s="236" t="s">
        <v>280</v>
      </c>
      <c r="F28" s="205" t="s">
        <v>432</v>
      </c>
      <c r="G28" s="236" t="s">
        <v>280</v>
      </c>
      <c r="H28" s="236" t="s">
        <v>280</v>
      </c>
    </row>
    <row r="29" spans="2:8" x14ac:dyDescent="0.25">
      <c r="B29" s="205" t="s">
        <v>433</v>
      </c>
      <c r="C29" s="236" t="s">
        <v>280</v>
      </c>
      <c r="D29" s="236" t="s">
        <v>280</v>
      </c>
      <c r="F29" s="205" t="s">
        <v>433</v>
      </c>
      <c r="G29" s="236" t="s">
        <v>280</v>
      </c>
      <c r="H29" s="236" t="s">
        <v>280</v>
      </c>
    </row>
    <row r="30" spans="2:8" x14ac:dyDescent="0.25">
      <c r="B30" s="205" t="s">
        <v>434</v>
      </c>
      <c r="C30" s="236" t="s">
        <v>280</v>
      </c>
      <c r="D30" s="236" t="s">
        <v>280</v>
      </c>
      <c r="F30" s="205" t="s">
        <v>434</v>
      </c>
      <c r="G30" s="236" t="s">
        <v>280</v>
      </c>
      <c r="H30" s="236" t="s">
        <v>280</v>
      </c>
    </row>
    <row r="31" spans="2:8" x14ac:dyDescent="0.25">
      <c r="B31" s="205" t="s">
        <v>435</v>
      </c>
      <c r="C31" s="236" t="s">
        <v>280</v>
      </c>
      <c r="D31" s="236" t="s">
        <v>280</v>
      </c>
      <c r="F31" s="205" t="s">
        <v>435</v>
      </c>
      <c r="G31" s="236" t="s">
        <v>280</v>
      </c>
      <c r="H31" s="236" t="s">
        <v>280</v>
      </c>
    </row>
    <row r="32" spans="2:8" x14ac:dyDescent="0.25">
      <c r="B32" s="205" t="s">
        <v>436</v>
      </c>
      <c r="C32" s="236" t="s">
        <v>280</v>
      </c>
      <c r="D32" s="236" t="s">
        <v>280</v>
      </c>
      <c r="F32" s="205" t="s">
        <v>436</v>
      </c>
      <c r="G32" s="236" t="s">
        <v>280</v>
      </c>
      <c r="H32" s="236" t="s">
        <v>280</v>
      </c>
    </row>
    <row r="33" spans="2:8" x14ac:dyDescent="0.25">
      <c r="B33" s="193" t="s">
        <v>437</v>
      </c>
      <c r="C33" s="237" t="s">
        <v>280</v>
      </c>
      <c r="D33" s="237" t="s">
        <v>280</v>
      </c>
      <c r="F33" s="193" t="s">
        <v>437</v>
      </c>
      <c r="G33" s="237" t="s">
        <v>280</v>
      </c>
      <c r="H33" s="237" t="s">
        <v>280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B2:H31"/>
  <sheetViews>
    <sheetView showGridLines="0" workbookViewId="0"/>
  </sheetViews>
  <sheetFormatPr defaultRowHeight="15" x14ac:dyDescent="0.25"/>
  <cols>
    <col min="2" max="2" width="28" bestFit="1" customWidth="1"/>
    <col min="3" max="3" width="31.85546875" customWidth="1"/>
    <col min="5" max="5" width="6.140625" bestFit="1" customWidth="1"/>
    <col min="6" max="6" width="28.140625" customWidth="1"/>
    <col min="7" max="7" width="12.5703125" customWidth="1"/>
    <col min="8" max="8" width="16.5703125" bestFit="1" customWidth="1"/>
  </cols>
  <sheetData>
    <row r="2" spans="2:8" x14ac:dyDescent="0.25">
      <c r="B2" s="189" t="s">
        <v>360</v>
      </c>
    </row>
    <row r="3" spans="2:8" x14ac:dyDescent="0.25">
      <c r="B3" s="191" t="s">
        <v>361</v>
      </c>
      <c r="C3" s="192" t="s">
        <v>456</v>
      </c>
    </row>
    <row r="4" spans="2:8" x14ac:dyDescent="0.25">
      <c r="B4" s="193" t="s">
        <v>362</v>
      </c>
      <c r="C4" s="194" t="str">
        <f ca="1">_xll.meLWOCreditModelCreate(C3,B8,B9:C26,IF($C$6="CDS",$F$8,$F$20),IF($C$6="CDS",$F$10:$G$13,$F$22:$G$29))</f>
        <v>ITALY_CREDIT@8:2</v>
      </c>
    </row>
    <row r="5" spans="2:8" x14ac:dyDescent="0.25">
      <c r="F5" s="4" t="s">
        <v>487</v>
      </c>
    </row>
    <row r="6" spans="2:8" x14ac:dyDescent="0.25">
      <c r="B6" s="189" t="s">
        <v>363</v>
      </c>
      <c r="C6" s="196" t="s">
        <v>364</v>
      </c>
      <c r="F6" s="196" t="s">
        <v>402</v>
      </c>
      <c r="G6" s="3"/>
    </row>
    <row r="8" spans="2:8" x14ac:dyDescent="0.25">
      <c r="B8" s="189" t="s">
        <v>365</v>
      </c>
      <c r="F8" s="189" t="s">
        <v>366</v>
      </c>
      <c r="G8" s="190"/>
      <c r="H8" s="190"/>
    </row>
    <row r="9" spans="2:8" x14ac:dyDescent="0.25">
      <c r="B9" s="197" t="s">
        <v>263</v>
      </c>
      <c r="C9" s="198">
        <f ca="1">Settings.COB</f>
        <v>43923</v>
      </c>
      <c r="E9" s="200" t="s">
        <v>467</v>
      </c>
      <c r="F9" s="200" t="s">
        <v>367</v>
      </c>
      <c r="G9" s="200" t="s">
        <v>368</v>
      </c>
    </row>
    <row r="10" spans="2:8" x14ac:dyDescent="0.25">
      <c r="B10" s="201" t="s">
        <v>369</v>
      </c>
      <c r="C10" s="202" t="s">
        <v>370</v>
      </c>
      <c r="E10" s="229">
        <v>2</v>
      </c>
      <c r="F10" s="225" t="s">
        <v>26</v>
      </c>
      <c r="G10" s="226">
        <f>VLOOKUP($F$6,CDS_MKT_DATA,E$10,0)/10000</f>
        <v>2.35E-2</v>
      </c>
    </row>
    <row r="11" spans="2:8" x14ac:dyDescent="0.25">
      <c r="B11" s="201" t="s">
        <v>371</v>
      </c>
      <c r="C11" s="202" t="s">
        <v>294</v>
      </c>
      <c r="E11" s="229">
        <v>3</v>
      </c>
      <c r="F11" s="220" t="s">
        <v>64</v>
      </c>
      <c r="G11" s="227">
        <f>VLOOKUP($F$6,CDS_MKT_DATA,E$10,0)/10000</f>
        <v>2.35E-2</v>
      </c>
    </row>
    <row r="12" spans="2:8" x14ac:dyDescent="0.25">
      <c r="B12" s="201" t="s">
        <v>372</v>
      </c>
      <c r="C12" s="202" t="s">
        <v>270</v>
      </c>
      <c r="E12" s="229">
        <v>4</v>
      </c>
      <c r="F12" s="220" t="s">
        <v>86</v>
      </c>
      <c r="G12" s="227">
        <f>VLOOKUP($F$6,CDS_MKT_DATA,E$10,0)/10000</f>
        <v>2.35E-2</v>
      </c>
    </row>
    <row r="13" spans="2:8" x14ac:dyDescent="0.25">
      <c r="B13" s="201" t="s">
        <v>314</v>
      </c>
      <c r="C13" s="202">
        <f ca="1">C9</f>
        <v>43923</v>
      </c>
      <c r="E13" s="229">
        <v>5</v>
      </c>
      <c r="F13" s="220" t="s">
        <v>113</v>
      </c>
      <c r="G13" s="227">
        <f>VLOOKUP($F$6,CDS_MKT_DATA,E$10,0)/10000</f>
        <v>2.35E-2</v>
      </c>
    </row>
    <row r="14" spans="2:8" x14ac:dyDescent="0.25">
      <c r="B14" s="201" t="s">
        <v>373</v>
      </c>
      <c r="C14" s="204">
        <f ca="1">_xll.meDateIMMCurrent(C9)</f>
        <v>43908</v>
      </c>
      <c r="F14" s="220"/>
      <c r="G14" s="227"/>
      <c r="H14" s="230"/>
    </row>
    <row r="15" spans="2:8" x14ac:dyDescent="0.25">
      <c r="B15" s="205" t="s">
        <v>257</v>
      </c>
      <c r="C15" s="206" t="s">
        <v>258</v>
      </c>
      <c r="F15" s="220"/>
      <c r="G15" s="227"/>
      <c r="H15" s="230"/>
    </row>
    <row r="16" spans="2:8" x14ac:dyDescent="0.25">
      <c r="B16" s="205" t="s">
        <v>374</v>
      </c>
      <c r="C16" s="207">
        <v>0.4</v>
      </c>
      <c r="F16" s="220"/>
      <c r="G16" s="227"/>
      <c r="H16" s="230"/>
    </row>
    <row r="17" spans="2:8" x14ac:dyDescent="0.25">
      <c r="B17" s="205" t="s">
        <v>375</v>
      </c>
      <c r="C17" s="202" t="b">
        <v>1</v>
      </c>
      <c r="F17" s="220"/>
      <c r="G17" s="227"/>
      <c r="H17" s="230"/>
    </row>
    <row r="18" spans="2:8" x14ac:dyDescent="0.25">
      <c r="B18" s="205" t="s">
        <v>376</v>
      </c>
      <c r="C18" s="202" t="s">
        <v>260</v>
      </c>
      <c r="F18" s="221"/>
      <c r="G18" s="228"/>
      <c r="H18" s="230"/>
    </row>
    <row r="19" spans="2:8" x14ac:dyDescent="0.25">
      <c r="B19" s="205" t="s">
        <v>377</v>
      </c>
      <c r="C19" s="231" t="str">
        <f>EUR_CDS</f>
        <v>EUR_CDS@14:3</v>
      </c>
      <c r="F19" s="190"/>
      <c r="G19" s="190"/>
      <c r="H19" s="190"/>
    </row>
    <row r="20" spans="2:8" x14ac:dyDescent="0.25">
      <c r="B20" s="205" t="s">
        <v>378</v>
      </c>
      <c r="C20" s="231" t="str">
        <f>VLOOKUP($F$6,CDS_MKT_DATA,6,0)</f>
        <v>US465410AH18</v>
      </c>
      <c r="F20" s="189" t="s">
        <v>379</v>
      </c>
      <c r="G20" s="190"/>
      <c r="H20" s="190"/>
    </row>
    <row r="21" spans="2:8" x14ac:dyDescent="0.25">
      <c r="B21" s="205" t="s">
        <v>380</v>
      </c>
      <c r="C21" s="202" t="b">
        <v>1</v>
      </c>
      <c r="E21" t="s">
        <v>388</v>
      </c>
      <c r="F21" s="200" t="s">
        <v>381</v>
      </c>
      <c r="G21" s="200" t="s">
        <v>382</v>
      </c>
      <c r="H21" s="259" t="s">
        <v>383</v>
      </c>
    </row>
    <row r="22" spans="2:8" x14ac:dyDescent="0.25">
      <c r="B22" s="205" t="s">
        <v>384</v>
      </c>
      <c r="C22" s="202" t="s">
        <v>260</v>
      </c>
      <c r="E22" s="223" t="str">
        <f ca="1">'CREDIT MKT DATA'!Q7</f>
        <v>1Y</v>
      </c>
      <c r="F22" s="216" t="str">
        <f>'CREDIT MKT DATA'!O7</f>
        <v>BTPS 2.3 10/15/21@18:2</v>
      </c>
      <c r="G22" s="217">
        <f>'CREDIT MKT DATA'!R7</f>
        <v>102.992</v>
      </c>
      <c r="H22" s="208">
        <f ca="1">_xll.meLWOBondPriceFromCreditModel(F22,$C$9,CREDIT_MODEL)</f>
        <v>100.5014695854281</v>
      </c>
    </row>
    <row r="23" spans="2:8" x14ac:dyDescent="0.25">
      <c r="B23" s="205" t="s">
        <v>296</v>
      </c>
      <c r="C23" s="202" t="s">
        <v>385</v>
      </c>
      <c r="E23" s="223" t="str">
        <f ca="1">'CREDIT MKT DATA'!Q8</f>
        <v>3Y</v>
      </c>
      <c r="F23" s="218" t="str">
        <f>'CREDIT MKT DATA'!O8</f>
        <v>BTPS 0.05 01/15/23@21:2</v>
      </c>
      <c r="G23" s="219">
        <f>'CREDIT MKT DATA'!R8</f>
        <v>98.72</v>
      </c>
      <c r="H23" s="209">
        <f ca="1">_xll.meLWOBondPriceFromCreditModel(F23,$C$9,CREDIT_MODEL)</f>
        <v>94.85664364344936</v>
      </c>
    </row>
    <row r="24" spans="2:8" x14ac:dyDescent="0.25">
      <c r="B24" s="205" t="s">
        <v>386</v>
      </c>
      <c r="C24" s="210" t="s">
        <v>387</v>
      </c>
      <c r="E24" s="223" t="str">
        <f ca="1">'CREDIT MKT DATA'!Q9</f>
        <v>5Y</v>
      </c>
      <c r="F24" s="220" t="str">
        <f>'CREDIT MKT DATA'!O9</f>
        <v>BTPS 0.35 02/01/25@22:2</v>
      </c>
      <c r="G24" s="219">
        <f>'CREDIT MKT DATA'!R9</f>
        <v>97.537000000000006</v>
      </c>
      <c r="H24" s="209">
        <f ca="1">_xll.meLWOBondPriceFromCreditModel(F24,$C$9,CREDIT_MODEL)</f>
        <v>92.193836248377167</v>
      </c>
    </row>
    <row r="25" spans="2:8" x14ac:dyDescent="0.25">
      <c r="B25" s="205"/>
      <c r="C25" s="210"/>
      <c r="E25" s="223" t="str">
        <f ca="1">'CREDIT MKT DATA'!Q10</f>
        <v>7Y</v>
      </c>
      <c r="F25" s="218" t="str">
        <f>'CREDIT MKT DATA'!O10</f>
        <v>BTPS 0.85 01/15/27@19:2</v>
      </c>
      <c r="G25" s="219">
        <f>'CREDIT MKT DATA'!R10</f>
        <v>98.366</v>
      </c>
      <c r="H25" s="209">
        <f ca="1">_xll.meLWOBondPriceFromCreditModel(F25,$C$9,CREDIT_MODEL)</f>
        <v>91.691873216069567</v>
      </c>
    </row>
    <row r="26" spans="2:8" x14ac:dyDescent="0.25">
      <c r="B26" s="193"/>
      <c r="C26" s="211"/>
      <c r="E26" s="223" t="str">
        <f ca="1">'CREDIT MKT DATA'!Q11</f>
        <v>10Y</v>
      </c>
      <c r="F26" s="218" t="str">
        <f>'CREDIT MKT DATA'!O11</f>
        <v>BTPS 1.35 04/01/30@20:2</v>
      </c>
      <c r="G26" s="219">
        <f>'CREDIT MKT DATA'!R11</f>
        <v>99.027000000000001</v>
      </c>
      <c r="H26" s="209">
        <f ca="1">_xll.meLWOBondPriceFromCreditModel(F26,$C$9,CREDIT_MODEL)</f>
        <v>90.970671603184883</v>
      </c>
    </row>
    <row r="27" spans="2:8" x14ac:dyDescent="0.25">
      <c r="B27" s="190"/>
      <c r="C27" s="190"/>
      <c r="E27" s="223" t="str">
        <f ca="1">'CREDIT MKT DATA'!Q12</f>
        <v>15Y</v>
      </c>
      <c r="F27" s="218" t="str">
        <f>'CREDIT MKT DATA'!O12</f>
        <v>BTPS 3.35 03/01/35@16:2</v>
      </c>
      <c r="G27" s="219">
        <f>'CREDIT MKT DATA'!R12</f>
        <v>119.22</v>
      </c>
      <c r="H27" s="209">
        <f ca="1">_xll.meLWOBondPriceFromCreditModel(F27,$C$9,CREDIT_MODEL)</f>
        <v>107.53990371550051</v>
      </c>
    </row>
    <row r="28" spans="2:8" x14ac:dyDescent="0.25">
      <c r="E28" s="223" t="str">
        <f ca="1">'CREDIT MKT DATA'!Q13</f>
        <v>29Y</v>
      </c>
      <c r="F28" s="218" t="str">
        <f>'CREDIT MKT DATA'!O13</f>
        <v>BTPS 3.85 09/01/49@17:2</v>
      </c>
      <c r="G28" s="219">
        <f>'CREDIT MKT DATA'!R13</f>
        <v>131.05500000000001</v>
      </c>
      <c r="H28" s="209">
        <f ca="1">_xll.meLWOBondPriceFromCreditModel(F28,$C$9,CREDIT_MODEL)</f>
        <v>116.18194540558886</v>
      </c>
    </row>
    <row r="29" spans="2:8" x14ac:dyDescent="0.25">
      <c r="E29" s="223" t="str">
        <f ca="1">'CREDIT MKT DATA'!Q14</f>
        <v>47Y</v>
      </c>
      <c r="F29" s="221" t="str">
        <f>'CREDIT MKT DATA'!O14</f>
        <v>BTPS 2.8 03/01/67@15:2</v>
      </c>
      <c r="G29" s="222">
        <f>'CREDIT MKT DATA'!R14</f>
        <v>107.06699999999999</v>
      </c>
      <c r="H29" s="212">
        <f ca="1">_xll.meLWOBondPriceFromCreditModel(F29,$C$9,CREDIT_MODEL)</f>
        <v>95.875878111768273</v>
      </c>
    </row>
    <row r="30" spans="2:8" x14ac:dyDescent="0.25">
      <c r="G30" s="190"/>
      <c r="H30" s="190"/>
    </row>
    <row r="31" spans="2:8" x14ac:dyDescent="0.25">
      <c r="F31" s="199" t="s">
        <v>458</v>
      </c>
    </row>
  </sheetData>
  <dataValidations count="2">
    <dataValidation type="list" allowBlank="1" showInputMessage="1" showErrorMessage="1" sqref="C6">
      <formula1>"BONDS,CDS"</formula1>
    </dataValidation>
    <dataValidation type="list" allowBlank="1" showInputMessage="1" showErrorMessage="1" sqref="F6">
      <formula1>CDS_SELECTION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D27"/>
  <sheetViews>
    <sheetView showGridLines="0" workbookViewId="0"/>
  </sheetViews>
  <sheetFormatPr defaultRowHeight="15" x14ac:dyDescent="0.25"/>
  <cols>
    <col min="2" max="2" width="23.28515625" bestFit="1" customWidth="1"/>
    <col min="3" max="3" width="31" customWidth="1"/>
  </cols>
  <sheetData>
    <row r="2" spans="2:4" x14ac:dyDescent="0.25">
      <c r="B2" s="4" t="s">
        <v>439</v>
      </c>
    </row>
    <row r="3" spans="2:4" x14ac:dyDescent="0.25">
      <c r="B3" s="191" t="s">
        <v>440</v>
      </c>
      <c r="C3" s="192" t="s">
        <v>476</v>
      </c>
    </row>
    <row r="4" spans="2:4" x14ac:dyDescent="0.25">
      <c r="B4" s="193" t="s">
        <v>441</v>
      </c>
      <c r="C4" s="194" t="str">
        <f ca="1">_xll.meLWOSwapCreateFromGenerator(C3,C7,C8,C9,C10,C11,C12,0)</f>
        <v>EUR_CDS_ITALY@4:2</v>
      </c>
    </row>
    <row r="5" spans="2:4" x14ac:dyDescent="0.25">
      <c r="B5" s="195"/>
      <c r="C5" s="195"/>
    </row>
    <row r="6" spans="2:4" x14ac:dyDescent="0.25">
      <c r="B6" s="4" t="s">
        <v>442</v>
      </c>
    </row>
    <row r="7" spans="2:4" x14ac:dyDescent="0.25">
      <c r="B7" s="197" t="s">
        <v>377</v>
      </c>
      <c r="C7" s="214" t="str">
        <f>EUR_CDS</f>
        <v>EUR_CDS@14:3</v>
      </c>
    </row>
    <row r="8" spans="2:4" x14ac:dyDescent="0.25">
      <c r="B8" s="201" t="s">
        <v>443</v>
      </c>
      <c r="C8" s="239" t="s">
        <v>444</v>
      </c>
    </row>
    <row r="9" spans="2:4" x14ac:dyDescent="0.25">
      <c r="B9" s="205" t="s">
        <v>445</v>
      </c>
      <c r="C9" s="206">
        <v>1000000</v>
      </c>
    </row>
    <row r="10" spans="2:4" x14ac:dyDescent="0.25">
      <c r="B10" s="205" t="s">
        <v>446</v>
      </c>
      <c r="C10" s="231">
        <f ca="1">_xll.meDateFromTenor(Settings.COB,D10,"FOLLOWING","TGT")</f>
        <v>43930</v>
      </c>
      <c r="D10" s="246" t="s">
        <v>370</v>
      </c>
    </row>
    <row r="11" spans="2:4" x14ac:dyDescent="0.25">
      <c r="B11" s="205" t="s">
        <v>319</v>
      </c>
      <c r="C11" s="231">
        <f ca="1">_xll.meDateFromTenor(CURRENT_IMM_DATE,D11)</f>
        <v>45734</v>
      </c>
      <c r="D11" s="246" t="s">
        <v>64</v>
      </c>
    </row>
    <row r="12" spans="2:4" x14ac:dyDescent="0.25">
      <c r="B12" s="193" t="s">
        <v>447</v>
      </c>
      <c r="C12" s="211">
        <f>'CREDIT MKT DATA'!$F$23/10000</f>
        <v>2.35E-2</v>
      </c>
    </row>
    <row r="14" spans="2:4" x14ac:dyDescent="0.25">
      <c r="B14" s="4" t="s">
        <v>448</v>
      </c>
    </row>
    <row r="15" spans="2:4" x14ac:dyDescent="0.25">
      <c r="B15" s="197" t="s">
        <v>449</v>
      </c>
      <c r="C15" s="238" t="str">
        <f ca="1">EUR_CURVE</f>
        <v>EUR_OIS_CURVE@9:4</v>
      </c>
    </row>
    <row r="16" spans="2:4" x14ac:dyDescent="0.25">
      <c r="B16" s="201" t="s">
        <v>450</v>
      </c>
      <c r="C16" s="203" t="str">
        <f ca="1">CREDIT_MODEL</f>
        <v>ITALY_CREDIT@8:2</v>
      </c>
    </row>
    <row r="17" spans="2:4" x14ac:dyDescent="0.25">
      <c r="B17" s="240"/>
      <c r="C17" s="241"/>
    </row>
    <row r="19" spans="2:4" x14ac:dyDescent="0.25">
      <c r="B19" s="4" t="s">
        <v>451</v>
      </c>
    </row>
    <row r="20" spans="2:4" x14ac:dyDescent="0.25">
      <c r="B20" s="191" t="s">
        <v>452</v>
      </c>
      <c r="C20" s="242">
        <f ca="1">_xll.meLWOCreditDefaultSwapPV($C$4,CREDIT_MODEL)</f>
        <v>-6.4101186580955982E-8</v>
      </c>
      <c r="D20" s="99" t="s">
        <v>466</v>
      </c>
    </row>
    <row r="21" spans="2:4" x14ac:dyDescent="0.25">
      <c r="B21" s="205" t="s">
        <v>408</v>
      </c>
      <c r="C21" s="243">
        <f ca="1">_xll.meLWOCreditDefaultSwapPV($C$4,CREDIT_MODEL,B21)</f>
        <v>-108130.07775494816</v>
      </c>
    </row>
    <row r="22" spans="2:4" x14ac:dyDescent="0.25">
      <c r="B22" s="205" t="s">
        <v>409</v>
      </c>
      <c r="C22" s="243">
        <f ca="1">_xll.meLWOCreditDefaultSwapPV($C$4,CREDIT_MODEL,B22)</f>
        <v>108130.07775488406</v>
      </c>
    </row>
    <row r="23" spans="2:4" x14ac:dyDescent="0.25">
      <c r="B23" s="205" t="s">
        <v>453</v>
      </c>
      <c r="C23" s="243">
        <f ca="1">_xll.meLWOCreditDefaultSwapRiskyAnnuity($C$4,CREDIT_MODEL)</f>
        <v>4601279.9044658784</v>
      </c>
    </row>
    <row r="24" spans="2:4" x14ac:dyDescent="0.25">
      <c r="B24" s="205" t="s">
        <v>454</v>
      </c>
      <c r="C24" s="244">
        <f ca="1">_xll.meLWOCreditDefaultSwapParSpread($C$4,CREDIT_MODEL)</f>
        <v>2.3499999999986074E-2</v>
      </c>
    </row>
    <row r="25" spans="2:4" x14ac:dyDescent="0.25">
      <c r="B25" s="193" t="s">
        <v>455</v>
      </c>
      <c r="C25" s="245">
        <f ca="1">_xll.meLWOCreditDefaultSwapCS01(C4,CREDIT_MODEL)</f>
        <v>460.12799044658789</v>
      </c>
    </row>
    <row r="27" spans="2:4" x14ac:dyDescent="0.25">
      <c r="B27" s="99" t="s">
        <v>457</v>
      </c>
    </row>
  </sheetData>
  <dataValidations count="1">
    <dataValidation type="list" allowBlank="1" showInputMessage="1" showErrorMessage="1" sqref="C8">
      <formula1>"PAY,RECEIVE"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D27"/>
  <sheetViews>
    <sheetView showGridLines="0" workbookViewId="0"/>
  </sheetViews>
  <sheetFormatPr defaultRowHeight="15" x14ac:dyDescent="0.25"/>
  <cols>
    <col min="2" max="2" width="23.28515625" bestFit="1" customWidth="1"/>
    <col min="3" max="3" width="31" customWidth="1"/>
  </cols>
  <sheetData>
    <row r="2" spans="2:4" x14ac:dyDescent="0.25">
      <c r="B2" s="4" t="s">
        <v>439</v>
      </c>
    </row>
    <row r="3" spans="2:4" x14ac:dyDescent="0.25">
      <c r="B3" s="191" t="s">
        <v>440</v>
      </c>
      <c r="C3" s="192" t="s">
        <v>479</v>
      </c>
    </row>
    <row r="4" spans="2:4" x14ac:dyDescent="0.25">
      <c r="B4" s="193" t="s">
        <v>441</v>
      </c>
      <c r="C4" s="194" t="str">
        <f ca="1">_xll.meLWOSwapCreateFromGenerator(C3,C7,C8,C9,C10,C11,C12,0)</f>
        <v>EUR_CLN_ITALY@7:3</v>
      </c>
    </row>
    <row r="6" spans="2:4" x14ac:dyDescent="0.25">
      <c r="B6" s="4" t="s">
        <v>442</v>
      </c>
    </row>
    <row r="7" spans="2:4" x14ac:dyDescent="0.25">
      <c r="B7" s="197" t="s">
        <v>377</v>
      </c>
      <c r="C7" s="214" t="str">
        <f>EUR_CLN</f>
        <v>EUR_CLN@13:3</v>
      </c>
    </row>
    <row r="8" spans="2:4" x14ac:dyDescent="0.25">
      <c r="B8" s="201" t="s">
        <v>443</v>
      </c>
      <c r="C8" s="239" t="s">
        <v>444</v>
      </c>
    </row>
    <row r="9" spans="2:4" x14ac:dyDescent="0.25">
      <c r="B9" s="205" t="s">
        <v>445</v>
      </c>
      <c r="C9" s="206">
        <v>1000000</v>
      </c>
    </row>
    <row r="10" spans="2:4" x14ac:dyDescent="0.25">
      <c r="B10" s="205" t="s">
        <v>446</v>
      </c>
      <c r="C10" s="231">
        <f ca="1">_xll.meDateFromTenor(Settings.COB,D10,"FOLLOWING","TGT")</f>
        <v>43930</v>
      </c>
      <c r="D10" s="246" t="s">
        <v>370</v>
      </c>
    </row>
    <row r="11" spans="2:4" x14ac:dyDescent="0.25">
      <c r="B11" s="205" t="s">
        <v>319</v>
      </c>
      <c r="C11" s="231">
        <f ca="1">_xll.meDateFromTenor(CURRENT_IMM_DATE,D11)</f>
        <v>45734</v>
      </c>
      <c r="D11" s="246" t="s">
        <v>64</v>
      </c>
    </row>
    <row r="12" spans="2:4" x14ac:dyDescent="0.25">
      <c r="B12" s="193" t="s">
        <v>447</v>
      </c>
      <c r="C12" s="211">
        <v>0.02</v>
      </c>
    </row>
    <row r="14" spans="2:4" x14ac:dyDescent="0.25">
      <c r="B14" s="4" t="s">
        <v>448</v>
      </c>
    </row>
    <row r="15" spans="2:4" x14ac:dyDescent="0.25">
      <c r="B15" s="197" t="s">
        <v>449</v>
      </c>
      <c r="C15" s="238" t="str">
        <f ca="1">EUR_CURVE</f>
        <v>EUR_OIS_CURVE@9:4</v>
      </c>
    </row>
    <row r="16" spans="2:4" x14ac:dyDescent="0.25">
      <c r="B16" s="201" t="s">
        <v>450</v>
      </c>
      <c r="C16" s="203" t="str">
        <f ca="1">CREDIT_MODEL</f>
        <v>ITALY_CREDIT@8:2</v>
      </c>
    </row>
    <row r="17" spans="2:4" x14ac:dyDescent="0.25">
      <c r="B17" s="240"/>
      <c r="C17" s="241"/>
    </row>
    <row r="19" spans="2:4" x14ac:dyDescent="0.25">
      <c r="B19" s="4" t="s">
        <v>451</v>
      </c>
    </row>
    <row r="20" spans="2:4" x14ac:dyDescent="0.25">
      <c r="B20" s="191" t="s">
        <v>452</v>
      </c>
      <c r="C20" s="242">
        <f ca="1">_xll.meLWOCreditDefaultSwapPV($C$4,CREDIT_MODEL)</f>
        <v>-38770.051391601708</v>
      </c>
      <c r="D20" s="99" t="s">
        <v>466</v>
      </c>
    </row>
    <row r="21" spans="2:4" x14ac:dyDescent="0.25">
      <c r="B21" s="205" t="s">
        <v>408</v>
      </c>
      <c r="C21" s="243">
        <f ca="1">_xll.meLWOCreditDefaultSwapPV($C$4,CREDIT_MODEL,B21)</f>
        <v>69360.026363282348</v>
      </c>
    </row>
    <row r="22" spans="2:4" x14ac:dyDescent="0.25">
      <c r="B22" s="205" t="s">
        <v>409</v>
      </c>
      <c r="C22" s="243">
        <f ca="1">_xll.meLWOCreditDefaultSwapPV($C$4,CREDIT_MODEL,B22)</f>
        <v>-108130.07775488406</v>
      </c>
    </row>
    <row r="23" spans="2:4" x14ac:dyDescent="0.25">
      <c r="B23" s="205" t="s">
        <v>453</v>
      </c>
      <c r="C23" s="243">
        <f ca="1">_xll.meLWOCreditDefaultSwapRiskyAnnuity($C$4,CREDIT_MODEL)</f>
        <v>4601279.9044658784</v>
      </c>
    </row>
    <row r="24" spans="2:4" x14ac:dyDescent="0.25">
      <c r="B24" s="205" t="s">
        <v>454</v>
      </c>
      <c r="C24" s="244">
        <f ca="1">_xll.meLWOCreditDefaultSwapParSpread($C$4,CREDIT_MODEL)</f>
        <v>-2.3499999999986074E-2</v>
      </c>
    </row>
    <row r="25" spans="2:4" x14ac:dyDescent="0.25">
      <c r="B25" s="193" t="s">
        <v>455</v>
      </c>
      <c r="C25" s="245">
        <f ca="1">_xll.meLWOCreditDefaultSwapCS01(C4,CREDIT_MODEL)</f>
        <v>460.12799044658789</v>
      </c>
    </row>
    <row r="27" spans="2:4" x14ac:dyDescent="0.25">
      <c r="B27" s="99" t="s">
        <v>457</v>
      </c>
    </row>
  </sheetData>
  <dataValidations count="1">
    <dataValidation type="list" allowBlank="1" showInputMessage="1" showErrorMessage="1" sqref="C8">
      <formula1>"PAY,RECEIVE"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AP53"/>
  <sheetViews>
    <sheetView showGridLines="0" workbookViewId="0"/>
  </sheetViews>
  <sheetFormatPr defaultRowHeight="15" x14ac:dyDescent="0.25"/>
  <cols>
    <col min="2" max="2" width="23.28515625" bestFit="1" customWidth="1"/>
    <col min="3" max="4" width="20.7109375" customWidth="1"/>
    <col min="5" max="6" width="9.140625" style="186"/>
    <col min="7" max="7" width="14.7109375" customWidth="1"/>
    <col min="8" max="8" width="22.7109375" bestFit="1" customWidth="1"/>
    <col min="9" max="9" width="9.140625" customWidth="1"/>
    <col min="10" max="10" width="19.5703125" bestFit="1" customWidth="1"/>
    <col min="11" max="11" width="13.140625" bestFit="1" customWidth="1"/>
    <col min="12" max="12" width="14.5703125" style="260" bestFit="1" customWidth="1"/>
    <col min="13" max="13" width="19.5703125" bestFit="1" customWidth="1"/>
    <col min="14" max="14" width="13.140625" bestFit="1" customWidth="1"/>
    <col min="15" max="15" width="18" bestFit="1" customWidth="1"/>
    <col min="16" max="16" width="17.28515625" bestFit="1" customWidth="1"/>
    <col min="17" max="17" width="9" bestFit="1" customWidth="1"/>
    <col min="18" max="18" width="18" bestFit="1" customWidth="1"/>
    <col min="19" max="20" width="25.5703125" bestFit="1" customWidth="1"/>
    <col min="21" max="21" width="16.140625" bestFit="1" customWidth="1"/>
    <col min="22" max="22" width="23.85546875" bestFit="1" customWidth="1"/>
    <col min="23" max="23" width="12.42578125" bestFit="1" customWidth="1"/>
    <col min="24" max="24" width="14.28515625" bestFit="1" customWidth="1"/>
    <col min="25" max="25" width="10.28515625" bestFit="1" customWidth="1"/>
    <col min="27" max="27" width="16" customWidth="1"/>
    <col min="28" max="28" width="10.7109375" bestFit="1" customWidth="1"/>
    <col min="29" max="29" width="11.5703125" bestFit="1" customWidth="1"/>
    <col min="30" max="30" width="19.5703125" bestFit="1" customWidth="1"/>
    <col min="31" max="31" width="13.140625" bestFit="1" customWidth="1"/>
    <col min="33" max="33" width="17.28515625" bestFit="1" customWidth="1"/>
    <col min="35" max="35" width="18" bestFit="1" customWidth="1"/>
    <col min="36" max="36" width="25.5703125" bestFit="1" customWidth="1"/>
    <col min="38" max="38" width="14.28515625" bestFit="1" customWidth="1"/>
    <col min="39" max="39" width="10.28515625" bestFit="1" customWidth="1"/>
  </cols>
  <sheetData>
    <row r="2" spans="2:42" x14ac:dyDescent="0.25">
      <c r="B2" t="s">
        <v>465</v>
      </c>
      <c r="C2" s="253">
        <f ca="1">CURRENT_IMM_DATE</f>
        <v>43908</v>
      </c>
    </row>
    <row r="3" spans="2:42" x14ac:dyDescent="0.25">
      <c r="J3" s="270" t="s">
        <v>482</v>
      </c>
      <c r="K3" s="190"/>
      <c r="L3"/>
      <c r="O3" s="260"/>
      <c r="AA3" s="270" t="s">
        <v>483</v>
      </c>
      <c r="AF3" s="260"/>
    </row>
    <row r="4" spans="2:42" x14ac:dyDescent="0.25">
      <c r="B4" s="191" t="s">
        <v>407</v>
      </c>
      <c r="C4" s="247" t="s">
        <v>408</v>
      </c>
      <c r="D4" s="247" t="s">
        <v>409</v>
      </c>
      <c r="E4" s="200"/>
      <c r="F4" s="200"/>
      <c r="G4" s="271" t="s">
        <v>481</v>
      </c>
      <c r="H4" s="181"/>
      <c r="J4" s="274" t="str">
        <f t="array" aca="1" ref="J4:Y26" ca="1">_xll.meUtilityResize(_xll.meLWOSwapDisplayCashflows($H$6,CREDIT_MODEL,$C$4),50,50)</f>
        <v>Leg1:Premium Leg Schedule &amp; Cashflows</v>
      </c>
      <c r="K4" s="275" t="str">
        <f ca="1"/>
        <v/>
      </c>
      <c r="L4" s="275" t="str">
        <f ca="1"/>
        <v/>
      </c>
      <c r="M4" s="275" t="str">
        <f ca="1"/>
        <v/>
      </c>
      <c r="N4" s="275" t="str">
        <f ca="1"/>
        <v/>
      </c>
      <c r="O4" s="276" t="str">
        <f ca="1"/>
        <v/>
      </c>
      <c r="P4" s="275" t="str">
        <f ca="1"/>
        <v/>
      </c>
      <c r="Q4" s="275" t="str">
        <f ca="1"/>
        <v/>
      </c>
      <c r="R4" s="275" t="str">
        <f ca="1"/>
        <v/>
      </c>
      <c r="S4" s="275" t="str">
        <f ca="1"/>
        <v/>
      </c>
      <c r="T4" s="275" t="str">
        <f ca="1"/>
        <v/>
      </c>
      <c r="U4" s="275" t="str">
        <f ca="1"/>
        <v/>
      </c>
      <c r="V4" s="275" t="str">
        <f ca="1"/>
        <v/>
      </c>
      <c r="W4" s="275" t="str">
        <f ca="1"/>
        <v/>
      </c>
      <c r="X4" s="275" t="str">
        <f ca="1"/>
        <v/>
      </c>
      <c r="Y4" s="277" t="str">
        <f ca="1"/>
        <v/>
      </c>
      <c r="AA4" s="274" t="str">
        <f t="array" aca="1" ref="AA4:AP26" ca="1">_xll.meUtilityResize(_xll.meLWOSwapDisplayCashflows($H$6,CREDIT_MODEL,$D$4),50,50)</f>
        <v>Leg2:Protection Leg Schedule &amp; Cashflows</v>
      </c>
      <c r="AB4" s="275" t="str">
        <f ca="1"/>
        <v/>
      </c>
      <c r="AC4" s="275" t="str">
        <f ca="1"/>
        <v/>
      </c>
      <c r="AD4" s="275" t="str">
        <f ca="1"/>
        <v/>
      </c>
      <c r="AE4" s="275" t="str">
        <f ca="1"/>
        <v/>
      </c>
      <c r="AF4" s="276" t="str">
        <f ca="1"/>
        <v/>
      </c>
      <c r="AG4" s="275" t="str">
        <f ca="1"/>
        <v/>
      </c>
      <c r="AH4" s="275" t="str">
        <f ca="1"/>
        <v/>
      </c>
      <c r="AI4" s="275" t="str">
        <f ca="1"/>
        <v/>
      </c>
      <c r="AJ4" s="275" t="str">
        <f ca="1"/>
        <v/>
      </c>
      <c r="AK4" s="275" t="str">
        <f ca="1"/>
        <v/>
      </c>
      <c r="AL4" s="275" t="str">
        <f ca="1"/>
        <v/>
      </c>
      <c r="AM4" s="275" t="str">
        <f ca="1"/>
        <v/>
      </c>
      <c r="AN4" s="275" t="str">
        <f ca="1"/>
        <v/>
      </c>
      <c r="AO4" s="275" t="str">
        <f ca="1"/>
        <v/>
      </c>
      <c r="AP4" s="277" t="str">
        <f ca="1"/>
        <v/>
      </c>
    </row>
    <row r="5" spans="2:42" x14ac:dyDescent="0.25">
      <c r="B5" s="205" t="s">
        <v>459</v>
      </c>
      <c r="C5" s="236" t="s">
        <v>471</v>
      </c>
      <c r="D5" s="236" t="s">
        <v>471</v>
      </c>
      <c r="E5" s="200"/>
      <c r="F5" s="200"/>
      <c r="G5" s="190" t="s">
        <v>397</v>
      </c>
      <c r="H5" s="254" t="s">
        <v>489</v>
      </c>
      <c r="J5" s="278" t="str">
        <f ca="1"/>
        <v>AccrualStart</v>
      </c>
      <c r="K5" s="272" t="str">
        <f ca="1"/>
        <v>AccrualEnd</v>
      </c>
      <c r="L5" s="272" t="str">
        <f ca="1"/>
        <v>AccrualDays</v>
      </c>
      <c r="M5" s="272" t="str">
        <f ca="1"/>
        <v>AccrualYearFractions</v>
      </c>
      <c r="N5" s="272" t="str">
        <f ca="1"/>
        <v>PaymentDate</v>
      </c>
      <c r="O5" s="279" t="str">
        <f ca="1"/>
        <v>Notional</v>
      </c>
      <c r="P5" s="272" t="str">
        <f ca="1"/>
        <v>NotionalExchange</v>
      </c>
      <c r="Q5" s="272" t="str">
        <f ca="1"/>
        <v>Leverage</v>
      </c>
      <c r="R5" s="272" t="str">
        <f ca="1"/>
        <v>CDSSpread</v>
      </c>
      <c r="S5" s="272" t="str">
        <f ca="1"/>
        <v>SurvivalProbability</v>
      </c>
      <c r="T5" s="272" t="str">
        <f ca="1"/>
        <v>MarginalDefaultProbability</v>
      </c>
      <c r="U5" s="272" t="str">
        <f ca="1"/>
        <v>PremiumCoupon</v>
      </c>
      <c r="V5" s="272" t="str">
        <f ca="1"/>
        <v>AccrualOnDefaultCoupon</v>
      </c>
      <c r="W5" s="272" t="str">
        <f ca="1"/>
        <v>RiskyCoupon</v>
      </c>
      <c r="X5" s="272" t="str">
        <f ca="1"/>
        <v>DiscountFactor</v>
      </c>
      <c r="Y5" s="280" t="str">
        <f ca="1"/>
        <v>CouponPV</v>
      </c>
      <c r="AA5" s="278" t="str">
        <f ca="1"/>
        <v>AccrualStart</v>
      </c>
      <c r="AB5" s="272" t="str">
        <f ca="1"/>
        <v>AccrualEnd</v>
      </c>
      <c r="AC5" s="272" t="str">
        <f ca="1"/>
        <v>AccrualDays</v>
      </c>
      <c r="AD5" s="272" t="str">
        <f ca="1"/>
        <v>AccrualYearFractions</v>
      </c>
      <c r="AE5" s="272" t="str">
        <f ca="1"/>
        <v>PaymentDate</v>
      </c>
      <c r="AF5" s="279" t="str">
        <f ca="1"/>
        <v>Notional</v>
      </c>
      <c r="AG5" s="272" t="str">
        <f ca="1"/>
        <v>NotionalExchange</v>
      </c>
      <c r="AH5" s="272" t="str">
        <f ca="1"/>
        <v>Leverage</v>
      </c>
      <c r="AI5" s="272" t="str">
        <f ca="1"/>
        <v>SurvivalProbability</v>
      </c>
      <c r="AJ5" s="272" t="str">
        <f ca="1"/>
        <v>MarginalDefaultProbability</v>
      </c>
      <c r="AK5" s="272" t="str">
        <f ca="1"/>
        <v>Coupon</v>
      </c>
      <c r="AL5" s="272" t="str">
        <f ca="1"/>
        <v>DiscountFactor</v>
      </c>
      <c r="AM5" s="272" t="str">
        <f ca="1"/>
        <v>CouponPV</v>
      </c>
      <c r="AN5" s="272" t="str">
        <f ca="1"/>
        <v/>
      </c>
      <c r="AO5" s="272" t="str">
        <f ca="1"/>
        <v/>
      </c>
      <c r="AP5" s="280" t="str">
        <f ca="1"/>
        <v/>
      </c>
    </row>
    <row r="6" spans="2:42" x14ac:dyDescent="0.25">
      <c r="B6" s="205" t="s">
        <v>460</v>
      </c>
      <c r="C6" s="248">
        <v>1000000</v>
      </c>
      <c r="D6" s="248">
        <v>1000000</v>
      </c>
      <c r="E6" s="200"/>
      <c r="F6" s="200"/>
      <c r="G6" s="190" t="s">
        <v>507</v>
      </c>
      <c r="H6" s="256" t="str">
        <f ca="1">_xll.meLWOSwapCreate(H5,B4:D28,FALSE,,TRUE)</f>
        <v>BESPOKESWAP@1:4</v>
      </c>
      <c r="J6" s="281">
        <f ca="1"/>
        <v>43930</v>
      </c>
      <c r="K6" s="273">
        <f ca="1"/>
        <v>43999</v>
      </c>
      <c r="L6" s="272">
        <f ca="1"/>
        <v>69</v>
      </c>
      <c r="M6" s="282">
        <f ca="1"/>
        <v>0.19166666666666701</v>
      </c>
      <c r="N6" s="273">
        <f ca="1"/>
        <v>43999</v>
      </c>
      <c r="O6" s="279">
        <f ca="1"/>
        <v>1000000</v>
      </c>
      <c r="P6" s="279">
        <f ca="1"/>
        <v>0</v>
      </c>
      <c r="Q6" s="283">
        <f ca="1"/>
        <v>1</v>
      </c>
      <c r="R6" s="284">
        <f ca="1"/>
        <v>0.02</v>
      </c>
      <c r="S6" s="284">
        <f ca="1"/>
        <v>0.99176551008316904</v>
      </c>
      <c r="T6" s="285">
        <f ca="1"/>
        <v>7.4732000526238603E-3</v>
      </c>
      <c r="U6" s="279">
        <f ca="1"/>
        <v>3801.7677886521501</v>
      </c>
      <c r="V6" s="279">
        <f ca="1"/>
        <v>14.323633434195701</v>
      </c>
      <c r="W6" s="279">
        <f ca="1"/>
        <v>3816.0914220863401</v>
      </c>
      <c r="X6" s="286">
        <f ca="1"/>
        <v>1.00096392172209</v>
      </c>
      <c r="Y6" s="287">
        <f ca="1"/>
        <v>3819.76983550158</v>
      </c>
      <c r="AA6" s="281">
        <f ca="1"/>
        <v>43930</v>
      </c>
      <c r="AB6" s="273">
        <f ca="1"/>
        <v>43999</v>
      </c>
      <c r="AC6" s="272">
        <f ca="1"/>
        <v>69</v>
      </c>
      <c r="AD6" s="282">
        <f ca="1"/>
        <v>0.19166666666666701</v>
      </c>
      <c r="AE6" s="273">
        <f ca="1"/>
        <v>43999</v>
      </c>
      <c r="AF6" s="279">
        <f ca="1"/>
        <v>1000000</v>
      </c>
      <c r="AG6" s="279">
        <f ca="1"/>
        <v>0</v>
      </c>
      <c r="AH6" s="283">
        <f ca="1"/>
        <v>1</v>
      </c>
      <c r="AI6" s="285">
        <f ca="1"/>
        <v>0.99176551008316904</v>
      </c>
      <c r="AJ6" s="285">
        <f ca="1"/>
        <v>7.4732000526238603E-3</v>
      </c>
      <c r="AK6" s="279">
        <f ca="1"/>
        <v>4483.9200315743201</v>
      </c>
      <c r="AL6" s="286">
        <f ca="1"/>
        <v>1.00096392172209</v>
      </c>
      <c r="AM6" s="279">
        <f ca="1"/>
        <v>4488.2421794928796</v>
      </c>
      <c r="AN6" s="272" t="str">
        <f ca="1"/>
        <v/>
      </c>
      <c r="AO6" s="272" t="str">
        <f ca="1"/>
        <v/>
      </c>
      <c r="AP6" s="280" t="str">
        <f ca="1"/>
        <v/>
      </c>
    </row>
    <row r="7" spans="2:42" x14ac:dyDescent="0.25">
      <c r="B7" s="205" t="s">
        <v>461</v>
      </c>
      <c r="C7" s="249">
        <v>0.02</v>
      </c>
      <c r="D7" s="236"/>
      <c r="E7" s="200"/>
      <c r="F7" s="200"/>
      <c r="G7" s="190"/>
      <c r="H7" s="181"/>
      <c r="J7" s="281">
        <f ca="1"/>
        <v>43999</v>
      </c>
      <c r="K7" s="273">
        <f ca="1"/>
        <v>44090</v>
      </c>
      <c r="L7" s="272">
        <f ca="1"/>
        <v>91</v>
      </c>
      <c r="M7" s="282">
        <f ca="1"/>
        <v>0.25277777777777799</v>
      </c>
      <c r="N7" s="273">
        <f ca="1"/>
        <v>44090</v>
      </c>
      <c r="O7" s="279">
        <f ca="1"/>
        <v>1000000</v>
      </c>
      <c r="P7" s="279">
        <f ca="1"/>
        <v>0</v>
      </c>
      <c r="Q7" s="283">
        <f ca="1"/>
        <v>1</v>
      </c>
      <c r="R7" s="284">
        <f ca="1"/>
        <v>0.02</v>
      </c>
      <c r="S7" s="284">
        <f ca="1"/>
        <v>0.98199494538511301</v>
      </c>
      <c r="T7" s="285">
        <f ca="1"/>
        <v>9.7705646980560407E-3</v>
      </c>
      <c r="U7" s="279">
        <f ca="1"/>
        <v>4964.5300016691799</v>
      </c>
      <c r="V7" s="279">
        <f ca="1"/>
        <v>24.697816320086101</v>
      </c>
      <c r="W7" s="279">
        <f ca="1"/>
        <v>4989.2278179892701</v>
      </c>
      <c r="X7" s="286">
        <f ca="1"/>
        <v>1.0021612486143101</v>
      </c>
      <c r="Y7" s="287">
        <f ca="1"/>
        <v>5000.0107796973598</v>
      </c>
      <c r="AA7" s="281">
        <f ca="1"/>
        <v>43999</v>
      </c>
      <c r="AB7" s="273">
        <f ca="1"/>
        <v>44090</v>
      </c>
      <c r="AC7" s="272">
        <f ca="1"/>
        <v>91</v>
      </c>
      <c r="AD7" s="282">
        <f ca="1"/>
        <v>0.25277777777777799</v>
      </c>
      <c r="AE7" s="273">
        <f ca="1"/>
        <v>44090</v>
      </c>
      <c r="AF7" s="279">
        <f ca="1"/>
        <v>1000000</v>
      </c>
      <c r="AG7" s="279">
        <f ca="1"/>
        <v>0</v>
      </c>
      <c r="AH7" s="283">
        <f ca="1"/>
        <v>1</v>
      </c>
      <c r="AI7" s="285">
        <f ca="1"/>
        <v>0.98199494538511301</v>
      </c>
      <c r="AJ7" s="285">
        <f ca="1"/>
        <v>9.7705646980560407E-3</v>
      </c>
      <c r="AK7" s="279">
        <f ca="1"/>
        <v>5862.3388188336203</v>
      </c>
      <c r="AL7" s="286">
        <f ca="1"/>
        <v>1.0021612486143101</v>
      </c>
      <c r="AM7" s="279">
        <f ca="1"/>
        <v>5875.0087904824304</v>
      </c>
      <c r="AN7" s="272" t="str">
        <f ca="1"/>
        <v/>
      </c>
      <c r="AO7" s="272" t="str">
        <f ca="1"/>
        <v/>
      </c>
      <c r="AP7" s="280" t="str">
        <f ca="1"/>
        <v/>
      </c>
    </row>
    <row r="8" spans="2:42" x14ac:dyDescent="0.25">
      <c r="B8" s="205" t="s">
        <v>462</v>
      </c>
      <c r="C8" s="215">
        <f ca="1">_xll.meDateFromTenor(Settings.COB,$E$8,"FOLLOWING","TGT")</f>
        <v>43930</v>
      </c>
      <c r="D8" s="215">
        <f ca="1">_xll.meDateFromTenor(Settings.COB,$E$8,"FOLLOWING","TGT")</f>
        <v>43930</v>
      </c>
      <c r="E8" s="246" t="s">
        <v>370</v>
      </c>
      <c r="F8" s="246"/>
      <c r="G8" s="270" t="s">
        <v>463</v>
      </c>
      <c r="H8" s="255"/>
      <c r="J8" s="281">
        <f ca="1"/>
        <v>44090</v>
      </c>
      <c r="K8" s="273">
        <f ca="1"/>
        <v>44181</v>
      </c>
      <c r="L8" s="272">
        <f ca="1"/>
        <v>91</v>
      </c>
      <c r="M8" s="282">
        <f ca="1"/>
        <v>0.25277777777777799</v>
      </c>
      <c r="N8" s="273">
        <f ca="1"/>
        <v>44181</v>
      </c>
      <c r="O8" s="279">
        <f ca="1"/>
        <v>1000000</v>
      </c>
      <c r="P8" s="279">
        <f ca="1"/>
        <v>0</v>
      </c>
      <c r="Q8" s="283">
        <f ca="1"/>
        <v>1</v>
      </c>
      <c r="R8" s="284">
        <f ca="1"/>
        <v>0.02</v>
      </c>
      <c r="S8" s="284">
        <f ca="1"/>
        <v>0.97232063724523299</v>
      </c>
      <c r="T8" s="285">
        <f ca="1"/>
        <v>9.6743081398793507E-3</v>
      </c>
      <c r="U8" s="279">
        <f ca="1"/>
        <v>4915.6209994064602</v>
      </c>
      <c r="V8" s="279">
        <f ca="1"/>
        <v>24.454501131361699</v>
      </c>
      <c r="W8" s="279">
        <f ca="1"/>
        <v>4940.0755005378196</v>
      </c>
      <c r="X8" s="286">
        <f ca="1"/>
        <v>1.0034209313657401</v>
      </c>
      <c r="Y8" s="287">
        <f ca="1"/>
        <v>4956.97515976671</v>
      </c>
      <c r="AA8" s="281">
        <f ca="1"/>
        <v>44090</v>
      </c>
      <c r="AB8" s="273">
        <f ca="1"/>
        <v>44181</v>
      </c>
      <c r="AC8" s="272">
        <f ca="1"/>
        <v>91</v>
      </c>
      <c r="AD8" s="282">
        <f ca="1"/>
        <v>0.25277777777777799</v>
      </c>
      <c r="AE8" s="273">
        <f ca="1"/>
        <v>44181</v>
      </c>
      <c r="AF8" s="279">
        <f ca="1"/>
        <v>1000000</v>
      </c>
      <c r="AG8" s="279">
        <f ca="1"/>
        <v>0</v>
      </c>
      <c r="AH8" s="283">
        <f ca="1"/>
        <v>1</v>
      </c>
      <c r="AI8" s="285">
        <f ca="1"/>
        <v>0.97232063724523299</v>
      </c>
      <c r="AJ8" s="285">
        <f ca="1"/>
        <v>9.6743081398793507E-3</v>
      </c>
      <c r="AK8" s="279">
        <f ca="1"/>
        <v>5804.5848839276096</v>
      </c>
      <c r="AL8" s="286">
        <f ca="1"/>
        <v>1.0034209313657401</v>
      </c>
      <c r="AM8" s="279">
        <f ca="1"/>
        <v>5824.44197042212</v>
      </c>
      <c r="AN8" s="272" t="str">
        <f ca="1"/>
        <v/>
      </c>
      <c r="AO8" s="272" t="str">
        <f ca="1"/>
        <v/>
      </c>
      <c r="AP8" s="280" t="str">
        <f ca="1"/>
        <v/>
      </c>
    </row>
    <row r="9" spans="2:42" x14ac:dyDescent="0.25">
      <c r="B9" s="205" t="s">
        <v>464</v>
      </c>
      <c r="C9" s="215">
        <f ca="1">_xll.meDateFromTenor(CURRENT_IMM_DATE,$E$9)</f>
        <v>45734</v>
      </c>
      <c r="D9" s="215">
        <f ca="1">_xll.meDateFromTenor(CURRENT_IMM_DATE,$E$9)</f>
        <v>45734</v>
      </c>
      <c r="E9" s="246" t="s">
        <v>64</v>
      </c>
      <c r="F9" s="246"/>
      <c r="G9" s="250" t="s">
        <v>452</v>
      </c>
      <c r="H9" s="251">
        <f ca="1">_xll.meLWOCreditDefaultSwapPV($H$6,CREDIT_MODEL)</f>
        <v>1038857.1672914881</v>
      </c>
      <c r="J9" s="281">
        <f ca="1"/>
        <v>44181</v>
      </c>
      <c r="K9" s="273">
        <f ca="1"/>
        <v>44272</v>
      </c>
      <c r="L9" s="272">
        <f ca="1"/>
        <v>91</v>
      </c>
      <c r="M9" s="282">
        <f ca="1"/>
        <v>0.25277777777777799</v>
      </c>
      <c r="N9" s="273">
        <f ca="1"/>
        <v>44272</v>
      </c>
      <c r="O9" s="279">
        <f ca="1"/>
        <v>1000000</v>
      </c>
      <c r="P9" s="279">
        <f ca="1"/>
        <v>0</v>
      </c>
      <c r="Q9" s="283">
        <f ca="1"/>
        <v>1</v>
      </c>
      <c r="R9" s="284">
        <f ca="1"/>
        <v>0.02</v>
      </c>
      <c r="S9" s="284">
        <f ca="1"/>
        <v>0.96274163737392005</v>
      </c>
      <c r="T9" s="285">
        <f ca="1"/>
        <v>9.5789998713131704E-3</v>
      </c>
      <c r="U9" s="279">
        <f ca="1"/>
        <v>4867.1938333903699</v>
      </c>
      <c r="V9" s="279">
        <f ca="1"/>
        <v>24.213583008041599</v>
      </c>
      <c r="W9" s="279">
        <f ca="1"/>
        <v>4891.4074163984196</v>
      </c>
      <c r="X9" s="286">
        <f ca="1"/>
        <v>1.0047119782653</v>
      </c>
      <c r="Y9" s="287">
        <f ca="1"/>
        <v>4914.4556218312</v>
      </c>
      <c r="AA9" s="281">
        <f ca="1"/>
        <v>44181</v>
      </c>
      <c r="AB9" s="273">
        <f ca="1"/>
        <v>44272</v>
      </c>
      <c r="AC9" s="272">
        <f ca="1"/>
        <v>91</v>
      </c>
      <c r="AD9" s="282">
        <f ca="1"/>
        <v>0.25277777777777799</v>
      </c>
      <c r="AE9" s="273">
        <f ca="1"/>
        <v>44272</v>
      </c>
      <c r="AF9" s="279">
        <f ca="1"/>
        <v>1000000</v>
      </c>
      <c r="AG9" s="279">
        <f ca="1"/>
        <v>0</v>
      </c>
      <c r="AH9" s="283">
        <f ca="1"/>
        <v>1</v>
      </c>
      <c r="AI9" s="285">
        <f ca="1"/>
        <v>0.96274163737392005</v>
      </c>
      <c r="AJ9" s="285">
        <f ca="1"/>
        <v>9.5789998713131704E-3</v>
      </c>
      <c r="AK9" s="279">
        <f ca="1"/>
        <v>5747.3999227879003</v>
      </c>
      <c r="AL9" s="286">
        <f ca="1"/>
        <v>1.0047119782653</v>
      </c>
      <c r="AM9" s="279">
        <f ca="1"/>
        <v>5774.4815463060404</v>
      </c>
      <c r="AN9" s="272" t="str">
        <f ca="1"/>
        <v/>
      </c>
      <c r="AO9" s="272" t="str">
        <f ca="1"/>
        <v/>
      </c>
      <c r="AP9" s="280" t="str">
        <f ca="1"/>
        <v/>
      </c>
    </row>
    <row r="10" spans="2:42" x14ac:dyDescent="0.25">
      <c r="B10" s="205" t="s">
        <v>410</v>
      </c>
      <c r="C10" s="266">
        <v>1</v>
      </c>
      <c r="D10" s="266">
        <v>1</v>
      </c>
      <c r="E10" s="200"/>
      <c r="F10" s="200"/>
      <c r="G10" s="250" t="s">
        <v>408</v>
      </c>
      <c r="H10" s="251">
        <f ca="1">_xll.meLWOCreditDefaultSwapPV($H$6,CREDIT_MODEL,G10)</f>
        <v>930727.08953660412</v>
      </c>
      <c r="J10" s="281">
        <f ca="1"/>
        <v>44272</v>
      </c>
      <c r="K10" s="273">
        <f ca="1"/>
        <v>44363</v>
      </c>
      <c r="L10" s="272">
        <f ca="1"/>
        <v>91</v>
      </c>
      <c r="M10" s="282">
        <f ca="1"/>
        <v>0.25277777777777799</v>
      </c>
      <c r="N10" s="273">
        <f ca="1"/>
        <v>44363</v>
      </c>
      <c r="O10" s="279">
        <f ca="1"/>
        <v>1000000</v>
      </c>
      <c r="P10" s="279">
        <f ca="1"/>
        <v>0</v>
      </c>
      <c r="Q10" s="283">
        <f ca="1"/>
        <v>1</v>
      </c>
      <c r="R10" s="284">
        <f ca="1"/>
        <v>0.02</v>
      </c>
      <c r="S10" s="284">
        <f ca="1"/>
        <v>0.95325699987911305</v>
      </c>
      <c r="T10" s="285">
        <f ca="1"/>
        <v>9.4846374948068801E-3</v>
      </c>
      <c r="U10" s="279">
        <f ca="1"/>
        <v>4819.2437216110702</v>
      </c>
      <c r="V10" s="279">
        <f ca="1"/>
        <v>23.975055889650701</v>
      </c>
      <c r="W10" s="279">
        <f ca="1"/>
        <v>4843.2187775007196</v>
      </c>
      <c r="X10" s="286">
        <f ca="1"/>
        <v>1.0060130594999801</v>
      </c>
      <c r="Y10" s="287">
        <f ca="1"/>
        <v>4872.3413401812404</v>
      </c>
      <c r="AA10" s="281">
        <f ca="1"/>
        <v>44272</v>
      </c>
      <c r="AB10" s="273">
        <f ca="1"/>
        <v>44363</v>
      </c>
      <c r="AC10" s="272">
        <f ca="1"/>
        <v>91</v>
      </c>
      <c r="AD10" s="282">
        <f ca="1"/>
        <v>0.25277777777777799</v>
      </c>
      <c r="AE10" s="273">
        <f ca="1"/>
        <v>44363</v>
      </c>
      <c r="AF10" s="279">
        <f ca="1"/>
        <v>1000000</v>
      </c>
      <c r="AG10" s="279">
        <f ca="1"/>
        <v>0</v>
      </c>
      <c r="AH10" s="283">
        <f ca="1"/>
        <v>1</v>
      </c>
      <c r="AI10" s="285">
        <f ca="1"/>
        <v>0.95325699987911305</v>
      </c>
      <c r="AJ10" s="285">
        <f ca="1"/>
        <v>9.4846374948068801E-3</v>
      </c>
      <c r="AK10" s="279">
        <f ca="1"/>
        <v>5690.7824968841296</v>
      </c>
      <c r="AL10" s="286">
        <f ca="1"/>
        <v>1.0060130594999801</v>
      </c>
      <c r="AM10" s="279">
        <f ca="1"/>
        <v>5725.0015106393203</v>
      </c>
      <c r="AN10" s="272" t="str">
        <f ca="1"/>
        <v/>
      </c>
      <c r="AO10" s="272" t="str">
        <f ca="1"/>
        <v/>
      </c>
      <c r="AP10" s="280" t="str">
        <f ca="1"/>
        <v/>
      </c>
    </row>
    <row r="11" spans="2:42" x14ac:dyDescent="0.25">
      <c r="B11" s="205" t="s">
        <v>411</v>
      </c>
      <c r="C11" s="156" t="s">
        <v>280</v>
      </c>
      <c r="D11" s="156" t="s">
        <v>280</v>
      </c>
      <c r="E11" s="200"/>
      <c r="F11" s="200"/>
      <c r="G11" s="250" t="s">
        <v>409</v>
      </c>
      <c r="H11" s="251">
        <f ca="1">_xll.meLWOCreditDefaultSwapPV($H$6,CREDIT_MODEL,G11)</f>
        <v>108130.07775488406</v>
      </c>
      <c r="J11" s="281">
        <f ca="1"/>
        <v>44363</v>
      </c>
      <c r="K11" s="273">
        <f ca="1"/>
        <v>44454</v>
      </c>
      <c r="L11" s="272">
        <f ca="1"/>
        <v>91</v>
      </c>
      <c r="M11" s="282">
        <f ca="1"/>
        <v>0.25277777777777799</v>
      </c>
      <c r="N11" s="273">
        <f ca="1"/>
        <v>44454</v>
      </c>
      <c r="O11" s="279">
        <f ca="1"/>
        <v>1000000</v>
      </c>
      <c r="P11" s="279">
        <f ca="1"/>
        <v>0</v>
      </c>
      <c r="Q11" s="283">
        <f ca="1"/>
        <v>1</v>
      </c>
      <c r="R11" s="284">
        <f ca="1"/>
        <v>0.02</v>
      </c>
      <c r="S11" s="284">
        <f ca="1"/>
        <v>0.94386580206880599</v>
      </c>
      <c r="T11" s="285">
        <f ca="1"/>
        <v>9.3911978103068394E-3</v>
      </c>
      <c r="U11" s="279">
        <f ca="1"/>
        <v>4771.7659993478501</v>
      </c>
      <c r="V11" s="279">
        <f ca="1"/>
        <v>23.738861131608999</v>
      </c>
      <c r="W11" s="279">
        <f ca="1"/>
        <v>4795.5048604794601</v>
      </c>
      <c r="X11" s="286">
        <f ca="1"/>
        <v>1.0073036462296401</v>
      </c>
      <c r="Y11" s="287">
        <f ca="1"/>
        <v>4830.5295314729401</v>
      </c>
      <c r="AA11" s="281">
        <f ca="1"/>
        <v>44363</v>
      </c>
      <c r="AB11" s="273">
        <f ca="1"/>
        <v>44454</v>
      </c>
      <c r="AC11" s="272">
        <f ca="1"/>
        <v>91</v>
      </c>
      <c r="AD11" s="282">
        <f ca="1"/>
        <v>0.25277777777777799</v>
      </c>
      <c r="AE11" s="273">
        <f ca="1"/>
        <v>44454</v>
      </c>
      <c r="AF11" s="279">
        <f ca="1"/>
        <v>1000000</v>
      </c>
      <c r="AG11" s="279">
        <f ca="1"/>
        <v>0</v>
      </c>
      <c r="AH11" s="283">
        <f ca="1"/>
        <v>1</v>
      </c>
      <c r="AI11" s="285">
        <f ca="1"/>
        <v>0.94386580206880599</v>
      </c>
      <c r="AJ11" s="285">
        <f ca="1"/>
        <v>9.3911978103068394E-3</v>
      </c>
      <c r="AK11" s="279">
        <f ca="1"/>
        <v>5634.7186861841001</v>
      </c>
      <c r="AL11" s="286">
        <f ca="1"/>
        <v>1.0073036462296401</v>
      </c>
      <c r="AM11" s="279">
        <f ca="1"/>
        <v>5675.8726780715497</v>
      </c>
      <c r="AN11" s="272" t="str">
        <f ca="1"/>
        <v/>
      </c>
      <c r="AO11" s="272" t="str">
        <f ca="1"/>
        <v/>
      </c>
      <c r="AP11" s="280" t="str">
        <f ca="1"/>
        <v/>
      </c>
    </row>
    <row r="12" spans="2:42" x14ac:dyDescent="0.25">
      <c r="B12" s="205" t="s">
        <v>412</v>
      </c>
      <c r="C12" s="156" t="s">
        <v>285</v>
      </c>
      <c r="D12" s="156" t="s">
        <v>285</v>
      </c>
      <c r="E12" s="200"/>
      <c r="F12" s="200"/>
      <c r="G12" s="250" t="s">
        <v>453</v>
      </c>
      <c r="H12" s="251">
        <f ca="1">_xll.meLWOCreditDefaultSwapRiskyAnnuity($H$6,CREDIT_MODEL)</f>
        <v>4601279.9044658784</v>
      </c>
      <c r="J12" s="281">
        <f ca="1"/>
        <v>44454</v>
      </c>
      <c r="K12" s="273">
        <f ca="1"/>
        <v>44545</v>
      </c>
      <c r="L12" s="272">
        <f ca="1"/>
        <v>91</v>
      </c>
      <c r="M12" s="282">
        <f ca="1"/>
        <v>0.25277777777777799</v>
      </c>
      <c r="N12" s="273">
        <f ca="1"/>
        <v>44545</v>
      </c>
      <c r="O12" s="279">
        <f ca="1"/>
        <v>1000000</v>
      </c>
      <c r="P12" s="279">
        <f ca="1"/>
        <v>0</v>
      </c>
      <c r="Q12" s="283">
        <f ca="1"/>
        <v>1</v>
      </c>
      <c r="R12" s="284">
        <f ca="1"/>
        <v>0.02</v>
      </c>
      <c r="S12" s="284">
        <f ca="1"/>
        <v>0.93456712348083304</v>
      </c>
      <c r="T12" s="285">
        <f ca="1"/>
        <v>9.2986785879737299E-3</v>
      </c>
      <c r="U12" s="279">
        <f ca="1"/>
        <v>4724.7560131531</v>
      </c>
      <c r="V12" s="279">
        <f ca="1"/>
        <v>23.504993097378001</v>
      </c>
      <c r="W12" s="279">
        <f ca="1"/>
        <v>4748.26100625048</v>
      </c>
      <c r="X12" s="286">
        <f ca="1"/>
        <v>1.00857509009129</v>
      </c>
      <c r="Y12" s="287">
        <f ca="1"/>
        <v>4788.9777721560504</v>
      </c>
      <c r="AA12" s="281">
        <f ca="1"/>
        <v>44454</v>
      </c>
      <c r="AB12" s="273">
        <f ca="1"/>
        <v>44545</v>
      </c>
      <c r="AC12" s="272">
        <f ca="1"/>
        <v>91</v>
      </c>
      <c r="AD12" s="282">
        <f ca="1"/>
        <v>0.25277777777777799</v>
      </c>
      <c r="AE12" s="273">
        <f ca="1"/>
        <v>44545</v>
      </c>
      <c r="AF12" s="279">
        <f ca="1"/>
        <v>1000000</v>
      </c>
      <c r="AG12" s="279">
        <f ca="1"/>
        <v>0</v>
      </c>
      <c r="AH12" s="283">
        <f ca="1"/>
        <v>1</v>
      </c>
      <c r="AI12" s="285">
        <f ca="1"/>
        <v>0.93456712348083304</v>
      </c>
      <c r="AJ12" s="285">
        <f ca="1"/>
        <v>9.2986785879737299E-3</v>
      </c>
      <c r="AK12" s="279">
        <f ca="1"/>
        <v>5579.20715278424</v>
      </c>
      <c r="AL12" s="286">
        <f ca="1"/>
        <v>1.00857509009129</v>
      </c>
      <c r="AM12" s="279">
        <f ca="1"/>
        <v>5627.0493567573603</v>
      </c>
      <c r="AN12" s="272" t="str">
        <f ca="1"/>
        <v/>
      </c>
      <c r="AO12" s="272" t="str">
        <f ca="1"/>
        <v/>
      </c>
      <c r="AP12" s="280" t="str">
        <f ca="1"/>
        <v/>
      </c>
    </row>
    <row r="13" spans="2:42" x14ac:dyDescent="0.25">
      <c r="B13" s="205" t="s">
        <v>413</v>
      </c>
      <c r="C13" s="258" t="s">
        <v>470</v>
      </c>
      <c r="D13" s="156" t="s">
        <v>285</v>
      </c>
      <c r="E13" s="200"/>
      <c r="F13" s="200"/>
      <c r="G13" s="250" t="s">
        <v>454</v>
      </c>
      <c r="H13" s="252">
        <f ca="1">_xll.meLWOCreditDefaultSwapParSpread($H$6,CREDIT_MODEL)</f>
        <v>2.3499999999986074E-2</v>
      </c>
      <c r="J13" s="281">
        <f ca="1"/>
        <v>44545</v>
      </c>
      <c r="K13" s="273">
        <f ca="1"/>
        <v>44636</v>
      </c>
      <c r="L13" s="272">
        <f ca="1"/>
        <v>91</v>
      </c>
      <c r="M13" s="282">
        <f ca="1"/>
        <v>0.25277777777777799</v>
      </c>
      <c r="N13" s="273">
        <f ca="1"/>
        <v>44636</v>
      </c>
      <c r="O13" s="279">
        <f ca="1"/>
        <v>1000000</v>
      </c>
      <c r="P13" s="279">
        <f ca="1"/>
        <v>0</v>
      </c>
      <c r="Q13" s="283">
        <f ca="1"/>
        <v>1</v>
      </c>
      <c r="R13" s="284">
        <f ca="1"/>
        <v>0.02</v>
      </c>
      <c r="S13" s="284">
        <f ca="1"/>
        <v>0.92536005264397503</v>
      </c>
      <c r="T13" s="285">
        <f ca="1"/>
        <v>9.2070708368581205E-3</v>
      </c>
      <c r="U13" s="279">
        <f ca="1"/>
        <v>4678.2091550334299</v>
      </c>
      <c r="V13" s="279">
        <f ca="1"/>
        <v>23.273429059835799</v>
      </c>
      <c r="W13" s="279">
        <f ca="1"/>
        <v>4701.4825840932599</v>
      </c>
      <c r="X13" s="286">
        <f ca="1"/>
        <v>1.00982637755198</v>
      </c>
      <c r="Y13" s="287">
        <f ca="1"/>
        <v>4747.6811270185999</v>
      </c>
      <c r="AA13" s="281">
        <f ca="1"/>
        <v>44545</v>
      </c>
      <c r="AB13" s="273">
        <f ca="1"/>
        <v>44636</v>
      </c>
      <c r="AC13" s="272">
        <f ca="1"/>
        <v>91</v>
      </c>
      <c r="AD13" s="282">
        <f ca="1"/>
        <v>0.25277777777777799</v>
      </c>
      <c r="AE13" s="273">
        <f ca="1"/>
        <v>44636</v>
      </c>
      <c r="AF13" s="279">
        <f ca="1"/>
        <v>1000000</v>
      </c>
      <c r="AG13" s="279">
        <f ca="1"/>
        <v>0</v>
      </c>
      <c r="AH13" s="283">
        <f ca="1"/>
        <v>1</v>
      </c>
      <c r="AI13" s="285">
        <f ca="1"/>
        <v>0.92536005264397503</v>
      </c>
      <c r="AJ13" s="285">
        <f ca="1"/>
        <v>9.2070708368581205E-3</v>
      </c>
      <c r="AK13" s="279">
        <f ca="1"/>
        <v>5524.2425021148701</v>
      </c>
      <c r="AL13" s="286">
        <f ca="1"/>
        <v>1.00982637755198</v>
      </c>
      <c r="AM13" s="279">
        <f ca="1"/>
        <v>5578.5257946293204</v>
      </c>
      <c r="AN13" s="272" t="str">
        <f ca="1"/>
        <v/>
      </c>
      <c r="AO13" s="272" t="str">
        <f ca="1"/>
        <v/>
      </c>
      <c r="AP13" s="280" t="str">
        <f ca="1"/>
        <v/>
      </c>
    </row>
    <row r="14" spans="2:42" x14ac:dyDescent="0.25">
      <c r="B14" s="205" t="s">
        <v>414</v>
      </c>
      <c r="C14" s="156" t="s">
        <v>438</v>
      </c>
      <c r="D14" s="156" t="s">
        <v>438</v>
      </c>
      <c r="E14" s="200"/>
      <c r="F14" s="200"/>
      <c r="G14" s="250" t="s">
        <v>455</v>
      </c>
      <c r="H14" s="251">
        <f ca="1">_xll.meLWOCreditDefaultSwapCS01($H$6,CREDIT_MODEL)</f>
        <v>460.12799044658789</v>
      </c>
      <c r="J14" s="281">
        <f ca="1"/>
        <v>44636</v>
      </c>
      <c r="K14" s="273">
        <f ca="1"/>
        <v>44727</v>
      </c>
      <c r="L14" s="272">
        <f ca="1"/>
        <v>91</v>
      </c>
      <c r="M14" s="282">
        <f ca="1"/>
        <v>0.25277777777777799</v>
      </c>
      <c r="N14" s="273">
        <f ca="1"/>
        <v>44727</v>
      </c>
      <c r="O14" s="279">
        <f ca="1"/>
        <v>1000000</v>
      </c>
      <c r="P14" s="279">
        <f ca="1"/>
        <v>0</v>
      </c>
      <c r="Q14" s="283">
        <f ca="1"/>
        <v>1</v>
      </c>
      <c r="R14" s="284">
        <f ca="1"/>
        <v>0.02</v>
      </c>
      <c r="S14" s="284">
        <f ca="1"/>
        <v>0.91624368706655102</v>
      </c>
      <c r="T14" s="285">
        <f ca="1"/>
        <v>9.1163655774231193E-3</v>
      </c>
      <c r="U14" s="279">
        <f ca="1"/>
        <v>4632.1208623920102</v>
      </c>
      <c r="V14" s="279">
        <f ca="1"/>
        <v>23.044146320708499</v>
      </c>
      <c r="W14" s="279">
        <f ca="1"/>
        <v>4655.16500871272</v>
      </c>
      <c r="X14" s="286">
        <f ca="1"/>
        <v>1.0110623789376101</v>
      </c>
      <c r="Y14" s="287">
        <f ca="1"/>
        <v>4706.6622080561901</v>
      </c>
      <c r="AA14" s="281">
        <f ca="1"/>
        <v>44636</v>
      </c>
      <c r="AB14" s="273">
        <f ca="1"/>
        <v>44727</v>
      </c>
      <c r="AC14" s="272">
        <f ca="1"/>
        <v>91</v>
      </c>
      <c r="AD14" s="282">
        <f ca="1"/>
        <v>0.25277777777777799</v>
      </c>
      <c r="AE14" s="273">
        <f ca="1"/>
        <v>44727</v>
      </c>
      <c r="AF14" s="279">
        <f ca="1"/>
        <v>1000000</v>
      </c>
      <c r="AG14" s="279">
        <f ca="1"/>
        <v>0</v>
      </c>
      <c r="AH14" s="283">
        <f ca="1"/>
        <v>1</v>
      </c>
      <c r="AI14" s="285">
        <f ca="1"/>
        <v>0.91624368706655102</v>
      </c>
      <c r="AJ14" s="285">
        <f ca="1"/>
        <v>9.1163655774231193E-3</v>
      </c>
      <c r="AK14" s="279">
        <f ca="1"/>
        <v>5469.8193464538699</v>
      </c>
      <c r="AL14" s="286">
        <f ca="1"/>
        <v>1.0110623789376101</v>
      </c>
      <c r="AM14" s="279">
        <f ca="1"/>
        <v>5530.3285607846101</v>
      </c>
      <c r="AN14" s="272" t="str">
        <f ca="1"/>
        <v/>
      </c>
      <c r="AO14" s="272" t="str">
        <f ca="1"/>
        <v/>
      </c>
      <c r="AP14" s="280" t="str">
        <f ca="1"/>
        <v/>
      </c>
    </row>
    <row r="15" spans="2:42" x14ac:dyDescent="0.25">
      <c r="B15" s="205" t="s">
        <v>415</v>
      </c>
      <c r="C15" s="156" t="s">
        <v>258</v>
      </c>
      <c r="D15" s="156" t="s">
        <v>258</v>
      </c>
      <c r="E15" s="200"/>
      <c r="F15" s="200"/>
      <c r="J15" s="281">
        <f ca="1"/>
        <v>44727</v>
      </c>
      <c r="K15" s="273">
        <f ca="1"/>
        <v>44825</v>
      </c>
      <c r="L15" s="272">
        <f ca="1"/>
        <v>98</v>
      </c>
      <c r="M15" s="282">
        <f ca="1"/>
        <v>0.27222222222222198</v>
      </c>
      <c r="N15" s="273">
        <f ca="1"/>
        <v>44825</v>
      </c>
      <c r="O15" s="279">
        <f ca="1"/>
        <v>1000000</v>
      </c>
      <c r="P15" s="279">
        <f ca="1"/>
        <v>0</v>
      </c>
      <c r="Q15" s="283">
        <f ca="1"/>
        <v>1</v>
      </c>
      <c r="R15" s="284">
        <f ca="1"/>
        <v>0.02</v>
      </c>
      <c r="S15" s="284">
        <f ca="1"/>
        <v>0.90652647742619097</v>
      </c>
      <c r="T15" s="285">
        <f ca="1"/>
        <v>9.7172096403602692E-3</v>
      </c>
      <c r="U15" s="279">
        <f ca="1"/>
        <v>4935.5330437648199</v>
      </c>
      <c r="V15" s="279">
        <f ca="1"/>
        <v>26.452404020980701</v>
      </c>
      <c r="W15" s="279">
        <f ca="1"/>
        <v>4961.9854477857998</v>
      </c>
      <c r="X15" s="286">
        <f ca="1"/>
        <v>1.01237208947155</v>
      </c>
      <c r="Y15" s="287">
        <f ca="1"/>
        <v>5023.37557570236</v>
      </c>
      <c r="AA15" s="281">
        <f ca="1"/>
        <v>44727</v>
      </c>
      <c r="AB15" s="273">
        <f ca="1"/>
        <v>44825</v>
      </c>
      <c r="AC15" s="272">
        <f ca="1"/>
        <v>98</v>
      </c>
      <c r="AD15" s="282">
        <f ca="1"/>
        <v>0.27222222222222198</v>
      </c>
      <c r="AE15" s="273">
        <f ca="1"/>
        <v>44825</v>
      </c>
      <c r="AF15" s="279">
        <f ca="1"/>
        <v>1000000</v>
      </c>
      <c r="AG15" s="279">
        <f ca="1"/>
        <v>0</v>
      </c>
      <c r="AH15" s="283">
        <f ca="1"/>
        <v>1</v>
      </c>
      <c r="AI15" s="285">
        <f ca="1"/>
        <v>0.90652647742619097</v>
      </c>
      <c r="AJ15" s="285">
        <f ca="1"/>
        <v>9.7172096403602692E-3</v>
      </c>
      <c r="AK15" s="279">
        <f ca="1"/>
        <v>5830.3257842161602</v>
      </c>
      <c r="AL15" s="286">
        <f ca="1"/>
        <v>1.01237208947155</v>
      </c>
      <c r="AM15" s="279">
        <f ca="1"/>
        <v>5902.4590964667996</v>
      </c>
      <c r="AN15" s="272" t="str">
        <f ca="1"/>
        <v/>
      </c>
      <c r="AO15" s="272" t="str">
        <f ca="1"/>
        <v/>
      </c>
      <c r="AP15" s="280" t="str">
        <f ca="1"/>
        <v/>
      </c>
    </row>
    <row r="16" spans="2:42" x14ac:dyDescent="0.25">
      <c r="B16" s="205" t="s">
        <v>416</v>
      </c>
      <c r="C16" s="236" t="s">
        <v>258</v>
      </c>
      <c r="D16" s="236" t="s">
        <v>258</v>
      </c>
      <c r="E16" s="200"/>
      <c r="F16" s="200"/>
      <c r="J16" s="281">
        <f ca="1"/>
        <v>44825</v>
      </c>
      <c r="K16" s="273">
        <f ca="1"/>
        <v>44916</v>
      </c>
      <c r="L16" s="272">
        <f ca="1"/>
        <v>91</v>
      </c>
      <c r="M16" s="282">
        <f ca="1"/>
        <v>0.25277777777777799</v>
      </c>
      <c r="N16" s="273">
        <f ca="1"/>
        <v>44916</v>
      </c>
      <c r="O16" s="279">
        <f ca="1"/>
        <v>1000000</v>
      </c>
      <c r="P16" s="279">
        <f ca="1"/>
        <v>0</v>
      </c>
      <c r="Q16" s="283">
        <f ca="1"/>
        <v>1</v>
      </c>
      <c r="R16" s="284">
        <f ca="1"/>
        <v>0.02</v>
      </c>
      <c r="S16" s="284">
        <f ca="1"/>
        <v>0.89759565449924705</v>
      </c>
      <c r="T16" s="285">
        <f ca="1"/>
        <v>8.9308229269437992E-3</v>
      </c>
      <c r="U16" s="279">
        <f ca="1"/>
        <v>4537.8446977461999</v>
      </c>
      <c r="V16" s="279">
        <f ca="1"/>
        <v>22.575135731996799</v>
      </c>
      <c r="W16" s="279">
        <f ca="1"/>
        <v>4560.4198334781904</v>
      </c>
      <c r="X16" s="286">
        <f ca="1"/>
        <v>1.01355669691454</v>
      </c>
      <c r="Y16" s="287">
        <f ca="1"/>
        <v>4622.2440629637003</v>
      </c>
      <c r="AA16" s="281">
        <f ca="1"/>
        <v>44825</v>
      </c>
      <c r="AB16" s="273">
        <f ca="1"/>
        <v>44916</v>
      </c>
      <c r="AC16" s="272">
        <f ca="1"/>
        <v>91</v>
      </c>
      <c r="AD16" s="282">
        <f ca="1"/>
        <v>0.25277777777777799</v>
      </c>
      <c r="AE16" s="273">
        <f ca="1"/>
        <v>44916</v>
      </c>
      <c r="AF16" s="279">
        <f ca="1"/>
        <v>1000000</v>
      </c>
      <c r="AG16" s="279">
        <f ca="1"/>
        <v>0</v>
      </c>
      <c r="AH16" s="283">
        <f ca="1"/>
        <v>1</v>
      </c>
      <c r="AI16" s="285">
        <f ca="1"/>
        <v>0.89759565449924705</v>
      </c>
      <c r="AJ16" s="285">
        <f ca="1"/>
        <v>8.9308229269437992E-3</v>
      </c>
      <c r="AK16" s="279">
        <f ca="1"/>
        <v>5358.49375616628</v>
      </c>
      <c r="AL16" s="286">
        <f ca="1"/>
        <v>1.01355669691454</v>
      </c>
      <c r="AM16" s="279">
        <f ca="1"/>
        <v>5431.1372319370603</v>
      </c>
      <c r="AN16" s="272" t="str">
        <f ca="1"/>
        <v/>
      </c>
      <c r="AO16" s="272" t="str">
        <f ca="1"/>
        <v/>
      </c>
      <c r="AP16" s="280" t="str">
        <f ca="1"/>
        <v/>
      </c>
    </row>
    <row r="17" spans="2:42" x14ac:dyDescent="0.25">
      <c r="B17" s="205" t="s">
        <v>417</v>
      </c>
      <c r="C17" s="236" t="s">
        <v>286</v>
      </c>
      <c r="D17" s="236" t="s">
        <v>286</v>
      </c>
      <c r="E17" s="200"/>
      <c r="F17" s="200"/>
      <c r="J17" s="281">
        <f ca="1"/>
        <v>44916</v>
      </c>
      <c r="K17" s="273">
        <f ca="1"/>
        <v>45000</v>
      </c>
      <c r="L17" s="272">
        <f ca="1"/>
        <v>84</v>
      </c>
      <c r="M17" s="282">
        <f ca="1"/>
        <v>0.233333333333333</v>
      </c>
      <c r="N17" s="273">
        <f ca="1"/>
        <v>45000</v>
      </c>
      <c r="O17" s="279">
        <f ca="1"/>
        <v>1000000</v>
      </c>
      <c r="P17" s="279">
        <f ca="1"/>
        <v>0</v>
      </c>
      <c r="Q17" s="283">
        <f ca="1"/>
        <v>1</v>
      </c>
      <c r="R17" s="284">
        <f ca="1"/>
        <v>0.02</v>
      </c>
      <c r="S17" s="284">
        <f ca="1"/>
        <v>0.88942992981549995</v>
      </c>
      <c r="T17" s="285">
        <f ca="1"/>
        <v>8.1657246837477694E-3</v>
      </c>
      <c r="U17" s="279">
        <f ca="1"/>
        <v>4150.6730058056701</v>
      </c>
      <c r="V17" s="279">
        <f ca="1"/>
        <v>19.053357595411502</v>
      </c>
      <c r="W17" s="279">
        <f ca="1"/>
        <v>4169.7263634010797</v>
      </c>
      <c r="X17" s="286">
        <f ca="1"/>
        <v>1.01461118076079</v>
      </c>
      <c r="Y17" s="287">
        <f ca="1"/>
        <v>4230.6509890197603</v>
      </c>
      <c r="AA17" s="281">
        <f ca="1"/>
        <v>44916</v>
      </c>
      <c r="AB17" s="273">
        <f ca="1"/>
        <v>45000</v>
      </c>
      <c r="AC17" s="272">
        <f ca="1"/>
        <v>84</v>
      </c>
      <c r="AD17" s="282">
        <f ca="1"/>
        <v>0.233333333333333</v>
      </c>
      <c r="AE17" s="273">
        <f ca="1"/>
        <v>45000</v>
      </c>
      <c r="AF17" s="279">
        <f ca="1"/>
        <v>1000000</v>
      </c>
      <c r="AG17" s="279">
        <f ca="1"/>
        <v>0</v>
      </c>
      <c r="AH17" s="283">
        <f ca="1"/>
        <v>1</v>
      </c>
      <c r="AI17" s="285">
        <f ca="1"/>
        <v>0.88942992981549995</v>
      </c>
      <c r="AJ17" s="285">
        <f ca="1"/>
        <v>8.1657246837477694E-3</v>
      </c>
      <c r="AK17" s="279">
        <f ca="1"/>
        <v>4899.4348102486601</v>
      </c>
      <c r="AL17" s="286">
        <f ca="1"/>
        <v>1.01461118076079</v>
      </c>
      <c r="AM17" s="279">
        <f ca="1"/>
        <v>4971.0213378869103</v>
      </c>
      <c r="AN17" s="272" t="str">
        <f ca="1"/>
        <v/>
      </c>
      <c r="AO17" s="272" t="str">
        <f ca="1"/>
        <v/>
      </c>
      <c r="AP17" s="280" t="str">
        <f ca="1"/>
        <v/>
      </c>
    </row>
    <row r="18" spans="2:42" x14ac:dyDescent="0.25">
      <c r="B18" s="205" t="s">
        <v>418</v>
      </c>
      <c r="C18" s="236" t="s">
        <v>294</v>
      </c>
      <c r="D18" s="236" t="s">
        <v>294</v>
      </c>
      <c r="E18" s="200"/>
      <c r="F18" s="200"/>
      <c r="J18" s="281">
        <f ca="1"/>
        <v>45000</v>
      </c>
      <c r="K18" s="273">
        <f ca="1"/>
        <v>45098</v>
      </c>
      <c r="L18" s="272">
        <f ca="1"/>
        <v>98</v>
      </c>
      <c r="M18" s="282">
        <f ca="1"/>
        <v>0.27222222222222198</v>
      </c>
      <c r="N18" s="273">
        <f ca="1"/>
        <v>45098</v>
      </c>
      <c r="O18" s="279">
        <f ca="1"/>
        <v>1000000</v>
      </c>
      <c r="P18" s="279">
        <f ca="1"/>
        <v>0</v>
      </c>
      <c r="Q18" s="283">
        <f ca="1"/>
        <v>1</v>
      </c>
      <c r="R18" s="284">
        <f ca="1"/>
        <v>0.02</v>
      </c>
      <c r="S18" s="284">
        <f ca="1"/>
        <v>0.87999709310357799</v>
      </c>
      <c r="T18" s="285">
        <f ca="1"/>
        <v>9.4328367119220803E-3</v>
      </c>
      <c r="U18" s="279">
        <f ca="1"/>
        <v>4791.0952846750297</v>
      </c>
      <c r="V18" s="279">
        <f ca="1"/>
        <v>25.6782777157879</v>
      </c>
      <c r="W18" s="279">
        <f ca="1"/>
        <v>4816.7735623908202</v>
      </c>
      <c r="X18" s="286">
        <f ca="1"/>
        <v>1.0157779004616101</v>
      </c>
      <c r="Y18" s="287">
        <f ca="1"/>
        <v>4892.7721362043303</v>
      </c>
      <c r="AA18" s="281">
        <f ca="1"/>
        <v>45000</v>
      </c>
      <c r="AB18" s="273">
        <f ca="1"/>
        <v>45098</v>
      </c>
      <c r="AC18" s="272">
        <f ca="1"/>
        <v>98</v>
      </c>
      <c r="AD18" s="282">
        <f ca="1"/>
        <v>0.27222222222222198</v>
      </c>
      <c r="AE18" s="273">
        <f ca="1"/>
        <v>45098</v>
      </c>
      <c r="AF18" s="279">
        <f ca="1"/>
        <v>1000000</v>
      </c>
      <c r="AG18" s="279">
        <f ca="1"/>
        <v>0</v>
      </c>
      <c r="AH18" s="283">
        <f ca="1"/>
        <v>1</v>
      </c>
      <c r="AI18" s="285">
        <f ca="1"/>
        <v>0.87999709310357799</v>
      </c>
      <c r="AJ18" s="285">
        <f ca="1"/>
        <v>9.4328367119220803E-3</v>
      </c>
      <c r="AK18" s="279">
        <f ca="1"/>
        <v>5659.7020271532501</v>
      </c>
      <c r="AL18" s="286">
        <f ca="1"/>
        <v>1.0157779004616101</v>
      </c>
      <c r="AM18" s="279">
        <f ca="1"/>
        <v>5749.0002423800397</v>
      </c>
      <c r="AN18" s="272" t="str">
        <f ca="1"/>
        <v/>
      </c>
      <c r="AO18" s="272" t="str">
        <f ca="1"/>
        <v/>
      </c>
      <c r="AP18" s="280" t="str">
        <f ca="1"/>
        <v/>
      </c>
    </row>
    <row r="19" spans="2:42" x14ac:dyDescent="0.25">
      <c r="B19" s="205" t="s">
        <v>419</v>
      </c>
      <c r="C19" s="236" t="s">
        <v>270</v>
      </c>
      <c r="D19" s="236" t="s">
        <v>270</v>
      </c>
      <c r="E19" s="200"/>
      <c r="F19" s="200"/>
      <c r="J19" s="281">
        <f ca="1"/>
        <v>45098</v>
      </c>
      <c r="K19" s="273">
        <f ca="1"/>
        <v>45189</v>
      </c>
      <c r="L19" s="272">
        <f ca="1"/>
        <v>91</v>
      </c>
      <c r="M19" s="282">
        <f ca="1"/>
        <v>0.25277777777777799</v>
      </c>
      <c r="N19" s="273">
        <f ca="1"/>
        <v>45189</v>
      </c>
      <c r="O19" s="279">
        <f ca="1"/>
        <v>1000000</v>
      </c>
      <c r="P19" s="279">
        <f ca="1"/>
        <v>0</v>
      </c>
      <c r="Q19" s="283">
        <f ca="1"/>
        <v>1</v>
      </c>
      <c r="R19" s="284">
        <f ca="1"/>
        <v>0.02</v>
      </c>
      <c r="S19" s="284">
        <f ca="1"/>
        <v>0.87132762959596199</v>
      </c>
      <c r="T19" s="285">
        <f ca="1"/>
        <v>8.6694635076152195E-3</v>
      </c>
      <c r="U19" s="279">
        <f ca="1"/>
        <v>4405.0452385129202</v>
      </c>
      <c r="V19" s="279">
        <f ca="1"/>
        <v>21.914477199805098</v>
      </c>
      <c r="W19" s="279">
        <f ca="1"/>
        <v>4426.95971571273</v>
      </c>
      <c r="X19" s="286">
        <f ca="1"/>
        <v>1.01679068895613</v>
      </c>
      <c r="Y19" s="287">
        <f ca="1"/>
        <v>4501.2914193205897</v>
      </c>
      <c r="AA19" s="281">
        <f ca="1"/>
        <v>45098</v>
      </c>
      <c r="AB19" s="273">
        <f ca="1"/>
        <v>45189</v>
      </c>
      <c r="AC19" s="272">
        <f ca="1"/>
        <v>91</v>
      </c>
      <c r="AD19" s="282">
        <f ca="1"/>
        <v>0.25277777777777799</v>
      </c>
      <c r="AE19" s="273">
        <f ca="1"/>
        <v>45189</v>
      </c>
      <c r="AF19" s="279">
        <f ca="1"/>
        <v>1000000</v>
      </c>
      <c r="AG19" s="279">
        <f ca="1"/>
        <v>0</v>
      </c>
      <c r="AH19" s="283">
        <f ca="1"/>
        <v>1</v>
      </c>
      <c r="AI19" s="285">
        <f ca="1"/>
        <v>0.87132762959596199</v>
      </c>
      <c r="AJ19" s="285">
        <f ca="1"/>
        <v>8.6694635076152195E-3</v>
      </c>
      <c r="AK19" s="279">
        <f ca="1"/>
        <v>5201.6781045691296</v>
      </c>
      <c r="AL19" s="286">
        <f ca="1"/>
        <v>1.01679068895613</v>
      </c>
      <c r="AM19" s="279">
        <f ca="1"/>
        <v>5289.0178636728797</v>
      </c>
      <c r="AN19" s="272" t="str">
        <f ca="1"/>
        <v/>
      </c>
      <c r="AO19" s="272" t="str">
        <f ca="1"/>
        <v/>
      </c>
      <c r="AP19" s="280" t="str">
        <f ca="1"/>
        <v/>
      </c>
    </row>
    <row r="20" spans="2:42" x14ac:dyDescent="0.25">
      <c r="B20" s="205" t="s">
        <v>420</v>
      </c>
      <c r="C20" s="236" t="s">
        <v>273</v>
      </c>
      <c r="D20" s="236" t="s">
        <v>273</v>
      </c>
      <c r="E20" s="200"/>
      <c r="F20" s="200"/>
      <c r="J20" s="281">
        <f ca="1"/>
        <v>45189</v>
      </c>
      <c r="K20" s="273">
        <f ca="1"/>
        <v>45280</v>
      </c>
      <c r="L20" s="272">
        <f ca="1"/>
        <v>91</v>
      </c>
      <c r="M20" s="282">
        <f ca="1"/>
        <v>0.25277777777777799</v>
      </c>
      <c r="N20" s="273">
        <f ca="1"/>
        <v>45280</v>
      </c>
      <c r="O20" s="279">
        <f ca="1"/>
        <v>1000000</v>
      </c>
      <c r="P20" s="279">
        <f ca="1"/>
        <v>0</v>
      </c>
      <c r="Q20" s="283">
        <f ca="1"/>
        <v>1</v>
      </c>
      <c r="R20" s="284">
        <f ca="1"/>
        <v>0.02</v>
      </c>
      <c r="S20" s="284">
        <f ca="1"/>
        <v>0.862743575004012</v>
      </c>
      <c r="T20" s="285">
        <f ca="1"/>
        <v>8.58405459195055E-3</v>
      </c>
      <c r="U20" s="279">
        <f ca="1"/>
        <v>4361.6480736313897</v>
      </c>
      <c r="V20" s="279">
        <f ca="1"/>
        <v>21.6985824407639</v>
      </c>
      <c r="W20" s="279">
        <f ca="1"/>
        <v>4383.3466560721599</v>
      </c>
      <c r="X20" s="286">
        <f ca="1"/>
        <v>1.01773034463045</v>
      </c>
      <c r="Y20" s="287">
        <f ca="1"/>
        <v>4461.0649029190599</v>
      </c>
      <c r="AA20" s="281">
        <f ca="1"/>
        <v>45189</v>
      </c>
      <c r="AB20" s="273">
        <f ca="1"/>
        <v>45280</v>
      </c>
      <c r="AC20" s="272">
        <f ca="1"/>
        <v>91</v>
      </c>
      <c r="AD20" s="282">
        <f ca="1"/>
        <v>0.25277777777777799</v>
      </c>
      <c r="AE20" s="273">
        <f ca="1"/>
        <v>45280</v>
      </c>
      <c r="AF20" s="279">
        <f ca="1"/>
        <v>1000000</v>
      </c>
      <c r="AG20" s="279">
        <f ca="1"/>
        <v>0</v>
      </c>
      <c r="AH20" s="283">
        <f ca="1"/>
        <v>1</v>
      </c>
      <c r="AI20" s="285">
        <f ca="1"/>
        <v>0.862743575004012</v>
      </c>
      <c r="AJ20" s="285">
        <f ca="1"/>
        <v>8.58405459195055E-3</v>
      </c>
      <c r="AK20" s="279">
        <f ca="1"/>
        <v>5150.43275517033</v>
      </c>
      <c r="AL20" s="286">
        <f ca="1"/>
        <v>1.01773034463045</v>
      </c>
      <c r="AM20" s="279">
        <f ca="1"/>
        <v>5241.7517029154797</v>
      </c>
      <c r="AN20" s="272" t="str">
        <f ca="1"/>
        <v/>
      </c>
      <c r="AO20" s="272" t="str">
        <f ca="1"/>
        <v/>
      </c>
      <c r="AP20" s="280" t="str">
        <f ca="1"/>
        <v/>
      </c>
    </row>
    <row r="21" spans="2:42" x14ac:dyDescent="0.25">
      <c r="B21" s="205" t="s">
        <v>421</v>
      </c>
      <c r="C21" s="236" t="s">
        <v>286</v>
      </c>
      <c r="D21" s="236" t="s">
        <v>286</v>
      </c>
      <c r="E21" s="200"/>
      <c r="F21" s="200"/>
      <c r="J21" s="281">
        <f ca="1"/>
        <v>45280</v>
      </c>
      <c r="K21" s="273">
        <f ca="1"/>
        <v>45371</v>
      </c>
      <c r="L21" s="272">
        <f ca="1"/>
        <v>91</v>
      </c>
      <c r="M21" s="282">
        <f ca="1"/>
        <v>0.25277777777777799</v>
      </c>
      <c r="N21" s="273">
        <f ca="1"/>
        <v>45371</v>
      </c>
      <c r="O21" s="279">
        <f ca="1"/>
        <v>1000000</v>
      </c>
      <c r="P21" s="279">
        <f ca="1"/>
        <v>0</v>
      </c>
      <c r="Q21" s="283">
        <f ca="1"/>
        <v>1</v>
      </c>
      <c r="R21" s="284">
        <f ca="1"/>
        <v>0.02</v>
      </c>
      <c r="S21" s="284">
        <f ca="1"/>
        <v>0.85424408790508499</v>
      </c>
      <c r="T21" s="285">
        <f ca="1"/>
        <v>8.4994870989264504E-3</v>
      </c>
      <c r="U21" s="279">
        <f ca="1"/>
        <v>4318.6784444090399</v>
      </c>
      <c r="V21" s="279">
        <f ca="1"/>
        <v>21.484814611175199</v>
      </c>
      <c r="W21" s="279">
        <f ca="1"/>
        <v>4340.1632590202198</v>
      </c>
      <c r="X21" s="286">
        <f ca="1"/>
        <v>1.0185932073567301</v>
      </c>
      <c r="Y21" s="287">
        <f ca="1"/>
        <v>4420.8608144572299</v>
      </c>
      <c r="AA21" s="281">
        <f ca="1"/>
        <v>45280</v>
      </c>
      <c r="AB21" s="273">
        <f ca="1"/>
        <v>45371</v>
      </c>
      <c r="AC21" s="272">
        <f ca="1"/>
        <v>91</v>
      </c>
      <c r="AD21" s="282">
        <f ca="1"/>
        <v>0.25277777777777799</v>
      </c>
      <c r="AE21" s="273">
        <f ca="1"/>
        <v>45371</v>
      </c>
      <c r="AF21" s="279">
        <f ca="1"/>
        <v>1000000</v>
      </c>
      <c r="AG21" s="279">
        <f ca="1"/>
        <v>0</v>
      </c>
      <c r="AH21" s="283">
        <f ca="1"/>
        <v>1</v>
      </c>
      <c r="AI21" s="285">
        <f ca="1"/>
        <v>0.85424408790508499</v>
      </c>
      <c r="AJ21" s="285">
        <f ca="1"/>
        <v>8.4994870989264504E-3</v>
      </c>
      <c r="AK21" s="279">
        <f ca="1"/>
        <v>5099.6922593558702</v>
      </c>
      <c r="AL21" s="286">
        <f ca="1"/>
        <v>1.0185932073567301</v>
      </c>
      <c r="AM21" s="279">
        <f ca="1"/>
        <v>5194.5118949895796</v>
      </c>
      <c r="AN21" s="272" t="str">
        <f ca="1"/>
        <v/>
      </c>
      <c r="AO21" s="272" t="str">
        <f ca="1"/>
        <v/>
      </c>
      <c r="AP21" s="280" t="str">
        <f ca="1"/>
        <v/>
      </c>
    </row>
    <row r="22" spans="2:42" x14ac:dyDescent="0.25">
      <c r="B22" s="205" t="s">
        <v>422</v>
      </c>
      <c r="C22" s="236" t="s">
        <v>294</v>
      </c>
      <c r="D22" s="236" t="s">
        <v>294</v>
      </c>
      <c r="E22" s="200"/>
      <c r="F22" s="200"/>
      <c r="J22" s="281">
        <f ca="1"/>
        <v>45371</v>
      </c>
      <c r="K22" s="273">
        <f ca="1"/>
        <v>45462</v>
      </c>
      <c r="L22" s="272">
        <f ca="1"/>
        <v>91</v>
      </c>
      <c r="M22" s="282">
        <f ca="1"/>
        <v>0.25277777777777799</v>
      </c>
      <c r="N22" s="273">
        <f ca="1"/>
        <v>45462</v>
      </c>
      <c r="O22" s="279">
        <f ca="1"/>
        <v>1000000</v>
      </c>
      <c r="P22" s="279">
        <f ca="1"/>
        <v>0</v>
      </c>
      <c r="Q22" s="283">
        <f ca="1"/>
        <v>1</v>
      </c>
      <c r="R22" s="284">
        <f ca="1"/>
        <v>0.02</v>
      </c>
      <c r="S22" s="284">
        <f ca="1"/>
        <v>0.84582833516598199</v>
      </c>
      <c r="T22" s="285">
        <f ca="1"/>
        <v>8.4157527391031106E-3</v>
      </c>
      <c r="U22" s="279">
        <f ca="1"/>
        <v>4276.1321388946899</v>
      </c>
      <c r="V22" s="279">
        <f ca="1"/>
        <v>21.2731527571773</v>
      </c>
      <c r="W22" s="279">
        <f ca="1"/>
        <v>4297.4052916518704</v>
      </c>
      <c r="X22" s="286">
        <f ca="1"/>
        <v>1.0193777476280601</v>
      </c>
      <c r="Y22" s="287">
        <f ca="1"/>
        <v>4380.6793268489801</v>
      </c>
      <c r="AA22" s="281">
        <f ca="1"/>
        <v>45371</v>
      </c>
      <c r="AB22" s="273">
        <f ca="1"/>
        <v>45462</v>
      </c>
      <c r="AC22" s="272">
        <f ca="1"/>
        <v>91</v>
      </c>
      <c r="AD22" s="282">
        <f ca="1"/>
        <v>0.25277777777777799</v>
      </c>
      <c r="AE22" s="273">
        <f ca="1"/>
        <v>45462</v>
      </c>
      <c r="AF22" s="279">
        <f ca="1"/>
        <v>1000000</v>
      </c>
      <c r="AG22" s="279">
        <f ca="1"/>
        <v>0</v>
      </c>
      <c r="AH22" s="283">
        <f ca="1"/>
        <v>1</v>
      </c>
      <c r="AI22" s="285">
        <f ca="1"/>
        <v>0.84582833516598199</v>
      </c>
      <c r="AJ22" s="285">
        <f ca="1"/>
        <v>8.4157527391031106E-3</v>
      </c>
      <c r="AK22" s="279">
        <f ca="1"/>
        <v>5049.4516434618699</v>
      </c>
      <c r="AL22" s="286">
        <f ca="1"/>
        <v>1.0193777476280601</v>
      </c>
      <c r="AM22" s="279">
        <f ca="1"/>
        <v>5147.2986430689598</v>
      </c>
      <c r="AN22" s="272" t="str">
        <f ca="1"/>
        <v/>
      </c>
      <c r="AO22" s="272" t="str">
        <f ca="1"/>
        <v/>
      </c>
      <c r="AP22" s="280" t="str">
        <f ca="1"/>
        <v/>
      </c>
    </row>
    <row r="23" spans="2:42" x14ac:dyDescent="0.25">
      <c r="B23" s="205" t="s">
        <v>423</v>
      </c>
      <c r="C23" s="236" t="s">
        <v>270</v>
      </c>
      <c r="D23" s="236" t="s">
        <v>270</v>
      </c>
      <c r="E23" s="200"/>
      <c r="F23" s="200"/>
      <c r="J23" s="281">
        <f ca="1"/>
        <v>45462</v>
      </c>
      <c r="K23" s="273">
        <f ca="1"/>
        <v>45553</v>
      </c>
      <c r="L23" s="272">
        <f ca="1"/>
        <v>91</v>
      </c>
      <c r="M23" s="282">
        <f ca="1"/>
        <v>0.25277777777777799</v>
      </c>
      <c r="N23" s="273">
        <f ca="1"/>
        <v>45553</v>
      </c>
      <c r="O23" s="279">
        <f ca="1"/>
        <v>1000000</v>
      </c>
      <c r="P23" s="279">
        <f ca="1"/>
        <v>0</v>
      </c>
      <c r="Q23" s="283">
        <f ca="1"/>
        <v>1</v>
      </c>
      <c r="R23" s="284">
        <f ca="1"/>
        <v>0.02</v>
      </c>
      <c r="S23" s="284">
        <f ca="1"/>
        <v>0.83749549186127703</v>
      </c>
      <c r="T23" s="285">
        <f ca="1"/>
        <v>8.3328433047053004E-3</v>
      </c>
      <c r="U23" s="279">
        <f ca="1"/>
        <v>4234.0049866320096</v>
      </c>
      <c r="V23" s="279">
        <f ca="1"/>
        <v>21.063576131338401</v>
      </c>
      <c r="W23" s="279">
        <f ca="1"/>
        <v>4255.0685627633502</v>
      </c>
      <c r="X23" s="286">
        <f ca="1"/>
        <v>1.02009109494971</v>
      </c>
      <c r="Y23" s="287">
        <f ca="1"/>
        <v>4340.5575492753596</v>
      </c>
      <c r="AA23" s="281">
        <f ca="1"/>
        <v>45462</v>
      </c>
      <c r="AB23" s="273">
        <f ca="1"/>
        <v>45553</v>
      </c>
      <c r="AC23" s="272">
        <f ca="1"/>
        <v>91</v>
      </c>
      <c r="AD23" s="282">
        <f ca="1"/>
        <v>0.25277777777777799</v>
      </c>
      <c r="AE23" s="273">
        <f ca="1"/>
        <v>45553</v>
      </c>
      <c r="AF23" s="279">
        <f ca="1"/>
        <v>1000000</v>
      </c>
      <c r="AG23" s="279">
        <f ca="1"/>
        <v>0</v>
      </c>
      <c r="AH23" s="283">
        <f ca="1"/>
        <v>1</v>
      </c>
      <c r="AI23" s="285">
        <f ca="1"/>
        <v>0.83749549186127703</v>
      </c>
      <c r="AJ23" s="285">
        <f ca="1"/>
        <v>8.3328433047053004E-3</v>
      </c>
      <c r="AK23" s="279">
        <f ca="1"/>
        <v>4999.7059828231804</v>
      </c>
      <c r="AL23" s="286">
        <f ca="1"/>
        <v>1.02009109494971</v>
      </c>
      <c r="AM23" s="279">
        <f ca="1"/>
        <v>5100.1555504447097</v>
      </c>
      <c r="AN23" s="272" t="str">
        <f ca="1"/>
        <v/>
      </c>
      <c r="AO23" s="272" t="str">
        <f ca="1"/>
        <v/>
      </c>
      <c r="AP23" s="280" t="str">
        <f ca="1"/>
        <v/>
      </c>
    </row>
    <row r="24" spans="2:42" x14ac:dyDescent="0.25">
      <c r="B24" s="205" t="s">
        <v>424</v>
      </c>
      <c r="C24" s="236" t="s">
        <v>425</v>
      </c>
      <c r="D24" s="236" t="s">
        <v>425</v>
      </c>
      <c r="E24" s="200"/>
      <c r="F24" s="200"/>
      <c r="J24" s="281">
        <f ca="1"/>
        <v>45553</v>
      </c>
      <c r="K24" s="273">
        <f ca="1"/>
        <v>45644</v>
      </c>
      <c r="L24" s="272">
        <f ca="1"/>
        <v>91</v>
      </c>
      <c r="M24" s="282">
        <f ca="1"/>
        <v>0.25277777777777799</v>
      </c>
      <c r="N24" s="273">
        <f ca="1"/>
        <v>45644</v>
      </c>
      <c r="O24" s="279">
        <f ca="1"/>
        <v>1000000</v>
      </c>
      <c r="P24" s="279">
        <f ca="1"/>
        <v>0</v>
      </c>
      <c r="Q24" s="283">
        <f ca="1"/>
        <v>1</v>
      </c>
      <c r="R24" s="284">
        <f ca="1"/>
        <v>0.02</v>
      </c>
      <c r="S24" s="284">
        <f ca="1"/>
        <v>0.82924474119245695</v>
      </c>
      <c r="T24" s="285">
        <f ca="1"/>
        <v>8.2507506688195304E-3</v>
      </c>
      <c r="U24" s="279">
        <f ca="1"/>
        <v>4192.2928582507602</v>
      </c>
      <c r="V24" s="279">
        <f ca="1"/>
        <v>20.856064190627102</v>
      </c>
      <c r="W24" s="279">
        <f ca="1"/>
        <v>4213.1489224413799</v>
      </c>
      <c r="X24" s="286">
        <f ca="1"/>
        <v>1.0207469117127099</v>
      </c>
      <c r="Y24" s="287">
        <f ca="1"/>
        <v>4300.5587511677604</v>
      </c>
      <c r="AA24" s="281">
        <f ca="1"/>
        <v>45553</v>
      </c>
      <c r="AB24" s="273">
        <f ca="1"/>
        <v>45644</v>
      </c>
      <c r="AC24" s="272">
        <f ca="1"/>
        <v>91</v>
      </c>
      <c r="AD24" s="282">
        <f ca="1"/>
        <v>0.25277777777777799</v>
      </c>
      <c r="AE24" s="273">
        <f ca="1"/>
        <v>45644</v>
      </c>
      <c r="AF24" s="279">
        <f ca="1"/>
        <v>1000000</v>
      </c>
      <c r="AG24" s="279">
        <f ca="1"/>
        <v>0</v>
      </c>
      <c r="AH24" s="283">
        <f ca="1"/>
        <v>1</v>
      </c>
      <c r="AI24" s="285">
        <f ca="1"/>
        <v>0.82924474119245695</v>
      </c>
      <c r="AJ24" s="285">
        <f ca="1"/>
        <v>8.2507506688195304E-3</v>
      </c>
      <c r="AK24" s="279">
        <f ca="1"/>
        <v>4950.4504012917096</v>
      </c>
      <c r="AL24" s="286">
        <f ca="1"/>
        <v>1.0207469117127099</v>
      </c>
      <c r="AM24" s="279">
        <f ca="1"/>
        <v>5053.1569587054501</v>
      </c>
      <c r="AN24" s="272" t="str">
        <f ca="1"/>
        <v/>
      </c>
      <c r="AO24" s="272" t="str">
        <f ca="1"/>
        <v/>
      </c>
      <c r="AP24" s="280" t="str">
        <f ca="1"/>
        <v/>
      </c>
    </row>
    <row r="25" spans="2:42" x14ac:dyDescent="0.25">
      <c r="B25" s="205" t="s">
        <v>426</v>
      </c>
      <c r="C25" s="236" t="s">
        <v>280</v>
      </c>
      <c r="D25" s="236" t="s">
        <v>280</v>
      </c>
      <c r="E25" s="200"/>
      <c r="F25" s="200"/>
      <c r="J25" s="281">
        <f ca="1"/>
        <v>45644</v>
      </c>
      <c r="K25" s="273">
        <f ca="1"/>
        <v>45734</v>
      </c>
      <c r="L25" s="272">
        <f ca="1"/>
        <v>90</v>
      </c>
      <c r="M25" s="282">
        <f ca="1"/>
        <v>0.25</v>
      </c>
      <c r="N25" s="273">
        <f ca="1"/>
        <v>45734</v>
      </c>
      <c r="O25" s="279">
        <f ca="1"/>
        <v>1000000</v>
      </c>
      <c r="P25" s="279">
        <f ca="1"/>
        <v>1000000</v>
      </c>
      <c r="Q25" s="283">
        <f ca="1"/>
        <v>1</v>
      </c>
      <c r="R25" s="284">
        <f ca="1"/>
        <v>0.02</v>
      </c>
      <c r="S25" s="284">
        <f ca="1"/>
        <v>0.821164609953553</v>
      </c>
      <c r="T25" s="285">
        <f ca="1"/>
        <v>8.0801312389047197E-3</v>
      </c>
      <c r="U25" s="279">
        <f ca="1"/>
        <v>4105.8230497677596</v>
      </c>
      <c r="V25" s="279">
        <f ca="1"/>
        <v>20.200328097261799</v>
      </c>
      <c r="W25" s="279">
        <f ca="1"/>
        <v>825290.63333141804</v>
      </c>
      <c r="X25" s="286">
        <f ca="1"/>
        <v>1.0213561097021999</v>
      </c>
      <c r="Y25" s="287">
        <f ca="1"/>
        <v>842915.63063304301</v>
      </c>
      <c r="AA25" s="281">
        <f ca="1"/>
        <v>45644</v>
      </c>
      <c r="AB25" s="273">
        <f ca="1"/>
        <v>45734</v>
      </c>
      <c r="AC25" s="272">
        <f ca="1"/>
        <v>90</v>
      </c>
      <c r="AD25" s="282">
        <f ca="1"/>
        <v>0.25</v>
      </c>
      <c r="AE25" s="273">
        <f ca="1"/>
        <v>45734</v>
      </c>
      <c r="AF25" s="279">
        <f ca="1"/>
        <v>1000000</v>
      </c>
      <c r="AG25" s="279">
        <f ca="1"/>
        <v>0</v>
      </c>
      <c r="AH25" s="283">
        <f ca="1"/>
        <v>1</v>
      </c>
      <c r="AI25" s="285">
        <f ca="1"/>
        <v>0.821164609953553</v>
      </c>
      <c r="AJ25" s="285">
        <f ca="1"/>
        <v>8.0801312389047197E-3</v>
      </c>
      <c r="AK25" s="279">
        <f ca="1"/>
        <v>4848.0787433428304</v>
      </c>
      <c r="AL25" s="286">
        <f ca="1"/>
        <v>1.0213561097021999</v>
      </c>
      <c r="AM25" s="279">
        <f ca="1"/>
        <v>4951.6148448305703</v>
      </c>
      <c r="AN25" s="272" t="str">
        <f ca="1"/>
        <v/>
      </c>
      <c r="AO25" s="272" t="str">
        <f ca="1"/>
        <v/>
      </c>
      <c r="AP25" s="280" t="str">
        <f ca="1"/>
        <v/>
      </c>
    </row>
    <row r="26" spans="2:42" x14ac:dyDescent="0.25">
      <c r="B26" s="205" t="s">
        <v>427</v>
      </c>
      <c r="C26" s="236" t="s">
        <v>280</v>
      </c>
      <c r="D26" s="236" t="s">
        <v>280</v>
      </c>
      <c r="E26" s="200"/>
      <c r="F26" s="200"/>
      <c r="J26" s="288" t="str">
        <f ca="1"/>
        <v/>
      </c>
      <c r="K26" s="289" t="str">
        <f ca="1"/>
        <v/>
      </c>
      <c r="L26" s="290" t="str">
        <f ca="1"/>
        <v/>
      </c>
      <c r="M26" s="291" t="str">
        <f ca="1"/>
        <v/>
      </c>
      <c r="N26" s="289" t="str">
        <f ca="1"/>
        <v/>
      </c>
      <c r="O26" s="292" t="str">
        <f ca="1"/>
        <v/>
      </c>
      <c r="P26" s="292" t="str">
        <f ca="1"/>
        <v/>
      </c>
      <c r="Q26" s="293" t="str">
        <f ca="1"/>
        <v/>
      </c>
      <c r="R26" s="294" t="str">
        <f ca="1"/>
        <v/>
      </c>
      <c r="S26" s="294" t="str">
        <f ca="1"/>
        <v/>
      </c>
      <c r="T26" s="295" t="str">
        <f ca="1"/>
        <v/>
      </c>
      <c r="U26" s="292" t="str">
        <f ca="1"/>
        <v/>
      </c>
      <c r="V26" s="292" t="str">
        <f ca="1"/>
        <v/>
      </c>
      <c r="W26" s="292" t="str">
        <f ca="1"/>
        <v/>
      </c>
      <c r="X26" s="296" t="str">
        <f ca="1"/>
        <v/>
      </c>
      <c r="Y26" s="297" t="str">
        <f ca="1"/>
        <v/>
      </c>
      <c r="AA26" s="288" t="str">
        <f ca="1"/>
        <v/>
      </c>
      <c r="AB26" s="289" t="str">
        <f ca="1"/>
        <v/>
      </c>
      <c r="AC26" s="290" t="str">
        <f ca="1"/>
        <v/>
      </c>
      <c r="AD26" s="291" t="str">
        <f ca="1"/>
        <v/>
      </c>
      <c r="AE26" s="289" t="str">
        <f ca="1"/>
        <v/>
      </c>
      <c r="AF26" s="292" t="str">
        <f ca="1"/>
        <v/>
      </c>
      <c r="AG26" s="292" t="str">
        <f ca="1"/>
        <v/>
      </c>
      <c r="AH26" s="293" t="str">
        <f ca="1"/>
        <v/>
      </c>
      <c r="AI26" s="295" t="str">
        <f ca="1"/>
        <v/>
      </c>
      <c r="AJ26" s="295" t="str">
        <f ca="1"/>
        <v/>
      </c>
      <c r="AK26" s="292" t="str">
        <f ca="1"/>
        <v/>
      </c>
      <c r="AL26" s="296" t="str">
        <f ca="1"/>
        <v/>
      </c>
      <c r="AM26" s="292" t="str">
        <f ca="1"/>
        <v/>
      </c>
      <c r="AN26" s="290" t="str">
        <f ca="1"/>
        <v/>
      </c>
      <c r="AO26" s="290" t="str">
        <f ca="1"/>
        <v/>
      </c>
      <c r="AP26" s="298" t="str">
        <f ca="1"/>
        <v/>
      </c>
    </row>
    <row r="27" spans="2:42" x14ac:dyDescent="0.25">
      <c r="B27" s="205" t="s">
        <v>428</v>
      </c>
      <c r="C27" s="236" t="s">
        <v>429</v>
      </c>
      <c r="D27" s="236" t="s">
        <v>429</v>
      </c>
      <c r="E27" s="200"/>
      <c r="F27" s="200"/>
      <c r="L27"/>
      <c r="O27" s="260"/>
    </row>
    <row r="28" spans="2:42" x14ac:dyDescent="0.25">
      <c r="B28" s="193" t="s">
        <v>430</v>
      </c>
      <c r="C28" s="237" t="s">
        <v>431</v>
      </c>
      <c r="D28" s="237" t="s">
        <v>431</v>
      </c>
      <c r="E28" s="200"/>
      <c r="F28" s="200"/>
    </row>
    <row r="30" spans="2:42" x14ac:dyDescent="0.25">
      <c r="B30" s="4" t="s">
        <v>484</v>
      </c>
    </row>
    <row r="31" spans="2:42" x14ac:dyDescent="0.25">
      <c r="B31" s="299" t="s">
        <v>485</v>
      </c>
    </row>
    <row r="53" spans="12:15" x14ac:dyDescent="0.25">
      <c r="L53"/>
      <c r="O53" s="260"/>
    </row>
  </sheetData>
  <dataValidations disablePrompts="1" count="1">
    <dataValidation type="list" allowBlank="1" showInputMessage="1" showErrorMessage="1" sqref="C13">
      <formula1>"NONE,START_AND_END,END"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R33"/>
  <sheetViews>
    <sheetView showGridLines="0" tabSelected="1" workbookViewId="0"/>
  </sheetViews>
  <sheetFormatPr defaultRowHeight="15" x14ac:dyDescent="0.25"/>
  <cols>
    <col min="2" max="2" width="35.7109375" customWidth="1"/>
    <col min="3" max="8" width="20.7109375" customWidth="1"/>
    <col min="11" max="11" width="14.28515625" customWidth="1"/>
    <col min="12" max="12" width="15" bestFit="1" customWidth="1"/>
    <col min="13" max="13" width="15.7109375" customWidth="1"/>
    <col min="15" max="15" width="15" bestFit="1" customWidth="1"/>
    <col min="16" max="16" width="24.140625" customWidth="1"/>
    <col min="18" max="18" width="21.5703125" bestFit="1" customWidth="1"/>
  </cols>
  <sheetData>
    <row r="2" spans="1:18" x14ac:dyDescent="0.25">
      <c r="B2" t="s">
        <v>465</v>
      </c>
      <c r="C2" s="253">
        <f ca="1">CURRENT_IMM_DATE</f>
        <v>43908</v>
      </c>
    </row>
    <row r="3" spans="1:18" x14ac:dyDescent="0.25">
      <c r="I3" s="186"/>
      <c r="J3" s="186"/>
      <c r="K3" s="186"/>
      <c r="L3" s="186"/>
      <c r="M3" s="186"/>
      <c r="N3" s="186"/>
      <c r="O3" s="260"/>
    </row>
    <row r="4" spans="1:18" x14ac:dyDescent="0.25">
      <c r="C4" s="246" t="s">
        <v>494</v>
      </c>
      <c r="D4" s="246" t="s">
        <v>494</v>
      </c>
      <c r="E4" s="246" t="s">
        <v>495</v>
      </c>
      <c r="F4" s="246" t="s">
        <v>495</v>
      </c>
      <c r="G4" s="246" t="s">
        <v>496</v>
      </c>
      <c r="H4" s="246" t="s">
        <v>496</v>
      </c>
      <c r="I4" s="186"/>
      <c r="J4" s="186"/>
      <c r="K4" s="271" t="s">
        <v>520</v>
      </c>
      <c r="N4" s="186"/>
    </row>
    <row r="5" spans="1:18" x14ac:dyDescent="0.25">
      <c r="B5" s="191" t="s">
        <v>407</v>
      </c>
      <c r="C5" s="247" t="s">
        <v>408</v>
      </c>
      <c r="D5" s="247" t="s">
        <v>409</v>
      </c>
      <c r="E5" s="247" t="s">
        <v>488</v>
      </c>
      <c r="F5" s="247" t="s">
        <v>491</v>
      </c>
      <c r="G5" s="247" t="s">
        <v>492</v>
      </c>
      <c r="H5" s="247" t="s">
        <v>493</v>
      </c>
      <c r="I5" s="200"/>
      <c r="J5" s="200"/>
      <c r="K5" s="317" t="s">
        <v>510</v>
      </c>
      <c r="L5" s="318"/>
      <c r="M5" s="319"/>
      <c r="N5" s="200"/>
      <c r="O5" s="271" t="s">
        <v>481</v>
      </c>
      <c r="P5" s="181"/>
      <c r="R5" s="271" t="s">
        <v>509</v>
      </c>
    </row>
    <row r="6" spans="1:18" x14ac:dyDescent="0.25">
      <c r="B6" s="205" t="s">
        <v>459</v>
      </c>
      <c r="C6" s="236" t="s">
        <v>471</v>
      </c>
      <c r="D6" s="236" t="s">
        <v>471</v>
      </c>
      <c r="E6" s="236" t="s">
        <v>444</v>
      </c>
      <c r="F6" s="236" t="s">
        <v>444</v>
      </c>
      <c r="G6" s="236" t="s">
        <v>471</v>
      </c>
      <c r="H6" s="236" t="s">
        <v>444</v>
      </c>
      <c r="I6" s="200"/>
      <c r="J6" s="200"/>
      <c r="K6" s="320" t="s">
        <v>511</v>
      </c>
      <c r="L6" s="340" t="str">
        <f ca="1">_xll.meLWOFeeLegCreate(L7,K10:L12,K15:M22,TRUE,TRUE)</f>
        <v>FEE_SCHEDULE@3:18</v>
      </c>
      <c r="M6" s="322"/>
      <c r="N6" s="200"/>
      <c r="O6" s="190" t="s">
        <v>397</v>
      </c>
      <c r="P6" s="250" t="s">
        <v>490</v>
      </c>
      <c r="R6" s="310" t="str">
        <f ca="1">EUR_CURVE</f>
        <v>EUR_OIS_CURVE@9:4</v>
      </c>
    </row>
    <row r="7" spans="1:18" x14ac:dyDescent="0.25">
      <c r="B7" s="205" t="s">
        <v>460</v>
      </c>
      <c r="C7" s="248">
        <v>1000000</v>
      </c>
      <c r="D7" s="248">
        <v>1000000</v>
      </c>
      <c r="E7" s="248">
        <v>1000000</v>
      </c>
      <c r="F7" s="248">
        <v>1000000</v>
      </c>
      <c r="G7" s="248">
        <v>1000000</v>
      </c>
      <c r="H7" s="248">
        <v>1000000</v>
      </c>
      <c r="I7" s="200"/>
      <c r="J7" s="200"/>
      <c r="K7" s="320" t="s">
        <v>512</v>
      </c>
      <c r="L7" s="323" t="s">
        <v>523</v>
      </c>
      <c r="M7" s="322"/>
      <c r="N7" s="200"/>
      <c r="O7" s="190" t="s">
        <v>507</v>
      </c>
      <c r="P7" s="309" t="str">
        <f ca="1">_xll.meLWOSwapCreate(P6,B5:H33,FALSE,,TRUE)</f>
        <v>CUSTOMSTRUCTURE@12:32</v>
      </c>
      <c r="R7" s="310" t="str">
        <f ca="1">'EUR SWAP 3ML'!D28</f>
        <v>EUR_SWAP_3M_CURVE@11:2</v>
      </c>
    </row>
    <row r="8" spans="1:18" x14ac:dyDescent="0.25">
      <c r="A8" s="302" t="s">
        <v>501</v>
      </c>
      <c r="B8" s="205" t="s">
        <v>461</v>
      </c>
      <c r="C8" s="303">
        <v>0.02</v>
      </c>
      <c r="D8" s="304"/>
      <c r="E8" s="308">
        <f ca="1">$C$8</f>
        <v>0.02</v>
      </c>
      <c r="F8" s="304"/>
      <c r="G8" s="313"/>
      <c r="H8" s="313"/>
      <c r="I8" s="302" t="s">
        <v>501</v>
      </c>
      <c r="J8" s="200"/>
      <c r="K8" s="324"/>
      <c r="L8" s="323"/>
      <c r="M8" s="322"/>
      <c r="N8" s="200"/>
      <c r="O8" t="s">
        <v>522</v>
      </c>
      <c r="P8" s="341" t="str">
        <f ca="1">_xll.meLWOSwapAddFee(P7,L6)</f>
        <v>CUSTOMSTRUCTURE@12:33</v>
      </c>
      <c r="R8" s="310" t="str">
        <f ca="1">'EUR SWAP 6ML'!D28</f>
        <v>EUR_SWAP_6M_CURVE@23:2</v>
      </c>
    </row>
    <row r="9" spans="1:18" x14ac:dyDescent="0.25">
      <c r="A9" s="302" t="s">
        <v>501</v>
      </c>
      <c r="B9" s="205" t="s">
        <v>498</v>
      </c>
      <c r="C9" s="300"/>
      <c r="D9" s="300"/>
      <c r="E9" s="300"/>
      <c r="F9" s="300"/>
      <c r="G9" s="249">
        <f ca="1">$P$25</f>
        <v>-3.0225972124227059E-3</v>
      </c>
      <c r="H9" s="301"/>
      <c r="I9" s="302" t="s">
        <v>501</v>
      </c>
      <c r="J9" s="246"/>
      <c r="K9" s="324" t="s">
        <v>513</v>
      </c>
      <c r="L9" s="323"/>
      <c r="M9" s="322"/>
      <c r="N9" s="246"/>
      <c r="O9" s="190" t="s">
        <v>450</v>
      </c>
      <c r="P9" s="311" t="str">
        <f ca="1">CREDIT_MODEL</f>
        <v>ITALY_CREDIT@8:2</v>
      </c>
    </row>
    <row r="10" spans="1:18" x14ac:dyDescent="0.25">
      <c r="A10" s="302" t="s">
        <v>500</v>
      </c>
      <c r="B10" s="205" t="s">
        <v>499</v>
      </c>
      <c r="C10" s="305"/>
      <c r="D10" s="305"/>
      <c r="E10" s="305"/>
      <c r="F10" s="305"/>
      <c r="G10" s="306"/>
      <c r="H10" s="307">
        <v>0</v>
      </c>
      <c r="I10" s="302" t="s">
        <v>500</v>
      </c>
      <c r="J10" s="246"/>
      <c r="K10" s="320" t="s">
        <v>514</v>
      </c>
      <c r="L10" s="325" t="s">
        <v>521</v>
      </c>
      <c r="M10" s="322"/>
      <c r="N10" s="246"/>
      <c r="O10" s="190" t="s">
        <v>508</v>
      </c>
      <c r="P10" s="311" t="str">
        <f ca="1">_xll.meCurveGroupCreate("EURYieldCurve",$R$6:$R$8)</f>
        <v>EURYIELDCURVE:16</v>
      </c>
    </row>
    <row r="11" spans="1:18" x14ac:dyDescent="0.25">
      <c r="B11" s="205" t="s">
        <v>462</v>
      </c>
      <c r="C11" s="215">
        <f ca="1">_xll.meDateFromTenor(Settings.COB,$I$11,"FOLLOWING","TGT")</f>
        <v>43930</v>
      </c>
      <c r="D11" s="215">
        <f ca="1">_xll.meDateFromTenor(Settings.COB,$I$11,"FOLLOWING","TGT")</f>
        <v>43930</v>
      </c>
      <c r="E11" s="215">
        <f ca="1">_xll.meDateFromTenor(Settings.COB,$I$11,"FOLLOWING","TGT")</f>
        <v>43930</v>
      </c>
      <c r="F11" s="215">
        <f ca="1">_xll.meDateFromTenor(Settings.COB,$I$11,"FOLLOWING","TGT")</f>
        <v>43930</v>
      </c>
      <c r="G11" s="215">
        <f ca="1">_xll.meDateFromTenor(Settings.COB,$I$11,"FOLLOWING","TGT")</f>
        <v>43930</v>
      </c>
      <c r="H11" s="215">
        <f ca="1">_xll.meDateFromTenor(Settings.COB,$I$11,"FOLLOWING","TGT")</f>
        <v>43930</v>
      </c>
      <c r="I11" s="246" t="s">
        <v>370</v>
      </c>
      <c r="J11" s="200"/>
      <c r="K11" s="320" t="s">
        <v>257</v>
      </c>
      <c r="L11" s="321" t="s">
        <v>258</v>
      </c>
      <c r="M11" s="322"/>
      <c r="N11" s="200"/>
    </row>
    <row r="12" spans="1:18" x14ac:dyDescent="0.25">
      <c r="B12" s="205" t="s">
        <v>464</v>
      </c>
      <c r="C12" s="215">
        <f ca="1">_xll.meDateFromTenor(CURRENT_IMM_DATE,$I$12)</f>
        <v>45734</v>
      </c>
      <c r="D12" s="215">
        <f ca="1">_xll.meDateFromTenor(CURRENT_IMM_DATE,$I$12)</f>
        <v>45734</v>
      </c>
      <c r="E12" s="215">
        <f ca="1">_xll.meDateFromTenor(CURRENT_IMM_DATE,$I$12)</f>
        <v>45734</v>
      </c>
      <c r="F12" s="215">
        <f ca="1">_xll.meDateFromTenor(CURRENT_IMM_DATE,$I$12)</f>
        <v>45734</v>
      </c>
      <c r="G12" s="215">
        <f ca="1">_xll.meDateFromTenor(CURRENT_IMM_DATE,$I$12)</f>
        <v>45734</v>
      </c>
      <c r="H12" s="215">
        <f ca="1">_xll.meDateFromTenor(CURRENT_IMM_DATE,$I$12)</f>
        <v>45734</v>
      </c>
      <c r="I12" s="246" t="s">
        <v>64</v>
      </c>
      <c r="J12" s="200"/>
      <c r="K12" s="320" t="s">
        <v>515</v>
      </c>
      <c r="L12" s="321" t="s">
        <v>438</v>
      </c>
      <c r="M12" s="322"/>
      <c r="N12" s="200"/>
      <c r="O12" s="270" t="s">
        <v>463</v>
      </c>
      <c r="P12" s="255"/>
    </row>
    <row r="13" spans="1:18" x14ac:dyDescent="0.25">
      <c r="B13" s="205" t="s">
        <v>410</v>
      </c>
      <c r="C13" s="266">
        <v>1</v>
      </c>
      <c r="D13" s="266">
        <v>1</v>
      </c>
      <c r="E13" s="266">
        <v>1</v>
      </c>
      <c r="F13" s="266">
        <v>1</v>
      </c>
      <c r="G13" s="266">
        <v>1</v>
      </c>
      <c r="H13" s="266">
        <v>1</v>
      </c>
      <c r="I13" s="200"/>
      <c r="J13" s="200"/>
      <c r="K13" s="320"/>
      <c r="L13" s="323"/>
      <c r="M13" s="322"/>
      <c r="N13" s="200"/>
      <c r="O13" s="312" t="str">
        <f>C5</f>
        <v>Leg1:Premium</v>
      </c>
      <c r="P13" s="279">
        <f ca="1">_xll.meLWOCreditDefaultSwapPV($P$8,$P$9,$O13)</f>
        <v>92025.598089317587</v>
      </c>
    </row>
    <row r="14" spans="1:18" x14ac:dyDescent="0.25">
      <c r="B14" s="205" t="s">
        <v>411</v>
      </c>
      <c r="C14" s="156" t="s">
        <v>280</v>
      </c>
      <c r="D14" s="156" t="s">
        <v>280</v>
      </c>
      <c r="E14" s="156" t="s">
        <v>280</v>
      </c>
      <c r="F14" s="156" t="s">
        <v>280</v>
      </c>
      <c r="G14" s="156" t="s">
        <v>280</v>
      </c>
      <c r="H14" s="258" t="s">
        <v>497</v>
      </c>
      <c r="I14" s="200"/>
      <c r="J14" s="200"/>
      <c r="K14" s="324" t="s">
        <v>516</v>
      </c>
      <c r="L14" s="323"/>
      <c r="M14" s="322"/>
      <c r="N14" s="200"/>
      <c r="O14" s="312" t="str">
        <f>D5</f>
        <v>Leg2:Protection</v>
      </c>
      <c r="P14" s="279">
        <f ca="1">_xll.meLWOCreditDefaultSwapPV($P$8,$P$9,$O14)</f>
        <v>108130.07775488406</v>
      </c>
      <c r="Q14" s="310"/>
    </row>
    <row r="15" spans="1:18" x14ac:dyDescent="0.25">
      <c r="B15" s="205" t="s">
        <v>412</v>
      </c>
      <c r="C15" s="156" t="s">
        <v>285</v>
      </c>
      <c r="D15" s="156" t="s">
        <v>285</v>
      </c>
      <c r="E15" s="156" t="s">
        <v>285</v>
      </c>
      <c r="F15" s="156" t="s">
        <v>285</v>
      </c>
      <c r="G15" s="156" t="s">
        <v>285</v>
      </c>
      <c r="H15" s="156" t="s">
        <v>285</v>
      </c>
      <c r="I15" s="200"/>
      <c r="J15" s="200"/>
      <c r="K15" s="326" t="s">
        <v>517</v>
      </c>
      <c r="L15" s="327" t="s">
        <v>518</v>
      </c>
      <c r="M15" s="328" t="s">
        <v>519</v>
      </c>
      <c r="N15" s="200"/>
      <c r="O15" s="312" t="str">
        <f>E5</f>
        <v>Leg3:Premium</v>
      </c>
      <c r="P15" s="279">
        <f ca="1">_xll.meLWOCreditDefaultSwapPV($P$8,$P$9,$O15)</f>
        <v>-92025.598089317587</v>
      </c>
      <c r="Q15" s="310"/>
    </row>
    <row r="16" spans="1:18" x14ac:dyDescent="0.25">
      <c r="B16" s="205" t="s">
        <v>413</v>
      </c>
      <c r="C16" s="258" t="s">
        <v>285</v>
      </c>
      <c r="D16" s="156" t="s">
        <v>285</v>
      </c>
      <c r="E16" s="258" t="s">
        <v>285</v>
      </c>
      <c r="F16" s="156" t="s">
        <v>285</v>
      </c>
      <c r="G16" s="258" t="s">
        <v>285</v>
      </c>
      <c r="H16" s="156" t="s">
        <v>285</v>
      </c>
      <c r="I16" s="200"/>
      <c r="J16" s="200" t="s">
        <v>524</v>
      </c>
      <c r="K16" s="329">
        <f ca="1">$H$11</f>
        <v>43930</v>
      </c>
      <c r="L16" s="330" t="s">
        <v>444</v>
      </c>
      <c r="M16" s="331">
        <v>0</v>
      </c>
      <c r="N16" s="200"/>
      <c r="O16" s="312" t="str">
        <f>F5</f>
        <v>Leg4:Protection</v>
      </c>
      <c r="P16" s="279">
        <f ca="1">_xll.meLWOCreditDefaultSwapPV($P$8,$P$9,$O16)</f>
        <v>-108130.07775488406</v>
      </c>
      <c r="Q16" s="310"/>
    </row>
    <row r="17" spans="2:18" x14ac:dyDescent="0.25">
      <c r="B17" s="205" t="s">
        <v>414</v>
      </c>
      <c r="C17" s="156" t="s">
        <v>438</v>
      </c>
      <c r="D17" s="156" t="s">
        <v>438</v>
      </c>
      <c r="E17" s="156" t="s">
        <v>438</v>
      </c>
      <c r="F17" s="156" t="s">
        <v>438</v>
      </c>
      <c r="G17" s="156" t="s">
        <v>438</v>
      </c>
      <c r="H17" s="156" t="s">
        <v>438</v>
      </c>
      <c r="I17" s="200"/>
      <c r="J17" s="200" t="s">
        <v>525</v>
      </c>
      <c r="K17" s="329">
        <f ca="1">$H$12</f>
        <v>45734</v>
      </c>
      <c r="L17" s="330" t="s">
        <v>444</v>
      </c>
      <c r="M17" s="331">
        <v>0</v>
      </c>
      <c r="N17" s="200"/>
      <c r="O17" s="312" t="str">
        <f>G5</f>
        <v>Leg5:Fixed</v>
      </c>
      <c r="P17" s="279">
        <f ca="1">_xll.meLWOCreditDefaultSwapPV($P$8,$P$9,$O17)</f>
        <v>-15144.883351701192</v>
      </c>
      <c r="Q17" s="310"/>
    </row>
    <row r="18" spans="2:18" x14ac:dyDescent="0.25">
      <c r="B18" s="205" t="s">
        <v>415</v>
      </c>
      <c r="C18" s="156" t="s">
        <v>258</v>
      </c>
      <c r="D18" s="156" t="s">
        <v>258</v>
      </c>
      <c r="E18" s="156" t="s">
        <v>258</v>
      </c>
      <c r="F18" s="156" t="s">
        <v>258</v>
      </c>
      <c r="G18" s="156" t="s">
        <v>258</v>
      </c>
      <c r="H18" s="156" t="s">
        <v>258</v>
      </c>
      <c r="I18" s="200"/>
      <c r="J18" s="200"/>
      <c r="K18" s="329"/>
      <c r="L18" s="330"/>
      <c r="M18" s="331"/>
      <c r="N18" s="200"/>
      <c r="O18" s="312" t="str">
        <f>H5</f>
        <v>Leg6:Float</v>
      </c>
      <c r="P18" s="279">
        <f ca="1">_xll.meLWOCreditDefaultSwapPV($P$8,$P$9,$O18)</f>
        <v>15145.653988989618</v>
      </c>
      <c r="Q18" s="310"/>
    </row>
    <row r="19" spans="2:18" x14ac:dyDescent="0.25">
      <c r="B19" s="205" t="s">
        <v>416</v>
      </c>
      <c r="C19" s="236" t="s">
        <v>258</v>
      </c>
      <c r="D19" s="236" t="s">
        <v>258</v>
      </c>
      <c r="E19" s="236" t="s">
        <v>258</v>
      </c>
      <c r="F19" s="236" t="s">
        <v>258</v>
      </c>
      <c r="G19" s="236" t="s">
        <v>258</v>
      </c>
      <c r="H19" s="236" t="s">
        <v>258</v>
      </c>
      <c r="I19" s="200"/>
      <c r="J19" s="200"/>
      <c r="K19" s="329"/>
      <c r="L19" s="330"/>
      <c r="M19" s="331"/>
      <c r="N19" s="200"/>
      <c r="O19" s="312" t="str">
        <f>$L$10</f>
        <v>Leg7:Fee</v>
      </c>
      <c r="P19" s="279">
        <f ca="1">_xll.meLWOCreditDefaultSwapPV($P$8,$P$9,$O19)</f>
        <v>0</v>
      </c>
    </row>
    <row r="20" spans="2:18" ht="15.75" thickBot="1" x14ac:dyDescent="0.3">
      <c r="B20" s="205" t="s">
        <v>417</v>
      </c>
      <c r="C20" s="236" t="s">
        <v>286</v>
      </c>
      <c r="D20" s="236" t="s">
        <v>286</v>
      </c>
      <c r="E20" s="236" t="s">
        <v>286</v>
      </c>
      <c r="F20" s="236" t="s">
        <v>286</v>
      </c>
      <c r="G20" s="258" t="s">
        <v>502</v>
      </c>
      <c r="H20" s="258" t="s">
        <v>286</v>
      </c>
      <c r="I20" s="200"/>
      <c r="J20" s="200"/>
      <c r="K20" s="329"/>
      <c r="L20" s="330"/>
      <c r="M20" s="331"/>
      <c r="N20" s="200"/>
      <c r="O20" s="314" t="s">
        <v>452</v>
      </c>
      <c r="P20" s="315">
        <f ca="1">_xll.meLWOCreditDefaultSwapPV($P$8,$P$9)</f>
        <v>0.77063728842585988</v>
      </c>
      <c r="Q20" s="310"/>
    </row>
    <row r="21" spans="2:18" ht="15.75" thickTop="1" x14ac:dyDescent="0.25">
      <c r="B21" s="205" t="s">
        <v>418</v>
      </c>
      <c r="C21" s="236" t="s">
        <v>294</v>
      </c>
      <c r="D21" s="236" t="s">
        <v>294</v>
      </c>
      <c r="E21" s="236" t="s">
        <v>294</v>
      </c>
      <c r="F21" s="236" t="s">
        <v>294</v>
      </c>
      <c r="G21" s="236" t="s">
        <v>504</v>
      </c>
      <c r="H21" s="236" t="s">
        <v>504</v>
      </c>
      <c r="I21" s="200"/>
      <c r="J21" s="200"/>
      <c r="K21" s="329"/>
      <c r="L21" s="330"/>
      <c r="M21" s="331"/>
      <c r="N21" s="200"/>
    </row>
    <row r="22" spans="2:18" x14ac:dyDescent="0.25">
      <c r="B22" s="205" t="s">
        <v>419</v>
      </c>
      <c r="C22" s="236" t="s">
        <v>270</v>
      </c>
      <c r="D22" s="236" t="s">
        <v>270</v>
      </c>
      <c r="E22" s="236" t="s">
        <v>270</v>
      </c>
      <c r="F22" s="236" t="s">
        <v>270</v>
      </c>
      <c r="G22" s="236" t="s">
        <v>270</v>
      </c>
      <c r="H22" s="236" t="s">
        <v>270</v>
      </c>
      <c r="I22" s="200"/>
      <c r="J22" s="200"/>
      <c r="K22" s="332"/>
      <c r="L22" s="333"/>
      <c r="M22" s="334"/>
      <c r="N22" s="200"/>
      <c r="O22" s="271" t="s">
        <v>528</v>
      </c>
      <c r="R22" s="339"/>
    </row>
    <row r="23" spans="2:18" x14ac:dyDescent="0.25">
      <c r="B23" s="205" t="s">
        <v>420</v>
      </c>
      <c r="C23" s="236" t="s">
        <v>273</v>
      </c>
      <c r="D23" s="236" t="s">
        <v>273</v>
      </c>
      <c r="E23" s="236" t="s">
        <v>273</v>
      </c>
      <c r="F23" s="236" t="s">
        <v>273</v>
      </c>
      <c r="G23" s="236" t="s">
        <v>505</v>
      </c>
      <c r="H23" s="236" t="s">
        <v>273</v>
      </c>
      <c r="I23" s="200"/>
      <c r="J23" s="200"/>
      <c r="K23" s="200"/>
      <c r="L23" s="200"/>
      <c r="M23" s="200"/>
      <c r="N23" s="200"/>
      <c r="O23" t="s">
        <v>377</v>
      </c>
      <c r="P23" s="336" t="s">
        <v>530</v>
      </c>
    </row>
    <row r="24" spans="2:18" x14ac:dyDescent="0.25">
      <c r="B24" s="205" t="s">
        <v>421</v>
      </c>
      <c r="C24" s="236" t="s">
        <v>286</v>
      </c>
      <c r="D24" s="236" t="s">
        <v>286</v>
      </c>
      <c r="E24" s="236" t="s">
        <v>286</v>
      </c>
      <c r="F24" s="236" t="s">
        <v>286</v>
      </c>
      <c r="G24" s="258" t="s">
        <v>502</v>
      </c>
      <c r="H24" s="258" t="s">
        <v>286</v>
      </c>
      <c r="I24" s="200"/>
      <c r="J24" s="200"/>
      <c r="K24" s="200"/>
      <c r="L24" s="200"/>
      <c r="M24" s="200"/>
      <c r="N24" s="200"/>
      <c r="O24" t="s">
        <v>526</v>
      </c>
      <c r="P24" s="336" t="str">
        <f ca="1">_xll.meLWOSwapCreateFromGenerator("MID_SWAP",$P$23,"PAY",1000000,$H$11,$H$12,0,0)</f>
        <v>MID_SWAP@5:18</v>
      </c>
      <c r="Q24" s="335"/>
      <c r="R24" s="339"/>
    </row>
    <row r="25" spans="2:18" x14ac:dyDescent="0.25">
      <c r="B25" s="205" t="s">
        <v>422</v>
      </c>
      <c r="C25" s="236" t="s">
        <v>294</v>
      </c>
      <c r="D25" s="236" t="s">
        <v>294</v>
      </c>
      <c r="E25" s="236" t="s">
        <v>294</v>
      </c>
      <c r="F25" s="236" t="s">
        <v>294</v>
      </c>
      <c r="G25" s="236" t="s">
        <v>504</v>
      </c>
      <c r="H25" s="236" t="s">
        <v>504</v>
      </c>
      <c r="I25" s="200"/>
      <c r="J25" s="200"/>
      <c r="K25" s="200"/>
      <c r="L25" s="200"/>
      <c r="M25" s="200"/>
      <c r="N25" s="200"/>
      <c r="O25" t="s">
        <v>527</v>
      </c>
      <c r="P25" s="337">
        <f ca="1">_xll.meLWOSwapParRate($P$24,$P$10)+Q25/10000</f>
        <v>-3.0225972124227059E-3</v>
      </c>
      <c r="Q25" s="338">
        <v>0</v>
      </c>
      <c r="R25" t="s">
        <v>529</v>
      </c>
    </row>
    <row r="26" spans="2:18" x14ac:dyDescent="0.25">
      <c r="B26" s="205" t="s">
        <v>423</v>
      </c>
      <c r="C26" s="236" t="s">
        <v>270</v>
      </c>
      <c r="D26" s="236" t="s">
        <v>270</v>
      </c>
      <c r="E26" s="236" t="s">
        <v>270</v>
      </c>
      <c r="F26" s="236" t="s">
        <v>270</v>
      </c>
      <c r="G26" s="236" t="s">
        <v>270</v>
      </c>
      <c r="H26" s="236" t="s">
        <v>270</v>
      </c>
      <c r="I26" s="200"/>
      <c r="J26" s="200"/>
      <c r="K26" s="200"/>
      <c r="L26" s="200"/>
      <c r="M26" s="200"/>
      <c r="N26" s="200"/>
    </row>
    <row r="27" spans="2:18" x14ac:dyDescent="0.25">
      <c r="B27" s="205" t="s">
        <v>424</v>
      </c>
      <c r="C27" s="236" t="s">
        <v>425</v>
      </c>
      <c r="D27" s="236" t="s">
        <v>425</v>
      </c>
      <c r="E27" s="236" t="s">
        <v>425</v>
      </c>
      <c r="F27" s="236" t="s">
        <v>425</v>
      </c>
      <c r="G27" s="236" t="s">
        <v>425</v>
      </c>
      <c r="H27" s="236" t="s">
        <v>425</v>
      </c>
      <c r="I27" s="200"/>
      <c r="J27" s="200"/>
      <c r="K27" s="200"/>
      <c r="L27" s="200"/>
      <c r="M27" s="200"/>
      <c r="N27" s="200"/>
      <c r="O27" s="250" t="s">
        <v>453</v>
      </c>
      <c r="P27" s="251">
        <f ca="1">_xll.meLWOCreditDefaultSwapRiskyAnnuity($P$7,CREDIT_MODEL,$Q$27)</f>
        <v>4601279.9044658784</v>
      </c>
      <c r="Q27" s="316" t="str">
        <f>$C$5</f>
        <v>Leg1:Premium</v>
      </c>
    </row>
    <row r="28" spans="2:18" x14ac:dyDescent="0.25">
      <c r="B28" s="205" t="s">
        <v>436</v>
      </c>
      <c r="C28" s="236"/>
      <c r="D28" s="236"/>
      <c r="E28" s="236"/>
      <c r="F28" s="236"/>
      <c r="G28" s="236"/>
      <c r="H28" s="258" t="s">
        <v>503</v>
      </c>
      <c r="I28" s="200"/>
      <c r="J28" s="200"/>
      <c r="K28" s="200"/>
      <c r="L28" s="200"/>
      <c r="M28" s="200"/>
      <c r="N28" s="200"/>
    </row>
    <row r="29" spans="2:18" x14ac:dyDescent="0.25">
      <c r="B29" s="205" t="s">
        <v>437</v>
      </c>
      <c r="C29" s="236"/>
      <c r="D29" s="236"/>
      <c r="E29" s="236"/>
      <c r="F29" s="236"/>
      <c r="G29" s="236"/>
      <c r="H29" s="258" t="s">
        <v>503</v>
      </c>
      <c r="I29" s="200"/>
      <c r="J29" s="200"/>
      <c r="K29" s="200"/>
      <c r="L29" s="200"/>
      <c r="M29" s="200"/>
      <c r="N29" s="200"/>
    </row>
    <row r="30" spans="2:18" x14ac:dyDescent="0.25">
      <c r="B30" s="205" t="s">
        <v>426</v>
      </c>
      <c r="C30" s="236" t="s">
        <v>280</v>
      </c>
      <c r="D30" s="236" t="s">
        <v>280</v>
      </c>
      <c r="E30" s="236" t="s">
        <v>280</v>
      </c>
      <c r="F30" s="236" t="s">
        <v>280</v>
      </c>
      <c r="G30" s="236"/>
      <c r="H30" s="236"/>
      <c r="I30" s="200"/>
    </row>
    <row r="31" spans="2:18" x14ac:dyDescent="0.25">
      <c r="B31" s="205" t="s">
        <v>427</v>
      </c>
      <c r="C31" s="236" t="s">
        <v>280</v>
      </c>
      <c r="D31" s="236" t="s">
        <v>280</v>
      </c>
      <c r="E31" s="236" t="s">
        <v>280</v>
      </c>
      <c r="F31" s="236" t="s">
        <v>280</v>
      </c>
      <c r="G31" s="236"/>
      <c r="H31" s="236"/>
      <c r="I31" s="200"/>
    </row>
    <row r="32" spans="2:18" x14ac:dyDescent="0.25">
      <c r="B32" s="205" t="s">
        <v>428</v>
      </c>
      <c r="C32" s="236" t="s">
        <v>429</v>
      </c>
      <c r="D32" s="236" t="s">
        <v>429</v>
      </c>
      <c r="E32" s="236" t="s">
        <v>429</v>
      </c>
      <c r="F32" s="236" t="s">
        <v>429</v>
      </c>
      <c r="G32" s="236" t="s">
        <v>506</v>
      </c>
      <c r="H32" s="236" t="s">
        <v>506</v>
      </c>
    </row>
    <row r="33" spans="2:8" x14ac:dyDescent="0.25">
      <c r="B33" s="193" t="s">
        <v>430</v>
      </c>
      <c r="C33" s="237" t="s">
        <v>431</v>
      </c>
      <c r="D33" s="237" t="s">
        <v>431</v>
      </c>
      <c r="E33" s="237" t="s">
        <v>431</v>
      </c>
      <c r="F33" s="237" t="s">
        <v>431</v>
      </c>
      <c r="G33" s="237" t="s">
        <v>431</v>
      </c>
      <c r="H33" s="237" t="s">
        <v>431</v>
      </c>
    </row>
  </sheetData>
  <dataValidations count="1">
    <dataValidation type="list" allowBlank="1" showInputMessage="1" showErrorMessage="1" sqref="C16 E16 G16">
      <formula1>"NONE,START_AND_END,END"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SETTINGS</vt:lpstr>
      <vt:lpstr>CURVE MKT DATA</vt:lpstr>
      <vt:lpstr>EUR OIS</vt:lpstr>
      <vt:lpstr>EUR SWAP 3ML</vt:lpstr>
      <vt:lpstr>EUR SWAP 6ML</vt:lpstr>
      <vt:lpstr>CREDIT MKT DATA</vt:lpstr>
      <vt:lpstr>EUR_TRADE_TEMPLATES</vt:lpstr>
      <vt:lpstr>CREDIT MODEL</vt:lpstr>
      <vt:lpstr>CDS_PRICE</vt:lpstr>
      <vt:lpstr>CLN_PRICE</vt:lpstr>
      <vt:lpstr>BESPOKE_PRICE</vt:lpstr>
      <vt:lpstr>CUSTOM_STRUCTURE</vt:lpstr>
      <vt:lpstr>CDS_MKT_DATA</vt:lpstr>
      <vt:lpstr>CDS_SELECTION</vt:lpstr>
      <vt:lpstr>CREDIT_MODEL</vt:lpstr>
      <vt:lpstr>CURRENT_IMM_DATE</vt:lpstr>
      <vt:lpstr>EUR_CDS</vt:lpstr>
      <vt:lpstr>EUR_CLN</vt:lpstr>
      <vt:lpstr>EUR_CURVE</vt:lpstr>
      <vt:lpstr>Settings.COB</vt:lpstr>
      <vt:lpstr>CUSTOM_STRUCTURE!XccyStructure.CSA3</vt:lpstr>
      <vt:lpstr>CUSTOM_STRUCTURE!XccyStructure.Fee.Amount3</vt:lpstr>
      <vt:lpstr>XccyStructure.Fee.Ccy3</vt:lpstr>
      <vt:lpstr>CUSTOM_STRUCTURE!XccyStructure.Fee.PayDate3</vt:lpstr>
      <vt:lpstr>CUSTOM_STRUCTURE!XccyStructure.Fee.PayRec3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2020-03-27T15:27:03Z</dcterms:created>
  <dcterms:modified xsi:type="dcterms:W3CDTF">2020-04-02T17:38:56Z</dcterms:modified>
</cp:coreProperties>
</file>