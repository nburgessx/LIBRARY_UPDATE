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65" windowWidth="27555" windowHeight="13710" activeTab="7"/>
  </bookViews>
  <sheets>
    <sheet name="Settings" sheetId="1" r:id="rId1"/>
    <sheet name="USDOIS" sheetId="2" r:id="rId2"/>
    <sheet name="USD3ML" sheetId="3" r:id="rId3"/>
    <sheet name="USD6ML" sheetId="8" r:id="rId4"/>
    <sheet name="CREDITMODEL" sheetId="6" r:id="rId5"/>
    <sheet name="BOND" sheetId="9" r:id="rId6"/>
    <sheet name="TRS_GENERATOR" sheetId="4" r:id="rId7"/>
    <sheet name="USD_TRS" sheetId="5" r:id="rId8"/>
    <sheet name="BESPOKE TRS" sheetId="7" r:id="rId9"/>
  </sheets>
  <definedNames>
    <definedName name="COB">Settings!$C$2</definedName>
    <definedName name="CurveCollection" localSheetId="2">USD3ML!$D$9</definedName>
    <definedName name="CurveCollection" localSheetId="3">USD6ML!$D$9</definedName>
    <definedName name="isUSD3MLLoaded">USD3ML!$D$31</definedName>
    <definedName name="isUSD6MLLoaded">USD6ML!$D$31</definedName>
    <definedName name="isUSDOISLoaded">USDOIS!$D$31</definedName>
    <definedName name="USD_TRS_3ML">TRS_GENERATOR!$C$3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B3" i="9" l="1"/>
  <c r="C32" i="5" l="1"/>
  <c r="B32" i="5"/>
  <c r="B31" i="5"/>
  <c r="C9" i="5"/>
  <c r="C4" i="7"/>
  <c r="C10" i="5"/>
  <c r="G15" i="7" l="1"/>
  <c r="C3" i="4"/>
  <c r="C19" i="5" l="1"/>
  <c r="G8" i="9"/>
  <c r="E31" i="6"/>
  <c r="E30" i="6"/>
  <c r="E29" i="6"/>
  <c r="E28" i="6"/>
  <c r="E27" i="6"/>
  <c r="E26" i="6"/>
  <c r="E25" i="6"/>
  <c r="E24" i="6"/>
  <c r="H27" i="6"/>
  <c r="L8" i="9"/>
  <c r="H30" i="6"/>
  <c r="H26" i="6"/>
  <c r="H31" i="6"/>
  <c r="H24" i="6"/>
  <c r="H29" i="6"/>
  <c r="H25" i="6"/>
  <c r="C3" i="9"/>
  <c r="H28" i="6"/>
  <c r="O8" i="9"/>
  <c r="N8" i="9"/>
  <c r="C15" i="5" l="1"/>
  <c r="C11" i="5"/>
  <c r="C4" i="5"/>
  <c r="G10" i="7"/>
  <c r="G9" i="7"/>
  <c r="G4" i="7" s="1"/>
  <c r="G2" i="7" l="1"/>
  <c r="C7" i="6"/>
  <c r="D7" i="8"/>
  <c r="D7" i="3"/>
  <c r="D8" i="2"/>
  <c r="D13" i="8"/>
  <c r="D13" i="3"/>
  <c r="D27" i="3" s="1" a="1"/>
  <c r="D13" i="2"/>
  <c r="G30" i="6"/>
  <c r="G28" i="6"/>
  <c r="G29" i="6"/>
  <c r="G27" i="6"/>
  <c r="G26" i="6"/>
  <c r="G25" i="6"/>
  <c r="G24" i="6"/>
  <c r="G31" i="6"/>
  <c r="D27" i="3" l="1"/>
  <c r="D30" i="3"/>
  <c r="D29" i="3"/>
  <c r="D28" i="3"/>
  <c r="C11" i="6"/>
  <c r="J31" i="6"/>
  <c r="D27" i="2" a="1"/>
  <c r="J27" i="6"/>
  <c r="J30" i="6"/>
  <c r="J24" i="6"/>
  <c r="C4" i="6"/>
  <c r="J28" i="6"/>
  <c r="J25" i="6"/>
  <c r="J26" i="6"/>
  <c r="J29" i="6"/>
  <c r="K31" i="6"/>
  <c r="L31" i="6"/>
  <c r="K27" i="6"/>
  <c r="L27" i="6"/>
  <c r="K30" i="6"/>
  <c r="L30" i="6"/>
  <c r="L24" i="6"/>
  <c r="K24" i="6"/>
  <c r="E8" i="6" a="1"/>
  <c r="L28" i="6"/>
  <c r="K28" i="6"/>
  <c r="L25" i="6"/>
  <c r="K25" i="6"/>
  <c r="K26" i="6"/>
  <c r="L26" i="6"/>
  <c r="L29" i="6"/>
  <c r="K29" i="6"/>
  <c r="M29" i="6" l="1"/>
  <c r="M26" i="6"/>
  <c r="M25" i="6"/>
  <c r="M28" i="6"/>
  <c r="G20" i="6"/>
  <c r="H10" i="6"/>
  <c r="F12" i="6"/>
  <c r="E14" i="6"/>
  <c r="J14" i="6" s="1"/>
  <c r="E10" i="6"/>
  <c r="J10" i="6" s="1"/>
  <c r="H20" i="6"/>
  <c r="H8" i="6"/>
  <c r="F18" i="6"/>
  <c r="H15" i="6"/>
  <c r="G13" i="6"/>
  <c r="E18" i="6"/>
  <c r="F9" i="6"/>
  <c r="H13" i="6"/>
  <c r="H19" i="6"/>
  <c r="F13" i="6"/>
  <c r="H11" i="6"/>
  <c r="G18" i="6"/>
  <c r="H9" i="6"/>
  <c r="F11" i="6"/>
  <c r="E13" i="6"/>
  <c r="J13" i="6" s="1"/>
  <c r="E9" i="6"/>
  <c r="J9" i="6" s="1"/>
  <c r="H18" i="6"/>
  <c r="G8" i="6"/>
  <c r="E11" i="6"/>
  <c r="J11" i="6" s="1"/>
  <c r="E8" i="6"/>
  <c r="F14" i="6"/>
  <c r="H12" i="6"/>
  <c r="G16" i="6"/>
  <c r="F20" i="6"/>
  <c r="G10" i="6"/>
  <c r="E12" i="6"/>
  <c r="J12" i="6" s="1"/>
  <c r="G19" i="6"/>
  <c r="H16" i="6"/>
  <c r="F8" i="6"/>
  <c r="G15" i="6"/>
  <c r="G9" i="6"/>
  <c r="G17" i="6"/>
  <c r="F15" i="6"/>
  <c r="F17" i="6"/>
  <c r="G12" i="6"/>
  <c r="H17" i="6"/>
  <c r="G14" i="6"/>
  <c r="F16" i="6"/>
  <c r="E20" i="6"/>
  <c r="F10" i="6"/>
  <c r="F19" i="6"/>
  <c r="H14" i="6"/>
  <c r="E16" i="6"/>
  <c r="E19" i="6"/>
  <c r="G11" i="6"/>
  <c r="E15" i="6"/>
  <c r="J15" i="6" s="1"/>
  <c r="E17" i="6"/>
  <c r="M24" i="6"/>
  <c r="M30" i="6"/>
  <c r="M27" i="6"/>
  <c r="M31" i="6"/>
  <c r="G17" i="7"/>
  <c r="C21" i="5"/>
  <c r="C2" i="6"/>
  <c r="D28" i="2"/>
  <c r="D29" i="2"/>
  <c r="D27" i="2"/>
  <c r="D31" i="2" s="1"/>
  <c r="D30" i="2"/>
  <c r="G21" i="7"/>
  <c r="G22" i="7"/>
  <c r="G23" i="7"/>
  <c r="G20" i="7"/>
  <c r="G24" i="7"/>
  <c r="K3" i="7" a="1"/>
  <c r="C27" i="5"/>
  <c r="C24" i="5"/>
  <c r="C26" i="5"/>
  <c r="C25" i="5"/>
  <c r="C28" i="5"/>
  <c r="AB51" i="7" l="1"/>
  <c r="U48" i="7"/>
  <c r="N45" i="7"/>
  <c r="Z41" i="7"/>
  <c r="S38" i="7"/>
  <c r="L35" i="7"/>
  <c r="X31" i="7"/>
  <c r="Q28" i="7"/>
  <c r="AC24" i="7"/>
  <c r="X49" i="7"/>
  <c r="Z43" i="7"/>
  <c r="V50" i="7"/>
  <c r="O47" i="7"/>
  <c r="AA43" i="7"/>
  <c r="T40" i="7"/>
  <c r="M37" i="7"/>
  <c r="Y33" i="7"/>
  <c r="R30" i="7"/>
  <c r="K27" i="7"/>
  <c r="AA48" i="7"/>
  <c r="X41" i="7"/>
  <c r="P48" i="7"/>
  <c r="AA42" i="7"/>
  <c r="AA37" i="7"/>
  <c r="S33" i="7"/>
  <c r="AB28" i="7"/>
  <c r="R24" i="7"/>
  <c r="AB46" i="7"/>
  <c r="T41" i="7"/>
  <c r="W36" i="7"/>
  <c r="O32" i="7"/>
  <c r="AC51" i="7"/>
  <c r="V44" i="7"/>
  <c r="AB37" i="7"/>
  <c r="AB31" i="7"/>
  <c r="P26" i="7"/>
  <c r="N48" i="7"/>
  <c r="L41" i="7"/>
  <c r="Z34" i="7"/>
  <c r="Z28" i="7"/>
  <c r="X51" i="7"/>
  <c r="T44" i="7"/>
  <c r="L47" i="7"/>
  <c r="AC36" i="7"/>
  <c r="L29" i="7"/>
  <c r="AB38" i="7"/>
  <c r="K29" i="7"/>
  <c r="Z29" i="7"/>
  <c r="V36" i="7"/>
  <c r="U36" i="7"/>
  <c r="T36" i="7"/>
  <c r="R40" i="7"/>
  <c r="S44" i="7"/>
  <c r="X24" i="7"/>
  <c r="AC35" i="7"/>
  <c r="Y39" i="7"/>
  <c r="K45" i="7"/>
  <c r="M25" i="7"/>
  <c r="L25" i="7"/>
  <c r="U51" i="7"/>
  <c r="W49" i="7"/>
  <c r="Y38" i="7"/>
  <c r="X38" i="7"/>
  <c r="U34" i="7"/>
  <c r="U33" i="7"/>
  <c r="Q34" i="7"/>
  <c r="L36" i="7"/>
  <c r="S23" i="7"/>
  <c r="W23" i="7"/>
  <c r="T22" i="7"/>
  <c r="Q22" i="7"/>
  <c r="U22" i="7"/>
  <c r="M21" i="7"/>
  <c r="Y21" i="7"/>
  <c r="AB20" i="7"/>
  <c r="Y20" i="7"/>
  <c r="AC19" i="7"/>
  <c r="W16" i="7"/>
  <c r="R13" i="7"/>
  <c r="K10" i="7"/>
  <c r="AC14" i="7"/>
  <c r="AC13" i="7"/>
  <c r="M17" i="7"/>
  <c r="M10" i="7"/>
  <c r="Y11" i="7"/>
  <c r="T51" i="7"/>
  <c r="L51" i="7"/>
  <c r="X47" i="7"/>
  <c r="Q44" i="7"/>
  <c r="AC40" i="7"/>
  <c r="V37" i="7"/>
  <c r="O34" i="7"/>
  <c r="AA30" i="7"/>
  <c r="T27" i="7"/>
  <c r="M24" i="7"/>
  <c r="S48" i="7"/>
  <c r="M42" i="7"/>
  <c r="Y49" i="7"/>
  <c r="R46" i="7"/>
  <c r="K43" i="7"/>
  <c r="W39" i="7"/>
  <c r="P36" i="7"/>
  <c r="AB32" i="7"/>
  <c r="U29" i="7"/>
  <c r="N26" i="7"/>
  <c r="Y46" i="7"/>
  <c r="K40" i="7"/>
  <c r="AC46" i="7"/>
  <c r="U41" i="7"/>
  <c r="Z36" i="7"/>
  <c r="P32" i="7"/>
  <c r="Y27" i="7"/>
  <c r="AA50" i="7"/>
  <c r="S45" i="7"/>
  <c r="N40" i="7"/>
  <c r="V35" i="7"/>
  <c r="L31" i="7"/>
  <c r="K50" i="7"/>
  <c r="AB42" i="7"/>
  <c r="S36" i="7"/>
  <c r="Q30" i="7"/>
  <c r="AA24" i="7"/>
  <c r="T46" i="7"/>
  <c r="Q39" i="7"/>
  <c r="O33" i="7"/>
  <c r="R27" i="7"/>
  <c r="AB49" i="7"/>
  <c r="X42" i="7"/>
  <c r="R44" i="7"/>
  <c r="N35" i="7"/>
  <c r="N27" i="7"/>
  <c r="AB36" i="7"/>
  <c r="M27" i="7"/>
  <c r="K26" i="7"/>
  <c r="U31" i="7"/>
  <c r="T29" i="7"/>
  <c r="S31" i="7"/>
  <c r="P35" i="7"/>
  <c r="N38" i="7"/>
  <c r="AA49" i="7"/>
  <c r="V24" i="7"/>
  <c r="Y35" i="7"/>
  <c r="V39" i="7"/>
  <c r="AC44" i="7"/>
  <c r="L46" i="7"/>
  <c r="Q40" i="7"/>
  <c r="X46" i="7"/>
  <c r="AA36" i="7"/>
  <c r="Y29" i="7"/>
  <c r="U28" i="7"/>
  <c r="T28" i="7"/>
  <c r="Q27" i="7"/>
  <c r="N30" i="7"/>
  <c r="Z23" i="7"/>
  <c r="V23" i="7"/>
  <c r="AA22" i="7"/>
  <c r="P22" i="7"/>
  <c r="Z21" i="7"/>
  <c r="T21" i="7"/>
  <c r="X21" i="7"/>
  <c r="L20" i="7"/>
  <c r="X20" i="7"/>
  <c r="M19" i="7"/>
  <c r="AA15" i="7"/>
  <c r="U12" i="7"/>
  <c r="AA19" i="7"/>
  <c r="P13" i="7"/>
  <c r="P12" i="7"/>
  <c r="M15" i="7"/>
  <c r="Q18" i="7"/>
  <c r="AB19" i="7"/>
  <c r="W50" i="7"/>
  <c r="P47" i="7"/>
  <c r="AB43" i="7"/>
  <c r="U40" i="7"/>
  <c r="N37" i="7"/>
  <c r="Z33" i="7"/>
  <c r="S30" i="7"/>
  <c r="L27" i="7"/>
  <c r="L24" i="7"/>
  <c r="K48" i="7"/>
  <c r="P41" i="7"/>
  <c r="Q49" i="7"/>
  <c r="AC45" i="7"/>
  <c r="V42" i="7"/>
  <c r="O39" i="7"/>
  <c r="AA35" i="7"/>
  <c r="T32" i="7"/>
  <c r="M29" i="7"/>
  <c r="Y25" i="7"/>
  <c r="AB45" i="7"/>
  <c r="W51" i="7"/>
  <c r="O46" i="7"/>
  <c r="Z40" i="7"/>
  <c r="N36" i="7"/>
  <c r="Y31" i="7"/>
  <c r="O27" i="7"/>
  <c r="P50" i="7"/>
  <c r="AA44" i="7"/>
  <c r="T39" i="7"/>
  <c r="AC34" i="7"/>
  <c r="U30" i="7"/>
  <c r="N49" i="7"/>
  <c r="AC41" i="7"/>
  <c r="X35" i="7"/>
  <c r="X29" i="7"/>
  <c r="P24" i="7"/>
  <c r="R45" i="7"/>
  <c r="V38" i="7"/>
  <c r="V32" i="7"/>
  <c r="Z26" i="7"/>
  <c r="L49" i="7"/>
  <c r="AA41" i="7"/>
  <c r="M43" i="7"/>
  <c r="K34" i="7"/>
  <c r="R26" i="7"/>
  <c r="AB34" i="7"/>
  <c r="Q26" i="7"/>
  <c r="S24" i="7"/>
  <c r="V28" i="7"/>
  <c r="Y26" i="7"/>
  <c r="Q29" i="7"/>
  <c r="N33" i="7"/>
  <c r="O37" i="7"/>
  <c r="V48" i="7"/>
  <c r="W28" i="7"/>
  <c r="X32" i="7"/>
  <c r="U38" i="7"/>
  <c r="V40" i="7"/>
  <c r="W41" i="7"/>
  <c r="O35" i="7"/>
  <c r="P45" i="7"/>
  <c r="Z35" i="7"/>
  <c r="AB26" i="7"/>
  <c r="AB25" i="7"/>
  <c r="AA25" i="7"/>
  <c r="Y24" i="7"/>
  <c r="P27" i="7"/>
  <c r="R23" i="7"/>
  <c r="N23" i="7"/>
  <c r="S22" i="7"/>
  <c r="W22" i="7"/>
  <c r="O21" i="7"/>
  <c r="L21" i="7"/>
  <c r="P21" i="7"/>
  <c r="AA20" i="7"/>
  <c r="P20" i="7"/>
  <c r="X18" i="7"/>
  <c r="S15" i="7"/>
  <c r="M12" i="7"/>
  <c r="K19" i="7"/>
  <c r="S12" i="7"/>
  <c r="S11" i="7"/>
  <c r="Q14" i="7"/>
  <c r="T17" i="7"/>
  <c r="T19" i="7"/>
  <c r="O50" i="7"/>
  <c r="Z49" i="7"/>
  <c r="S46" i="7"/>
  <c r="L43" i="7"/>
  <c r="X39" i="7"/>
  <c r="Q36" i="7"/>
  <c r="AC32" i="7"/>
  <c r="V29" i="7"/>
  <c r="O26" i="7"/>
  <c r="AC50" i="7"/>
  <c r="Q46" i="7"/>
  <c r="AA51" i="7"/>
  <c r="T48" i="7"/>
  <c r="M45" i="7"/>
  <c r="Y41" i="7"/>
  <c r="R38" i="7"/>
  <c r="K35" i="7"/>
  <c r="W31" i="7"/>
  <c r="P28" i="7"/>
  <c r="AB24" i="7"/>
  <c r="O44" i="7"/>
  <c r="Q50" i="7"/>
  <c r="AB44" i="7"/>
  <c r="U39" i="7"/>
  <c r="M35" i="7"/>
  <c r="V30" i="7"/>
  <c r="L26" i="7"/>
  <c r="Z48" i="7"/>
  <c r="U43" i="7"/>
  <c r="Q38" i="7"/>
  <c r="AB33" i="7"/>
  <c r="R29" i="7"/>
  <c r="R47" i="7"/>
  <c r="P40" i="7"/>
  <c r="M34" i="7"/>
  <c r="M28" i="7"/>
  <c r="Z50" i="7"/>
  <c r="X43" i="7"/>
  <c r="K37" i="7"/>
  <c r="K31" i="7"/>
  <c r="T25" i="7"/>
  <c r="M47" i="7"/>
  <c r="Q51" i="7"/>
  <c r="AB39" i="7"/>
  <c r="K32" i="7"/>
  <c r="W24" i="7"/>
  <c r="K33" i="7"/>
  <c r="Y34" i="7"/>
  <c r="W46" i="7"/>
  <c r="X50" i="7"/>
  <c r="Z47" i="7"/>
  <c r="K24" i="7"/>
  <c r="S28" i="7"/>
  <c r="N32" i="7"/>
  <c r="L44" i="7"/>
  <c r="N51" i="7"/>
  <c r="X27" i="7"/>
  <c r="V33" i="7"/>
  <c r="Q35" i="7"/>
  <c r="Q32" i="7"/>
  <c r="N28" i="7"/>
  <c r="S42" i="7"/>
  <c r="Z31" i="7"/>
  <c r="AA47" i="7"/>
  <c r="M46" i="7"/>
  <c r="O43" i="7"/>
  <c r="AA45" i="7"/>
  <c r="T23" i="7"/>
  <c r="Q23" i="7"/>
  <c r="U23" i="7"/>
  <c r="Z22" i="7"/>
  <c r="V22" i="7"/>
  <c r="N21" i="7"/>
  <c r="S21" i="7"/>
  <c r="AC20" i="7"/>
  <c r="K20" i="7"/>
  <c r="O20" i="7"/>
  <c r="AA17" i="7"/>
  <c r="W14" i="7"/>
  <c r="P11" i="7"/>
  <c r="Y17" i="7"/>
  <c r="Y10" i="7"/>
  <c r="W19" i="7"/>
  <c r="L13" i="7"/>
  <c r="T15" i="7"/>
  <c r="W18" i="7"/>
  <c r="AC48" i="7"/>
  <c r="V45" i="7"/>
  <c r="O42" i="7"/>
  <c r="R49" i="7"/>
  <c r="M40" i="7"/>
  <c r="R33" i="7"/>
  <c r="W26" i="7"/>
  <c r="N47" i="7"/>
  <c r="AB48" i="7"/>
  <c r="N42" i="7"/>
  <c r="S35" i="7"/>
  <c r="X28" i="7"/>
  <c r="L45" i="7"/>
  <c r="W45" i="7"/>
  <c r="W35" i="7"/>
  <c r="X26" i="7"/>
  <c r="M44" i="7"/>
  <c r="S34" i="7"/>
  <c r="Q48" i="7"/>
  <c r="AA34" i="7"/>
  <c r="Y51" i="7"/>
  <c r="Y37" i="7"/>
  <c r="M26" i="7"/>
  <c r="K41" i="7"/>
  <c r="L33" i="7"/>
  <c r="AA33" i="7"/>
  <c r="T49" i="7"/>
  <c r="N24" i="7"/>
  <c r="O30" i="7"/>
  <c r="Y45" i="7"/>
  <c r="X30" i="7"/>
  <c r="S37" i="7"/>
  <c r="Q31" i="7"/>
  <c r="X33" i="7"/>
  <c r="T50" i="7"/>
  <c r="R50" i="7"/>
  <c r="Y23" i="7"/>
  <c r="K22" i="7"/>
  <c r="V21" i="7"/>
  <c r="W21" i="7"/>
  <c r="W20" i="7"/>
  <c r="K15" i="7"/>
  <c r="V18" i="7"/>
  <c r="V10" i="7"/>
  <c r="X16" i="7"/>
  <c r="V16" i="7"/>
  <c r="AB12" i="7"/>
  <c r="Q17" i="7"/>
  <c r="N11" i="7"/>
  <c r="N10" i="7"/>
  <c r="AB13" i="7"/>
  <c r="AA13" i="7"/>
  <c r="M18" i="7"/>
  <c r="AB14" i="7"/>
  <c r="U11" i="7"/>
  <c r="L18" i="7"/>
  <c r="AA14" i="7"/>
  <c r="T11" i="7"/>
  <c r="K18" i="7"/>
  <c r="AB15" i="7"/>
  <c r="AB9" i="7"/>
  <c r="Y9" i="7"/>
  <c r="AC8" i="7"/>
  <c r="V7" i="7"/>
  <c r="O4" i="7"/>
  <c r="X5" i="7"/>
  <c r="M8" i="7"/>
  <c r="U5" i="7"/>
  <c r="P6" i="7"/>
  <c r="AB7" i="7"/>
  <c r="U4" i="7"/>
  <c r="AB4" i="7"/>
  <c r="V8" i="7"/>
  <c r="V5" i="7"/>
  <c r="N3" i="7"/>
  <c r="S3" i="7"/>
  <c r="P3" i="7"/>
  <c r="M48" i="7"/>
  <c r="P39" i="7"/>
  <c r="U32" i="7"/>
  <c r="Z25" i="7"/>
  <c r="T45" i="7"/>
  <c r="L48" i="7"/>
  <c r="Q41" i="7"/>
  <c r="V34" i="7"/>
  <c r="AA27" i="7"/>
  <c r="K46" i="7"/>
  <c r="K38" i="7"/>
  <c r="P31" i="7"/>
  <c r="U24" i="7"/>
  <c r="AC42" i="7"/>
  <c r="Z46" i="7"/>
  <c r="L40" i="7"/>
  <c r="Q33" i="7"/>
  <c r="V26" i="7"/>
  <c r="AA40" i="7"/>
  <c r="P42" i="7"/>
  <c r="Z32" i="7"/>
  <c r="V51" i="7"/>
  <c r="Y40" i="7"/>
  <c r="V31" i="7"/>
  <c r="Y43" i="7"/>
  <c r="N31" i="7"/>
  <c r="Q47" i="7"/>
  <c r="L34" i="7"/>
  <c r="Y50" i="7"/>
  <c r="Z45" i="7"/>
  <c r="K28" i="7"/>
  <c r="AC27" i="7"/>
  <c r="X34" i="7"/>
  <c r="R34" i="7"/>
  <c r="V41" i="7"/>
  <c r="AB30" i="7"/>
  <c r="W40" i="7"/>
  <c r="Y48" i="7"/>
  <c r="R48" i="7"/>
  <c r="W33" i="7"/>
  <c r="T30" i="7"/>
  <c r="M33" i="7"/>
  <c r="O23" i="7"/>
  <c r="X22" i="7"/>
  <c r="AB21" i="7"/>
  <c r="T20" i="7"/>
  <c r="U19" i="7"/>
  <c r="AC12" i="7"/>
  <c r="M14" i="7"/>
  <c r="AC15" i="7"/>
  <c r="T10" i="7"/>
  <c r="R15" i="7"/>
  <c r="W11" i="7"/>
  <c r="Q15" i="7"/>
  <c r="R14" i="7"/>
  <c r="U17" i="7"/>
  <c r="U10" i="7"/>
  <c r="L10" i="7"/>
  <c r="AB16" i="7"/>
  <c r="W13" i="7"/>
  <c r="P10" i="7"/>
  <c r="AA16" i="7"/>
  <c r="V13" i="7"/>
  <c r="O10" i="7"/>
  <c r="Z16" i="7"/>
  <c r="N12" i="7"/>
  <c r="AA9" i="7"/>
  <c r="P9" i="7"/>
  <c r="Z6" i="7"/>
  <c r="Q6" i="7"/>
  <c r="Q5" i="7"/>
  <c r="N8" i="7"/>
  <c r="N5" i="7"/>
  <c r="R8" i="7"/>
  <c r="K5" i="7"/>
  <c r="W6" i="7"/>
  <c r="AA7" i="7"/>
  <c r="Z7" i="7"/>
  <c r="L6" i="7"/>
  <c r="L8" i="7"/>
  <c r="M3" i="7"/>
  <c r="R3" i="7"/>
  <c r="Y44" i="7"/>
  <c r="Y36" i="7"/>
  <c r="T43" i="7"/>
  <c r="AB35" i="7"/>
  <c r="N29" i="7"/>
  <c r="U50" i="7"/>
  <c r="S51" i="7"/>
  <c r="X44" i="7"/>
  <c r="AC37" i="7"/>
  <c r="O31" i="7"/>
  <c r="T24" i="7"/>
  <c r="V49" i="7"/>
  <c r="K39" i="7"/>
  <c r="L30" i="7"/>
  <c r="O48" i="7"/>
  <c r="Z37" i="7"/>
  <c r="AA28" i="7"/>
  <c r="R39" i="7"/>
  <c r="U27" i="7"/>
  <c r="Y42" i="7"/>
  <c r="P30" i="7"/>
  <c r="P46" i="7"/>
  <c r="L39" i="7"/>
  <c r="K47" i="7"/>
  <c r="AA32" i="7"/>
  <c r="V46" i="7"/>
  <c r="Y47" i="7"/>
  <c r="O29" i="7"/>
  <c r="O45" i="7"/>
  <c r="W30" i="7"/>
  <c r="P29" i="7"/>
  <c r="N41" i="7"/>
  <c r="Q43" i="7"/>
  <c r="N39" i="7"/>
  <c r="L23" i="7"/>
  <c r="M23" i="7"/>
  <c r="N22" i="7"/>
  <c r="K21" i="7"/>
  <c r="Z20" i="7"/>
  <c r="S17" i="7"/>
  <c r="AA10" i="7"/>
  <c r="Q10" i="7"/>
  <c r="O12" i="7"/>
  <c r="O18" i="7"/>
  <c r="N14" i="7"/>
  <c r="Z10" i="7"/>
  <c r="X13" i="7"/>
  <c r="X12" i="7"/>
  <c r="Q16" i="7"/>
  <c r="AB17" i="7"/>
  <c r="R19" i="7"/>
  <c r="L16" i="7"/>
  <c r="Z12" i="7"/>
  <c r="Q19" i="7"/>
  <c r="K16" i="7"/>
  <c r="Y12" i="7"/>
  <c r="P19" i="7"/>
  <c r="AC10" i="7"/>
  <c r="AC9" i="7"/>
  <c r="K9" i="7"/>
  <c r="O9" i="7"/>
  <c r="AA8" i="7"/>
  <c r="T5" i="7"/>
  <c r="W8" i="7"/>
  <c r="T6" i="7"/>
  <c r="T8" i="7"/>
  <c r="U7" i="7"/>
  <c r="N4" i="7"/>
  <c r="Z5" i="7"/>
  <c r="K7" i="7"/>
  <c r="M6" i="7"/>
  <c r="R4" i="7"/>
  <c r="AC5" i="7"/>
  <c r="T3" i="7"/>
  <c r="O3" i="7"/>
  <c r="AA46" i="7"/>
  <c r="Y28" i="7"/>
  <c r="K51" i="7"/>
  <c r="U37" i="7"/>
  <c r="R51" i="7"/>
  <c r="V43" i="7"/>
  <c r="R28" i="7"/>
  <c r="AC38" i="7"/>
  <c r="U46" i="7"/>
  <c r="AA26" i="7"/>
  <c r="U35" i="7"/>
  <c r="W43" i="7"/>
  <c r="S25" i="7"/>
  <c r="AC43" i="7"/>
  <c r="Z44" i="7"/>
  <c r="AA39" i="7"/>
  <c r="O49" i="7"/>
  <c r="K44" i="7"/>
  <c r="K42" i="7"/>
  <c r="AA23" i="7"/>
  <c r="Y22" i="7"/>
  <c r="Q21" i="7"/>
  <c r="P18" i="7"/>
  <c r="U16" i="7"/>
  <c r="R11" i="7"/>
  <c r="Z15" i="7"/>
  <c r="N18" i="7"/>
  <c r="U13" i="7"/>
  <c r="W12" i="7"/>
  <c r="AC18" i="7"/>
  <c r="L14" i="7"/>
  <c r="T18" i="7"/>
  <c r="N13" i="7"/>
  <c r="V17" i="7"/>
  <c r="U9" i="7"/>
  <c r="X9" i="7"/>
  <c r="K8" i="7"/>
  <c r="T4" i="7"/>
  <c r="AA6" i="7"/>
  <c r="M7" i="7"/>
  <c r="L7" i="7"/>
  <c r="Y5" i="7"/>
  <c r="O5" i="7"/>
  <c r="AC3" i="7"/>
  <c r="Q3" i="7"/>
  <c r="P38" i="7"/>
  <c r="V14" i="7"/>
  <c r="AA11" i="7"/>
  <c r="U18" i="7"/>
  <c r="O13" i="7"/>
  <c r="W17" i="7"/>
  <c r="N17" i="7"/>
  <c r="M9" i="7"/>
  <c r="W9" i="7"/>
  <c r="R7" i="7"/>
  <c r="K6" i="7"/>
  <c r="X6" i="7"/>
  <c r="O6" i="7"/>
  <c r="X7" i="7"/>
  <c r="U3" i="7"/>
  <c r="X3" i="7"/>
  <c r="R25" i="7"/>
  <c r="K25" i="7"/>
  <c r="AC49" i="7"/>
  <c r="W48" i="7"/>
  <c r="AC25" i="7"/>
  <c r="X25" i="7"/>
  <c r="V27" i="7"/>
  <c r="X37" i="7"/>
  <c r="X23" i="7"/>
  <c r="AC22" i="7"/>
  <c r="O16" i="7"/>
  <c r="V11" i="7"/>
  <c r="Y13" i="7"/>
  <c r="M16" i="7"/>
  <c r="K11" i="7"/>
  <c r="X17" i="7"/>
  <c r="R12" i="7"/>
  <c r="O17" i="7"/>
  <c r="R16" i="7"/>
  <c r="T9" i="7"/>
  <c r="V9" i="7"/>
  <c r="U6" i="7"/>
  <c r="Q4" i="7"/>
  <c r="AA5" i="7"/>
  <c r="O8" i="7"/>
  <c r="S6" i="7"/>
  <c r="AB3" i="7"/>
  <c r="W42" i="7"/>
  <c r="AB27" i="7"/>
  <c r="N50" i="7"/>
  <c r="X36" i="7"/>
  <c r="V47" i="7"/>
  <c r="O40" i="7"/>
  <c r="U25" i="7"/>
  <c r="P37" i="7"/>
  <c r="X45" i="7"/>
  <c r="V25" i="7"/>
  <c r="AA31" i="7"/>
  <c r="L50" i="7"/>
  <c r="O41" i="7"/>
  <c r="X40" i="7"/>
  <c r="O38" i="7"/>
  <c r="O25" i="7"/>
  <c r="R32" i="7"/>
  <c r="Z39" i="7"/>
  <c r="K23" i="7"/>
  <c r="O22" i="7"/>
  <c r="U20" i="7"/>
  <c r="K17" i="7"/>
  <c r="Y15" i="7"/>
  <c r="Y18" i="7"/>
  <c r="AC16" i="7"/>
  <c r="Z11" i="7"/>
  <c r="Q12" i="7"/>
  <c r="N7" i="7"/>
  <c r="L4" i="7"/>
  <c r="R41" i="7"/>
  <c r="W47" i="7"/>
  <c r="N34" i="7"/>
  <c r="R43" i="7"/>
  <c r="T38" i="7"/>
  <c r="M36" i="7"/>
  <c r="M41" i="7"/>
  <c r="W29" i="7"/>
  <c r="L38" i="7"/>
  <c r="R42" i="7"/>
  <c r="S50" i="7"/>
  <c r="M20" i="7"/>
  <c r="P14" i="7"/>
  <c r="V19" i="7"/>
  <c r="AB11" i="7"/>
  <c r="Y6" i="7"/>
  <c r="R5" i="7"/>
  <c r="W3" i="7"/>
  <c r="AA38" i="7"/>
  <c r="Z51" i="7"/>
  <c r="U45" i="7"/>
  <c r="L32" i="7"/>
  <c r="U42" i="7"/>
  <c r="Q37" i="7"/>
  <c r="U49" i="7"/>
  <c r="P33" i="7"/>
  <c r="W38" i="7"/>
  <c r="M49" i="7"/>
  <c r="L28" i="7"/>
  <c r="S41" i="7"/>
  <c r="AC31" i="7"/>
  <c r="Q42" i="7"/>
  <c r="X48" i="7"/>
  <c r="W37" i="7"/>
  <c r="O36" i="7"/>
  <c r="AC26" i="7"/>
  <c r="R37" i="7"/>
  <c r="P23" i="7"/>
  <c r="M22" i="7"/>
  <c r="S20" i="7"/>
  <c r="O14" i="7"/>
  <c r="N15" i="7"/>
  <c r="K13" i="7"/>
  <c r="Q13" i="7"/>
  <c r="U14" i="7"/>
  <c r="O19" i="7"/>
  <c r="P16" i="7"/>
  <c r="W34" i="7"/>
  <c r="P49" i="7"/>
  <c r="S43" i="7"/>
  <c r="AC29" i="7"/>
  <c r="K49" i="7"/>
  <c r="AC33" i="7"/>
  <c r="N46" i="7"/>
  <c r="AB29" i="7"/>
  <c r="T33" i="7"/>
  <c r="AB41" i="7"/>
  <c r="O24" i="7"/>
  <c r="K36" i="7"/>
  <c r="P25" i="7"/>
  <c r="P43" i="7"/>
  <c r="S26" i="7"/>
  <c r="S49" i="7"/>
  <c r="S47" i="7"/>
  <c r="Q24" i="7"/>
  <c r="N43" i="7"/>
  <c r="AB22" i="7"/>
  <c r="U21" i="7"/>
  <c r="Q20" i="7"/>
  <c r="X11" i="7"/>
  <c r="Z18" i="7"/>
  <c r="Z17" i="7"/>
  <c r="L12" i="7"/>
  <c r="K12" i="7"/>
  <c r="Y16" i="7"/>
  <c r="V12" i="7"/>
  <c r="X15" i="7"/>
  <c r="X10" i="7"/>
  <c r="O15" i="7"/>
  <c r="X19" i="7"/>
  <c r="X14" i="7"/>
  <c r="Z9" i="7"/>
  <c r="P7" i="7"/>
  <c r="W4" i="7"/>
  <c r="Q7" i="7"/>
  <c r="P4" i="7"/>
  <c r="Y8" i="7"/>
  <c r="X8" i="7"/>
  <c r="S4" i="7"/>
  <c r="O7" i="7"/>
  <c r="K3" i="7"/>
  <c r="M32" i="7"/>
  <c r="W44" i="7"/>
  <c r="AB40" i="7"/>
  <c r="S27" i="7"/>
  <c r="U47" i="7"/>
  <c r="M31" i="7"/>
  <c r="Z42" i="7"/>
  <c r="O28" i="7"/>
  <c r="W32" i="7"/>
  <c r="AC39" i="7"/>
  <c r="AC47" i="7"/>
  <c r="AC30" i="7"/>
  <c r="Y30" i="7"/>
  <c r="S39" i="7"/>
  <c r="P51" i="7"/>
  <c r="R35" i="7"/>
  <c r="W25" i="7"/>
  <c r="T37" i="7"/>
  <c r="M39" i="7"/>
  <c r="L22" i="7"/>
  <c r="AA21" i="7"/>
  <c r="V20" i="7"/>
  <c r="S10" i="7"/>
  <c r="AC17" i="7"/>
  <c r="R17" i="7"/>
  <c r="O11" i="7"/>
  <c r="V15" i="7"/>
  <c r="U15" i="7"/>
  <c r="Q11" i="7"/>
  <c r="P15" i="7"/>
  <c r="Y19" i="7"/>
  <c r="S14" i="7"/>
  <c r="AA18" i="7"/>
  <c r="S13" i="7"/>
  <c r="R9" i="7"/>
  <c r="X4" i="7"/>
  <c r="P8" i="7"/>
  <c r="W5" i="7"/>
  <c r="Z8" i="7"/>
  <c r="Q8" i="7"/>
  <c r="T35" i="7"/>
  <c r="AB50" i="7"/>
  <c r="L37" i="7"/>
  <c r="AA29" i="7"/>
  <c r="T26" i="7"/>
  <c r="AC21" i="7"/>
  <c r="L19" i="7"/>
  <c r="L15" i="7"/>
  <c r="S16" i="7"/>
  <c r="AB10" i="7"/>
  <c r="L5" i="7"/>
  <c r="S5" i="7"/>
  <c r="P5" i="7"/>
  <c r="AA3" i="7"/>
  <c r="K30" i="7"/>
  <c r="N44" i="7"/>
  <c r="AC28" i="7"/>
  <c r="Z27" i="7"/>
  <c r="O51" i="7"/>
  <c r="R21" i="7"/>
  <c r="N16" i="7"/>
  <c r="Z19" i="7"/>
  <c r="W15" i="7"/>
  <c r="L9" i="7"/>
  <c r="V6" i="7"/>
  <c r="V4" i="7"/>
  <c r="Y7" i="7"/>
  <c r="Z3" i="7"/>
  <c r="M50" i="7"/>
  <c r="T34" i="7"/>
  <c r="U44" i="7"/>
  <c r="S32" i="7"/>
  <c r="AB47" i="7"/>
  <c r="T12" i="7"/>
  <c r="K14" i="7"/>
  <c r="T7" i="7"/>
  <c r="S40" i="7"/>
  <c r="S29" i="7"/>
  <c r="R36" i="7"/>
  <c r="U26" i="7"/>
  <c r="T31" i="7"/>
  <c r="N20" i="7"/>
  <c r="S19" i="7"/>
  <c r="T16" i="7"/>
  <c r="L11" i="7"/>
  <c r="Q9" i="7"/>
  <c r="K4" i="7"/>
  <c r="AC4" i="7"/>
  <c r="Y4" i="7"/>
  <c r="P44" i="7"/>
  <c r="T47" i="7"/>
  <c r="Z24" i="7"/>
  <c r="P34" i="7"/>
  <c r="R31" i="7"/>
  <c r="Z13" i="7"/>
  <c r="AA12" i="7"/>
  <c r="T14" i="7"/>
  <c r="W10" i="7"/>
  <c r="N9" i="7"/>
  <c r="Z4" i="7"/>
  <c r="M4" i="7"/>
  <c r="AB8" i="7"/>
  <c r="P17" i="7"/>
  <c r="AA4" i="7"/>
  <c r="Y3" i="7"/>
  <c r="Z38" i="7"/>
  <c r="L42" i="7"/>
  <c r="Q45" i="7"/>
  <c r="T42" i="7"/>
  <c r="AB23" i="7"/>
  <c r="R10" i="7"/>
  <c r="Z14" i="7"/>
  <c r="AC11" i="7"/>
  <c r="S18" i="7"/>
  <c r="U8" i="7"/>
  <c r="W7" i="7"/>
  <c r="S7" i="7"/>
  <c r="M5" i="7"/>
  <c r="Z30" i="7"/>
  <c r="Y32" i="7"/>
  <c r="M38" i="7"/>
  <c r="N25" i="7"/>
  <c r="AC23" i="7"/>
  <c r="M13" i="7"/>
  <c r="R18" i="7"/>
  <c r="M11" i="7"/>
  <c r="N19" i="7"/>
  <c r="S8" i="7"/>
  <c r="R6" i="7"/>
  <c r="N6" i="7"/>
  <c r="V3" i="7"/>
  <c r="Q25" i="7"/>
  <c r="M51" i="7"/>
  <c r="M30" i="7"/>
  <c r="W27" i="7"/>
  <c r="R22" i="7"/>
  <c r="T13" i="7"/>
  <c r="Y14" i="7"/>
  <c r="AB18" i="7"/>
  <c r="L17" i="7"/>
  <c r="AB5" i="7"/>
  <c r="AC7" i="7"/>
  <c r="AC6" i="7"/>
  <c r="L3" i="7"/>
  <c r="R20" i="7"/>
  <c r="S9" i="7"/>
  <c r="AB6" i="7"/>
  <c r="C31" i="5"/>
  <c r="J8" i="6"/>
  <c r="E3" i="6"/>
  <c r="G16" i="7"/>
  <c r="D31" i="3"/>
  <c r="D27" i="8" a="1"/>
  <c r="L15" i="6"/>
  <c r="K13" i="6"/>
  <c r="L13" i="6"/>
  <c r="L11" i="6"/>
  <c r="K9" i="6"/>
  <c r="L14" i="6"/>
  <c r="K11" i="6"/>
  <c r="L9" i="6"/>
  <c r="K14" i="6"/>
  <c r="K12" i="6"/>
  <c r="L10" i="6"/>
  <c r="K15" i="6"/>
  <c r="L12" i="6"/>
  <c r="K10" i="6"/>
  <c r="E3" i="5" a="1"/>
  <c r="M12" i="6" l="1"/>
  <c r="M10" i="6"/>
  <c r="M9" i="6"/>
  <c r="M14" i="6"/>
  <c r="M11" i="6"/>
  <c r="M13" i="6"/>
  <c r="M15" i="6"/>
  <c r="J44" i="5"/>
  <c r="R40" i="5"/>
  <c r="H37" i="5"/>
  <c r="P33" i="5"/>
  <c r="J30" i="5"/>
  <c r="E46" i="5"/>
  <c r="M42" i="5"/>
  <c r="U38" i="5"/>
  <c r="K35" i="5"/>
  <c r="U31" i="5"/>
  <c r="K46" i="5"/>
  <c r="S42" i="5"/>
  <c r="I39" i="5"/>
  <c r="Q35" i="5"/>
  <c r="G32" i="5"/>
  <c r="F43" i="5"/>
  <c r="K37" i="5"/>
  <c r="R31" i="5"/>
  <c r="S45" i="5"/>
  <c r="F40" i="5"/>
  <c r="L34" i="5"/>
  <c r="S28" i="5"/>
  <c r="H42" i="5"/>
  <c r="M36" i="5"/>
  <c r="M30" i="5"/>
  <c r="J45" i="5"/>
  <c r="F36" i="5"/>
  <c r="G28" i="5"/>
  <c r="I38" i="5"/>
  <c r="Q29" i="5"/>
  <c r="L40" i="5"/>
  <c r="J31" i="5"/>
  <c r="J41" i="5"/>
  <c r="F32" i="5"/>
  <c r="L42" i="5"/>
  <c r="J33" i="5"/>
  <c r="G34" i="5"/>
  <c r="M35" i="5"/>
  <c r="V33" i="5"/>
  <c r="U30" i="5"/>
  <c r="F41" i="5"/>
  <c r="N29" i="5"/>
  <c r="U27" i="5"/>
  <c r="J27" i="5"/>
  <c r="N27" i="5"/>
  <c r="K26" i="5"/>
  <c r="G26" i="5"/>
  <c r="M25" i="5"/>
  <c r="Q25" i="5"/>
  <c r="F24" i="5"/>
  <c r="O24" i="5"/>
  <c r="U23" i="5"/>
  <c r="L20" i="5"/>
  <c r="V16" i="5"/>
  <c r="M13" i="5"/>
  <c r="O18" i="5"/>
  <c r="F15" i="5"/>
  <c r="O11" i="5"/>
  <c r="V21" i="5"/>
  <c r="N18" i="5"/>
  <c r="E15" i="5"/>
  <c r="N11" i="5"/>
  <c r="N22" i="5"/>
  <c r="E19" i="5"/>
  <c r="O15" i="5"/>
  <c r="F12" i="5"/>
  <c r="M22" i="5"/>
  <c r="V23" i="5"/>
  <c r="G16" i="5"/>
  <c r="G20" i="5"/>
  <c r="K12" i="5"/>
  <c r="H19" i="5"/>
  <c r="N23" i="5"/>
  <c r="N10" i="5"/>
  <c r="H12" i="5"/>
  <c r="S12" i="5"/>
  <c r="R12" i="5"/>
  <c r="U20" i="5"/>
  <c r="L17" i="5"/>
  <c r="L15" i="5"/>
  <c r="K15" i="5"/>
  <c r="O19" i="5"/>
  <c r="Q12" i="5"/>
  <c r="I8" i="5"/>
  <c r="Q4" i="5"/>
  <c r="K6" i="5"/>
  <c r="V8" i="5"/>
  <c r="L5" i="5"/>
  <c r="E8" i="5"/>
  <c r="M4" i="5"/>
  <c r="F7" i="5"/>
  <c r="H9" i="5"/>
  <c r="Q5" i="5"/>
  <c r="T7" i="5"/>
  <c r="E9" i="5"/>
  <c r="N5" i="5"/>
  <c r="V3" i="5"/>
  <c r="S3" i="5"/>
  <c r="O3" i="5"/>
  <c r="T43" i="5"/>
  <c r="J40" i="5"/>
  <c r="R36" i="5"/>
  <c r="H33" i="5"/>
  <c r="T29" i="5"/>
  <c r="O45" i="5"/>
  <c r="E42" i="5"/>
  <c r="M38" i="5"/>
  <c r="U34" i="5"/>
  <c r="M31" i="5"/>
  <c r="U45" i="5"/>
  <c r="K42" i="5"/>
  <c r="S38" i="5"/>
  <c r="I35" i="5"/>
  <c r="S31" i="5"/>
  <c r="J42" i="5"/>
  <c r="P36" i="5"/>
  <c r="G31" i="5"/>
  <c r="F45" i="5"/>
  <c r="M39" i="5"/>
  <c r="R33" i="5"/>
  <c r="J28" i="5"/>
  <c r="L41" i="5"/>
  <c r="R35" i="5"/>
  <c r="U29" i="5"/>
  <c r="E44" i="5"/>
  <c r="T34" i="5"/>
  <c r="I46" i="5"/>
  <c r="V36" i="5"/>
  <c r="U28" i="5"/>
  <c r="G39" i="5"/>
  <c r="P30" i="5"/>
  <c r="K40" i="5"/>
  <c r="I31" i="5"/>
  <c r="I41" i="5"/>
  <c r="E32" i="5"/>
  <c r="G29" i="5"/>
  <c r="G30" i="5"/>
  <c r="V30" i="5"/>
  <c r="V41" i="5"/>
  <c r="J35" i="5"/>
  <c r="N46" i="5"/>
  <c r="V42" i="5"/>
  <c r="L39" i="5"/>
  <c r="T35" i="5"/>
  <c r="J32" i="5"/>
  <c r="V28" i="5"/>
  <c r="Q44" i="5"/>
  <c r="G41" i="5"/>
  <c r="O37" i="5"/>
  <c r="E34" i="5"/>
  <c r="Q30" i="5"/>
  <c r="E45" i="5"/>
  <c r="M41" i="5"/>
  <c r="U37" i="5"/>
  <c r="K34" i="5"/>
  <c r="P46" i="5"/>
  <c r="U40" i="5"/>
  <c r="H35" i="5"/>
  <c r="E30" i="5"/>
  <c r="P43" i="5"/>
  <c r="V37" i="5"/>
  <c r="K32" i="5"/>
  <c r="R45" i="5"/>
  <c r="E40" i="5"/>
  <c r="J34" i="5"/>
  <c r="R28" i="5"/>
  <c r="S41" i="5"/>
  <c r="P32" i="5"/>
  <c r="V43" i="5"/>
  <c r="R34" i="5"/>
  <c r="H46" i="5"/>
  <c r="U36" i="5"/>
  <c r="Q28" i="5"/>
  <c r="S37" i="5"/>
  <c r="O29" i="5"/>
  <c r="E39" i="5"/>
  <c r="K30" i="5"/>
  <c r="K45" i="5"/>
  <c r="L38" i="5"/>
  <c r="L45" i="5"/>
  <c r="H30" i="5"/>
  <c r="H28" i="5"/>
  <c r="P40" i="5"/>
  <c r="T27" i="5"/>
  <c r="P27" i="5"/>
  <c r="M26" i="5"/>
  <c r="Q26" i="5"/>
  <c r="F26" i="5"/>
  <c r="L25" i="5"/>
  <c r="H25" i="5"/>
  <c r="L24" i="5"/>
  <c r="T24" i="5"/>
  <c r="O22" i="5"/>
  <c r="F19" i="5"/>
  <c r="P15" i="5"/>
  <c r="G12" i="5"/>
  <c r="I17" i="5"/>
  <c r="S13" i="5"/>
  <c r="J10" i="5"/>
  <c r="Q20" i="5"/>
  <c r="H17" i="5"/>
  <c r="R13" i="5"/>
  <c r="I10" i="5"/>
  <c r="H21" i="5"/>
  <c r="R17" i="5"/>
  <c r="J14" i="5"/>
  <c r="S10" i="5"/>
  <c r="G21" i="5"/>
  <c r="E21" i="5"/>
  <c r="N13" i="5"/>
  <c r="O17" i="5"/>
  <c r="O23" i="5"/>
  <c r="Q16" i="5"/>
  <c r="K18" i="5"/>
  <c r="R19" i="5"/>
  <c r="L21" i="5"/>
  <c r="K21" i="5"/>
  <c r="T21" i="5"/>
  <c r="R15" i="5"/>
  <c r="J11" i="5"/>
  <c r="H10" i="5"/>
  <c r="G10" i="5"/>
  <c r="E17" i="5"/>
  <c r="F10" i="5"/>
  <c r="U6" i="5"/>
  <c r="O8" i="5"/>
  <c r="E5" i="5"/>
  <c r="P7" i="5"/>
  <c r="F4" i="5"/>
  <c r="Q6" i="5"/>
  <c r="I9" i="5"/>
  <c r="R5" i="5"/>
  <c r="U7" i="5"/>
  <c r="K4" i="5"/>
  <c r="F6" i="5"/>
  <c r="R7" i="5"/>
  <c r="H4" i="5"/>
  <c r="U3" i="5"/>
  <c r="J3" i="5"/>
  <c r="F46" i="5"/>
  <c r="N42" i="5"/>
  <c r="V38" i="5"/>
  <c r="L35" i="5"/>
  <c r="V31" i="5"/>
  <c r="N28" i="5"/>
  <c r="I44" i="5"/>
  <c r="Q40" i="5"/>
  <c r="G37" i="5"/>
  <c r="O33" i="5"/>
  <c r="I30" i="5"/>
  <c r="O44" i="5"/>
  <c r="E41" i="5"/>
  <c r="M37" i="5"/>
  <c r="U33" i="5"/>
  <c r="T45" i="5"/>
  <c r="H40" i="5"/>
  <c r="O34" i="5"/>
  <c r="M29" i="5"/>
  <c r="E43" i="5"/>
  <c r="J37" i="5"/>
  <c r="Q31" i="5"/>
  <c r="V44" i="5"/>
  <c r="J39" i="5"/>
  <c r="Q33" i="5"/>
  <c r="I28" i="5"/>
  <c r="N40" i="5"/>
  <c r="O31" i="5"/>
  <c r="Q42" i="5"/>
  <c r="N33" i="5"/>
  <c r="T44" i="5"/>
  <c r="P35" i="5"/>
  <c r="G46" i="5"/>
  <c r="T36" i="5"/>
  <c r="P28" i="5"/>
  <c r="R37" i="5"/>
  <c r="R46" i="5"/>
  <c r="T38" i="5"/>
  <c r="N45" i="5"/>
  <c r="G42" i="5"/>
  <c r="N44" i="5"/>
  <c r="F44" i="5"/>
  <c r="N37" i="5"/>
  <c r="L27" i="5"/>
  <c r="H27" i="5"/>
  <c r="E26" i="5"/>
  <c r="I26" i="5"/>
  <c r="V25" i="5"/>
  <c r="S25" i="5"/>
  <c r="O25" i="5"/>
  <c r="S24" i="5"/>
  <c r="K24" i="5"/>
  <c r="G22" i="5"/>
  <c r="Q18" i="5"/>
  <c r="H15" i="5"/>
  <c r="Q11" i="5"/>
  <c r="T16" i="5"/>
  <c r="K13" i="5"/>
  <c r="R23" i="5"/>
  <c r="I20" i="5"/>
  <c r="S16" i="5"/>
  <c r="J13" i="5"/>
  <c r="Q23" i="5"/>
  <c r="S20" i="5"/>
  <c r="J17" i="5"/>
  <c r="T13" i="5"/>
  <c r="K10" i="5"/>
  <c r="R20" i="5"/>
  <c r="H20" i="5"/>
  <c r="P12" i="5"/>
  <c r="R16" i="5"/>
  <c r="P45" i="5"/>
  <c r="F42" i="5"/>
  <c r="N38" i="5"/>
  <c r="V34" i="5"/>
  <c r="N31" i="5"/>
  <c r="F28" i="5"/>
  <c r="S43" i="5"/>
  <c r="I40" i="5"/>
  <c r="Q36" i="5"/>
  <c r="G33" i="5"/>
  <c r="S29" i="5"/>
  <c r="G44" i="5"/>
  <c r="O40" i="5"/>
  <c r="E37" i="5"/>
  <c r="M33" i="5"/>
  <c r="I45" i="5"/>
  <c r="N39" i="5"/>
  <c r="S33" i="5"/>
  <c r="T28" i="5"/>
  <c r="I42" i="5"/>
  <c r="N36" i="5"/>
  <c r="N30" i="5"/>
  <c r="K44" i="5"/>
  <c r="P38" i="5"/>
  <c r="U32" i="5"/>
  <c r="J46" i="5"/>
  <c r="O39" i="5"/>
  <c r="T30" i="5"/>
  <c r="R41" i="5"/>
  <c r="N32" i="5"/>
  <c r="U43" i="5"/>
  <c r="Q34" i="5"/>
  <c r="S44" i="5"/>
  <c r="O35" i="5"/>
  <c r="V45" i="5"/>
  <c r="S36" i="5"/>
  <c r="H43" i="5"/>
  <c r="T32" i="5"/>
  <c r="G43" i="5"/>
  <c r="P39" i="5"/>
  <c r="O38" i="5"/>
  <c r="V40" i="5"/>
  <c r="H34" i="5"/>
  <c r="S27" i="5"/>
  <c r="O27" i="5"/>
  <c r="T26" i="5"/>
  <c r="P26" i="5"/>
  <c r="N25" i="5"/>
  <c r="K25" i="5"/>
  <c r="G25" i="5"/>
  <c r="J24" i="5"/>
  <c r="R24" i="5"/>
  <c r="Q21" i="5"/>
  <c r="I18" i="5"/>
  <c r="S14" i="5"/>
  <c r="I11" i="5"/>
  <c r="L16" i="5"/>
  <c r="U12" i="5"/>
  <c r="J23" i="5"/>
  <c r="S19" i="5"/>
  <c r="K16" i="5"/>
  <c r="T12" i="5"/>
  <c r="T23" i="5"/>
  <c r="K20" i="5"/>
  <c r="U16" i="5"/>
  <c r="L13" i="5"/>
  <c r="S23" i="5"/>
  <c r="J20" i="5"/>
  <c r="J19" i="5"/>
  <c r="R11" i="5"/>
  <c r="T15" i="5"/>
  <c r="S21" i="5"/>
  <c r="F14" i="5"/>
  <c r="U14" i="5"/>
  <c r="O16" i="5"/>
  <c r="E18" i="5"/>
  <c r="V17" i="5"/>
  <c r="H13" i="5"/>
  <c r="K11" i="5"/>
  <c r="O20" i="5"/>
  <c r="N20" i="5"/>
  <c r="H22" i="5"/>
  <c r="J15" i="5"/>
  <c r="N9" i="5"/>
  <c r="E6" i="5"/>
  <c r="Q7" i="5"/>
  <c r="G4" i="5"/>
  <c r="R6" i="5"/>
  <c r="J9" i="5"/>
  <c r="S5" i="5"/>
  <c r="L8" i="5"/>
  <c r="T4" i="5"/>
  <c r="E7" i="5"/>
  <c r="G9" i="5"/>
  <c r="J4" i="5"/>
  <c r="T6" i="5"/>
  <c r="V6" i="5"/>
  <c r="E3" i="5"/>
  <c r="E2" i="5" s="1"/>
  <c r="I3" i="5"/>
  <c r="H45" i="5"/>
  <c r="P41" i="5"/>
  <c r="F38" i="5"/>
  <c r="N34" i="5"/>
  <c r="F31" i="5"/>
  <c r="U46" i="5"/>
  <c r="K43" i="5"/>
  <c r="S39" i="5"/>
  <c r="I36" i="5"/>
  <c r="Q32" i="5"/>
  <c r="K29" i="5"/>
  <c r="Q43" i="5"/>
  <c r="G40" i="5"/>
  <c r="O36" i="5"/>
  <c r="E33" i="5"/>
  <c r="M44" i="5"/>
  <c r="R38" i="5"/>
  <c r="F33" i="5"/>
  <c r="K28" i="5"/>
  <c r="N41" i="5"/>
  <c r="U35" i="5"/>
  <c r="V29" i="5"/>
  <c r="O43" i="5"/>
  <c r="T37" i="5"/>
  <c r="H32" i="5"/>
  <c r="Q45" i="5"/>
  <c r="J38" i="5"/>
  <c r="R29" i="5"/>
  <c r="M40" i="5"/>
  <c r="L31" i="5"/>
  <c r="P42" i="5"/>
  <c r="L33" i="5"/>
  <c r="N43" i="5"/>
  <c r="F34" i="5"/>
  <c r="K39" i="5"/>
  <c r="I43" i="5"/>
  <c r="R43" i="5"/>
  <c r="T40" i="5"/>
  <c r="I37" i="5"/>
  <c r="E29" i="5"/>
  <c r="M32" i="5"/>
  <c r="M43" i="5"/>
  <c r="M28" i="5"/>
  <c r="H36" i="5"/>
  <c r="T31" i="5"/>
  <c r="G27" i="5"/>
  <c r="H26" i="5"/>
  <c r="R25" i="5"/>
  <c r="Q24" i="5"/>
  <c r="I21" i="5"/>
  <c r="K14" i="5"/>
  <c r="V15" i="5"/>
  <c r="T22" i="5"/>
  <c r="U15" i="5"/>
  <c r="L23" i="5"/>
  <c r="M16" i="5"/>
  <c r="K23" i="5"/>
  <c r="R18" i="5"/>
  <c r="G14" i="5"/>
  <c r="N17" i="5"/>
  <c r="I12" i="5"/>
  <c r="Q19" i="5"/>
  <c r="P23" i="5"/>
  <c r="K22" i="5"/>
  <c r="U11" i="5"/>
  <c r="M20" i="5"/>
  <c r="V9" i="5"/>
  <c r="I4" i="5"/>
  <c r="S9" i="5"/>
  <c r="N4" i="5"/>
  <c r="U4" i="5"/>
  <c r="J5" i="5"/>
  <c r="I5" i="5"/>
  <c r="U9" i="5"/>
  <c r="P4" i="5"/>
  <c r="L3" i="5"/>
  <c r="V46" i="5"/>
  <c r="R32" i="5"/>
  <c r="E38" i="5"/>
  <c r="U41" i="5"/>
  <c r="Q41" i="5"/>
  <c r="Q38" i="5"/>
  <c r="F35" i="5"/>
  <c r="U44" i="5"/>
  <c r="P29" i="5"/>
  <c r="V39" i="5"/>
  <c r="T41" i="5"/>
  <c r="S32" i="5"/>
  <c r="H29" i="5"/>
  <c r="V27" i="5"/>
  <c r="O26" i="5"/>
  <c r="J25" i="5"/>
  <c r="P24" i="5"/>
  <c r="T20" i="5"/>
  <c r="U13" i="5"/>
  <c r="N15" i="5"/>
  <c r="L22" i="5"/>
  <c r="M15" i="5"/>
  <c r="V22" i="5"/>
  <c r="E16" i="5"/>
  <c r="U22" i="5"/>
  <c r="T17" i="5"/>
  <c r="I13" i="5"/>
  <c r="S15" i="5"/>
  <c r="I23" i="5"/>
  <c r="J16" i="5"/>
  <c r="R22" i="5"/>
  <c r="P20" i="5"/>
  <c r="I22" i="5"/>
  <c r="S18" i="5"/>
  <c r="F9" i="5"/>
  <c r="L9" i="5"/>
  <c r="K9" i="5"/>
  <c r="R9" i="5"/>
  <c r="E4" i="5"/>
  <c r="L4" i="5"/>
  <c r="S4" i="5"/>
  <c r="M9" i="5"/>
  <c r="T9" i="5"/>
  <c r="K3" i="5"/>
  <c r="R44" i="5"/>
  <c r="Q39" i="5"/>
  <c r="G38" i="5"/>
  <c r="G35" i="5"/>
  <c r="P31" i="5"/>
  <c r="H39" i="5"/>
  <c r="N35" i="5"/>
  <c r="M27" i="5"/>
  <c r="I25" i="5"/>
  <c r="Q14" i="5"/>
  <c r="G15" i="5"/>
  <c r="M21" i="5"/>
  <c r="Q8" i="5"/>
  <c r="O9" i="5"/>
  <c r="L43" i="5"/>
  <c r="L29" i="5"/>
  <c r="M34" i="5"/>
  <c r="K38" i="5"/>
  <c r="V35" i="5"/>
  <c r="V32" i="5"/>
  <c r="I29" i="5"/>
  <c r="E36" i="5"/>
  <c r="F39" i="5"/>
  <c r="I34" i="5"/>
  <c r="R39" i="5"/>
  <c r="F30" i="5"/>
  <c r="E27" i="5"/>
  <c r="U26" i="5"/>
  <c r="N26" i="5"/>
  <c r="P25" i="5"/>
  <c r="M24" i="5"/>
  <c r="N19" i="5"/>
  <c r="O12" i="5"/>
  <c r="I14" i="5"/>
  <c r="F21" i="5"/>
  <c r="H14" i="5"/>
  <c r="P21" i="5"/>
  <c r="R14" i="5"/>
  <c r="O21" i="5"/>
  <c r="L14" i="5"/>
  <c r="P10" i="5"/>
  <c r="L11" i="5"/>
  <c r="J18" i="5"/>
  <c r="E11" i="5"/>
  <c r="O10" i="5"/>
  <c r="F13" i="5"/>
  <c r="F17" i="5"/>
  <c r="H16" i="5"/>
  <c r="S7" i="5"/>
  <c r="I7" i="5"/>
  <c r="F8" i="5"/>
  <c r="M8" i="5"/>
  <c r="T8" i="5"/>
  <c r="S8" i="5"/>
  <c r="R8" i="5"/>
  <c r="H8" i="5"/>
  <c r="R4" i="5"/>
  <c r="Q3" i="5"/>
  <c r="S6" i="5"/>
  <c r="O7" i="5"/>
  <c r="V7" i="5"/>
  <c r="K8" i="5"/>
  <c r="J8" i="5"/>
  <c r="J7" i="5"/>
  <c r="N3" i="5"/>
  <c r="M7" i="5"/>
  <c r="L7" i="5"/>
  <c r="L6" i="5"/>
  <c r="H3" i="5"/>
  <c r="P37" i="5"/>
  <c r="O32" i="5"/>
  <c r="O46" i="5"/>
  <c r="T42" i="5"/>
  <c r="F37" i="5"/>
  <c r="K41" i="5"/>
  <c r="L37" i="5"/>
  <c r="T46" i="5"/>
  <c r="R26" i="5"/>
  <c r="M23" i="5"/>
  <c r="G18" i="5"/>
  <c r="F11" i="5"/>
  <c r="P11" i="5"/>
  <c r="I19" i="5"/>
  <c r="M10" i="5"/>
  <c r="M17" i="5"/>
  <c r="S11" i="5"/>
  <c r="M5" i="5"/>
  <c r="I6" i="5"/>
  <c r="O6" i="5"/>
  <c r="G3" i="5"/>
  <c r="O41" i="5"/>
  <c r="L44" i="5"/>
  <c r="T33" i="5"/>
  <c r="P44" i="5"/>
  <c r="J43" i="5"/>
  <c r="J26" i="5"/>
  <c r="E24" i="5"/>
  <c r="Q17" i="5"/>
  <c r="P17" i="5"/>
  <c r="H18" i="5"/>
  <c r="M18" i="5"/>
  <c r="G13" i="5"/>
  <c r="E14" i="5"/>
  <c r="J21" i="5"/>
  <c r="V4" i="5"/>
  <c r="G6" i="5"/>
  <c r="F5" i="5"/>
  <c r="S35" i="5"/>
  <c r="H44" i="5"/>
  <c r="V26" i="5"/>
  <c r="V19" i="5"/>
  <c r="N21" i="5"/>
  <c r="F22" i="5"/>
  <c r="I15" i="5"/>
  <c r="J12" i="5"/>
  <c r="V14" i="5"/>
  <c r="Q15" i="5"/>
  <c r="U17" i="5"/>
  <c r="U8" i="5"/>
  <c r="P9" i="5"/>
  <c r="P5" i="5"/>
  <c r="H41" i="5"/>
  <c r="M46" i="5"/>
  <c r="I32" i="5"/>
  <c r="G36" i="5"/>
  <c r="L32" i="5"/>
  <c r="J29" i="5"/>
  <c r="Q46" i="5"/>
  <c r="S30" i="5"/>
  <c r="P34" i="5"/>
  <c r="H31" i="5"/>
  <c r="L36" i="5"/>
  <c r="Q37" i="5"/>
  <c r="K27" i="5"/>
  <c r="L26" i="5"/>
  <c r="F25" i="5"/>
  <c r="V24" i="5"/>
  <c r="I24" i="5"/>
  <c r="S17" i="5"/>
  <c r="T10" i="5"/>
  <c r="M12" i="5"/>
  <c r="K19" i="5"/>
  <c r="L12" i="5"/>
  <c r="U19" i="5"/>
  <c r="V12" i="5"/>
  <c r="T19" i="5"/>
  <c r="U10" i="5"/>
  <c r="Q22" i="5"/>
  <c r="R21" i="5"/>
  <c r="T14" i="5"/>
  <c r="G23" i="5"/>
  <c r="P22" i="5"/>
  <c r="H23" i="5"/>
  <c r="P13" i="5"/>
  <c r="M14" i="5"/>
  <c r="K7" i="5"/>
  <c r="H7" i="5"/>
  <c r="P3" i="5"/>
  <c r="S46" i="5"/>
  <c r="K36" i="5"/>
  <c r="Q27" i="5"/>
  <c r="U24" i="5"/>
  <c r="N16" i="5"/>
  <c r="G11" i="5"/>
  <c r="P18" i="5"/>
  <c r="S22" i="5"/>
  <c r="P16" i="5"/>
  <c r="I16" i="5"/>
  <c r="F23" i="5"/>
  <c r="O5" i="5"/>
  <c r="P6" i="5"/>
  <c r="N6" i="5"/>
  <c r="M3" i="5"/>
  <c r="J36" i="5"/>
  <c r="K31" i="5"/>
  <c r="S40" i="5"/>
  <c r="H38" i="5"/>
  <c r="O28" i="5"/>
  <c r="I27" i="5"/>
  <c r="T25" i="5"/>
  <c r="F16" i="5"/>
  <c r="R10" i="5"/>
  <c r="Q10" i="5"/>
  <c r="U21" i="5"/>
  <c r="L18" i="5"/>
  <c r="J22" i="5"/>
  <c r="Q13" i="5"/>
  <c r="V10" i="5"/>
  <c r="O4" i="5"/>
  <c r="K5" i="5"/>
  <c r="H5" i="5"/>
  <c r="T3" i="5"/>
  <c r="R30" i="5"/>
  <c r="O42" i="5"/>
  <c r="L28" i="5"/>
  <c r="F27" i="5"/>
  <c r="G24" i="5"/>
  <c r="E13" i="5"/>
  <c r="P14" i="5"/>
  <c r="E22" i="5"/>
  <c r="M11" i="5"/>
  <c r="O14" i="5"/>
  <c r="T18" i="5"/>
  <c r="N8" i="5"/>
  <c r="Q9" i="5"/>
  <c r="P8" i="5"/>
  <c r="T39" i="5"/>
  <c r="G45" i="5"/>
  <c r="E31" i="5"/>
  <c r="S34" i="5"/>
  <c r="O30" i="5"/>
  <c r="L46" i="5"/>
  <c r="R42" i="5"/>
  <c r="E28" i="5"/>
  <c r="K33" i="5"/>
  <c r="U39" i="5"/>
  <c r="F29" i="5"/>
  <c r="E35" i="5"/>
  <c r="R27" i="5"/>
  <c r="S26" i="5"/>
  <c r="U25" i="5"/>
  <c r="N24" i="5"/>
  <c r="H24" i="5"/>
  <c r="K17" i="5"/>
  <c r="L10" i="5"/>
  <c r="E12" i="5"/>
  <c r="V18" i="5"/>
  <c r="V11" i="5"/>
  <c r="M19" i="5"/>
  <c r="N12" i="5"/>
  <c r="L19" i="5"/>
  <c r="E10" i="5"/>
  <c r="V20" i="5"/>
  <c r="E20" i="5"/>
  <c r="V13" i="5"/>
  <c r="P19" i="5"/>
  <c r="G19" i="5"/>
  <c r="U18" i="5"/>
  <c r="T11" i="5"/>
  <c r="O13" i="5"/>
  <c r="M6" i="5"/>
  <c r="U5" i="5"/>
  <c r="J6" i="5"/>
  <c r="G7" i="5"/>
  <c r="N7" i="5"/>
  <c r="F3" i="5"/>
  <c r="U42" i="5"/>
  <c r="L30" i="5"/>
  <c r="E25" i="5"/>
  <c r="F18" i="5"/>
  <c r="F20" i="5"/>
  <c r="G17" i="5"/>
  <c r="T5" i="5"/>
  <c r="V5" i="5"/>
  <c r="M45" i="5"/>
  <c r="I33" i="5"/>
  <c r="E23" i="5"/>
  <c r="H11" i="5"/>
  <c r="N14" i="5"/>
  <c r="G5" i="5"/>
  <c r="H6" i="5"/>
  <c r="G8" i="5"/>
  <c r="R3" i="5"/>
  <c r="D28" i="8"/>
  <c r="D27" i="8"/>
  <c r="D31" i="8" s="1"/>
  <c r="D30" i="8"/>
  <c r="D29" i="8"/>
  <c r="K8" i="6"/>
  <c r="L8" i="6"/>
  <c r="M8" i="6" l="1"/>
  <c r="M5" i="6" s="1"/>
  <c r="E36" i="6" a="1"/>
  <c r="E38" i="6"/>
  <c r="E39" i="6"/>
  <c r="E36" i="6"/>
  <c r="E41" i="6"/>
  <c r="E37" i="6"/>
  <c r="E42" i="6"/>
  <c r="E43" i="6"/>
  <c r="E40" i="6"/>
  <c r="F36" i="6" a="1"/>
  <c r="F42" i="6"/>
  <c r="G42" i="6"/>
  <c r="H42" i="6"/>
  <c r="F38" i="6"/>
  <c r="G38" i="6"/>
  <c r="F37" i="6"/>
  <c r="F36" i="6"/>
  <c r="H36" i="6" s="1"/>
  <c r="G36" i="6"/>
  <c r="F39" i="6"/>
  <c r="F43" i="6"/>
  <c r="G43" i="6"/>
  <c r="F41" i="6"/>
  <c r="H41" i="6" s="1"/>
  <c r="F40" i="6"/>
  <c r="G40" i="6"/>
  <c r="H40" i="6"/>
  <c r="G41" i="6"/>
  <c r="G39" i="6"/>
  <c r="G37" i="6"/>
  <c r="H43" i="6" l="1"/>
  <c r="H37" i="6"/>
  <c r="H39" i="6"/>
  <c r="H38" i="6"/>
</calcChain>
</file>

<file path=xl/sharedStrings.xml><?xml version="1.0" encoding="utf-8"?>
<sst xmlns="http://schemas.openxmlformats.org/spreadsheetml/2006/main" count="604" uniqueCount="229">
  <si>
    <t>Settings</t>
  </si>
  <si>
    <t>MARKETDATAPROPERTIES</t>
  </si>
  <si>
    <t>OIS</t>
  </si>
  <si>
    <t>LIBOROISBASISSPREADS</t>
  </si>
  <si>
    <t xml:space="preserve"> </t>
  </si>
  <si>
    <t>SWAPS</t>
  </si>
  <si>
    <t>Term</t>
  </si>
  <si>
    <t>Rate</t>
  </si>
  <si>
    <t>StartDate</t>
  </si>
  <si>
    <t>EndDate</t>
  </si>
  <si>
    <t>Use</t>
  </si>
  <si>
    <t>Currency</t>
  </si>
  <si>
    <t>USD</t>
  </si>
  <si>
    <t>ON</t>
  </si>
  <si>
    <t>4Y</t>
  </si>
  <si>
    <t>CurveType</t>
  </si>
  <si>
    <t>1W</t>
  </si>
  <si>
    <t>5Y</t>
  </si>
  <si>
    <t>CurveIndexFrequency</t>
  </si>
  <si>
    <t>DAILY</t>
  </si>
  <si>
    <t>2W</t>
  </si>
  <si>
    <t>7Y</t>
  </si>
  <si>
    <t>AsOfDate</t>
  </si>
  <si>
    <t>3W</t>
  </si>
  <si>
    <t>10Y</t>
  </si>
  <si>
    <t>1M</t>
  </si>
  <si>
    <t>12Y</t>
  </si>
  <si>
    <t>2M</t>
  </si>
  <si>
    <t>15Y</t>
  </si>
  <si>
    <t>Create Market Data Handle</t>
  </si>
  <si>
    <t>3M</t>
  </si>
  <si>
    <t>20Y</t>
  </si>
  <si>
    <t>Handle Name</t>
  </si>
  <si>
    <t>USD_OIS_CURVE_MARKETDATA</t>
  </si>
  <si>
    <t>4M</t>
  </si>
  <si>
    <t>25Y</t>
  </si>
  <si>
    <t>Market Data Handle</t>
  </si>
  <si>
    <t>5M</t>
  </si>
  <si>
    <t>30Y</t>
  </si>
  <si>
    <t>6M</t>
  </si>
  <si>
    <t>9M</t>
  </si>
  <si>
    <t>1Y</t>
  </si>
  <si>
    <t>2Y</t>
  </si>
  <si>
    <t>Curve Dictionary</t>
  </si>
  <si>
    <t>USD_OIS_CURVE</t>
  </si>
  <si>
    <t>Curve Generator</t>
  </si>
  <si>
    <t>Domestic Curve Collection</t>
  </si>
  <si>
    <t>USDYC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</si>
  <si>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</si>
  <si>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</si>
  <si>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</si>
  <si>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</si>
  <si>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</si>
  <si>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</si>
  <si>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LIBORFIXINGS</t>
  </si>
  <si>
    <t>FUTURES</t>
  </si>
  <si>
    <t>Volatility</t>
  </si>
  <si>
    <t>SWAP</t>
  </si>
  <si>
    <t>3Y</t>
  </si>
  <si>
    <t>QUARTERLY</t>
  </si>
  <si>
    <t>8Y</t>
  </si>
  <si>
    <t>9Y</t>
  </si>
  <si>
    <t>USD_SWAP_3M_CURVE_MARKETDATA</t>
  </si>
  <si>
    <t>40Y</t>
  </si>
  <si>
    <t>50Y</t>
  </si>
  <si>
    <t>USD_SWAP_3M_CURVE</t>
  </si>
  <si>
    <t>USD_SWAP_3M</t>
  </si>
  <si>
    <t>LEGTYPE</t>
  </si>
  <si>
    <t>Leg1:Premium</t>
  </si>
  <si>
    <t>Leg2:Float</t>
  </si>
  <si>
    <t>LEVERAGE</t>
  </si>
  <si>
    <t>1</t>
  </si>
  <si>
    <t>FORECASTCURVE</t>
  </si>
  <si>
    <t/>
  </si>
  <si>
    <t>USD3ML</t>
  </si>
  <si>
    <t>COMPOUNDMETHOD</t>
  </si>
  <si>
    <t>NONE</t>
  </si>
  <si>
    <t>NOTIONALEXCHANGE</t>
  </si>
  <si>
    <t>DISCOUNTCURVE</t>
  </si>
  <si>
    <t>USDOIS</t>
  </si>
  <si>
    <t>VALUATIONCURRENCY</t>
  </si>
  <si>
    <t>CURRENCY</t>
  </si>
  <si>
    <t>ACCRUALFREQUENCY</t>
  </si>
  <si>
    <t>Quarterly</t>
  </si>
  <si>
    <t>ACCRUALBUSINESSDAYADJUSTMENT</t>
  </si>
  <si>
    <t>FOLLOWING</t>
  </si>
  <si>
    <t>ACCRUALCALENDAR</t>
  </si>
  <si>
    <t>NYB:LNB</t>
  </si>
  <si>
    <t>ACCRUALDAYCOUNT</t>
  </si>
  <si>
    <t>ACT/360</t>
  </si>
  <si>
    <t>PAYMENTFREQUENCY</t>
  </si>
  <si>
    <t>PAYMENTBUSINESSDAYADJUSTMENT</t>
  </si>
  <si>
    <t>PAYMENTCALENDAR</t>
  </si>
  <si>
    <t>PAYMENTLAG</t>
  </si>
  <si>
    <t>0D</t>
  </si>
  <si>
    <t>FIRSTSTUBDATE</t>
  </si>
  <si>
    <t>LASTSTUBDATE</t>
  </si>
  <si>
    <t>ROLLDAY</t>
  </si>
  <si>
    <t>NORMAL</t>
  </si>
  <si>
    <t>STUBTYPE</t>
  </si>
  <si>
    <t>ShortStart</t>
  </si>
  <si>
    <t>FIXINGBUSINESSDAYADJUSTMENT</t>
  </si>
  <si>
    <t>FIXINGCALENDAR</t>
  </si>
  <si>
    <t>FIXINGLAG</t>
  </si>
  <si>
    <t>FIXINGADVANCEORARREAR</t>
  </si>
  <si>
    <t>FIRSTSTUBCURVEINDEX</t>
  </si>
  <si>
    <t>LASTSTUBCURVEINDEX</t>
  </si>
  <si>
    <t>GeneratorName</t>
  </si>
  <si>
    <t>Create Generator</t>
  </si>
  <si>
    <t>USD_TRS_3ML</t>
  </si>
  <si>
    <t>CREATE TRS</t>
  </si>
  <si>
    <t>SwapName</t>
  </si>
  <si>
    <t>TRS_0.15_FEB2028</t>
  </si>
  <si>
    <t>CreateTRS</t>
  </si>
  <si>
    <t>TRS TRADE PARAMETERS</t>
  </si>
  <si>
    <t>SwapGenerator</t>
  </si>
  <si>
    <t>PayReceivePremium</t>
  </si>
  <si>
    <t>RECEIVE</t>
  </si>
  <si>
    <t>Notional</t>
  </si>
  <si>
    <t>EffectiveDate</t>
  </si>
  <si>
    <t>MaturityDate</t>
  </si>
  <si>
    <t>FixedRate</t>
  </si>
  <si>
    <t>MODEL INPUTS</t>
  </si>
  <si>
    <t>IRCurve</t>
  </si>
  <si>
    <t>CreditModel</t>
  </si>
  <si>
    <t>PRICE RESULTS</t>
  </si>
  <si>
    <t>Total PV</t>
  </si>
  <si>
    <t>ParRate</t>
  </si>
  <si>
    <t>ParSpread</t>
  </si>
  <si>
    <t>FloatSpread (bps)</t>
  </si>
  <si>
    <t>CREATE MODEL</t>
  </si>
  <si>
    <t>ModelName</t>
  </si>
  <si>
    <t>CREDITMODEL1</t>
  </si>
  <si>
    <t>CreateModel</t>
  </si>
  <si>
    <t>+/-</t>
  </si>
  <si>
    <t>MODEL_PROPERTIES</t>
  </si>
  <si>
    <t>MODEL CALIBRATION</t>
  </si>
  <si>
    <t>CHECK CALIBRATION RESULTS</t>
  </si>
  <si>
    <t>Tenor</t>
  </si>
  <si>
    <t>HazardRate</t>
  </si>
  <si>
    <t>SurvivalProbability</t>
  </si>
  <si>
    <t>DefaultProbability</t>
  </si>
  <si>
    <t>SpotLag</t>
  </si>
  <si>
    <t>5D</t>
  </si>
  <si>
    <t>SpotBusinessDayAdjustment</t>
  </si>
  <si>
    <t>SpotCalendar</t>
  </si>
  <si>
    <t>NYB</t>
  </si>
  <si>
    <t>AccrualStartDate</t>
  </si>
  <si>
    <t>IMMReferenceDate</t>
  </si>
  <si>
    <t>&lt;--- Last IMM Date</t>
  </si>
  <si>
    <t>RecoveryRate</t>
  </si>
  <si>
    <t>IncludeAccruedInterest</t>
  </si>
  <si>
    <t>USD_CDS_IMM</t>
  </si>
  <si>
    <t>CreditIndex</t>
  </si>
  <si>
    <t>US9128282R06</t>
  </si>
  <si>
    <t>Interpolation</t>
  </si>
  <si>
    <t>PiecewiseConstant</t>
  </si>
  <si>
    <t>Extrapolation</t>
  </si>
  <si>
    <t>Flat</t>
  </si>
  <si>
    <t>CDS_MARKETDATA</t>
  </si>
  <si>
    <t>CALIBRATION REPRICING CHECK</t>
  </si>
  <si>
    <t>CDS Spread</t>
  </si>
  <si>
    <t>PayRec</t>
  </si>
  <si>
    <t>CDS</t>
  </si>
  <si>
    <t>PV</t>
  </si>
  <si>
    <t>PAY</t>
  </si>
  <si>
    <t>RISKY DISCOUNT FACTORS</t>
  </si>
  <si>
    <t>DF</t>
  </si>
  <si>
    <t>RiskyDF</t>
  </si>
  <si>
    <t>Manual</t>
  </si>
  <si>
    <t>EDM8</t>
  </si>
  <si>
    <t>EDU8</t>
  </si>
  <si>
    <t>EDZ8</t>
  </si>
  <si>
    <t>EDH9</t>
  </si>
  <si>
    <t>EDM9</t>
  </si>
  <si>
    <t>EDU9</t>
  </si>
  <si>
    <t>EDZ9</t>
  </si>
  <si>
    <t>EDH0</t>
  </si>
  <si>
    <t>START_AND_END</t>
  </si>
  <si>
    <t>CREATE GENERATOR</t>
  </si>
  <si>
    <t>GENERATOR TEMPLATE</t>
  </si>
  <si>
    <t>2D</t>
  </si>
  <si>
    <t>SEMI-ANNUAL</t>
  </si>
  <si>
    <t>TENORBASIS</t>
  </si>
  <si>
    <t>USD_BASIS_6M_CURVE_MARKETDATA</t>
  </si>
  <si>
    <t>USD_BASIS_6M</t>
  </si>
  <si>
    <t>6Y</t>
  </si>
  <si>
    <t>USD_BASIS_3X6</t>
  </si>
  <si>
    <t>BASISSWAPS</t>
  </si>
  <si>
    <t>USD6ML</t>
  </si>
  <si>
    <t>SHORTSTART</t>
  </si>
  <si>
    <t>Unadjusted</t>
  </si>
  <si>
    <t>CASHFLOW DISPLAY INPUTS</t>
  </si>
  <si>
    <t>PAYMENTTRIGGER</t>
  </si>
  <si>
    <t>TRS_USD_CT10</t>
  </si>
  <si>
    <t>USD_TREASURY</t>
  </si>
  <si>
    <t>PayOnSurvival</t>
  </si>
  <si>
    <t>CDSCurveCollection</t>
  </si>
  <si>
    <t>PayReceive</t>
  </si>
  <si>
    <t>RateOrSpread2</t>
  </si>
  <si>
    <t>BondName</t>
  </si>
  <si>
    <t>RateOrSpread1</t>
  </si>
  <si>
    <t>AssetPerformance</t>
  </si>
  <si>
    <t>PayAtMaturity</t>
  </si>
  <si>
    <t>FirstFixing1</t>
  </si>
  <si>
    <t>USD_OIS_LOB_3Y</t>
  </si>
  <si>
    <t>912828Q2 Govt</t>
  </si>
  <si>
    <t>US912828Q293</t>
  </si>
  <si>
    <t>Bond Identifier</t>
  </si>
  <si>
    <t>BondDescription</t>
  </si>
  <si>
    <t>ISIN</t>
  </si>
  <si>
    <t>IssueDate</t>
  </si>
  <si>
    <t>RollDay</t>
  </si>
  <si>
    <t>FirstCouponDate</t>
  </si>
  <si>
    <t>LastCouponDate</t>
  </si>
  <si>
    <t>Coupon</t>
  </si>
  <si>
    <t>CreateBond</t>
  </si>
  <si>
    <t>BloombergYield</t>
  </si>
  <si>
    <t>CleanPrice</t>
  </si>
  <si>
    <t>DirtyPrice</t>
  </si>
  <si>
    <t>Bond Generator</t>
  </si>
  <si>
    <t>US_TREASURY_TYPE1</t>
  </si>
  <si>
    <t>YLD_YTM_ASK</t>
  </si>
  <si>
    <t>Valuation Date</t>
  </si>
  <si>
    <t>Settlement Date</t>
  </si>
  <si>
    <t>BondDirtyPriceAtEffectiveDate</t>
  </si>
  <si>
    <t>BondCurveCollection</t>
  </si>
  <si>
    <t>Semi-Annual</t>
  </si>
  <si>
    <t>FixedRate (Override)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</si>
</sst>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43" formatCode="_-* #,##0.00_-;\-* #,##0.00_-;_-* &quot;-&quot;??_-;_-@_-"/>
    <numFmt numFmtId="164" formatCode="ddd\,\ d\-mmm\-yy"/>
    <numFmt numFmtId="165" formatCode="0.00000%"/>
    <numFmt numFmtId="166" formatCode="0.000%"/>
    <numFmt numFmtId="167" formatCode="0.0000%"/>
    <numFmt numFmtId="168" formatCode="#,##0.000"/>
    <numFmt numFmtId="169" formatCode="#,##0.0000"/>
    <numFmt numFmtId="170" formatCode="0.000000%"/>
    <numFmt numFmtId="171" formatCode="#,##0.000000"/>
    <numFmt numFmtId="172" formatCode="#,##0.0000000"/>
    <numFmt numFmtId="174" formatCode="0.0000000%"/>
    <numFmt numFmtId="176" formatCode="0.0000"/>
    <numFmt numFmtId="177" formatCode="0.00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Times New Roman"/>
      <family val="1"/>
    </font>
    <font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9" fillId="0" borderId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63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0" fillId="2" borderId="1" xfId="0" applyFill="1" applyBorder="1"/>
    <xf numFmtId="0" fontId="4" fillId="2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4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4" fillId="2" borderId="0" xfId="0" applyFont="1" applyFill="1"/>
    <xf numFmtId="0" fontId="6" fillId="2" borderId="0" xfId="0" applyFont="1" applyFill="1" applyBorder="1" applyAlignment="1">
      <alignment horizontal="center" vertical="center"/>
    </xf>
    <xf numFmtId="0" fontId="0" fillId="2" borderId="0" xfId="0" applyFill="1"/>
    <xf numFmtId="0" fontId="6" fillId="2" borderId="0" xfId="0" applyFont="1" applyFill="1" applyBorder="1" applyAlignment="1">
      <alignment horizontal="left" vertical="center"/>
    </xf>
    <xf numFmtId="0" fontId="0" fillId="2" borderId="5" xfId="0" applyFill="1" applyBorder="1"/>
    <xf numFmtId="0" fontId="7" fillId="2" borderId="6" xfId="0" applyFont="1" applyFill="1" applyBorder="1" applyAlignment="1">
      <alignment horizontal="center" vertical="center"/>
    </xf>
    <xf numFmtId="0" fontId="0" fillId="3" borderId="7" xfId="0" applyFont="1" applyFill="1" applyBorder="1"/>
    <xf numFmtId="0" fontId="0" fillId="3" borderId="7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15" fontId="3" fillId="0" borderId="2" xfId="0" applyNumberFormat="1" applyFont="1" applyFill="1" applyBorder="1" applyAlignment="1">
      <alignment horizontal="center" vertical="center"/>
    </xf>
    <xf numFmtId="15" fontId="3" fillId="0" borderId="0" xfId="0" applyNumberFormat="1" applyFont="1" applyFill="1" applyBorder="1" applyAlignment="1">
      <alignment horizontal="center" vertical="center"/>
    </xf>
    <xf numFmtId="15" fontId="3" fillId="0" borderId="5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67" fontId="3" fillId="0" borderId="5" xfId="0" applyNumberFormat="1" applyFont="1" applyFill="1" applyBorder="1" applyAlignment="1">
      <alignment horizontal="center" vertical="center"/>
    </xf>
    <xf numFmtId="165" fontId="3" fillId="0" borderId="5" xfId="0" applyNumberFormat="1" applyFont="1" applyFill="1" applyBorder="1" applyAlignment="1">
      <alignment horizontal="center" vertical="center"/>
    </xf>
    <xf numFmtId="0" fontId="0" fillId="3" borderId="8" xfId="0" applyFont="1" applyFill="1" applyBorder="1"/>
    <xf numFmtId="0" fontId="0" fillId="3" borderId="8" xfId="0" applyFont="1" applyFill="1" applyBorder="1" applyAlignment="1">
      <alignment horizontal="lef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3" borderId="9" xfId="0" applyFont="1" applyFill="1" applyBorder="1"/>
    <xf numFmtId="164" fontId="8" fillId="4" borderId="9" xfId="0" applyNumberFormat="1" applyFont="1" applyFill="1" applyBorder="1" applyAlignment="1">
      <alignment horizontal="left" vertical="center"/>
    </xf>
    <xf numFmtId="0" fontId="2" fillId="2" borderId="0" xfId="0" applyFont="1" applyFill="1"/>
    <xf numFmtId="0" fontId="0" fillId="3" borderId="7" xfId="0" applyFill="1" applyBorder="1"/>
    <xf numFmtId="0" fontId="0" fillId="3" borderId="7" xfId="0" applyFill="1" applyBorder="1" applyAlignment="1">
      <alignment horizontal="left" vertical="center"/>
    </xf>
    <xf numFmtId="0" fontId="0" fillId="3" borderId="9" xfId="0" applyFill="1" applyBorder="1"/>
    <xf numFmtId="0" fontId="8" fillId="3" borderId="9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/>
    <xf numFmtId="0" fontId="0" fillId="0" borderId="8" xfId="0" applyFont="1" applyFill="1" applyBorder="1" applyAlignment="1">
      <alignment horizontal="left" vertical="center"/>
    </xf>
    <xf numFmtId="0" fontId="0" fillId="0" borderId="9" xfId="0" applyFont="1" applyFill="1" applyBorder="1"/>
    <xf numFmtId="0" fontId="0" fillId="0" borderId="9" xfId="0" applyFont="1" applyFill="1" applyBorder="1" applyAlignment="1">
      <alignment horizontal="left" vertical="center"/>
    </xf>
    <xf numFmtId="0" fontId="0" fillId="0" borderId="7" xfId="0" applyBorder="1"/>
    <xf numFmtId="0" fontId="8" fillId="0" borderId="7" xfId="0" applyFont="1" applyFill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3" fillId="0" borderId="10" xfId="0" applyFont="1" applyFill="1" applyBorder="1" applyAlignment="1">
      <alignment horizontal="center" vertical="center"/>
    </xf>
    <xf numFmtId="165" fontId="3" fillId="0" borderId="6" xfId="0" applyNumberFormat="1" applyFont="1" applyFill="1" applyBorder="1" applyAlignment="1">
      <alignment horizontal="center" vertical="center"/>
    </xf>
    <xf numFmtId="15" fontId="3" fillId="0" borderId="6" xfId="0" applyNumberFormat="1" applyFont="1" applyFill="1" applyBorder="1" applyAlignment="1">
      <alignment horizontal="center" vertical="center"/>
    </xf>
    <xf numFmtId="15" fontId="3" fillId="0" borderId="11" xfId="0" applyNumberFormat="1" applyFont="1" applyFill="1" applyBorder="1" applyAlignment="1">
      <alignment horizontal="center" vertical="center"/>
    </xf>
    <xf numFmtId="167" fontId="3" fillId="0" borderId="11" xfId="0" applyNumberFormat="1" applyFont="1" applyFill="1" applyBorder="1" applyAlignment="1">
      <alignment horizontal="center" vertical="center"/>
    </xf>
    <xf numFmtId="165" fontId="3" fillId="0" borderId="11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0" fillId="2" borderId="10" xfId="0" applyFill="1" applyBorder="1"/>
    <xf numFmtId="0" fontId="0" fillId="2" borderId="6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7" fillId="3" borderId="7" xfId="0" applyFont="1" applyFill="1" applyBorder="1"/>
    <xf numFmtId="15" fontId="7" fillId="3" borderId="7" xfId="0" applyNumberFormat="1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3" borderId="8" xfId="0" applyFont="1" applyFill="1" applyBorder="1"/>
    <xf numFmtId="15" fontId="7" fillId="3" borderId="8" xfId="0" applyNumberFormat="1" applyFont="1" applyFill="1" applyBorder="1" applyAlignment="1">
      <alignment horizontal="left" vertical="center"/>
    </xf>
    <xf numFmtId="167" fontId="3" fillId="0" borderId="3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5" fontId="3" fillId="3" borderId="0" xfId="2" applyNumberFormat="1" applyFont="1" applyFill="1" applyBorder="1" applyAlignment="1">
      <alignment horizontal="center" vertical="center"/>
    </xf>
    <xf numFmtId="168" fontId="3" fillId="3" borderId="0" xfId="0" applyNumberFormat="1" applyFont="1" applyFill="1" applyBorder="1" applyAlignment="1">
      <alignment horizontal="center" vertical="center"/>
    </xf>
    <xf numFmtId="166" fontId="7" fillId="3" borderId="5" xfId="3" applyNumberFormat="1" applyFont="1" applyFill="1" applyBorder="1" applyAlignment="1">
      <alignment horizontal="center" vertical="center"/>
    </xf>
    <xf numFmtId="167" fontId="3" fillId="3" borderId="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67" fontId="3" fillId="3" borderId="0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64" fontId="8" fillId="3" borderId="8" xfId="0" applyNumberFormat="1" applyFont="1" applyFill="1" applyBorder="1" applyAlignment="1">
      <alignment horizontal="left" vertical="center"/>
    </xf>
    <xf numFmtId="0" fontId="0" fillId="3" borderId="8" xfId="0" applyFill="1" applyBorder="1"/>
    <xf numFmtId="0" fontId="7" fillId="3" borderId="8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left"/>
    </xf>
    <xf numFmtId="0" fontId="7" fillId="0" borderId="1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15" fontId="3" fillId="3" borderId="6" xfId="2" applyNumberFormat="1" applyFont="1" applyFill="1" applyBorder="1" applyAlignment="1">
      <alignment horizontal="center" vertical="center"/>
    </xf>
    <xf numFmtId="168" fontId="3" fillId="3" borderId="6" xfId="0" applyNumberFormat="1" applyFont="1" applyFill="1" applyBorder="1" applyAlignment="1">
      <alignment horizontal="center" vertical="center"/>
    </xf>
    <xf numFmtId="166" fontId="7" fillId="3" borderId="11" xfId="3" applyNumberFormat="1" applyFont="1" applyFill="1" applyBorder="1" applyAlignment="1">
      <alignment horizontal="center" vertical="center"/>
    </xf>
    <xf numFmtId="167" fontId="3" fillId="3" borderId="6" xfId="0" applyNumberFormat="1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3" borderId="0" xfId="0" applyFill="1"/>
    <xf numFmtId="0" fontId="3" fillId="0" borderId="0" xfId="0" applyFont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" fontId="0" fillId="3" borderId="4" xfId="0" applyNumberFormat="1" applyFill="1" applyBorder="1" applyAlignment="1">
      <alignment horizontal="center" vertical="center"/>
    </xf>
    <xf numFmtId="4" fontId="0" fillId="3" borderId="5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3" fontId="5" fillId="5" borderId="8" xfId="0" applyNumberFormat="1" applyFont="1" applyFill="1" applyBorder="1" applyAlignment="1">
      <alignment horizontal="center" vertical="center"/>
    </xf>
    <xf numFmtId="164" fontId="5" fillId="5" borderId="8" xfId="0" applyNumberFormat="1" applyFont="1" applyFill="1" applyBorder="1" applyAlignment="1">
      <alignment horizontal="center" vertical="center"/>
    </xf>
    <xf numFmtId="165" fontId="5" fillId="5" borderId="9" xfId="0" applyNumberFormat="1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5" fontId="5" fillId="5" borderId="8" xfId="0" applyNumberFormat="1" applyFont="1" applyFill="1" applyBorder="1" applyAlignment="1">
      <alignment horizontal="center" vertical="center"/>
    </xf>
    <xf numFmtId="4" fontId="5" fillId="5" borderId="9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3" fillId="2" borderId="9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5" fontId="3" fillId="2" borderId="4" xfId="0" applyNumberFormat="1" applyFont="1" applyFill="1" applyBorder="1" applyAlignment="1">
      <alignment horizontal="center" vertical="center"/>
    </xf>
    <xf numFmtId="15" fontId="3" fillId="2" borderId="0" xfId="0" applyNumberFormat="1" applyFont="1" applyFill="1" applyBorder="1" applyAlignment="1">
      <alignment horizontal="center" vertical="center"/>
    </xf>
    <xf numFmtId="15" fontId="3" fillId="2" borderId="4" xfId="0" applyNumberFormat="1" applyFont="1" applyFill="1" applyBorder="1" applyAlignment="1">
      <alignment horizontal="left" vertical="center"/>
    </xf>
    <xf numFmtId="15" fontId="3" fillId="2" borderId="10" xfId="0" applyNumberFormat="1" applyFont="1" applyFill="1" applyBorder="1" applyAlignment="1">
      <alignment horizontal="center" vertical="center"/>
    </xf>
    <xf numFmtId="15" fontId="3" fillId="2" borderId="6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 vertical="center"/>
    </xf>
    <xf numFmtId="168" fontId="3" fillId="2" borderId="0" xfId="0" applyNumberFormat="1" applyFont="1" applyFill="1" applyBorder="1" applyAlignment="1">
      <alignment horizontal="center" vertical="center"/>
    </xf>
    <xf numFmtId="168" fontId="3" fillId="2" borderId="6" xfId="0" applyNumberFormat="1" applyFont="1" applyFill="1" applyBorder="1" applyAlignment="1">
      <alignment horizontal="center" vertical="center"/>
    </xf>
    <xf numFmtId="169" fontId="3" fillId="2" borderId="0" xfId="0" applyNumberFormat="1" applyFont="1" applyFill="1" applyBorder="1" applyAlignment="1">
      <alignment horizontal="center" vertical="center"/>
    </xf>
    <xf numFmtId="169" fontId="3" fillId="2" borderId="6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Border="1" applyAlignment="1">
      <alignment horizontal="center" vertical="center"/>
    </xf>
    <xf numFmtId="167" fontId="3" fillId="2" borderId="6" xfId="0" applyNumberFormat="1" applyFont="1" applyFill="1" applyBorder="1" applyAlignment="1">
      <alignment horizontal="center" vertical="center"/>
    </xf>
    <xf numFmtId="170" fontId="3" fillId="2" borderId="0" xfId="0" applyNumberFormat="1" applyFont="1" applyFill="1" applyBorder="1" applyAlignment="1">
      <alignment horizontal="center" vertical="center"/>
    </xf>
    <xf numFmtId="171" fontId="3" fillId="2" borderId="0" xfId="0" applyNumberFormat="1" applyFont="1" applyFill="1" applyBorder="1" applyAlignment="1">
      <alignment horizontal="center" vertical="center"/>
    </xf>
    <xf numFmtId="171" fontId="3" fillId="2" borderId="6" xfId="0" applyNumberFormat="1" applyFont="1" applyFill="1" applyBorder="1" applyAlignment="1">
      <alignment horizontal="center" vertical="center"/>
    </xf>
    <xf numFmtId="172" fontId="3" fillId="2" borderId="0" xfId="0" applyNumberFormat="1" applyFont="1" applyFill="1" applyBorder="1" applyAlignment="1">
      <alignment horizontal="center" vertical="center"/>
    </xf>
    <xf numFmtId="172" fontId="3" fillId="2" borderId="6" xfId="0" applyNumberFormat="1" applyFont="1" applyFill="1" applyBorder="1" applyAlignment="1">
      <alignment horizontal="center" vertical="center"/>
    </xf>
    <xf numFmtId="0" fontId="2" fillId="3" borderId="0" xfId="0" applyFont="1" applyFill="1" applyBorder="1"/>
    <xf numFmtId="0" fontId="0" fillId="3" borderId="0" xfId="0" applyFill="1" applyBorder="1"/>
    <xf numFmtId="0" fontId="2" fillId="3" borderId="0" xfId="0" quotePrefix="1" applyFont="1" applyFill="1" applyBorder="1" applyAlignment="1">
      <alignment horizontal="center" vertical="center"/>
    </xf>
    <xf numFmtId="11" fontId="2" fillId="3" borderId="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64" fontId="5" fillId="5" borderId="7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7" fontId="3" fillId="2" borderId="2" xfId="1" applyNumberFormat="1" applyFont="1" applyFill="1" applyBorder="1" applyAlignment="1">
      <alignment horizontal="center" vertical="center"/>
    </xf>
    <xf numFmtId="169" fontId="3" fillId="2" borderId="3" xfId="1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7" fontId="3" fillId="2" borderId="0" xfId="1" applyNumberFormat="1" applyFont="1" applyFill="1" applyBorder="1" applyAlignment="1">
      <alignment horizontal="center" vertical="center"/>
    </xf>
    <xf numFmtId="169" fontId="3" fillId="2" borderId="5" xfId="1" applyNumberFormat="1" applyFont="1" applyFill="1" applyBorder="1" applyAlignment="1">
      <alignment horizontal="center" vertical="center"/>
    </xf>
    <xf numFmtId="0" fontId="6" fillId="3" borderId="0" xfId="0" applyFont="1" applyFill="1" applyBorder="1"/>
    <xf numFmtId="10" fontId="5" fillId="5" borderId="8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7" fontId="3" fillId="2" borderId="6" xfId="1" applyNumberFormat="1" applyFont="1" applyFill="1" applyBorder="1" applyAlignment="1">
      <alignment horizontal="center" vertical="center"/>
    </xf>
    <xf numFmtId="169" fontId="3" fillId="2" borderId="11" xfId="1" applyNumberFormat="1" applyFont="1" applyFill="1" applyBorder="1" applyAlignment="1">
      <alignment horizontal="center" vertical="center"/>
    </xf>
    <xf numFmtId="0" fontId="0" fillId="3" borderId="0" xfId="0" quotePrefix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67" fontId="5" fillId="5" borderId="7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8" fontId="3" fillId="2" borderId="2" xfId="0" applyNumberFormat="1" applyFont="1" applyFill="1" applyBorder="1" applyAlignment="1">
      <alignment horizontal="center" vertical="center"/>
    </xf>
    <xf numFmtId="167" fontId="3" fillId="2" borderId="2" xfId="0" applyNumberFormat="1" applyFont="1" applyFill="1" applyBorder="1" applyAlignment="1">
      <alignment horizontal="center" vertical="center"/>
    </xf>
    <xf numFmtId="174" fontId="3" fillId="2" borderId="3" xfId="0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174" fontId="3" fillId="2" borderId="5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/>
    </xf>
    <xf numFmtId="174" fontId="3" fillId="2" borderId="11" xfId="0" applyNumberFormat="1" applyFont="1" applyFill="1" applyBorder="1" applyAlignment="1">
      <alignment horizontal="center" vertical="center"/>
    </xf>
    <xf numFmtId="172" fontId="3" fillId="2" borderId="1" xfId="0" applyNumberFormat="1" applyFont="1" applyFill="1" applyBorder="1" applyAlignment="1">
      <alignment horizontal="center" vertical="center"/>
    </xf>
    <xf numFmtId="172" fontId="3" fillId="2" borderId="4" xfId="0" applyNumberFormat="1" applyFont="1" applyFill="1" applyBorder="1" applyAlignment="1">
      <alignment horizontal="center" vertical="center"/>
    </xf>
    <xf numFmtId="172" fontId="3" fillId="2" borderId="10" xfId="0" applyNumberFormat="1" applyFont="1" applyFill="1" applyBorder="1" applyAlignment="1">
      <alignment horizontal="center" vertical="center"/>
    </xf>
    <xf numFmtId="172" fontId="3" fillId="2" borderId="2" xfId="0" applyNumberFormat="1" applyFont="1" applyFill="1" applyBorder="1" applyAlignment="1">
      <alignment horizontal="center" vertical="center"/>
    </xf>
    <xf numFmtId="11" fontId="3" fillId="2" borderId="2" xfId="0" applyNumberFormat="1" applyFont="1" applyFill="1" applyBorder="1" applyAlignment="1">
      <alignment horizontal="center" vertical="center"/>
    </xf>
    <xf numFmtId="11" fontId="3" fillId="2" borderId="3" xfId="0" applyNumberFormat="1" applyFont="1" applyFill="1" applyBorder="1" applyAlignment="1">
      <alignment horizontal="center" vertical="center"/>
    </xf>
    <xf numFmtId="11" fontId="3" fillId="2" borderId="0" xfId="0" applyNumberFormat="1" applyFont="1" applyFill="1" applyBorder="1" applyAlignment="1">
      <alignment horizontal="center" vertical="center"/>
    </xf>
    <xf numFmtId="11" fontId="3" fillId="2" borderId="5" xfId="0" applyNumberFormat="1" applyFont="1" applyFill="1" applyBorder="1" applyAlignment="1">
      <alignment horizontal="center" vertical="center"/>
    </xf>
    <xf numFmtId="11" fontId="3" fillId="2" borderId="6" xfId="0" applyNumberFormat="1" applyFont="1" applyFill="1" applyBorder="1" applyAlignment="1">
      <alignment horizontal="center" vertical="center"/>
    </xf>
    <xf numFmtId="11" fontId="3" fillId="2" borderId="11" xfId="0" applyNumberFormat="1" applyFont="1" applyFill="1" applyBorder="1" applyAlignment="1">
      <alignment horizontal="center" vertical="center"/>
    </xf>
    <xf numFmtId="164" fontId="0" fillId="3" borderId="0" xfId="0" applyNumberFormat="1" applyFill="1" applyBorder="1"/>
    <xf numFmtId="0" fontId="0" fillId="0" borderId="0" xfId="0" quotePrefix="1"/>
    <xf numFmtId="165" fontId="0" fillId="0" borderId="0" xfId="0" applyNumberFormat="1"/>
    <xf numFmtId="4" fontId="3" fillId="3" borderId="9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6" borderId="7" xfId="0" applyFont="1" applyFill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167" fontId="3" fillId="0" borderId="0" xfId="0" applyNumberFormat="1" applyFont="1" applyBorder="1" applyAlignment="1">
      <alignment horizontal="center" vertical="center"/>
    </xf>
    <xf numFmtId="9" fontId="3" fillId="3" borderId="0" xfId="0" applyNumberFormat="1" applyFont="1" applyFill="1" applyBorder="1" applyAlignment="1">
      <alignment horizontal="center" vertical="center"/>
    </xf>
    <xf numFmtId="9" fontId="3" fillId="3" borderId="6" xfId="0" applyNumberFormat="1" applyFont="1" applyFill="1" applyBorder="1" applyAlignment="1">
      <alignment horizontal="center" vertical="center"/>
    </xf>
    <xf numFmtId="0" fontId="3" fillId="0" borderId="9" xfId="0" applyFont="1" applyBorder="1"/>
    <xf numFmtId="3" fontId="0" fillId="0" borderId="0" xfId="0" applyNumberFormat="1"/>
    <xf numFmtId="0" fontId="6" fillId="0" borderId="0" xfId="0" applyFont="1"/>
    <xf numFmtId="15" fontId="0" fillId="0" borderId="0" xfId="0" applyNumberFormat="1"/>
    <xf numFmtId="4" fontId="0" fillId="0" borderId="0" xfId="0" applyNumberFormat="1"/>
    <xf numFmtId="0" fontId="0" fillId="3" borderId="2" xfId="0" applyFill="1" applyBorder="1" applyAlignment="1">
      <alignment horizontal="center" vertical="center"/>
    </xf>
    <xf numFmtId="4" fontId="0" fillId="3" borderId="0" xfId="0" applyNumberFormat="1" applyFill="1" applyBorder="1" applyAlignment="1">
      <alignment horizontal="center" vertical="center"/>
    </xf>
    <xf numFmtId="0" fontId="0" fillId="0" borderId="6" xfId="0" applyBorder="1"/>
    <xf numFmtId="0" fontId="0" fillId="0" borderId="11" xfId="0" applyBorder="1"/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15" fontId="3" fillId="2" borderId="0" xfId="0" applyNumberFormat="1" applyFont="1" applyFill="1" applyBorder="1" applyAlignment="1">
      <alignment horizontal="left" vertical="center"/>
    </xf>
    <xf numFmtId="176" fontId="3" fillId="2" borderId="0" xfId="0" applyNumberFormat="1" applyFont="1" applyFill="1" applyBorder="1" applyAlignment="1">
      <alignment horizontal="left" vertical="center"/>
    </xf>
    <xf numFmtId="176" fontId="3" fillId="2" borderId="0" xfId="0" applyNumberFormat="1" applyFont="1" applyFill="1" applyBorder="1" applyAlignment="1">
      <alignment horizontal="center" vertical="center"/>
    </xf>
    <xf numFmtId="177" fontId="3" fillId="2" borderId="0" xfId="0" applyNumberFormat="1" applyFont="1" applyFill="1" applyBorder="1" applyAlignment="1">
      <alignment horizontal="center" vertical="center"/>
    </xf>
    <xf numFmtId="4" fontId="5" fillId="5" borderId="8" xfId="0" applyNumberFormat="1" applyFont="1" applyFill="1" applyBorder="1" applyAlignment="1">
      <alignment horizontal="center" vertical="center"/>
    </xf>
    <xf numFmtId="0" fontId="12" fillId="0" borderId="0" xfId="5"/>
    <xf numFmtId="43" fontId="0" fillId="0" borderId="0" xfId="6" applyFont="1"/>
    <xf numFmtId="0" fontId="6" fillId="0" borderId="0" xfId="0" applyFont="1" applyFill="1" applyBorder="1" applyAlignment="1">
      <alignment horizontal="left" vertical="center"/>
    </xf>
    <xf numFmtId="168" fontId="5" fillId="5" borderId="9" xfId="0" applyNumberFormat="1" applyFont="1" applyFill="1" applyBorder="1" applyAlignment="1">
      <alignment horizontal="center" vertical="center"/>
    </xf>
    <xf numFmtId="165" fontId="5" fillId="6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7" fontId="3" fillId="3" borderId="9" xfId="0" applyNumberFormat="1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164" fontId="0" fillId="5" borderId="22" xfId="0" applyNumberFormat="1" applyFill="1" applyBorder="1" applyAlignment="1">
      <alignment horizontal="center" vertical="center"/>
    </xf>
    <xf numFmtId="166" fontId="0" fillId="5" borderId="22" xfId="0" applyNumberForma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168" fontId="3" fillId="2" borderId="22" xfId="0" applyNumberFormat="1" applyFont="1" applyFill="1" applyBorder="1" applyAlignment="1">
      <alignment horizontal="center" vertical="center"/>
    </xf>
    <xf numFmtId="168" fontId="3" fillId="2" borderId="20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3" fontId="3" fillId="2" borderId="11" xfId="0" applyNumberFormat="1" applyFont="1" applyFill="1" applyBorder="1" applyAlignment="1">
      <alignment horizontal="center" vertical="center"/>
    </xf>
  </cellXfs>
  <cellStyles count="7">
    <cellStyle name="Comma" xfId="6" builtinId="3"/>
    <cellStyle name="Comma [0] 5" xfId="3"/>
    <cellStyle name="Comma 113" xfId="4"/>
    <cellStyle name="Hyperlink" xfId="5" builtinId="8"/>
    <cellStyle name="Normal" xfId="0" builtinId="0"/>
    <cellStyle name="Percent" xfId="1" builtinId="5"/>
    <cellStyle name="標準_Input_OutPut20060417" xfId="2"/>
  </cellStyles>
  <dxfs count="0"/>
  <tableStyles count="0" defaultTableStyle="TableStyleMedium2" defaultPivotStyle="PivotStyleLight16"/>
  <colors>
    <mruColors>
      <color rgb="FF006600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RS_USD_CT10_AB@8: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"/>
  <sheetViews>
    <sheetView showGridLines="0" workbookViewId="0"/>
  </sheetViews>
  <sheetFormatPr defaultRowHeight="15" x14ac:dyDescent="0.25"/>
  <cols>
    <col min="3" max="3" width="15.42578125" bestFit="1" customWidth="1"/>
  </cols>
  <sheetData>
    <row r="2" spans="2:3" x14ac:dyDescent="0.25">
      <c r="B2" s="1" t="s">
        <v>0</v>
      </c>
      <c r="C2" s="2">
        <v>43627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6"/>
  <sheetViews>
    <sheetView showGridLines="0" workbookViewId="0"/>
  </sheetViews>
  <sheetFormatPr defaultRowHeight="15" x14ac:dyDescent="0.25"/>
  <cols>
    <col min="1" max="2" width="4.7109375" customWidth="1"/>
    <col min="3" max="3" width="25.28515625" bestFit="1" customWidth="1"/>
    <col min="4" max="4" width="47" bestFit="1" customWidth="1"/>
    <col min="5" max="5" width="4.7109375" customWidth="1"/>
    <col min="11" max="11" width="4.7109375" customWidth="1"/>
    <col min="12" max="12" width="11.42578125" customWidth="1"/>
    <col min="14" max="14" width="4.7109375" customWidth="1"/>
    <col min="17" max="17" width="4.7109375" customWidth="1"/>
  </cols>
  <sheetData>
    <row r="2" spans="2:17" x14ac:dyDescent="0.25">
      <c r="B2" s="3"/>
      <c r="C2" s="4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2:17" x14ac:dyDescent="0.25">
      <c r="B3" s="8"/>
      <c r="C3" s="9" t="s">
        <v>1</v>
      </c>
      <c r="D3" s="10"/>
      <c r="E3" s="11"/>
      <c r="F3" s="12" t="s">
        <v>2</v>
      </c>
      <c r="G3" s="13"/>
      <c r="H3" s="14"/>
      <c r="I3" s="14"/>
      <c r="J3" s="14"/>
      <c r="K3" s="12"/>
      <c r="L3" s="12" t="s">
        <v>3</v>
      </c>
      <c r="M3" s="12"/>
      <c r="N3" s="14" t="s">
        <v>4</v>
      </c>
      <c r="O3" s="12" t="s">
        <v>5</v>
      </c>
      <c r="P3" s="15"/>
      <c r="Q3" s="16"/>
    </row>
    <row r="4" spans="2:17" x14ac:dyDescent="0.25">
      <c r="B4" s="8" t="s">
        <v>4</v>
      </c>
      <c r="C4" s="10"/>
      <c r="D4" s="10"/>
      <c r="E4" s="11" t="s">
        <v>4</v>
      </c>
      <c r="F4" s="17" t="s">
        <v>6</v>
      </c>
      <c r="G4" s="17" t="s">
        <v>7</v>
      </c>
      <c r="H4" s="17" t="s">
        <v>8</v>
      </c>
      <c r="I4" s="17" t="s">
        <v>9</v>
      </c>
      <c r="J4" s="17" t="s">
        <v>10</v>
      </c>
      <c r="K4" s="11"/>
      <c r="L4" s="17" t="s">
        <v>6</v>
      </c>
      <c r="M4" s="17" t="s">
        <v>7</v>
      </c>
      <c r="N4" s="11"/>
      <c r="O4" s="17" t="s">
        <v>6</v>
      </c>
      <c r="P4" s="17" t="s">
        <v>7</v>
      </c>
      <c r="Q4" s="16"/>
    </row>
    <row r="5" spans="2:17" x14ac:dyDescent="0.25">
      <c r="B5" s="8"/>
      <c r="C5" s="18" t="s">
        <v>11</v>
      </c>
      <c r="D5" s="19" t="s">
        <v>12</v>
      </c>
      <c r="E5" s="11" t="s">
        <v>4</v>
      </c>
      <c r="F5" s="20" t="s">
        <v>13</v>
      </c>
      <c r="G5" s="21">
        <v>1.7229999999999999E-2</v>
      </c>
      <c r="H5" s="22"/>
      <c r="I5" s="23"/>
      <c r="J5" s="24" t="b">
        <v>1</v>
      </c>
      <c r="K5" s="14"/>
      <c r="L5" s="25" t="s">
        <v>14</v>
      </c>
      <c r="M5" s="26">
        <v>3.6874999999999998E-3</v>
      </c>
      <c r="N5" s="14"/>
      <c r="O5" s="25" t="s">
        <v>14</v>
      </c>
      <c r="P5" s="27">
        <v>2.7229999999999997E-2</v>
      </c>
      <c r="Q5" s="16"/>
    </row>
    <row r="6" spans="2:17" x14ac:dyDescent="0.25">
      <c r="B6" s="8"/>
      <c r="C6" s="28" t="s">
        <v>15</v>
      </c>
      <c r="D6" s="29" t="s">
        <v>2</v>
      </c>
      <c r="E6" s="11" t="s">
        <v>4</v>
      </c>
      <c r="F6" s="25" t="s">
        <v>16</v>
      </c>
      <c r="G6" s="30">
        <v>1.6890000000000002E-2</v>
      </c>
      <c r="H6" s="23"/>
      <c r="I6" s="23"/>
      <c r="J6" s="24" t="b">
        <v>1</v>
      </c>
      <c r="K6" s="14"/>
      <c r="L6" s="25" t="s">
        <v>17</v>
      </c>
      <c r="M6" s="26">
        <v>3.6877499999999996E-3</v>
      </c>
      <c r="N6" s="14"/>
      <c r="O6" s="25" t="s">
        <v>17</v>
      </c>
      <c r="P6" s="27">
        <v>2.7488000000000002E-2</v>
      </c>
      <c r="Q6" s="16"/>
    </row>
    <row r="7" spans="2:17" x14ac:dyDescent="0.25">
      <c r="B7" s="8"/>
      <c r="C7" s="28" t="s">
        <v>18</v>
      </c>
      <c r="D7" s="29" t="s">
        <v>19</v>
      </c>
      <c r="E7" s="11" t="s">
        <v>4</v>
      </c>
      <c r="F7" s="25" t="s">
        <v>20</v>
      </c>
      <c r="G7" s="30">
        <v>1.6892000000000001E-2</v>
      </c>
      <c r="H7" s="23"/>
      <c r="I7" s="23"/>
      <c r="J7" s="24" t="b">
        <v>1</v>
      </c>
      <c r="K7" s="14"/>
      <c r="L7" s="25" t="s">
        <v>21</v>
      </c>
      <c r="M7" s="26">
        <v>3.7875000000000001E-3</v>
      </c>
      <c r="N7" s="14"/>
      <c r="O7" s="25" t="s">
        <v>21</v>
      </c>
      <c r="P7" s="27">
        <v>2.7820000000000001E-2</v>
      </c>
      <c r="Q7" s="16"/>
    </row>
    <row r="8" spans="2:17" x14ac:dyDescent="0.25">
      <c r="B8" s="8"/>
      <c r="C8" s="31" t="s">
        <v>22</v>
      </c>
      <c r="D8" s="32">
        <f ca="1">COB</f>
        <v>43627</v>
      </c>
      <c r="E8" s="11" t="s">
        <v>4</v>
      </c>
      <c r="F8" s="25" t="s">
        <v>23</v>
      </c>
      <c r="G8" s="30">
        <v>1.677E-2</v>
      </c>
      <c r="H8" s="23"/>
      <c r="I8" s="23"/>
      <c r="J8" s="24" t="b">
        <v>1</v>
      </c>
      <c r="K8" s="14"/>
      <c r="L8" s="25" t="s">
        <v>24</v>
      </c>
      <c r="M8" s="26">
        <v>3.9437500000000002E-3</v>
      </c>
      <c r="N8" s="14"/>
      <c r="O8" s="25" t="s">
        <v>24</v>
      </c>
      <c r="P8" s="27">
        <v>2.8298999999999998E-2</v>
      </c>
      <c r="Q8" s="16"/>
    </row>
    <row r="9" spans="2:17" x14ac:dyDescent="0.25">
      <c r="B9" s="8"/>
      <c r="C9" s="10"/>
      <c r="D9" s="10"/>
      <c r="E9" s="11" t="s">
        <v>4</v>
      </c>
      <c r="F9" s="25" t="s">
        <v>25</v>
      </c>
      <c r="G9" s="30">
        <v>1.6879999999999999E-2</v>
      </c>
      <c r="H9" s="23"/>
      <c r="I9" s="23"/>
      <c r="J9" s="24" t="b">
        <v>1</v>
      </c>
      <c r="K9" s="14"/>
      <c r="L9" s="25" t="s">
        <v>26</v>
      </c>
      <c r="M9" s="26">
        <v>4.0249999999999999E-3</v>
      </c>
      <c r="N9" s="14"/>
      <c r="O9" s="25" t="s">
        <v>26</v>
      </c>
      <c r="P9" s="27">
        <v>2.8604000000000004E-2</v>
      </c>
      <c r="Q9" s="16"/>
    </row>
    <row r="10" spans="2:17" x14ac:dyDescent="0.25">
      <c r="B10" s="8"/>
      <c r="C10" s="11"/>
      <c r="D10" s="11"/>
      <c r="E10" s="11" t="s">
        <v>4</v>
      </c>
      <c r="F10" s="25" t="s">
        <v>27</v>
      </c>
      <c r="G10" s="30">
        <v>1.6909E-2</v>
      </c>
      <c r="H10" s="23"/>
      <c r="I10" s="23"/>
      <c r="J10" s="24" t="b">
        <v>1</v>
      </c>
      <c r="K10" s="14"/>
      <c r="L10" s="25" t="s">
        <v>28</v>
      </c>
      <c r="M10" s="26">
        <v>4.1625000000000004E-3</v>
      </c>
      <c r="N10" s="14"/>
      <c r="O10" s="25" t="s">
        <v>28</v>
      </c>
      <c r="P10" s="27">
        <v>2.8877E-2</v>
      </c>
      <c r="Q10" s="16"/>
    </row>
    <row r="11" spans="2:17" x14ac:dyDescent="0.25">
      <c r="B11" s="8"/>
      <c r="C11" s="33" t="s">
        <v>29</v>
      </c>
      <c r="D11" s="10"/>
      <c r="E11" s="11" t="s">
        <v>4</v>
      </c>
      <c r="F11" s="25" t="s">
        <v>30</v>
      </c>
      <c r="G11" s="30">
        <v>1.7464E-2</v>
      </c>
      <c r="H11" s="23"/>
      <c r="I11" s="23"/>
      <c r="J11" s="24" t="b">
        <v>1</v>
      </c>
      <c r="K11" s="14"/>
      <c r="L11" s="25" t="s">
        <v>31</v>
      </c>
      <c r="M11" s="26">
        <v>4.3125000000000004E-3</v>
      </c>
      <c r="N11" s="14"/>
      <c r="O11" s="25" t="s">
        <v>31</v>
      </c>
      <c r="P11" s="27">
        <v>2.9083999999999999E-2</v>
      </c>
      <c r="Q11" s="16"/>
    </row>
    <row r="12" spans="2:17" x14ac:dyDescent="0.25">
      <c r="B12" s="8"/>
      <c r="C12" s="34" t="s">
        <v>32</v>
      </c>
      <c r="D12" s="35" t="s">
        <v>33</v>
      </c>
      <c r="E12" s="11" t="s">
        <v>4</v>
      </c>
      <c r="F12" s="25" t="s">
        <v>34</v>
      </c>
      <c r="G12" s="30">
        <v>1.7861999999999999E-2</v>
      </c>
      <c r="H12" s="23"/>
      <c r="I12" s="23"/>
      <c r="J12" s="24" t="b">
        <v>1</v>
      </c>
      <c r="K12" s="14"/>
      <c r="L12" s="25" t="s">
        <v>35</v>
      </c>
      <c r="M12" s="26">
        <v>4.4149000000000002E-3</v>
      </c>
      <c r="N12" s="14"/>
      <c r="O12" s="25" t="s">
        <v>35</v>
      </c>
      <c r="P12" s="27">
        <v>2.9009E-2</v>
      </c>
      <c r="Q12" s="16"/>
    </row>
    <row r="13" spans="2:17" x14ac:dyDescent="0.25">
      <c r="B13" s="8"/>
      <c r="C13" s="36" t="s">
        <v>36</v>
      </c>
      <c r="D13" s="215" t="str">
        <f ca="1">_xll.meLWOCurveMarketDataCreate(D12,C3,C5:D8,F3,F5:J30,L3,L5:M30,O3,O5:P30)</f>
        <v>USD_OIS_CURVE_MARKETDATA@7:8</v>
      </c>
      <c r="E13" s="11" t="s">
        <v>4</v>
      </c>
      <c r="F13" s="25" t="s">
        <v>37</v>
      </c>
      <c r="G13" s="30">
        <v>1.8083999999999999E-2</v>
      </c>
      <c r="H13" s="23"/>
      <c r="I13" s="23"/>
      <c r="J13" s="24" t="b">
        <v>1</v>
      </c>
      <c r="K13" s="14"/>
      <c r="L13" s="25" t="s">
        <v>38</v>
      </c>
      <c r="M13" s="26">
        <v>4.4999999999999997E-3</v>
      </c>
      <c r="N13" s="14"/>
      <c r="O13" s="25" t="s">
        <v>38</v>
      </c>
      <c r="P13" s="27">
        <v>2.8845999999999997E-2</v>
      </c>
      <c r="Q13" s="16"/>
    </row>
    <row r="14" spans="2:17" x14ac:dyDescent="0.25">
      <c r="B14" s="8"/>
      <c r="C14" s="38"/>
      <c r="D14" s="10"/>
      <c r="E14" s="11" t="s">
        <v>4</v>
      </c>
      <c r="F14" s="25" t="s">
        <v>39</v>
      </c>
      <c r="G14" s="30">
        <v>1.8352E-2</v>
      </c>
      <c r="H14" s="23"/>
      <c r="I14" s="23"/>
      <c r="J14" s="24" t="b">
        <v>1</v>
      </c>
      <c r="K14" s="14"/>
      <c r="L14" s="25"/>
      <c r="M14" s="26"/>
      <c r="N14" s="14"/>
      <c r="O14" s="25"/>
      <c r="P14" s="27"/>
      <c r="Q14" s="16"/>
    </row>
    <row r="15" spans="2:17" x14ac:dyDescent="0.25">
      <c r="B15" s="8"/>
      <c r="C15" s="38"/>
      <c r="D15" s="10"/>
      <c r="E15" s="11" t="s">
        <v>4</v>
      </c>
      <c r="F15" s="25" t="s">
        <v>40</v>
      </c>
      <c r="G15" s="30">
        <v>1.9189999999999999E-2</v>
      </c>
      <c r="H15" s="23"/>
      <c r="I15" s="23"/>
      <c r="J15" s="24" t="b">
        <v>1</v>
      </c>
      <c r="K15" s="14"/>
      <c r="L15" s="25"/>
      <c r="M15" s="26"/>
      <c r="N15" s="14"/>
      <c r="O15" s="25"/>
      <c r="P15" s="27"/>
      <c r="Q15" s="16"/>
    </row>
    <row r="16" spans="2:17" x14ac:dyDescent="0.25">
      <c r="B16" s="8"/>
      <c r="C16" s="38"/>
      <c r="D16" s="10"/>
      <c r="E16" s="11" t="s">
        <v>4</v>
      </c>
      <c r="F16" s="25" t="s">
        <v>41</v>
      </c>
      <c r="G16" s="30">
        <v>1.9885E-2</v>
      </c>
      <c r="H16" s="23"/>
      <c r="I16" s="23"/>
      <c r="J16" s="24" t="b">
        <v>1</v>
      </c>
      <c r="K16" s="14"/>
      <c r="L16" s="25"/>
      <c r="M16" s="26"/>
      <c r="N16" s="14"/>
      <c r="O16" s="25"/>
      <c r="P16" s="27"/>
      <c r="Q16" s="16"/>
    </row>
    <row r="17" spans="2:17" x14ac:dyDescent="0.25">
      <c r="B17" s="8"/>
      <c r="C17" s="38"/>
      <c r="D17" s="10"/>
      <c r="E17" s="11" t="s">
        <v>4</v>
      </c>
      <c r="F17" s="25" t="s">
        <v>42</v>
      </c>
      <c r="G17" s="30">
        <v>2.1926000000000001E-2</v>
      </c>
      <c r="H17" s="23"/>
      <c r="I17" s="23"/>
      <c r="J17" s="24" t="b">
        <v>1</v>
      </c>
      <c r="K17" s="14"/>
      <c r="L17" s="25"/>
      <c r="M17" s="26"/>
      <c r="N17" s="14"/>
      <c r="O17" s="25"/>
      <c r="P17" s="27"/>
      <c r="Q17" s="16"/>
    </row>
    <row r="18" spans="2:17" x14ac:dyDescent="0.25">
      <c r="B18" s="8"/>
      <c r="C18" s="38"/>
      <c r="D18" s="10"/>
      <c r="E18" s="11" t="s">
        <v>4</v>
      </c>
      <c r="F18" s="25"/>
      <c r="G18" s="30"/>
      <c r="H18" s="23"/>
      <c r="I18" s="23"/>
      <c r="J18" s="24"/>
      <c r="K18" s="14"/>
      <c r="L18" s="25"/>
      <c r="M18" s="26"/>
      <c r="N18" s="14"/>
      <c r="O18" s="25"/>
      <c r="P18" s="27"/>
      <c r="Q18" s="16"/>
    </row>
    <row r="19" spans="2:17" x14ac:dyDescent="0.25">
      <c r="B19" s="8"/>
      <c r="C19" s="39" t="s">
        <v>43</v>
      </c>
      <c r="D19" s="10"/>
      <c r="E19" s="11" t="s">
        <v>4</v>
      </c>
      <c r="F19" s="25"/>
      <c r="G19" s="30"/>
      <c r="H19" s="23"/>
      <c r="I19" s="23"/>
      <c r="J19" s="24"/>
      <c r="K19" s="14"/>
      <c r="L19" s="25"/>
      <c r="M19" s="26"/>
      <c r="N19" s="14"/>
      <c r="O19" s="25"/>
      <c r="P19" s="27"/>
      <c r="Q19" s="16"/>
    </row>
    <row r="20" spans="2:17" x14ac:dyDescent="0.25">
      <c r="B20" s="8"/>
      <c r="C20" s="40" t="s">
        <v>32</v>
      </c>
      <c r="D20" s="41" t="s">
        <v>44</v>
      </c>
      <c r="E20" s="11" t="s">
        <v>4</v>
      </c>
      <c r="F20" s="25"/>
      <c r="G20" s="30"/>
      <c r="H20" s="23"/>
      <c r="I20" s="23"/>
      <c r="J20" s="24"/>
      <c r="K20" s="14"/>
      <c r="L20" s="25"/>
      <c r="M20" s="26"/>
      <c r="N20" s="14"/>
      <c r="O20" s="25"/>
      <c r="P20" s="27"/>
      <c r="Q20" s="16"/>
    </row>
    <row r="21" spans="2:17" x14ac:dyDescent="0.25">
      <c r="B21" s="8"/>
      <c r="C21" s="42" t="s">
        <v>45</v>
      </c>
      <c r="D21" s="43" t="s">
        <v>205</v>
      </c>
      <c r="E21" s="11" t="s">
        <v>4</v>
      </c>
      <c r="F21" s="25"/>
      <c r="G21" s="30"/>
      <c r="H21" s="23"/>
      <c r="I21" s="23"/>
      <c r="J21" s="24"/>
      <c r="K21" s="14"/>
      <c r="L21" s="25"/>
      <c r="M21" s="26"/>
      <c r="N21" s="14"/>
      <c r="O21" s="25"/>
      <c r="P21" s="27"/>
      <c r="Q21" s="16"/>
    </row>
    <row r="22" spans="2:17" x14ac:dyDescent="0.25">
      <c r="B22" s="8"/>
      <c r="C22" s="42" t="s">
        <v>46</v>
      </c>
      <c r="D22" s="43" t="s">
        <v>47</v>
      </c>
      <c r="E22" s="11" t="s">
        <v>4</v>
      </c>
      <c r="F22" s="25"/>
      <c r="G22" s="30"/>
      <c r="H22" s="23"/>
      <c r="I22" s="23"/>
      <c r="J22" s="24"/>
      <c r="K22" s="14"/>
      <c r="L22" s="25"/>
      <c r="M22" s="26"/>
      <c r="N22" s="14"/>
      <c r="O22" s="25"/>
      <c r="P22" s="27"/>
      <c r="Q22" s="16"/>
    </row>
    <row r="23" spans="2:17" x14ac:dyDescent="0.25">
      <c r="B23" s="8"/>
      <c r="C23" s="44" t="s">
        <v>48</v>
      </c>
      <c r="D23" s="45"/>
      <c r="E23" s="11" t="s">
        <v>4</v>
      </c>
      <c r="F23" s="25"/>
      <c r="G23" s="30"/>
      <c r="H23" s="23"/>
      <c r="I23" s="23"/>
      <c r="J23" s="24"/>
      <c r="K23" s="14"/>
      <c r="L23" s="25"/>
      <c r="M23" s="26"/>
      <c r="N23" s="14"/>
      <c r="O23" s="25"/>
      <c r="P23" s="27"/>
      <c r="Q23" s="16"/>
    </row>
    <row r="24" spans="2:17" x14ac:dyDescent="0.25">
      <c r="B24" s="8"/>
      <c r="C24" s="11"/>
      <c r="D24" s="11"/>
      <c r="E24" s="11" t="s">
        <v>4</v>
      </c>
      <c r="F24" s="25"/>
      <c r="G24" s="30"/>
      <c r="H24" s="23"/>
      <c r="I24" s="23"/>
      <c r="J24" s="24"/>
      <c r="K24" s="14"/>
      <c r="L24" s="25"/>
      <c r="M24" s="26"/>
      <c r="N24" s="14"/>
      <c r="O24" s="25"/>
      <c r="P24" s="27"/>
      <c r="Q24" s="16"/>
    </row>
    <row r="25" spans="2:17" x14ac:dyDescent="0.25">
      <c r="B25" s="8"/>
      <c r="C25" s="11"/>
      <c r="D25" s="11"/>
      <c r="E25" s="11" t="s">
        <v>4</v>
      </c>
      <c r="F25" s="25"/>
      <c r="G25" s="30"/>
      <c r="H25" s="23"/>
      <c r="I25" s="23"/>
      <c r="J25" s="24"/>
      <c r="K25" s="14"/>
      <c r="L25" s="25"/>
      <c r="M25" s="26"/>
      <c r="N25" s="14"/>
      <c r="O25" s="25"/>
      <c r="P25" s="27"/>
      <c r="Q25" s="16"/>
    </row>
    <row r="26" spans="2:17" x14ac:dyDescent="0.25">
      <c r="B26" s="8"/>
      <c r="C26" s="39" t="s">
        <v>49</v>
      </c>
      <c r="D26" s="11"/>
      <c r="E26" s="11" t="s">
        <v>4</v>
      </c>
      <c r="F26" s="25"/>
      <c r="G26" s="30"/>
      <c r="H26" s="23"/>
      <c r="I26" s="23"/>
      <c r="J26" s="24"/>
      <c r="K26" s="14"/>
      <c r="L26" s="25"/>
      <c r="M26" s="26"/>
      <c r="N26" s="14"/>
      <c r="O26" s="25"/>
      <c r="P26" s="27"/>
      <c r="Q26" s="16"/>
    </row>
    <row r="27" spans="2:17" x14ac:dyDescent="0.25">
      <c r="B27" s="8"/>
      <c r="C27" s="46" t="s">
        <v>32</v>
      </c>
      <c r="D27" s="47" t="str">
        <f t="array" aca="1" ref="D27:D30" ca="1">_xll.meLWOCurveCalibrate(D20,D21,D13,D22,D23)</f>
        <v>USD_OIS_CURVE@11:4</v>
      </c>
      <c r="E27" s="11" t="s">
        <v>4</v>
      </c>
      <c r="F27" s="25"/>
      <c r="G27" s="30"/>
      <c r="H27" s="23"/>
      <c r="I27" s="23"/>
      <c r="J27" s="24"/>
      <c r="K27" s="14"/>
      <c r="L27" s="25"/>
      <c r="M27" s="26"/>
      <c r="N27" s="14"/>
      <c r="O27" s="25"/>
      <c r="P27" s="27"/>
      <c r="Q27" s="16"/>
    </row>
    <row r="28" spans="2:17" x14ac:dyDescent="0.25">
      <c r="B28" s="8"/>
      <c r="C28" s="50" t="s">
        <v>50</v>
      </c>
      <c r="D28" s="48" t="str">
        <f ca="1"/>
        <v>USDYC</v>
      </c>
      <c r="E28" s="11" t="s">
        <v>4</v>
      </c>
      <c r="F28" s="25"/>
      <c r="G28" s="30"/>
      <c r="H28" s="23"/>
      <c r="I28" s="23"/>
      <c r="J28" s="24"/>
      <c r="K28" s="14"/>
      <c r="L28" s="25"/>
      <c r="M28" s="26"/>
      <c r="N28" s="14"/>
      <c r="O28" s="25"/>
      <c r="P28" s="27"/>
      <c r="Q28" s="16"/>
    </row>
    <row r="29" spans="2:17" x14ac:dyDescent="0.25">
      <c r="B29" s="8"/>
      <c r="C29" s="50" t="s">
        <v>51</v>
      </c>
      <c r="D29" s="48" t="str">
        <f ca="1"/>
        <v>OIS:USDOIS:USDDF:USDDF_USDCSA:USDDF_NOCSA</v>
      </c>
      <c r="E29" s="11" t="s">
        <v>4</v>
      </c>
      <c r="F29" s="25"/>
      <c r="G29" s="30"/>
      <c r="H29" s="23"/>
      <c r="I29" s="23"/>
      <c r="J29" s="24"/>
      <c r="K29" s="14"/>
      <c r="L29" s="25"/>
      <c r="M29" s="26"/>
      <c r="N29" s="14"/>
      <c r="O29" s="25"/>
      <c r="P29" s="27"/>
      <c r="Q29" s="16"/>
    </row>
    <row r="30" spans="2:17" x14ac:dyDescent="0.25">
      <c r="B30" s="8"/>
      <c r="C30" s="51" t="s">
        <v>52</v>
      </c>
      <c r="D30" s="49" t="str">
        <f ca="1"/>
        <v>0.01800 sec</v>
      </c>
      <c r="E30" s="11" t="s">
        <v>4</v>
      </c>
      <c r="F30" s="52"/>
      <c r="G30" s="53"/>
      <c r="H30" s="54"/>
      <c r="I30" s="54"/>
      <c r="J30" s="55"/>
      <c r="K30" s="14"/>
      <c r="L30" s="52"/>
      <c r="M30" s="56"/>
      <c r="N30" s="14"/>
      <c r="O30" s="52"/>
      <c r="P30" s="57"/>
      <c r="Q30" s="16"/>
    </row>
    <row r="31" spans="2:17" x14ac:dyDescent="0.25">
      <c r="B31" s="8"/>
      <c r="C31" s="58" t="s">
        <v>53</v>
      </c>
      <c r="D31" s="59" t="b">
        <f ca="1">LEFT(D27,3)=LEFT(D20,3)</f>
        <v>1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6"/>
    </row>
    <row r="32" spans="2:17" x14ac:dyDescent="0.25">
      <c r="B32" s="8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6"/>
    </row>
    <row r="33" spans="2:17" x14ac:dyDescent="0.25">
      <c r="B33" s="8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6"/>
    </row>
    <row r="34" spans="2:17" x14ac:dyDescent="0.25">
      <c r="B34" s="8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6"/>
    </row>
    <row r="35" spans="2:17" x14ac:dyDescent="0.25">
      <c r="B35" s="8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6"/>
    </row>
    <row r="36" spans="2:17" x14ac:dyDescent="0.25">
      <c r="B36" s="8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6"/>
    </row>
    <row r="37" spans="2:17" x14ac:dyDescent="0.25">
      <c r="B37" s="8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6"/>
    </row>
    <row r="38" spans="2:17" x14ac:dyDescent="0.25">
      <c r="B38" s="8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6"/>
    </row>
    <row r="39" spans="2:17" x14ac:dyDescent="0.25">
      <c r="B39" s="8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6"/>
    </row>
    <row r="40" spans="2:17" x14ac:dyDescent="0.25">
      <c r="B40" s="8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6"/>
    </row>
    <row r="41" spans="2:17" x14ac:dyDescent="0.25">
      <c r="B41" s="8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6"/>
    </row>
    <row r="42" spans="2:17" x14ac:dyDescent="0.25">
      <c r="B42" s="8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6"/>
    </row>
    <row r="43" spans="2:17" x14ac:dyDescent="0.25">
      <c r="B43" s="8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6"/>
    </row>
    <row r="44" spans="2:17" x14ac:dyDescent="0.25">
      <c r="B44" s="8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6"/>
    </row>
    <row r="45" spans="2:17" x14ac:dyDescent="0.25">
      <c r="B45" s="8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6"/>
    </row>
    <row r="46" spans="2:17" x14ac:dyDescent="0.25">
      <c r="B46" s="8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6"/>
    </row>
    <row r="47" spans="2:17" x14ac:dyDescent="0.25">
      <c r="B47" s="8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6"/>
    </row>
    <row r="48" spans="2:17" x14ac:dyDescent="0.25">
      <c r="B48" s="8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6"/>
    </row>
    <row r="49" spans="2:17" x14ac:dyDescent="0.25">
      <c r="B49" s="8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6"/>
    </row>
    <row r="50" spans="2:17" x14ac:dyDescent="0.25">
      <c r="B50" s="8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6"/>
    </row>
    <row r="51" spans="2:17" x14ac:dyDescent="0.25">
      <c r="B51" s="8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6"/>
    </row>
    <row r="52" spans="2:17" x14ac:dyDescent="0.25">
      <c r="B52" s="8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6"/>
    </row>
    <row r="53" spans="2:17" x14ac:dyDescent="0.25">
      <c r="B53" s="8"/>
      <c r="C53" s="38"/>
      <c r="D53" s="10"/>
      <c r="E53" s="11"/>
      <c r="F53" s="11"/>
      <c r="G53" s="11"/>
      <c r="H53" s="11"/>
      <c r="I53" s="11"/>
      <c r="J53" s="11"/>
      <c r="K53" s="14"/>
      <c r="L53" s="11"/>
      <c r="M53" s="11"/>
      <c r="N53" s="14"/>
      <c r="O53" s="11"/>
      <c r="P53" s="11"/>
      <c r="Q53" s="16"/>
    </row>
    <row r="54" spans="2:17" x14ac:dyDescent="0.25">
      <c r="B54" s="8"/>
      <c r="C54" s="38"/>
      <c r="D54" s="10"/>
      <c r="E54" s="11"/>
      <c r="F54" s="11"/>
      <c r="G54" s="11"/>
      <c r="H54" s="11"/>
      <c r="I54" s="11"/>
      <c r="J54" s="11"/>
      <c r="K54" s="14"/>
      <c r="L54" s="11"/>
      <c r="M54" s="11"/>
      <c r="N54" s="14"/>
      <c r="O54" s="11"/>
      <c r="P54" s="11"/>
      <c r="Q54" s="16"/>
    </row>
    <row r="55" spans="2:17" x14ac:dyDescent="0.25">
      <c r="B55" s="8"/>
      <c r="C55" s="38"/>
      <c r="D55" s="10"/>
      <c r="E55" s="11"/>
      <c r="F55" s="11"/>
      <c r="G55" s="11"/>
      <c r="H55" s="11"/>
      <c r="I55" s="11"/>
      <c r="J55" s="11"/>
      <c r="K55" s="14"/>
      <c r="L55" s="11"/>
      <c r="M55" s="11"/>
      <c r="N55" s="14"/>
      <c r="O55" s="11"/>
      <c r="P55" s="11"/>
      <c r="Q55" s="16"/>
    </row>
    <row r="56" spans="2:17" x14ac:dyDescent="0.25">
      <c r="B56" s="8"/>
      <c r="C56" s="38"/>
      <c r="D56" s="10"/>
      <c r="E56" s="11"/>
      <c r="F56" s="11"/>
      <c r="G56" s="11"/>
      <c r="H56" s="11"/>
      <c r="I56" s="11"/>
      <c r="J56" s="11"/>
      <c r="K56" s="14"/>
      <c r="L56" s="11"/>
      <c r="M56" s="11"/>
      <c r="N56" s="14"/>
      <c r="O56" s="11"/>
      <c r="P56" s="11"/>
      <c r="Q56" s="16"/>
    </row>
    <row r="57" spans="2:17" x14ac:dyDescent="0.25">
      <c r="B57" s="8"/>
      <c r="C57" s="38"/>
      <c r="D57" s="10"/>
      <c r="E57" s="11"/>
      <c r="F57" s="11"/>
      <c r="G57" s="11"/>
      <c r="H57" s="11"/>
      <c r="I57" s="11"/>
      <c r="J57" s="11"/>
      <c r="K57" s="14"/>
      <c r="L57" s="11"/>
      <c r="M57" s="11"/>
      <c r="N57" s="14"/>
      <c r="O57" s="11"/>
      <c r="P57" s="11"/>
      <c r="Q57" s="16"/>
    </row>
    <row r="58" spans="2:17" x14ac:dyDescent="0.25">
      <c r="B58" s="8"/>
      <c r="C58" s="38"/>
      <c r="D58" s="10"/>
      <c r="E58" s="11"/>
      <c r="F58" s="11"/>
      <c r="G58" s="11"/>
      <c r="H58" s="11"/>
      <c r="I58" s="11"/>
      <c r="J58" s="11"/>
      <c r="K58" s="14"/>
      <c r="L58" s="11"/>
      <c r="M58" s="11"/>
      <c r="N58" s="14"/>
      <c r="O58" s="11"/>
      <c r="P58" s="11"/>
      <c r="Q58" s="16"/>
    </row>
    <row r="59" spans="2:17" x14ac:dyDescent="0.25">
      <c r="B59" s="8"/>
      <c r="C59" s="38"/>
      <c r="D59" s="10"/>
      <c r="E59" s="11"/>
      <c r="F59" s="11"/>
      <c r="G59" s="11"/>
      <c r="H59" s="11"/>
      <c r="I59" s="11"/>
      <c r="J59" s="11"/>
      <c r="K59" s="14"/>
      <c r="L59" s="11"/>
      <c r="M59" s="11"/>
      <c r="N59" s="14"/>
      <c r="O59" s="11"/>
      <c r="P59" s="11"/>
      <c r="Q59" s="16"/>
    </row>
    <row r="60" spans="2:17" x14ac:dyDescent="0.25">
      <c r="B60" s="8"/>
      <c r="C60" s="38"/>
      <c r="D60" s="10"/>
      <c r="E60" s="11"/>
      <c r="F60" s="11"/>
      <c r="G60" s="11"/>
      <c r="H60" s="11"/>
      <c r="I60" s="11"/>
      <c r="J60" s="11"/>
      <c r="K60" s="14"/>
      <c r="L60" s="11"/>
      <c r="M60" s="11"/>
      <c r="N60" s="14"/>
      <c r="O60" s="11"/>
      <c r="P60" s="11"/>
      <c r="Q60" s="16"/>
    </row>
    <row r="61" spans="2:17" x14ac:dyDescent="0.25">
      <c r="B61" s="8"/>
      <c r="C61" s="38"/>
      <c r="D61" s="10"/>
      <c r="E61" s="11"/>
      <c r="F61" s="11"/>
      <c r="G61" s="11"/>
      <c r="H61" s="11"/>
      <c r="I61" s="11"/>
      <c r="J61" s="11"/>
      <c r="K61" s="14"/>
      <c r="L61" s="11"/>
      <c r="M61" s="11"/>
      <c r="N61" s="14"/>
      <c r="O61" s="11"/>
      <c r="P61" s="11"/>
      <c r="Q61" s="16"/>
    </row>
    <row r="62" spans="2:17" x14ac:dyDescent="0.25">
      <c r="B62" s="8"/>
      <c r="C62" s="38"/>
      <c r="D62" s="10"/>
      <c r="E62" s="11"/>
      <c r="F62" s="11"/>
      <c r="G62" s="11"/>
      <c r="H62" s="11"/>
      <c r="I62" s="11"/>
      <c r="J62" s="11"/>
      <c r="K62" s="14"/>
      <c r="L62" s="11"/>
      <c r="M62" s="11"/>
      <c r="N62" s="14"/>
      <c r="O62" s="11"/>
      <c r="P62" s="11"/>
      <c r="Q62" s="16"/>
    </row>
    <row r="63" spans="2:17" x14ac:dyDescent="0.25">
      <c r="B63" s="8"/>
      <c r="C63" s="38"/>
      <c r="D63" s="10"/>
      <c r="E63" s="11"/>
      <c r="F63" s="11"/>
      <c r="G63" s="11"/>
      <c r="H63" s="11"/>
      <c r="I63" s="11"/>
      <c r="J63" s="11"/>
      <c r="K63" s="14"/>
      <c r="L63" s="11"/>
      <c r="M63" s="11"/>
      <c r="N63" s="14"/>
      <c r="O63" s="11"/>
      <c r="P63" s="11"/>
      <c r="Q63" s="16"/>
    </row>
    <row r="64" spans="2:17" x14ac:dyDescent="0.25">
      <c r="B64" s="8"/>
      <c r="C64" s="38"/>
      <c r="D64" s="10"/>
      <c r="E64" s="11"/>
      <c r="F64" s="11"/>
      <c r="G64" s="11"/>
      <c r="H64" s="11"/>
      <c r="I64" s="11"/>
      <c r="J64" s="11"/>
      <c r="K64" s="14"/>
      <c r="L64" s="11"/>
      <c r="M64" s="11"/>
      <c r="N64" s="14"/>
      <c r="O64" s="11"/>
      <c r="P64" s="11"/>
      <c r="Q64" s="16"/>
    </row>
    <row r="65" spans="2:17" x14ac:dyDescent="0.25">
      <c r="B65" s="8"/>
      <c r="C65" s="38"/>
      <c r="D65" s="10"/>
      <c r="E65" s="11"/>
      <c r="F65" s="11"/>
      <c r="G65" s="11"/>
      <c r="H65" s="11"/>
      <c r="I65" s="11"/>
      <c r="J65" s="11"/>
      <c r="K65" s="14"/>
      <c r="L65" s="11"/>
      <c r="M65" s="11"/>
      <c r="N65" s="14"/>
      <c r="O65" s="11"/>
      <c r="P65" s="11"/>
      <c r="Q65" s="16"/>
    </row>
    <row r="66" spans="2:17" x14ac:dyDescent="0.25">
      <c r="B66" s="8"/>
      <c r="C66" s="38"/>
      <c r="D66" s="10"/>
      <c r="E66" s="11"/>
      <c r="F66" s="11"/>
      <c r="G66" s="11"/>
      <c r="H66" s="11"/>
      <c r="I66" s="11"/>
      <c r="J66" s="11"/>
      <c r="K66" s="14"/>
      <c r="L66" s="11"/>
      <c r="M66" s="11"/>
      <c r="N66" s="14"/>
      <c r="O66" s="11"/>
      <c r="P66" s="11"/>
      <c r="Q66" s="16"/>
    </row>
    <row r="67" spans="2:17" x14ac:dyDescent="0.25">
      <c r="B67" s="8"/>
      <c r="C67" s="38"/>
      <c r="D67" s="10"/>
      <c r="E67" s="11"/>
      <c r="F67" s="11"/>
      <c r="G67" s="11"/>
      <c r="H67" s="11"/>
      <c r="I67" s="11"/>
      <c r="J67" s="11"/>
      <c r="K67" s="14"/>
      <c r="L67" s="11"/>
      <c r="M67" s="11"/>
      <c r="N67" s="14"/>
      <c r="O67" s="11"/>
      <c r="P67" s="11"/>
      <c r="Q67" s="16"/>
    </row>
    <row r="68" spans="2:17" x14ac:dyDescent="0.25">
      <c r="B68" s="8"/>
      <c r="C68" s="38"/>
      <c r="D68" s="10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6"/>
    </row>
    <row r="69" spans="2:17" x14ac:dyDescent="0.25">
      <c r="B69" s="8"/>
      <c r="C69" s="38"/>
      <c r="D69" s="10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6"/>
    </row>
    <row r="70" spans="2:17" x14ac:dyDescent="0.25">
      <c r="B70" s="8"/>
      <c r="C70" s="38"/>
      <c r="D70" s="10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6"/>
    </row>
    <row r="71" spans="2:17" x14ac:dyDescent="0.25">
      <c r="B71" s="8"/>
      <c r="C71" s="38"/>
      <c r="D71" s="10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6"/>
    </row>
    <row r="72" spans="2:17" x14ac:dyDescent="0.25">
      <c r="B72" s="8"/>
      <c r="C72" s="38"/>
      <c r="D72" s="10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6"/>
    </row>
    <row r="73" spans="2:17" x14ac:dyDescent="0.25">
      <c r="B73" s="8"/>
      <c r="C73" s="38"/>
      <c r="D73" s="10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6"/>
    </row>
    <row r="74" spans="2:17" x14ac:dyDescent="0.25">
      <c r="B74" s="8"/>
      <c r="C74" s="38"/>
      <c r="D74" s="1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6"/>
    </row>
    <row r="75" spans="2:17" x14ac:dyDescent="0.25">
      <c r="B75" s="8"/>
      <c r="C75" s="38"/>
      <c r="D75" s="10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6"/>
    </row>
    <row r="76" spans="2:17" x14ac:dyDescent="0.25">
      <c r="B76" s="8"/>
      <c r="C76" s="38"/>
      <c r="D76" s="10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6"/>
    </row>
    <row r="77" spans="2:17" x14ac:dyDescent="0.25">
      <c r="B77" s="8"/>
      <c r="C77" s="38"/>
      <c r="D77" s="10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6"/>
    </row>
    <row r="78" spans="2:17" x14ac:dyDescent="0.25">
      <c r="B78" s="8"/>
      <c r="C78" s="38"/>
      <c r="D78" s="10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6"/>
    </row>
    <row r="79" spans="2:17" x14ac:dyDescent="0.25">
      <c r="B79" s="8"/>
      <c r="C79" s="38"/>
      <c r="D79" s="10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6"/>
    </row>
    <row r="80" spans="2:17" x14ac:dyDescent="0.25">
      <c r="B80" s="8"/>
      <c r="C80" s="38"/>
      <c r="D80" s="10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6"/>
    </row>
    <row r="81" spans="2:17" x14ac:dyDescent="0.25">
      <c r="B81" s="8"/>
      <c r="C81" s="38"/>
      <c r="D81" s="10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6"/>
    </row>
    <row r="82" spans="2:17" x14ac:dyDescent="0.25">
      <c r="B82" s="8"/>
      <c r="C82" s="38"/>
      <c r="D82" s="1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6"/>
    </row>
    <row r="83" spans="2:17" x14ac:dyDescent="0.25">
      <c r="B83" s="8"/>
      <c r="C83" s="38"/>
      <c r="D83" s="10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6"/>
    </row>
    <row r="84" spans="2:17" x14ac:dyDescent="0.25">
      <c r="B84" s="8"/>
      <c r="C84" s="38"/>
      <c r="D84" s="10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6"/>
    </row>
    <row r="85" spans="2:17" x14ac:dyDescent="0.25">
      <c r="B85" s="8"/>
      <c r="C85" s="38"/>
      <c r="D85" s="10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6"/>
    </row>
    <row r="86" spans="2:17" x14ac:dyDescent="0.25">
      <c r="B86" s="60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08"/>
  <sheetViews>
    <sheetView showGridLines="0" workbookViewId="0"/>
  </sheetViews>
  <sheetFormatPr defaultRowHeight="15" x14ac:dyDescent="0.25"/>
  <cols>
    <col min="1" max="2" width="4.7109375" customWidth="1"/>
    <col min="3" max="3" width="25.28515625" bestFit="1" customWidth="1"/>
    <col min="4" max="4" width="41.7109375" bestFit="1" customWidth="1"/>
    <col min="5" max="5" width="4.7109375" customWidth="1"/>
    <col min="8" max="8" width="4.7109375" customWidth="1"/>
    <col min="10" max="10" width="13.42578125" customWidth="1"/>
    <col min="11" max="11" width="11.140625" customWidth="1"/>
    <col min="14" max="14" width="4.7109375" customWidth="1"/>
    <col min="18" max="18" width="4.7109375" customWidth="1"/>
  </cols>
  <sheetData>
    <row r="2" spans="2:18" x14ac:dyDescent="0.25">
      <c r="B2" s="63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5"/>
    </row>
    <row r="3" spans="2:18" x14ac:dyDescent="0.25">
      <c r="B3" s="66"/>
      <c r="C3" s="12" t="s">
        <v>1</v>
      </c>
      <c r="D3" s="14"/>
      <c r="E3" s="11"/>
      <c r="F3" s="12" t="s">
        <v>54</v>
      </c>
      <c r="G3" s="13"/>
      <c r="H3" s="11"/>
      <c r="I3" s="12" t="s">
        <v>55</v>
      </c>
      <c r="J3" s="15"/>
      <c r="K3" s="15"/>
      <c r="L3" s="13"/>
      <c r="M3" s="14"/>
      <c r="N3" s="11"/>
      <c r="O3" s="12" t="s">
        <v>5</v>
      </c>
      <c r="P3" s="13"/>
      <c r="Q3" s="11"/>
      <c r="R3" s="67"/>
    </row>
    <row r="4" spans="2:18" x14ac:dyDescent="0.25">
      <c r="B4" s="66"/>
      <c r="C4" s="68" t="s">
        <v>11</v>
      </c>
      <c r="D4" s="69" t="s">
        <v>12</v>
      </c>
      <c r="E4" s="11" t="s">
        <v>4</v>
      </c>
      <c r="F4" s="10" t="s">
        <v>6</v>
      </c>
      <c r="G4" s="10" t="s">
        <v>7</v>
      </c>
      <c r="H4" s="38"/>
      <c r="I4" s="70" t="s">
        <v>6</v>
      </c>
      <c r="J4" s="70" t="s">
        <v>8</v>
      </c>
      <c r="K4" s="70" t="s">
        <v>9</v>
      </c>
      <c r="L4" s="70" t="s">
        <v>7</v>
      </c>
      <c r="M4" s="70" t="s">
        <v>56</v>
      </c>
      <c r="N4" s="38"/>
      <c r="O4" s="71" t="s">
        <v>6</v>
      </c>
      <c r="P4" s="10" t="s">
        <v>7</v>
      </c>
      <c r="Q4" s="10" t="s">
        <v>10</v>
      </c>
      <c r="R4" s="67"/>
    </row>
    <row r="5" spans="2:18" x14ac:dyDescent="0.25">
      <c r="B5" s="66"/>
      <c r="C5" s="72" t="s">
        <v>15</v>
      </c>
      <c r="D5" s="73" t="s">
        <v>57</v>
      </c>
      <c r="E5" s="11" t="s">
        <v>4</v>
      </c>
      <c r="F5" s="20" t="s">
        <v>30</v>
      </c>
      <c r="G5" s="74">
        <v>2.4494999999999999E-2</v>
      </c>
      <c r="H5" s="11"/>
      <c r="I5" s="76" t="s">
        <v>170</v>
      </c>
      <c r="J5" s="77">
        <v>46925</v>
      </c>
      <c r="K5" s="77">
        <v>47016</v>
      </c>
      <c r="L5" s="78">
        <v>97.552499999999995</v>
      </c>
      <c r="M5" s="79">
        <v>8.0000000000000002E-3</v>
      </c>
      <c r="N5" s="11"/>
      <c r="O5" s="75" t="s">
        <v>58</v>
      </c>
      <c r="P5" s="80">
        <v>1.9316E-2</v>
      </c>
      <c r="Q5" s="81" t="b">
        <v>1</v>
      </c>
      <c r="R5" s="67"/>
    </row>
    <row r="6" spans="2:18" x14ac:dyDescent="0.25">
      <c r="B6" s="66"/>
      <c r="C6" s="72" t="s">
        <v>18</v>
      </c>
      <c r="D6" s="73" t="s">
        <v>59</v>
      </c>
      <c r="E6" s="11" t="s">
        <v>4</v>
      </c>
      <c r="F6" s="25"/>
      <c r="G6" s="26"/>
      <c r="H6" s="11"/>
      <c r="I6" s="76" t="s">
        <v>171</v>
      </c>
      <c r="J6" s="77">
        <v>47016</v>
      </c>
      <c r="K6" s="77">
        <v>47107</v>
      </c>
      <c r="L6" s="78">
        <v>97.844999999999999</v>
      </c>
      <c r="M6" s="79">
        <v>8.0000000000000002E-3</v>
      </c>
      <c r="N6" s="11"/>
      <c r="O6" s="76" t="s">
        <v>14</v>
      </c>
      <c r="P6" s="82">
        <v>1.9283000000000002E-2</v>
      </c>
      <c r="Q6" s="83" t="b">
        <v>1</v>
      </c>
      <c r="R6" s="67"/>
    </row>
    <row r="7" spans="2:18" x14ac:dyDescent="0.25">
      <c r="B7" s="66"/>
      <c r="C7" s="72" t="s">
        <v>22</v>
      </c>
      <c r="D7" s="84">
        <f ca="1">COB</f>
        <v>43627</v>
      </c>
      <c r="E7" s="11" t="s">
        <v>4</v>
      </c>
      <c r="F7" s="25"/>
      <c r="G7" s="26"/>
      <c r="H7" s="11"/>
      <c r="I7" s="76" t="s">
        <v>172</v>
      </c>
      <c r="J7" s="77">
        <v>47107</v>
      </c>
      <c r="K7" s="77">
        <v>47198</v>
      </c>
      <c r="L7" s="78">
        <v>97.954999999999998</v>
      </c>
      <c r="M7" s="79">
        <v>8.0000000000000002E-3</v>
      </c>
      <c r="N7" s="11"/>
      <c r="O7" s="76" t="s">
        <v>17</v>
      </c>
      <c r="P7" s="82">
        <v>1.9493E-2</v>
      </c>
      <c r="Q7" s="83" t="b">
        <v>1</v>
      </c>
      <c r="R7" s="67"/>
    </row>
    <row r="8" spans="2:18" x14ac:dyDescent="0.25">
      <c r="B8" s="66"/>
      <c r="C8" s="85"/>
      <c r="D8" s="86"/>
      <c r="E8" s="11" t="s">
        <v>4</v>
      </c>
      <c r="F8" s="25"/>
      <c r="G8" s="26"/>
      <c r="H8" s="11"/>
      <c r="I8" s="76" t="s">
        <v>173</v>
      </c>
      <c r="J8" s="77">
        <v>47198</v>
      </c>
      <c r="K8" s="77">
        <v>47289</v>
      </c>
      <c r="L8" s="78">
        <v>98.12</v>
      </c>
      <c r="M8" s="79">
        <v>8.0000000000000002E-3</v>
      </c>
      <c r="N8" s="11"/>
      <c r="O8" s="76" t="s">
        <v>21</v>
      </c>
      <c r="P8" s="82">
        <v>2.0207000000000003E-2</v>
      </c>
      <c r="Q8" s="83" t="b">
        <v>1</v>
      </c>
      <c r="R8" s="67"/>
    </row>
    <row r="9" spans="2:18" x14ac:dyDescent="0.25">
      <c r="B9" s="66"/>
      <c r="C9" s="36"/>
      <c r="D9" s="87"/>
      <c r="E9" s="11" t="s">
        <v>4</v>
      </c>
      <c r="F9" s="88"/>
      <c r="G9" s="57"/>
      <c r="H9" s="11"/>
      <c r="I9" s="76" t="s">
        <v>174</v>
      </c>
      <c r="J9" s="77">
        <v>43635</v>
      </c>
      <c r="K9" s="77">
        <v>43726</v>
      </c>
      <c r="L9" s="78">
        <v>98.18</v>
      </c>
      <c r="M9" s="79">
        <v>8.0000000000000002E-3</v>
      </c>
      <c r="N9" s="11"/>
      <c r="O9" s="76" t="s">
        <v>60</v>
      </c>
      <c r="P9" s="82">
        <v>2.0594000000000001E-2</v>
      </c>
      <c r="Q9" s="83" t="b">
        <v>1</v>
      </c>
      <c r="R9" s="67"/>
    </row>
    <row r="10" spans="2:18" x14ac:dyDescent="0.25">
      <c r="B10" s="66"/>
      <c r="C10" s="11"/>
      <c r="D10" s="11"/>
      <c r="E10" s="11" t="s">
        <v>4</v>
      </c>
      <c r="F10" s="11"/>
      <c r="G10" s="11"/>
      <c r="H10" s="11"/>
      <c r="I10" s="76" t="s">
        <v>175</v>
      </c>
      <c r="J10" s="77">
        <v>43726</v>
      </c>
      <c r="K10" s="77">
        <v>43817</v>
      </c>
      <c r="L10" s="78">
        <v>98.23</v>
      </c>
      <c r="M10" s="79">
        <v>8.0000000000000002E-3</v>
      </c>
      <c r="N10" s="11"/>
      <c r="O10" s="76" t="s">
        <v>61</v>
      </c>
      <c r="P10" s="82">
        <v>2.0979000000000001E-2</v>
      </c>
      <c r="Q10" s="83" t="b">
        <v>1</v>
      </c>
      <c r="R10" s="67"/>
    </row>
    <row r="11" spans="2:18" x14ac:dyDescent="0.25">
      <c r="B11" s="66"/>
      <c r="C11" s="33" t="s">
        <v>29</v>
      </c>
      <c r="D11" s="10"/>
      <c r="E11" s="11" t="s">
        <v>4</v>
      </c>
      <c r="F11" s="11"/>
      <c r="G11" s="11"/>
      <c r="H11" s="11"/>
      <c r="I11" s="76" t="s">
        <v>176</v>
      </c>
      <c r="J11" s="77">
        <v>43817</v>
      </c>
      <c r="K11" s="77">
        <v>43908</v>
      </c>
      <c r="L11" s="78">
        <v>98.24</v>
      </c>
      <c r="M11" s="79">
        <v>8.0000000000000002E-3</v>
      </c>
      <c r="N11" s="11"/>
      <c r="O11" s="76" t="s">
        <v>24</v>
      </c>
      <c r="P11" s="82">
        <v>2.1349999999999997E-2</v>
      </c>
      <c r="Q11" s="83" t="b">
        <v>1</v>
      </c>
      <c r="R11" s="67"/>
    </row>
    <row r="12" spans="2:18" x14ac:dyDescent="0.25">
      <c r="B12" s="66"/>
      <c r="C12" s="34" t="s">
        <v>32</v>
      </c>
      <c r="D12" s="35" t="s">
        <v>62</v>
      </c>
      <c r="E12" s="11" t="s">
        <v>4</v>
      </c>
      <c r="F12" s="11"/>
      <c r="G12" s="11"/>
      <c r="H12" s="11"/>
      <c r="I12" s="76" t="s">
        <v>177</v>
      </c>
      <c r="J12" s="77">
        <v>43908</v>
      </c>
      <c r="K12" s="77">
        <v>43999</v>
      </c>
      <c r="L12" s="78">
        <v>98.26</v>
      </c>
      <c r="M12" s="79">
        <v>8.0000000000000002E-3</v>
      </c>
      <c r="N12" s="11"/>
      <c r="O12" s="76" t="s">
        <v>26</v>
      </c>
      <c r="P12" s="82">
        <v>2.2001E-2</v>
      </c>
      <c r="Q12" s="83" t="b">
        <v>1</v>
      </c>
      <c r="R12" s="67"/>
    </row>
    <row r="13" spans="2:18" x14ac:dyDescent="0.25">
      <c r="B13" s="66"/>
      <c r="C13" s="36" t="s">
        <v>36</v>
      </c>
      <c r="D13" s="37" t="str">
        <f ca="1">_xll.meLWOCurveMarketDataCreate(D12,C3,C4:D9,F3,F5:G9,I3,I5:M30,O3,O5:Q30)</f>
        <v>USD_SWAP_3M_CURVE_MARKETDATA@8:8</v>
      </c>
      <c r="E13" s="11" t="s">
        <v>4</v>
      </c>
      <c r="F13" s="11"/>
      <c r="G13" s="11"/>
      <c r="H13" s="11"/>
      <c r="I13" s="76"/>
      <c r="J13" s="77"/>
      <c r="K13" s="77"/>
      <c r="L13" s="78"/>
      <c r="M13" s="79"/>
      <c r="N13" s="11"/>
      <c r="O13" s="76" t="s">
        <v>28</v>
      </c>
      <c r="P13" s="82">
        <v>2.2679000000000001E-2</v>
      </c>
      <c r="Q13" s="83" t="b">
        <v>1</v>
      </c>
      <c r="R13" s="67"/>
    </row>
    <row r="14" spans="2:18" x14ac:dyDescent="0.25">
      <c r="B14" s="66"/>
      <c r="C14" s="11"/>
      <c r="D14" s="11"/>
      <c r="E14" s="11" t="s">
        <v>4</v>
      </c>
      <c r="F14" s="11"/>
      <c r="G14" s="11"/>
      <c r="H14" s="11"/>
      <c r="I14" s="76"/>
      <c r="J14" s="77"/>
      <c r="K14" s="77"/>
      <c r="L14" s="78"/>
      <c r="M14" s="79"/>
      <c r="N14" s="11"/>
      <c r="O14" s="76" t="s">
        <v>31</v>
      </c>
      <c r="P14" s="82">
        <v>2.3306E-2</v>
      </c>
      <c r="Q14" s="83" t="b">
        <v>1</v>
      </c>
      <c r="R14" s="67"/>
    </row>
    <row r="15" spans="2:18" x14ac:dyDescent="0.25">
      <c r="B15" s="66"/>
      <c r="C15" s="11"/>
      <c r="D15" s="11"/>
      <c r="E15" s="11" t="s">
        <v>4</v>
      </c>
      <c r="F15" s="11"/>
      <c r="G15" s="11"/>
      <c r="H15" s="11"/>
      <c r="I15" s="76"/>
      <c r="J15" s="77"/>
      <c r="K15" s="77"/>
      <c r="L15" s="78"/>
      <c r="M15" s="79"/>
      <c r="N15" s="11"/>
      <c r="O15" s="76" t="s">
        <v>35</v>
      </c>
      <c r="P15" s="82">
        <v>2.3511999999999998E-2</v>
      </c>
      <c r="Q15" s="83" t="b">
        <v>1</v>
      </c>
      <c r="R15" s="67"/>
    </row>
    <row r="16" spans="2:18" x14ac:dyDescent="0.25">
      <c r="B16" s="66"/>
      <c r="C16" s="11"/>
      <c r="D16" s="11"/>
      <c r="E16" s="11" t="s">
        <v>4</v>
      </c>
      <c r="F16" s="11"/>
      <c r="G16" s="11"/>
      <c r="H16" s="11"/>
      <c r="I16" s="76"/>
      <c r="J16" s="77"/>
      <c r="K16" s="77"/>
      <c r="L16" s="78"/>
      <c r="M16" s="79"/>
      <c r="N16" s="11"/>
      <c r="O16" s="76" t="s">
        <v>38</v>
      </c>
      <c r="P16" s="82">
        <v>2.359E-2</v>
      </c>
      <c r="Q16" s="83" t="b">
        <v>1</v>
      </c>
      <c r="R16" s="67"/>
    </row>
    <row r="17" spans="2:18" x14ac:dyDescent="0.25">
      <c r="B17" s="66"/>
      <c r="C17" s="11"/>
      <c r="D17" s="11"/>
      <c r="E17" s="11"/>
      <c r="F17" s="11"/>
      <c r="G17" s="11"/>
      <c r="H17" s="11"/>
      <c r="I17" s="76"/>
      <c r="J17" s="77"/>
      <c r="K17" s="77"/>
      <c r="L17" s="78"/>
      <c r="M17" s="79"/>
      <c r="N17" s="11"/>
      <c r="O17" s="76" t="s">
        <v>63</v>
      </c>
      <c r="P17" s="82">
        <v>2.3420999999999997E-2</v>
      </c>
      <c r="Q17" s="83" t="b">
        <v>1</v>
      </c>
      <c r="R17" s="67"/>
    </row>
    <row r="18" spans="2:18" x14ac:dyDescent="0.25">
      <c r="B18" s="66"/>
      <c r="C18" s="11"/>
      <c r="D18" s="11"/>
      <c r="E18" s="11" t="s">
        <v>4</v>
      </c>
      <c r="F18" s="11"/>
      <c r="G18" s="11"/>
      <c r="H18" s="11"/>
      <c r="I18" s="76"/>
      <c r="J18" s="77"/>
      <c r="K18" s="77"/>
      <c r="L18" s="78"/>
      <c r="M18" s="79"/>
      <c r="N18" s="11"/>
      <c r="O18" s="76" t="s">
        <v>64</v>
      </c>
      <c r="P18" s="82">
        <v>2.3130000000000001E-2</v>
      </c>
      <c r="Q18" s="83" t="b">
        <v>1</v>
      </c>
      <c r="R18" s="67"/>
    </row>
    <row r="19" spans="2:18" x14ac:dyDescent="0.25">
      <c r="B19" s="66"/>
      <c r="C19" s="39" t="s">
        <v>43</v>
      </c>
      <c r="D19" s="89"/>
      <c r="E19" s="11" t="s">
        <v>4</v>
      </c>
      <c r="F19" s="11"/>
      <c r="G19" s="11"/>
      <c r="H19" s="11"/>
      <c r="I19" s="76"/>
      <c r="J19" s="77"/>
      <c r="K19" s="77"/>
      <c r="L19" s="78"/>
      <c r="M19" s="79"/>
      <c r="N19" s="11"/>
      <c r="O19" s="76"/>
      <c r="P19" s="82"/>
      <c r="Q19" s="83"/>
      <c r="R19" s="67"/>
    </row>
    <row r="20" spans="2:18" x14ac:dyDescent="0.25">
      <c r="B20" s="66"/>
      <c r="C20" s="40" t="s">
        <v>32</v>
      </c>
      <c r="D20" s="41" t="s">
        <v>65</v>
      </c>
      <c r="E20" s="11" t="s">
        <v>4</v>
      </c>
      <c r="F20" s="11"/>
      <c r="G20" s="11"/>
      <c r="H20" s="11"/>
      <c r="I20" s="76"/>
      <c r="J20" s="77"/>
      <c r="K20" s="77"/>
      <c r="L20" s="78"/>
      <c r="M20" s="79"/>
      <c r="N20" s="11"/>
      <c r="O20" s="76"/>
      <c r="P20" s="82"/>
      <c r="Q20" s="83"/>
      <c r="R20" s="67"/>
    </row>
    <row r="21" spans="2:18" x14ac:dyDescent="0.25">
      <c r="B21" s="66"/>
      <c r="C21" s="42" t="s">
        <v>45</v>
      </c>
      <c r="D21" s="50" t="s">
        <v>66</v>
      </c>
      <c r="E21" s="11" t="s">
        <v>4</v>
      </c>
      <c r="F21" s="11"/>
      <c r="G21" s="11"/>
      <c r="H21" s="11"/>
      <c r="I21" s="76"/>
      <c r="J21" s="77"/>
      <c r="K21" s="77"/>
      <c r="L21" s="78"/>
      <c r="M21" s="79"/>
      <c r="N21" s="11"/>
      <c r="O21" s="76"/>
      <c r="P21" s="82"/>
      <c r="Q21" s="83"/>
      <c r="R21" s="67"/>
    </row>
    <row r="22" spans="2:18" x14ac:dyDescent="0.25">
      <c r="B22" s="66"/>
      <c r="C22" s="42" t="s">
        <v>46</v>
      </c>
      <c r="D22" s="43" t="s">
        <v>47</v>
      </c>
      <c r="E22" s="11" t="s">
        <v>4</v>
      </c>
      <c r="F22" s="11"/>
      <c r="G22" s="11"/>
      <c r="H22" s="11"/>
      <c r="I22" s="76"/>
      <c r="J22" s="77"/>
      <c r="K22" s="77"/>
      <c r="L22" s="78"/>
      <c r="M22" s="79"/>
      <c r="N22" s="11"/>
      <c r="O22" s="76"/>
      <c r="P22" s="82"/>
      <c r="Q22" s="83"/>
      <c r="R22" s="67"/>
    </row>
    <row r="23" spans="2:18" x14ac:dyDescent="0.25">
      <c r="B23" s="66"/>
      <c r="C23" s="44" t="s">
        <v>48</v>
      </c>
      <c r="D23" s="45"/>
      <c r="E23" s="11" t="s">
        <v>4</v>
      </c>
      <c r="F23" s="11"/>
      <c r="G23" s="11"/>
      <c r="H23" s="11"/>
      <c r="I23" s="76"/>
      <c r="J23" s="77"/>
      <c r="K23" s="77"/>
      <c r="L23" s="78"/>
      <c r="M23" s="79"/>
      <c r="N23" s="11"/>
      <c r="O23" s="76"/>
      <c r="P23" s="82"/>
      <c r="Q23" s="83"/>
      <c r="R23" s="67"/>
    </row>
    <row r="24" spans="2:18" x14ac:dyDescent="0.25">
      <c r="B24" s="66"/>
      <c r="C24" s="11"/>
      <c r="D24" s="11"/>
      <c r="E24" s="11" t="s">
        <v>4</v>
      </c>
      <c r="F24" s="11"/>
      <c r="G24" s="11"/>
      <c r="H24" s="11"/>
      <c r="I24" s="76"/>
      <c r="J24" s="77"/>
      <c r="K24" s="77"/>
      <c r="L24" s="78"/>
      <c r="M24" s="79"/>
      <c r="N24" s="11"/>
      <c r="O24" s="76"/>
      <c r="P24" s="82"/>
      <c r="Q24" s="83"/>
      <c r="R24" s="67"/>
    </row>
    <row r="25" spans="2:18" x14ac:dyDescent="0.25">
      <c r="B25" s="66"/>
      <c r="C25" s="11"/>
      <c r="D25" s="11"/>
      <c r="E25" s="11" t="s">
        <v>4</v>
      </c>
      <c r="F25" s="11"/>
      <c r="G25" s="11"/>
      <c r="H25" s="11"/>
      <c r="I25" s="76"/>
      <c r="J25" s="77"/>
      <c r="K25" s="77"/>
      <c r="L25" s="78"/>
      <c r="M25" s="79"/>
      <c r="N25" s="11"/>
      <c r="O25" s="76"/>
      <c r="P25" s="82"/>
      <c r="Q25" s="83"/>
      <c r="R25" s="67"/>
    </row>
    <row r="26" spans="2:18" x14ac:dyDescent="0.25">
      <c r="B26" s="66"/>
      <c r="C26" s="39" t="s">
        <v>49</v>
      </c>
      <c r="D26" s="11"/>
      <c r="E26" s="11" t="s">
        <v>4</v>
      </c>
      <c r="F26" s="11"/>
      <c r="G26" s="11"/>
      <c r="H26" s="11"/>
      <c r="I26" s="76"/>
      <c r="J26" s="77"/>
      <c r="K26" s="77"/>
      <c r="L26" s="78"/>
      <c r="M26" s="79"/>
      <c r="N26" s="11"/>
      <c r="O26" s="76"/>
      <c r="P26" s="82"/>
      <c r="Q26" s="83"/>
      <c r="R26" s="67"/>
    </row>
    <row r="27" spans="2:18" x14ac:dyDescent="0.25">
      <c r="B27" s="66"/>
      <c r="C27" s="46" t="s">
        <v>32</v>
      </c>
      <c r="D27" s="47" t="str">
        <f t="array" aca="1" ref="D27:D30" ca="1">IF(isUSDOISLoaded,_xll.meLWOCurveCalibrate(D20,D21,D13,D22),"#WAIT")</f>
        <v>USD_SWAP_3M_CURVE@20:0</v>
      </c>
      <c r="E27" s="11" t="s">
        <v>4</v>
      </c>
      <c r="F27" s="11"/>
      <c r="G27" s="11"/>
      <c r="H27" s="11"/>
      <c r="I27" s="76"/>
      <c r="J27" s="77"/>
      <c r="K27" s="77"/>
      <c r="L27" s="78"/>
      <c r="M27" s="79"/>
      <c r="N27" s="11"/>
      <c r="O27" s="76"/>
      <c r="P27" s="82"/>
      <c r="Q27" s="83"/>
      <c r="R27" s="67"/>
    </row>
    <row r="28" spans="2:18" x14ac:dyDescent="0.25">
      <c r="B28" s="66"/>
      <c r="C28" s="50" t="s">
        <v>50</v>
      </c>
      <c r="D28" s="48" t="str">
        <f ca="1"/>
        <v>USDYC</v>
      </c>
      <c r="E28" s="11" t="s">
        <v>4</v>
      </c>
      <c r="F28" s="11"/>
      <c r="G28" s="11"/>
      <c r="H28" s="11"/>
      <c r="I28" s="76"/>
      <c r="J28" s="77"/>
      <c r="K28" s="77"/>
      <c r="L28" s="78"/>
      <c r="M28" s="79"/>
      <c r="N28" s="11"/>
      <c r="O28" s="76"/>
      <c r="P28" s="82"/>
      <c r="Q28" s="83"/>
      <c r="R28" s="67"/>
    </row>
    <row r="29" spans="2:18" x14ac:dyDescent="0.25">
      <c r="B29" s="66"/>
      <c r="C29" s="50" t="s">
        <v>51</v>
      </c>
      <c r="D29" s="48" t="str">
        <f ca="1"/>
        <v>STD:USD3ML</v>
      </c>
      <c r="E29" s="11" t="s">
        <v>4</v>
      </c>
      <c r="F29" s="11"/>
      <c r="G29" s="11"/>
      <c r="H29" s="11"/>
      <c r="I29" s="76"/>
      <c r="J29" s="77"/>
      <c r="K29" s="77"/>
      <c r="L29" s="78"/>
      <c r="M29" s="79"/>
      <c r="N29" s="11"/>
      <c r="O29" s="76"/>
      <c r="P29" s="82"/>
      <c r="Q29" s="83"/>
      <c r="R29" s="67"/>
    </row>
    <row r="30" spans="2:18" x14ac:dyDescent="0.25">
      <c r="B30" s="66"/>
      <c r="C30" s="51" t="s">
        <v>52</v>
      </c>
      <c r="D30" s="49" t="str">
        <f ca="1"/>
        <v>0.17700 sec</v>
      </c>
      <c r="E30" s="11" t="s">
        <v>4</v>
      </c>
      <c r="F30" s="11"/>
      <c r="G30" s="11"/>
      <c r="H30" s="11"/>
      <c r="I30" s="90"/>
      <c r="J30" s="91"/>
      <c r="K30" s="91"/>
      <c r="L30" s="92"/>
      <c r="M30" s="93"/>
      <c r="N30" s="11"/>
      <c r="O30" s="90"/>
      <c r="P30" s="94"/>
      <c r="Q30" s="95"/>
      <c r="R30" s="67"/>
    </row>
    <row r="31" spans="2:18" x14ac:dyDescent="0.25">
      <c r="B31" s="66"/>
      <c r="C31" s="58" t="s">
        <v>53</v>
      </c>
      <c r="D31" s="59" t="b">
        <f ca="1">LEFT(D27,3)=LEFT(D20,3)</f>
        <v>1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67"/>
    </row>
    <row r="32" spans="2:18" x14ac:dyDescent="0.25">
      <c r="B32" s="6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67"/>
    </row>
    <row r="33" spans="2:18" x14ac:dyDescent="0.25">
      <c r="B33" s="6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67"/>
    </row>
    <row r="34" spans="2:18" x14ac:dyDescent="0.25">
      <c r="B34" s="6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67"/>
    </row>
    <row r="35" spans="2:18" x14ac:dyDescent="0.25">
      <c r="B35" s="66"/>
      <c r="C35" s="11"/>
      <c r="D35" s="11"/>
      <c r="E35" s="11" t="s">
        <v>4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67"/>
    </row>
    <row r="36" spans="2:18" x14ac:dyDescent="0.25">
      <c r="B36" s="66"/>
      <c r="C36" s="11"/>
      <c r="D36" s="11"/>
      <c r="E36" s="11" t="s">
        <v>4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67"/>
    </row>
    <row r="37" spans="2:18" x14ac:dyDescent="0.25">
      <c r="B37" s="66"/>
      <c r="C37" s="11"/>
      <c r="D37" s="11"/>
      <c r="E37" s="11" t="s">
        <v>4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67"/>
    </row>
    <row r="38" spans="2:18" x14ac:dyDescent="0.25">
      <c r="B38" s="66"/>
      <c r="C38" s="11"/>
      <c r="D38" s="11"/>
      <c r="E38" s="11" t="s">
        <v>4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67"/>
    </row>
    <row r="39" spans="2:18" x14ac:dyDescent="0.25">
      <c r="B39" s="6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67"/>
    </row>
    <row r="40" spans="2:18" x14ac:dyDescent="0.25">
      <c r="B40" s="6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67"/>
    </row>
    <row r="41" spans="2:18" x14ac:dyDescent="0.25">
      <c r="B41" s="6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67"/>
    </row>
    <row r="42" spans="2:18" x14ac:dyDescent="0.25">
      <c r="B42" s="6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67"/>
    </row>
    <row r="43" spans="2:18" x14ac:dyDescent="0.25">
      <c r="B43" s="66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67"/>
    </row>
    <row r="44" spans="2:18" x14ac:dyDescent="0.25">
      <c r="B44" s="66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67"/>
    </row>
    <row r="45" spans="2:18" x14ac:dyDescent="0.25">
      <c r="B45" s="66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67"/>
    </row>
    <row r="46" spans="2:18" x14ac:dyDescent="0.25">
      <c r="B46" s="66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67"/>
    </row>
    <row r="47" spans="2:18" x14ac:dyDescent="0.25">
      <c r="B47" s="66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67"/>
    </row>
    <row r="48" spans="2:18" x14ac:dyDescent="0.25">
      <c r="B48" s="66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67"/>
    </row>
    <row r="49" spans="2:18" x14ac:dyDescent="0.25">
      <c r="B49" s="6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67"/>
    </row>
    <row r="50" spans="2:18" x14ac:dyDescent="0.25">
      <c r="B50" s="66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67"/>
    </row>
    <row r="51" spans="2:18" x14ac:dyDescent="0.25">
      <c r="B51" s="66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67"/>
    </row>
    <row r="52" spans="2:18" x14ac:dyDescent="0.25">
      <c r="B52" s="66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67"/>
    </row>
    <row r="53" spans="2:18" x14ac:dyDescent="0.25">
      <c r="B53" s="66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67"/>
    </row>
    <row r="54" spans="2:18" x14ac:dyDescent="0.25">
      <c r="B54" s="66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67"/>
    </row>
    <row r="55" spans="2:18" x14ac:dyDescent="0.25">
      <c r="B55" s="66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67"/>
    </row>
    <row r="56" spans="2:18" x14ac:dyDescent="0.25">
      <c r="B56" s="66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67"/>
    </row>
    <row r="57" spans="2:18" x14ac:dyDescent="0.25">
      <c r="B57" s="66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67"/>
    </row>
    <row r="58" spans="2:18" x14ac:dyDescent="0.25">
      <c r="B58" s="66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67"/>
    </row>
    <row r="59" spans="2:18" x14ac:dyDescent="0.25">
      <c r="B59" s="66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67"/>
    </row>
    <row r="60" spans="2:18" x14ac:dyDescent="0.25">
      <c r="B60" s="66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67"/>
    </row>
    <row r="61" spans="2:18" x14ac:dyDescent="0.25">
      <c r="B61" s="66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67"/>
    </row>
    <row r="62" spans="2:18" x14ac:dyDescent="0.25">
      <c r="B62" s="66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67"/>
    </row>
    <row r="63" spans="2:18" x14ac:dyDescent="0.25">
      <c r="B63" s="66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67"/>
    </row>
    <row r="64" spans="2:18" x14ac:dyDescent="0.25">
      <c r="B64" s="66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67"/>
    </row>
    <row r="65" spans="2:18" x14ac:dyDescent="0.25">
      <c r="B65" s="66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67"/>
    </row>
    <row r="66" spans="2:18" x14ac:dyDescent="0.25">
      <c r="B66" s="66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67"/>
    </row>
    <row r="67" spans="2:18" x14ac:dyDescent="0.25">
      <c r="B67" s="66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67"/>
    </row>
    <row r="68" spans="2:18" x14ac:dyDescent="0.25">
      <c r="B68" s="66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67"/>
    </row>
    <row r="69" spans="2:18" x14ac:dyDescent="0.25">
      <c r="B69" s="66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67"/>
    </row>
    <row r="70" spans="2:18" x14ac:dyDescent="0.25">
      <c r="B70" s="6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67"/>
    </row>
    <row r="71" spans="2:18" x14ac:dyDescent="0.25">
      <c r="B71" s="66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67"/>
    </row>
    <row r="72" spans="2:18" x14ac:dyDescent="0.25">
      <c r="B72" s="66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67"/>
    </row>
    <row r="73" spans="2:18" x14ac:dyDescent="0.25">
      <c r="B73" s="66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67"/>
    </row>
    <row r="74" spans="2:18" x14ac:dyDescent="0.25">
      <c r="B74" s="6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67"/>
    </row>
    <row r="75" spans="2:18" x14ac:dyDescent="0.25">
      <c r="B75" s="66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67"/>
    </row>
    <row r="76" spans="2:18" x14ac:dyDescent="0.25">
      <c r="B76" s="66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67"/>
    </row>
    <row r="77" spans="2:18" x14ac:dyDescent="0.25">
      <c r="B77" s="66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67"/>
    </row>
    <row r="78" spans="2:18" x14ac:dyDescent="0.25">
      <c r="B78" s="66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67"/>
    </row>
    <row r="79" spans="2:18" x14ac:dyDescent="0.25">
      <c r="B79" s="66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67"/>
    </row>
    <row r="80" spans="2:18" x14ac:dyDescent="0.25">
      <c r="B80" s="66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67"/>
    </row>
    <row r="81" spans="2:18" x14ac:dyDescent="0.25">
      <c r="B81" s="66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67"/>
    </row>
    <row r="82" spans="2:18" x14ac:dyDescent="0.25">
      <c r="B82" s="66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67"/>
    </row>
    <row r="83" spans="2:18" x14ac:dyDescent="0.25">
      <c r="B83" s="66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67"/>
    </row>
    <row r="84" spans="2:18" x14ac:dyDescent="0.25">
      <c r="B84" s="66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67"/>
    </row>
    <row r="85" spans="2:18" x14ac:dyDescent="0.25">
      <c r="B85" s="66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67"/>
    </row>
    <row r="86" spans="2:18" x14ac:dyDescent="0.25">
      <c r="B86" s="66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67"/>
    </row>
    <row r="87" spans="2:18" x14ac:dyDescent="0.25">
      <c r="B87" s="66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67"/>
    </row>
    <row r="88" spans="2:18" x14ac:dyDescent="0.25">
      <c r="B88" s="66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67"/>
    </row>
    <row r="89" spans="2:18" x14ac:dyDescent="0.25">
      <c r="B89" s="66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67"/>
    </row>
    <row r="90" spans="2:18" x14ac:dyDescent="0.25">
      <c r="B90" s="66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67"/>
    </row>
    <row r="91" spans="2:18" x14ac:dyDescent="0.25">
      <c r="B91" s="66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67"/>
    </row>
    <row r="92" spans="2:18" x14ac:dyDescent="0.25">
      <c r="B92" s="66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67"/>
    </row>
    <row r="93" spans="2:18" x14ac:dyDescent="0.25">
      <c r="B93" s="66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67"/>
    </row>
    <row r="94" spans="2:18" x14ac:dyDescent="0.25">
      <c r="B94" s="66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67"/>
    </row>
    <row r="95" spans="2:18" x14ac:dyDescent="0.25">
      <c r="B95" s="66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67"/>
    </row>
    <row r="96" spans="2:18" x14ac:dyDescent="0.25">
      <c r="B96" s="66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67"/>
    </row>
    <row r="97" spans="2:18" x14ac:dyDescent="0.25">
      <c r="B97" s="66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67"/>
    </row>
    <row r="98" spans="2:18" x14ac:dyDescent="0.25">
      <c r="B98" s="66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67"/>
    </row>
    <row r="99" spans="2:18" x14ac:dyDescent="0.25">
      <c r="B99" s="66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67"/>
    </row>
    <row r="100" spans="2:18" x14ac:dyDescent="0.25">
      <c r="B100" s="66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67"/>
    </row>
    <row r="101" spans="2:18" x14ac:dyDescent="0.25">
      <c r="B101" s="66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67"/>
    </row>
    <row r="102" spans="2:18" x14ac:dyDescent="0.25">
      <c r="B102" s="66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67"/>
    </row>
    <row r="103" spans="2:18" x14ac:dyDescent="0.25">
      <c r="B103" s="66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67"/>
    </row>
    <row r="104" spans="2:18" x14ac:dyDescent="0.25">
      <c r="B104" s="66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67"/>
    </row>
    <row r="105" spans="2:18" x14ac:dyDescent="0.25">
      <c r="B105" s="66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67"/>
    </row>
    <row r="106" spans="2:18" x14ac:dyDescent="0.25">
      <c r="B106" s="66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67"/>
    </row>
    <row r="107" spans="2:18" x14ac:dyDescent="0.25">
      <c r="B107" s="66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67"/>
    </row>
    <row r="108" spans="2:18" x14ac:dyDescent="0.25">
      <c r="B108" s="96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8"/>
  <sheetViews>
    <sheetView showGridLines="0" workbookViewId="0"/>
  </sheetViews>
  <sheetFormatPr defaultRowHeight="15" x14ac:dyDescent="0.25"/>
  <cols>
    <col min="3" max="3" width="25.28515625" bestFit="1" customWidth="1"/>
    <col min="4" max="4" width="47.28515625" bestFit="1" customWidth="1"/>
    <col min="7" max="7" width="11.140625" bestFit="1" customWidth="1"/>
  </cols>
  <sheetData>
    <row r="2" spans="2:9" x14ac:dyDescent="0.25">
      <c r="B2" s="63"/>
      <c r="C2" s="64"/>
      <c r="D2" s="64"/>
      <c r="E2" s="64"/>
      <c r="F2" s="64"/>
      <c r="G2" s="64"/>
      <c r="H2" s="64"/>
      <c r="I2" s="65"/>
    </row>
    <row r="3" spans="2:9" x14ac:dyDescent="0.25">
      <c r="B3" s="66"/>
      <c r="C3" s="12" t="s">
        <v>1</v>
      </c>
      <c r="D3" s="14"/>
      <c r="E3" s="11"/>
      <c r="F3" s="12" t="s">
        <v>188</v>
      </c>
      <c r="G3" s="13"/>
      <c r="H3" s="11"/>
      <c r="I3" s="67"/>
    </row>
    <row r="4" spans="2:9" x14ac:dyDescent="0.25">
      <c r="B4" s="66"/>
      <c r="C4" s="68" t="s">
        <v>11</v>
      </c>
      <c r="D4" s="69" t="s">
        <v>12</v>
      </c>
      <c r="E4" s="38" t="s">
        <v>4</v>
      </c>
      <c r="F4" s="71" t="s">
        <v>6</v>
      </c>
      <c r="G4" s="10" t="s">
        <v>7</v>
      </c>
      <c r="H4" s="10" t="s">
        <v>10</v>
      </c>
      <c r="I4" s="67"/>
    </row>
    <row r="5" spans="2:9" x14ac:dyDescent="0.25">
      <c r="B5" s="66"/>
      <c r="C5" s="72" t="s">
        <v>15</v>
      </c>
      <c r="D5" s="73" t="s">
        <v>183</v>
      </c>
      <c r="E5" s="38" t="s">
        <v>4</v>
      </c>
      <c r="F5" s="75" t="s">
        <v>41</v>
      </c>
      <c r="G5" s="211">
        <v>5.7950000000000005E-4</v>
      </c>
      <c r="H5" s="81" t="b">
        <v>1</v>
      </c>
      <c r="I5" s="67"/>
    </row>
    <row r="6" spans="2:9" x14ac:dyDescent="0.25">
      <c r="B6" s="66"/>
      <c r="C6" s="72" t="s">
        <v>18</v>
      </c>
      <c r="D6" s="73" t="s">
        <v>182</v>
      </c>
      <c r="E6" s="38" t="s">
        <v>4</v>
      </c>
      <c r="F6" s="76" t="s">
        <v>42</v>
      </c>
      <c r="G6" s="212">
        <v>6.4999999999999997E-4</v>
      </c>
      <c r="H6" s="83" t="b">
        <v>1</v>
      </c>
      <c r="I6" s="67"/>
    </row>
    <row r="7" spans="2:9" x14ac:dyDescent="0.25">
      <c r="B7" s="66"/>
      <c r="C7" s="72" t="s">
        <v>22</v>
      </c>
      <c r="D7" s="84">
        <f ca="1">COB</f>
        <v>43627</v>
      </c>
      <c r="E7" s="38" t="s">
        <v>4</v>
      </c>
      <c r="F7" s="76" t="s">
        <v>58</v>
      </c>
      <c r="G7" s="212">
        <v>6.8749999999999996E-4</v>
      </c>
      <c r="H7" s="83" t="b">
        <v>1</v>
      </c>
      <c r="I7" s="67"/>
    </row>
    <row r="8" spans="2:9" x14ac:dyDescent="0.25">
      <c r="B8" s="66"/>
      <c r="C8" s="85"/>
      <c r="D8" s="86"/>
      <c r="E8" s="38" t="s">
        <v>4</v>
      </c>
      <c r="F8" s="76" t="s">
        <v>14</v>
      </c>
      <c r="G8" s="212">
        <v>7.1250000000000003E-4</v>
      </c>
      <c r="H8" s="83" t="b">
        <v>1</v>
      </c>
      <c r="I8" s="67"/>
    </row>
    <row r="9" spans="2:9" x14ac:dyDescent="0.25">
      <c r="B9" s="66"/>
      <c r="C9" s="36"/>
      <c r="D9" s="87"/>
      <c r="E9" s="38" t="s">
        <v>4</v>
      </c>
      <c r="F9" s="76" t="s">
        <v>17</v>
      </c>
      <c r="G9" s="212">
        <v>7.3749999999999998E-4</v>
      </c>
      <c r="H9" s="83" t="b">
        <v>1</v>
      </c>
      <c r="I9" s="67"/>
    </row>
    <row r="10" spans="2:9" x14ac:dyDescent="0.25">
      <c r="B10" s="66"/>
      <c r="C10" s="11"/>
      <c r="D10" s="11"/>
      <c r="E10" s="38" t="s">
        <v>4</v>
      </c>
      <c r="F10" s="76" t="s">
        <v>186</v>
      </c>
      <c r="G10" s="212">
        <v>7.8149999999999997E-4</v>
      </c>
      <c r="H10" s="83" t="b">
        <v>1</v>
      </c>
      <c r="I10" s="67"/>
    </row>
    <row r="11" spans="2:9" x14ac:dyDescent="0.25">
      <c r="B11" s="66"/>
      <c r="C11" s="33" t="s">
        <v>29</v>
      </c>
      <c r="D11" s="10"/>
      <c r="E11" s="38" t="s">
        <v>4</v>
      </c>
      <c r="F11" s="76" t="s">
        <v>21</v>
      </c>
      <c r="G11" s="212">
        <v>8.25E-4</v>
      </c>
      <c r="H11" s="83" t="b">
        <v>1</v>
      </c>
      <c r="I11" s="67"/>
    </row>
    <row r="12" spans="2:9" x14ac:dyDescent="0.25">
      <c r="B12" s="66"/>
      <c r="C12" s="34" t="s">
        <v>32</v>
      </c>
      <c r="D12" s="35" t="s">
        <v>184</v>
      </c>
      <c r="E12" s="38" t="s">
        <v>4</v>
      </c>
      <c r="F12" s="76" t="s">
        <v>60</v>
      </c>
      <c r="G12" s="82">
        <v>8.5839999999999994E-4</v>
      </c>
      <c r="H12" s="83" t="b">
        <v>1</v>
      </c>
      <c r="I12" s="67"/>
    </row>
    <row r="13" spans="2:9" x14ac:dyDescent="0.25">
      <c r="B13" s="66"/>
      <c r="C13" s="36" t="s">
        <v>36</v>
      </c>
      <c r="D13" s="37" t="str">
        <f ca="1">_xll.meLWOCurveMarketDataCreate(D12,C3,C4:D9,F3,F5:H30)</f>
        <v>USD_BASIS_6M_CURVE_MARKETDATA@9:6</v>
      </c>
      <c r="E13" s="38" t="s">
        <v>4</v>
      </c>
      <c r="F13" s="76" t="s">
        <v>61</v>
      </c>
      <c r="G13" s="82">
        <v>8.8640000000000008E-4</v>
      </c>
      <c r="H13" s="83" t="b">
        <v>1</v>
      </c>
      <c r="I13" s="67"/>
    </row>
    <row r="14" spans="2:9" x14ac:dyDescent="0.25">
      <c r="B14" s="66"/>
      <c r="C14" s="11"/>
      <c r="D14" s="11"/>
      <c r="E14" s="38" t="s">
        <v>4</v>
      </c>
      <c r="F14" s="76" t="s">
        <v>24</v>
      </c>
      <c r="G14" s="82">
        <v>9.1300000000000007E-4</v>
      </c>
      <c r="H14" s="83" t="b">
        <v>1</v>
      </c>
      <c r="I14" s="67"/>
    </row>
    <row r="15" spans="2:9" x14ac:dyDescent="0.25">
      <c r="B15" s="66"/>
      <c r="C15" s="11"/>
      <c r="D15" s="11"/>
      <c r="E15" s="38" t="s">
        <v>4</v>
      </c>
      <c r="F15" s="76" t="s">
        <v>26</v>
      </c>
      <c r="G15" s="82">
        <v>9.6250000000000003E-4</v>
      </c>
      <c r="H15" s="83" t="b">
        <v>1</v>
      </c>
      <c r="I15" s="67"/>
    </row>
    <row r="16" spans="2:9" x14ac:dyDescent="0.25">
      <c r="B16" s="66"/>
      <c r="C16" s="11"/>
      <c r="D16" s="11"/>
      <c r="E16" s="38" t="s">
        <v>4</v>
      </c>
      <c r="F16" s="76" t="s">
        <v>28</v>
      </c>
      <c r="G16" s="82">
        <v>1.0250000000000001E-3</v>
      </c>
      <c r="H16" s="83" t="b">
        <v>1</v>
      </c>
      <c r="I16" s="67"/>
    </row>
    <row r="17" spans="2:9" x14ac:dyDescent="0.25">
      <c r="B17" s="66"/>
      <c r="C17" s="11"/>
      <c r="D17" s="11"/>
      <c r="E17" s="38" t="s">
        <v>4</v>
      </c>
      <c r="F17" s="76" t="s">
        <v>31</v>
      </c>
      <c r="G17" s="82">
        <v>1.0250000000000001E-3</v>
      </c>
      <c r="H17" s="83" t="b">
        <v>1</v>
      </c>
      <c r="I17" s="67"/>
    </row>
    <row r="18" spans="2:9" x14ac:dyDescent="0.25">
      <c r="B18" s="66"/>
      <c r="C18" s="11"/>
      <c r="D18" s="11"/>
      <c r="E18" s="38" t="s">
        <v>4</v>
      </c>
      <c r="F18" s="76" t="s">
        <v>35</v>
      </c>
      <c r="G18" s="82">
        <v>1.0874999999999999E-3</v>
      </c>
      <c r="H18" s="83" t="b">
        <v>1</v>
      </c>
      <c r="I18" s="67"/>
    </row>
    <row r="19" spans="2:9" x14ac:dyDescent="0.25">
      <c r="B19" s="66"/>
      <c r="C19" s="39" t="s">
        <v>43</v>
      </c>
      <c r="D19" s="89"/>
      <c r="E19" s="38" t="s">
        <v>4</v>
      </c>
      <c r="F19" s="76" t="s">
        <v>38</v>
      </c>
      <c r="G19" s="82">
        <v>1.1000000000000001E-3</v>
      </c>
      <c r="H19" s="83" t="b">
        <v>1</v>
      </c>
      <c r="I19" s="67"/>
    </row>
    <row r="20" spans="2:9" x14ac:dyDescent="0.25">
      <c r="B20" s="66"/>
      <c r="C20" s="40" t="s">
        <v>32</v>
      </c>
      <c r="D20" s="41" t="s">
        <v>185</v>
      </c>
      <c r="E20" s="38" t="s">
        <v>4</v>
      </c>
      <c r="F20" s="76"/>
      <c r="G20" s="213"/>
      <c r="H20" s="83"/>
      <c r="I20" s="67"/>
    </row>
    <row r="21" spans="2:9" x14ac:dyDescent="0.25">
      <c r="B21" s="66"/>
      <c r="C21" s="42" t="s">
        <v>45</v>
      </c>
      <c r="D21" s="50" t="s">
        <v>187</v>
      </c>
      <c r="E21" s="38" t="s">
        <v>4</v>
      </c>
      <c r="F21" s="76"/>
      <c r="G21" s="213"/>
      <c r="H21" s="83"/>
      <c r="I21" s="67"/>
    </row>
    <row r="22" spans="2:9" x14ac:dyDescent="0.25">
      <c r="B22" s="66"/>
      <c r="C22" s="42" t="s">
        <v>46</v>
      </c>
      <c r="D22" s="43" t="s">
        <v>47</v>
      </c>
      <c r="E22" s="38" t="s">
        <v>4</v>
      </c>
      <c r="F22" s="76"/>
      <c r="G22" s="213"/>
      <c r="H22" s="83"/>
      <c r="I22" s="67"/>
    </row>
    <row r="23" spans="2:9" x14ac:dyDescent="0.25">
      <c r="B23" s="66"/>
      <c r="C23" s="44" t="s">
        <v>48</v>
      </c>
      <c r="D23" s="45"/>
      <c r="E23" s="38" t="s">
        <v>4</v>
      </c>
      <c r="F23" s="76"/>
      <c r="G23" s="213"/>
      <c r="H23" s="83"/>
      <c r="I23" s="67"/>
    </row>
    <row r="24" spans="2:9" x14ac:dyDescent="0.25">
      <c r="B24" s="66"/>
      <c r="C24" s="11"/>
      <c r="D24" s="11"/>
      <c r="E24" s="38" t="s">
        <v>4</v>
      </c>
      <c r="F24" s="76"/>
      <c r="G24" s="213"/>
      <c r="H24" s="83"/>
      <c r="I24" s="67"/>
    </row>
    <row r="25" spans="2:9" x14ac:dyDescent="0.25">
      <c r="B25" s="66"/>
      <c r="C25" s="11"/>
      <c r="D25" s="11"/>
      <c r="E25" s="38" t="s">
        <v>4</v>
      </c>
      <c r="F25" s="76"/>
      <c r="G25" s="213"/>
      <c r="H25" s="83"/>
      <c r="I25" s="67"/>
    </row>
    <row r="26" spans="2:9" x14ac:dyDescent="0.25">
      <c r="B26" s="66"/>
      <c r="C26" s="39" t="s">
        <v>49</v>
      </c>
      <c r="D26" s="11"/>
      <c r="E26" s="38" t="s">
        <v>4</v>
      </c>
      <c r="F26" s="76"/>
      <c r="G26" s="213"/>
      <c r="H26" s="83"/>
      <c r="I26" s="67"/>
    </row>
    <row r="27" spans="2:9" x14ac:dyDescent="0.25">
      <c r="B27" s="66"/>
      <c r="C27" s="46" t="s">
        <v>32</v>
      </c>
      <c r="D27" s="47" t="str">
        <f t="array" aca="1" ref="D27:D30" ca="1">IF(isUSD3MLLoaded,_xll.meLWOCurveCalibrate(D20,D21,D13,D22),"#WAIT")</f>
        <v>USD_BASIS_6M@21:4</v>
      </c>
      <c r="E27" s="38" t="s">
        <v>4</v>
      </c>
      <c r="F27" s="76"/>
      <c r="G27" s="213"/>
      <c r="H27" s="83"/>
      <c r="I27" s="67"/>
    </row>
    <row r="28" spans="2:9" x14ac:dyDescent="0.25">
      <c r="B28" s="66"/>
      <c r="C28" s="50" t="s">
        <v>50</v>
      </c>
      <c r="D28" s="48" t="str">
        <f ca="1"/>
        <v>USDYC</v>
      </c>
      <c r="E28" s="38" t="s">
        <v>4</v>
      </c>
      <c r="F28" s="76"/>
      <c r="G28" s="213"/>
      <c r="H28" s="83"/>
      <c r="I28" s="67"/>
    </row>
    <row r="29" spans="2:9" x14ac:dyDescent="0.25">
      <c r="B29" s="66"/>
      <c r="C29" s="50" t="s">
        <v>51</v>
      </c>
      <c r="D29" s="48" t="str">
        <f ca="1"/>
        <v>3M6MBasis:USD6ML</v>
      </c>
      <c r="E29" s="38" t="s">
        <v>4</v>
      </c>
      <c r="F29" s="76"/>
      <c r="G29" s="213"/>
      <c r="H29" s="83"/>
      <c r="I29" s="67"/>
    </row>
    <row r="30" spans="2:9" x14ac:dyDescent="0.25">
      <c r="B30" s="66"/>
      <c r="C30" s="51" t="s">
        <v>52</v>
      </c>
      <c r="D30" s="49" t="str">
        <f ca="1"/>
        <v>0.00600 sec</v>
      </c>
      <c r="E30" s="38" t="s">
        <v>4</v>
      </c>
      <c r="F30" s="90"/>
      <c r="G30" s="214"/>
      <c r="H30" s="95"/>
      <c r="I30" s="67"/>
    </row>
    <row r="31" spans="2:9" x14ac:dyDescent="0.25">
      <c r="B31" s="66"/>
      <c r="C31" s="58" t="s">
        <v>53</v>
      </c>
      <c r="D31" s="59" t="b">
        <f ca="1">LEFT(D27,3)=LEFT(D20,3)</f>
        <v>1</v>
      </c>
      <c r="E31" s="38" t="s">
        <v>4</v>
      </c>
      <c r="F31" s="11"/>
      <c r="G31" s="11"/>
      <c r="H31" s="11"/>
      <c r="I31" s="67"/>
    </row>
    <row r="32" spans="2:9" x14ac:dyDescent="0.25">
      <c r="B32" s="66"/>
      <c r="C32" s="11"/>
      <c r="D32" s="11"/>
      <c r="E32" s="11"/>
      <c r="F32" s="11"/>
      <c r="G32" s="11"/>
      <c r="H32" s="11"/>
      <c r="I32" s="67"/>
    </row>
    <row r="33" spans="2:9" x14ac:dyDescent="0.25">
      <c r="B33" s="66"/>
      <c r="C33" s="11"/>
      <c r="D33" s="11"/>
      <c r="E33" s="11"/>
      <c r="F33" s="11"/>
      <c r="G33" s="11"/>
      <c r="H33" s="11"/>
      <c r="I33" s="67"/>
    </row>
    <row r="34" spans="2:9" x14ac:dyDescent="0.25">
      <c r="B34" s="66"/>
      <c r="C34" s="11"/>
      <c r="D34" s="11"/>
      <c r="E34" s="11"/>
      <c r="F34" s="11"/>
      <c r="G34" s="11"/>
      <c r="H34" s="11"/>
      <c r="I34" s="67"/>
    </row>
    <row r="35" spans="2:9" x14ac:dyDescent="0.25">
      <c r="B35" s="66"/>
      <c r="C35" s="11"/>
      <c r="D35" s="11"/>
      <c r="E35" s="11"/>
      <c r="F35" s="11"/>
      <c r="G35" s="11"/>
      <c r="H35" s="11"/>
      <c r="I35" s="67"/>
    </row>
    <row r="36" spans="2:9" x14ac:dyDescent="0.25">
      <c r="B36" s="66"/>
      <c r="C36" s="11"/>
      <c r="D36" s="11"/>
      <c r="E36" s="11"/>
      <c r="F36" s="11"/>
      <c r="G36" s="11"/>
      <c r="H36" s="11"/>
      <c r="I36" s="67"/>
    </row>
    <row r="37" spans="2:9" x14ac:dyDescent="0.25">
      <c r="B37" s="66"/>
      <c r="C37" s="11"/>
      <c r="D37" s="11"/>
      <c r="E37" s="11"/>
      <c r="F37" s="11"/>
      <c r="G37" s="11"/>
      <c r="H37" s="11"/>
      <c r="I37" s="67"/>
    </row>
    <row r="38" spans="2:9" x14ac:dyDescent="0.25">
      <c r="B38" s="66"/>
      <c r="C38" s="11"/>
      <c r="D38" s="11"/>
      <c r="E38" s="11"/>
      <c r="F38" s="11"/>
      <c r="G38" s="11"/>
      <c r="H38" s="11"/>
      <c r="I38" s="67"/>
    </row>
    <row r="39" spans="2:9" x14ac:dyDescent="0.25">
      <c r="B39" s="66"/>
      <c r="C39" s="11"/>
      <c r="D39" s="11"/>
      <c r="E39" s="11"/>
      <c r="F39" s="11"/>
      <c r="G39" s="11"/>
      <c r="H39" s="11"/>
      <c r="I39" s="67"/>
    </row>
    <row r="40" spans="2:9" x14ac:dyDescent="0.25">
      <c r="B40" s="66"/>
      <c r="C40" s="11"/>
      <c r="D40" s="11"/>
      <c r="E40" s="11"/>
      <c r="F40" s="11"/>
      <c r="G40" s="11"/>
      <c r="H40" s="11"/>
      <c r="I40" s="67"/>
    </row>
    <row r="41" spans="2:9" x14ac:dyDescent="0.25">
      <c r="B41" s="66"/>
      <c r="C41" s="11"/>
      <c r="D41" s="11"/>
      <c r="E41" s="11"/>
      <c r="F41" s="11"/>
      <c r="G41" s="11"/>
      <c r="H41" s="11"/>
      <c r="I41" s="67"/>
    </row>
    <row r="42" spans="2:9" x14ac:dyDescent="0.25">
      <c r="B42" s="66"/>
      <c r="C42" s="11"/>
      <c r="D42" s="11"/>
      <c r="E42" s="11"/>
      <c r="F42" s="11"/>
      <c r="G42" s="11"/>
      <c r="H42" s="11"/>
      <c r="I42" s="67"/>
    </row>
    <row r="43" spans="2:9" x14ac:dyDescent="0.25">
      <c r="B43" s="66"/>
      <c r="C43" s="11"/>
      <c r="D43" s="11"/>
      <c r="E43" s="11"/>
      <c r="F43" s="11"/>
      <c r="G43" s="11"/>
      <c r="H43" s="11"/>
      <c r="I43" s="67"/>
    </row>
    <row r="44" spans="2:9" x14ac:dyDescent="0.25">
      <c r="B44" s="66"/>
      <c r="C44" s="11"/>
      <c r="D44" s="11"/>
      <c r="E44" s="11"/>
      <c r="F44" s="11"/>
      <c r="G44" s="11"/>
      <c r="H44" s="11"/>
      <c r="I44" s="67"/>
    </row>
    <row r="45" spans="2:9" x14ac:dyDescent="0.25">
      <c r="B45" s="66"/>
      <c r="C45" s="11"/>
      <c r="D45" s="11"/>
      <c r="E45" s="11"/>
      <c r="F45" s="11"/>
      <c r="G45" s="11"/>
      <c r="H45" s="11"/>
      <c r="I45" s="67"/>
    </row>
    <row r="46" spans="2:9" x14ac:dyDescent="0.25">
      <c r="B46" s="66"/>
      <c r="C46" s="11"/>
      <c r="D46" s="11"/>
      <c r="E46" s="11"/>
      <c r="F46" s="11"/>
      <c r="G46" s="11"/>
      <c r="H46" s="11"/>
      <c r="I46" s="67"/>
    </row>
    <row r="47" spans="2:9" x14ac:dyDescent="0.25">
      <c r="B47" s="66"/>
      <c r="C47" s="11"/>
      <c r="D47" s="11"/>
      <c r="E47" s="11"/>
      <c r="F47" s="11"/>
      <c r="G47" s="11"/>
      <c r="H47" s="11"/>
      <c r="I47" s="67"/>
    </row>
    <row r="48" spans="2:9" x14ac:dyDescent="0.25">
      <c r="B48" s="66"/>
      <c r="C48" s="11"/>
      <c r="D48" s="11"/>
      <c r="E48" s="11"/>
      <c r="F48" s="11"/>
      <c r="G48" s="11"/>
      <c r="H48" s="11"/>
      <c r="I48" s="67"/>
    </row>
    <row r="49" spans="2:9" x14ac:dyDescent="0.25">
      <c r="B49" s="66"/>
      <c r="C49" s="11"/>
      <c r="D49" s="11"/>
      <c r="E49" s="11"/>
      <c r="F49" s="11"/>
      <c r="G49" s="11"/>
      <c r="H49" s="11"/>
      <c r="I49" s="67"/>
    </row>
    <row r="50" spans="2:9" x14ac:dyDescent="0.25">
      <c r="B50" s="66"/>
      <c r="C50" s="11"/>
      <c r="D50" s="11"/>
      <c r="E50" s="11"/>
      <c r="F50" s="11"/>
      <c r="G50" s="11"/>
      <c r="H50" s="11"/>
      <c r="I50" s="67"/>
    </row>
    <row r="51" spans="2:9" x14ac:dyDescent="0.25">
      <c r="B51" s="66"/>
      <c r="C51" s="11"/>
      <c r="D51" s="11"/>
      <c r="E51" s="11"/>
      <c r="F51" s="11"/>
      <c r="G51" s="11"/>
      <c r="H51" s="11"/>
      <c r="I51" s="67"/>
    </row>
    <row r="52" spans="2:9" x14ac:dyDescent="0.25">
      <c r="B52" s="66"/>
      <c r="C52" s="11"/>
      <c r="D52" s="11"/>
      <c r="E52" s="11"/>
      <c r="F52" s="11"/>
      <c r="G52" s="11"/>
      <c r="H52" s="11"/>
      <c r="I52" s="67"/>
    </row>
    <row r="53" spans="2:9" x14ac:dyDescent="0.25">
      <c r="B53" s="66"/>
      <c r="C53" s="11"/>
      <c r="D53" s="11"/>
      <c r="E53" s="11"/>
      <c r="F53" s="11"/>
      <c r="G53" s="11"/>
      <c r="H53" s="11"/>
      <c r="I53" s="67"/>
    </row>
    <row r="54" spans="2:9" x14ac:dyDescent="0.25">
      <c r="B54" s="66"/>
      <c r="C54" s="11"/>
      <c r="D54" s="11"/>
      <c r="E54" s="11"/>
      <c r="F54" s="11"/>
      <c r="G54" s="11"/>
      <c r="H54" s="11"/>
      <c r="I54" s="67"/>
    </row>
    <row r="55" spans="2:9" x14ac:dyDescent="0.25">
      <c r="B55" s="66"/>
      <c r="C55" s="11"/>
      <c r="D55" s="11"/>
      <c r="E55" s="11"/>
      <c r="F55" s="11"/>
      <c r="G55" s="11"/>
      <c r="H55" s="11"/>
      <c r="I55" s="67"/>
    </row>
    <row r="56" spans="2:9" x14ac:dyDescent="0.25">
      <c r="B56" s="66"/>
      <c r="C56" s="11"/>
      <c r="D56" s="11"/>
      <c r="E56" s="11"/>
      <c r="F56" s="11"/>
      <c r="G56" s="11"/>
      <c r="H56" s="11"/>
      <c r="I56" s="67"/>
    </row>
    <row r="57" spans="2:9" x14ac:dyDescent="0.25">
      <c r="B57" s="66"/>
      <c r="C57" s="11"/>
      <c r="D57" s="11"/>
      <c r="E57" s="11"/>
      <c r="F57" s="11"/>
      <c r="G57" s="11"/>
      <c r="H57" s="11"/>
      <c r="I57" s="67"/>
    </row>
    <row r="58" spans="2:9" x14ac:dyDescent="0.25">
      <c r="B58" s="66"/>
      <c r="C58" s="11"/>
      <c r="D58" s="11"/>
      <c r="E58" s="11"/>
      <c r="F58" s="11"/>
      <c r="G58" s="11"/>
      <c r="H58" s="11"/>
      <c r="I58" s="67"/>
    </row>
    <row r="59" spans="2:9" x14ac:dyDescent="0.25">
      <c r="B59" s="66"/>
      <c r="C59" s="11"/>
      <c r="D59" s="11"/>
      <c r="E59" s="11"/>
      <c r="F59" s="11"/>
      <c r="G59" s="11"/>
      <c r="H59" s="11"/>
      <c r="I59" s="67"/>
    </row>
    <row r="60" spans="2:9" x14ac:dyDescent="0.25">
      <c r="B60" s="66"/>
      <c r="C60" s="11"/>
      <c r="D60" s="11"/>
      <c r="E60" s="11"/>
      <c r="F60" s="11"/>
      <c r="G60" s="11"/>
      <c r="H60" s="11"/>
      <c r="I60" s="67"/>
    </row>
    <row r="61" spans="2:9" x14ac:dyDescent="0.25">
      <c r="B61" s="66"/>
      <c r="C61" s="11"/>
      <c r="D61" s="11"/>
      <c r="E61" s="11"/>
      <c r="F61" s="11"/>
      <c r="G61" s="11"/>
      <c r="H61" s="11"/>
      <c r="I61" s="67"/>
    </row>
    <row r="62" spans="2:9" x14ac:dyDescent="0.25">
      <c r="B62" s="66"/>
      <c r="C62" s="11"/>
      <c r="D62" s="11"/>
      <c r="E62" s="11"/>
      <c r="F62" s="11"/>
      <c r="G62" s="11"/>
      <c r="H62" s="11"/>
      <c r="I62" s="67"/>
    </row>
    <row r="63" spans="2:9" x14ac:dyDescent="0.25">
      <c r="B63" s="66"/>
      <c r="C63" s="11"/>
      <c r="D63" s="11"/>
      <c r="E63" s="11"/>
      <c r="F63" s="11"/>
      <c r="G63" s="11"/>
      <c r="H63" s="11"/>
      <c r="I63" s="67"/>
    </row>
    <row r="64" spans="2:9" x14ac:dyDescent="0.25">
      <c r="B64" s="66"/>
      <c r="C64" s="11"/>
      <c r="D64" s="11"/>
      <c r="E64" s="11"/>
      <c r="F64" s="11"/>
      <c r="G64" s="11"/>
      <c r="H64" s="11"/>
      <c r="I64" s="67"/>
    </row>
    <row r="65" spans="2:9" x14ac:dyDescent="0.25">
      <c r="B65" s="66"/>
      <c r="C65" s="11"/>
      <c r="D65" s="11"/>
      <c r="E65" s="11"/>
      <c r="F65" s="11"/>
      <c r="G65" s="11"/>
      <c r="H65" s="11"/>
      <c r="I65" s="67"/>
    </row>
    <row r="66" spans="2:9" x14ac:dyDescent="0.25">
      <c r="B66" s="66"/>
      <c r="C66" s="11"/>
      <c r="D66" s="11"/>
      <c r="E66" s="11"/>
      <c r="F66" s="11"/>
      <c r="G66" s="11"/>
      <c r="H66" s="11"/>
      <c r="I66" s="67"/>
    </row>
    <row r="67" spans="2:9" x14ac:dyDescent="0.25">
      <c r="B67" s="66"/>
      <c r="C67" s="11"/>
      <c r="D67" s="11"/>
      <c r="E67" s="11"/>
      <c r="F67" s="11"/>
      <c r="G67" s="11"/>
      <c r="H67" s="11"/>
      <c r="I67" s="67"/>
    </row>
    <row r="68" spans="2:9" x14ac:dyDescent="0.25">
      <c r="B68" s="66"/>
      <c r="C68" s="11"/>
      <c r="D68" s="11"/>
      <c r="E68" s="11"/>
      <c r="F68" s="11"/>
      <c r="G68" s="11"/>
      <c r="H68" s="11"/>
      <c r="I68" s="67"/>
    </row>
    <row r="69" spans="2:9" x14ac:dyDescent="0.25">
      <c r="B69" s="66"/>
      <c r="C69" s="11"/>
      <c r="D69" s="11"/>
      <c r="E69" s="11"/>
      <c r="F69" s="11"/>
      <c r="G69" s="11"/>
      <c r="H69" s="11"/>
      <c r="I69" s="67"/>
    </row>
    <row r="70" spans="2:9" x14ac:dyDescent="0.25">
      <c r="B70" s="66"/>
      <c r="C70" s="11"/>
      <c r="D70" s="11"/>
      <c r="E70" s="11"/>
      <c r="F70" s="11"/>
      <c r="G70" s="11"/>
      <c r="H70" s="11"/>
      <c r="I70" s="67"/>
    </row>
    <row r="71" spans="2:9" x14ac:dyDescent="0.25">
      <c r="B71" s="66"/>
      <c r="C71" s="11"/>
      <c r="D71" s="11"/>
      <c r="E71" s="11"/>
      <c r="F71" s="11"/>
      <c r="G71" s="11"/>
      <c r="H71" s="11"/>
      <c r="I71" s="67"/>
    </row>
    <row r="72" spans="2:9" x14ac:dyDescent="0.25">
      <c r="B72" s="66"/>
      <c r="C72" s="11"/>
      <c r="D72" s="11"/>
      <c r="E72" s="11"/>
      <c r="F72" s="11"/>
      <c r="G72" s="11"/>
      <c r="H72" s="11"/>
      <c r="I72" s="67"/>
    </row>
    <row r="73" spans="2:9" x14ac:dyDescent="0.25">
      <c r="B73" s="66"/>
      <c r="C73" s="11"/>
      <c r="D73" s="11"/>
      <c r="E73" s="11"/>
      <c r="F73" s="11"/>
      <c r="G73" s="11"/>
      <c r="H73" s="11"/>
      <c r="I73" s="67"/>
    </row>
    <row r="74" spans="2:9" x14ac:dyDescent="0.25">
      <c r="B74" s="66"/>
      <c r="C74" s="11"/>
      <c r="D74" s="11"/>
      <c r="E74" s="11"/>
      <c r="F74" s="11"/>
      <c r="G74" s="11"/>
      <c r="H74" s="11"/>
      <c r="I74" s="67"/>
    </row>
    <row r="75" spans="2:9" x14ac:dyDescent="0.25">
      <c r="B75" s="66"/>
      <c r="C75" s="11"/>
      <c r="D75" s="11"/>
      <c r="E75" s="11"/>
      <c r="F75" s="11"/>
      <c r="G75" s="11"/>
      <c r="H75" s="11"/>
      <c r="I75" s="67"/>
    </row>
    <row r="76" spans="2:9" x14ac:dyDescent="0.25">
      <c r="B76" s="66"/>
      <c r="C76" s="11"/>
      <c r="D76" s="11"/>
      <c r="E76" s="11"/>
      <c r="F76" s="11"/>
      <c r="G76" s="11"/>
      <c r="H76" s="11"/>
      <c r="I76" s="67"/>
    </row>
    <row r="77" spans="2:9" x14ac:dyDescent="0.25">
      <c r="B77" s="66"/>
      <c r="C77" s="11"/>
      <c r="D77" s="11"/>
      <c r="E77" s="11"/>
      <c r="F77" s="11"/>
      <c r="G77" s="11"/>
      <c r="H77" s="11"/>
      <c r="I77" s="67"/>
    </row>
    <row r="78" spans="2:9" x14ac:dyDescent="0.25">
      <c r="B78" s="66"/>
      <c r="C78" s="11"/>
      <c r="D78" s="11"/>
      <c r="E78" s="11"/>
      <c r="F78" s="11"/>
      <c r="G78" s="11"/>
      <c r="H78" s="11"/>
      <c r="I78" s="67"/>
    </row>
    <row r="79" spans="2:9" x14ac:dyDescent="0.25">
      <c r="B79" s="66"/>
      <c r="C79" s="11"/>
      <c r="D79" s="11"/>
      <c r="E79" s="11"/>
      <c r="F79" s="11"/>
      <c r="G79" s="11"/>
      <c r="H79" s="11"/>
      <c r="I79" s="67"/>
    </row>
    <row r="80" spans="2:9" x14ac:dyDescent="0.25">
      <c r="B80" s="66"/>
      <c r="C80" s="11"/>
      <c r="D80" s="11"/>
      <c r="E80" s="11"/>
      <c r="F80" s="11"/>
      <c r="G80" s="11"/>
      <c r="H80" s="11"/>
      <c r="I80" s="67"/>
    </row>
    <row r="81" spans="2:9" x14ac:dyDescent="0.25">
      <c r="B81" s="66"/>
      <c r="C81" s="11"/>
      <c r="D81" s="11"/>
      <c r="E81" s="11"/>
      <c r="F81" s="11"/>
      <c r="G81" s="11"/>
      <c r="H81" s="11"/>
      <c r="I81" s="67"/>
    </row>
    <row r="82" spans="2:9" x14ac:dyDescent="0.25">
      <c r="B82" s="66"/>
      <c r="C82" s="11"/>
      <c r="D82" s="11"/>
      <c r="E82" s="11"/>
      <c r="F82" s="11"/>
      <c r="G82" s="11"/>
      <c r="H82" s="11"/>
      <c r="I82" s="67"/>
    </row>
    <row r="83" spans="2:9" x14ac:dyDescent="0.25">
      <c r="B83" s="66"/>
      <c r="C83" s="11"/>
      <c r="D83" s="11"/>
      <c r="E83" s="11"/>
      <c r="F83" s="11"/>
      <c r="G83" s="11"/>
      <c r="H83" s="11"/>
      <c r="I83" s="67"/>
    </row>
    <row r="84" spans="2:9" x14ac:dyDescent="0.25">
      <c r="B84" s="66"/>
      <c r="C84" s="11"/>
      <c r="D84" s="11"/>
      <c r="E84" s="11"/>
      <c r="F84" s="11"/>
      <c r="G84" s="11"/>
      <c r="H84" s="11"/>
      <c r="I84" s="67"/>
    </row>
    <row r="85" spans="2:9" x14ac:dyDescent="0.25">
      <c r="B85" s="66"/>
      <c r="C85" s="11"/>
      <c r="D85" s="11"/>
      <c r="E85" s="11"/>
      <c r="F85" s="11"/>
      <c r="G85" s="11"/>
      <c r="H85" s="11"/>
      <c r="I85" s="67"/>
    </row>
    <row r="86" spans="2:9" x14ac:dyDescent="0.25">
      <c r="B86" s="66"/>
      <c r="C86" s="11"/>
      <c r="D86" s="11"/>
      <c r="E86" s="11"/>
      <c r="F86" s="11"/>
      <c r="G86" s="11"/>
      <c r="H86" s="11"/>
      <c r="I86" s="67"/>
    </row>
    <row r="87" spans="2:9" x14ac:dyDescent="0.25">
      <c r="B87" s="66"/>
      <c r="C87" s="11"/>
      <c r="D87" s="11"/>
      <c r="E87" s="11"/>
      <c r="F87" s="11"/>
      <c r="G87" s="11"/>
      <c r="H87" s="11"/>
      <c r="I87" s="67"/>
    </row>
    <row r="88" spans="2:9" x14ac:dyDescent="0.25">
      <c r="B88" s="66"/>
      <c r="C88" s="11"/>
      <c r="D88" s="11"/>
      <c r="E88" s="11"/>
      <c r="F88" s="11"/>
      <c r="G88" s="11"/>
      <c r="H88" s="11"/>
      <c r="I88" s="67"/>
    </row>
    <row r="89" spans="2:9" x14ac:dyDescent="0.25">
      <c r="B89" s="66"/>
      <c r="C89" s="11"/>
      <c r="D89" s="11"/>
      <c r="E89" s="11"/>
      <c r="F89" s="11"/>
      <c r="G89" s="11"/>
      <c r="H89" s="11"/>
      <c r="I89" s="67"/>
    </row>
    <row r="90" spans="2:9" x14ac:dyDescent="0.25">
      <c r="B90" s="66"/>
      <c r="C90" s="11"/>
      <c r="D90" s="11"/>
      <c r="E90" s="11"/>
      <c r="F90" s="11"/>
      <c r="G90" s="11"/>
      <c r="H90" s="11"/>
      <c r="I90" s="67"/>
    </row>
    <row r="91" spans="2:9" x14ac:dyDescent="0.25">
      <c r="B91" s="66"/>
      <c r="C91" s="11"/>
      <c r="D91" s="11"/>
      <c r="E91" s="11"/>
      <c r="F91" s="11"/>
      <c r="G91" s="11"/>
      <c r="H91" s="11"/>
      <c r="I91" s="67"/>
    </row>
    <row r="92" spans="2:9" x14ac:dyDescent="0.25">
      <c r="B92" s="66"/>
      <c r="C92" s="11"/>
      <c r="D92" s="11"/>
      <c r="E92" s="11"/>
      <c r="F92" s="11"/>
      <c r="G92" s="11"/>
      <c r="H92" s="11"/>
      <c r="I92" s="67"/>
    </row>
    <row r="93" spans="2:9" x14ac:dyDescent="0.25">
      <c r="B93" s="66"/>
      <c r="C93" s="11"/>
      <c r="D93" s="11"/>
      <c r="E93" s="11"/>
      <c r="F93" s="11"/>
      <c r="G93" s="11"/>
      <c r="H93" s="11"/>
      <c r="I93" s="67"/>
    </row>
    <row r="94" spans="2:9" x14ac:dyDescent="0.25">
      <c r="B94" s="66"/>
      <c r="C94" s="11"/>
      <c r="D94" s="11"/>
      <c r="E94" s="11"/>
      <c r="F94" s="11"/>
      <c r="G94" s="11"/>
      <c r="H94" s="11"/>
      <c r="I94" s="67"/>
    </row>
    <row r="95" spans="2:9" x14ac:dyDescent="0.25">
      <c r="B95" s="66"/>
      <c r="C95" s="11"/>
      <c r="D95" s="11"/>
      <c r="E95" s="11"/>
      <c r="F95" s="11"/>
      <c r="G95" s="11"/>
      <c r="H95" s="11"/>
      <c r="I95" s="67"/>
    </row>
    <row r="96" spans="2:9" x14ac:dyDescent="0.25">
      <c r="B96" s="66"/>
      <c r="C96" s="11"/>
      <c r="D96" s="11"/>
      <c r="E96" s="11"/>
      <c r="F96" s="11"/>
      <c r="G96" s="11"/>
      <c r="H96" s="11"/>
      <c r="I96" s="67"/>
    </row>
    <row r="97" spans="2:9" x14ac:dyDescent="0.25">
      <c r="B97" s="66"/>
      <c r="C97" s="11"/>
      <c r="D97" s="11"/>
      <c r="E97" s="11"/>
      <c r="F97" s="11"/>
      <c r="G97" s="11"/>
      <c r="H97" s="11"/>
      <c r="I97" s="67"/>
    </row>
    <row r="98" spans="2:9" x14ac:dyDescent="0.25">
      <c r="B98" s="66"/>
      <c r="C98" s="11"/>
      <c r="D98" s="11"/>
      <c r="E98" s="11"/>
      <c r="F98" s="11"/>
      <c r="G98" s="11"/>
      <c r="H98" s="11"/>
      <c r="I98" s="67"/>
    </row>
    <row r="99" spans="2:9" x14ac:dyDescent="0.25">
      <c r="B99" s="66"/>
      <c r="C99" s="11"/>
      <c r="D99" s="11"/>
      <c r="E99" s="11"/>
      <c r="F99" s="11"/>
      <c r="G99" s="11"/>
      <c r="H99" s="11"/>
      <c r="I99" s="67"/>
    </row>
    <row r="100" spans="2:9" x14ac:dyDescent="0.25">
      <c r="B100" s="66"/>
      <c r="C100" s="11"/>
      <c r="D100" s="11"/>
      <c r="E100" s="11"/>
      <c r="F100" s="11"/>
      <c r="G100" s="11"/>
      <c r="H100" s="11"/>
      <c r="I100" s="67"/>
    </row>
    <row r="101" spans="2:9" x14ac:dyDescent="0.25">
      <c r="B101" s="66"/>
      <c r="C101" s="11"/>
      <c r="D101" s="11"/>
      <c r="E101" s="11"/>
      <c r="F101" s="11"/>
      <c r="G101" s="11"/>
      <c r="H101" s="11"/>
      <c r="I101" s="67"/>
    </row>
    <row r="102" spans="2:9" x14ac:dyDescent="0.25">
      <c r="B102" s="66"/>
      <c r="C102" s="11"/>
      <c r="D102" s="11"/>
      <c r="E102" s="11"/>
      <c r="F102" s="11"/>
      <c r="G102" s="11"/>
      <c r="H102" s="11"/>
      <c r="I102" s="67"/>
    </row>
    <row r="103" spans="2:9" x14ac:dyDescent="0.25">
      <c r="B103" s="66"/>
      <c r="C103" s="11"/>
      <c r="D103" s="11"/>
      <c r="E103" s="11"/>
      <c r="F103" s="11"/>
      <c r="G103" s="11"/>
      <c r="H103" s="11"/>
      <c r="I103" s="67"/>
    </row>
    <row r="104" spans="2:9" x14ac:dyDescent="0.25">
      <c r="B104" s="66"/>
      <c r="C104" s="11"/>
      <c r="D104" s="11"/>
      <c r="E104" s="11"/>
      <c r="F104" s="11"/>
      <c r="G104" s="11"/>
      <c r="H104" s="11"/>
      <c r="I104" s="67"/>
    </row>
    <row r="105" spans="2:9" x14ac:dyDescent="0.25">
      <c r="B105" s="66"/>
      <c r="C105" s="11"/>
      <c r="D105" s="11"/>
      <c r="E105" s="11"/>
      <c r="F105" s="11"/>
      <c r="G105" s="11"/>
      <c r="H105" s="11"/>
      <c r="I105" s="67"/>
    </row>
    <row r="106" spans="2:9" x14ac:dyDescent="0.25">
      <c r="B106" s="66"/>
      <c r="C106" s="11"/>
      <c r="D106" s="11"/>
      <c r="E106" s="11"/>
      <c r="F106" s="11"/>
      <c r="G106" s="11"/>
      <c r="H106" s="11"/>
      <c r="I106" s="67"/>
    </row>
    <row r="107" spans="2:9" x14ac:dyDescent="0.25">
      <c r="B107" s="66"/>
      <c r="C107" s="11"/>
      <c r="D107" s="11"/>
      <c r="E107" s="11"/>
      <c r="F107" s="11"/>
      <c r="G107" s="11"/>
      <c r="H107" s="11"/>
      <c r="I107" s="67"/>
    </row>
    <row r="108" spans="2:9" x14ac:dyDescent="0.25">
      <c r="B108" s="96"/>
      <c r="C108" s="97"/>
      <c r="D108" s="97"/>
      <c r="E108" s="97"/>
      <c r="F108" s="97"/>
      <c r="G108" s="97"/>
      <c r="H108" s="97"/>
      <c r="I108" s="9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3"/>
  <sheetViews>
    <sheetView showGridLines="0" workbookViewId="0"/>
  </sheetViews>
  <sheetFormatPr defaultRowHeight="15" x14ac:dyDescent="0.25"/>
  <cols>
    <col min="2" max="2" width="27" bestFit="1" customWidth="1"/>
    <col min="3" max="3" width="22.5703125" customWidth="1"/>
    <col min="4" max="4" width="17.28515625" bestFit="1" customWidth="1"/>
    <col min="5" max="5" width="29.7109375" bestFit="1" customWidth="1"/>
    <col min="6" max="6" width="11" bestFit="1" customWidth="1"/>
    <col min="7" max="7" width="18" bestFit="1" customWidth="1"/>
    <col min="8" max="8" width="17.5703125" bestFit="1" customWidth="1"/>
    <col min="10" max="10" width="27.42578125" bestFit="1" customWidth="1"/>
    <col min="11" max="11" width="11" bestFit="1" customWidth="1"/>
    <col min="12" max="12" width="18" bestFit="1" customWidth="1"/>
    <col min="13" max="13" width="17.5703125" bestFit="1" customWidth="1"/>
  </cols>
  <sheetData>
    <row r="2" spans="2:13" x14ac:dyDescent="0.25">
      <c r="B2" s="155" t="s">
        <v>130</v>
      </c>
      <c r="C2" s="156" t="str">
        <f ca="1">C4</f>
        <v>CREDITMODEL1@15:3</v>
      </c>
      <c r="D2" s="156"/>
      <c r="E2" s="156"/>
      <c r="F2" s="156"/>
      <c r="G2" s="156"/>
      <c r="H2" s="156"/>
      <c r="I2" s="156"/>
      <c r="J2" s="156"/>
      <c r="K2" s="156"/>
      <c r="L2" s="156"/>
      <c r="M2" s="156"/>
    </row>
    <row r="3" spans="2:13" x14ac:dyDescent="0.25">
      <c r="B3" s="110" t="s">
        <v>131</v>
      </c>
      <c r="C3" s="111" t="s">
        <v>132</v>
      </c>
      <c r="D3" s="156"/>
      <c r="E3" s="202">
        <f ca="1">E8</f>
        <v>43636</v>
      </c>
      <c r="F3" s="156"/>
      <c r="G3" s="156"/>
      <c r="H3" s="156"/>
      <c r="I3" s="156"/>
      <c r="J3" s="156"/>
      <c r="K3" s="156"/>
      <c r="L3" s="156"/>
      <c r="M3" s="156"/>
    </row>
    <row r="4" spans="2:13" x14ac:dyDescent="0.25">
      <c r="B4" s="112" t="s">
        <v>133</v>
      </c>
      <c r="C4" s="113" t="str">
        <f ca="1">_xll.meLWOCreditModelCreate(C3,B6,B7:C21,B22,B24:C31)</f>
        <v>CREDITMODEL1@15:3</v>
      </c>
      <c r="D4" s="156"/>
      <c r="E4" s="156"/>
      <c r="F4" s="156"/>
      <c r="G4" s="156"/>
      <c r="H4" s="156"/>
      <c r="I4" s="156"/>
      <c r="J4" s="156"/>
      <c r="K4" s="156"/>
      <c r="L4" s="156"/>
      <c r="M4" s="157" t="s">
        <v>134</v>
      </c>
    </row>
    <row r="5" spans="2:13" x14ac:dyDescent="0.25"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8">
        <f ca="1">SUM(F8:H15)-SUM(K8:M15)</f>
        <v>0</v>
      </c>
    </row>
    <row r="6" spans="2:13" x14ac:dyDescent="0.25">
      <c r="B6" s="155" t="s">
        <v>135</v>
      </c>
      <c r="C6" s="156"/>
      <c r="D6" s="156"/>
      <c r="E6" s="155" t="s">
        <v>136</v>
      </c>
      <c r="F6" s="159"/>
      <c r="G6" s="156"/>
      <c r="H6" s="156"/>
      <c r="I6" s="156"/>
      <c r="J6" s="155" t="s">
        <v>137</v>
      </c>
      <c r="K6" s="156"/>
      <c r="L6" s="156"/>
      <c r="M6" s="156"/>
    </row>
    <row r="7" spans="2:13" x14ac:dyDescent="0.25">
      <c r="B7" s="101" t="s">
        <v>22</v>
      </c>
      <c r="C7" s="160">
        <f ca="1">COB</f>
        <v>43627</v>
      </c>
      <c r="D7" s="156"/>
      <c r="E7" s="161" t="s">
        <v>138</v>
      </c>
      <c r="F7" s="161" t="s">
        <v>139</v>
      </c>
      <c r="G7" s="159" t="s">
        <v>140</v>
      </c>
      <c r="H7" s="159" t="s">
        <v>141</v>
      </c>
      <c r="I7" s="156"/>
      <c r="J7" s="161" t="s">
        <v>138</v>
      </c>
      <c r="K7" s="161" t="s">
        <v>139</v>
      </c>
      <c r="L7" s="159" t="s">
        <v>140</v>
      </c>
      <c r="M7" s="159" t="s">
        <v>141</v>
      </c>
    </row>
    <row r="8" spans="2:13" x14ac:dyDescent="0.25">
      <c r="B8" s="102" t="s">
        <v>142</v>
      </c>
      <c r="C8" s="117" t="s">
        <v>143</v>
      </c>
      <c r="D8" s="156"/>
      <c r="E8" s="162">
        <f t="array" aca="1" ref="E8:H20" ca="1">_xll.meUtilityResize(_xll.meLWOCreditModelCalibrationParameters(C4),20,10)</f>
        <v>43636</v>
      </c>
      <c r="F8" s="163">
        <f ca="1"/>
        <v>3.7133333333333302E-3</v>
      </c>
      <c r="G8" s="163">
        <f ca="1"/>
        <v>0.99990717097554704</v>
      </c>
      <c r="H8" s="164">
        <f ca="1"/>
        <v>9.2829024452734097E-5</v>
      </c>
      <c r="I8" s="156"/>
      <c r="J8" s="162">
        <f t="shared" ref="J8:J15" ca="1" si="0">E8</f>
        <v>43636</v>
      </c>
      <c r="K8" s="163">
        <f ca="1">IF(J8="","",_xll.meLWOCreditModelHazardRate($C$4,J8))</f>
        <v>3.7133333333333332E-3</v>
      </c>
      <c r="L8" s="163">
        <f ca="1">IF(J8="","",_xll.meLWOCreditModelSurvivalProbability($C$4,J8))</f>
        <v>0.99990717097554727</v>
      </c>
      <c r="M8" s="164">
        <f ca="1">1-L8</f>
        <v>9.282902445273411E-5</v>
      </c>
    </row>
    <row r="9" spans="2:13" x14ac:dyDescent="0.25">
      <c r="B9" s="102" t="s">
        <v>144</v>
      </c>
      <c r="C9" s="117" t="s">
        <v>85</v>
      </c>
      <c r="D9" s="156"/>
      <c r="E9" s="165">
        <f ca="1"/>
        <v>43819</v>
      </c>
      <c r="F9" s="166">
        <f ca="1"/>
        <v>3.0429309431305E-3</v>
      </c>
      <c r="G9" s="166">
        <f ca="1"/>
        <v>0.99836168693966898</v>
      </c>
      <c r="H9" s="167">
        <f ca="1"/>
        <v>1.6383130603305799E-3</v>
      </c>
      <c r="I9" s="156"/>
      <c r="J9" s="165">
        <f t="shared" ca="1" si="0"/>
        <v>43819</v>
      </c>
      <c r="K9" s="166">
        <f ca="1">IF(J9="","",_xll.meLWOCreditModelHazardRate($C$4,J9))</f>
        <v>3.0429309431305048E-3</v>
      </c>
      <c r="L9" s="166">
        <f ca="1">IF(J9="","",_xll.meLWOCreditModelSurvivalProbability($C$4,J9))</f>
        <v>0.99836168693966942</v>
      </c>
      <c r="M9" s="167">
        <f t="shared" ref="M9:M15" ca="1" si="1">1-L9</f>
        <v>1.6383130603305762E-3</v>
      </c>
    </row>
    <row r="10" spans="2:13" x14ac:dyDescent="0.25">
      <c r="B10" s="102" t="s">
        <v>145</v>
      </c>
      <c r="C10" s="117" t="s">
        <v>146</v>
      </c>
      <c r="D10" s="156"/>
      <c r="E10" s="165">
        <f ca="1"/>
        <v>44186</v>
      </c>
      <c r="F10" s="166">
        <f ca="1"/>
        <v>3.6284327104809501E-3</v>
      </c>
      <c r="G10" s="166">
        <f ca="1"/>
        <v>0.994675583092687</v>
      </c>
      <c r="H10" s="167">
        <f ca="1"/>
        <v>5.3244169073126697E-3</v>
      </c>
      <c r="I10" s="156"/>
      <c r="J10" s="165">
        <f t="shared" ca="1" si="0"/>
        <v>44186</v>
      </c>
      <c r="K10" s="166">
        <f ca="1">IF(J10="","",_xll.meLWOCreditModelHazardRate($C$4,J10))</f>
        <v>3.6284327104809497E-3</v>
      </c>
      <c r="L10" s="166">
        <f ca="1">IF(J10="","",_xll.meLWOCreditModelSurvivalProbability($C$4,J10))</f>
        <v>0.99467558309268733</v>
      </c>
      <c r="M10" s="167">
        <f t="shared" ca="1" si="1"/>
        <v>5.3244169073126679E-3</v>
      </c>
    </row>
    <row r="11" spans="2:13" x14ac:dyDescent="0.25">
      <c r="B11" s="102" t="s">
        <v>147</v>
      </c>
      <c r="C11" s="117">
        <f ca="1">C7</f>
        <v>43627</v>
      </c>
      <c r="D11" s="156"/>
      <c r="E11" s="165">
        <f ca="1"/>
        <v>44550</v>
      </c>
      <c r="F11" s="166">
        <f ca="1"/>
        <v>4.0107946670434004E-3</v>
      </c>
      <c r="G11" s="166">
        <f ca="1"/>
        <v>0.99064998460345499</v>
      </c>
      <c r="H11" s="167">
        <f ca="1"/>
        <v>9.3500153965454507E-3</v>
      </c>
      <c r="I11" s="156"/>
      <c r="J11" s="165">
        <f t="shared" ca="1" si="0"/>
        <v>44550</v>
      </c>
      <c r="K11" s="166">
        <f ca="1">IF(J11="","",_xll.meLWOCreditModelHazardRate($C$4,J11))</f>
        <v>4.0107946670434047E-3</v>
      </c>
      <c r="L11" s="166">
        <f ca="1">IF(J11="","",_xll.meLWOCreditModelSurvivalProbability($C$4,J11))</f>
        <v>0.99064998460345455</v>
      </c>
      <c r="M11" s="167">
        <f t="shared" ca="1" si="1"/>
        <v>9.3500153965454524E-3</v>
      </c>
    </row>
    <row r="12" spans="2:13" x14ac:dyDescent="0.25">
      <c r="B12" s="102" t="s">
        <v>148</v>
      </c>
      <c r="C12" s="117">
        <v>43454</v>
      </c>
      <c r="D12" s="168" t="s">
        <v>149</v>
      </c>
      <c r="E12" s="165">
        <f ca="1"/>
        <v>44915</v>
      </c>
      <c r="F12" s="166">
        <f ca="1"/>
        <v>4.4228358957316104E-3</v>
      </c>
      <c r="G12" s="166">
        <f ca="1"/>
        <v>0.98621759380351304</v>
      </c>
      <c r="H12" s="167">
        <f ca="1"/>
        <v>1.37824061964874E-2</v>
      </c>
      <c r="I12" s="156"/>
      <c r="J12" s="165">
        <f t="shared" ca="1" si="0"/>
        <v>44915</v>
      </c>
      <c r="K12" s="166">
        <f ca="1">IF(J12="","",_xll.meLWOCreditModelHazardRate($C$4,J12))</f>
        <v>4.4228358957316078E-3</v>
      </c>
      <c r="L12" s="166">
        <f ca="1">IF(J12="","",_xll.meLWOCreditModelSurvivalProbability($C$4,J12))</f>
        <v>0.98621759380351259</v>
      </c>
      <c r="M12" s="167">
        <f t="shared" ca="1" si="1"/>
        <v>1.3782406196487407E-2</v>
      </c>
    </row>
    <row r="13" spans="2:13" x14ac:dyDescent="0.25">
      <c r="B13" s="115" t="s">
        <v>11</v>
      </c>
      <c r="C13" s="116" t="s">
        <v>12</v>
      </c>
      <c r="D13" s="156"/>
      <c r="E13" s="165">
        <f ca="1"/>
        <v>45280</v>
      </c>
      <c r="F13" s="166">
        <f ca="1"/>
        <v>3.9971465306790103E-3</v>
      </c>
      <c r="G13" s="166">
        <f ca="1"/>
        <v>0.98222887471422204</v>
      </c>
      <c r="H13" s="167">
        <f ca="1"/>
        <v>1.7771125285778101E-2</v>
      </c>
      <c r="I13" s="156"/>
      <c r="J13" s="165">
        <f t="shared" ca="1" si="0"/>
        <v>45280</v>
      </c>
      <c r="K13" s="166">
        <f ca="1">IF(J13="","",_xll.meLWOCreditModelHazardRate($C$4,J13))</f>
        <v>3.9971465306790112E-3</v>
      </c>
      <c r="L13" s="166">
        <f ca="1">IF(J13="","",_xll.meLWOCreditModelSurvivalProbability($C$4,J13))</f>
        <v>0.98222887471422193</v>
      </c>
      <c r="M13" s="167">
        <f t="shared" ca="1" si="1"/>
        <v>1.7771125285778067E-2</v>
      </c>
    </row>
    <row r="14" spans="2:13" x14ac:dyDescent="0.25">
      <c r="B14" s="115" t="s">
        <v>150</v>
      </c>
      <c r="C14" s="169">
        <v>0.4</v>
      </c>
      <c r="D14" s="156"/>
      <c r="E14" s="165">
        <f ca="1"/>
        <v>46013</v>
      </c>
      <c r="F14" s="166">
        <f ca="1"/>
        <v>6.3138977112471399E-3</v>
      </c>
      <c r="G14" s="166">
        <f ca="1"/>
        <v>0.96968235993741003</v>
      </c>
      <c r="H14" s="167">
        <f ca="1"/>
        <v>3.03176400625902E-2</v>
      </c>
      <c r="I14" s="156"/>
      <c r="J14" s="165">
        <f t="shared" ca="1" si="0"/>
        <v>46013</v>
      </c>
      <c r="K14" s="166">
        <f ca="1">IF(J14="","",_xll.meLWOCreditModelHazardRate($C$4,J14))</f>
        <v>6.3138977112471443E-3</v>
      </c>
      <c r="L14" s="166">
        <f ca="1">IF(J14="","",_xll.meLWOCreditModelSurvivalProbability($C$4,J14))</f>
        <v>0.96968235993740981</v>
      </c>
      <c r="M14" s="167">
        <f t="shared" ca="1" si="1"/>
        <v>3.031764006259019E-2</v>
      </c>
    </row>
    <row r="15" spans="2:13" x14ac:dyDescent="0.25">
      <c r="B15" s="115" t="s">
        <v>151</v>
      </c>
      <c r="C15" s="117" t="b">
        <v>1</v>
      </c>
      <c r="D15" s="156"/>
      <c r="E15" s="165">
        <f ca="1"/>
        <v>47107</v>
      </c>
      <c r="F15" s="166">
        <f ca="1"/>
        <v>6.9698966301632199E-3</v>
      </c>
      <c r="G15" s="166">
        <f ca="1"/>
        <v>0.94935975231613601</v>
      </c>
      <c r="H15" s="167">
        <f ca="1"/>
        <v>5.06402476838635E-2</v>
      </c>
      <c r="I15" s="156"/>
      <c r="J15" s="165">
        <f t="shared" ca="1" si="0"/>
        <v>47107</v>
      </c>
      <c r="K15" s="166">
        <f ca="1">IF(J15="","",_xll.meLWOCreditModelHazardRate($C$4,J15))</f>
        <v>6.9698966301632234E-3</v>
      </c>
      <c r="L15" s="166">
        <f ca="1">IF(J15="","",_xll.meLWOCreditModelSurvivalProbability($C$4,J15))</f>
        <v>0.94935975231613645</v>
      </c>
      <c r="M15" s="167">
        <f t="shared" ca="1" si="1"/>
        <v>5.0640247683863548E-2</v>
      </c>
    </row>
    <row r="16" spans="2:13" x14ac:dyDescent="0.25">
      <c r="B16" s="115" t="s">
        <v>197</v>
      </c>
      <c r="C16" s="117" t="s">
        <v>47</v>
      </c>
      <c r="D16" s="156"/>
      <c r="E16" s="165" t="str">
        <f ca="1"/>
        <v/>
      </c>
      <c r="F16" s="166" t="str">
        <f ca="1"/>
        <v/>
      </c>
      <c r="G16" s="166" t="str">
        <f ca="1"/>
        <v/>
      </c>
      <c r="H16" s="167" t="str">
        <f ca="1"/>
        <v/>
      </c>
      <c r="I16" s="156"/>
      <c r="J16" s="165"/>
      <c r="K16" s="166"/>
      <c r="L16" s="166"/>
      <c r="M16" s="167"/>
    </row>
    <row r="17" spans="2:13" x14ac:dyDescent="0.25">
      <c r="B17" s="115" t="s">
        <v>226</v>
      </c>
      <c r="C17" s="117" t="s">
        <v>47</v>
      </c>
      <c r="D17" s="156"/>
      <c r="E17" s="165" t="str">
        <f ca="1"/>
        <v/>
      </c>
      <c r="F17" s="166" t="str">
        <f ca="1"/>
        <v/>
      </c>
      <c r="G17" s="166" t="str">
        <f ca="1"/>
        <v/>
      </c>
      <c r="H17" s="167" t="str">
        <f ca="1"/>
        <v/>
      </c>
      <c r="I17" s="156"/>
      <c r="J17" s="165"/>
      <c r="K17" s="166"/>
      <c r="L17" s="166"/>
      <c r="M17" s="167"/>
    </row>
    <row r="18" spans="2:13" x14ac:dyDescent="0.25">
      <c r="B18" s="115" t="s">
        <v>115</v>
      </c>
      <c r="C18" s="117" t="s">
        <v>152</v>
      </c>
      <c r="D18" s="156"/>
      <c r="E18" s="165" t="str">
        <f ca="1"/>
        <v/>
      </c>
      <c r="F18" s="166" t="str">
        <f ca="1"/>
        <v/>
      </c>
      <c r="G18" s="166" t="str">
        <f ca="1"/>
        <v/>
      </c>
      <c r="H18" s="167" t="str">
        <f ca="1"/>
        <v/>
      </c>
      <c r="I18" s="156"/>
      <c r="J18" s="165"/>
      <c r="K18" s="166"/>
      <c r="L18" s="166"/>
      <c r="M18" s="167"/>
    </row>
    <row r="19" spans="2:13" x14ac:dyDescent="0.25">
      <c r="B19" s="115" t="s">
        <v>153</v>
      </c>
      <c r="C19" s="117" t="s">
        <v>154</v>
      </c>
      <c r="D19" s="156"/>
      <c r="E19" s="165" t="str">
        <f ca="1"/>
        <v/>
      </c>
      <c r="F19" s="166" t="str">
        <f ca="1"/>
        <v/>
      </c>
      <c r="G19" s="166" t="str">
        <f ca="1"/>
        <v/>
      </c>
      <c r="H19" s="167" t="str">
        <f ca="1"/>
        <v/>
      </c>
      <c r="I19" s="156"/>
      <c r="J19" s="165"/>
      <c r="K19" s="166"/>
      <c r="L19" s="166"/>
      <c r="M19" s="167"/>
    </row>
    <row r="20" spans="2:13" x14ac:dyDescent="0.25">
      <c r="B20" s="115" t="s">
        <v>155</v>
      </c>
      <c r="C20" s="117" t="s">
        <v>156</v>
      </c>
      <c r="D20" s="156"/>
      <c r="E20" s="170" t="str">
        <f ca="1"/>
        <v/>
      </c>
      <c r="F20" s="171" t="str">
        <f ca="1"/>
        <v/>
      </c>
      <c r="G20" s="171" t="str">
        <f ca="1"/>
        <v/>
      </c>
      <c r="H20" s="172" t="str">
        <f ca="1"/>
        <v/>
      </c>
      <c r="I20" s="156"/>
      <c r="J20" s="170"/>
      <c r="K20" s="171"/>
      <c r="L20" s="171"/>
      <c r="M20" s="172"/>
    </row>
    <row r="21" spans="2:13" x14ac:dyDescent="0.25">
      <c r="B21" s="112" t="s">
        <v>157</v>
      </c>
      <c r="C21" s="118" t="s">
        <v>158</v>
      </c>
      <c r="D21" s="156"/>
      <c r="E21" s="156"/>
      <c r="F21" s="156"/>
      <c r="G21" s="156"/>
      <c r="H21" s="156"/>
      <c r="I21" s="156"/>
      <c r="J21" s="156"/>
      <c r="K21" s="156"/>
      <c r="L21" s="156"/>
      <c r="M21" s="156"/>
    </row>
    <row r="22" spans="2:13" x14ac:dyDescent="0.25">
      <c r="B22" s="155" t="s">
        <v>159</v>
      </c>
      <c r="C22" s="156"/>
      <c r="D22" s="156"/>
      <c r="E22" s="155" t="s">
        <v>160</v>
      </c>
      <c r="F22" s="156"/>
      <c r="G22" s="156"/>
      <c r="H22" s="156"/>
      <c r="I22" s="156"/>
      <c r="J22" s="156"/>
      <c r="K22" s="156"/>
      <c r="L22" s="156"/>
      <c r="M22" s="156"/>
    </row>
    <row r="23" spans="2:13" x14ac:dyDescent="0.25">
      <c r="B23" s="161" t="s">
        <v>138</v>
      </c>
      <c r="C23" s="161" t="s">
        <v>161</v>
      </c>
      <c r="D23" s="156"/>
      <c r="E23" s="161" t="s">
        <v>138</v>
      </c>
      <c r="F23" s="161" t="s">
        <v>142</v>
      </c>
      <c r="G23" s="161" t="s">
        <v>119</v>
      </c>
      <c r="H23" s="161" t="s">
        <v>120</v>
      </c>
      <c r="I23" s="161" t="s">
        <v>162</v>
      </c>
      <c r="J23" s="161" t="s">
        <v>163</v>
      </c>
      <c r="K23" s="161" t="s">
        <v>164</v>
      </c>
      <c r="L23" s="161" t="s">
        <v>128</v>
      </c>
      <c r="M23" s="173" t="s">
        <v>134</v>
      </c>
    </row>
    <row r="24" spans="2:13" x14ac:dyDescent="0.25">
      <c r="B24" s="174" t="s">
        <v>39</v>
      </c>
      <c r="C24" s="175">
        <v>2.2279999999999999E-3</v>
      </c>
      <c r="D24" s="156"/>
      <c r="E24" s="176" t="str">
        <f t="shared" ref="E24:E31" si="2">B24</f>
        <v>6M</v>
      </c>
      <c r="F24" s="177" t="s">
        <v>143</v>
      </c>
      <c r="G24" s="178">
        <f ca="1">_xll.meDateFromTenor($C$7,$C$8,$C$9,$C$10)</f>
        <v>43634</v>
      </c>
      <c r="H24" s="178">
        <f>_xll.meDateFromTenor($C$12,E24,)</f>
        <v>43636</v>
      </c>
      <c r="I24" s="179" t="s">
        <v>165</v>
      </c>
      <c r="J24" s="128" t="str">
        <f ca="1">_xll.meLWOSwapCreateFromGenerator("CDS_"&amp;E24,$C$18,"PAY",1,G24,H24,C24,0)</f>
        <v>CDS_6M@14:4</v>
      </c>
      <c r="K24" s="180">
        <f ca="1">_xll.meLWOCreditDefaultSwapPV(J24,$C$4)</f>
        <v>-4.882077679407501E-16</v>
      </c>
      <c r="L24" s="181">
        <f ca="1">_xll.meLWOCreditDefaultSwapParSpread(J24,$C$4)</f>
        <v>2.2279999999120781E-3</v>
      </c>
      <c r="M24" s="182">
        <f t="shared" ref="M24:M31" ca="1" si="3">L24-C24</f>
        <v>-8.7921857294670502E-14</v>
      </c>
    </row>
    <row r="25" spans="2:13" x14ac:dyDescent="0.25">
      <c r="B25" s="183" t="s">
        <v>41</v>
      </c>
      <c r="C25" s="119">
        <v>1.8301300000000001E-3</v>
      </c>
      <c r="D25" s="156"/>
      <c r="E25" s="130" t="str">
        <f t="shared" si="2"/>
        <v>1Y</v>
      </c>
      <c r="F25" s="71" t="s">
        <v>143</v>
      </c>
      <c r="G25" s="184">
        <f ca="1">_xll.meDateFromTenor($C$7,$C$8,$C$9,$C$10)</f>
        <v>43634</v>
      </c>
      <c r="H25" s="184">
        <f>_xll.meDateFromTenor($C$12,E25,)</f>
        <v>43819</v>
      </c>
      <c r="I25" s="185" t="s">
        <v>165</v>
      </c>
      <c r="J25" s="131" t="str">
        <f ca="1">_xll.meLWOSwapCreateFromGenerator("CDS_"&amp;E25,$C$18,"PAY",1,G25,H25,C25,0)</f>
        <v>CDS_1Y@17:4</v>
      </c>
      <c r="K25" s="142">
        <f ca="1">_xll.meLWOCreditDefaultSwapPV(J25,$C$4)</f>
        <v>-3.3467261080499799E-14</v>
      </c>
      <c r="L25" s="148">
        <f ca="1">_xll.meLWOCreditDefaultSwapParSpread(J25,$C$4)</f>
        <v>1.8301299999343424E-3</v>
      </c>
      <c r="M25" s="186">
        <f t="shared" ca="1" si="3"/>
        <v>-6.5657765682680669E-14</v>
      </c>
    </row>
    <row r="26" spans="2:13" x14ac:dyDescent="0.25">
      <c r="B26" s="183" t="s">
        <v>42</v>
      </c>
      <c r="C26" s="119">
        <v>2.0593E-3</v>
      </c>
      <c r="D26" s="156"/>
      <c r="E26" s="130" t="str">
        <f t="shared" si="2"/>
        <v>2Y</v>
      </c>
      <c r="F26" s="71" t="s">
        <v>143</v>
      </c>
      <c r="G26" s="184">
        <f ca="1">_xll.meDateFromTenor($C$7,$C$8,$C$9,$C$10)</f>
        <v>43634</v>
      </c>
      <c r="H26" s="184">
        <f>_xll.meDateFromTenor($C$12,E26,)</f>
        <v>44185</v>
      </c>
      <c r="I26" s="185" t="s">
        <v>165</v>
      </c>
      <c r="J26" s="131" t="str">
        <f ca="1">_xll.meLWOSwapCreateFromGenerator("CDS_"&amp;E26,$C$18,"PAY",1,G26,H26,C26,0)</f>
        <v>CDS_2Y@18:4</v>
      </c>
      <c r="K26" s="142">
        <f ca="1">_xll.meLWOCreditDefaultSwapPV(J26,$C$4)</f>
        <v>1.0408340855860843E-16</v>
      </c>
      <c r="L26" s="148">
        <f ca="1">_xll.meLWOCreditDefaultSwapParSpread(J26,$C$4)</f>
        <v>2.0593000000000694E-3</v>
      </c>
      <c r="M26" s="186">
        <f t="shared" ca="1" si="3"/>
        <v>6.9388939039072284E-17</v>
      </c>
    </row>
    <row r="27" spans="2:13" x14ac:dyDescent="0.25">
      <c r="B27" s="183" t="s">
        <v>58</v>
      </c>
      <c r="C27" s="119">
        <v>2.1943800000000001E-3</v>
      </c>
      <c r="D27" s="156"/>
      <c r="E27" s="130" t="str">
        <f t="shared" si="2"/>
        <v>3Y</v>
      </c>
      <c r="F27" s="71" t="s">
        <v>143</v>
      </c>
      <c r="G27" s="184">
        <f ca="1">_xll.meDateFromTenor($C$7,$C$8,$C$9,$C$10)</f>
        <v>43634</v>
      </c>
      <c r="H27" s="184">
        <f>_xll.meDateFromTenor($C$12,E27,)</f>
        <v>44550</v>
      </c>
      <c r="I27" s="185" t="s">
        <v>165</v>
      </c>
      <c r="J27" s="131" t="str">
        <f ca="1">_xll.meLWOSwapCreateFromGenerator("CDS_"&amp;E27,$C$18,"PAY",1,G27,H27,C27,0)</f>
        <v>CDS_3Y@12:4</v>
      </c>
      <c r="K27" s="142">
        <f ca="1">_xll.meLWOCreditDefaultSwapPV(J27,$C$4)</f>
        <v>3.9725167599868882E-16</v>
      </c>
      <c r="L27" s="148">
        <f ca="1">_xll.meLWOCreditDefaultSwapParSpread(J27,$C$4)</f>
        <v>2.1943800000001619E-3</v>
      </c>
      <c r="M27" s="186">
        <f t="shared" ca="1" si="3"/>
        <v>1.6176296413483726E-16</v>
      </c>
    </row>
    <row r="28" spans="2:13" x14ac:dyDescent="0.25">
      <c r="B28" s="183" t="s">
        <v>14</v>
      </c>
      <c r="C28" s="119">
        <v>2.3206299999999997E-3</v>
      </c>
      <c r="D28" s="156"/>
      <c r="E28" s="130" t="str">
        <f t="shared" si="2"/>
        <v>4Y</v>
      </c>
      <c r="F28" s="71" t="s">
        <v>143</v>
      </c>
      <c r="G28" s="184">
        <f ca="1">_xll.meDateFromTenor($C$7,$C$8,$C$9,$C$10)</f>
        <v>43634</v>
      </c>
      <c r="H28" s="184">
        <f>_xll.meDateFromTenor($C$12,E28,)</f>
        <v>44915</v>
      </c>
      <c r="I28" s="185" t="s">
        <v>165</v>
      </c>
      <c r="J28" s="131" t="str">
        <f ca="1">_xll.meLWOSwapCreateFromGenerator("CDS_"&amp;E28,$C$18,"PAY",1,G28,H28,C28,0)</f>
        <v>CDS_4Y@16:4</v>
      </c>
      <c r="K28" s="142">
        <f ca="1">_xll.meLWOCreditDefaultSwapPV(J28,$C$4)</f>
        <v>-3.2786273695961654E-16</v>
      </c>
      <c r="L28" s="148">
        <f ca="1">_xll.meLWOCreditDefaultSwapParSpread(J28,$C$4)</f>
        <v>2.320629999999903E-3</v>
      </c>
      <c r="M28" s="186">
        <f t="shared" ca="1" si="3"/>
        <v>-9.6710833785706996E-17</v>
      </c>
    </row>
    <row r="29" spans="2:13" x14ac:dyDescent="0.25">
      <c r="B29" s="183" t="s">
        <v>17</v>
      </c>
      <c r="C29" s="119">
        <v>2.3370000000000001E-3</v>
      </c>
      <c r="D29" s="156"/>
      <c r="E29" s="130" t="str">
        <f t="shared" si="2"/>
        <v>5Y</v>
      </c>
      <c r="F29" s="71" t="s">
        <v>143</v>
      </c>
      <c r="G29" s="184">
        <f ca="1">_xll.meDateFromTenor($C$7,$C$8,$C$9,$C$10)</f>
        <v>43634</v>
      </c>
      <c r="H29" s="184">
        <f>_xll.meDateFromTenor($C$12,E29,)</f>
        <v>45280</v>
      </c>
      <c r="I29" s="185" t="s">
        <v>165</v>
      </c>
      <c r="J29" s="131" t="str">
        <f ca="1">_xll.meLWOSwapCreateFromGenerator("CDS_"&amp;E29,$C$18,"PAY",1,G29,H29,C29,0)</f>
        <v>CDS_5Y@19:4</v>
      </c>
      <c r="K29" s="142">
        <f ca="1">_xll.meLWOCreditDefaultSwapPV(J29,$C$4)</f>
        <v>7.4593109467002705E-17</v>
      </c>
      <c r="L29" s="148">
        <f ca="1">_xll.meLWOCreditDefaultSwapParSpread(J29,$C$4)</f>
        <v>2.3370000000000179E-3</v>
      </c>
      <c r="M29" s="186">
        <f t="shared" ca="1" si="3"/>
        <v>1.7780915628762273E-17</v>
      </c>
    </row>
    <row r="30" spans="2:13" x14ac:dyDescent="0.25">
      <c r="B30" s="183" t="s">
        <v>21</v>
      </c>
      <c r="C30" s="119">
        <v>2.7550700000000001E-3</v>
      </c>
      <c r="D30" s="156"/>
      <c r="E30" s="130" t="str">
        <f t="shared" si="2"/>
        <v>7Y</v>
      </c>
      <c r="F30" s="71" t="s">
        <v>143</v>
      </c>
      <c r="G30" s="184">
        <f ca="1">_xll.meDateFromTenor($C$7,$C$8,$C$9,$C$10)</f>
        <v>43634</v>
      </c>
      <c r="H30" s="184">
        <f>_xll.meDateFromTenor($C$12,E30,)</f>
        <v>46011</v>
      </c>
      <c r="I30" s="185" t="s">
        <v>165</v>
      </c>
      <c r="J30" s="131" t="str">
        <f ca="1">_xll.meLWOSwapCreateFromGenerator("CDS_"&amp;E30,$C$18,"PAY",1,G30,H30,C30,0)</f>
        <v>CDS_7Y@13:4</v>
      </c>
      <c r="K30" s="142">
        <f ca="1">_xll.meLWOCreditDefaultSwapPV(J30,$C$4)</f>
        <v>-3.2220510981506578E-12</v>
      </c>
      <c r="L30" s="148">
        <f ca="1">_xll.meLWOCreditDefaultSwapParSpread(J30,$C$4)</f>
        <v>2.7550699994659486E-3</v>
      </c>
      <c r="M30" s="186">
        <f t="shared" ca="1" si="3"/>
        <v>-5.3405153563335084E-13</v>
      </c>
    </row>
    <row r="31" spans="2:13" x14ac:dyDescent="0.25">
      <c r="B31" s="183" t="s">
        <v>24</v>
      </c>
      <c r="C31" s="119">
        <v>3.1609699999999999E-3</v>
      </c>
      <c r="D31" s="156"/>
      <c r="E31" s="130" t="str">
        <f t="shared" si="2"/>
        <v>10Y</v>
      </c>
      <c r="F31" s="71" t="s">
        <v>143</v>
      </c>
      <c r="G31" s="184">
        <f ca="1">_xll.meDateFromTenor($C$7,$C$8,$C$9,$C$10)</f>
        <v>43634</v>
      </c>
      <c r="H31" s="184">
        <f>_xll.meDateFromTenor($C$12,E31,)</f>
        <v>47107</v>
      </c>
      <c r="I31" s="185" t="s">
        <v>165</v>
      </c>
      <c r="J31" s="131" t="str">
        <f ca="1">_xll.meLWOSwapCreateFromGenerator("CDS_"&amp;E31,$C$18,"PAY",1,G31,H31,C31,0)</f>
        <v>CDS_10Y@10:4</v>
      </c>
      <c r="K31" s="142">
        <f ca="1">_xll.meLWOCreditDefaultSwapPV(J31,$C$4)</f>
        <v>-1.4260793934628424E-11</v>
      </c>
      <c r="L31" s="148">
        <f ca="1">_xll.meLWOCreditDefaultSwapParSpread(J31,$C$4)</f>
        <v>3.1609699983086914E-3</v>
      </c>
      <c r="M31" s="186">
        <f t="shared" ca="1" si="3"/>
        <v>-1.6913085515435355E-12</v>
      </c>
    </row>
    <row r="32" spans="2:13" x14ac:dyDescent="0.25">
      <c r="B32" s="187"/>
      <c r="C32" s="188"/>
      <c r="D32" s="156"/>
      <c r="E32" s="133"/>
      <c r="F32" s="17"/>
      <c r="G32" s="189"/>
      <c r="H32" s="189"/>
      <c r="I32" s="190"/>
      <c r="J32" s="134"/>
      <c r="K32" s="143"/>
      <c r="L32" s="149"/>
      <c r="M32" s="191"/>
    </row>
    <row r="33" spans="2:13" x14ac:dyDescent="0.25"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</row>
    <row r="34" spans="2:13" x14ac:dyDescent="0.25">
      <c r="B34" s="156"/>
      <c r="C34" s="156"/>
      <c r="D34" s="156"/>
      <c r="E34" s="155" t="s">
        <v>166</v>
      </c>
      <c r="F34" s="156"/>
      <c r="G34" s="156"/>
      <c r="H34" s="156"/>
      <c r="I34" s="156"/>
      <c r="J34" s="156"/>
      <c r="K34" s="156"/>
      <c r="L34" s="156"/>
      <c r="M34" s="156"/>
    </row>
    <row r="35" spans="2:13" x14ac:dyDescent="0.25">
      <c r="B35" s="156"/>
      <c r="C35" s="156"/>
      <c r="D35" s="156"/>
      <c r="E35" s="161" t="s">
        <v>167</v>
      </c>
      <c r="F35" s="161" t="s">
        <v>168</v>
      </c>
      <c r="G35" s="161" t="s">
        <v>169</v>
      </c>
      <c r="H35" s="173" t="s">
        <v>134</v>
      </c>
      <c r="I35" s="173"/>
      <c r="J35" s="173"/>
      <c r="K35" s="173"/>
      <c r="L35" s="173"/>
      <c r="M35" s="173"/>
    </row>
    <row r="36" spans="2:13" x14ac:dyDescent="0.25">
      <c r="B36" s="156"/>
      <c r="C36" s="156"/>
      <c r="D36" s="156"/>
      <c r="E36" s="192">
        <f t="array" aca="1" ref="E36:E43" ca="1">_xll.meCurveDiscountFactors(E8:E15,C16,"OIS")</f>
        <v>0.99957600722902262</v>
      </c>
      <c r="F36" s="195">
        <f t="array" aca="1" ref="F36:F43" ca="1">_xll.meLWOCreditModelRiskyDiscountFactors($C$4,E8:E15)</f>
        <v>0.99948321756340519</v>
      </c>
      <c r="G36" s="195">
        <f t="shared" ref="G36:G43" ca="1" si="4">G8*E36</f>
        <v>0.99948321756340497</v>
      </c>
      <c r="H36" s="196">
        <f ca="1">F36-G36</f>
        <v>0</v>
      </c>
      <c r="I36" s="196"/>
      <c r="J36" s="196"/>
      <c r="K36" s="196"/>
      <c r="L36" s="196"/>
      <c r="M36" s="197"/>
    </row>
    <row r="37" spans="2:13" x14ac:dyDescent="0.25">
      <c r="B37" s="156"/>
      <c r="C37" s="156"/>
      <c r="D37" s="156"/>
      <c r="E37" s="193">
        <f ca="1"/>
        <v>0.9902790017701788</v>
      </c>
      <c r="F37" s="153">
        <f ca="1"/>
        <v>0.98865661474820754</v>
      </c>
      <c r="G37" s="153">
        <f t="shared" ca="1" si="4"/>
        <v>0.98865661474820721</v>
      </c>
      <c r="H37" s="198">
        <f t="shared" ref="H37:H43" ca="1" si="5">F37-G37</f>
        <v>0</v>
      </c>
      <c r="I37" s="198"/>
      <c r="J37" s="198"/>
      <c r="K37" s="198"/>
      <c r="L37" s="198"/>
      <c r="M37" s="199"/>
    </row>
    <row r="38" spans="2:13" x14ac:dyDescent="0.25">
      <c r="B38" s="156"/>
      <c r="C38" s="156"/>
      <c r="D38" s="156"/>
      <c r="E38" s="193">
        <f ca="1"/>
        <v>0.9676669941676993</v>
      </c>
      <c r="F38" s="153">
        <f ca="1"/>
        <v>0.96251473166330437</v>
      </c>
      <c r="G38" s="153">
        <f t="shared" ca="1" si="4"/>
        <v>0.96251473166330404</v>
      </c>
      <c r="H38" s="198">
        <f t="shared" ca="1" si="5"/>
        <v>0</v>
      </c>
      <c r="I38" s="198"/>
      <c r="J38" s="198"/>
      <c r="K38" s="198"/>
      <c r="L38" s="198"/>
      <c r="M38" s="199"/>
    </row>
    <row r="39" spans="2:13" x14ac:dyDescent="0.25">
      <c r="B39" s="156"/>
      <c r="C39" s="156"/>
      <c r="D39" s="156"/>
      <c r="E39" s="193">
        <f ca="1"/>
        <v>0.944040450864713</v>
      </c>
      <c r="F39" s="153">
        <f ca="1"/>
        <v>0.93521365811416624</v>
      </c>
      <c r="G39" s="153">
        <f t="shared" ca="1" si="4"/>
        <v>0.93521365811416668</v>
      </c>
      <c r="H39" s="198">
        <f t="shared" ca="1" si="5"/>
        <v>0</v>
      </c>
      <c r="I39" s="198"/>
      <c r="J39" s="198"/>
      <c r="K39" s="198"/>
      <c r="L39" s="198"/>
      <c r="M39" s="199"/>
    </row>
    <row r="40" spans="2:13" x14ac:dyDescent="0.25">
      <c r="B40" s="156"/>
      <c r="C40" s="156"/>
      <c r="D40" s="156"/>
      <c r="E40" s="193">
        <f ca="1"/>
        <v>0.92126100653727727</v>
      </c>
      <c r="F40" s="153">
        <f ca="1"/>
        <v>0.9085638131321957</v>
      </c>
      <c r="G40" s="153">
        <f t="shared" ca="1" si="4"/>
        <v>0.90856381313219603</v>
      </c>
      <c r="H40" s="198">
        <f t="shared" ca="1" si="5"/>
        <v>0</v>
      </c>
      <c r="I40" s="198"/>
      <c r="J40" s="198"/>
      <c r="K40" s="198"/>
      <c r="L40" s="198"/>
      <c r="M40" s="199"/>
    </row>
    <row r="41" spans="2:13" x14ac:dyDescent="0.25">
      <c r="B41" s="156"/>
      <c r="C41" s="156"/>
      <c r="D41" s="156"/>
      <c r="E41" s="193">
        <f ca="1"/>
        <v>0.89908817778984584</v>
      </c>
      <c r="F41" s="153">
        <f ca="1"/>
        <v>0.88311036913938057</v>
      </c>
      <c r="G41" s="153">
        <f t="shared" ca="1" si="4"/>
        <v>0.88311036913938068</v>
      </c>
      <c r="H41" s="198">
        <f t="shared" ca="1" si="5"/>
        <v>0</v>
      </c>
      <c r="I41" s="198"/>
      <c r="J41" s="198"/>
      <c r="K41" s="198"/>
      <c r="L41" s="198"/>
      <c r="M41" s="199"/>
    </row>
    <row r="42" spans="2:13" x14ac:dyDescent="0.25">
      <c r="B42" s="156"/>
      <c r="C42" s="156"/>
      <c r="D42" s="156"/>
      <c r="E42" s="193">
        <f ca="1"/>
        <v>0.85588535885305805</v>
      </c>
      <c r="F42" s="153">
        <f ca="1"/>
        <v>0.82993693460851015</v>
      </c>
      <c r="G42" s="153">
        <f t="shared" ca="1" si="4"/>
        <v>0.82993693460851037</v>
      </c>
      <c r="H42" s="198">
        <f t="shared" ca="1" si="5"/>
        <v>0</v>
      </c>
      <c r="I42" s="198"/>
      <c r="J42" s="198"/>
      <c r="K42" s="198"/>
      <c r="L42" s="198"/>
      <c r="M42" s="199"/>
    </row>
    <row r="43" spans="2:13" x14ac:dyDescent="0.25">
      <c r="B43" s="156"/>
      <c r="C43" s="156"/>
      <c r="D43" s="156"/>
      <c r="E43" s="194">
        <f ca="1"/>
        <v>0.79459205276319589</v>
      </c>
      <c r="F43" s="154">
        <f ca="1"/>
        <v>0.75435371440363808</v>
      </c>
      <c r="G43" s="154">
        <f t="shared" ca="1" si="4"/>
        <v>0.75435371440363774</v>
      </c>
      <c r="H43" s="200">
        <f t="shared" ca="1" si="5"/>
        <v>0</v>
      </c>
      <c r="I43" s="200"/>
      <c r="J43" s="200"/>
      <c r="K43" s="200"/>
      <c r="L43" s="200"/>
      <c r="M43" s="20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"/>
  <sheetViews>
    <sheetView workbookViewId="0"/>
  </sheetViews>
  <sheetFormatPr defaultRowHeight="15" x14ac:dyDescent="0.25"/>
  <cols>
    <col min="2" max="2" width="18.42578125" customWidth="1"/>
    <col min="3" max="4" width="20.7109375" customWidth="1"/>
    <col min="5" max="6" width="15.7109375" customWidth="1"/>
    <col min="8" max="9" width="15.7109375" customWidth="1"/>
    <col min="11" max="11" width="15.7109375" customWidth="1"/>
    <col min="12" max="12" width="19.5703125" bestFit="1" customWidth="1"/>
    <col min="13" max="13" width="15.28515625" bestFit="1" customWidth="1"/>
    <col min="14" max="14" width="12" bestFit="1" customWidth="1"/>
  </cols>
  <sheetData>
    <row r="2" spans="2:15" x14ac:dyDescent="0.25">
      <c r="B2" s="247" t="s">
        <v>223</v>
      </c>
      <c r="C2" s="247" t="s">
        <v>224</v>
      </c>
      <c r="L2" s="243" t="s">
        <v>220</v>
      </c>
    </row>
    <row r="3" spans="2:15" x14ac:dyDescent="0.25">
      <c r="B3" s="258">
        <f ca="1">COB</f>
        <v>43627</v>
      </c>
      <c r="C3" s="258">
        <f ca="1">_xll.meDateFromTenor($B$3,$D$3,"MOD_FOLLOWING","NYB")</f>
        <v>43629</v>
      </c>
      <c r="D3" s="248" t="s">
        <v>181</v>
      </c>
      <c r="L3" s="257" t="s">
        <v>221</v>
      </c>
    </row>
    <row r="6" spans="2:15" x14ac:dyDescent="0.25">
      <c r="M6" s="247" t="s">
        <v>222</v>
      </c>
    </row>
    <row r="7" spans="2:15" x14ac:dyDescent="0.25">
      <c r="B7" s="245" t="s">
        <v>208</v>
      </c>
      <c r="C7" s="244" t="s">
        <v>209</v>
      </c>
      <c r="D7" s="244" t="s">
        <v>210</v>
      </c>
      <c r="E7" s="244" t="s">
        <v>211</v>
      </c>
      <c r="F7" s="244" t="s">
        <v>147</v>
      </c>
      <c r="G7" s="244" t="s">
        <v>212</v>
      </c>
      <c r="H7" s="244" t="s">
        <v>213</v>
      </c>
      <c r="I7" s="244" t="s">
        <v>214</v>
      </c>
      <c r="J7" s="244" t="s">
        <v>215</v>
      </c>
      <c r="K7" s="244" t="s">
        <v>120</v>
      </c>
      <c r="L7" s="244" t="s">
        <v>216</v>
      </c>
      <c r="M7" s="244" t="s">
        <v>217</v>
      </c>
      <c r="N7" s="244" t="s">
        <v>218</v>
      </c>
      <c r="O7" s="246" t="s">
        <v>219</v>
      </c>
    </row>
    <row r="8" spans="2:15" x14ac:dyDescent="0.25">
      <c r="B8" s="249" t="s">
        <v>206</v>
      </c>
      <c r="C8" s="250" t="s">
        <v>207</v>
      </c>
      <c r="D8" s="250" t="s">
        <v>207</v>
      </c>
      <c r="E8" s="251">
        <v>42460</v>
      </c>
      <c r="F8" s="251">
        <v>42460</v>
      </c>
      <c r="G8" s="250" t="str">
        <f ca="1">IF(DAY(K8+1)=1, "EOM","")</f>
        <v>EOM</v>
      </c>
      <c r="H8" s="251">
        <v>42643</v>
      </c>
      <c r="I8" s="251">
        <v>44834</v>
      </c>
      <c r="J8" s="252">
        <v>1.4999999999999999E-2</v>
      </c>
      <c r="K8" s="251">
        <v>45016</v>
      </c>
      <c r="L8" s="253" t="str">
        <f ca="1">_xll.meLWOBondCreateFromGeneratorLVB(C8,$L$3,_xll.meUtilityLVBFromKeysValues($C$7:$K$7,C8:K8))</f>
        <v>US912828Q293@3:4</v>
      </c>
      <c r="M8" s="254">
        <v>1.9086727999999999</v>
      </c>
      <c r="N8" s="255">
        <f ca="1">_xll.meLWOBondCleanPrice($L8,$C$3,$M8%)</f>
        <v>98.508842717698684</v>
      </c>
      <c r="O8" s="256">
        <f ca="1">_xll.meLWOBondDirtyPrice($L8,$C$3,$M8%)</f>
        <v>98.81212140622327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2"/>
  <sheetViews>
    <sheetView showGridLines="0" workbookViewId="0"/>
  </sheetViews>
  <sheetFormatPr defaultRowHeight="15" x14ac:dyDescent="0.25"/>
  <cols>
    <col min="2" max="2" width="34.140625" bestFit="1" customWidth="1"/>
    <col min="3" max="4" width="20.7109375" customWidth="1"/>
  </cols>
  <sheetData>
    <row r="2" spans="2:4" x14ac:dyDescent="0.25">
      <c r="B2" t="s">
        <v>107</v>
      </c>
      <c r="C2" t="s">
        <v>109</v>
      </c>
    </row>
    <row r="3" spans="2:4" x14ac:dyDescent="0.25">
      <c r="B3" t="s">
        <v>108</v>
      </c>
      <c r="C3" s="100" t="str">
        <f ca="1">_xll.meLWOSwapGeneratorCreate(C2,$B$6:$D$32)</f>
        <v>USD_TRS_3ML@2:3</v>
      </c>
    </row>
    <row r="6" spans="2:4" x14ac:dyDescent="0.25">
      <c r="B6" s="101" t="s">
        <v>67</v>
      </c>
      <c r="C6" s="104" t="s">
        <v>68</v>
      </c>
      <c r="D6" s="105" t="s">
        <v>69</v>
      </c>
    </row>
    <row r="7" spans="2:4" x14ac:dyDescent="0.25">
      <c r="B7" s="102" t="s">
        <v>70</v>
      </c>
      <c r="C7" s="106" t="s">
        <v>71</v>
      </c>
      <c r="D7" s="107" t="s">
        <v>71</v>
      </c>
    </row>
    <row r="8" spans="2:4" x14ac:dyDescent="0.25">
      <c r="B8" s="102" t="s">
        <v>72</v>
      </c>
      <c r="C8" s="108" t="s">
        <v>73</v>
      </c>
      <c r="D8" s="109" t="s">
        <v>74</v>
      </c>
    </row>
    <row r="9" spans="2:4" x14ac:dyDescent="0.25">
      <c r="B9" s="102" t="s">
        <v>75</v>
      </c>
      <c r="C9" s="108" t="s">
        <v>76</v>
      </c>
      <c r="D9" s="109" t="s">
        <v>76</v>
      </c>
    </row>
    <row r="10" spans="2:4" x14ac:dyDescent="0.25">
      <c r="B10" s="102" t="s">
        <v>77</v>
      </c>
      <c r="C10" s="108" t="s">
        <v>76</v>
      </c>
      <c r="D10" s="109" t="s">
        <v>76</v>
      </c>
    </row>
    <row r="11" spans="2:4" x14ac:dyDescent="0.25">
      <c r="B11" s="102" t="s">
        <v>78</v>
      </c>
      <c r="C11" s="108" t="s">
        <v>79</v>
      </c>
      <c r="D11" s="109" t="s">
        <v>79</v>
      </c>
    </row>
    <row r="12" spans="2:4" x14ac:dyDescent="0.25">
      <c r="B12" s="102" t="s">
        <v>80</v>
      </c>
      <c r="C12" s="108" t="s">
        <v>12</v>
      </c>
      <c r="D12" s="109" t="s">
        <v>12</v>
      </c>
    </row>
    <row r="13" spans="2:4" x14ac:dyDescent="0.25">
      <c r="B13" s="102" t="s">
        <v>81</v>
      </c>
      <c r="C13" s="108" t="s">
        <v>12</v>
      </c>
      <c r="D13" s="109" t="s">
        <v>12</v>
      </c>
    </row>
    <row r="14" spans="2:4" x14ac:dyDescent="0.25">
      <c r="B14" s="102" t="s">
        <v>82</v>
      </c>
      <c r="C14" s="108" t="s">
        <v>227</v>
      </c>
      <c r="D14" s="109" t="s">
        <v>83</v>
      </c>
    </row>
    <row r="15" spans="2:4" x14ac:dyDescent="0.25">
      <c r="B15" s="102" t="s">
        <v>84</v>
      </c>
      <c r="C15" s="108" t="s">
        <v>85</v>
      </c>
      <c r="D15" s="109" t="s">
        <v>85</v>
      </c>
    </row>
    <row r="16" spans="2:4" x14ac:dyDescent="0.25">
      <c r="B16" s="102" t="s">
        <v>86</v>
      </c>
      <c r="C16" s="108" t="s">
        <v>87</v>
      </c>
      <c r="D16" s="109" t="s">
        <v>87</v>
      </c>
    </row>
    <row r="17" spans="2:4" x14ac:dyDescent="0.25">
      <c r="B17" s="102" t="s">
        <v>88</v>
      </c>
      <c r="C17" s="108" t="s">
        <v>89</v>
      </c>
      <c r="D17" s="109" t="s">
        <v>89</v>
      </c>
    </row>
    <row r="18" spans="2:4" x14ac:dyDescent="0.25">
      <c r="B18" s="102" t="s">
        <v>90</v>
      </c>
      <c r="C18" s="108" t="s">
        <v>227</v>
      </c>
      <c r="D18" s="109" t="s">
        <v>83</v>
      </c>
    </row>
    <row r="19" spans="2:4" x14ac:dyDescent="0.25">
      <c r="B19" s="102" t="s">
        <v>91</v>
      </c>
      <c r="C19" s="108" t="s">
        <v>85</v>
      </c>
      <c r="D19" s="109" t="s">
        <v>85</v>
      </c>
    </row>
    <row r="20" spans="2:4" x14ac:dyDescent="0.25">
      <c r="B20" s="102" t="s">
        <v>92</v>
      </c>
      <c r="C20" s="108" t="s">
        <v>87</v>
      </c>
      <c r="D20" s="109" t="s">
        <v>87</v>
      </c>
    </row>
    <row r="21" spans="2:4" x14ac:dyDescent="0.25">
      <c r="B21" s="102" t="s">
        <v>93</v>
      </c>
      <c r="C21" s="108" t="s">
        <v>94</v>
      </c>
      <c r="D21" s="109" t="s">
        <v>94</v>
      </c>
    </row>
    <row r="22" spans="2:4" x14ac:dyDescent="0.25">
      <c r="B22" s="102" t="s">
        <v>95</v>
      </c>
      <c r="C22" s="108" t="s">
        <v>73</v>
      </c>
      <c r="D22" s="109" t="s">
        <v>73</v>
      </c>
    </row>
    <row r="23" spans="2:4" x14ac:dyDescent="0.25">
      <c r="B23" s="102" t="s">
        <v>96</v>
      </c>
      <c r="C23" s="108" t="s">
        <v>73</v>
      </c>
      <c r="D23" s="109" t="s">
        <v>73</v>
      </c>
    </row>
    <row r="24" spans="2:4" x14ac:dyDescent="0.25">
      <c r="B24" s="102" t="s">
        <v>97</v>
      </c>
      <c r="C24" s="108" t="s">
        <v>98</v>
      </c>
      <c r="D24" s="109" t="s">
        <v>98</v>
      </c>
    </row>
    <row r="25" spans="2:4" x14ac:dyDescent="0.25">
      <c r="B25" s="102" t="s">
        <v>99</v>
      </c>
      <c r="C25" s="108" t="s">
        <v>100</v>
      </c>
      <c r="D25" s="109" t="s">
        <v>100</v>
      </c>
    </row>
    <row r="26" spans="2:4" x14ac:dyDescent="0.25">
      <c r="B26" s="102" t="s">
        <v>101</v>
      </c>
      <c r="C26" s="108" t="s">
        <v>85</v>
      </c>
      <c r="D26" s="109" t="s">
        <v>73</v>
      </c>
    </row>
    <row r="27" spans="2:4" x14ac:dyDescent="0.25">
      <c r="B27" s="102" t="s">
        <v>102</v>
      </c>
      <c r="C27" s="108" t="s">
        <v>87</v>
      </c>
      <c r="D27" s="109" t="s">
        <v>73</v>
      </c>
    </row>
    <row r="28" spans="2:4" x14ac:dyDescent="0.25">
      <c r="B28" s="102" t="s">
        <v>103</v>
      </c>
      <c r="C28" s="108" t="s">
        <v>181</v>
      </c>
      <c r="D28" s="109" t="s">
        <v>73</v>
      </c>
    </row>
    <row r="29" spans="2:4" x14ac:dyDescent="0.25">
      <c r="B29" s="102" t="s">
        <v>104</v>
      </c>
      <c r="C29" s="108" t="s">
        <v>73</v>
      </c>
      <c r="D29" s="109" t="s">
        <v>73</v>
      </c>
    </row>
    <row r="30" spans="2:4" x14ac:dyDescent="0.25">
      <c r="B30" s="102" t="s">
        <v>105</v>
      </c>
      <c r="C30" s="108" t="s">
        <v>73</v>
      </c>
      <c r="D30" s="109" t="s">
        <v>73</v>
      </c>
    </row>
    <row r="31" spans="2:4" x14ac:dyDescent="0.25">
      <c r="B31" s="102" t="s">
        <v>106</v>
      </c>
      <c r="C31" s="108" t="s">
        <v>73</v>
      </c>
      <c r="D31" s="109" t="s">
        <v>73</v>
      </c>
    </row>
    <row r="32" spans="2:4" x14ac:dyDescent="0.25">
      <c r="B32" s="103" t="s">
        <v>193</v>
      </c>
      <c r="C32" s="241" t="s">
        <v>196</v>
      </c>
      <c r="D32" s="242" t="s">
        <v>196</v>
      </c>
    </row>
  </sheetData>
  <dataValidations count="1">
    <dataValidation type="list" allowBlank="1" showInputMessage="1" showErrorMessage="1" sqref="C32:D32">
      <formula1>"PayOnSurvival,PayAlways"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showGridLines="0" tabSelected="1" workbookViewId="0"/>
  </sheetViews>
  <sheetFormatPr defaultRowHeight="15" x14ac:dyDescent="0.25"/>
  <cols>
    <col min="1" max="1" width="28" customWidth="1"/>
    <col min="2" max="2" width="23" bestFit="1" customWidth="1"/>
    <col min="3" max="3" width="24.28515625" customWidth="1"/>
    <col min="4" max="4" width="9.42578125" customWidth="1"/>
    <col min="5" max="5" width="20.28515625" customWidth="1"/>
    <col min="6" max="7" width="11.5703125" bestFit="1" customWidth="1"/>
    <col min="8" max="9" width="19.5703125" bestFit="1" customWidth="1"/>
    <col min="10" max="10" width="14.85546875" bestFit="1" customWidth="1"/>
    <col min="11" max="12" width="17.28515625" bestFit="1" customWidth="1"/>
    <col min="13" max="13" width="15.42578125" customWidth="1"/>
    <col min="14" max="14" width="18" bestFit="1" customWidth="1"/>
    <col min="15" max="15" width="25.5703125" bestFit="1" customWidth="1"/>
    <col min="16" max="16" width="18.42578125" customWidth="1"/>
    <col min="17" max="17" width="23.85546875" bestFit="1" customWidth="1"/>
    <col min="18" max="18" width="12.42578125" bestFit="1" customWidth="1"/>
    <col min="19" max="19" width="19.5703125" customWidth="1"/>
    <col min="20" max="20" width="15.85546875" customWidth="1"/>
    <col min="21" max="21" width="9.85546875" bestFit="1" customWidth="1"/>
  </cols>
  <sheetData>
    <row r="1" spans="1:22" x14ac:dyDescent="0.25">
      <c r="C1" s="216"/>
    </row>
    <row r="2" spans="1:22" x14ac:dyDescent="0.25">
      <c r="B2" s="1" t="s">
        <v>110</v>
      </c>
      <c r="E2" t="str">
        <f ca="1">E3</f>
        <v>LEG1:PREMIUM Leg Schedule &amp; Cashflows</v>
      </c>
    </row>
    <row r="3" spans="1:22" x14ac:dyDescent="0.25">
      <c r="B3" s="110" t="s">
        <v>111</v>
      </c>
      <c r="C3" s="111" t="s">
        <v>112</v>
      </c>
      <c r="E3" s="127" t="str">
        <f t="array" aca="1" ref="E3:V46" ca="1">_xll.meUtilityResize(IF(ISNUMBER(C24),_xll.meLWOSwapDisplayCashflows($C$4,C21),"#WAIT"),100,30)</f>
        <v>LEG1:PREMIUM Leg Schedule &amp; Cashflows</v>
      </c>
      <c r="F3" s="128" t="str">
        <f ca="1"/>
        <v/>
      </c>
      <c r="G3" s="128" t="str">
        <f ca="1"/>
        <v/>
      </c>
      <c r="H3" s="128" t="str">
        <f ca="1"/>
        <v/>
      </c>
      <c r="I3" s="128" t="str">
        <f ca="1"/>
        <v/>
      </c>
      <c r="J3" s="128" t="str">
        <f ca="1"/>
        <v/>
      </c>
      <c r="K3" s="128" t="str">
        <f ca="1"/>
        <v/>
      </c>
      <c r="L3" s="128" t="str">
        <f ca="1"/>
        <v/>
      </c>
      <c r="M3" s="128" t="str">
        <f ca="1"/>
        <v/>
      </c>
      <c r="N3" s="128" t="str">
        <f ca="1"/>
        <v/>
      </c>
      <c r="O3" s="128" t="str">
        <f ca="1"/>
        <v/>
      </c>
      <c r="P3" s="128" t="str">
        <f ca="1"/>
        <v/>
      </c>
      <c r="Q3" s="128" t="str">
        <f ca="1"/>
        <v/>
      </c>
      <c r="R3" s="128" t="str">
        <f ca="1"/>
        <v/>
      </c>
      <c r="S3" s="128" t="str">
        <f ca="1"/>
        <v/>
      </c>
      <c r="T3" s="128" t="str">
        <f ca="1"/>
        <v/>
      </c>
      <c r="U3" s="128" t="str">
        <f ca="1"/>
        <v/>
      </c>
      <c r="V3" s="129" t="str">
        <f ca="1"/>
        <v/>
      </c>
    </row>
    <row r="4" spans="1:22" x14ac:dyDescent="0.25">
      <c r="B4" s="112" t="s">
        <v>113</v>
      </c>
      <c r="C4" s="113" t="str">
        <f ca="1">_xll.meLWOSwapCreateFromGeneratorLVB(C3,C19,B7:C15)</f>
        <v>TRS_0.15_FEB2028@4:7</v>
      </c>
      <c r="E4" s="130" t="str">
        <f ca="1"/>
        <v>AccrualStart</v>
      </c>
      <c r="F4" s="131" t="str">
        <f ca="1"/>
        <v>AccrualEnd</v>
      </c>
      <c r="G4" s="131" t="str">
        <f ca="1"/>
        <v>AccrualDays</v>
      </c>
      <c r="H4" s="131" t="str">
        <f ca="1"/>
        <v>AccrualYearFractions</v>
      </c>
      <c r="I4" s="131" t="str">
        <f ca="1"/>
        <v>PaymentDate</v>
      </c>
      <c r="J4" s="131" t="str">
        <f ca="1"/>
        <v>Notional</v>
      </c>
      <c r="K4" s="131" t="str">
        <f ca="1"/>
        <v>NotionalExchange</v>
      </c>
      <c r="L4" s="131" t="str">
        <f ca="1"/>
        <v>Leverage</v>
      </c>
      <c r="M4" s="131" t="str">
        <f ca="1"/>
        <v>CDSSpread</v>
      </c>
      <c r="N4" s="131" t="str">
        <f ca="1"/>
        <v>SurvivalProbability</v>
      </c>
      <c r="O4" s="131" t="str">
        <f ca="1"/>
        <v>MarginalDefaultProbability</v>
      </c>
      <c r="P4" s="131" t="str">
        <f ca="1"/>
        <v>PremiumCoupon</v>
      </c>
      <c r="Q4" s="131" t="str">
        <f ca="1"/>
        <v>AccrualOnDefaultCoupon</v>
      </c>
      <c r="R4" s="131" t="str">
        <f ca="1"/>
        <v>RiskyCoupon</v>
      </c>
      <c r="S4" s="131" t="str">
        <f ca="1"/>
        <v>DiscountFactor</v>
      </c>
      <c r="T4" s="131" t="str">
        <f ca="1"/>
        <v>CouponPV</v>
      </c>
      <c r="U4" s="131" t="str">
        <f ca="1"/>
        <v/>
      </c>
      <c r="V4" s="132" t="str">
        <f ca="1"/>
        <v/>
      </c>
    </row>
    <row r="5" spans="1:22" x14ac:dyDescent="0.25">
      <c r="E5" s="135">
        <f ca="1"/>
        <v>43631</v>
      </c>
      <c r="F5" s="136">
        <f ca="1"/>
        <v>43815</v>
      </c>
      <c r="G5" s="131">
        <f ca="1"/>
        <v>184</v>
      </c>
      <c r="H5" s="144">
        <f ca="1"/>
        <v>0.51111111111111096</v>
      </c>
      <c r="I5" s="136">
        <f ca="1"/>
        <v>43815</v>
      </c>
      <c r="J5" s="146">
        <f ca="1"/>
        <v>10000000</v>
      </c>
      <c r="K5" s="146">
        <f ca="1"/>
        <v>0</v>
      </c>
      <c r="L5" s="140">
        <f ca="1"/>
        <v>1</v>
      </c>
      <c r="M5" s="150">
        <f ca="1"/>
        <v>1.4999999999999999E-2</v>
      </c>
      <c r="N5" s="144">
        <f ca="1"/>
        <v>0.99839544246219403</v>
      </c>
      <c r="O5" s="144">
        <f ca="1"/>
        <v>1.5632991296984399E-3</v>
      </c>
      <c r="P5" s="146">
        <f ca="1"/>
        <v>76543.6505887682</v>
      </c>
      <c r="Q5" s="146">
        <f ca="1"/>
        <v>59.926466638440097</v>
      </c>
      <c r="R5" s="146">
        <f ca="1"/>
        <v>76609.903861977305</v>
      </c>
      <c r="S5" s="144">
        <f ca="1"/>
        <v>0.99049835414429999</v>
      </c>
      <c r="T5" s="146">
        <f ca="1"/>
        <v>75881.983686441497</v>
      </c>
      <c r="U5" s="131" t="str">
        <f ca="1"/>
        <v/>
      </c>
      <c r="V5" s="132" t="str">
        <f ca="1"/>
        <v/>
      </c>
    </row>
    <row r="6" spans="1:22" x14ac:dyDescent="0.25">
      <c r="B6" s="1" t="s">
        <v>114</v>
      </c>
      <c r="E6" s="135">
        <f ca="1"/>
        <v>43815</v>
      </c>
      <c r="F6" s="136">
        <f ca="1"/>
        <v>43997</v>
      </c>
      <c r="G6" s="131">
        <f ca="1"/>
        <v>182</v>
      </c>
      <c r="H6" s="144">
        <f ca="1"/>
        <v>0.50555555555555598</v>
      </c>
      <c r="I6" s="136">
        <f ca="1"/>
        <v>43997</v>
      </c>
      <c r="J6" s="146">
        <f ca="1"/>
        <v>10000000</v>
      </c>
      <c r="K6" s="146">
        <f ca="1"/>
        <v>0</v>
      </c>
      <c r="L6" s="140">
        <f ca="1"/>
        <v>1</v>
      </c>
      <c r="M6" s="150">
        <f ca="1"/>
        <v>1.4999999999999999E-2</v>
      </c>
      <c r="N6" s="144">
        <f ca="1"/>
        <v>0.99657217349902305</v>
      </c>
      <c r="O6" s="144">
        <f ca="1"/>
        <v>1.82326896317109E-3</v>
      </c>
      <c r="P6" s="146">
        <f ca="1"/>
        <v>75573.389823675898</v>
      </c>
      <c r="Q6" s="146">
        <f ca="1"/>
        <v>69.1322815202371</v>
      </c>
      <c r="R6" s="146">
        <f ca="1"/>
        <v>75649.901032131602</v>
      </c>
      <c r="S6" s="144">
        <f ca="1"/>
        <v>0.979785623731255</v>
      </c>
      <c r="T6" s="146">
        <f ca="1"/>
        <v>74120.685467974705</v>
      </c>
      <c r="U6" s="131" t="str">
        <f ca="1"/>
        <v/>
      </c>
      <c r="V6" s="132" t="str">
        <f ca="1"/>
        <v/>
      </c>
    </row>
    <row r="7" spans="1:22" x14ac:dyDescent="0.25">
      <c r="A7" s="233" t="s">
        <v>116</v>
      </c>
      <c r="B7" s="101" t="s">
        <v>198</v>
      </c>
      <c r="C7" s="114" t="s">
        <v>117</v>
      </c>
      <c r="E7" s="135">
        <f ca="1"/>
        <v>43997</v>
      </c>
      <c r="F7" s="136">
        <f ca="1"/>
        <v>44180</v>
      </c>
      <c r="G7" s="131">
        <f ca="1"/>
        <v>183</v>
      </c>
      <c r="H7" s="144">
        <f ca="1"/>
        <v>0.50833333333333297</v>
      </c>
      <c r="I7" s="136">
        <f ca="1"/>
        <v>44180</v>
      </c>
      <c r="J7" s="146">
        <f ca="1"/>
        <v>10000000</v>
      </c>
      <c r="K7" s="146">
        <f ca="1"/>
        <v>0</v>
      </c>
      <c r="L7" s="140">
        <f ca="1"/>
        <v>1</v>
      </c>
      <c r="M7" s="150">
        <f ca="1"/>
        <v>1.4999999999999999E-2</v>
      </c>
      <c r="N7" s="144">
        <f ca="1"/>
        <v>0.99473573680189997</v>
      </c>
      <c r="O7" s="144">
        <f ca="1"/>
        <v>1.83643669712275E-3</v>
      </c>
      <c r="P7" s="146">
        <f ca="1"/>
        <v>75848.599931144898</v>
      </c>
      <c r="Q7" s="146">
        <f ca="1"/>
        <v>70.014149077804703</v>
      </c>
      <c r="R7" s="146">
        <f ca="1"/>
        <v>75926.046298114496</v>
      </c>
      <c r="S7" s="144">
        <f ca="1"/>
        <v>0.96805725583230195</v>
      </c>
      <c r="T7" s="146">
        <f ca="1"/>
        <v>73500.760025548996</v>
      </c>
      <c r="U7" s="131" t="str">
        <f ca="1"/>
        <v/>
      </c>
      <c r="V7" s="132" t="str">
        <f ca="1"/>
        <v/>
      </c>
    </row>
    <row r="8" spans="1:22" x14ac:dyDescent="0.25">
      <c r="A8" s="233" t="s">
        <v>118</v>
      </c>
      <c r="B8" s="115" t="s">
        <v>118</v>
      </c>
      <c r="C8" s="116">
        <v>10000000</v>
      </c>
      <c r="E8" s="135">
        <f ca="1"/>
        <v>44180</v>
      </c>
      <c r="F8" s="136">
        <f ca="1"/>
        <v>44362</v>
      </c>
      <c r="G8" s="131">
        <f ca="1"/>
        <v>182</v>
      </c>
      <c r="H8" s="144">
        <f ca="1"/>
        <v>0.50555555555555598</v>
      </c>
      <c r="I8" s="136">
        <f ca="1"/>
        <v>44362</v>
      </c>
      <c r="J8" s="146">
        <f ca="1"/>
        <v>10000000</v>
      </c>
      <c r="K8" s="146">
        <f ca="1"/>
        <v>0</v>
      </c>
      <c r="L8" s="140">
        <f ca="1"/>
        <v>1</v>
      </c>
      <c r="M8" s="150">
        <f ca="1"/>
        <v>1.4999999999999999E-2</v>
      </c>
      <c r="N8" s="144">
        <f ca="1"/>
        <v>0.99272710138432796</v>
      </c>
      <c r="O8" s="144">
        <f ca="1"/>
        <v>2.00863541757179E-3</v>
      </c>
      <c r="P8" s="146">
        <f ca="1"/>
        <v>75281.805188311599</v>
      </c>
      <c r="Q8" s="146">
        <f ca="1"/>
        <v>76.160759582930396</v>
      </c>
      <c r="R8" s="146">
        <f ca="1"/>
        <v>75366.091557399894</v>
      </c>
      <c r="S8" s="144">
        <f ca="1"/>
        <v>0.95619322329671796</v>
      </c>
      <c r="T8" s="146">
        <f ca="1"/>
        <v>72064.546013545798</v>
      </c>
      <c r="U8" s="131" t="str">
        <f ca="1"/>
        <v/>
      </c>
      <c r="V8" s="132" t="str">
        <f ca="1"/>
        <v/>
      </c>
    </row>
    <row r="9" spans="1:22" x14ac:dyDescent="0.25">
      <c r="A9" s="233" t="s">
        <v>119</v>
      </c>
      <c r="B9" s="115" t="s">
        <v>119</v>
      </c>
      <c r="C9" s="117">
        <f ca="1">TODAY()+4</f>
        <v>43631</v>
      </c>
      <c r="E9" s="137" t="str">
        <f ca="1"/>
        <v>LEG2:FLOAT Leg Schedule &amp; Cashflows</v>
      </c>
      <c r="F9" s="136" t="str">
        <f ca="1"/>
        <v/>
      </c>
      <c r="G9" s="131" t="str">
        <f ca="1"/>
        <v/>
      </c>
      <c r="H9" s="144" t="str">
        <f ca="1"/>
        <v/>
      </c>
      <c r="I9" s="136" t="str">
        <f ca="1"/>
        <v/>
      </c>
      <c r="J9" s="146" t="str">
        <f ca="1"/>
        <v/>
      </c>
      <c r="K9" s="146" t="str">
        <f ca="1"/>
        <v/>
      </c>
      <c r="L9" s="140" t="str">
        <f ca="1"/>
        <v/>
      </c>
      <c r="M9" s="150" t="str">
        <f ca="1"/>
        <v/>
      </c>
      <c r="N9" s="146" t="str">
        <f ca="1"/>
        <v/>
      </c>
      <c r="O9" s="150" t="str">
        <f ca="1"/>
        <v/>
      </c>
      <c r="P9" s="151" t="str">
        <f ca="1"/>
        <v/>
      </c>
      <c r="Q9" s="146" t="str">
        <f ca="1"/>
        <v/>
      </c>
      <c r="R9" s="146" t="str">
        <f ca="1"/>
        <v/>
      </c>
      <c r="S9" s="151" t="str">
        <f ca="1"/>
        <v/>
      </c>
      <c r="T9" s="146" t="str">
        <f ca="1"/>
        <v/>
      </c>
      <c r="U9" s="131" t="str">
        <f ca="1"/>
        <v/>
      </c>
      <c r="V9" s="132" t="str">
        <f ca="1"/>
        <v/>
      </c>
    </row>
    <row r="10" spans="1:22" x14ac:dyDescent="0.25">
      <c r="A10" s="233" t="s">
        <v>120</v>
      </c>
      <c r="B10" s="115" t="s">
        <v>120</v>
      </c>
      <c r="C10" s="117">
        <f ca="1">_xll.meDateFromTenor(C9,"2Y")</f>
        <v>44362</v>
      </c>
      <c r="E10" s="135" t="str">
        <f ca="1"/>
        <v>FixingDate</v>
      </c>
      <c r="F10" s="136" t="str">
        <f ca="1"/>
        <v>AccrualStart</v>
      </c>
      <c r="G10" s="131" t="str">
        <f ca="1"/>
        <v>AccrualEnd</v>
      </c>
      <c r="H10" s="144" t="str">
        <f ca="1"/>
        <v>AccrualDays</v>
      </c>
      <c r="I10" s="136" t="str">
        <f ca="1"/>
        <v>AccrualYearFractions</v>
      </c>
      <c r="J10" s="146" t="str">
        <f ca="1"/>
        <v>PaymentDate</v>
      </c>
      <c r="K10" s="146" t="str">
        <f ca="1"/>
        <v>Notional</v>
      </c>
      <c r="L10" s="140" t="str">
        <f ca="1"/>
        <v>NotionalExchange</v>
      </c>
      <c r="M10" s="150" t="str">
        <f ca="1"/>
        <v>Leverage</v>
      </c>
      <c r="N10" s="146" t="str">
        <f ca="1"/>
        <v>FloatSpread</v>
      </c>
      <c r="O10" s="150" t="str">
        <f ca="1"/>
        <v>FloatRate</v>
      </c>
      <c r="P10" s="151" t="str">
        <f ca="1"/>
        <v>SurvivalProbability</v>
      </c>
      <c r="Q10" s="146" t="str">
        <f ca="1"/>
        <v>MarginalDefaultProbability</v>
      </c>
      <c r="R10" s="146" t="str">
        <f ca="1"/>
        <v>Coupon</v>
      </c>
      <c r="S10" s="151" t="str">
        <f ca="1"/>
        <v>RiskyCoupon</v>
      </c>
      <c r="T10" s="146" t="str">
        <f ca="1"/>
        <v>DiscountFactor</v>
      </c>
      <c r="U10" s="131" t="str">
        <f ca="1"/>
        <v>CouponPV</v>
      </c>
      <c r="V10" s="132" t="str">
        <f ca="1"/>
        <v/>
      </c>
    </row>
    <row r="11" spans="1:22" x14ac:dyDescent="0.25">
      <c r="A11" s="233"/>
      <c r="B11" s="115" t="s">
        <v>200</v>
      </c>
      <c r="C11" s="117" t="str">
        <f ca="1">BOND!L8</f>
        <v>US912828Q293@3:4</v>
      </c>
      <c r="E11" s="135">
        <f ca="1"/>
        <v>43633</v>
      </c>
      <c r="F11" s="136">
        <f ca="1"/>
        <v>43631</v>
      </c>
      <c r="G11" s="136">
        <f ca="1"/>
        <v>43724</v>
      </c>
      <c r="H11" s="146">
        <f ca="1"/>
        <v>93</v>
      </c>
      <c r="I11" s="144">
        <f ca="1"/>
        <v>0.25833333333333303</v>
      </c>
      <c r="J11" s="136">
        <f ca="1"/>
        <v>43724</v>
      </c>
      <c r="K11" s="146">
        <f ca="1"/>
        <v>-10000000</v>
      </c>
      <c r="L11" s="146">
        <f ca="1"/>
        <v>0</v>
      </c>
      <c r="M11" s="140">
        <f ca="1"/>
        <v>1</v>
      </c>
      <c r="N11" s="140">
        <f ca="1"/>
        <v>0</v>
      </c>
      <c r="O11" s="259">
        <f ca="1"/>
        <v>2.0945771481344699E-2</v>
      </c>
      <c r="P11" s="144">
        <f ca="1"/>
        <v>0.99918043518939403</v>
      </c>
      <c r="Q11" s="144">
        <f ca="1"/>
        <v>8.19564810605522E-4</v>
      </c>
      <c r="R11" s="146">
        <f ca="1"/>
        <v>-54065.563082278102</v>
      </c>
      <c r="S11" s="146">
        <f ca="1"/>
        <v>-54065.563082278102</v>
      </c>
      <c r="T11" s="151">
        <f ca="1"/>
        <v>0.99530423048135797</v>
      </c>
      <c r="U11" s="146">
        <f ca="1"/>
        <v>-53811.683659148097</v>
      </c>
      <c r="V11" s="261" t="str">
        <f ca="1"/>
        <v/>
      </c>
    </row>
    <row r="12" spans="1:22" x14ac:dyDescent="0.25">
      <c r="A12" s="233" t="s">
        <v>228</v>
      </c>
      <c r="B12" s="115" t="s">
        <v>201</v>
      </c>
      <c r="C12" s="235"/>
      <c r="E12" s="135">
        <f ca="1"/>
        <v>43724</v>
      </c>
      <c r="F12" s="136">
        <f ca="1"/>
        <v>43724</v>
      </c>
      <c r="G12" s="136">
        <f ca="1"/>
        <v>43815</v>
      </c>
      <c r="H12" s="146">
        <f ca="1"/>
        <v>91</v>
      </c>
      <c r="I12" s="144">
        <f ca="1"/>
        <v>0.25277777777777799</v>
      </c>
      <c r="J12" s="136">
        <f ca="1"/>
        <v>43815</v>
      </c>
      <c r="K12" s="146">
        <f ca="1"/>
        <v>-10000000</v>
      </c>
      <c r="L12" s="146">
        <f ca="1"/>
        <v>0</v>
      </c>
      <c r="M12" s="140">
        <f ca="1"/>
        <v>1</v>
      </c>
      <c r="N12" s="140">
        <f ca="1"/>
        <v>0</v>
      </c>
      <c r="O12" s="259">
        <f ca="1"/>
        <v>1.7748369103161101E-2</v>
      </c>
      <c r="P12" s="144">
        <f ca="1"/>
        <v>0.99841217576969399</v>
      </c>
      <c r="Q12" s="144">
        <f ca="1"/>
        <v>7.6825941970060097E-4</v>
      </c>
      <c r="R12" s="146">
        <f ca="1"/>
        <v>-44792.696970866898</v>
      </c>
      <c r="S12" s="146">
        <f ca="1"/>
        <v>-44792.696970866898</v>
      </c>
      <c r="T12" s="151">
        <f ca="1"/>
        <v>0.99049835414429999</v>
      </c>
      <c r="U12" s="146">
        <f ca="1"/>
        <v>-44367.092627327998</v>
      </c>
      <c r="V12" s="261" t="str">
        <f ca="1"/>
        <v/>
      </c>
    </row>
    <row r="13" spans="1:22" x14ac:dyDescent="0.25">
      <c r="A13" s="233" t="s">
        <v>129</v>
      </c>
      <c r="B13" s="115" t="s">
        <v>199</v>
      </c>
      <c r="C13" s="230">
        <v>0</v>
      </c>
      <c r="E13" s="135">
        <f ca="1"/>
        <v>43815</v>
      </c>
      <c r="F13" s="136">
        <f ca="1"/>
        <v>43815</v>
      </c>
      <c r="G13" s="136">
        <f ca="1"/>
        <v>43906</v>
      </c>
      <c r="H13" s="146">
        <f ca="1"/>
        <v>91</v>
      </c>
      <c r="I13" s="144">
        <f ca="1"/>
        <v>0.25277777777777799</v>
      </c>
      <c r="J13" s="136">
        <f ca="1"/>
        <v>43906</v>
      </c>
      <c r="K13" s="146">
        <f ca="1"/>
        <v>-10000000</v>
      </c>
      <c r="L13" s="146">
        <f ca="1"/>
        <v>0</v>
      </c>
      <c r="M13" s="140">
        <f ca="1"/>
        <v>1</v>
      </c>
      <c r="N13" s="140">
        <f ca="1"/>
        <v>0</v>
      </c>
      <c r="O13" s="259">
        <f ca="1"/>
        <v>1.7577203057921601E-2</v>
      </c>
      <c r="P13" s="144">
        <f ca="1"/>
        <v>0.99749686476423005</v>
      </c>
      <c r="Q13" s="144">
        <f ca="1"/>
        <v>9.1531100546393695E-4</v>
      </c>
      <c r="R13" s="146">
        <f ca="1"/>
        <v>-44320.045824602697</v>
      </c>
      <c r="S13" s="146">
        <f ca="1"/>
        <v>-44320.045824602697</v>
      </c>
      <c r="T13" s="151">
        <f ca="1"/>
        <v>0.98533348423885303</v>
      </c>
      <c r="U13" s="146">
        <f ca="1"/>
        <v>-43670.025173981398</v>
      </c>
      <c r="V13" s="261" t="str">
        <f ca="1"/>
        <v/>
      </c>
    </row>
    <row r="14" spans="1:22" x14ac:dyDescent="0.25">
      <c r="A14" s="233"/>
      <c r="B14" s="115" t="s">
        <v>202</v>
      </c>
      <c r="C14" s="240" t="s">
        <v>203</v>
      </c>
      <c r="E14" s="135">
        <f ca="1"/>
        <v>43906</v>
      </c>
      <c r="F14" s="136">
        <f ca="1"/>
        <v>43906</v>
      </c>
      <c r="G14" s="136">
        <f ca="1"/>
        <v>43997</v>
      </c>
      <c r="H14" s="146">
        <f ca="1"/>
        <v>91</v>
      </c>
      <c r="I14" s="144">
        <f ca="1"/>
        <v>0.25277777777777799</v>
      </c>
      <c r="J14" s="136">
        <f ca="1"/>
        <v>43997</v>
      </c>
      <c r="K14" s="131">
        <f ca="1"/>
        <v>-10000000</v>
      </c>
      <c r="L14" s="146">
        <f ca="1"/>
        <v>0</v>
      </c>
      <c r="M14" s="140">
        <f ca="1"/>
        <v>1</v>
      </c>
      <c r="N14" s="140">
        <f ca="1"/>
        <v>0</v>
      </c>
      <c r="O14" s="259">
        <f ca="1"/>
        <v>1.7379878917466101E-2</v>
      </c>
      <c r="P14" s="144">
        <f ca="1"/>
        <v>0.99658239288538797</v>
      </c>
      <c r="Q14" s="144">
        <f ca="1"/>
        <v>9.1447187884163795E-4</v>
      </c>
      <c r="R14" s="146">
        <f ca="1"/>
        <v>-43782.327780167499</v>
      </c>
      <c r="S14" s="146">
        <f ca="1"/>
        <v>-43782.327780167499</v>
      </c>
      <c r="T14" s="151">
        <f ca="1"/>
        <v>0.979785623731255</v>
      </c>
      <c r="U14" s="146">
        <f ca="1"/>
        <v>-42897.295332497597</v>
      </c>
      <c r="V14" s="261" t="str">
        <f ca="1"/>
        <v/>
      </c>
    </row>
    <row r="15" spans="1:22" x14ac:dyDescent="0.25">
      <c r="A15" s="233" t="s">
        <v>225</v>
      </c>
      <c r="B15" s="112" t="s">
        <v>204</v>
      </c>
      <c r="C15" s="234">
        <f ca="1">BOND!O8</f>
        <v>98.81212140622327</v>
      </c>
      <c r="E15" s="135">
        <f ca="1"/>
        <v>43997</v>
      </c>
      <c r="F15" s="136">
        <f ca="1"/>
        <v>43997</v>
      </c>
      <c r="G15" s="136">
        <f ca="1"/>
        <v>44089</v>
      </c>
      <c r="H15" s="146">
        <f ca="1"/>
        <v>92</v>
      </c>
      <c r="I15" s="144">
        <f ca="1"/>
        <v>0.25555555555555598</v>
      </c>
      <c r="J15" s="136">
        <f ca="1"/>
        <v>44089</v>
      </c>
      <c r="K15" s="146">
        <f ca="1"/>
        <v>-10000000</v>
      </c>
      <c r="L15" s="146">
        <f ca="1"/>
        <v>0</v>
      </c>
      <c r="M15" s="140">
        <f ca="1"/>
        <v>1</v>
      </c>
      <c r="N15" s="140">
        <f ca="1"/>
        <v>0</v>
      </c>
      <c r="O15" s="259">
        <f ca="1"/>
        <v>1.7736303355246699E-2</v>
      </c>
      <c r="P15" s="144">
        <f ca="1"/>
        <v>0.99565872408919398</v>
      </c>
      <c r="Q15" s="144">
        <f ca="1"/>
        <v>9.2366879619454301E-4</v>
      </c>
      <c r="R15" s="146">
        <f ca="1"/>
        <v>-45129.335431234198</v>
      </c>
      <c r="S15" s="146">
        <f ca="1"/>
        <v>-45129.335431234198</v>
      </c>
      <c r="T15" s="151">
        <f ca="1"/>
        <v>0.97394426063062101</v>
      </c>
      <c r="U15" s="146">
        <f ca="1"/>
        <v>-43953.457229324697</v>
      </c>
      <c r="V15" s="261" t="str">
        <f ca="1"/>
        <v/>
      </c>
    </row>
    <row r="16" spans="1:22" x14ac:dyDescent="0.25">
      <c r="E16" s="135">
        <f ca="1"/>
        <v>44089</v>
      </c>
      <c r="F16" s="136">
        <f ca="1"/>
        <v>44089</v>
      </c>
      <c r="G16" s="136">
        <f ca="1"/>
        <v>44180</v>
      </c>
      <c r="H16" s="146">
        <f ca="1"/>
        <v>91</v>
      </c>
      <c r="I16" s="144">
        <f ca="1"/>
        <v>0.25277777777777799</v>
      </c>
      <c r="J16" s="136">
        <f ca="1"/>
        <v>44180</v>
      </c>
      <c r="K16" s="146">
        <f ca="1"/>
        <v>-10000000</v>
      </c>
      <c r="L16" s="146">
        <f ca="1"/>
        <v>0</v>
      </c>
      <c r="M16" s="140">
        <f ca="1"/>
        <v>1</v>
      </c>
      <c r="N16" s="140">
        <f ca="1"/>
        <v>0</v>
      </c>
      <c r="O16" s="259">
        <f ca="1"/>
        <v>1.8278089582236701E-2</v>
      </c>
      <c r="P16" s="144">
        <f ca="1"/>
        <v>0.994745937356457</v>
      </c>
      <c r="Q16" s="144">
        <f ca="1"/>
        <v>9.1278673273642596E-4</v>
      </c>
      <c r="R16" s="146">
        <f ca="1"/>
        <v>-45960.195479600901</v>
      </c>
      <c r="S16" s="146">
        <f ca="1"/>
        <v>-45960.195479600901</v>
      </c>
      <c r="T16" s="151">
        <f ca="1"/>
        <v>0.96805725583230195</v>
      </c>
      <c r="U16" s="146">
        <f ca="1"/>
        <v>-44492.100713498599</v>
      </c>
      <c r="V16" s="261" t="str">
        <f ca="1"/>
        <v/>
      </c>
    </row>
    <row r="17" spans="2:22" x14ac:dyDescent="0.25">
      <c r="C17" s="232"/>
      <c r="E17" s="135">
        <f ca="1"/>
        <v>44180</v>
      </c>
      <c r="F17" s="136">
        <f ca="1"/>
        <v>44180</v>
      </c>
      <c r="G17" s="136">
        <f ca="1"/>
        <v>44270</v>
      </c>
      <c r="H17" s="146">
        <f ca="1"/>
        <v>90</v>
      </c>
      <c r="I17" s="144">
        <f ca="1"/>
        <v>0.25</v>
      </c>
      <c r="J17" s="136">
        <f ca="1"/>
        <v>44270</v>
      </c>
      <c r="K17" s="146">
        <f ca="1"/>
        <v>-10000000</v>
      </c>
      <c r="L17" s="146">
        <f ca="1"/>
        <v>0</v>
      </c>
      <c r="M17" s="140">
        <f ca="1"/>
        <v>1</v>
      </c>
      <c r="N17" s="140">
        <f ca="1"/>
        <v>0</v>
      </c>
      <c r="O17" s="259">
        <f ca="1"/>
        <v>1.8700599917500001E-2</v>
      </c>
      <c r="P17" s="144">
        <f ca="1"/>
        <v>0.99374900682528799</v>
      </c>
      <c r="Q17" s="144">
        <f ca="1"/>
        <v>9.9693053116933794E-4</v>
      </c>
      <c r="R17" s="146">
        <f ca="1"/>
        <v>-46459.256487631799</v>
      </c>
      <c r="S17" s="146">
        <f ca="1"/>
        <v>-46459.256487631799</v>
      </c>
      <c r="T17" s="151">
        <f ca="1"/>
        <v>0.96219129681714999</v>
      </c>
      <c r="U17" s="146">
        <f ca="1"/>
        <v>-44702.692248995103</v>
      </c>
      <c r="V17" s="261" t="str">
        <f ca="1"/>
        <v/>
      </c>
    </row>
    <row r="18" spans="2:22" x14ac:dyDescent="0.25">
      <c r="B18" s="1" t="s">
        <v>122</v>
      </c>
      <c r="E18" s="135">
        <f ca="1"/>
        <v>44270</v>
      </c>
      <c r="F18" s="136">
        <f ca="1"/>
        <v>44270</v>
      </c>
      <c r="G18" s="136">
        <f ca="1"/>
        <v>44362</v>
      </c>
      <c r="H18" s="146">
        <f ca="1"/>
        <v>92</v>
      </c>
      <c r="I18" s="144">
        <f ca="1"/>
        <v>0.25555555555555598</v>
      </c>
      <c r="J18" s="136">
        <f ca="1"/>
        <v>44362</v>
      </c>
      <c r="K18" s="146">
        <f ca="1"/>
        <v>-10000000</v>
      </c>
      <c r="L18" s="146">
        <f ca="1"/>
        <v>0</v>
      </c>
      <c r="M18" s="140">
        <f ca="1"/>
        <v>1</v>
      </c>
      <c r="N18" s="140">
        <f ca="1"/>
        <v>0</v>
      </c>
      <c r="O18" s="259">
        <f ca="1"/>
        <v>1.90055432891332E-2</v>
      </c>
      <c r="P18" s="144">
        <f ca="1"/>
        <v>0.99273095494526298</v>
      </c>
      <c r="Q18" s="144">
        <f ca="1"/>
        <v>1.0180518800248001E-3</v>
      </c>
      <c r="R18" s="146">
        <f ca="1"/>
        <v>-48216.666243279797</v>
      </c>
      <c r="S18" s="146">
        <f ca="1"/>
        <v>-48216.666243279797</v>
      </c>
      <c r="T18" s="151">
        <f ca="1"/>
        <v>0.95619322329671796</v>
      </c>
      <c r="U18" s="146">
        <f ca="1"/>
        <v>-46104.449511783801</v>
      </c>
      <c r="V18" s="261" t="str">
        <f ca="1"/>
        <v/>
      </c>
    </row>
    <row r="19" spans="2:22" x14ac:dyDescent="0.25">
      <c r="B19" s="101" t="s">
        <v>115</v>
      </c>
      <c r="C19" s="237" t="str">
        <f ca="1">USD_TRS_3ML</f>
        <v>USD_TRS_3ML@2:3</v>
      </c>
      <c r="E19" s="135" t="str">
        <f ca="1"/>
        <v/>
      </c>
      <c r="F19" s="136" t="str">
        <f ca="1"/>
        <v/>
      </c>
      <c r="G19" s="136" t="str">
        <f ca="1"/>
        <v/>
      </c>
      <c r="H19" s="146" t="str">
        <f ca="1"/>
        <v/>
      </c>
      <c r="I19" s="144" t="str">
        <f ca="1"/>
        <v/>
      </c>
      <c r="J19" s="136" t="str">
        <f ca="1"/>
        <v/>
      </c>
      <c r="K19" s="146" t="str">
        <f ca="1"/>
        <v/>
      </c>
      <c r="L19" s="146" t="str">
        <f ca="1"/>
        <v/>
      </c>
      <c r="M19" s="140" t="str">
        <f ca="1"/>
        <v/>
      </c>
      <c r="N19" s="140" t="str">
        <f ca="1"/>
        <v/>
      </c>
      <c r="O19" s="259" t="str">
        <f ca="1"/>
        <v/>
      </c>
      <c r="P19" s="144" t="str">
        <f ca="1"/>
        <v/>
      </c>
      <c r="Q19" s="144" t="str">
        <f ca="1"/>
        <v/>
      </c>
      <c r="R19" s="146" t="str">
        <f ca="1"/>
        <v/>
      </c>
      <c r="S19" s="146" t="str">
        <f ca="1"/>
        <v/>
      </c>
      <c r="T19" s="151" t="str">
        <f ca="1"/>
        <v/>
      </c>
      <c r="U19" s="146" t="str">
        <f ca="1"/>
        <v/>
      </c>
      <c r="V19" s="261" t="str">
        <f ca="1"/>
        <v/>
      </c>
    </row>
    <row r="20" spans="2:22" x14ac:dyDescent="0.25">
      <c r="B20" s="102" t="s">
        <v>123</v>
      </c>
      <c r="C20" s="238" t="s">
        <v>47</v>
      </c>
      <c r="E20" s="135" t="str">
        <f ca="1"/>
        <v/>
      </c>
      <c r="F20" s="136" t="str">
        <f ca="1"/>
        <v/>
      </c>
      <c r="G20" s="136" t="str">
        <f ca="1"/>
        <v/>
      </c>
      <c r="H20" s="146" t="str">
        <f ca="1"/>
        <v/>
      </c>
      <c r="I20" s="144" t="str">
        <f ca="1"/>
        <v/>
      </c>
      <c r="J20" s="136" t="str">
        <f ca="1"/>
        <v/>
      </c>
      <c r="K20" s="146" t="str">
        <f ca="1"/>
        <v/>
      </c>
      <c r="L20" s="146" t="str">
        <f ca="1"/>
        <v/>
      </c>
      <c r="M20" s="140" t="str">
        <f ca="1"/>
        <v/>
      </c>
      <c r="N20" s="140" t="str">
        <f ca="1"/>
        <v/>
      </c>
      <c r="O20" s="259" t="str">
        <f ca="1"/>
        <v/>
      </c>
      <c r="P20" s="144" t="str">
        <f ca="1"/>
        <v/>
      </c>
      <c r="Q20" s="144" t="str">
        <f ca="1"/>
        <v/>
      </c>
      <c r="R20" s="146" t="str">
        <f ca="1"/>
        <v/>
      </c>
      <c r="S20" s="146" t="str">
        <f ca="1"/>
        <v/>
      </c>
      <c r="T20" s="151" t="str">
        <f ca="1"/>
        <v/>
      </c>
      <c r="U20" s="146" t="str">
        <f ca="1"/>
        <v/>
      </c>
      <c r="V20" s="261" t="str">
        <f ca="1"/>
        <v/>
      </c>
    </row>
    <row r="21" spans="2:22" x14ac:dyDescent="0.25">
      <c r="B21" s="103" t="s">
        <v>124</v>
      </c>
      <c r="C21" s="239" t="str">
        <f ca="1">CREDITMODEL!$C$4</f>
        <v>CREDITMODEL1@15:3</v>
      </c>
      <c r="E21" s="135" t="str">
        <f ca="1"/>
        <v/>
      </c>
      <c r="F21" s="136" t="str">
        <f ca="1"/>
        <v/>
      </c>
      <c r="G21" s="136" t="str">
        <f ca="1"/>
        <v/>
      </c>
      <c r="H21" s="146" t="str">
        <f ca="1"/>
        <v/>
      </c>
      <c r="I21" s="144" t="str">
        <f ca="1"/>
        <v/>
      </c>
      <c r="J21" s="136" t="str">
        <f ca="1"/>
        <v/>
      </c>
      <c r="K21" s="146" t="str">
        <f ca="1"/>
        <v/>
      </c>
      <c r="L21" s="146" t="str">
        <f ca="1"/>
        <v/>
      </c>
      <c r="M21" s="140" t="str">
        <f ca="1"/>
        <v/>
      </c>
      <c r="N21" s="140" t="str">
        <f ca="1"/>
        <v/>
      </c>
      <c r="O21" s="259" t="str">
        <f ca="1"/>
        <v/>
      </c>
      <c r="P21" s="144" t="str">
        <f ca="1"/>
        <v/>
      </c>
      <c r="Q21" s="144" t="str">
        <f ca="1"/>
        <v/>
      </c>
      <c r="R21" s="146" t="str">
        <f ca="1"/>
        <v/>
      </c>
      <c r="S21" s="146" t="str">
        <f ca="1"/>
        <v/>
      </c>
      <c r="T21" s="151" t="str">
        <f ca="1"/>
        <v/>
      </c>
      <c r="U21" s="146" t="str">
        <f ca="1"/>
        <v/>
      </c>
      <c r="V21" s="261" t="str">
        <f ca="1"/>
        <v/>
      </c>
    </row>
    <row r="22" spans="2:22" x14ac:dyDescent="0.25">
      <c r="E22" s="135" t="str">
        <f ca="1"/>
        <v/>
      </c>
      <c r="F22" s="136" t="str">
        <f ca="1"/>
        <v/>
      </c>
      <c r="G22" s="136" t="str">
        <f ca="1"/>
        <v/>
      </c>
      <c r="H22" s="146" t="str">
        <f ca="1"/>
        <v/>
      </c>
      <c r="I22" s="144" t="str">
        <f ca="1"/>
        <v/>
      </c>
      <c r="J22" s="136" t="str">
        <f ca="1"/>
        <v/>
      </c>
      <c r="K22" s="146" t="str">
        <f ca="1"/>
        <v/>
      </c>
      <c r="L22" s="146" t="str">
        <f ca="1"/>
        <v/>
      </c>
      <c r="M22" s="140" t="str">
        <f ca="1"/>
        <v/>
      </c>
      <c r="N22" s="140" t="str">
        <f ca="1"/>
        <v/>
      </c>
      <c r="O22" s="259" t="str">
        <f ca="1"/>
        <v/>
      </c>
      <c r="P22" s="144" t="str">
        <f ca="1"/>
        <v/>
      </c>
      <c r="Q22" s="144" t="str">
        <f ca="1"/>
        <v/>
      </c>
      <c r="R22" s="146" t="str">
        <f ca="1"/>
        <v/>
      </c>
      <c r="S22" s="146" t="str">
        <f ca="1"/>
        <v/>
      </c>
      <c r="T22" s="151" t="str">
        <f ca="1"/>
        <v/>
      </c>
      <c r="U22" s="146" t="str">
        <f ca="1"/>
        <v/>
      </c>
      <c r="V22" s="261" t="str">
        <f ca="1"/>
        <v/>
      </c>
    </row>
    <row r="23" spans="2:22" x14ac:dyDescent="0.25">
      <c r="B23" s="1" t="s">
        <v>125</v>
      </c>
      <c r="E23" s="135" t="str">
        <f ca="1"/>
        <v/>
      </c>
      <c r="F23" s="136" t="str">
        <f ca="1"/>
        <v/>
      </c>
      <c r="G23" s="136" t="str">
        <f ca="1"/>
        <v/>
      </c>
      <c r="H23" s="146" t="str">
        <f ca="1"/>
        <v/>
      </c>
      <c r="I23" s="144" t="str">
        <f ca="1"/>
        <v/>
      </c>
      <c r="J23" s="136" t="str">
        <f ca="1"/>
        <v/>
      </c>
      <c r="K23" s="146" t="str">
        <f ca="1"/>
        <v/>
      </c>
      <c r="L23" s="146" t="str">
        <f ca="1"/>
        <v/>
      </c>
      <c r="M23" s="140" t="str">
        <f ca="1"/>
        <v/>
      </c>
      <c r="N23" s="140" t="str">
        <f ca="1"/>
        <v/>
      </c>
      <c r="O23" s="259" t="str">
        <f ca="1"/>
        <v/>
      </c>
      <c r="P23" s="144" t="str">
        <f ca="1"/>
        <v/>
      </c>
      <c r="Q23" s="144" t="str">
        <f ca="1"/>
        <v/>
      </c>
      <c r="R23" s="146" t="str">
        <f ca="1"/>
        <v/>
      </c>
      <c r="S23" s="146" t="str">
        <f ca="1"/>
        <v/>
      </c>
      <c r="T23" s="151" t="str">
        <f ca="1"/>
        <v/>
      </c>
      <c r="U23" s="146" t="str">
        <f ca="1"/>
        <v/>
      </c>
      <c r="V23" s="261" t="str">
        <f ca="1"/>
        <v/>
      </c>
    </row>
    <row r="24" spans="2:22" x14ac:dyDescent="0.25">
      <c r="B24" s="110" t="s">
        <v>126</v>
      </c>
      <c r="C24" s="120">
        <f ca="1">_xll.meLWOTotalReturnSwapPV($C$4,$C$21)</f>
        <v>-68430.82130304625</v>
      </c>
      <c r="E24" s="135" t="str">
        <f ca="1"/>
        <v/>
      </c>
      <c r="F24" s="136" t="str">
        <f ca="1"/>
        <v/>
      </c>
      <c r="G24" s="136" t="str">
        <f ca="1"/>
        <v/>
      </c>
      <c r="H24" s="146" t="str">
        <f ca="1"/>
        <v/>
      </c>
      <c r="I24" s="144" t="str">
        <f ca="1"/>
        <v/>
      </c>
      <c r="J24" s="136" t="str">
        <f ca="1"/>
        <v/>
      </c>
      <c r="K24" s="146" t="str">
        <f ca="1"/>
        <v/>
      </c>
      <c r="L24" s="146" t="str">
        <f ca="1"/>
        <v/>
      </c>
      <c r="M24" s="140" t="str">
        <f ca="1"/>
        <v/>
      </c>
      <c r="N24" s="140" t="str">
        <f ca="1"/>
        <v/>
      </c>
      <c r="O24" s="259" t="str">
        <f ca="1"/>
        <v/>
      </c>
      <c r="P24" s="144" t="str">
        <f ca="1"/>
        <v/>
      </c>
      <c r="Q24" s="144" t="str">
        <f ca="1"/>
        <v/>
      </c>
      <c r="R24" s="146" t="str">
        <f ca="1"/>
        <v/>
      </c>
      <c r="S24" s="146" t="str">
        <f ca="1"/>
        <v/>
      </c>
      <c r="T24" s="151" t="str">
        <f ca="1"/>
        <v/>
      </c>
      <c r="U24" s="146" t="str">
        <f ca="1"/>
        <v/>
      </c>
      <c r="V24" s="261" t="str">
        <f ca="1"/>
        <v/>
      </c>
    </row>
    <row r="25" spans="2:22" x14ac:dyDescent="0.25">
      <c r="B25" s="115" t="s">
        <v>68</v>
      </c>
      <c r="C25" s="121">
        <f ca="1">_xll.meLWOTotalReturnSwapPV($C$4,$C$21,B25)</f>
        <v>295567.97519351111</v>
      </c>
      <c r="E25" s="135" t="str">
        <f ca="1"/>
        <v/>
      </c>
      <c r="F25" s="136" t="str">
        <f ca="1"/>
        <v/>
      </c>
      <c r="G25" s="136" t="str">
        <f ca="1"/>
        <v/>
      </c>
      <c r="H25" s="146" t="str">
        <f ca="1"/>
        <v/>
      </c>
      <c r="I25" s="144" t="str">
        <f ca="1"/>
        <v/>
      </c>
      <c r="J25" s="136" t="str">
        <f ca="1"/>
        <v/>
      </c>
      <c r="K25" s="146" t="str">
        <f ca="1"/>
        <v/>
      </c>
      <c r="L25" s="146" t="str">
        <f ca="1"/>
        <v/>
      </c>
      <c r="M25" s="140" t="str">
        <f ca="1"/>
        <v/>
      </c>
      <c r="N25" s="140" t="str">
        <f ca="1"/>
        <v/>
      </c>
      <c r="O25" s="259" t="str">
        <f ca="1"/>
        <v/>
      </c>
      <c r="P25" s="144" t="str">
        <f ca="1"/>
        <v/>
      </c>
      <c r="Q25" s="144" t="str">
        <f ca="1"/>
        <v/>
      </c>
      <c r="R25" s="146" t="str">
        <f ca="1"/>
        <v/>
      </c>
      <c r="S25" s="146" t="str">
        <f ca="1"/>
        <v/>
      </c>
      <c r="T25" s="151" t="str">
        <f ca="1"/>
        <v/>
      </c>
      <c r="U25" s="146" t="str">
        <f ca="1"/>
        <v/>
      </c>
      <c r="V25" s="261" t="str">
        <f ca="1"/>
        <v/>
      </c>
    </row>
    <row r="26" spans="2:22" x14ac:dyDescent="0.25">
      <c r="B26" s="115" t="s">
        <v>69</v>
      </c>
      <c r="C26" s="121">
        <f ca="1">_xll.meLWOTotalReturnSwapPV($C$4,$C$21,B26)</f>
        <v>-363998.79649655736</v>
      </c>
      <c r="E26" s="135" t="str">
        <f ca="1"/>
        <v/>
      </c>
      <c r="F26" s="136" t="str">
        <f ca="1"/>
        <v/>
      </c>
      <c r="G26" s="136" t="str">
        <f ca="1"/>
        <v/>
      </c>
      <c r="H26" s="146" t="str">
        <f ca="1"/>
        <v/>
      </c>
      <c r="I26" s="144" t="str">
        <f ca="1"/>
        <v/>
      </c>
      <c r="J26" s="136" t="str">
        <f ca="1"/>
        <v/>
      </c>
      <c r="K26" s="146" t="str">
        <f ca="1"/>
        <v/>
      </c>
      <c r="L26" s="146" t="str">
        <f ca="1"/>
        <v/>
      </c>
      <c r="M26" s="140" t="str">
        <f ca="1"/>
        <v/>
      </c>
      <c r="N26" s="140" t="str">
        <f ca="1"/>
        <v/>
      </c>
      <c r="O26" s="259" t="str">
        <f ca="1"/>
        <v/>
      </c>
      <c r="P26" s="144" t="str">
        <f ca="1"/>
        <v/>
      </c>
      <c r="Q26" s="144" t="str">
        <f ca="1"/>
        <v/>
      </c>
      <c r="R26" s="146" t="str">
        <f ca="1"/>
        <v/>
      </c>
      <c r="S26" s="146" t="str">
        <f ca="1"/>
        <v/>
      </c>
      <c r="T26" s="151" t="str">
        <f ca="1"/>
        <v/>
      </c>
      <c r="U26" s="146" t="str">
        <f ca="1"/>
        <v/>
      </c>
      <c r="V26" s="261" t="str">
        <f ca="1"/>
        <v/>
      </c>
    </row>
    <row r="27" spans="2:22" x14ac:dyDescent="0.25">
      <c r="B27" s="115" t="s">
        <v>127</v>
      </c>
      <c r="C27" s="122">
        <f ca="1">_xll.meLWOTotalReturnSwapParRate(C4,C21)</f>
        <v>1.847462584125029E-2</v>
      </c>
      <c r="E27" s="135" t="str">
        <f ca="1"/>
        <v/>
      </c>
      <c r="F27" s="136" t="str">
        <f ca="1"/>
        <v/>
      </c>
      <c r="G27" s="136" t="str">
        <f ca="1"/>
        <v/>
      </c>
      <c r="H27" s="146" t="str">
        <f ca="1"/>
        <v/>
      </c>
      <c r="I27" s="144" t="str">
        <f ca="1"/>
        <v/>
      </c>
      <c r="J27" s="136" t="str">
        <f ca="1"/>
        <v/>
      </c>
      <c r="K27" s="146" t="str">
        <f ca="1"/>
        <v/>
      </c>
      <c r="L27" s="146" t="str">
        <f ca="1"/>
        <v/>
      </c>
      <c r="M27" s="140" t="str">
        <f ca="1"/>
        <v/>
      </c>
      <c r="N27" s="140" t="str">
        <f ca="1"/>
        <v/>
      </c>
      <c r="O27" s="259" t="str">
        <f ca="1"/>
        <v/>
      </c>
      <c r="P27" s="144" t="str">
        <f ca="1"/>
        <v/>
      </c>
      <c r="Q27" s="144" t="str">
        <f ca="1"/>
        <v/>
      </c>
      <c r="R27" s="146" t="str">
        <f ca="1"/>
        <v/>
      </c>
      <c r="S27" s="146" t="str">
        <f ca="1"/>
        <v/>
      </c>
      <c r="T27" s="151" t="str">
        <f ca="1"/>
        <v/>
      </c>
      <c r="U27" s="146" t="str">
        <f ca="1"/>
        <v/>
      </c>
      <c r="V27" s="261" t="str">
        <f ca="1"/>
        <v/>
      </c>
    </row>
    <row r="28" spans="2:22" x14ac:dyDescent="0.25">
      <c r="B28" s="112" t="s">
        <v>128</v>
      </c>
      <c r="C28" s="205">
        <f ca="1">_xll.meLWOTotalReturnSwapParSpread(C4,C21)</f>
        <v>-34.648185528127335</v>
      </c>
      <c r="E28" s="135" t="str">
        <f ca="1"/>
        <v/>
      </c>
      <c r="F28" s="136" t="str">
        <f ca="1"/>
        <v/>
      </c>
      <c r="G28" s="136" t="str">
        <f ca="1"/>
        <v/>
      </c>
      <c r="H28" s="146" t="str">
        <f ca="1"/>
        <v/>
      </c>
      <c r="I28" s="144" t="str">
        <f ca="1"/>
        <v/>
      </c>
      <c r="J28" s="136" t="str">
        <f ca="1"/>
        <v/>
      </c>
      <c r="K28" s="146" t="str">
        <f ca="1"/>
        <v/>
      </c>
      <c r="L28" s="146" t="str">
        <f ca="1"/>
        <v/>
      </c>
      <c r="M28" s="140" t="str">
        <f ca="1"/>
        <v/>
      </c>
      <c r="N28" s="140" t="str">
        <f ca="1"/>
        <v/>
      </c>
      <c r="O28" s="259" t="str">
        <f ca="1"/>
        <v/>
      </c>
      <c r="P28" s="144" t="str">
        <f ca="1"/>
        <v/>
      </c>
      <c r="Q28" s="144" t="str">
        <f ca="1"/>
        <v/>
      </c>
      <c r="R28" s="146" t="str">
        <f ca="1"/>
        <v/>
      </c>
      <c r="S28" s="146" t="str">
        <f ca="1"/>
        <v/>
      </c>
      <c r="T28" s="151" t="str">
        <f ca="1"/>
        <v/>
      </c>
      <c r="U28" s="146" t="str">
        <f ca="1"/>
        <v/>
      </c>
      <c r="V28" s="261" t="str">
        <f ca="1"/>
        <v/>
      </c>
    </row>
    <row r="29" spans="2:22" x14ac:dyDescent="0.25">
      <c r="E29" s="135" t="str">
        <f ca="1"/>
        <v/>
      </c>
      <c r="F29" s="136" t="str">
        <f ca="1"/>
        <v/>
      </c>
      <c r="G29" s="136" t="str">
        <f ca="1"/>
        <v/>
      </c>
      <c r="H29" s="146" t="str">
        <f ca="1"/>
        <v/>
      </c>
      <c r="I29" s="144" t="str">
        <f ca="1"/>
        <v/>
      </c>
      <c r="J29" s="136" t="str">
        <f ca="1"/>
        <v/>
      </c>
      <c r="K29" s="146" t="str">
        <f ca="1"/>
        <v/>
      </c>
      <c r="L29" s="146" t="str">
        <f ca="1"/>
        <v/>
      </c>
      <c r="M29" s="140" t="str">
        <f ca="1"/>
        <v/>
      </c>
      <c r="N29" s="140" t="str">
        <f ca="1"/>
        <v/>
      </c>
      <c r="O29" s="259" t="str">
        <f ca="1"/>
        <v/>
      </c>
      <c r="P29" s="144" t="str">
        <f ca="1"/>
        <v/>
      </c>
      <c r="Q29" s="144" t="str">
        <f ca="1"/>
        <v/>
      </c>
      <c r="R29" s="146" t="str">
        <f ca="1"/>
        <v/>
      </c>
      <c r="S29" s="146" t="str">
        <f ca="1"/>
        <v/>
      </c>
      <c r="T29" s="151" t="str">
        <f ca="1"/>
        <v/>
      </c>
      <c r="U29" s="146" t="str">
        <f ca="1"/>
        <v/>
      </c>
      <c r="V29" s="261" t="str">
        <f ca="1"/>
        <v/>
      </c>
    </row>
    <row r="30" spans="2:22" x14ac:dyDescent="0.25">
      <c r="B30" s="1" t="s">
        <v>192</v>
      </c>
      <c r="C30" s="204"/>
      <c r="E30" s="135" t="str">
        <f ca="1"/>
        <v/>
      </c>
      <c r="F30" s="136" t="str">
        <f ca="1"/>
        <v/>
      </c>
      <c r="G30" s="136" t="str">
        <f ca="1"/>
        <v/>
      </c>
      <c r="H30" s="146" t="str">
        <f ca="1"/>
        <v/>
      </c>
      <c r="I30" s="144" t="str">
        <f ca="1"/>
        <v/>
      </c>
      <c r="J30" s="136" t="str">
        <f ca="1"/>
        <v/>
      </c>
      <c r="K30" s="146" t="str">
        <f ca="1"/>
        <v/>
      </c>
      <c r="L30" s="146" t="str">
        <f ca="1"/>
        <v/>
      </c>
      <c r="M30" s="140" t="str">
        <f ca="1"/>
        <v/>
      </c>
      <c r="N30" s="140" t="str">
        <f ca="1"/>
        <v/>
      </c>
      <c r="O30" s="259" t="str">
        <f ca="1"/>
        <v/>
      </c>
      <c r="P30" s="144" t="str">
        <f ca="1"/>
        <v/>
      </c>
      <c r="Q30" s="144" t="str">
        <f ca="1"/>
        <v/>
      </c>
      <c r="R30" s="146" t="str">
        <f ca="1"/>
        <v/>
      </c>
      <c r="S30" s="146" t="str">
        <f ca="1"/>
        <v/>
      </c>
      <c r="T30" s="151" t="str">
        <f ca="1"/>
        <v/>
      </c>
      <c r="U30" s="146" t="str">
        <f ca="1"/>
        <v/>
      </c>
      <c r="V30" s="261" t="str">
        <f ca="1"/>
        <v/>
      </c>
    </row>
    <row r="31" spans="2:22" x14ac:dyDescent="0.25">
      <c r="B31" s="110" t="str">
        <f>TRS_GENERATOR!C6</f>
        <v>Leg1:Premium</v>
      </c>
      <c r="C31" s="236" t="str">
        <f ca="1">C21</f>
        <v>CREDITMODEL1@15:3</v>
      </c>
      <c r="E31" s="135" t="str">
        <f ca="1"/>
        <v/>
      </c>
      <c r="F31" s="136" t="str">
        <f ca="1"/>
        <v/>
      </c>
      <c r="G31" s="136" t="str">
        <f ca="1"/>
        <v/>
      </c>
      <c r="H31" s="146" t="str">
        <f ca="1"/>
        <v/>
      </c>
      <c r="I31" s="144" t="str">
        <f ca="1"/>
        <v/>
      </c>
      <c r="J31" s="136" t="str">
        <f ca="1"/>
        <v/>
      </c>
      <c r="K31" s="146" t="str">
        <f ca="1"/>
        <v/>
      </c>
      <c r="L31" s="146" t="str">
        <f ca="1"/>
        <v/>
      </c>
      <c r="M31" s="140" t="str">
        <f ca="1"/>
        <v/>
      </c>
      <c r="N31" s="140" t="str">
        <f ca="1"/>
        <v/>
      </c>
      <c r="O31" s="259" t="str">
        <f ca="1"/>
        <v/>
      </c>
      <c r="P31" s="144" t="str">
        <f ca="1"/>
        <v/>
      </c>
      <c r="Q31" s="144" t="str">
        <f ca="1"/>
        <v/>
      </c>
      <c r="R31" s="146" t="str">
        <f ca="1"/>
        <v/>
      </c>
      <c r="S31" s="146" t="str">
        <f ca="1"/>
        <v/>
      </c>
      <c r="T31" s="151" t="str">
        <f ca="1"/>
        <v/>
      </c>
      <c r="U31" s="146" t="str">
        <f ca="1"/>
        <v/>
      </c>
      <c r="V31" s="261" t="str">
        <f ca="1"/>
        <v/>
      </c>
    </row>
    <row r="32" spans="2:22" x14ac:dyDescent="0.25">
      <c r="B32" s="112" t="str">
        <f>TRS_GENERATOR!D6</f>
        <v>Leg2:Float</v>
      </c>
      <c r="C32" s="113" t="str">
        <f>C20</f>
        <v>USDYC</v>
      </c>
      <c r="E32" s="135" t="str">
        <f ca="1"/>
        <v/>
      </c>
      <c r="F32" s="136" t="str">
        <f ca="1"/>
        <v/>
      </c>
      <c r="G32" s="136" t="str">
        <f ca="1"/>
        <v/>
      </c>
      <c r="H32" s="146" t="str">
        <f ca="1"/>
        <v/>
      </c>
      <c r="I32" s="144" t="str">
        <f ca="1"/>
        <v/>
      </c>
      <c r="J32" s="136" t="str">
        <f ca="1"/>
        <v/>
      </c>
      <c r="K32" s="146" t="str">
        <f ca="1"/>
        <v/>
      </c>
      <c r="L32" s="146" t="str">
        <f ca="1"/>
        <v/>
      </c>
      <c r="M32" s="140" t="str">
        <f ca="1"/>
        <v/>
      </c>
      <c r="N32" s="140" t="str">
        <f ca="1"/>
        <v/>
      </c>
      <c r="O32" s="259" t="str">
        <f ca="1"/>
        <v/>
      </c>
      <c r="P32" s="144" t="str">
        <f ca="1"/>
        <v/>
      </c>
      <c r="Q32" s="144" t="str">
        <f ca="1"/>
        <v/>
      </c>
      <c r="R32" s="146" t="str">
        <f ca="1"/>
        <v/>
      </c>
      <c r="S32" s="146" t="str">
        <f ca="1"/>
        <v/>
      </c>
      <c r="T32" s="151" t="str">
        <f ca="1"/>
        <v/>
      </c>
      <c r="U32" s="146" t="str">
        <f ca="1"/>
        <v/>
      </c>
      <c r="V32" s="261" t="str">
        <f ca="1"/>
        <v/>
      </c>
    </row>
    <row r="33" spans="3:22" x14ac:dyDescent="0.25">
      <c r="E33" s="135" t="str">
        <f ca="1"/>
        <v/>
      </c>
      <c r="F33" s="136" t="str">
        <f ca="1"/>
        <v/>
      </c>
      <c r="G33" s="136" t="str">
        <f ca="1"/>
        <v/>
      </c>
      <c r="H33" s="146" t="str">
        <f ca="1"/>
        <v/>
      </c>
      <c r="I33" s="144" t="str">
        <f ca="1"/>
        <v/>
      </c>
      <c r="J33" s="136" t="str">
        <f ca="1"/>
        <v/>
      </c>
      <c r="K33" s="146" t="str">
        <f ca="1"/>
        <v/>
      </c>
      <c r="L33" s="146" t="str">
        <f ca="1"/>
        <v/>
      </c>
      <c r="M33" s="140" t="str">
        <f ca="1"/>
        <v/>
      </c>
      <c r="N33" s="140" t="str">
        <f ca="1"/>
        <v/>
      </c>
      <c r="O33" s="259" t="str">
        <f ca="1"/>
        <v/>
      </c>
      <c r="P33" s="144" t="str">
        <f ca="1"/>
        <v/>
      </c>
      <c r="Q33" s="144" t="str">
        <f ca="1"/>
        <v/>
      </c>
      <c r="R33" s="146" t="str">
        <f ca="1"/>
        <v/>
      </c>
      <c r="S33" s="146" t="str">
        <f ca="1"/>
        <v/>
      </c>
      <c r="T33" s="151" t="str">
        <f ca="1"/>
        <v/>
      </c>
      <c r="U33" s="146" t="str">
        <f ca="1"/>
        <v/>
      </c>
      <c r="V33" s="261" t="str">
        <f ca="1"/>
        <v/>
      </c>
    </row>
    <row r="34" spans="3:22" x14ac:dyDescent="0.25">
      <c r="E34" s="135" t="str">
        <f ca="1"/>
        <v/>
      </c>
      <c r="F34" s="136" t="str">
        <f ca="1"/>
        <v/>
      </c>
      <c r="G34" s="136" t="str">
        <f ca="1"/>
        <v/>
      </c>
      <c r="H34" s="146" t="str">
        <f ca="1"/>
        <v/>
      </c>
      <c r="I34" s="144" t="str">
        <f ca="1"/>
        <v/>
      </c>
      <c r="J34" s="136" t="str">
        <f ca="1"/>
        <v/>
      </c>
      <c r="K34" s="146" t="str">
        <f ca="1"/>
        <v/>
      </c>
      <c r="L34" s="146" t="str">
        <f ca="1"/>
        <v/>
      </c>
      <c r="M34" s="140" t="str">
        <f ca="1"/>
        <v/>
      </c>
      <c r="N34" s="140" t="str">
        <f ca="1"/>
        <v/>
      </c>
      <c r="O34" s="259" t="str">
        <f ca="1"/>
        <v/>
      </c>
      <c r="P34" s="144" t="str">
        <f ca="1"/>
        <v/>
      </c>
      <c r="Q34" s="144" t="str">
        <f ca="1"/>
        <v/>
      </c>
      <c r="R34" s="146" t="str">
        <f ca="1"/>
        <v/>
      </c>
      <c r="S34" s="146" t="str">
        <f ca="1"/>
        <v/>
      </c>
      <c r="T34" s="151" t="str">
        <f ca="1"/>
        <v/>
      </c>
      <c r="U34" s="146" t="str">
        <f ca="1"/>
        <v/>
      </c>
      <c r="V34" s="261" t="str">
        <f ca="1"/>
        <v/>
      </c>
    </row>
    <row r="35" spans="3:22" x14ac:dyDescent="0.25">
      <c r="E35" s="135" t="str">
        <f ca="1"/>
        <v/>
      </c>
      <c r="F35" s="136" t="str">
        <f ca="1"/>
        <v/>
      </c>
      <c r="G35" s="136" t="str">
        <f ca="1"/>
        <v/>
      </c>
      <c r="H35" s="146" t="str">
        <f ca="1"/>
        <v/>
      </c>
      <c r="I35" s="144" t="str">
        <f ca="1"/>
        <v/>
      </c>
      <c r="J35" s="136" t="str">
        <f ca="1"/>
        <v/>
      </c>
      <c r="K35" s="146" t="str">
        <f ca="1"/>
        <v/>
      </c>
      <c r="L35" s="146" t="str">
        <f ca="1"/>
        <v/>
      </c>
      <c r="M35" s="140" t="str">
        <f ca="1"/>
        <v/>
      </c>
      <c r="N35" s="140" t="str">
        <f ca="1"/>
        <v/>
      </c>
      <c r="O35" s="259" t="str">
        <f ca="1"/>
        <v/>
      </c>
      <c r="P35" s="144" t="str">
        <f ca="1"/>
        <v/>
      </c>
      <c r="Q35" s="144" t="str">
        <f ca="1"/>
        <v/>
      </c>
      <c r="R35" s="146" t="str">
        <f ca="1"/>
        <v/>
      </c>
      <c r="S35" s="146" t="str">
        <f ca="1"/>
        <v/>
      </c>
      <c r="T35" s="151" t="str">
        <f ca="1"/>
        <v/>
      </c>
      <c r="U35" s="146" t="str">
        <f ca="1"/>
        <v/>
      </c>
      <c r="V35" s="261" t="str">
        <f ca="1"/>
        <v/>
      </c>
    </row>
    <row r="36" spans="3:22" x14ac:dyDescent="0.25">
      <c r="C36" s="231"/>
      <c r="E36" s="135" t="str">
        <f ca="1"/>
        <v/>
      </c>
      <c r="F36" s="136" t="str">
        <f ca="1"/>
        <v/>
      </c>
      <c r="G36" s="136" t="str">
        <f ca="1"/>
        <v/>
      </c>
      <c r="H36" s="146" t="str">
        <f ca="1"/>
        <v/>
      </c>
      <c r="I36" s="144" t="str">
        <f ca="1"/>
        <v/>
      </c>
      <c r="J36" s="136" t="str">
        <f ca="1"/>
        <v/>
      </c>
      <c r="K36" s="146" t="str">
        <f ca="1"/>
        <v/>
      </c>
      <c r="L36" s="146" t="str">
        <f ca="1"/>
        <v/>
      </c>
      <c r="M36" s="140" t="str">
        <f ca="1"/>
        <v/>
      </c>
      <c r="N36" s="140" t="str">
        <f ca="1"/>
        <v/>
      </c>
      <c r="O36" s="259" t="str">
        <f ca="1"/>
        <v/>
      </c>
      <c r="P36" s="144" t="str">
        <f ca="1"/>
        <v/>
      </c>
      <c r="Q36" s="144" t="str">
        <f ca="1"/>
        <v/>
      </c>
      <c r="R36" s="146" t="str">
        <f ca="1"/>
        <v/>
      </c>
      <c r="S36" s="146" t="str">
        <f ca="1"/>
        <v/>
      </c>
      <c r="T36" s="151" t="str">
        <f ca="1"/>
        <v/>
      </c>
      <c r="U36" s="146" t="str">
        <f ca="1"/>
        <v/>
      </c>
      <c r="V36" s="261" t="str">
        <f ca="1"/>
        <v/>
      </c>
    </row>
    <row r="37" spans="3:22" x14ac:dyDescent="0.25">
      <c r="E37" s="135" t="str">
        <f ca="1"/>
        <v/>
      </c>
      <c r="F37" s="136" t="str">
        <f ca="1"/>
        <v/>
      </c>
      <c r="G37" s="136" t="str">
        <f ca="1"/>
        <v/>
      </c>
      <c r="H37" s="146" t="str">
        <f ca="1"/>
        <v/>
      </c>
      <c r="I37" s="144" t="str">
        <f ca="1"/>
        <v/>
      </c>
      <c r="J37" s="136" t="str">
        <f ca="1"/>
        <v/>
      </c>
      <c r="K37" s="146" t="str">
        <f ca="1"/>
        <v/>
      </c>
      <c r="L37" s="146" t="str">
        <f ca="1"/>
        <v/>
      </c>
      <c r="M37" s="140" t="str">
        <f ca="1"/>
        <v/>
      </c>
      <c r="N37" s="140" t="str">
        <f ca="1"/>
        <v/>
      </c>
      <c r="O37" s="259" t="str">
        <f ca="1"/>
        <v/>
      </c>
      <c r="P37" s="144" t="str">
        <f ca="1"/>
        <v/>
      </c>
      <c r="Q37" s="144" t="str">
        <f ca="1"/>
        <v/>
      </c>
      <c r="R37" s="146" t="str">
        <f ca="1"/>
        <v/>
      </c>
      <c r="S37" s="146" t="str">
        <f ca="1"/>
        <v/>
      </c>
      <c r="T37" s="151" t="str">
        <f ca="1"/>
        <v/>
      </c>
      <c r="U37" s="146" t="str">
        <f ca="1"/>
        <v/>
      </c>
      <c r="V37" s="261" t="str">
        <f ca="1"/>
        <v/>
      </c>
    </row>
    <row r="38" spans="3:22" x14ac:dyDescent="0.25">
      <c r="E38" s="135" t="str">
        <f ca="1"/>
        <v/>
      </c>
      <c r="F38" s="136" t="str">
        <f ca="1"/>
        <v/>
      </c>
      <c r="G38" s="136" t="str">
        <f ca="1"/>
        <v/>
      </c>
      <c r="H38" s="146" t="str">
        <f ca="1"/>
        <v/>
      </c>
      <c r="I38" s="144" t="str">
        <f ca="1"/>
        <v/>
      </c>
      <c r="J38" s="136" t="str">
        <f ca="1"/>
        <v/>
      </c>
      <c r="K38" s="146" t="str">
        <f ca="1"/>
        <v/>
      </c>
      <c r="L38" s="146" t="str">
        <f ca="1"/>
        <v/>
      </c>
      <c r="M38" s="140" t="str">
        <f ca="1"/>
        <v/>
      </c>
      <c r="N38" s="140" t="str">
        <f ca="1"/>
        <v/>
      </c>
      <c r="O38" s="259" t="str">
        <f ca="1"/>
        <v/>
      </c>
      <c r="P38" s="144" t="str">
        <f ca="1"/>
        <v/>
      </c>
      <c r="Q38" s="144" t="str">
        <f ca="1"/>
        <v/>
      </c>
      <c r="R38" s="146" t="str">
        <f ca="1"/>
        <v/>
      </c>
      <c r="S38" s="146" t="str">
        <f ca="1"/>
        <v/>
      </c>
      <c r="T38" s="151" t="str">
        <f ca="1"/>
        <v/>
      </c>
      <c r="U38" s="146" t="str">
        <f ca="1"/>
        <v/>
      </c>
      <c r="V38" s="261" t="str">
        <f ca="1"/>
        <v/>
      </c>
    </row>
    <row r="39" spans="3:22" x14ac:dyDescent="0.25">
      <c r="E39" s="135" t="str">
        <f ca="1"/>
        <v/>
      </c>
      <c r="F39" s="136" t="str">
        <f ca="1"/>
        <v/>
      </c>
      <c r="G39" s="136" t="str">
        <f ca="1"/>
        <v/>
      </c>
      <c r="H39" s="146" t="str">
        <f ca="1"/>
        <v/>
      </c>
      <c r="I39" s="144" t="str">
        <f ca="1"/>
        <v/>
      </c>
      <c r="J39" s="136" t="str">
        <f ca="1"/>
        <v/>
      </c>
      <c r="K39" s="146" t="str">
        <f ca="1"/>
        <v/>
      </c>
      <c r="L39" s="146" t="str">
        <f ca="1"/>
        <v/>
      </c>
      <c r="M39" s="140" t="str">
        <f ca="1"/>
        <v/>
      </c>
      <c r="N39" s="140" t="str">
        <f ca="1"/>
        <v/>
      </c>
      <c r="O39" s="259" t="str">
        <f ca="1"/>
        <v/>
      </c>
      <c r="P39" s="144" t="str">
        <f ca="1"/>
        <v/>
      </c>
      <c r="Q39" s="144" t="str">
        <f ca="1"/>
        <v/>
      </c>
      <c r="R39" s="146" t="str">
        <f ca="1"/>
        <v/>
      </c>
      <c r="S39" s="146" t="str">
        <f ca="1"/>
        <v/>
      </c>
      <c r="T39" s="151" t="str">
        <f ca="1"/>
        <v/>
      </c>
      <c r="U39" s="146" t="str">
        <f ca="1"/>
        <v/>
      </c>
      <c r="V39" s="261" t="str">
        <f ca="1"/>
        <v/>
      </c>
    </row>
    <row r="40" spans="3:22" x14ac:dyDescent="0.25">
      <c r="E40" s="135" t="str">
        <f ca="1"/>
        <v/>
      </c>
      <c r="F40" s="136" t="str">
        <f ca="1"/>
        <v/>
      </c>
      <c r="G40" s="136" t="str">
        <f ca="1"/>
        <v/>
      </c>
      <c r="H40" s="146" t="str">
        <f ca="1"/>
        <v/>
      </c>
      <c r="I40" s="144" t="str">
        <f ca="1"/>
        <v/>
      </c>
      <c r="J40" s="136" t="str">
        <f ca="1"/>
        <v/>
      </c>
      <c r="K40" s="146" t="str">
        <f ca="1"/>
        <v/>
      </c>
      <c r="L40" s="146" t="str">
        <f ca="1"/>
        <v/>
      </c>
      <c r="M40" s="140" t="str">
        <f ca="1"/>
        <v/>
      </c>
      <c r="N40" s="140" t="str">
        <f ca="1"/>
        <v/>
      </c>
      <c r="O40" s="259" t="str">
        <f ca="1"/>
        <v/>
      </c>
      <c r="P40" s="144" t="str">
        <f ca="1"/>
        <v/>
      </c>
      <c r="Q40" s="144" t="str">
        <f ca="1"/>
        <v/>
      </c>
      <c r="R40" s="146" t="str">
        <f ca="1"/>
        <v/>
      </c>
      <c r="S40" s="146" t="str">
        <f ca="1"/>
        <v/>
      </c>
      <c r="T40" s="151" t="str">
        <f ca="1"/>
        <v/>
      </c>
      <c r="U40" s="146" t="str">
        <f ca="1"/>
        <v/>
      </c>
      <c r="V40" s="261" t="str">
        <f ca="1"/>
        <v/>
      </c>
    </row>
    <row r="41" spans="3:22" x14ac:dyDescent="0.25">
      <c r="E41" s="135" t="str">
        <f ca="1"/>
        <v/>
      </c>
      <c r="F41" s="136" t="str">
        <f ca="1"/>
        <v/>
      </c>
      <c r="G41" s="136" t="str">
        <f ca="1"/>
        <v/>
      </c>
      <c r="H41" s="146" t="str">
        <f ca="1"/>
        <v/>
      </c>
      <c r="I41" s="144" t="str">
        <f ca="1"/>
        <v/>
      </c>
      <c r="J41" s="136" t="str">
        <f ca="1"/>
        <v/>
      </c>
      <c r="K41" s="146" t="str">
        <f ca="1"/>
        <v/>
      </c>
      <c r="L41" s="146" t="str">
        <f ca="1"/>
        <v/>
      </c>
      <c r="M41" s="140" t="str">
        <f ca="1"/>
        <v/>
      </c>
      <c r="N41" s="140" t="str">
        <f ca="1"/>
        <v/>
      </c>
      <c r="O41" s="259" t="str">
        <f ca="1"/>
        <v/>
      </c>
      <c r="P41" s="144" t="str">
        <f ca="1"/>
        <v/>
      </c>
      <c r="Q41" s="144" t="str">
        <f ca="1"/>
        <v/>
      </c>
      <c r="R41" s="146" t="str">
        <f ca="1"/>
        <v/>
      </c>
      <c r="S41" s="146" t="str">
        <f ca="1"/>
        <v/>
      </c>
      <c r="T41" s="151" t="str">
        <f ca="1"/>
        <v/>
      </c>
      <c r="U41" s="146" t="str">
        <f ca="1"/>
        <v/>
      </c>
      <c r="V41" s="261" t="str">
        <f ca="1"/>
        <v/>
      </c>
    </row>
    <row r="42" spans="3:22" x14ac:dyDescent="0.25">
      <c r="E42" s="135" t="str">
        <f ca="1"/>
        <v/>
      </c>
      <c r="F42" s="136" t="str">
        <f ca="1"/>
        <v/>
      </c>
      <c r="G42" s="136" t="str">
        <f ca="1"/>
        <v/>
      </c>
      <c r="H42" s="146" t="str">
        <f ca="1"/>
        <v/>
      </c>
      <c r="I42" s="144" t="str">
        <f ca="1"/>
        <v/>
      </c>
      <c r="J42" s="136" t="str">
        <f ca="1"/>
        <v/>
      </c>
      <c r="K42" s="146" t="str">
        <f ca="1"/>
        <v/>
      </c>
      <c r="L42" s="146" t="str">
        <f ca="1"/>
        <v/>
      </c>
      <c r="M42" s="140" t="str">
        <f ca="1"/>
        <v/>
      </c>
      <c r="N42" s="140" t="str">
        <f ca="1"/>
        <v/>
      </c>
      <c r="O42" s="259" t="str">
        <f ca="1"/>
        <v/>
      </c>
      <c r="P42" s="144" t="str">
        <f ca="1"/>
        <v/>
      </c>
      <c r="Q42" s="144" t="str">
        <f ca="1"/>
        <v/>
      </c>
      <c r="R42" s="146" t="str">
        <f ca="1"/>
        <v/>
      </c>
      <c r="S42" s="146" t="str">
        <f ca="1"/>
        <v/>
      </c>
      <c r="T42" s="151" t="str">
        <f ca="1"/>
        <v/>
      </c>
      <c r="U42" s="146" t="str">
        <f ca="1"/>
        <v/>
      </c>
      <c r="V42" s="261" t="str">
        <f ca="1"/>
        <v/>
      </c>
    </row>
    <row r="43" spans="3:22" x14ac:dyDescent="0.25">
      <c r="E43" s="135" t="str">
        <f ca="1"/>
        <v/>
      </c>
      <c r="F43" s="136" t="str">
        <f ca="1"/>
        <v/>
      </c>
      <c r="G43" s="136" t="str">
        <f ca="1"/>
        <v/>
      </c>
      <c r="H43" s="146" t="str">
        <f ca="1"/>
        <v/>
      </c>
      <c r="I43" s="144" t="str">
        <f ca="1"/>
        <v/>
      </c>
      <c r="J43" s="136" t="str">
        <f ca="1"/>
        <v/>
      </c>
      <c r="K43" s="146" t="str">
        <f ca="1"/>
        <v/>
      </c>
      <c r="L43" s="146" t="str">
        <f ca="1"/>
        <v/>
      </c>
      <c r="M43" s="140" t="str">
        <f ca="1"/>
        <v/>
      </c>
      <c r="N43" s="140" t="str">
        <f ca="1"/>
        <v/>
      </c>
      <c r="O43" s="259" t="str">
        <f ca="1"/>
        <v/>
      </c>
      <c r="P43" s="144" t="str">
        <f ca="1"/>
        <v/>
      </c>
      <c r="Q43" s="144" t="str">
        <f ca="1"/>
        <v/>
      </c>
      <c r="R43" s="146" t="str">
        <f ca="1"/>
        <v/>
      </c>
      <c r="S43" s="146" t="str">
        <f ca="1"/>
        <v/>
      </c>
      <c r="T43" s="151" t="str">
        <f ca="1"/>
        <v/>
      </c>
      <c r="U43" s="146" t="str">
        <f ca="1"/>
        <v/>
      </c>
      <c r="V43" s="261" t="str">
        <f ca="1"/>
        <v/>
      </c>
    </row>
    <row r="44" spans="3:22" x14ac:dyDescent="0.25">
      <c r="E44" s="135" t="str">
        <f ca="1"/>
        <v/>
      </c>
      <c r="F44" s="136" t="str">
        <f ca="1"/>
        <v/>
      </c>
      <c r="G44" s="136" t="str">
        <f ca="1"/>
        <v/>
      </c>
      <c r="H44" s="146" t="str">
        <f ca="1"/>
        <v/>
      </c>
      <c r="I44" s="144" t="str">
        <f ca="1"/>
        <v/>
      </c>
      <c r="J44" s="136" t="str">
        <f ca="1"/>
        <v/>
      </c>
      <c r="K44" s="146" t="str">
        <f ca="1"/>
        <v/>
      </c>
      <c r="L44" s="146" t="str">
        <f ca="1"/>
        <v/>
      </c>
      <c r="M44" s="140" t="str">
        <f ca="1"/>
        <v/>
      </c>
      <c r="N44" s="140" t="str">
        <f ca="1"/>
        <v/>
      </c>
      <c r="O44" s="259" t="str">
        <f ca="1"/>
        <v/>
      </c>
      <c r="P44" s="144" t="str">
        <f ca="1"/>
        <v/>
      </c>
      <c r="Q44" s="144" t="str">
        <f ca="1"/>
        <v/>
      </c>
      <c r="R44" s="146" t="str">
        <f ca="1"/>
        <v/>
      </c>
      <c r="S44" s="146" t="str">
        <f ca="1"/>
        <v/>
      </c>
      <c r="T44" s="151" t="str">
        <f ca="1"/>
        <v/>
      </c>
      <c r="U44" s="146" t="str">
        <f ca="1"/>
        <v/>
      </c>
      <c r="V44" s="261" t="str">
        <f ca="1"/>
        <v/>
      </c>
    </row>
    <row r="45" spans="3:22" x14ac:dyDescent="0.25">
      <c r="E45" s="135" t="str">
        <f ca="1"/>
        <v/>
      </c>
      <c r="F45" s="136" t="str">
        <f ca="1"/>
        <v/>
      </c>
      <c r="G45" s="136" t="str">
        <f ca="1"/>
        <v/>
      </c>
      <c r="H45" s="146" t="str">
        <f ca="1"/>
        <v/>
      </c>
      <c r="I45" s="144" t="str">
        <f ca="1"/>
        <v/>
      </c>
      <c r="J45" s="136" t="str">
        <f ca="1"/>
        <v/>
      </c>
      <c r="K45" s="146" t="str">
        <f ca="1"/>
        <v/>
      </c>
      <c r="L45" s="146" t="str">
        <f ca="1"/>
        <v/>
      </c>
      <c r="M45" s="140" t="str">
        <f ca="1"/>
        <v/>
      </c>
      <c r="N45" s="140" t="str">
        <f ca="1"/>
        <v/>
      </c>
      <c r="O45" s="259" t="str">
        <f ca="1"/>
        <v/>
      </c>
      <c r="P45" s="144" t="str">
        <f ca="1"/>
        <v/>
      </c>
      <c r="Q45" s="144" t="str">
        <f ca="1"/>
        <v/>
      </c>
      <c r="R45" s="146" t="str">
        <f ca="1"/>
        <v/>
      </c>
      <c r="S45" s="146" t="str">
        <f ca="1"/>
        <v/>
      </c>
      <c r="T45" s="151" t="str">
        <f ca="1"/>
        <v/>
      </c>
      <c r="U45" s="146" t="str">
        <f ca="1"/>
        <v/>
      </c>
      <c r="V45" s="261" t="str">
        <f ca="1"/>
        <v/>
      </c>
    </row>
    <row r="46" spans="3:22" x14ac:dyDescent="0.25">
      <c r="E46" s="138" t="str">
        <f ca="1"/>
        <v/>
      </c>
      <c r="F46" s="139" t="str">
        <f ca="1"/>
        <v/>
      </c>
      <c r="G46" s="139" t="str">
        <f ca="1"/>
        <v/>
      </c>
      <c r="H46" s="147" t="str">
        <f ca="1"/>
        <v/>
      </c>
      <c r="I46" s="145" t="str">
        <f ca="1"/>
        <v/>
      </c>
      <c r="J46" s="139" t="str">
        <f ca="1"/>
        <v/>
      </c>
      <c r="K46" s="147" t="str">
        <f ca="1"/>
        <v/>
      </c>
      <c r="L46" s="147" t="str">
        <f ca="1"/>
        <v/>
      </c>
      <c r="M46" s="141" t="str">
        <f ca="1"/>
        <v/>
      </c>
      <c r="N46" s="141" t="str">
        <f ca="1"/>
        <v/>
      </c>
      <c r="O46" s="260" t="str">
        <f ca="1"/>
        <v/>
      </c>
      <c r="P46" s="145" t="str">
        <f ca="1"/>
        <v/>
      </c>
      <c r="Q46" s="145" t="str">
        <f ca="1"/>
        <v/>
      </c>
      <c r="R46" s="147" t="str">
        <f ca="1"/>
        <v/>
      </c>
      <c r="S46" s="147" t="str">
        <f ca="1"/>
        <v/>
      </c>
      <c r="T46" s="152" t="str">
        <f ca="1"/>
        <v/>
      </c>
      <c r="U46" s="147" t="str">
        <f ca="1"/>
        <v/>
      </c>
      <c r="V46" s="262" t="str">
        <f ca="1"/>
        <v/>
      </c>
    </row>
    <row r="47" spans="3:22" x14ac:dyDescent="0.25">
      <c r="E47" s="203"/>
    </row>
  </sheetData>
  <dataValidations count="2">
    <dataValidation type="list" allowBlank="1" showInputMessage="1" showErrorMessage="1" sqref="C7">
      <formula1>"PAY,RECEIVE"</formula1>
    </dataValidation>
    <dataValidation type="list" allowBlank="1" showInputMessage="1" showErrorMessage="1" sqref="C14">
      <formula1>"None,PayAtMaturity,PayEachCoupon,RestrikeNotional"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115"/>
  <sheetViews>
    <sheetView showGridLines="0" workbookViewId="0"/>
  </sheetViews>
  <sheetFormatPr defaultRowHeight="15" x14ac:dyDescent="0.25"/>
  <cols>
    <col min="2" max="2" width="34.140625" bestFit="1" customWidth="1"/>
    <col min="3" max="3" width="20" bestFit="1" customWidth="1"/>
    <col min="4" max="4" width="16.28515625" bestFit="1" customWidth="1"/>
    <col min="6" max="6" width="23" bestFit="1" customWidth="1"/>
    <col min="7" max="7" width="27.28515625" bestFit="1" customWidth="1"/>
    <col min="8" max="8" width="11.5703125" customWidth="1"/>
    <col min="10" max="10" width="9.140625" customWidth="1"/>
    <col min="11" max="11" width="12" customWidth="1"/>
    <col min="12" max="12" width="13.140625" customWidth="1"/>
    <col min="13" max="13" width="25.85546875" customWidth="1"/>
    <col min="14" max="14" width="9.5703125" bestFit="1" customWidth="1"/>
    <col min="15" max="15" width="15.140625" customWidth="1"/>
    <col min="16" max="16" width="16.140625" customWidth="1"/>
    <col min="17" max="17" width="10" bestFit="1" customWidth="1"/>
    <col min="18" max="18" width="9.85546875" bestFit="1" customWidth="1"/>
    <col min="19" max="19" width="9.5703125" bestFit="1" customWidth="1"/>
    <col min="20" max="20" width="10.5703125" bestFit="1" customWidth="1"/>
    <col min="21" max="21" width="14.5703125" customWidth="1"/>
    <col min="22" max="22" width="16.28515625" customWidth="1"/>
    <col min="23" max="23" width="26.140625" customWidth="1"/>
    <col min="24" max="24" width="16" customWidth="1"/>
    <col min="25" max="25" width="14.42578125" customWidth="1"/>
    <col min="26" max="26" width="13.5703125" customWidth="1"/>
    <col min="27" max="27" width="15.85546875" customWidth="1"/>
    <col min="28" max="29" width="9.28515625" bestFit="1" customWidth="1"/>
  </cols>
  <sheetData>
    <row r="2" spans="2:29" x14ac:dyDescent="0.25">
      <c r="B2" s="1" t="s">
        <v>179</v>
      </c>
      <c r="F2" s="1" t="s">
        <v>110</v>
      </c>
      <c r="G2" t="str">
        <f ca="1">G4</f>
        <v>TRS_USD_CT10@6:4</v>
      </c>
    </row>
    <row r="3" spans="2:29" x14ac:dyDescent="0.25">
      <c r="B3" s="110" t="s">
        <v>107</v>
      </c>
      <c r="C3" s="208" t="s">
        <v>195</v>
      </c>
      <c r="D3" s="206"/>
      <c r="F3" s="110" t="s">
        <v>111</v>
      </c>
      <c r="G3" s="111" t="s">
        <v>194</v>
      </c>
      <c r="K3" s="127" t="str">
        <f t="array" aca="1" ref="K3:AC51" ca="1">_xll.meUtilityResize(_xll.meLWOSwapDisplayCashflows(G4,G17),100,30)</f>
        <v>LEG1:PREMIUM Leg Schedule &amp; Cashflows</v>
      </c>
      <c r="L3" s="224" t="str">
        <f ca="1"/>
        <v/>
      </c>
      <c r="M3" s="224" t="str">
        <f ca="1"/>
        <v/>
      </c>
      <c r="N3" s="224" t="str">
        <f ca="1"/>
        <v/>
      </c>
      <c r="O3" s="224" t="str">
        <f ca="1"/>
        <v/>
      </c>
      <c r="P3" s="224" t="str">
        <f ca="1"/>
        <v/>
      </c>
      <c r="Q3" s="224" t="str">
        <f ca="1"/>
        <v/>
      </c>
      <c r="R3" s="224" t="str">
        <f ca="1"/>
        <v/>
      </c>
      <c r="S3" s="224" t="str">
        <f ca="1"/>
        <v/>
      </c>
      <c r="T3" s="224" t="str">
        <f ca="1"/>
        <v/>
      </c>
      <c r="U3" s="224" t="str">
        <f ca="1"/>
        <v/>
      </c>
      <c r="V3" s="224" t="str">
        <f ca="1"/>
        <v/>
      </c>
      <c r="W3" s="224" t="str">
        <f ca="1"/>
        <v/>
      </c>
      <c r="X3" s="224" t="str">
        <f ca="1"/>
        <v/>
      </c>
      <c r="Y3" s="224" t="str">
        <f ca="1"/>
        <v/>
      </c>
      <c r="Z3" s="224" t="str">
        <f ca="1"/>
        <v/>
      </c>
      <c r="AA3" s="224" t="str">
        <f ca="1"/>
        <v/>
      </c>
      <c r="AB3" s="224" t="str">
        <f ca="1"/>
        <v/>
      </c>
      <c r="AC3" s="224" t="str">
        <f ca="1"/>
        <v/>
      </c>
    </row>
    <row r="4" spans="2:29" x14ac:dyDescent="0.25">
      <c r="B4" s="112" t="s">
        <v>108</v>
      </c>
      <c r="C4" s="209" t="str">
        <f ca="1">_xll.meLWOSwapGeneratorCreate(C3,$B$7:$D$33)</f>
        <v>USD_TREASURY@1:4</v>
      </c>
      <c r="D4" s="207"/>
      <c r="F4" s="112" t="s">
        <v>113</v>
      </c>
      <c r="G4" s="113" t="str">
        <f ca="1">_xll.meLWOSwapCreateFromGenerator(G3,G15,G7,G8,G9,G10,G11,G12)</f>
        <v>TRS_USD_CT10@6:4</v>
      </c>
      <c r="K4" s="225" t="str">
        <f ca="1"/>
        <v>AccrualStart</v>
      </c>
      <c r="L4" s="59" t="str">
        <f ca="1"/>
        <v>AccrualEnd</v>
      </c>
      <c r="M4" s="59" t="str">
        <f ca="1"/>
        <v>AccrualDays</v>
      </c>
      <c r="N4" s="59" t="str">
        <f ca="1"/>
        <v>AccrualYearFractions</v>
      </c>
      <c r="O4" s="59" t="str">
        <f ca="1"/>
        <v>PaymentDate</v>
      </c>
      <c r="P4" s="59" t="str">
        <f ca="1"/>
        <v>Notional</v>
      </c>
      <c r="Q4" s="59" t="str">
        <f ca="1"/>
        <v>NotionalExchange</v>
      </c>
      <c r="R4" s="59" t="str">
        <f ca="1"/>
        <v>Leverage</v>
      </c>
      <c r="S4" s="59" t="str">
        <f ca="1"/>
        <v>CDSSpread</v>
      </c>
      <c r="T4" s="59" t="str">
        <f ca="1"/>
        <v>SurvivalProbability</v>
      </c>
      <c r="U4" s="59" t="str">
        <f ca="1"/>
        <v>MarginalDefaultProbability</v>
      </c>
      <c r="V4" s="59" t="str">
        <f ca="1"/>
        <v>PremiumCoupon</v>
      </c>
      <c r="W4" s="59" t="str">
        <f ca="1"/>
        <v>AccrualOnDefaultCoupon</v>
      </c>
      <c r="X4" s="59" t="str">
        <f ca="1"/>
        <v>RiskyCoupon</v>
      </c>
      <c r="Y4" s="59" t="str">
        <f ca="1"/>
        <v>DiscountFactor</v>
      </c>
      <c r="Z4" s="59" t="str">
        <f ca="1"/>
        <v>CouponPV</v>
      </c>
      <c r="AA4" s="59" t="str">
        <f ca="1"/>
        <v/>
      </c>
      <c r="AB4" s="59" t="str">
        <f ca="1"/>
        <v/>
      </c>
      <c r="AC4" s="59" t="str">
        <f ca="1"/>
        <v/>
      </c>
    </row>
    <row r="5" spans="2:29" x14ac:dyDescent="0.25">
      <c r="K5" s="225" t="str">
        <f ca="1"/>
        <v/>
      </c>
      <c r="L5" s="59" t="str">
        <f ca="1"/>
        <v/>
      </c>
      <c r="M5" s="59" t="str">
        <f ca="1"/>
        <v/>
      </c>
      <c r="N5" s="59" t="str">
        <f ca="1"/>
        <v/>
      </c>
      <c r="O5" s="226">
        <f ca="1"/>
        <v>43629</v>
      </c>
      <c r="P5" s="59" t="str">
        <f ca="1"/>
        <v/>
      </c>
      <c r="Q5" s="59">
        <f ca="1"/>
        <v>-10000000</v>
      </c>
      <c r="R5" s="59">
        <f ca="1"/>
        <v>1</v>
      </c>
      <c r="S5" s="59" t="str">
        <f ca="1"/>
        <v/>
      </c>
      <c r="T5" s="59" t="str">
        <f ca="1"/>
        <v/>
      </c>
      <c r="U5" s="59" t="str">
        <f ca="1"/>
        <v/>
      </c>
      <c r="V5" s="59" t="str">
        <f ca="1"/>
        <v/>
      </c>
      <c r="W5" s="59">
        <f ca="1"/>
        <v>0</v>
      </c>
      <c r="X5" s="146">
        <f ca="1"/>
        <v>-10000000</v>
      </c>
      <c r="Y5" s="59">
        <f ca="1"/>
        <v>0.99990428464939696</v>
      </c>
      <c r="Z5" s="146">
        <f ca="1"/>
        <v>-9999042.8464939706</v>
      </c>
      <c r="AA5" s="59" t="str">
        <f ca="1"/>
        <v/>
      </c>
      <c r="AB5" s="59" t="str">
        <f ca="1"/>
        <v/>
      </c>
      <c r="AC5" s="59" t="str">
        <f ca="1"/>
        <v/>
      </c>
    </row>
    <row r="6" spans="2:29" x14ac:dyDescent="0.25">
      <c r="B6" s="1" t="s">
        <v>180</v>
      </c>
      <c r="F6" s="1" t="s">
        <v>114</v>
      </c>
      <c r="K6" s="137">
        <f ca="1"/>
        <v>43629</v>
      </c>
      <c r="L6" s="226">
        <f ca="1"/>
        <v>43810</v>
      </c>
      <c r="M6" s="59">
        <f ca="1"/>
        <v>181</v>
      </c>
      <c r="N6" s="59">
        <f ca="1"/>
        <v>0.50277777777777799</v>
      </c>
      <c r="O6" s="226">
        <f ca="1"/>
        <v>43810</v>
      </c>
      <c r="P6" s="59">
        <f ca="1"/>
        <v>10000000</v>
      </c>
      <c r="Q6" s="59">
        <f ca="1"/>
        <v>0</v>
      </c>
      <c r="R6" s="59">
        <f ca="1"/>
        <v>1</v>
      </c>
      <c r="S6" s="59">
        <f ca="1"/>
        <v>2.75E-2</v>
      </c>
      <c r="T6" s="227">
        <f ca="1"/>
        <v>0.99843763847031397</v>
      </c>
      <c r="U6" s="227">
        <f ca="1"/>
        <v>1.54173211284547E-3</v>
      </c>
      <c r="V6" s="59">
        <f ca="1"/>
        <v>138047.87070794401</v>
      </c>
      <c r="W6" s="59">
        <f ca="1"/>
        <v>106.582938773449</v>
      </c>
      <c r="X6" s="146">
        <f ca="1"/>
        <v>138154.453646718</v>
      </c>
      <c r="Y6" s="59">
        <f ca="1"/>
        <v>0.99077167103061203</v>
      </c>
      <c r="Z6" s="146">
        <f ca="1"/>
        <v>136879.51889988</v>
      </c>
      <c r="AA6" s="59" t="str">
        <f ca="1"/>
        <v/>
      </c>
      <c r="AB6" s="59" t="str">
        <f ca="1"/>
        <v/>
      </c>
      <c r="AC6" s="59" t="str">
        <f ca="1"/>
        <v/>
      </c>
    </row>
    <row r="7" spans="2:29" x14ac:dyDescent="0.25">
      <c r="B7" s="101" t="s">
        <v>67</v>
      </c>
      <c r="C7" s="220" t="s">
        <v>68</v>
      </c>
      <c r="D7" s="105" t="s">
        <v>69</v>
      </c>
      <c r="F7" s="101" t="s">
        <v>116</v>
      </c>
      <c r="G7" s="114" t="s">
        <v>117</v>
      </c>
      <c r="K7" s="137">
        <f ca="1"/>
        <v>43810</v>
      </c>
      <c r="L7" s="226">
        <f ca="1"/>
        <v>43993</v>
      </c>
      <c r="M7" s="59">
        <f ca="1"/>
        <v>183</v>
      </c>
      <c r="N7" s="59">
        <f ca="1"/>
        <v>0.50833333333333297</v>
      </c>
      <c r="O7" s="226">
        <f ca="1"/>
        <v>43993</v>
      </c>
      <c r="P7" s="59">
        <f ca="1"/>
        <v>10000000</v>
      </c>
      <c r="Q7" s="59">
        <f ca="1"/>
        <v>0</v>
      </c>
      <c r="R7" s="59">
        <f ca="1"/>
        <v>1</v>
      </c>
      <c r="S7" s="59">
        <f ca="1"/>
        <v>2.75E-2</v>
      </c>
      <c r="T7" s="227">
        <f ca="1"/>
        <v>0.99661235203196397</v>
      </c>
      <c r="U7" s="227">
        <f ca="1"/>
        <v>1.82528643834989E-3</v>
      </c>
      <c r="V7" s="59">
        <f ca="1"/>
        <v>139318.10171113501</v>
      </c>
      <c r="W7" s="59">
        <f ca="1"/>
        <v>127.579916680498</v>
      </c>
      <c r="X7" s="146">
        <f ca="1"/>
        <v>139445.681627816</v>
      </c>
      <c r="Y7" s="59">
        <f ca="1"/>
        <v>0.98003554800691295</v>
      </c>
      <c r="Z7" s="146">
        <f ca="1"/>
        <v>136661.725011314</v>
      </c>
      <c r="AA7" s="59" t="str">
        <f ca="1"/>
        <v/>
      </c>
      <c r="AB7" s="59" t="str">
        <f ca="1"/>
        <v/>
      </c>
      <c r="AC7" s="59" t="str">
        <f ca="1"/>
        <v/>
      </c>
    </row>
    <row r="8" spans="2:29" x14ac:dyDescent="0.25">
      <c r="B8" s="102" t="s">
        <v>70</v>
      </c>
      <c r="C8" s="221" t="s">
        <v>71</v>
      </c>
      <c r="D8" s="107" t="s">
        <v>71</v>
      </c>
      <c r="F8" s="115" t="s">
        <v>118</v>
      </c>
      <c r="G8" s="116">
        <v>10000000</v>
      </c>
      <c r="K8" s="137">
        <f ca="1"/>
        <v>43993</v>
      </c>
      <c r="L8" s="226">
        <f ca="1"/>
        <v>44176</v>
      </c>
      <c r="M8" s="59">
        <f ca="1"/>
        <v>183</v>
      </c>
      <c r="N8" s="59">
        <f ca="1"/>
        <v>0.50833333333333297</v>
      </c>
      <c r="O8" s="226">
        <f ca="1"/>
        <v>44176</v>
      </c>
      <c r="P8" s="59">
        <f ca="1"/>
        <v>10000000</v>
      </c>
      <c r="Q8" s="59">
        <f ca="1"/>
        <v>0</v>
      </c>
      <c r="R8" s="59">
        <f ca="1"/>
        <v>1</v>
      </c>
      <c r="S8" s="59">
        <f ca="1"/>
        <v>2.75E-2</v>
      </c>
      <c r="T8" s="227">
        <f ca="1"/>
        <v>0.99477584129571595</v>
      </c>
      <c r="U8" s="227">
        <f ca="1"/>
        <v>1.83651073624835E-3</v>
      </c>
      <c r="V8" s="59">
        <f ca="1"/>
        <v>139061.372814464</v>
      </c>
      <c r="W8" s="59">
        <f ca="1"/>
        <v>128.364448335692</v>
      </c>
      <c r="X8" s="146">
        <f ca="1"/>
        <v>139189.737262799</v>
      </c>
      <c r="Y8" s="59">
        <f ca="1"/>
        <v>0.96831732955515304</v>
      </c>
      <c r="Z8" s="146">
        <f ca="1"/>
        <v>134779.834687797</v>
      </c>
      <c r="AA8" s="59" t="str">
        <f ca="1"/>
        <v/>
      </c>
      <c r="AB8" s="59" t="str">
        <f ca="1"/>
        <v/>
      </c>
      <c r="AC8" s="59" t="str">
        <f ca="1"/>
        <v/>
      </c>
    </row>
    <row r="9" spans="2:29" x14ac:dyDescent="0.25">
      <c r="B9" s="102" t="s">
        <v>72</v>
      </c>
      <c r="C9" s="161" t="s">
        <v>73</v>
      </c>
      <c r="D9" s="109" t="s">
        <v>189</v>
      </c>
      <c r="F9" s="115" t="s">
        <v>119</v>
      </c>
      <c r="G9" s="117">
        <f ca="1">_xll.meDateFromTenor(COB,H9,"FOLLOWING","NYB")</f>
        <v>43629</v>
      </c>
      <c r="H9" s="1" t="s">
        <v>181</v>
      </c>
      <c r="K9" s="137">
        <f ca="1"/>
        <v>44176</v>
      </c>
      <c r="L9" s="226">
        <f ca="1"/>
        <v>44358</v>
      </c>
      <c r="M9" s="59">
        <f ca="1"/>
        <v>182</v>
      </c>
      <c r="N9" s="59">
        <f ca="1"/>
        <v>0.50555555555555598</v>
      </c>
      <c r="O9" s="226">
        <f ca="1"/>
        <v>44358</v>
      </c>
      <c r="P9" s="59">
        <f ca="1"/>
        <v>10000000</v>
      </c>
      <c r="Q9" s="59">
        <f ca="1"/>
        <v>0</v>
      </c>
      <c r="R9" s="59">
        <f ca="1"/>
        <v>1</v>
      </c>
      <c r="S9" s="59">
        <f ca="1"/>
        <v>2.75E-2</v>
      </c>
      <c r="T9" s="227">
        <f ca="1"/>
        <v>0.99277134264304701</v>
      </c>
      <c r="U9" s="227">
        <f ca="1"/>
        <v>2.00449865266883E-3</v>
      </c>
      <c r="V9" s="59">
        <f ca="1"/>
        <v>138022.793609124</v>
      </c>
      <c r="W9" s="59">
        <f ca="1"/>
        <v>139.34049661954799</v>
      </c>
      <c r="X9" s="146">
        <f ca="1"/>
        <v>138162.134105743</v>
      </c>
      <c r="Y9" s="59">
        <f ca="1"/>
        <v>0.95645367627325795</v>
      </c>
      <c r="Z9" s="146">
        <f ca="1"/>
        <v>132145.68108719701</v>
      </c>
      <c r="AA9" s="59" t="str">
        <f ca="1"/>
        <v/>
      </c>
      <c r="AB9" s="59" t="str">
        <f ca="1"/>
        <v/>
      </c>
      <c r="AC9" s="59" t="str">
        <f ca="1"/>
        <v/>
      </c>
    </row>
    <row r="10" spans="2:29" x14ac:dyDescent="0.25">
      <c r="B10" s="102" t="s">
        <v>75</v>
      </c>
      <c r="C10" s="161" t="s">
        <v>76</v>
      </c>
      <c r="D10" s="109" t="s">
        <v>76</v>
      </c>
      <c r="F10" s="115" t="s">
        <v>120</v>
      </c>
      <c r="G10" s="117">
        <f ca="1">_xll.meDateFromTenor(COB,H10)</f>
        <v>47280</v>
      </c>
      <c r="H10" s="1" t="s">
        <v>24</v>
      </c>
      <c r="I10" s="217" t="s">
        <v>191</v>
      </c>
      <c r="K10" s="137">
        <f ca="1"/>
        <v>44358</v>
      </c>
      <c r="L10" s="226">
        <f ca="1"/>
        <v>44543</v>
      </c>
      <c r="M10" s="59">
        <f ca="1"/>
        <v>185</v>
      </c>
      <c r="N10" s="59">
        <f ca="1"/>
        <v>0.51388888888888895</v>
      </c>
      <c r="O10" s="226">
        <f ca="1"/>
        <v>44543</v>
      </c>
      <c r="P10" s="59">
        <f ca="1"/>
        <v>10000000</v>
      </c>
      <c r="Q10" s="59">
        <f ca="1"/>
        <v>0</v>
      </c>
      <c r="R10" s="59">
        <f ca="1"/>
        <v>1</v>
      </c>
      <c r="S10" s="59">
        <f ca="1"/>
        <v>2.75E-2</v>
      </c>
      <c r="T10" s="227">
        <f ca="1"/>
        <v>0.99072724610426599</v>
      </c>
      <c r="U10" s="227">
        <f ca="1"/>
        <v>2.0440965387813499E-3</v>
      </c>
      <c r="V10" s="59">
        <f ca="1"/>
        <v>140009.02401542899</v>
      </c>
      <c r="W10" s="59">
        <f ca="1"/>
        <v>144.435293625696</v>
      </c>
      <c r="X10" s="146">
        <f ca="1"/>
        <v>140153.459309055</v>
      </c>
      <c r="Y10" s="59">
        <f ca="1"/>
        <v>0.94448866837835599</v>
      </c>
      <c r="Z10" s="146">
        <f ca="1"/>
        <v>132373.354151429</v>
      </c>
      <c r="AA10" s="59" t="str">
        <f ca="1"/>
        <v/>
      </c>
      <c r="AB10" s="59" t="str">
        <f ca="1"/>
        <v/>
      </c>
      <c r="AC10" s="59" t="str">
        <f ca="1"/>
        <v/>
      </c>
    </row>
    <row r="11" spans="2:29" x14ac:dyDescent="0.25">
      <c r="B11" s="102" t="s">
        <v>77</v>
      </c>
      <c r="C11" s="161" t="s">
        <v>178</v>
      </c>
      <c r="D11" s="109" t="s">
        <v>178</v>
      </c>
      <c r="F11" s="115" t="s">
        <v>121</v>
      </c>
      <c r="G11" s="123">
        <v>2.75E-2</v>
      </c>
      <c r="K11" s="137">
        <f ca="1"/>
        <v>44543</v>
      </c>
      <c r="L11" s="226">
        <f ca="1"/>
        <v>44725</v>
      </c>
      <c r="M11" s="59">
        <f ca="1"/>
        <v>182</v>
      </c>
      <c r="N11" s="59">
        <f ca="1"/>
        <v>0.50555555555555598</v>
      </c>
      <c r="O11" s="226">
        <f ca="1"/>
        <v>44725</v>
      </c>
      <c r="P11" s="59">
        <f ca="1"/>
        <v>10000000</v>
      </c>
      <c r="Q11" s="59">
        <f ca="1"/>
        <v>0</v>
      </c>
      <c r="R11" s="59">
        <f ca="1"/>
        <v>1</v>
      </c>
      <c r="S11" s="59">
        <f ca="1"/>
        <v>2.75E-2</v>
      </c>
      <c r="T11" s="227">
        <f ca="1"/>
        <v>0.98852238534622505</v>
      </c>
      <c r="U11" s="227">
        <f ca="1"/>
        <v>2.20486075804105E-3</v>
      </c>
      <c r="V11" s="59">
        <f ca="1"/>
        <v>137432.07051827401</v>
      </c>
      <c r="W11" s="59">
        <f ca="1"/>
        <v>153.268445749937</v>
      </c>
      <c r="X11" s="146">
        <f ca="1"/>
        <v>137585.33896402401</v>
      </c>
      <c r="Y11" s="59">
        <f ca="1"/>
        <v>0.93297558711304995</v>
      </c>
      <c r="Z11" s="146">
        <f ca="1"/>
        <v>128363.762398108</v>
      </c>
      <c r="AA11" s="59" t="str">
        <f ca="1"/>
        <v/>
      </c>
      <c r="AB11" s="59" t="str">
        <f ca="1"/>
        <v/>
      </c>
      <c r="AC11" s="59" t="str">
        <f ca="1"/>
        <v/>
      </c>
    </row>
    <row r="12" spans="2:29" x14ac:dyDescent="0.25">
      <c r="B12" s="102" t="s">
        <v>78</v>
      </c>
      <c r="C12" s="161" t="s">
        <v>79</v>
      </c>
      <c r="D12" s="109" t="s">
        <v>79</v>
      </c>
      <c r="F12" s="112" t="s">
        <v>129</v>
      </c>
      <c r="G12" s="124">
        <v>239.34</v>
      </c>
      <c r="K12" s="137">
        <f ca="1"/>
        <v>44725</v>
      </c>
      <c r="L12" s="226">
        <f ca="1"/>
        <v>44907</v>
      </c>
      <c r="M12" s="59">
        <f ca="1"/>
        <v>182</v>
      </c>
      <c r="N12" s="59">
        <f ca="1"/>
        <v>0.50555555555555598</v>
      </c>
      <c r="O12" s="226">
        <f ca="1"/>
        <v>44907</v>
      </c>
      <c r="P12" s="59">
        <f ca="1"/>
        <v>10000000</v>
      </c>
      <c r="Q12" s="59">
        <f ca="1"/>
        <v>0</v>
      </c>
      <c r="R12" s="59">
        <f ca="1"/>
        <v>1</v>
      </c>
      <c r="S12" s="59">
        <f ca="1"/>
        <v>2.75E-2</v>
      </c>
      <c r="T12" s="227">
        <f ca="1"/>
        <v>0.98631452920209095</v>
      </c>
      <c r="U12" s="227">
        <f ca="1"/>
        <v>2.2078561441333201E-3</v>
      </c>
      <c r="V12" s="59">
        <f ca="1"/>
        <v>137125.11718490199</v>
      </c>
      <c r="W12" s="59">
        <f ca="1"/>
        <v>153.47666668593499</v>
      </c>
      <c r="X12" s="146">
        <f ca="1"/>
        <v>137278.593851588</v>
      </c>
      <c r="Y12" s="59">
        <f ca="1"/>
        <v>0.92174916988452105</v>
      </c>
      <c r="Z12" s="146">
        <f ca="1"/>
        <v>126536.429925615</v>
      </c>
      <c r="AA12" s="59" t="str">
        <f ca="1"/>
        <v/>
      </c>
      <c r="AB12" s="59" t="str">
        <f ca="1"/>
        <v/>
      </c>
      <c r="AC12" s="59" t="str">
        <f ca="1"/>
        <v/>
      </c>
    </row>
    <row r="13" spans="2:29" x14ac:dyDescent="0.25">
      <c r="B13" s="102" t="s">
        <v>80</v>
      </c>
      <c r="C13" s="161" t="s">
        <v>12</v>
      </c>
      <c r="D13" s="109" t="s">
        <v>12</v>
      </c>
      <c r="F13" s="99"/>
      <c r="G13" s="99"/>
      <c r="K13" s="137">
        <f ca="1"/>
        <v>44907</v>
      </c>
      <c r="L13" s="226">
        <f ca="1"/>
        <v>45089</v>
      </c>
      <c r="M13" s="59">
        <f ca="1"/>
        <v>182</v>
      </c>
      <c r="N13" s="59">
        <f ca="1"/>
        <v>0.50555555555555598</v>
      </c>
      <c r="O13" s="226">
        <f ca="1"/>
        <v>45089</v>
      </c>
      <c r="P13" s="59">
        <f ca="1"/>
        <v>10000000</v>
      </c>
      <c r="Q13" s="59">
        <f ca="1"/>
        <v>0</v>
      </c>
      <c r="R13" s="59">
        <f ca="1"/>
        <v>1</v>
      </c>
      <c r="S13" s="59">
        <f ca="1"/>
        <v>2.75E-2</v>
      </c>
      <c r="T13" s="227">
        <f ca="1"/>
        <v>0.98431410594165403</v>
      </c>
      <c r="U13" s="227">
        <f ca="1"/>
        <v>2.0004232604370299E-3</v>
      </c>
      <c r="V13" s="59">
        <f ca="1"/>
        <v>136847.00278438799</v>
      </c>
      <c r="W13" s="59">
        <f ca="1"/>
        <v>139.05720025676899</v>
      </c>
      <c r="X13" s="146">
        <f ca="1"/>
        <v>136986.05998464499</v>
      </c>
      <c r="Y13" s="59">
        <f ca="1"/>
        <v>0.91069470725095303</v>
      </c>
      <c r="Z13" s="146">
        <f ca="1"/>
        <v>124752.47979517801</v>
      </c>
      <c r="AA13" s="59" t="str">
        <f ca="1"/>
        <v/>
      </c>
      <c r="AB13" s="59" t="str">
        <f ca="1"/>
        <v/>
      </c>
      <c r="AC13" s="59" t="str">
        <f ca="1"/>
        <v/>
      </c>
    </row>
    <row r="14" spans="2:29" x14ac:dyDescent="0.25">
      <c r="B14" s="102" t="s">
        <v>81</v>
      </c>
      <c r="C14" s="161" t="s">
        <v>12</v>
      </c>
      <c r="D14" s="109" t="s">
        <v>12</v>
      </c>
      <c r="F14" s="1" t="s">
        <v>122</v>
      </c>
      <c r="K14" s="137">
        <f ca="1"/>
        <v>45089</v>
      </c>
      <c r="L14" s="226">
        <f ca="1"/>
        <v>45271</v>
      </c>
      <c r="M14" s="59">
        <f ca="1"/>
        <v>182</v>
      </c>
      <c r="N14" s="59">
        <f ca="1"/>
        <v>0.50555555555555598</v>
      </c>
      <c r="O14" s="226">
        <f ca="1"/>
        <v>45271</v>
      </c>
      <c r="P14" s="59">
        <f ca="1"/>
        <v>10000000</v>
      </c>
      <c r="Q14" s="59">
        <f ca="1"/>
        <v>0</v>
      </c>
      <c r="R14" s="59">
        <f ca="1"/>
        <v>1</v>
      </c>
      <c r="S14" s="59">
        <f ca="1"/>
        <v>2.75E-2</v>
      </c>
      <c r="T14" s="227">
        <f ca="1"/>
        <v>0.98232703243699804</v>
      </c>
      <c r="U14" s="227">
        <f ca="1"/>
        <v>1.98707350465666E-3</v>
      </c>
      <c r="V14" s="59">
        <f ca="1"/>
        <v>136570.74437075501</v>
      </c>
      <c r="W14" s="59">
        <f ca="1"/>
        <v>138.129206816758</v>
      </c>
      <c r="X14" s="146">
        <f ca="1"/>
        <v>136708.873577572</v>
      </c>
      <c r="Y14" s="59">
        <f ca="1"/>
        <v>0.89963501001119395</v>
      </c>
      <c r="Z14" s="146">
        <f ca="1"/>
        <v>122988.08884957799</v>
      </c>
      <c r="AA14" s="59" t="str">
        <f ca="1"/>
        <v/>
      </c>
      <c r="AB14" s="59" t="str">
        <f ca="1"/>
        <v/>
      </c>
      <c r="AC14" s="59" t="str">
        <f ca="1"/>
        <v/>
      </c>
    </row>
    <row r="15" spans="2:29" x14ac:dyDescent="0.25">
      <c r="B15" s="102" t="s">
        <v>82</v>
      </c>
      <c r="C15" s="161" t="s">
        <v>182</v>
      </c>
      <c r="D15" s="109" t="s">
        <v>182</v>
      </c>
      <c r="F15" s="101" t="s">
        <v>115</v>
      </c>
      <c r="G15" s="210" t="str">
        <f ca="1">C4</f>
        <v>USD_TREASURY@1:4</v>
      </c>
      <c r="K15" s="137">
        <f ca="1"/>
        <v>45271</v>
      </c>
      <c r="L15" s="226">
        <f ca="1"/>
        <v>45454</v>
      </c>
      <c r="M15" s="59">
        <f ca="1"/>
        <v>183</v>
      </c>
      <c r="N15" s="59">
        <f ca="1"/>
        <v>0.50833333333333297</v>
      </c>
      <c r="O15" s="226">
        <f ca="1"/>
        <v>45454</v>
      </c>
      <c r="P15" s="59">
        <f ca="1"/>
        <v>10000000</v>
      </c>
      <c r="Q15" s="59">
        <f ca="1"/>
        <v>0</v>
      </c>
      <c r="R15" s="59">
        <f ca="1"/>
        <v>1</v>
      </c>
      <c r="S15" s="59">
        <f ca="1"/>
        <v>2.75E-2</v>
      </c>
      <c r="T15" s="227">
        <f ca="1"/>
        <v>0.97923595902522897</v>
      </c>
      <c r="U15" s="227">
        <f ca="1"/>
        <v>3.0910734117691701E-3</v>
      </c>
      <c r="V15" s="59">
        <f ca="1"/>
        <v>136889.026772068</v>
      </c>
      <c r="W15" s="59">
        <f ca="1"/>
        <v>216.05315201011601</v>
      </c>
      <c r="X15" s="146">
        <f ca="1"/>
        <v>137105.07992407901</v>
      </c>
      <c r="Y15" s="59">
        <f ca="1"/>
        <v>0.88856258310361202</v>
      </c>
      <c r="Z15" s="146">
        <f ca="1"/>
        <v>121826.443973966</v>
      </c>
      <c r="AA15" s="59" t="str">
        <f ca="1"/>
        <v/>
      </c>
      <c r="AB15" s="59" t="str">
        <f ca="1"/>
        <v/>
      </c>
      <c r="AC15" s="59" t="str">
        <f ca="1"/>
        <v/>
      </c>
    </row>
    <row r="16" spans="2:29" x14ac:dyDescent="0.25">
      <c r="B16" s="102" t="s">
        <v>84</v>
      </c>
      <c r="C16" s="161" t="s">
        <v>85</v>
      </c>
      <c r="D16" s="109" t="s">
        <v>85</v>
      </c>
      <c r="F16" s="102" t="s">
        <v>123</v>
      </c>
      <c r="G16" s="125" t="str">
        <f ca="1">USD3ML!D28</f>
        <v>USDYC</v>
      </c>
      <c r="K16" s="137">
        <f ca="1"/>
        <v>45454</v>
      </c>
      <c r="L16" s="226">
        <f ca="1"/>
        <v>45637</v>
      </c>
      <c r="M16" s="59">
        <f ca="1"/>
        <v>183</v>
      </c>
      <c r="N16" s="59">
        <f ca="1"/>
        <v>0.50833333333333297</v>
      </c>
      <c r="O16" s="226">
        <f ca="1"/>
        <v>45637</v>
      </c>
      <c r="P16" s="59">
        <f ca="1"/>
        <v>10000000</v>
      </c>
      <c r="Q16" s="59">
        <f ca="1"/>
        <v>0</v>
      </c>
      <c r="R16" s="59">
        <f ca="1"/>
        <v>1</v>
      </c>
      <c r="S16" s="59">
        <f ca="1"/>
        <v>2.75E-2</v>
      </c>
      <c r="T16" s="227">
        <f ca="1"/>
        <v>0.976098076200278</v>
      </c>
      <c r="U16" s="227">
        <f ca="1"/>
        <v>3.1378828249503101E-3</v>
      </c>
      <c r="V16" s="59">
        <f ca="1"/>
        <v>136450.37690216399</v>
      </c>
      <c r="W16" s="59">
        <f ca="1"/>
        <v>219.324934952256</v>
      </c>
      <c r="X16" s="146">
        <f ca="1"/>
        <v>136669.70183711601</v>
      </c>
      <c r="Y16" s="59">
        <f ca="1"/>
        <v>0.87767107173304404</v>
      </c>
      <c r="Z16" s="146">
        <f ca="1"/>
        <v>119951.04368481701</v>
      </c>
      <c r="AA16" s="59" t="str">
        <f ca="1"/>
        <v/>
      </c>
      <c r="AB16" s="59" t="str">
        <f ca="1"/>
        <v/>
      </c>
      <c r="AC16" s="59" t="str">
        <f ca="1"/>
        <v/>
      </c>
    </row>
    <row r="17" spans="2:29" x14ac:dyDescent="0.25">
      <c r="B17" s="102" t="s">
        <v>86</v>
      </c>
      <c r="C17" s="161" t="s">
        <v>146</v>
      </c>
      <c r="D17" s="109" t="s">
        <v>146</v>
      </c>
      <c r="F17" s="103" t="s">
        <v>124</v>
      </c>
      <c r="G17" s="126" t="str">
        <f ca="1">CREDITMODEL!$C$4</f>
        <v>CREDITMODEL1@15:3</v>
      </c>
      <c r="K17" s="137">
        <f ca="1"/>
        <v>45637</v>
      </c>
      <c r="L17" s="226">
        <f ca="1"/>
        <v>45819</v>
      </c>
      <c r="M17" s="59">
        <f ca="1"/>
        <v>182</v>
      </c>
      <c r="N17" s="59">
        <f ca="1"/>
        <v>0.50555555555555598</v>
      </c>
      <c r="O17" s="226">
        <f ca="1"/>
        <v>45819</v>
      </c>
      <c r="P17" s="59">
        <f ca="1"/>
        <v>10000000</v>
      </c>
      <c r="Q17" s="59">
        <f ca="1"/>
        <v>0</v>
      </c>
      <c r="R17" s="59">
        <f ca="1"/>
        <v>1</v>
      </c>
      <c r="S17" s="59">
        <f ca="1"/>
        <v>2.75E-2</v>
      </c>
      <c r="T17" s="227">
        <f ca="1"/>
        <v>0.972987313158583</v>
      </c>
      <c r="U17" s="227">
        <f ca="1"/>
        <v>3.1107630416947799E-3</v>
      </c>
      <c r="V17" s="59">
        <f ca="1"/>
        <v>135272.26395440899</v>
      </c>
      <c r="W17" s="59">
        <f ca="1"/>
        <v>216.24123644003299</v>
      </c>
      <c r="X17" s="146">
        <f ca="1"/>
        <v>135488.50519084901</v>
      </c>
      <c r="Y17" s="59">
        <f ca="1"/>
        <v>0.86703713877428001</v>
      </c>
      <c r="Z17" s="146">
        <f ca="1"/>
        <v>117473.565877478</v>
      </c>
      <c r="AA17" s="59" t="str">
        <f ca="1"/>
        <v/>
      </c>
      <c r="AB17" s="59" t="str">
        <f ca="1"/>
        <v/>
      </c>
      <c r="AC17" s="59" t="str">
        <f ca="1"/>
        <v/>
      </c>
    </row>
    <row r="18" spans="2:29" x14ac:dyDescent="0.25">
      <c r="B18" s="102" t="s">
        <v>88</v>
      </c>
      <c r="C18" s="161" t="s">
        <v>89</v>
      </c>
      <c r="D18" s="109" t="s">
        <v>89</v>
      </c>
      <c r="K18" s="137">
        <f ca="1"/>
        <v>45819</v>
      </c>
      <c r="L18" s="226">
        <f ca="1"/>
        <v>46002</v>
      </c>
      <c r="M18" s="59">
        <f ca="1"/>
        <v>183</v>
      </c>
      <c r="N18" s="59">
        <f ca="1"/>
        <v>0.50833333333333297</v>
      </c>
      <c r="O18" s="226">
        <f ca="1"/>
        <v>46002</v>
      </c>
      <c r="P18" s="59">
        <f ca="1"/>
        <v>10000000</v>
      </c>
      <c r="Q18" s="59">
        <f ca="1"/>
        <v>0</v>
      </c>
      <c r="R18" s="59">
        <f ca="1"/>
        <v>1</v>
      </c>
      <c r="S18" s="59">
        <f ca="1"/>
        <v>2.75E-2</v>
      </c>
      <c r="T18" s="227">
        <f ca="1"/>
        <v>0.96986945361644195</v>
      </c>
      <c r="U18" s="227">
        <f ca="1"/>
        <v>3.11785954214161E-3</v>
      </c>
      <c r="V18" s="59">
        <f ca="1"/>
        <v>135579.667370132</v>
      </c>
      <c r="W18" s="59">
        <f ca="1"/>
        <v>217.92539091427301</v>
      </c>
      <c r="X18" s="146">
        <f ca="1"/>
        <v>135797.59276104599</v>
      </c>
      <c r="Y18" s="59">
        <f ca="1"/>
        <v>0.85651350084004796</v>
      </c>
      <c r="Z18" s="146">
        <f ca="1"/>
        <v>116312.471581415</v>
      </c>
      <c r="AA18" s="59" t="str">
        <f ca="1"/>
        <v/>
      </c>
      <c r="AB18" s="59" t="str">
        <f ca="1"/>
        <v/>
      </c>
      <c r="AC18" s="59" t="str">
        <f ca="1"/>
        <v/>
      </c>
    </row>
    <row r="19" spans="2:29" x14ac:dyDescent="0.25">
      <c r="B19" s="102" t="s">
        <v>90</v>
      </c>
      <c r="C19" s="161" t="s">
        <v>182</v>
      </c>
      <c r="D19" s="109" t="s">
        <v>182</v>
      </c>
      <c r="F19" s="1" t="s">
        <v>125</v>
      </c>
      <c r="G19" s="216"/>
      <c r="K19" s="137">
        <f ca="1"/>
        <v>46002</v>
      </c>
      <c r="L19" s="226">
        <f ca="1"/>
        <v>46184</v>
      </c>
      <c r="M19" s="59">
        <f ca="1"/>
        <v>182</v>
      </c>
      <c r="N19" s="59">
        <f ca="1"/>
        <v>0.50555555555555598</v>
      </c>
      <c r="O19" s="226">
        <f ca="1"/>
        <v>46184</v>
      </c>
      <c r="P19" s="59">
        <f ca="1"/>
        <v>10000000</v>
      </c>
      <c r="Q19" s="59">
        <f ca="1"/>
        <v>0</v>
      </c>
      <c r="R19" s="59">
        <f ca="1"/>
        <v>1</v>
      </c>
      <c r="S19" s="59">
        <f ca="1"/>
        <v>2.75E-2</v>
      </c>
      <c r="T19" s="227">
        <f ca="1"/>
        <v>0.96647734003488805</v>
      </c>
      <c r="U19" s="227">
        <f ca="1"/>
        <v>3.3921135815533402E-3</v>
      </c>
      <c r="V19" s="59">
        <f ca="1"/>
        <v>134367.19685762801</v>
      </c>
      <c r="W19" s="59">
        <f ca="1"/>
        <v>235.79900660659001</v>
      </c>
      <c r="X19" s="146">
        <f ca="1"/>
        <v>134602.99586423501</v>
      </c>
      <c r="Y19" s="59">
        <f ca="1"/>
        <v>0.84616761049679001</v>
      </c>
      <c r="Z19" s="146">
        <f ca="1"/>
        <v>113896.695376149</v>
      </c>
      <c r="AA19" s="59" t="str">
        <f ca="1"/>
        <v/>
      </c>
      <c r="AB19" s="59" t="str">
        <f ca="1"/>
        <v/>
      </c>
      <c r="AC19" s="59" t="str">
        <f ca="1"/>
        <v/>
      </c>
    </row>
    <row r="20" spans="2:29" x14ac:dyDescent="0.25">
      <c r="B20" s="102" t="s">
        <v>91</v>
      </c>
      <c r="C20" s="161" t="s">
        <v>85</v>
      </c>
      <c r="D20" s="109" t="s">
        <v>85</v>
      </c>
      <c r="F20" s="110" t="s">
        <v>126</v>
      </c>
      <c r="G20" s="120">
        <f ca="1">_xll.meLWOTotalReturnSwapPV($G$4,$G$17)</f>
        <v>-1603863.9781620773</v>
      </c>
      <c r="K20" s="137">
        <f ca="1"/>
        <v>46184</v>
      </c>
      <c r="L20" s="226">
        <f ca="1"/>
        <v>46367</v>
      </c>
      <c r="M20" s="59">
        <f ca="1"/>
        <v>183</v>
      </c>
      <c r="N20" s="59">
        <f ca="1"/>
        <v>0.50833333333333297</v>
      </c>
      <c r="O20" s="226">
        <f ca="1"/>
        <v>46367</v>
      </c>
      <c r="P20" s="59">
        <f ca="1"/>
        <v>10000000</v>
      </c>
      <c r="Q20" s="59">
        <f ca="1"/>
        <v>0</v>
      </c>
      <c r="R20" s="59">
        <f ca="1"/>
        <v>1</v>
      </c>
      <c r="S20" s="59">
        <f ca="1"/>
        <v>2.75E-2</v>
      </c>
      <c r="T20" s="227">
        <f ca="1"/>
        <v>0.96305914003386806</v>
      </c>
      <c r="U20" s="227">
        <f ca="1"/>
        <v>3.41820000102078E-3</v>
      </c>
      <c r="V20" s="59">
        <f ca="1"/>
        <v>134627.64228390099</v>
      </c>
      <c r="W20" s="59">
        <f ca="1"/>
        <v>238.91793757134801</v>
      </c>
      <c r="X20" s="146">
        <f ca="1"/>
        <v>134866.560221472</v>
      </c>
      <c r="Y20" s="59">
        <f ca="1"/>
        <v>0.83583302599072895</v>
      </c>
      <c r="Z20" s="146">
        <f ca="1"/>
        <v>112725.92513487401</v>
      </c>
      <c r="AA20" s="59" t="str">
        <f ca="1"/>
        <v/>
      </c>
      <c r="AB20" s="59" t="str">
        <f ca="1"/>
        <v/>
      </c>
      <c r="AC20" s="59" t="str">
        <f ca="1"/>
        <v/>
      </c>
    </row>
    <row r="21" spans="2:29" x14ac:dyDescent="0.25">
      <c r="B21" s="102" t="s">
        <v>92</v>
      </c>
      <c r="C21" s="161" t="s">
        <v>146</v>
      </c>
      <c r="D21" s="109" t="s">
        <v>87</v>
      </c>
      <c r="F21" s="115" t="s">
        <v>68</v>
      </c>
      <c r="G21" s="121">
        <f ca="1">_xll.meLWOTotalReturnSwapPV($G$4,$G$17,F21)</f>
        <v>-156897.49417879153</v>
      </c>
      <c r="H21" t="s">
        <v>4</v>
      </c>
      <c r="K21" s="137">
        <f ca="1"/>
        <v>46367</v>
      </c>
      <c r="L21" s="226">
        <f ca="1"/>
        <v>46549</v>
      </c>
      <c r="M21" s="59">
        <f ca="1"/>
        <v>182</v>
      </c>
      <c r="N21" s="59">
        <f ca="1"/>
        <v>0.50555555555555598</v>
      </c>
      <c r="O21" s="226">
        <f ca="1"/>
        <v>46549</v>
      </c>
      <c r="P21" s="59">
        <f ca="1"/>
        <v>10000000</v>
      </c>
      <c r="Q21" s="59">
        <f ca="1"/>
        <v>0</v>
      </c>
      <c r="R21" s="59">
        <f ca="1"/>
        <v>1</v>
      </c>
      <c r="S21" s="59">
        <f ca="1"/>
        <v>2.75E-2</v>
      </c>
      <c r="T21" s="227">
        <f ca="1"/>
        <v>0.959671609244792</v>
      </c>
      <c r="U21" s="227">
        <f ca="1"/>
        <v>3.3875307890757198E-3</v>
      </c>
      <c r="V21" s="59">
        <f ca="1"/>
        <v>133421.01122972701</v>
      </c>
      <c r="W21" s="59">
        <f ca="1"/>
        <v>235.48043887950001</v>
      </c>
      <c r="X21" s="146">
        <f ca="1"/>
        <v>133656.49166860699</v>
      </c>
      <c r="Y21" s="59">
        <f ca="1"/>
        <v>0.82560893014341996</v>
      </c>
      <c r="Z21" s="146">
        <f ca="1"/>
        <v>110347.99309324101</v>
      </c>
      <c r="AA21" s="59" t="str">
        <f ca="1"/>
        <v/>
      </c>
      <c r="AB21" s="59" t="str">
        <f ca="1"/>
        <v/>
      </c>
      <c r="AC21" s="59" t="str">
        <f ca="1"/>
        <v/>
      </c>
    </row>
    <row r="22" spans="2:29" x14ac:dyDescent="0.25">
      <c r="B22" s="102" t="s">
        <v>93</v>
      </c>
      <c r="C22" s="161" t="s">
        <v>94</v>
      </c>
      <c r="D22" s="109" t="s">
        <v>94</v>
      </c>
      <c r="F22" s="115" t="s">
        <v>69</v>
      </c>
      <c r="G22" s="121">
        <f ca="1">_xll.meLWOTotalReturnSwapPV($G$4,$G$17,F22)</f>
        <v>-1446966.4839832857</v>
      </c>
      <c r="H22" t="s">
        <v>4</v>
      </c>
      <c r="K22" s="137">
        <f ca="1"/>
        <v>46549</v>
      </c>
      <c r="L22" s="226">
        <f ca="1"/>
        <v>46734</v>
      </c>
      <c r="M22" s="59">
        <f ca="1"/>
        <v>185</v>
      </c>
      <c r="N22" s="59">
        <f ca="1"/>
        <v>0.51388888888888895</v>
      </c>
      <c r="O22" s="226">
        <f ca="1"/>
        <v>46734</v>
      </c>
      <c r="P22" s="59">
        <f ca="1"/>
        <v>10000000</v>
      </c>
      <c r="Q22" s="59">
        <f ca="1"/>
        <v>0</v>
      </c>
      <c r="R22" s="59">
        <f ca="1"/>
        <v>1</v>
      </c>
      <c r="S22" s="59">
        <f ca="1"/>
        <v>2.75E-2</v>
      </c>
      <c r="T22" s="227">
        <f ca="1"/>
        <v>0.95624045156849102</v>
      </c>
      <c r="U22" s="227">
        <f ca="1"/>
        <v>3.4311576763006398E-3</v>
      </c>
      <c r="V22" s="59">
        <f ca="1"/>
        <v>135135.36937096401</v>
      </c>
      <c r="W22" s="59">
        <f ca="1"/>
        <v>242.44464830804901</v>
      </c>
      <c r="X22" s="146">
        <f ca="1"/>
        <v>135377.81401927199</v>
      </c>
      <c r="Y22" s="59">
        <f ca="1"/>
        <v>0.81527034926216602</v>
      </c>
      <c r="Z22" s="146">
        <f ca="1"/>
        <v>110369.51771784</v>
      </c>
      <c r="AA22" s="59" t="str">
        <f ca="1"/>
        <v/>
      </c>
      <c r="AB22" s="59" t="str">
        <f ca="1"/>
        <v/>
      </c>
      <c r="AC22" s="59" t="str">
        <f ca="1"/>
        <v/>
      </c>
    </row>
    <row r="23" spans="2:29" x14ac:dyDescent="0.25">
      <c r="B23" s="102" t="s">
        <v>95</v>
      </c>
      <c r="C23" s="161" t="s">
        <v>73</v>
      </c>
      <c r="D23" s="109" t="s">
        <v>73</v>
      </c>
      <c r="F23" s="115" t="s">
        <v>127</v>
      </c>
      <c r="G23" s="122">
        <f ca="1">_xll.meLWOTotalReturnSwapParRate(G4,G17)</f>
        <v>4.5772253339899892E-2</v>
      </c>
      <c r="H23" t="s">
        <v>4</v>
      </c>
      <c r="K23" s="137">
        <f ca="1"/>
        <v>46734</v>
      </c>
      <c r="L23" s="226">
        <f ca="1"/>
        <v>46916</v>
      </c>
      <c r="M23" s="59">
        <f ca="1"/>
        <v>182</v>
      </c>
      <c r="N23" s="59">
        <f ca="1"/>
        <v>0.50555555555555598</v>
      </c>
      <c r="O23" s="226">
        <f ca="1"/>
        <v>46916</v>
      </c>
      <c r="P23" s="59">
        <f ca="1"/>
        <v>10000000</v>
      </c>
      <c r="Q23" s="59">
        <f ca="1"/>
        <v>0</v>
      </c>
      <c r="R23" s="59">
        <f ca="1"/>
        <v>1</v>
      </c>
      <c r="S23" s="59">
        <f ca="1"/>
        <v>2.75E-2</v>
      </c>
      <c r="T23" s="227">
        <f ca="1"/>
        <v>0.95287690530555502</v>
      </c>
      <c r="U23" s="227">
        <f ca="1"/>
        <v>3.3635462629367798E-3</v>
      </c>
      <c r="V23" s="59">
        <f ca="1"/>
        <v>132476.358640397</v>
      </c>
      <c r="W23" s="59">
        <f ca="1"/>
        <v>233.813181194425</v>
      </c>
      <c r="X23" s="146">
        <f ca="1"/>
        <v>132710.171821592</v>
      </c>
      <c r="Y23" s="59">
        <f ca="1"/>
        <v>0.80515252533787396</v>
      </c>
      <c r="Z23" s="146">
        <f ca="1"/>
        <v>106851.929980178</v>
      </c>
      <c r="AA23" s="59" t="str">
        <f ca="1"/>
        <v/>
      </c>
      <c r="AB23" s="59" t="str">
        <f ca="1"/>
        <v/>
      </c>
      <c r="AC23" s="59" t="str">
        <f ca="1"/>
        <v/>
      </c>
    </row>
    <row r="24" spans="2:29" x14ac:dyDescent="0.25">
      <c r="B24" s="102" t="s">
        <v>96</v>
      </c>
      <c r="C24" s="161" t="s">
        <v>73</v>
      </c>
      <c r="D24" s="109" t="s">
        <v>73</v>
      </c>
      <c r="F24" s="112" t="s">
        <v>128</v>
      </c>
      <c r="G24" s="205">
        <f ca="1">_xll.meLWOTotalReturnSwapParSpread(G4,G17)</f>
        <v>56.361586152547957</v>
      </c>
      <c r="H24" t="s">
        <v>4</v>
      </c>
      <c r="K24" s="137">
        <f ca="1"/>
        <v>46916</v>
      </c>
      <c r="L24" s="226">
        <f ca="1"/>
        <v>47098</v>
      </c>
      <c r="M24" s="59">
        <f ca="1"/>
        <v>182</v>
      </c>
      <c r="N24" s="59">
        <f ca="1"/>
        <v>0.50555555555555598</v>
      </c>
      <c r="O24" s="226">
        <f ca="1"/>
        <v>47098</v>
      </c>
      <c r="P24" s="59">
        <f ca="1"/>
        <v>10000000</v>
      </c>
      <c r="Q24" s="59">
        <f ca="1"/>
        <v>0</v>
      </c>
      <c r="R24" s="59">
        <f ca="1"/>
        <v>1</v>
      </c>
      <c r="S24" s="59">
        <f ca="1"/>
        <v>2.75E-2</v>
      </c>
      <c r="T24" s="227">
        <f ca="1"/>
        <v>0.94952519021274295</v>
      </c>
      <c r="U24" s="227">
        <f ca="1"/>
        <v>3.3517150928116198E-3</v>
      </c>
      <c r="V24" s="59">
        <f ca="1"/>
        <v>132010.377139299</v>
      </c>
      <c r="W24" s="59">
        <f ca="1"/>
        <v>232.99075054891901</v>
      </c>
      <c r="X24" s="146">
        <f ca="1"/>
        <v>132243.36788984801</v>
      </c>
      <c r="Y24" s="59">
        <f ca="1"/>
        <v>0.79508831307341599</v>
      </c>
      <c r="Z24" s="146">
        <f ca="1"/>
        <v>105145.15629068699</v>
      </c>
      <c r="AA24" s="59" t="str">
        <f ca="1"/>
        <v/>
      </c>
      <c r="AB24" s="59" t="str">
        <f ca="1"/>
        <v/>
      </c>
      <c r="AC24" s="59" t="str">
        <f ca="1"/>
        <v/>
      </c>
    </row>
    <row r="25" spans="2:29" x14ac:dyDescent="0.25">
      <c r="B25" s="102" t="s">
        <v>97</v>
      </c>
      <c r="C25" s="161" t="s">
        <v>98</v>
      </c>
      <c r="D25" s="109" t="s">
        <v>98</v>
      </c>
      <c r="K25" s="137">
        <f ca="1"/>
        <v>47098</v>
      </c>
      <c r="L25" s="226">
        <f ca="1"/>
        <v>47280</v>
      </c>
      <c r="M25" s="59">
        <f ca="1"/>
        <v>182</v>
      </c>
      <c r="N25" s="59">
        <f ca="1"/>
        <v>0.50555555555555598</v>
      </c>
      <c r="O25" s="226">
        <f ca="1"/>
        <v>47280</v>
      </c>
      <c r="P25" s="59">
        <f ca="1"/>
        <v>10000000</v>
      </c>
      <c r="Q25" s="59">
        <f ca="1"/>
        <v>10000000</v>
      </c>
      <c r="R25" s="59">
        <f ca="1"/>
        <v>1</v>
      </c>
      <c r="S25" s="59">
        <f ca="1"/>
        <v>2.75E-2</v>
      </c>
      <c r="T25" s="227">
        <f ca="1"/>
        <v>0.94618526467428099</v>
      </c>
      <c r="U25" s="227">
        <f ca="1"/>
        <v>3.3399255384624102E-3</v>
      </c>
      <c r="V25" s="59">
        <f ca="1"/>
        <v>131546.03471374401</v>
      </c>
      <c r="W25" s="59">
        <f ca="1"/>
        <v>232.17121277783801</v>
      </c>
      <c r="X25" s="146">
        <f ca="1"/>
        <v>9593630.8526693303</v>
      </c>
      <c r="Y25" s="59">
        <f ca="1"/>
        <v>0.78507958566102198</v>
      </c>
      <c r="Z25" s="146">
        <f ca="1"/>
        <v>7531763.7347984398</v>
      </c>
      <c r="AA25" s="59" t="str">
        <f ca="1"/>
        <v/>
      </c>
      <c r="AB25" s="59" t="str">
        <f ca="1"/>
        <v/>
      </c>
      <c r="AC25" s="59" t="str">
        <f ca="1"/>
        <v/>
      </c>
    </row>
    <row r="26" spans="2:29" x14ac:dyDescent="0.25">
      <c r="B26" s="102" t="s">
        <v>99</v>
      </c>
      <c r="C26" s="161" t="s">
        <v>190</v>
      </c>
      <c r="D26" s="109" t="s">
        <v>190</v>
      </c>
      <c r="G26" s="219"/>
      <c r="K26" s="225" t="str">
        <f ca="1"/>
        <v>LEG2:FLOAT Leg Schedule &amp; Cashflows</v>
      </c>
      <c r="L26" s="59" t="str">
        <f ca="1"/>
        <v/>
      </c>
      <c r="M26" s="59" t="str">
        <f ca="1"/>
        <v/>
      </c>
      <c r="N26" s="59" t="str">
        <f ca="1"/>
        <v/>
      </c>
      <c r="O26" s="59" t="str">
        <f ca="1"/>
        <v/>
      </c>
      <c r="P26" s="59" t="str">
        <f ca="1"/>
        <v/>
      </c>
      <c r="Q26" s="59" t="str">
        <f ca="1"/>
        <v/>
      </c>
      <c r="R26" s="59" t="str">
        <f ca="1"/>
        <v/>
      </c>
      <c r="S26" s="59" t="str">
        <f ca="1"/>
        <v/>
      </c>
      <c r="T26" s="59" t="str">
        <f ca="1"/>
        <v/>
      </c>
      <c r="U26" s="59" t="str">
        <f ca="1"/>
        <v/>
      </c>
      <c r="V26" s="59" t="str">
        <f ca="1"/>
        <v/>
      </c>
      <c r="W26" s="59" t="str">
        <f ca="1"/>
        <v/>
      </c>
      <c r="X26" s="59" t="str">
        <f ca="1"/>
        <v/>
      </c>
      <c r="Y26" s="59" t="str">
        <f ca="1"/>
        <v/>
      </c>
      <c r="Z26" s="59" t="str">
        <f ca="1"/>
        <v/>
      </c>
      <c r="AA26" s="59" t="str">
        <f ca="1"/>
        <v/>
      </c>
      <c r="AB26" s="59" t="str">
        <f ca="1"/>
        <v/>
      </c>
      <c r="AC26" s="59" t="str">
        <f ca="1"/>
        <v/>
      </c>
    </row>
    <row r="27" spans="2:29" x14ac:dyDescent="0.25">
      <c r="B27" s="102" t="s">
        <v>101</v>
      </c>
      <c r="C27" s="161" t="s">
        <v>73</v>
      </c>
      <c r="D27" s="109" t="s">
        <v>73</v>
      </c>
      <c r="G27" s="216"/>
      <c r="K27" s="225" t="str">
        <f ca="1"/>
        <v>FixingDate</v>
      </c>
      <c r="L27" s="59" t="str">
        <f ca="1"/>
        <v>AccrualStart</v>
      </c>
      <c r="M27" s="59" t="str">
        <f ca="1"/>
        <v>AccrualEnd</v>
      </c>
      <c r="N27" s="59" t="str">
        <f ca="1"/>
        <v>AccrualDays</v>
      </c>
      <c r="O27" s="59" t="str">
        <f ca="1"/>
        <v>AccrualYearFractions</v>
      </c>
      <c r="P27" s="59" t="str">
        <f ca="1"/>
        <v>PaymentDate</v>
      </c>
      <c r="Q27" s="59" t="str">
        <f ca="1"/>
        <v>Notional</v>
      </c>
      <c r="R27" s="59" t="str">
        <f ca="1"/>
        <v>NotionalExchange</v>
      </c>
      <c r="S27" s="59" t="str">
        <f ca="1"/>
        <v>Leverage</v>
      </c>
      <c r="T27" s="59" t="str">
        <f ca="1"/>
        <v>FloatSpread</v>
      </c>
      <c r="U27" s="59" t="str">
        <f ca="1"/>
        <v>FloatRate</v>
      </c>
      <c r="V27" s="131" t="str">
        <f ca="1"/>
        <v>SurvivalProbability</v>
      </c>
      <c r="W27" s="131" t="str">
        <f ca="1"/>
        <v>MarginalDefaultProbability</v>
      </c>
      <c r="X27" s="59" t="str">
        <f ca="1"/>
        <v>Coupon</v>
      </c>
      <c r="Y27" s="59" t="str">
        <f ca="1"/>
        <v>RiskyCoupon</v>
      </c>
      <c r="Z27" s="59" t="str">
        <f ca="1"/>
        <v>DiscountFactor</v>
      </c>
      <c r="AA27" s="59" t="str">
        <f ca="1"/>
        <v>CouponPV</v>
      </c>
      <c r="AB27" s="59" t="str">
        <f ca="1"/>
        <v/>
      </c>
      <c r="AC27" s="59" t="str">
        <f ca="1"/>
        <v/>
      </c>
    </row>
    <row r="28" spans="2:29" x14ac:dyDescent="0.25">
      <c r="B28" s="102" t="s">
        <v>102</v>
      </c>
      <c r="C28" s="161" t="s">
        <v>73</v>
      </c>
      <c r="D28" s="109" t="s">
        <v>73</v>
      </c>
      <c r="K28" s="225" t="str">
        <f ca="1"/>
        <v/>
      </c>
      <c r="L28" s="59" t="str">
        <f ca="1"/>
        <v/>
      </c>
      <c r="M28" s="59" t="str">
        <f ca="1"/>
        <v/>
      </c>
      <c r="N28" s="59" t="str">
        <f ca="1"/>
        <v/>
      </c>
      <c r="O28" s="59" t="str">
        <f ca="1"/>
        <v/>
      </c>
      <c r="P28" s="226">
        <f ca="1"/>
        <v>43629</v>
      </c>
      <c r="Q28" s="59" t="str">
        <f ca="1"/>
        <v/>
      </c>
      <c r="R28" s="59">
        <f ca="1"/>
        <v>10000000</v>
      </c>
      <c r="S28" s="59">
        <f ca="1"/>
        <v>1</v>
      </c>
      <c r="T28" s="59" t="str">
        <f ca="1"/>
        <v/>
      </c>
      <c r="U28" s="59" t="str">
        <f ca="1"/>
        <v/>
      </c>
      <c r="V28" s="229">
        <f ca="1"/>
        <v>0.99997937058316</v>
      </c>
      <c r="W28" s="228">
        <f ca="1"/>
        <v>2.0629416840334299E-5</v>
      </c>
      <c r="X28" s="146">
        <f ca="1"/>
        <v>9999793.7058316004</v>
      </c>
      <c r="Y28" s="146">
        <f ca="1"/>
        <v>9999793.7058316004</v>
      </c>
      <c r="Z28" s="59">
        <f ca="1"/>
        <v>0.99990428464939696</v>
      </c>
      <c r="AA28" s="146">
        <f ca="1"/>
        <v>9998836.5720710792</v>
      </c>
      <c r="AB28" s="59" t="str">
        <f ca="1"/>
        <v/>
      </c>
      <c r="AC28" s="59" t="str">
        <f ca="1"/>
        <v/>
      </c>
    </row>
    <row r="29" spans="2:29" x14ac:dyDescent="0.25">
      <c r="B29" s="102" t="s">
        <v>103</v>
      </c>
      <c r="C29" s="161" t="s">
        <v>73</v>
      </c>
      <c r="D29" s="109" t="s">
        <v>73</v>
      </c>
      <c r="K29" s="137">
        <f ca="1"/>
        <v>43629</v>
      </c>
      <c r="L29" s="226">
        <f ca="1"/>
        <v>43629</v>
      </c>
      <c r="M29" s="226">
        <f ca="1"/>
        <v>43810</v>
      </c>
      <c r="N29" s="59">
        <f ca="1"/>
        <v>181</v>
      </c>
      <c r="O29" s="59">
        <f ca="1"/>
        <v>0.50277777777777799</v>
      </c>
      <c r="P29" s="226">
        <f ca="1"/>
        <v>43810</v>
      </c>
      <c r="Q29" s="59">
        <f ca="1"/>
        <v>-10000000</v>
      </c>
      <c r="R29" s="59">
        <f ca="1"/>
        <v>0</v>
      </c>
      <c r="S29" s="59">
        <f ca="1"/>
        <v>1</v>
      </c>
      <c r="T29" s="59">
        <f ca="1"/>
        <v>239.34</v>
      </c>
      <c r="U29" s="59">
        <f ca="1"/>
        <v>2.01374434368988E-2</v>
      </c>
      <c r="V29" s="228">
        <f ca="1"/>
        <v>0.99845065379085396</v>
      </c>
      <c r="W29" s="228">
        <f ca="1"/>
        <v>1.5287167923059299E-3</v>
      </c>
      <c r="X29" s="146">
        <f ca="1"/>
        <v>-221238.11760742101</v>
      </c>
      <c r="Y29" s="146">
        <f ca="1"/>
        <v>-221238.11760742101</v>
      </c>
      <c r="Z29" s="59">
        <f ca="1"/>
        <v>0.99077167103061203</v>
      </c>
      <c r="AA29" s="146">
        <f ca="1"/>
        <v>-219196.459477572</v>
      </c>
      <c r="AB29" s="59" t="str">
        <f ca="1"/>
        <v/>
      </c>
      <c r="AC29" s="59" t="str">
        <f ca="1"/>
        <v/>
      </c>
    </row>
    <row r="30" spans="2:29" x14ac:dyDescent="0.25">
      <c r="B30" s="102" t="s">
        <v>104</v>
      </c>
      <c r="C30" s="161" t="s">
        <v>73</v>
      </c>
      <c r="D30" s="109" t="s">
        <v>73</v>
      </c>
      <c r="K30" s="137">
        <f ca="1"/>
        <v>43810</v>
      </c>
      <c r="L30" s="226">
        <f ca="1"/>
        <v>43810</v>
      </c>
      <c r="M30" s="226">
        <f ca="1"/>
        <v>43993</v>
      </c>
      <c r="N30" s="59">
        <f ca="1"/>
        <v>183</v>
      </c>
      <c r="O30" s="59">
        <f ca="1"/>
        <v>0.50833333333333297</v>
      </c>
      <c r="P30" s="226">
        <f ca="1"/>
        <v>43993</v>
      </c>
      <c r="Q30" s="59">
        <f ca="1"/>
        <v>-10000000</v>
      </c>
      <c r="R30" s="59">
        <f ca="1"/>
        <v>0</v>
      </c>
      <c r="S30" s="59">
        <f ca="1"/>
        <v>1</v>
      </c>
      <c r="T30" s="59">
        <f ca="1"/>
        <v>239.34</v>
      </c>
      <c r="U30" s="59">
        <f ca="1"/>
        <v>1.9744761241760101E-2</v>
      </c>
      <c r="V30" s="228">
        <f ca="1"/>
        <v>0.99661075551790701</v>
      </c>
      <c r="W30" s="228">
        <f ca="1"/>
        <v>1.8398982729467301E-3</v>
      </c>
      <c r="X30" s="146">
        <f ca="1"/>
        <v>-221281.17647628699</v>
      </c>
      <c r="Y30" s="146">
        <f ca="1"/>
        <v>-221281.17647628699</v>
      </c>
      <c r="Z30" s="59">
        <f ca="1"/>
        <v>0.98003554800691295</v>
      </c>
      <c r="AA30" s="146">
        <f ca="1"/>
        <v>-216863.41905155199</v>
      </c>
      <c r="AB30" s="59" t="str">
        <f ca="1"/>
        <v/>
      </c>
      <c r="AC30" s="59" t="str">
        <f ca="1"/>
        <v/>
      </c>
    </row>
    <row r="31" spans="2:29" x14ac:dyDescent="0.25">
      <c r="B31" s="102" t="s">
        <v>105</v>
      </c>
      <c r="C31" s="161" t="s">
        <v>73</v>
      </c>
      <c r="D31" s="109" t="s">
        <v>73</v>
      </c>
      <c r="K31" s="137">
        <f ca="1"/>
        <v>43993</v>
      </c>
      <c r="L31" s="226">
        <f ca="1"/>
        <v>43993</v>
      </c>
      <c r="M31" s="226">
        <f ca="1"/>
        <v>44176</v>
      </c>
      <c r="N31" s="59">
        <f ca="1"/>
        <v>183</v>
      </c>
      <c r="O31" s="59">
        <f ca="1"/>
        <v>0.50833333333333297</v>
      </c>
      <c r="P31" s="226">
        <f ca="1"/>
        <v>44176</v>
      </c>
      <c r="Q31" s="59">
        <f ca="1"/>
        <v>-10000000</v>
      </c>
      <c r="R31" s="59">
        <f ca="1"/>
        <v>0</v>
      </c>
      <c r="S31" s="59">
        <f ca="1"/>
        <v>1</v>
      </c>
      <c r="T31" s="59">
        <f ca="1"/>
        <v>239.34</v>
      </c>
      <c r="U31" s="59">
        <f ca="1"/>
        <v>1.9155263952805E-2</v>
      </c>
      <c r="V31" s="228">
        <f ca="1"/>
        <v>0.99477424772363998</v>
      </c>
      <c r="W31" s="228">
        <f ca="1"/>
        <v>1.8365077942667E-3</v>
      </c>
      <c r="X31" s="146">
        <f ca="1"/>
        <v>-217892.45817922</v>
      </c>
      <c r="Y31" s="146">
        <f ca="1"/>
        <v>-217892.45817922</v>
      </c>
      <c r="Z31" s="59">
        <f ca="1"/>
        <v>0.96831732955515304</v>
      </c>
      <c r="AA31" s="146">
        <f ca="1"/>
        <v>-210989.04323431</v>
      </c>
      <c r="AB31" s="59" t="str">
        <f ca="1"/>
        <v/>
      </c>
      <c r="AC31" s="59" t="str">
        <f ca="1"/>
        <v/>
      </c>
    </row>
    <row r="32" spans="2:29" x14ac:dyDescent="0.25">
      <c r="B32" s="102" t="s">
        <v>106</v>
      </c>
      <c r="C32" s="161" t="s">
        <v>73</v>
      </c>
      <c r="D32" s="109" t="s">
        <v>73</v>
      </c>
      <c r="K32" s="137">
        <f ca="1"/>
        <v>44176</v>
      </c>
      <c r="L32" s="226">
        <f ca="1"/>
        <v>44176</v>
      </c>
      <c r="M32" s="226">
        <f ca="1"/>
        <v>44358</v>
      </c>
      <c r="N32" s="59">
        <f ca="1"/>
        <v>182</v>
      </c>
      <c r="O32" s="59">
        <f ca="1"/>
        <v>0.50555555555555598</v>
      </c>
      <c r="P32" s="226">
        <f ca="1"/>
        <v>44358</v>
      </c>
      <c r="Q32" s="59">
        <f ca="1"/>
        <v>-10000000</v>
      </c>
      <c r="R32" s="59">
        <f ca="1"/>
        <v>0</v>
      </c>
      <c r="S32" s="59">
        <f ca="1"/>
        <v>1</v>
      </c>
      <c r="T32" s="59">
        <f ca="1"/>
        <v>239.34</v>
      </c>
      <c r="U32" s="59">
        <f ca="1"/>
        <v>1.92303232860454E-2</v>
      </c>
      <c r="V32" s="228">
        <f ca="1"/>
        <v>0.99275920796625405</v>
      </c>
      <c r="W32" s="228">
        <f ca="1"/>
        <v>2.0150397573865898E-3</v>
      </c>
      <c r="X32" s="146">
        <f ca="1"/>
        <v>-216639.551400261</v>
      </c>
      <c r="Y32" s="146">
        <f ca="1"/>
        <v>-216639.551400261</v>
      </c>
      <c r="Z32" s="59">
        <f ca="1"/>
        <v>0.95645367627325795</v>
      </c>
      <c r="AA32" s="146">
        <f ca="1"/>
        <v>-207205.69536296901</v>
      </c>
      <c r="AB32" s="59" t="str">
        <f ca="1"/>
        <v/>
      </c>
      <c r="AC32" s="59" t="str">
        <f ca="1"/>
        <v/>
      </c>
    </row>
    <row r="33" spans="2:29" x14ac:dyDescent="0.25">
      <c r="B33" s="103" t="s">
        <v>193</v>
      </c>
      <c r="C33" s="222"/>
      <c r="D33" s="223" t="s">
        <v>196</v>
      </c>
      <c r="K33" s="137">
        <f ca="1"/>
        <v>44358</v>
      </c>
      <c r="L33" s="226">
        <f ca="1"/>
        <v>44358</v>
      </c>
      <c r="M33" s="226">
        <f ca="1"/>
        <v>44543</v>
      </c>
      <c r="N33" s="59">
        <f ca="1"/>
        <v>185</v>
      </c>
      <c r="O33" s="59">
        <f ca="1"/>
        <v>0.51388888888888895</v>
      </c>
      <c r="P33" s="226">
        <f ca="1"/>
        <v>44543</v>
      </c>
      <c r="Q33" s="59">
        <f ca="1"/>
        <v>-10000000</v>
      </c>
      <c r="R33" s="59">
        <f ca="1"/>
        <v>0</v>
      </c>
      <c r="S33" s="59">
        <f ca="1"/>
        <v>1</v>
      </c>
      <c r="T33" s="59">
        <f ca="1"/>
        <v>239.34</v>
      </c>
      <c r="U33" s="59">
        <f ca="1"/>
        <v>1.9927722017836401E-2</v>
      </c>
      <c r="V33" s="228">
        <f ca="1"/>
        <v>0.99071513641253195</v>
      </c>
      <c r="W33" s="228">
        <f ca="1"/>
        <v>2.0440715537221E-3</v>
      </c>
      <c r="X33" s="146">
        <f ca="1"/>
        <v>-223307.70288208401</v>
      </c>
      <c r="Y33" s="146">
        <f ca="1"/>
        <v>-223307.70288208401</v>
      </c>
      <c r="Z33" s="59">
        <f ca="1"/>
        <v>0.94448866837835599</v>
      </c>
      <c r="AA33" s="146">
        <f ca="1"/>
        <v>-210911.59493372901</v>
      </c>
      <c r="AB33" s="59" t="str">
        <f ca="1"/>
        <v/>
      </c>
      <c r="AC33" s="59" t="str">
        <f ca="1"/>
        <v/>
      </c>
    </row>
    <row r="34" spans="2:29" x14ac:dyDescent="0.25">
      <c r="K34" s="137">
        <f ca="1"/>
        <v>44543</v>
      </c>
      <c r="L34" s="226">
        <f ca="1"/>
        <v>44543</v>
      </c>
      <c r="M34" s="226">
        <f ca="1"/>
        <v>44725</v>
      </c>
      <c r="N34" s="59">
        <f ca="1"/>
        <v>182</v>
      </c>
      <c r="O34" s="59">
        <f ca="1"/>
        <v>0.50555555555555598</v>
      </c>
      <c r="P34" s="226">
        <f ca="1"/>
        <v>44725</v>
      </c>
      <c r="Q34" s="59">
        <f ca="1"/>
        <v>-10000000</v>
      </c>
      <c r="R34" s="59">
        <f ca="1"/>
        <v>0</v>
      </c>
      <c r="S34" s="59">
        <f ca="1"/>
        <v>1</v>
      </c>
      <c r="T34" s="59">
        <f ca="1"/>
        <v>239.34</v>
      </c>
      <c r="U34" s="59">
        <f ca="1"/>
        <v>2.0074539353627598E-2</v>
      </c>
      <c r="V34" s="228">
        <f ca="1"/>
        <v>0.98850238277797597</v>
      </c>
      <c r="W34" s="228">
        <f ca="1"/>
        <v>2.2127536345555301E-3</v>
      </c>
      <c r="X34" s="146">
        <f ca="1"/>
        <v>-219929.53818006499</v>
      </c>
      <c r="Y34" s="146">
        <f ca="1"/>
        <v>-219929.53818006499</v>
      </c>
      <c r="Z34" s="59">
        <f ca="1"/>
        <v>0.93297558711304995</v>
      </c>
      <c r="AA34" s="146">
        <f ca="1"/>
        <v>-205188.890007048</v>
      </c>
      <c r="AB34" s="59" t="str">
        <f ca="1"/>
        <v/>
      </c>
      <c r="AC34" s="59" t="str">
        <f ca="1"/>
        <v/>
      </c>
    </row>
    <row r="35" spans="2:29" x14ac:dyDescent="0.25">
      <c r="K35" s="137">
        <f ca="1"/>
        <v>44725</v>
      </c>
      <c r="L35" s="226">
        <f ca="1"/>
        <v>44725</v>
      </c>
      <c r="M35" s="226">
        <f ca="1"/>
        <v>44907</v>
      </c>
      <c r="N35" s="59">
        <f ca="1"/>
        <v>182</v>
      </c>
      <c r="O35" s="59">
        <f ca="1"/>
        <v>0.50555555555555598</v>
      </c>
      <c r="P35" s="226">
        <f ca="1"/>
        <v>44907</v>
      </c>
      <c r="Q35" s="59">
        <f ca="1"/>
        <v>-10000000</v>
      </c>
      <c r="R35" s="59">
        <f ca="1"/>
        <v>0</v>
      </c>
      <c r="S35" s="59">
        <f ca="1"/>
        <v>1</v>
      </c>
      <c r="T35" s="59">
        <f ca="1"/>
        <v>239.34</v>
      </c>
      <c r="U35" s="59">
        <f ca="1"/>
        <v>1.9650059928782802E-2</v>
      </c>
      <c r="V35" s="228">
        <f ca="1"/>
        <v>0.98629457130940501</v>
      </c>
      <c r="W35" s="228">
        <f ca="1"/>
        <v>2.2078114685712999E-3</v>
      </c>
      <c r="X35" s="146">
        <f ca="1"/>
        <v>-217321.759722655</v>
      </c>
      <c r="Y35" s="146">
        <f ca="1"/>
        <v>-217321.759722655</v>
      </c>
      <c r="Z35" s="59">
        <f ca="1"/>
        <v>0.92174916988452105</v>
      </c>
      <c r="AA35" s="146">
        <f ca="1"/>
        <v>-200316.15162220001</v>
      </c>
      <c r="AB35" s="59" t="str">
        <f ca="1"/>
        <v/>
      </c>
      <c r="AC35" s="59" t="str">
        <f ca="1"/>
        <v/>
      </c>
    </row>
    <row r="36" spans="2:29" x14ac:dyDescent="0.25">
      <c r="K36" s="137">
        <f ca="1"/>
        <v>44907</v>
      </c>
      <c r="L36" s="226">
        <f ca="1"/>
        <v>44907</v>
      </c>
      <c r="M36" s="226">
        <f ca="1"/>
        <v>45089</v>
      </c>
      <c r="N36" s="59">
        <f ca="1"/>
        <v>182</v>
      </c>
      <c r="O36" s="59">
        <f ca="1"/>
        <v>0.50555555555555598</v>
      </c>
      <c r="P36" s="226">
        <f ca="1"/>
        <v>45089</v>
      </c>
      <c r="Q36" s="59">
        <f ca="1"/>
        <v>-10000000</v>
      </c>
      <c r="R36" s="59">
        <f ca="1"/>
        <v>0</v>
      </c>
      <c r="S36" s="59">
        <f ca="1"/>
        <v>1</v>
      </c>
      <c r="T36" s="59">
        <f ca="1"/>
        <v>239.34</v>
      </c>
      <c r="U36" s="59">
        <f ca="1"/>
        <v>1.9742339429194601E-2</v>
      </c>
      <c r="V36" s="228">
        <f ca="1"/>
        <v>0.98430349976160803</v>
      </c>
      <c r="W36" s="228">
        <f ca="1"/>
        <v>1.9910715477969901E-3</v>
      </c>
      <c r="X36" s="146">
        <f ca="1"/>
        <v>-217342.24510449101</v>
      </c>
      <c r="Y36" s="146">
        <f ca="1"/>
        <v>-217342.24510449101</v>
      </c>
      <c r="Z36" s="59">
        <f ca="1"/>
        <v>0.91069470725095303</v>
      </c>
      <c r="AA36" s="146">
        <f ca="1"/>
        <v>-197932.43227869901</v>
      </c>
      <c r="AB36" s="59" t="str">
        <f ca="1"/>
        <v/>
      </c>
      <c r="AC36" s="59" t="str">
        <f ca="1"/>
        <v/>
      </c>
    </row>
    <row r="37" spans="2:29" x14ac:dyDescent="0.25">
      <c r="K37" s="137">
        <f ca="1"/>
        <v>45089</v>
      </c>
      <c r="L37" s="226">
        <f ca="1"/>
        <v>45089</v>
      </c>
      <c r="M37" s="226">
        <f ca="1"/>
        <v>45271</v>
      </c>
      <c r="N37" s="59">
        <f ca="1"/>
        <v>182</v>
      </c>
      <c r="O37" s="59">
        <f ca="1"/>
        <v>0.50555555555555598</v>
      </c>
      <c r="P37" s="226">
        <f ca="1"/>
        <v>45271</v>
      </c>
      <c r="Q37" s="59">
        <f ca="1"/>
        <v>-10000000</v>
      </c>
      <c r="R37" s="59">
        <f ca="1"/>
        <v>0</v>
      </c>
      <c r="S37" s="59">
        <f ca="1"/>
        <v>1</v>
      </c>
      <c r="T37" s="59">
        <f ca="1"/>
        <v>239.34</v>
      </c>
      <c r="U37" s="59">
        <f ca="1"/>
        <v>2.0482605143690501E-2</v>
      </c>
      <c r="V37" s="228">
        <f ca="1"/>
        <v>0.98231644766806303</v>
      </c>
      <c r="W37" s="228">
        <f ca="1"/>
        <v>1.9870520935448802E-3</v>
      </c>
      <c r="X37" s="146">
        <f ca="1"/>
        <v>-220579.762343471</v>
      </c>
      <c r="Y37" s="146">
        <f ca="1"/>
        <v>-220579.762343471</v>
      </c>
      <c r="Z37" s="59">
        <f ca="1"/>
        <v>0.89963501001119395</v>
      </c>
      <c r="AA37" s="146">
        <f ca="1"/>
        <v>-198441.276704135</v>
      </c>
      <c r="AB37" s="59" t="str">
        <f ca="1"/>
        <v/>
      </c>
      <c r="AC37" s="59" t="str">
        <f ca="1"/>
        <v/>
      </c>
    </row>
    <row r="38" spans="2:29" x14ac:dyDescent="0.25">
      <c r="K38" s="137">
        <f ca="1"/>
        <v>45271</v>
      </c>
      <c r="L38" s="226">
        <f ca="1"/>
        <v>45271</v>
      </c>
      <c r="M38" s="226">
        <f ca="1"/>
        <v>45454</v>
      </c>
      <c r="N38" s="59">
        <f ca="1"/>
        <v>183</v>
      </c>
      <c r="O38" s="59">
        <f ca="1"/>
        <v>0.50833333333333297</v>
      </c>
      <c r="P38" s="226">
        <f ca="1"/>
        <v>45454</v>
      </c>
      <c r="Q38" s="59">
        <f ca="1"/>
        <v>-10000000</v>
      </c>
      <c r="R38" s="59">
        <f ca="1"/>
        <v>0</v>
      </c>
      <c r="S38" s="59">
        <f ca="1"/>
        <v>1</v>
      </c>
      <c r="T38" s="59">
        <f ca="1"/>
        <v>239.34</v>
      </c>
      <c r="U38" s="59">
        <f ca="1"/>
        <v>2.1283753308720201E-2</v>
      </c>
      <c r="V38" s="228">
        <f ca="1"/>
        <v>0.97916869366516401</v>
      </c>
      <c r="W38" s="228">
        <f ca="1"/>
        <v>3.1477540028985698E-3</v>
      </c>
      <c r="X38" s="146">
        <f ca="1"/>
        <v>-225068.69289201399</v>
      </c>
      <c r="Y38" s="146">
        <f ca="1"/>
        <v>-225068.69289201399</v>
      </c>
      <c r="Z38" s="59">
        <f ca="1"/>
        <v>0.88856258310361202</v>
      </c>
      <c r="AA38" s="146">
        <f ca="1"/>
        <v>-199987.61913188099</v>
      </c>
      <c r="AB38" s="59" t="str">
        <f ca="1"/>
        <v/>
      </c>
      <c r="AC38" s="59" t="str">
        <f ca="1"/>
        <v/>
      </c>
    </row>
    <row r="39" spans="2:29" x14ac:dyDescent="0.25">
      <c r="K39" s="137">
        <f ca="1"/>
        <v>45454</v>
      </c>
      <c r="L39" s="226">
        <f ca="1"/>
        <v>45454</v>
      </c>
      <c r="M39" s="226">
        <f ca="1"/>
        <v>45637</v>
      </c>
      <c r="N39" s="59">
        <f ca="1"/>
        <v>183</v>
      </c>
      <c r="O39" s="59">
        <f ca="1"/>
        <v>0.50833333333333297</v>
      </c>
      <c r="P39" s="226">
        <f ca="1"/>
        <v>45637</v>
      </c>
      <c r="Q39" s="59">
        <f ca="1"/>
        <v>-10000000</v>
      </c>
      <c r="R39" s="59">
        <f ca="1"/>
        <v>0</v>
      </c>
      <c r="S39" s="59">
        <f ca="1"/>
        <v>1</v>
      </c>
      <c r="T39" s="59">
        <f ca="1"/>
        <v>239.34</v>
      </c>
      <c r="U39" s="59">
        <f ca="1"/>
        <v>2.2006523545515799E-2</v>
      </c>
      <c r="V39" s="228">
        <f ca="1"/>
        <v>0.97603102638664696</v>
      </c>
      <c r="W39" s="228">
        <f ca="1"/>
        <v>3.1376672785173899E-3</v>
      </c>
      <c r="X39" s="146">
        <f ca="1"/>
        <v>-227933.496440088</v>
      </c>
      <c r="Y39" s="146">
        <f ca="1"/>
        <v>-227933.496440088</v>
      </c>
      <c r="Z39" s="59">
        <f ca="1"/>
        <v>0.87767107173304404</v>
      </c>
      <c r="AA39" s="146">
        <f ca="1"/>
        <v>-200050.63610443199</v>
      </c>
      <c r="AB39" s="59" t="str">
        <f ca="1"/>
        <v/>
      </c>
      <c r="AC39" s="59" t="str">
        <f ca="1"/>
        <v/>
      </c>
    </row>
    <row r="40" spans="2:29" x14ac:dyDescent="0.25">
      <c r="K40" s="137">
        <f ca="1"/>
        <v>45637</v>
      </c>
      <c r="L40" s="226">
        <f ca="1"/>
        <v>45637</v>
      </c>
      <c r="M40" s="226">
        <f ca="1"/>
        <v>45819</v>
      </c>
      <c r="N40" s="59">
        <f ca="1"/>
        <v>182</v>
      </c>
      <c r="O40" s="59">
        <f ca="1"/>
        <v>0.50555555555555598</v>
      </c>
      <c r="P40" s="226">
        <f ca="1"/>
        <v>45819</v>
      </c>
      <c r="Q40" s="59">
        <f ca="1"/>
        <v>-10000000</v>
      </c>
      <c r="R40" s="59">
        <f ca="1"/>
        <v>0</v>
      </c>
      <c r="S40" s="59">
        <f ca="1"/>
        <v>1</v>
      </c>
      <c r="T40" s="59">
        <f ca="1"/>
        <v>239.34</v>
      </c>
      <c r="U40" s="59">
        <f ca="1"/>
        <v>2.26514940687924E-2</v>
      </c>
      <c r="V40" s="228">
        <f ca="1"/>
        <v>0.97292047702848194</v>
      </c>
      <c r="W40" s="228">
        <f ca="1"/>
        <v>3.1105493581651301E-3</v>
      </c>
      <c r="X40" s="146">
        <f ca="1"/>
        <v>-229137.90451075201</v>
      </c>
      <c r="Y40" s="146">
        <f ca="1"/>
        <v>-229137.90451075201</v>
      </c>
      <c r="Z40" s="59">
        <f ca="1"/>
        <v>0.86703713877428001</v>
      </c>
      <c r="AA40" s="146">
        <f ca="1"/>
        <v>-198671.073111737</v>
      </c>
      <c r="AB40" s="59" t="str">
        <f ca="1"/>
        <v/>
      </c>
      <c r="AC40" s="59" t="str">
        <f ca="1"/>
        <v/>
      </c>
    </row>
    <row r="41" spans="2:29" x14ac:dyDescent="0.25">
      <c r="K41" s="137">
        <f ca="1"/>
        <v>45819</v>
      </c>
      <c r="L41" s="226">
        <f ca="1"/>
        <v>45819</v>
      </c>
      <c r="M41" s="226">
        <f ca="1"/>
        <v>46002</v>
      </c>
      <c r="N41" s="59">
        <f ca="1"/>
        <v>183</v>
      </c>
      <c r="O41" s="59">
        <f ca="1"/>
        <v>0.50833333333333297</v>
      </c>
      <c r="P41" s="226">
        <f ca="1"/>
        <v>46002</v>
      </c>
      <c r="Q41" s="59">
        <f ca="1"/>
        <v>-10000000</v>
      </c>
      <c r="R41" s="59">
        <f ca="1"/>
        <v>0</v>
      </c>
      <c r="S41" s="59">
        <f ca="1"/>
        <v>1</v>
      </c>
      <c r="T41" s="59">
        <f ca="1"/>
        <v>239.34</v>
      </c>
      <c r="U41" s="59">
        <f ca="1"/>
        <v>2.3226036181484801E-2</v>
      </c>
      <c r="V41" s="228">
        <f ca="1"/>
        <v>0.96980283165734005</v>
      </c>
      <c r="W41" s="228">
        <f ca="1"/>
        <v>3.1176453711414501E-3</v>
      </c>
      <c r="X41" s="146">
        <f ca="1"/>
        <v>-232491.011201822</v>
      </c>
      <c r="Y41" s="146">
        <f ca="1"/>
        <v>-232491.011201822</v>
      </c>
      <c r="Z41" s="59">
        <f ca="1"/>
        <v>0.85651350084004796</v>
      </c>
      <c r="AA41" s="146">
        <f ca="1"/>
        <v>-199131.68991831501</v>
      </c>
      <c r="AB41" s="59" t="str">
        <f ca="1"/>
        <v/>
      </c>
      <c r="AC41" s="59" t="str">
        <f ca="1"/>
        <v/>
      </c>
    </row>
    <row r="42" spans="2:29" x14ac:dyDescent="0.25">
      <c r="K42" s="137">
        <f ca="1"/>
        <v>46002</v>
      </c>
      <c r="L42" s="226">
        <f ca="1"/>
        <v>46002</v>
      </c>
      <c r="M42" s="226">
        <f ca="1"/>
        <v>46184</v>
      </c>
      <c r="N42" s="59">
        <f ca="1"/>
        <v>182</v>
      </c>
      <c r="O42" s="59">
        <f ca="1"/>
        <v>0.50555555555555598</v>
      </c>
      <c r="P42" s="226">
        <f ca="1"/>
        <v>46184</v>
      </c>
      <c r="Q42" s="59">
        <f ca="1"/>
        <v>-10000000</v>
      </c>
      <c r="R42" s="59">
        <f ca="1"/>
        <v>0</v>
      </c>
      <c r="S42" s="59">
        <f ca="1"/>
        <v>1</v>
      </c>
      <c r="T42" s="59">
        <f ca="1"/>
        <v>239.34</v>
      </c>
      <c r="U42" s="59">
        <f ca="1"/>
        <v>2.3732953177463899E-2</v>
      </c>
      <c r="V42" s="228">
        <f ca="1"/>
        <v>0.96639158014120097</v>
      </c>
      <c r="W42" s="228">
        <f ca="1"/>
        <v>3.4112515161389698E-3</v>
      </c>
      <c r="X42" s="146">
        <f ca="1"/>
        <v>-232883.87446407901</v>
      </c>
      <c r="Y42" s="146">
        <f ca="1"/>
        <v>-232883.87446407901</v>
      </c>
      <c r="Z42" s="59">
        <f ca="1"/>
        <v>0.84616761049679001</v>
      </c>
      <c r="AA42" s="146">
        <f ca="1"/>
        <v>-197058.79157850399</v>
      </c>
      <c r="AB42" s="59" t="str">
        <f ca="1"/>
        <v/>
      </c>
      <c r="AC42" s="59" t="str">
        <f ca="1"/>
        <v/>
      </c>
    </row>
    <row r="43" spans="2:29" x14ac:dyDescent="0.25">
      <c r="K43" s="137">
        <f ca="1"/>
        <v>46184</v>
      </c>
      <c r="L43" s="226">
        <f ca="1"/>
        <v>46184</v>
      </c>
      <c r="M43" s="226">
        <f ca="1"/>
        <v>46367</v>
      </c>
      <c r="N43" s="59">
        <f ca="1"/>
        <v>183</v>
      </c>
      <c r="O43" s="59">
        <f ca="1"/>
        <v>0.50833333333333297</v>
      </c>
      <c r="P43" s="226">
        <f ca="1"/>
        <v>46367</v>
      </c>
      <c r="Q43" s="59">
        <f ca="1"/>
        <v>-10000000</v>
      </c>
      <c r="R43" s="59">
        <f ca="1"/>
        <v>0</v>
      </c>
      <c r="S43" s="59">
        <f ca="1"/>
        <v>1</v>
      </c>
      <c r="T43" s="59">
        <f ca="1"/>
        <v>239.34</v>
      </c>
      <c r="U43" s="59">
        <f ca="1"/>
        <v>2.4180786780304098E-2</v>
      </c>
      <c r="V43" s="228">
        <f ca="1"/>
        <v>0.96297368345248402</v>
      </c>
      <c r="W43" s="228">
        <f ca="1"/>
        <v>3.4178966887169499E-3</v>
      </c>
      <c r="X43" s="146">
        <f ca="1"/>
        <v>-235527.47339299801</v>
      </c>
      <c r="Y43" s="146">
        <f ca="1"/>
        <v>-235527.47339299801</v>
      </c>
      <c r="Z43" s="59">
        <f ca="1"/>
        <v>0.83583302599072895</v>
      </c>
      <c r="AA43" s="146">
        <f ca="1"/>
        <v>-196861.64079002099</v>
      </c>
      <c r="AB43" s="59" t="str">
        <f ca="1"/>
        <v/>
      </c>
      <c r="AC43" s="59" t="str">
        <f ca="1"/>
        <v/>
      </c>
    </row>
    <row r="44" spans="2:29" x14ac:dyDescent="0.25">
      <c r="K44" s="137">
        <f ca="1"/>
        <v>46367</v>
      </c>
      <c r="L44" s="226">
        <f ca="1"/>
        <v>46367</v>
      </c>
      <c r="M44" s="226">
        <f ca="1"/>
        <v>46549</v>
      </c>
      <c r="N44" s="59">
        <f ca="1"/>
        <v>182</v>
      </c>
      <c r="O44" s="59">
        <f ca="1"/>
        <v>0.50555555555555598</v>
      </c>
      <c r="P44" s="226">
        <f ca="1"/>
        <v>46549</v>
      </c>
      <c r="Q44" s="59">
        <f ca="1"/>
        <v>-10000000</v>
      </c>
      <c r="R44" s="59">
        <f ca="1"/>
        <v>0</v>
      </c>
      <c r="S44" s="59">
        <f ca="1"/>
        <v>1</v>
      </c>
      <c r="T44" s="59">
        <f ca="1"/>
        <v>239.34</v>
      </c>
      <c r="U44" s="59">
        <f ca="1"/>
        <v>2.4584303042795599E-2</v>
      </c>
      <c r="V44" s="228">
        <f ca="1"/>
        <v>0.95958645325429504</v>
      </c>
      <c r="W44" s="228">
        <f ca="1"/>
        <v>3.3872301981893202E-3</v>
      </c>
      <c r="X44" s="146">
        <f ca="1"/>
        <v>-235374.05980347499</v>
      </c>
      <c r="Y44" s="146">
        <f ca="1"/>
        <v>-235374.05980347499</v>
      </c>
      <c r="Z44" s="59">
        <f ca="1"/>
        <v>0.82560893014341996</v>
      </c>
      <c r="AA44" s="146">
        <f ca="1"/>
        <v>-194326.92569785999</v>
      </c>
      <c r="AB44" s="59" t="str">
        <f ca="1"/>
        <v/>
      </c>
      <c r="AC44" s="59" t="str">
        <f ca="1"/>
        <v/>
      </c>
    </row>
    <row r="45" spans="2:29" x14ac:dyDescent="0.25">
      <c r="K45" s="137">
        <f ca="1"/>
        <v>46549</v>
      </c>
      <c r="L45" s="226">
        <f ca="1"/>
        <v>46549</v>
      </c>
      <c r="M45" s="226">
        <f ca="1"/>
        <v>46734</v>
      </c>
      <c r="N45" s="59">
        <f ca="1"/>
        <v>185</v>
      </c>
      <c r="O45" s="59">
        <f ca="1"/>
        <v>0.51388888888888895</v>
      </c>
      <c r="P45" s="226">
        <f ca="1"/>
        <v>46734</v>
      </c>
      <c r="Q45" s="59">
        <f ca="1"/>
        <v>-10000000</v>
      </c>
      <c r="R45" s="59">
        <f ca="1"/>
        <v>0</v>
      </c>
      <c r="S45" s="59">
        <f ca="1"/>
        <v>1</v>
      </c>
      <c r="T45" s="59">
        <f ca="1"/>
        <v>239.34</v>
      </c>
      <c r="U45" s="59">
        <f ca="1"/>
        <v>2.4967808998844501E-2</v>
      </c>
      <c r="V45" s="228">
        <f ca="1"/>
        <v>0.95615560004009104</v>
      </c>
      <c r="W45" s="228">
        <f ca="1"/>
        <v>3.4308532142037799E-3</v>
      </c>
      <c r="X45" s="146">
        <f ca="1"/>
        <v>-240282.82298256</v>
      </c>
      <c r="Y45" s="146">
        <f ca="1"/>
        <v>-240282.82298256</v>
      </c>
      <c r="Z45" s="59">
        <f ca="1"/>
        <v>0.81527034926216602</v>
      </c>
      <c r="AA45" s="146">
        <f ca="1"/>
        <v>-195895.46101469101</v>
      </c>
      <c r="AB45" s="59" t="str">
        <f ca="1"/>
        <v/>
      </c>
      <c r="AC45" s="59" t="str">
        <f ca="1"/>
        <v/>
      </c>
    </row>
    <row r="46" spans="2:29" x14ac:dyDescent="0.25">
      <c r="K46" s="137">
        <f ca="1"/>
        <v>46734</v>
      </c>
      <c r="L46" s="226">
        <f ca="1"/>
        <v>46734</v>
      </c>
      <c r="M46" s="226">
        <f ca="1"/>
        <v>46916</v>
      </c>
      <c r="N46" s="59">
        <f ca="1"/>
        <v>182</v>
      </c>
      <c r="O46" s="59">
        <f ca="1"/>
        <v>0.50555555555555598</v>
      </c>
      <c r="P46" s="226">
        <f ca="1"/>
        <v>46916</v>
      </c>
      <c r="Q46" s="59">
        <f ca="1"/>
        <v>-10000000</v>
      </c>
      <c r="R46" s="59">
        <f ca="1"/>
        <v>0</v>
      </c>
      <c r="S46" s="59">
        <f ca="1"/>
        <v>1</v>
      </c>
      <c r="T46" s="59">
        <f ca="1"/>
        <v>239.34</v>
      </c>
      <c r="U46" s="59">
        <f ca="1"/>
        <v>2.5375203572657101E-2</v>
      </c>
      <c r="V46" s="228">
        <f ca="1"/>
        <v>0.95279235223978598</v>
      </c>
      <c r="W46" s="228">
        <f ca="1"/>
        <v>3.3632478003053899E-3</v>
      </c>
      <c r="X46" s="146">
        <f ca="1"/>
        <v>-237517.239854149</v>
      </c>
      <c r="Y46" s="146">
        <f ca="1"/>
        <v>-237517.239854149</v>
      </c>
      <c r="Z46" s="59">
        <f ca="1"/>
        <v>0.80515252533787396</v>
      </c>
      <c r="AA46" s="146">
        <f ca="1"/>
        <v>-191237.60547984901</v>
      </c>
      <c r="AB46" s="59" t="str">
        <f ca="1"/>
        <v/>
      </c>
      <c r="AC46" s="59" t="str">
        <f ca="1"/>
        <v/>
      </c>
    </row>
    <row r="47" spans="2:29" x14ac:dyDescent="0.25">
      <c r="K47" s="137">
        <f ca="1"/>
        <v>46916</v>
      </c>
      <c r="L47" s="226">
        <f ca="1"/>
        <v>46916</v>
      </c>
      <c r="M47" s="226">
        <f ca="1"/>
        <v>47098</v>
      </c>
      <c r="N47" s="59">
        <f ca="1"/>
        <v>182</v>
      </c>
      <c r="O47" s="59">
        <f ca="1"/>
        <v>0.50555555555555598</v>
      </c>
      <c r="P47" s="226">
        <f ca="1"/>
        <v>47098</v>
      </c>
      <c r="Q47" s="59">
        <f ca="1"/>
        <v>-10000000</v>
      </c>
      <c r="R47" s="59">
        <f ca="1"/>
        <v>0</v>
      </c>
      <c r="S47" s="59">
        <f ca="1"/>
        <v>1</v>
      </c>
      <c r="T47" s="59">
        <f ca="1"/>
        <v>239.34</v>
      </c>
      <c r="U47" s="59">
        <f ca="1"/>
        <v>2.5799026855288499E-2</v>
      </c>
      <c r="V47" s="228">
        <f ca="1"/>
        <v>0.94944093455977197</v>
      </c>
      <c r="W47" s="228">
        <f ca="1"/>
        <v>3.35141768001357E-3</v>
      </c>
      <c r="X47" s="146">
        <f ca="1"/>
        <v>-238716.11145185499</v>
      </c>
      <c r="Y47" s="146">
        <f ca="1"/>
        <v>-238716.11145185499</v>
      </c>
      <c r="Z47" s="59">
        <f ca="1"/>
        <v>0.79508831307341599</v>
      </c>
      <c r="AA47" s="146">
        <f ca="1"/>
        <v>-189800.39035770099</v>
      </c>
      <c r="AB47" s="59" t="str">
        <f ca="1"/>
        <v/>
      </c>
      <c r="AC47" s="59" t="str">
        <f ca="1"/>
        <v/>
      </c>
    </row>
    <row r="48" spans="2:29" x14ac:dyDescent="0.25">
      <c r="K48" s="137">
        <f ca="1"/>
        <v>47098</v>
      </c>
      <c r="L48" s="226">
        <f ca="1"/>
        <v>47098</v>
      </c>
      <c r="M48" s="226">
        <f ca="1"/>
        <v>47280</v>
      </c>
      <c r="N48" s="59">
        <f ca="1"/>
        <v>182</v>
      </c>
      <c r="O48" s="59">
        <f ca="1"/>
        <v>0.50555555555555598</v>
      </c>
      <c r="P48" s="226">
        <f ca="1"/>
        <v>47280</v>
      </c>
      <c r="Q48" s="59">
        <f ca="1"/>
        <v>-10000000</v>
      </c>
      <c r="R48" s="59">
        <f ca="1"/>
        <v>-10000000</v>
      </c>
      <c r="S48" s="59">
        <f ca="1"/>
        <v>1</v>
      </c>
      <c r="T48" s="59">
        <f ca="1"/>
        <v>239.34</v>
      </c>
      <c r="U48" s="59">
        <f ca="1"/>
        <v>2.6154842400231901E-2</v>
      </c>
      <c r="V48" s="228">
        <f ca="1"/>
        <v>0.94610130538796799</v>
      </c>
      <c r="W48" s="228">
        <f ca="1"/>
        <v>3.3396291718044099E-3</v>
      </c>
      <c r="X48" s="146">
        <f ca="1"/>
        <v>-9700591.3786241803</v>
      </c>
      <c r="Y48" s="146">
        <f ca="1"/>
        <v>-9700591.3786241803</v>
      </c>
      <c r="Z48" s="59">
        <f ca="1"/>
        <v>0.78507958566102198</v>
      </c>
      <c r="AA48" s="146">
        <f ca="1"/>
        <v>-7615736.2601971598</v>
      </c>
      <c r="AB48" s="59" t="str">
        <f ca="1"/>
        <v/>
      </c>
      <c r="AC48" s="59" t="str">
        <f ca="1"/>
        <v/>
      </c>
    </row>
    <row r="49" spans="2:29" x14ac:dyDescent="0.25">
      <c r="K49" s="137" t="str">
        <f ca="1"/>
        <v/>
      </c>
      <c r="L49" s="226" t="str">
        <f ca="1"/>
        <v/>
      </c>
      <c r="M49" s="226" t="str">
        <f ca="1"/>
        <v/>
      </c>
      <c r="N49" s="59" t="str">
        <f ca="1"/>
        <v/>
      </c>
      <c r="O49" s="59" t="str">
        <f ca="1"/>
        <v/>
      </c>
      <c r="P49" s="226" t="str">
        <f ca="1"/>
        <v/>
      </c>
      <c r="Q49" s="59" t="str">
        <f ca="1"/>
        <v/>
      </c>
      <c r="R49" s="59" t="str">
        <f ca="1"/>
        <v/>
      </c>
      <c r="S49" s="59" t="str">
        <f ca="1"/>
        <v/>
      </c>
      <c r="T49" s="59" t="str">
        <f ca="1"/>
        <v/>
      </c>
      <c r="U49" s="59" t="str">
        <f ca="1"/>
        <v/>
      </c>
      <c r="V49" s="228" t="str">
        <f ca="1"/>
        <v/>
      </c>
      <c r="W49" s="228" t="str">
        <f ca="1"/>
        <v/>
      </c>
      <c r="X49" s="146" t="str">
        <f ca="1"/>
        <v/>
      </c>
      <c r="Y49" s="146" t="str">
        <f ca="1"/>
        <v/>
      </c>
      <c r="Z49" s="59" t="str">
        <f ca="1"/>
        <v/>
      </c>
      <c r="AA49" s="146" t="str">
        <f ca="1"/>
        <v/>
      </c>
      <c r="AB49" s="59" t="str">
        <f ca="1"/>
        <v/>
      </c>
      <c r="AC49" s="59" t="str">
        <f ca="1"/>
        <v/>
      </c>
    </row>
    <row r="50" spans="2:29" x14ac:dyDescent="0.25">
      <c r="K50" s="137" t="str">
        <f ca="1"/>
        <v/>
      </c>
      <c r="L50" s="226" t="str">
        <f ca="1"/>
        <v/>
      </c>
      <c r="M50" s="226" t="str">
        <f ca="1"/>
        <v/>
      </c>
      <c r="N50" s="59" t="str">
        <f ca="1"/>
        <v/>
      </c>
      <c r="O50" s="59" t="str">
        <f ca="1"/>
        <v/>
      </c>
      <c r="P50" s="226" t="str">
        <f ca="1"/>
        <v/>
      </c>
      <c r="Q50" s="59" t="str">
        <f ca="1"/>
        <v/>
      </c>
      <c r="R50" s="59" t="str">
        <f ca="1"/>
        <v/>
      </c>
      <c r="S50" s="59" t="str">
        <f ca="1"/>
        <v/>
      </c>
      <c r="T50" s="59" t="str">
        <f ca="1"/>
        <v/>
      </c>
      <c r="U50" s="59" t="str">
        <f ca="1"/>
        <v/>
      </c>
      <c r="V50" s="228" t="str">
        <f ca="1"/>
        <v/>
      </c>
      <c r="W50" s="228" t="str">
        <f ca="1"/>
        <v/>
      </c>
      <c r="X50" s="146" t="str">
        <f ca="1"/>
        <v/>
      </c>
      <c r="Y50" s="146" t="str">
        <f ca="1"/>
        <v/>
      </c>
      <c r="Z50" s="59" t="str">
        <f ca="1"/>
        <v/>
      </c>
      <c r="AA50" s="146" t="str">
        <f ca="1"/>
        <v/>
      </c>
      <c r="AB50" s="59" t="str">
        <f ca="1"/>
        <v/>
      </c>
      <c r="AC50" s="59" t="str">
        <f ca="1"/>
        <v/>
      </c>
    </row>
    <row r="51" spans="2:29" x14ac:dyDescent="0.25">
      <c r="K51" s="137" t="str">
        <f ca="1"/>
        <v/>
      </c>
      <c r="L51" s="226" t="str">
        <f ca="1"/>
        <v/>
      </c>
      <c r="M51" s="226" t="str">
        <f ca="1"/>
        <v/>
      </c>
      <c r="N51" s="59" t="str">
        <f ca="1"/>
        <v/>
      </c>
      <c r="O51" s="59" t="str">
        <f ca="1"/>
        <v/>
      </c>
      <c r="P51" s="226" t="str">
        <f ca="1"/>
        <v/>
      </c>
      <c r="Q51" s="59" t="str">
        <f ca="1"/>
        <v/>
      </c>
      <c r="R51" s="59" t="str">
        <f ca="1"/>
        <v/>
      </c>
      <c r="S51" s="59" t="str">
        <f ca="1"/>
        <v/>
      </c>
      <c r="T51" s="59" t="str">
        <f ca="1"/>
        <v/>
      </c>
      <c r="U51" s="59" t="str">
        <f ca="1"/>
        <v/>
      </c>
      <c r="V51" s="228" t="str">
        <f ca="1"/>
        <v/>
      </c>
      <c r="W51" s="228" t="str">
        <f ca="1"/>
        <v/>
      </c>
      <c r="X51" s="146" t="str">
        <f ca="1"/>
        <v/>
      </c>
      <c r="Y51" s="146" t="str">
        <f ca="1"/>
        <v/>
      </c>
      <c r="Z51" s="59" t="str">
        <f ca="1"/>
        <v/>
      </c>
      <c r="AA51" s="146" t="str">
        <f ca="1"/>
        <v/>
      </c>
      <c r="AB51" s="59" t="str">
        <f ca="1"/>
        <v/>
      </c>
      <c r="AC51" s="59" t="str">
        <f ca="1"/>
        <v/>
      </c>
    </row>
    <row r="58" spans="2:29" x14ac:dyDescent="0.25">
      <c r="B58" s="218"/>
    </row>
    <row r="59" spans="2:29" x14ac:dyDescent="0.25">
      <c r="B59" s="218"/>
    </row>
    <row r="60" spans="2:29" x14ac:dyDescent="0.25">
      <c r="B60" s="218"/>
    </row>
    <row r="61" spans="2:29" x14ac:dyDescent="0.25">
      <c r="B61" s="218"/>
    </row>
    <row r="62" spans="2:29" x14ac:dyDescent="0.25">
      <c r="B62" s="218"/>
    </row>
    <row r="63" spans="2:29" x14ac:dyDescent="0.25">
      <c r="B63" s="218"/>
    </row>
    <row r="64" spans="2:29" x14ac:dyDescent="0.25">
      <c r="B64" s="218"/>
    </row>
    <row r="65" spans="2:2" x14ac:dyDescent="0.25">
      <c r="B65" s="218"/>
    </row>
    <row r="66" spans="2:2" x14ac:dyDescent="0.25">
      <c r="B66" s="218"/>
    </row>
    <row r="67" spans="2:2" x14ac:dyDescent="0.25">
      <c r="B67" s="218"/>
    </row>
    <row r="68" spans="2:2" x14ac:dyDescent="0.25">
      <c r="B68" s="218"/>
    </row>
    <row r="69" spans="2:2" x14ac:dyDescent="0.25">
      <c r="B69" s="218"/>
    </row>
    <row r="70" spans="2:2" x14ac:dyDescent="0.25">
      <c r="B70" s="218"/>
    </row>
    <row r="71" spans="2:2" x14ac:dyDescent="0.25">
      <c r="B71" s="218"/>
    </row>
    <row r="72" spans="2:2" x14ac:dyDescent="0.25">
      <c r="B72" s="218"/>
    </row>
    <row r="73" spans="2:2" x14ac:dyDescent="0.25">
      <c r="B73" s="218"/>
    </row>
    <row r="74" spans="2:2" x14ac:dyDescent="0.25">
      <c r="B74" s="218"/>
    </row>
    <row r="75" spans="2:2" x14ac:dyDescent="0.25">
      <c r="B75" s="218"/>
    </row>
    <row r="76" spans="2:2" x14ac:dyDescent="0.25">
      <c r="B76" s="218"/>
    </row>
    <row r="77" spans="2:2" x14ac:dyDescent="0.25">
      <c r="B77" s="218"/>
    </row>
    <row r="78" spans="2:2" x14ac:dyDescent="0.25">
      <c r="B78" s="218"/>
    </row>
    <row r="79" spans="2:2" x14ac:dyDescent="0.25">
      <c r="B79" s="218"/>
    </row>
    <row r="80" spans="2:2" x14ac:dyDescent="0.25">
      <c r="B80" s="218"/>
    </row>
    <row r="81" spans="2:2" x14ac:dyDescent="0.25">
      <c r="B81" s="218"/>
    </row>
    <row r="82" spans="2:2" x14ac:dyDescent="0.25">
      <c r="B82" s="218"/>
    </row>
    <row r="83" spans="2:2" x14ac:dyDescent="0.25">
      <c r="B83" s="218"/>
    </row>
    <row r="84" spans="2:2" x14ac:dyDescent="0.25">
      <c r="B84" s="218"/>
    </row>
    <row r="85" spans="2:2" x14ac:dyDescent="0.25">
      <c r="B85" s="218"/>
    </row>
    <row r="86" spans="2:2" x14ac:dyDescent="0.25">
      <c r="B86" s="218"/>
    </row>
    <row r="87" spans="2:2" x14ac:dyDescent="0.25">
      <c r="B87" s="218"/>
    </row>
    <row r="88" spans="2:2" x14ac:dyDescent="0.25">
      <c r="B88" s="218"/>
    </row>
    <row r="89" spans="2:2" x14ac:dyDescent="0.25">
      <c r="B89" s="218"/>
    </row>
    <row r="90" spans="2:2" x14ac:dyDescent="0.25">
      <c r="B90" s="218"/>
    </row>
    <row r="91" spans="2:2" x14ac:dyDescent="0.25">
      <c r="B91" s="218"/>
    </row>
    <row r="92" spans="2:2" x14ac:dyDescent="0.25">
      <c r="B92" s="218"/>
    </row>
    <row r="93" spans="2:2" x14ac:dyDescent="0.25">
      <c r="B93" s="218"/>
    </row>
    <row r="94" spans="2:2" x14ac:dyDescent="0.25">
      <c r="B94" s="218"/>
    </row>
    <row r="95" spans="2:2" x14ac:dyDescent="0.25">
      <c r="B95" s="218"/>
    </row>
    <row r="96" spans="2:2" x14ac:dyDescent="0.25">
      <c r="B96" s="218"/>
    </row>
    <row r="97" spans="2:2" x14ac:dyDescent="0.25">
      <c r="B97" s="218"/>
    </row>
    <row r="98" spans="2:2" x14ac:dyDescent="0.25">
      <c r="B98" s="218"/>
    </row>
    <row r="99" spans="2:2" x14ac:dyDescent="0.25">
      <c r="B99" s="218"/>
    </row>
    <row r="100" spans="2:2" x14ac:dyDescent="0.25">
      <c r="B100" s="218"/>
    </row>
    <row r="101" spans="2:2" x14ac:dyDescent="0.25">
      <c r="B101" s="218"/>
    </row>
    <row r="102" spans="2:2" x14ac:dyDescent="0.25">
      <c r="B102" s="218"/>
    </row>
    <row r="103" spans="2:2" x14ac:dyDescent="0.25">
      <c r="B103" s="218"/>
    </row>
    <row r="104" spans="2:2" x14ac:dyDescent="0.25">
      <c r="B104" s="218"/>
    </row>
    <row r="105" spans="2:2" x14ac:dyDescent="0.25">
      <c r="B105" s="218"/>
    </row>
    <row r="106" spans="2:2" x14ac:dyDescent="0.25">
      <c r="B106" s="218"/>
    </row>
    <row r="107" spans="2:2" x14ac:dyDescent="0.25">
      <c r="B107" s="218"/>
    </row>
    <row r="108" spans="2:2" x14ac:dyDescent="0.25">
      <c r="B108" s="218"/>
    </row>
    <row r="109" spans="2:2" x14ac:dyDescent="0.25">
      <c r="B109" s="218"/>
    </row>
    <row r="110" spans="2:2" x14ac:dyDescent="0.25">
      <c r="B110" s="218"/>
    </row>
    <row r="111" spans="2:2" x14ac:dyDescent="0.25">
      <c r="B111" s="218"/>
    </row>
    <row r="112" spans="2:2" x14ac:dyDescent="0.25">
      <c r="B112" s="218"/>
    </row>
    <row r="113" spans="2:2" x14ac:dyDescent="0.25">
      <c r="B113" s="218"/>
    </row>
    <row r="114" spans="2:2" x14ac:dyDescent="0.25">
      <c r="B114" s="218"/>
    </row>
    <row r="115" spans="2:2" x14ac:dyDescent="0.25">
      <c r="B115" s="218"/>
    </row>
  </sheetData>
  <dataValidations disablePrompts="1" count="1">
    <dataValidation type="list" allowBlank="1" showInputMessage="1" showErrorMessage="1" sqref="G7">
      <formula1>"PAY,RECEIVE"</formula1>
    </dataValidation>
  </dataValidations>
  <hyperlinks>
    <hyperlink ref="G3" r:id="rId1" display="TRS_USD_CT10_AB@8: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Settings</vt:lpstr>
      <vt:lpstr>USDOIS</vt:lpstr>
      <vt:lpstr>USD3ML</vt:lpstr>
      <vt:lpstr>USD6ML</vt:lpstr>
      <vt:lpstr>CREDITMODEL</vt:lpstr>
      <vt:lpstr>BOND</vt:lpstr>
      <vt:lpstr>TRS_GENERATOR</vt:lpstr>
      <vt:lpstr>USD_TRS</vt:lpstr>
      <vt:lpstr>BESPOKE TRS</vt:lpstr>
      <vt:lpstr>COB</vt:lpstr>
      <vt:lpstr>USD3ML!CurveCollection</vt:lpstr>
      <vt:lpstr>USD6ML!CurveCollection</vt:lpstr>
      <vt:lpstr>isUSD3MLLoaded</vt:lpstr>
      <vt:lpstr>isUSD6MLLoaded</vt:lpstr>
      <vt:lpstr>isUSDOISLoaded</vt:lpstr>
      <vt:lpstr>USD_TRS_3ML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2018-04-09T14:43:50Z</dcterms:created>
  <dcterms:modified xsi:type="dcterms:W3CDTF">2019-06-11T13:14:22Z</dcterms:modified>
</cp:coreProperties>
</file>