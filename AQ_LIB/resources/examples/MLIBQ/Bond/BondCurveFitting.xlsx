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700" windowHeight="11760" activeTab="1"/>
  </bookViews>
  <sheets>
    <sheet name="US_TREASURY_TYPE1" sheetId="4" r:id="rId1"/>
    <sheet name="CURVE_FITTING" sheetId="14" r:id="rId2"/>
  </sheets>
  <definedNames>
    <definedName name="_xlnm._FilterDatabase" localSheetId="1" hidden="1">CURVE_FITTING!$S$5:$U$132</definedName>
    <definedName name="_xlnm._FilterDatabase" localSheetId="0" hidden="1">US_TREASURY_TYPE1!$B$6:$AE$6</definedName>
    <definedName name="CurveFitting.NelsonSiegelResults">CURVE_FITTING!$AD$8:$AD$18</definedName>
    <definedName name="CurveFitting.PolynomialResults">CURVE_FITTING!$AJ$8:OFFSET(CURVE_FITTING!$AJ$8,CURVE_FITTING!$Q$3,0)</definedName>
    <definedName name="CurveFitting.SvenssonResults">CURVE_FITTING!$AG$8:$AG$18</definedName>
    <definedName name="Polynomial.Tenors">CURVE_FITTING!$Z$6:OFFSET(CURVE_FITTING!$Z$6,CURVE_FITTING!$Z$4-1,0)</definedName>
    <definedName name="Polynomial.YTMs">CURVE_FITTING!$AA$6:OFFSET(CURVE_FITTING!$AA$6,CURVE_FITTING!$Z$4-1,0)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T131" i="14" l="1"/>
  <c r="X131" i="14" s="1"/>
  <c r="T7" i="14"/>
  <c r="X7" i="14" s="1"/>
  <c r="T8" i="14"/>
  <c r="X8" i="14" s="1"/>
  <c r="T9" i="14"/>
  <c r="X9" i="14" s="1"/>
  <c r="T10" i="14"/>
  <c r="X10" i="14" s="1"/>
  <c r="T11" i="14"/>
  <c r="X11" i="14" s="1"/>
  <c r="T12" i="14"/>
  <c r="X12" i="14" s="1"/>
  <c r="T13" i="14"/>
  <c r="X13" i="14" s="1"/>
  <c r="T14" i="14"/>
  <c r="X14" i="14" s="1"/>
  <c r="T15" i="14"/>
  <c r="X15" i="14" s="1"/>
  <c r="T16" i="14"/>
  <c r="X16" i="14" s="1"/>
  <c r="T17" i="14"/>
  <c r="X17" i="14" s="1"/>
  <c r="T18" i="14"/>
  <c r="X18" i="14" s="1"/>
  <c r="T19" i="14"/>
  <c r="X19" i="14" s="1"/>
  <c r="T20" i="14"/>
  <c r="X20" i="14" s="1"/>
  <c r="T21" i="14"/>
  <c r="X21" i="14" s="1"/>
  <c r="T22" i="14"/>
  <c r="X22" i="14" s="1"/>
  <c r="T23" i="14"/>
  <c r="X23" i="14" s="1"/>
  <c r="T24" i="14"/>
  <c r="X24" i="14" s="1"/>
  <c r="T25" i="14"/>
  <c r="X25" i="14" s="1"/>
  <c r="T26" i="14"/>
  <c r="X26" i="14" s="1"/>
  <c r="T27" i="14"/>
  <c r="X27" i="14" s="1"/>
  <c r="T28" i="14"/>
  <c r="X28" i="14" s="1"/>
  <c r="T29" i="14"/>
  <c r="X29" i="14" s="1"/>
  <c r="T30" i="14"/>
  <c r="X30" i="14" s="1"/>
  <c r="T31" i="14"/>
  <c r="X31" i="14" s="1"/>
  <c r="T32" i="14"/>
  <c r="X32" i="14" s="1"/>
  <c r="T33" i="14"/>
  <c r="X33" i="14" s="1"/>
  <c r="T34" i="14"/>
  <c r="X34" i="14" s="1"/>
  <c r="T35" i="14"/>
  <c r="X35" i="14" s="1"/>
  <c r="T36" i="14"/>
  <c r="X36" i="14" s="1"/>
  <c r="T37" i="14"/>
  <c r="X37" i="14" s="1"/>
  <c r="T38" i="14"/>
  <c r="X38" i="14" s="1"/>
  <c r="T39" i="14"/>
  <c r="X39" i="14" s="1"/>
  <c r="T40" i="14"/>
  <c r="X40" i="14" s="1"/>
  <c r="T41" i="14"/>
  <c r="X41" i="14" s="1"/>
  <c r="T42" i="14"/>
  <c r="X42" i="14" s="1"/>
  <c r="T43" i="14"/>
  <c r="X43" i="14" s="1"/>
  <c r="T44" i="14"/>
  <c r="X44" i="14" s="1"/>
  <c r="T45" i="14"/>
  <c r="X45" i="14" s="1"/>
  <c r="T46" i="14"/>
  <c r="X46" i="14" s="1"/>
  <c r="T47" i="14"/>
  <c r="X47" i="14" s="1"/>
  <c r="T48" i="14"/>
  <c r="X48" i="14" s="1"/>
  <c r="T49" i="14"/>
  <c r="X49" i="14" s="1"/>
  <c r="T50" i="14"/>
  <c r="X50" i="14" s="1"/>
  <c r="T51" i="14"/>
  <c r="X51" i="14" s="1"/>
  <c r="T52" i="14"/>
  <c r="X52" i="14" s="1"/>
  <c r="T53" i="14"/>
  <c r="X53" i="14" s="1"/>
  <c r="T54" i="14"/>
  <c r="X54" i="14" s="1"/>
  <c r="T55" i="14"/>
  <c r="X55" i="14" s="1"/>
  <c r="T56" i="14"/>
  <c r="X56" i="14" s="1"/>
  <c r="T57" i="14"/>
  <c r="X57" i="14" s="1"/>
  <c r="T58" i="14"/>
  <c r="X58" i="14" s="1"/>
  <c r="T59" i="14"/>
  <c r="X59" i="14" s="1"/>
  <c r="T60" i="14"/>
  <c r="X60" i="14" s="1"/>
  <c r="T61" i="14"/>
  <c r="X61" i="14" s="1"/>
  <c r="T62" i="14"/>
  <c r="X62" i="14" s="1"/>
  <c r="T63" i="14"/>
  <c r="X63" i="14" s="1"/>
  <c r="T64" i="14"/>
  <c r="X64" i="14" s="1"/>
  <c r="T65" i="14"/>
  <c r="X65" i="14" s="1"/>
  <c r="T66" i="14"/>
  <c r="X66" i="14" s="1"/>
  <c r="T67" i="14"/>
  <c r="X67" i="14" s="1"/>
  <c r="T68" i="14"/>
  <c r="X68" i="14" s="1"/>
  <c r="T69" i="14"/>
  <c r="X69" i="14" s="1"/>
  <c r="T70" i="14"/>
  <c r="X70" i="14" s="1"/>
  <c r="T71" i="14"/>
  <c r="X71" i="14" s="1"/>
  <c r="T72" i="14"/>
  <c r="X72" i="14" s="1"/>
  <c r="T73" i="14"/>
  <c r="X73" i="14" s="1"/>
  <c r="T74" i="14"/>
  <c r="X74" i="14" s="1"/>
  <c r="T75" i="14"/>
  <c r="X75" i="14" s="1"/>
  <c r="T76" i="14"/>
  <c r="X76" i="14" s="1"/>
  <c r="T77" i="14"/>
  <c r="X77" i="14" s="1"/>
  <c r="T78" i="14"/>
  <c r="X78" i="14" s="1"/>
  <c r="T79" i="14"/>
  <c r="X79" i="14" s="1"/>
  <c r="T80" i="14"/>
  <c r="X80" i="14" s="1"/>
  <c r="T81" i="14"/>
  <c r="X81" i="14" s="1"/>
  <c r="T82" i="14"/>
  <c r="X82" i="14" s="1"/>
  <c r="T83" i="14"/>
  <c r="X83" i="14" s="1"/>
  <c r="T84" i="14"/>
  <c r="X84" i="14" s="1"/>
  <c r="T85" i="14"/>
  <c r="X85" i="14" s="1"/>
  <c r="T86" i="14"/>
  <c r="X86" i="14" s="1"/>
  <c r="T87" i="14"/>
  <c r="X87" i="14" s="1"/>
  <c r="T88" i="14"/>
  <c r="X88" i="14" s="1"/>
  <c r="T89" i="14"/>
  <c r="X89" i="14" s="1"/>
  <c r="T90" i="14"/>
  <c r="X90" i="14" s="1"/>
  <c r="T91" i="14"/>
  <c r="X91" i="14" s="1"/>
  <c r="T92" i="14"/>
  <c r="X92" i="14" s="1"/>
  <c r="T93" i="14"/>
  <c r="X93" i="14" s="1"/>
  <c r="T94" i="14"/>
  <c r="X94" i="14" s="1"/>
  <c r="T95" i="14"/>
  <c r="X95" i="14" s="1"/>
  <c r="T96" i="14"/>
  <c r="X96" i="14" s="1"/>
  <c r="T97" i="14"/>
  <c r="X97" i="14" s="1"/>
  <c r="T98" i="14"/>
  <c r="X98" i="14" s="1"/>
  <c r="T99" i="14"/>
  <c r="X99" i="14" s="1"/>
  <c r="T100" i="14"/>
  <c r="X100" i="14" s="1"/>
  <c r="T101" i="14"/>
  <c r="X101" i="14" s="1"/>
  <c r="T102" i="14"/>
  <c r="X102" i="14" s="1"/>
  <c r="T103" i="14"/>
  <c r="X103" i="14" s="1"/>
  <c r="T104" i="14"/>
  <c r="X104" i="14" s="1"/>
  <c r="T105" i="14"/>
  <c r="X105" i="14" s="1"/>
  <c r="T106" i="14"/>
  <c r="X106" i="14" s="1"/>
  <c r="T107" i="14"/>
  <c r="X107" i="14" s="1"/>
  <c r="T108" i="14"/>
  <c r="X108" i="14" s="1"/>
  <c r="T109" i="14"/>
  <c r="X109" i="14" s="1"/>
  <c r="T110" i="14"/>
  <c r="X110" i="14" s="1"/>
  <c r="T111" i="14"/>
  <c r="X111" i="14" s="1"/>
  <c r="T112" i="14"/>
  <c r="X112" i="14" s="1"/>
  <c r="T113" i="14"/>
  <c r="X113" i="14" s="1"/>
  <c r="T114" i="14"/>
  <c r="X114" i="14" s="1"/>
  <c r="T115" i="14"/>
  <c r="X115" i="14" s="1"/>
  <c r="T116" i="14"/>
  <c r="X116" i="14" s="1"/>
  <c r="T117" i="14"/>
  <c r="X117" i="14" s="1"/>
  <c r="T118" i="14"/>
  <c r="X118" i="14" s="1"/>
  <c r="T119" i="14"/>
  <c r="X119" i="14" s="1"/>
  <c r="T120" i="14"/>
  <c r="X120" i="14" s="1"/>
  <c r="T121" i="14"/>
  <c r="X121" i="14" s="1"/>
  <c r="T122" i="14"/>
  <c r="X122" i="14" s="1"/>
  <c r="T123" i="14"/>
  <c r="X123" i="14" s="1"/>
  <c r="T124" i="14"/>
  <c r="X124" i="14" s="1"/>
  <c r="T125" i="14"/>
  <c r="X125" i="14" s="1"/>
  <c r="T126" i="14"/>
  <c r="X126" i="14" s="1"/>
  <c r="T127" i="14"/>
  <c r="X127" i="14" s="1"/>
  <c r="T128" i="14"/>
  <c r="X128" i="14" s="1"/>
  <c r="T129" i="14"/>
  <c r="X129" i="14" s="1"/>
  <c r="T130" i="14"/>
  <c r="X130" i="14" s="1"/>
  <c r="T6" i="14"/>
  <c r="X6" i="14" s="1"/>
  <c r="N7" i="14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N84" i="14" s="1"/>
  <c r="N85" i="14" s="1"/>
  <c r="N86" i="14" s="1"/>
  <c r="N87" i="14" s="1"/>
  <c r="N88" i="14" s="1"/>
  <c r="N89" i="14" s="1"/>
  <c r="N90" i="14" s="1"/>
  <c r="N91" i="14" s="1"/>
  <c r="N92" i="14" s="1"/>
  <c r="N93" i="14" s="1"/>
  <c r="N94" i="14" s="1"/>
  <c r="N95" i="14" s="1"/>
  <c r="N96" i="14" s="1"/>
  <c r="N97" i="14" s="1"/>
  <c r="N98" i="14" s="1"/>
  <c r="N99" i="14" s="1"/>
  <c r="N100" i="14" s="1"/>
  <c r="N101" i="14" s="1"/>
  <c r="N102" i="14" s="1"/>
  <c r="N103" i="14" s="1"/>
  <c r="N104" i="14" s="1"/>
  <c r="N105" i="14" s="1"/>
  <c r="N106" i="14" s="1"/>
  <c r="N107" i="14" s="1"/>
  <c r="N108" i="14" s="1"/>
  <c r="N109" i="14" s="1"/>
  <c r="N110" i="14" s="1"/>
  <c r="N111" i="14" s="1"/>
  <c r="N112" i="14" s="1"/>
  <c r="N113" i="14" s="1"/>
  <c r="N114" i="14" s="1"/>
  <c r="N115" i="14" s="1"/>
  <c r="N116" i="14" s="1"/>
  <c r="N117" i="14" s="1"/>
  <c r="N118" i="14" s="1"/>
  <c r="N119" i="14" s="1"/>
  <c r="N120" i="14" s="1"/>
  <c r="N121" i="14" s="1"/>
  <c r="N122" i="14" s="1"/>
  <c r="N123" i="14" s="1"/>
  <c r="N124" i="14" s="1"/>
  <c r="N125" i="14" s="1"/>
  <c r="S6" i="14"/>
  <c r="S14" i="14"/>
  <c r="S22" i="14"/>
  <c r="S30" i="14"/>
  <c r="S38" i="14"/>
  <c r="S46" i="14"/>
  <c r="S54" i="14"/>
  <c r="S62" i="14"/>
  <c r="S70" i="14"/>
  <c r="S78" i="14"/>
  <c r="S86" i="14"/>
  <c r="S94" i="14"/>
  <c r="S102" i="14"/>
  <c r="S110" i="14"/>
  <c r="S118" i="14"/>
  <c r="S126" i="14"/>
  <c r="S27" i="14"/>
  <c r="S67" i="14"/>
  <c r="S107" i="14"/>
  <c r="S7" i="14"/>
  <c r="S15" i="14"/>
  <c r="S23" i="14"/>
  <c r="S31" i="14"/>
  <c r="S39" i="14"/>
  <c r="S47" i="14"/>
  <c r="S55" i="14"/>
  <c r="S63" i="14"/>
  <c r="S71" i="14"/>
  <c r="S79" i="14"/>
  <c r="S87" i="14"/>
  <c r="S95" i="14"/>
  <c r="S103" i="14"/>
  <c r="S111" i="14"/>
  <c r="S119" i="14"/>
  <c r="S127" i="14"/>
  <c r="S17" i="14"/>
  <c r="S25" i="14"/>
  <c r="S49" i="14"/>
  <c r="S65" i="14"/>
  <c r="S89" i="14"/>
  <c r="S113" i="14"/>
  <c r="S129" i="14"/>
  <c r="S10" i="14"/>
  <c r="S18" i="14"/>
  <c r="S34" i="14"/>
  <c r="S42" i="14"/>
  <c r="S50" i="14"/>
  <c r="S66" i="14"/>
  <c r="S90" i="14"/>
  <c r="S106" i="14"/>
  <c r="S122" i="14"/>
  <c r="S19" i="14"/>
  <c r="S51" i="14"/>
  <c r="S83" i="14"/>
  <c r="S99" i="14"/>
  <c r="S123" i="14"/>
  <c r="S8" i="14"/>
  <c r="S16" i="14"/>
  <c r="S24" i="14"/>
  <c r="S32" i="14"/>
  <c r="S40" i="14"/>
  <c r="S48" i="14"/>
  <c r="S56" i="14"/>
  <c r="S64" i="14"/>
  <c r="S72" i="14"/>
  <c r="S80" i="14"/>
  <c r="S88" i="14"/>
  <c r="S96" i="14"/>
  <c r="S104" i="14"/>
  <c r="S112" i="14"/>
  <c r="S120" i="14"/>
  <c r="S128" i="14"/>
  <c r="S9" i="14"/>
  <c r="S33" i="14"/>
  <c r="S41" i="14"/>
  <c r="S57" i="14"/>
  <c r="S73" i="14"/>
  <c r="S81" i="14"/>
  <c r="S97" i="14"/>
  <c r="S105" i="14"/>
  <c r="S121" i="14"/>
  <c r="S26" i="14"/>
  <c r="S58" i="14"/>
  <c r="S74" i="14"/>
  <c r="S82" i="14"/>
  <c r="S98" i="14"/>
  <c r="S114" i="14"/>
  <c r="S130" i="14"/>
  <c r="S11" i="14"/>
  <c r="S35" i="14"/>
  <c r="S43" i="14"/>
  <c r="S59" i="14"/>
  <c r="S75" i="14"/>
  <c r="S91" i="14"/>
  <c r="S115" i="14"/>
  <c r="S131" i="14"/>
  <c r="S12" i="14"/>
  <c r="S20" i="14"/>
  <c r="S28" i="14"/>
  <c r="S36" i="14"/>
  <c r="S44" i="14"/>
  <c r="S52" i="14"/>
  <c r="S60" i="14"/>
  <c r="S68" i="14"/>
  <c r="S76" i="14"/>
  <c r="S84" i="14"/>
  <c r="S92" i="14"/>
  <c r="S100" i="14"/>
  <c r="S108" i="14"/>
  <c r="S116" i="14"/>
  <c r="S124" i="14"/>
  <c r="S13" i="14"/>
  <c r="S21" i="14"/>
  <c r="S29" i="14"/>
  <c r="S37" i="14"/>
  <c r="S45" i="14"/>
  <c r="S53" i="14"/>
  <c r="S61" i="14"/>
  <c r="S69" i="14"/>
  <c r="S77" i="14"/>
  <c r="S85" i="14"/>
  <c r="S93" i="14"/>
  <c r="S101" i="14"/>
  <c r="S109" i="14"/>
  <c r="S117" i="14"/>
  <c r="S125" i="14"/>
  <c r="N94" i="4"/>
  <c r="N130" i="4"/>
  <c r="N129" i="4"/>
  <c r="N56" i="4"/>
  <c r="N117" i="4"/>
  <c r="N115" i="4"/>
  <c r="N34" i="4"/>
  <c r="N10" i="4"/>
  <c r="N103" i="4"/>
  <c r="N32" i="4"/>
  <c r="N55" i="4"/>
  <c r="N123" i="4"/>
  <c r="N108" i="4"/>
  <c r="N8" i="4"/>
  <c r="N86" i="4"/>
  <c r="N9" i="4"/>
  <c r="N23" i="4"/>
  <c r="N120" i="4"/>
  <c r="N13" i="4"/>
  <c r="N16" i="4"/>
  <c r="N38" i="4"/>
  <c r="N97" i="4"/>
  <c r="N84" i="4"/>
  <c r="N68" i="4"/>
  <c r="N58" i="4"/>
  <c r="N54" i="4"/>
  <c r="N107" i="4"/>
  <c r="N66" i="4"/>
  <c r="N18" i="4"/>
  <c r="N43" i="4"/>
  <c r="N98" i="4"/>
  <c r="N89" i="4"/>
  <c r="N87" i="4"/>
  <c r="N112" i="4"/>
  <c r="N24" i="4"/>
  <c r="N106" i="4"/>
  <c r="N102" i="4"/>
  <c r="N27" i="4"/>
  <c r="N62" i="4"/>
  <c r="N132" i="4"/>
  <c r="N75" i="4"/>
  <c r="N47" i="4"/>
  <c r="N26" i="4"/>
  <c r="N101" i="4"/>
  <c r="N29" i="4"/>
  <c r="N44" i="4"/>
  <c r="N48" i="4"/>
  <c r="N30" i="4"/>
  <c r="N81" i="4"/>
  <c r="N128" i="4"/>
  <c r="N92" i="4"/>
  <c r="N53" i="4"/>
  <c r="N80" i="4"/>
  <c r="N91" i="4"/>
  <c r="N114" i="4"/>
  <c r="N39" i="4"/>
  <c r="N11" i="4"/>
  <c r="N77" i="4"/>
  <c r="N127" i="4"/>
  <c r="N82" i="4"/>
  <c r="N14" i="4"/>
  <c r="N122" i="4"/>
  <c r="N93" i="4"/>
  <c r="N52" i="4"/>
  <c r="N76" i="4"/>
  <c r="N25" i="4"/>
  <c r="N121" i="4"/>
  <c r="N61" i="4"/>
  <c r="N74" i="4"/>
  <c r="N79" i="4"/>
  <c r="N22" i="4"/>
  <c r="N60" i="4"/>
  <c r="N46" i="4"/>
  <c r="N65" i="4"/>
  <c r="N31" i="4"/>
  <c r="N57" i="4"/>
  <c r="N119" i="4"/>
  <c r="N15" i="4"/>
  <c r="N64" i="4"/>
  <c r="N113" i="4"/>
  <c r="N42" i="4"/>
  <c r="N83" i="4"/>
  <c r="N67" i="4"/>
  <c r="N88" i="4"/>
  <c r="N116" i="4"/>
  <c r="N69" i="4"/>
  <c r="N73" i="4"/>
  <c r="N125" i="4"/>
  <c r="N72" i="4"/>
  <c r="N50" i="4"/>
  <c r="N40" i="4"/>
  <c r="N45" i="4"/>
  <c r="N12" i="4"/>
  <c r="N99" i="4"/>
  <c r="N105" i="4"/>
  <c r="N90" i="4"/>
  <c r="N19" i="4"/>
  <c r="N41" i="4"/>
  <c r="N95" i="4"/>
  <c r="N28" i="4"/>
  <c r="N35" i="4"/>
  <c r="N71" i="4"/>
  <c r="N131" i="4"/>
  <c r="N70" i="4"/>
  <c r="N118" i="4"/>
  <c r="N17" i="4"/>
  <c r="N51" i="4"/>
  <c r="N104" i="4"/>
  <c r="N21" i="4"/>
  <c r="N63" i="4"/>
  <c r="N109" i="4"/>
  <c r="N111" i="4"/>
  <c r="N124" i="4"/>
  <c r="N7" i="4"/>
  <c r="N110" i="4"/>
  <c r="N20" i="4"/>
  <c r="N100" i="4"/>
  <c r="N78" i="4"/>
  <c r="N126" i="4"/>
  <c r="N96" i="4"/>
  <c r="N33" i="4"/>
  <c r="N37" i="4"/>
  <c r="N49" i="4"/>
  <c r="N85" i="4"/>
  <c r="N59" i="4"/>
  <c r="N36" i="4"/>
  <c r="W109" i="14" l="1"/>
  <c r="W77" i="14"/>
  <c r="W61" i="14"/>
  <c r="W21" i="14"/>
  <c r="W124" i="14"/>
  <c r="W100" i="14"/>
  <c r="W76" i="14"/>
  <c r="W52" i="14"/>
  <c r="W36" i="14"/>
  <c r="W12" i="14"/>
  <c r="W123" i="14"/>
  <c r="W107" i="14"/>
  <c r="W83" i="14"/>
  <c r="W67" i="14"/>
  <c r="W51" i="14"/>
  <c r="W27" i="14"/>
  <c r="W19" i="14"/>
  <c r="W130" i="14"/>
  <c r="W114" i="14"/>
  <c r="W90" i="14"/>
  <c r="W74" i="14"/>
  <c r="W58" i="14"/>
  <c r="W42" i="14"/>
  <c r="W34" i="14"/>
  <c r="W10" i="14"/>
  <c r="W129" i="14"/>
  <c r="W121" i="14"/>
  <c r="W113" i="14"/>
  <c r="W105" i="14"/>
  <c r="W97" i="14"/>
  <c r="W89" i="14"/>
  <c r="W81" i="14"/>
  <c r="W73" i="14"/>
  <c r="W65" i="14"/>
  <c r="W57" i="14"/>
  <c r="W49" i="14"/>
  <c r="W41" i="14"/>
  <c r="W33" i="14"/>
  <c r="W25" i="14"/>
  <c r="W17" i="14"/>
  <c r="W9" i="14"/>
  <c r="W117" i="14"/>
  <c r="W85" i="14"/>
  <c r="W53" i="14"/>
  <c r="W37" i="14"/>
  <c r="W13" i="14"/>
  <c r="W116" i="14"/>
  <c r="W92" i="14"/>
  <c r="W68" i="14"/>
  <c r="W44" i="14"/>
  <c r="W20" i="14"/>
  <c r="W131" i="14"/>
  <c r="W115" i="14"/>
  <c r="W99" i="14"/>
  <c r="W91" i="14"/>
  <c r="W75" i="14"/>
  <c r="W59" i="14"/>
  <c r="W43" i="14"/>
  <c r="W35" i="14"/>
  <c r="W11" i="14"/>
  <c r="W122" i="14"/>
  <c r="W106" i="14"/>
  <c r="W98" i="14"/>
  <c r="W82" i="14"/>
  <c r="W66" i="14"/>
  <c r="W50" i="14"/>
  <c r="W26" i="14"/>
  <c r="W18" i="14"/>
  <c r="W128" i="14"/>
  <c r="W120" i="14"/>
  <c r="W112" i="14"/>
  <c r="W104" i="14"/>
  <c r="W96" i="14"/>
  <c r="W88" i="14"/>
  <c r="W80" i="14"/>
  <c r="W72" i="14"/>
  <c r="W64" i="14"/>
  <c r="W56" i="14"/>
  <c r="W48" i="14"/>
  <c r="W40" i="14"/>
  <c r="W32" i="14"/>
  <c r="W24" i="14"/>
  <c r="W16" i="14"/>
  <c r="W8" i="14"/>
  <c r="W125" i="14"/>
  <c r="W101" i="14"/>
  <c r="W93" i="14"/>
  <c r="W69" i="14"/>
  <c r="W45" i="14"/>
  <c r="W29" i="14"/>
  <c r="W108" i="14"/>
  <c r="W84" i="14"/>
  <c r="W60" i="14"/>
  <c r="W28" i="14"/>
  <c r="W127" i="14"/>
  <c r="W119" i="14"/>
  <c r="W111" i="14"/>
  <c r="W103" i="14"/>
  <c r="W95" i="14"/>
  <c r="W87" i="14"/>
  <c r="W79" i="14"/>
  <c r="W71" i="14"/>
  <c r="W63" i="14"/>
  <c r="W55" i="14"/>
  <c r="W47" i="14"/>
  <c r="W39" i="14"/>
  <c r="W31" i="14"/>
  <c r="W23" i="14"/>
  <c r="W15" i="14"/>
  <c r="W7" i="14"/>
  <c r="W126" i="14"/>
  <c r="W118" i="14"/>
  <c r="W110" i="14"/>
  <c r="W102" i="14"/>
  <c r="W94" i="14"/>
  <c r="W86" i="14"/>
  <c r="W78" i="14"/>
  <c r="W70" i="14"/>
  <c r="W62" i="14"/>
  <c r="W54" i="14"/>
  <c r="W46" i="14"/>
  <c r="W38" i="14"/>
  <c r="W30" i="14"/>
  <c r="W22" i="14"/>
  <c r="W14" i="14"/>
  <c r="W6" i="14"/>
  <c r="T36" i="4"/>
  <c r="T59" i="4"/>
  <c r="T85" i="4"/>
  <c r="T49" i="4"/>
  <c r="T37" i="4"/>
  <c r="T33" i="4"/>
  <c r="T96" i="4"/>
  <c r="T126" i="4"/>
  <c r="T78" i="4"/>
  <c r="T100" i="4"/>
  <c r="T20" i="4"/>
  <c r="T110" i="4"/>
  <c r="T7" i="4"/>
  <c r="T124" i="4"/>
  <c r="T111" i="4"/>
  <c r="T109" i="4"/>
  <c r="T63" i="4"/>
  <c r="T21" i="4"/>
  <c r="T104" i="4"/>
  <c r="T51" i="4"/>
  <c r="T17" i="4"/>
  <c r="T118" i="4"/>
  <c r="T70" i="4"/>
  <c r="T131" i="4"/>
  <c r="T71" i="4"/>
  <c r="T35" i="4"/>
  <c r="T28" i="4"/>
  <c r="T95" i="4"/>
  <c r="T41" i="4"/>
  <c r="T19" i="4"/>
  <c r="T90" i="4"/>
  <c r="T105" i="4"/>
  <c r="T99" i="4"/>
  <c r="T12" i="4"/>
  <c r="T45" i="4"/>
  <c r="T40" i="4"/>
  <c r="T50" i="4"/>
  <c r="T72" i="4"/>
  <c r="T125" i="4"/>
  <c r="T73" i="4"/>
  <c r="T69" i="4"/>
  <c r="T116" i="4"/>
  <c r="T88" i="4"/>
  <c r="T67" i="4"/>
  <c r="T83" i="4"/>
  <c r="T42" i="4"/>
  <c r="T113" i="4"/>
  <c r="T64" i="4"/>
  <c r="T15" i="4"/>
  <c r="T119" i="4"/>
  <c r="T57" i="4"/>
  <c r="T31" i="4"/>
  <c r="T65" i="4"/>
  <c r="T46" i="4"/>
  <c r="T60" i="4"/>
  <c r="T22" i="4"/>
  <c r="T79" i="4"/>
  <c r="T74" i="4"/>
  <c r="T61" i="4"/>
  <c r="T121" i="4"/>
  <c r="T25" i="4"/>
  <c r="T76" i="4"/>
  <c r="T52" i="4"/>
  <c r="T93" i="4"/>
  <c r="T122" i="4"/>
  <c r="T14" i="4"/>
  <c r="T82" i="4"/>
  <c r="T127" i="4"/>
  <c r="T77" i="4"/>
  <c r="T11" i="4"/>
  <c r="T39" i="4"/>
  <c r="T114" i="4"/>
  <c r="T91" i="4"/>
  <c r="T80" i="4"/>
  <c r="T53" i="4"/>
  <c r="T92" i="4"/>
  <c r="T128" i="4"/>
  <c r="T81" i="4"/>
  <c r="T30" i="4"/>
  <c r="T48" i="4"/>
  <c r="T44" i="4"/>
  <c r="T29" i="4"/>
  <c r="T101" i="4"/>
  <c r="T26" i="4"/>
  <c r="T47" i="4"/>
  <c r="T75" i="4"/>
  <c r="T132" i="4"/>
  <c r="T62" i="4"/>
  <c r="T27" i="4"/>
  <c r="T102" i="4"/>
  <c r="T106" i="4"/>
  <c r="T24" i="4"/>
  <c r="T112" i="4"/>
  <c r="T87" i="4"/>
  <c r="T89" i="4"/>
  <c r="T98" i="4"/>
  <c r="T43" i="4"/>
  <c r="T18" i="4"/>
  <c r="T66" i="4"/>
  <c r="T107" i="4"/>
  <c r="T54" i="4"/>
  <c r="T58" i="4"/>
  <c r="T68" i="4"/>
  <c r="T84" i="4"/>
  <c r="T97" i="4"/>
  <c r="T38" i="4"/>
  <c r="T16" i="4"/>
  <c r="T13" i="4"/>
  <c r="T120" i="4"/>
  <c r="T23" i="4"/>
  <c r="T9" i="4"/>
  <c r="T86" i="4"/>
  <c r="T8" i="4"/>
  <c r="T108" i="4"/>
  <c r="T123" i="4"/>
  <c r="T55" i="4"/>
  <c r="T32" i="4"/>
  <c r="T103" i="4"/>
  <c r="T10" i="4"/>
  <c r="T34" i="4"/>
  <c r="T115" i="4"/>
  <c r="T117" i="4"/>
  <c r="T56" i="4"/>
  <c r="T129" i="4"/>
  <c r="T130" i="4"/>
  <c r="T94" i="4"/>
  <c r="Z6" i="14" a="1"/>
  <c r="U7" i="4"/>
  <c r="AA9" i="14" l="1"/>
  <c r="AA13" i="14"/>
  <c r="AA17" i="14"/>
  <c r="AA21" i="14"/>
  <c r="AA25" i="14"/>
  <c r="AA29" i="14"/>
  <c r="AA33" i="14"/>
  <c r="AA37" i="14"/>
  <c r="AA41" i="14"/>
  <c r="AA45" i="14"/>
  <c r="AA49" i="14"/>
  <c r="AA53" i="14"/>
  <c r="AA57" i="14"/>
  <c r="AA61" i="14"/>
  <c r="AA65" i="14"/>
  <c r="AA69" i="14"/>
  <c r="AA73" i="14"/>
  <c r="AA77" i="14"/>
  <c r="AA81" i="14"/>
  <c r="AA85" i="14"/>
  <c r="AA89" i="14"/>
  <c r="AA93" i="14"/>
  <c r="AA97" i="14"/>
  <c r="AA101" i="14"/>
  <c r="AA105" i="14"/>
  <c r="AA109" i="14"/>
  <c r="AA113" i="14"/>
  <c r="AA117" i="14"/>
  <c r="AA121" i="14"/>
  <c r="AA125" i="14"/>
  <c r="AA129" i="14"/>
  <c r="Z6" i="14"/>
  <c r="Z10" i="14"/>
  <c r="Z14" i="14"/>
  <c r="Z18" i="14"/>
  <c r="Z22" i="14"/>
  <c r="Z26" i="14"/>
  <c r="Z30" i="14"/>
  <c r="Z34" i="14"/>
  <c r="Z38" i="14"/>
  <c r="Z42" i="14"/>
  <c r="Z46" i="14"/>
  <c r="Z50" i="14"/>
  <c r="Z54" i="14"/>
  <c r="Z58" i="14"/>
  <c r="Z62" i="14"/>
  <c r="Z66" i="14"/>
  <c r="Z70" i="14"/>
  <c r="Z74" i="14"/>
  <c r="Z78" i="14"/>
  <c r="Z82" i="14"/>
  <c r="Z86" i="14"/>
  <c r="Z90" i="14"/>
  <c r="Z94" i="14"/>
  <c r="Z98" i="14"/>
  <c r="Z102" i="14"/>
  <c r="Z106" i="14"/>
  <c r="Z110" i="14"/>
  <c r="Z114" i="14"/>
  <c r="Z118" i="14"/>
  <c r="Z122" i="14"/>
  <c r="Z126" i="14"/>
  <c r="Z130" i="14"/>
  <c r="AA6" i="14"/>
  <c r="AA10" i="14"/>
  <c r="AA14" i="14"/>
  <c r="AA18" i="14"/>
  <c r="AA22" i="14"/>
  <c r="AA26" i="14"/>
  <c r="AA30" i="14"/>
  <c r="AA34" i="14"/>
  <c r="AA38" i="14"/>
  <c r="AA42" i="14"/>
  <c r="AA46" i="14"/>
  <c r="AA50" i="14"/>
  <c r="AA54" i="14"/>
  <c r="AA58" i="14"/>
  <c r="AA62" i="14"/>
  <c r="AA66" i="14"/>
  <c r="AA70" i="14"/>
  <c r="AA74" i="14"/>
  <c r="AA78" i="14"/>
  <c r="AA82" i="14"/>
  <c r="AA86" i="14"/>
  <c r="AA90" i="14"/>
  <c r="AA94" i="14"/>
  <c r="AA98" i="14"/>
  <c r="AA102" i="14"/>
  <c r="AA106" i="14"/>
  <c r="AA110" i="14"/>
  <c r="AA114" i="14"/>
  <c r="AA118" i="14"/>
  <c r="AA122" i="14"/>
  <c r="AA126" i="14"/>
  <c r="AA130" i="14"/>
  <c r="Z12" i="14"/>
  <c r="Z20" i="14"/>
  <c r="Z28" i="14"/>
  <c r="Z32" i="14"/>
  <c r="Z36" i="14"/>
  <c r="Z44" i="14"/>
  <c r="Z48" i="14"/>
  <c r="Z56" i="14"/>
  <c r="Z64" i="14"/>
  <c r="Z72" i="14"/>
  <c r="Z80" i="14"/>
  <c r="Z88" i="14"/>
  <c r="Z96" i="14"/>
  <c r="Z108" i="14"/>
  <c r="Z116" i="14"/>
  <c r="Z124" i="14"/>
  <c r="AA131" i="14"/>
  <c r="AA92" i="14"/>
  <c r="AA116" i="14"/>
  <c r="AA128" i="14"/>
  <c r="Z9" i="14"/>
  <c r="Z13" i="14"/>
  <c r="Z17" i="14"/>
  <c r="Z21" i="14"/>
  <c r="Z25" i="14"/>
  <c r="Z29" i="14"/>
  <c r="Z33" i="14"/>
  <c r="Z37" i="14"/>
  <c r="Z41" i="14"/>
  <c r="Z45" i="14"/>
  <c r="Z53" i="14"/>
  <c r="Z61" i="14"/>
  <c r="Z65" i="14"/>
  <c r="Z69" i="14"/>
  <c r="Z73" i="14"/>
  <c r="Z77" i="14"/>
  <c r="Z85" i="14"/>
  <c r="Z89" i="14"/>
  <c r="Z93" i="14"/>
  <c r="Z105" i="14"/>
  <c r="Z113" i="14"/>
  <c r="Z125" i="14"/>
  <c r="Z7" i="14"/>
  <c r="Z11" i="14"/>
  <c r="Z15" i="14"/>
  <c r="Z19" i="14"/>
  <c r="Z23" i="14"/>
  <c r="Z27" i="14"/>
  <c r="Z31" i="14"/>
  <c r="Z35" i="14"/>
  <c r="Z39" i="14"/>
  <c r="Z43" i="14"/>
  <c r="Z47" i="14"/>
  <c r="Z51" i="14"/>
  <c r="Z55" i="14"/>
  <c r="Z59" i="14"/>
  <c r="Z63" i="14"/>
  <c r="Z67" i="14"/>
  <c r="Z71" i="14"/>
  <c r="Z75" i="14"/>
  <c r="Z79" i="14"/>
  <c r="Z83" i="14"/>
  <c r="Z87" i="14"/>
  <c r="Z91" i="14"/>
  <c r="Z95" i="14"/>
  <c r="Z99" i="14"/>
  <c r="Z103" i="14"/>
  <c r="Z107" i="14"/>
  <c r="Z111" i="14"/>
  <c r="Z115" i="14"/>
  <c r="Z119" i="14"/>
  <c r="Z123" i="14"/>
  <c r="Z127" i="14"/>
  <c r="Z131" i="14"/>
  <c r="AA8" i="14"/>
  <c r="AA12" i="14"/>
  <c r="AA16" i="14"/>
  <c r="AA20" i="14"/>
  <c r="AA24" i="14"/>
  <c r="AA28" i="14"/>
  <c r="AA32" i="14"/>
  <c r="AA36" i="14"/>
  <c r="AA40" i="14"/>
  <c r="AA44" i="14"/>
  <c r="AA48" i="14"/>
  <c r="AA52" i="14"/>
  <c r="AA56" i="14"/>
  <c r="AA60" i="14"/>
  <c r="AA64" i="14"/>
  <c r="AA68" i="14"/>
  <c r="AA72" i="14"/>
  <c r="AA76" i="14"/>
  <c r="AA80" i="14"/>
  <c r="AA88" i="14"/>
  <c r="AA96" i="14"/>
  <c r="AA100" i="14"/>
  <c r="AA104" i="14"/>
  <c r="AA112" i="14"/>
  <c r="AA120" i="14"/>
  <c r="Z49" i="14"/>
  <c r="Z81" i="14"/>
  <c r="Z97" i="14"/>
  <c r="Z109" i="14"/>
  <c r="Z121" i="14"/>
  <c r="AA7" i="14"/>
  <c r="AA11" i="14"/>
  <c r="AA15" i="14"/>
  <c r="AA19" i="14"/>
  <c r="AA23" i="14"/>
  <c r="AA27" i="14"/>
  <c r="AA31" i="14"/>
  <c r="AA35" i="14"/>
  <c r="AA39" i="14"/>
  <c r="AA43" i="14"/>
  <c r="AA47" i="14"/>
  <c r="AA51" i="14"/>
  <c r="AA55" i="14"/>
  <c r="AA59" i="14"/>
  <c r="AA63" i="14"/>
  <c r="AA67" i="14"/>
  <c r="AA71" i="14"/>
  <c r="AA75" i="14"/>
  <c r="AA79" i="14"/>
  <c r="AA83" i="14"/>
  <c r="AA87" i="14"/>
  <c r="AA91" i="14"/>
  <c r="AA95" i="14"/>
  <c r="AA99" i="14"/>
  <c r="AA103" i="14"/>
  <c r="AA107" i="14"/>
  <c r="AA111" i="14"/>
  <c r="AA115" i="14"/>
  <c r="AA119" i="14"/>
  <c r="AA123" i="14"/>
  <c r="AA127" i="14"/>
  <c r="Z8" i="14"/>
  <c r="Z16" i="14"/>
  <c r="Z24" i="14"/>
  <c r="Z40" i="14"/>
  <c r="Z52" i="14"/>
  <c r="Z60" i="14"/>
  <c r="Z68" i="14"/>
  <c r="Z76" i="14"/>
  <c r="Z84" i="14"/>
  <c r="Z92" i="14"/>
  <c r="Z100" i="14"/>
  <c r="Z104" i="14"/>
  <c r="Z112" i="14"/>
  <c r="Z120" i="14"/>
  <c r="Z128" i="14"/>
  <c r="AA84" i="14"/>
  <c r="AA108" i="14"/>
  <c r="AA124" i="14"/>
  <c r="Z57" i="14"/>
  <c r="Z101" i="14"/>
  <c r="Z117" i="14"/>
  <c r="Z129" i="14"/>
  <c r="G132" i="4"/>
  <c r="AC132" i="4"/>
  <c r="Y132" i="4"/>
  <c r="M132" i="4"/>
  <c r="U132" i="4"/>
  <c r="Z4" i="14" l="1"/>
  <c r="G131" i="4"/>
  <c r="AI6" i="14" a="1"/>
  <c r="M131" i="4"/>
  <c r="Y131" i="4"/>
  <c r="AC131" i="4"/>
  <c r="U131" i="4"/>
  <c r="AI7" i="14" l="1"/>
  <c r="AI11" i="14"/>
  <c r="AI15" i="14"/>
  <c r="AJ7" i="14"/>
  <c r="AJ11" i="14"/>
  <c r="AJ15" i="14"/>
  <c r="AI8" i="14"/>
  <c r="AI12" i="14"/>
  <c r="AI16" i="14"/>
  <c r="AJ13" i="14"/>
  <c r="AI10" i="14"/>
  <c r="AJ6" i="14"/>
  <c r="AJ18" i="14"/>
  <c r="AJ8" i="14"/>
  <c r="AJ12" i="14"/>
  <c r="AJ16" i="14"/>
  <c r="AI6" i="14"/>
  <c r="AI18" i="14"/>
  <c r="AJ14" i="14"/>
  <c r="AI9" i="14"/>
  <c r="AI13" i="14"/>
  <c r="AI17" i="14"/>
  <c r="AJ9" i="14"/>
  <c r="AJ17" i="14"/>
  <c r="AI14" i="14"/>
  <c r="AJ10" i="14"/>
  <c r="G130" i="4"/>
  <c r="AF6" i="14" a="1"/>
  <c r="AC6" i="14" a="1"/>
  <c r="Y130" i="4"/>
  <c r="M130" i="4"/>
  <c r="U130" i="4"/>
  <c r="AC130" i="4"/>
  <c r="AD7" i="14" l="1"/>
  <c r="AD11" i="14"/>
  <c r="AD15" i="14"/>
  <c r="AC8" i="14"/>
  <c r="AC12" i="14"/>
  <c r="AC16" i="14"/>
  <c r="AC6" i="14"/>
  <c r="AC10" i="14"/>
  <c r="AC14" i="14"/>
  <c r="AC18" i="14"/>
  <c r="AD6" i="14"/>
  <c r="AD10" i="14"/>
  <c r="AD14" i="14"/>
  <c r="AD18" i="14"/>
  <c r="AC7" i="14"/>
  <c r="AC11" i="14"/>
  <c r="AC15" i="14"/>
  <c r="AD8" i="14"/>
  <c r="AD17" i="14"/>
  <c r="AC9" i="14"/>
  <c r="AD12" i="14"/>
  <c r="AD9" i="14"/>
  <c r="AC13" i="14"/>
  <c r="AD13" i="14"/>
  <c r="AD16" i="14"/>
  <c r="AC17" i="14"/>
  <c r="AF9" i="14"/>
  <c r="AF13" i="14"/>
  <c r="AF17" i="14"/>
  <c r="AG9" i="14"/>
  <c r="AG13" i="14"/>
  <c r="AG17" i="14"/>
  <c r="AG7" i="14"/>
  <c r="AG11" i="14"/>
  <c r="AG15" i="14"/>
  <c r="AF8" i="14"/>
  <c r="AF12" i="14"/>
  <c r="AF16" i="14"/>
  <c r="AG8" i="14"/>
  <c r="AG12" i="14"/>
  <c r="AG16" i="14"/>
  <c r="AG10" i="14"/>
  <c r="AF10" i="14"/>
  <c r="AF11" i="14"/>
  <c r="AG14" i="14"/>
  <c r="AF7" i="14"/>
  <c r="AF14" i="14"/>
  <c r="AF6" i="14"/>
  <c r="AF15" i="14"/>
  <c r="AG6" i="14"/>
  <c r="AF18" i="14"/>
  <c r="AG18" i="14"/>
  <c r="G129" i="4"/>
  <c r="O6" i="14" a="1"/>
  <c r="P6" i="14" a="1"/>
  <c r="U129" i="4"/>
  <c r="M129" i="4"/>
  <c r="AC129" i="4"/>
  <c r="Y129" i="4"/>
  <c r="O13" i="14" l="1"/>
  <c r="O21" i="14"/>
  <c r="O29" i="14"/>
  <c r="O37" i="14"/>
  <c r="O45" i="14"/>
  <c r="O53" i="14"/>
  <c r="O61" i="14"/>
  <c r="O69" i="14"/>
  <c r="O77" i="14"/>
  <c r="O85" i="14"/>
  <c r="O93" i="14"/>
  <c r="O101" i="14"/>
  <c r="O109" i="14"/>
  <c r="O117" i="14"/>
  <c r="O125" i="14"/>
  <c r="O7" i="14"/>
  <c r="O23" i="14"/>
  <c r="O31" i="14"/>
  <c r="O39" i="14"/>
  <c r="O47" i="14"/>
  <c r="O55" i="14"/>
  <c r="O63" i="14"/>
  <c r="O71" i="14"/>
  <c r="O79" i="14"/>
  <c r="O87" i="14"/>
  <c r="O95" i="14"/>
  <c r="O103" i="14"/>
  <c r="O111" i="14"/>
  <c r="O119" i="14"/>
  <c r="O18" i="14"/>
  <c r="O26" i="14"/>
  <c r="O34" i="14"/>
  <c r="O42" i="14"/>
  <c r="O50" i="14"/>
  <c r="O58" i="14"/>
  <c r="O66" i="14"/>
  <c r="O82" i="14"/>
  <c r="O90" i="14"/>
  <c r="O106" i="14"/>
  <c r="O122" i="14"/>
  <c r="O11" i="14"/>
  <c r="O27" i="14"/>
  <c r="O35" i="14"/>
  <c r="O43" i="14"/>
  <c r="O51" i="14"/>
  <c r="O59" i="14"/>
  <c r="O67" i="14"/>
  <c r="O75" i="14"/>
  <c r="O83" i="14"/>
  <c r="O91" i="14"/>
  <c r="O99" i="14"/>
  <c r="O115" i="14"/>
  <c r="O123" i="14"/>
  <c r="O12" i="14"/>
  <c r="O36" i="14"/>
  <c r="O44" i="14"/>
  <c r="O52" i="14"/>
  <c r="O60" i="14"/>
  <c r="O68" i="14"/>
  <c r="O76" i="14"/>
  <c r="O100" i="14"/>
  <c r="O116" i="14"/>
  <c r="O6" i="14"/>
  <c r="O14" i="14"/>
  <c r="O22" i="14"/>
  <c r="O30" i="14"/>
  <c r="O38" i="14"/>
  <c r="O46" i="14"/>
  <c r="O54" i="14"/>
  <c r="O62" i="14"/>
  <c r="O70" i="14"/>
  <c r="O78" i="14"/>
  <c r="O86" i="14"/>
  <c r="O94" i="14"/>
  <c r="O102" i="14"/>
  <c r="O110" i="14"/>
  <c r="O118" i="14"/>
  <c r="O15" i="14"/>
  <c r="O10" i="14"/>
  <c r="O74" i="14"/>
  <c r="O98" i="14"/>
  <c r="O114" i="14"/>
  <c r="O19" i="14"/>
  <c r="O107" i="14"/>
  <c r="O28" i="14"/>
  <c r="O84" i="14"/>
  <c r="O108" i="14"/>
  <c r="O8" i="14"/>
  <c r="O16" i="14"/>
  <c r="O24" i="14"/>
  <c r="O32" i="14"/>
  <c r="O40" i="14"/>
  <c r="O48" i="14"/>
  <c r="O56" i="14"/>
  <c r="O64" i="14"/>
  <c r="O72" i="14"/>
  <c r="O80" i="14"/>
  <c r="O88" i="14"/>
  <c r="O96" i="14"/>
  <c r="O104" i="14"/>
  <c r="O112" i="14"/>
  <c r="O120" i="14"/>
  <c r="O9" i="14"/>
  <c r="O17" i="14"/>
  <c r="O25" i="14"/>
  <c r="O33" i="14"/>
  <c r="O41" i="14"/>
  <c r="O49" i="14"/>
  <c r="O57" i="14"/>
  <c r="O65" i="14"/>
  <c r="O73" i="14"/>
  <c r="O81" i="14"/>
  <c r="O89" i="14"/>
  <c r="O97" i="14"/>
  <c r="O105" i="14"/>
  <c r="O113" i="14"/>
  <c r="O121" i="14"/>
  <c r="O20" i="14"/>
  <c r="O92" i="14"/>
  <c r="O124" i="14"/>
  <c r="P13" i="14"/>
  <c r="P21" i="14"/>
  <c r="P29" i="14"/>
  <c r="P37" i="14"/>
  <c r="P45" i="14"/>
  <c r="P53" i="14"/>
  <c r="P61" i="14"/>
  <c r="P69" i="14"/>
  <c r="P77" i="14"/>
  <c r="P85" i="14"/>
  <c r="P93" i="14"/>
  <c r="P101" i="14"/>
  <c r="P109" i="14"/>
  <c r="P117" i="14"/>
  <c r="P125" i="14"/>
  <c r="P24" i="14"/>
  <c r="P120" i="14"/>
  <c r="P9" i="14"/>
  <c r="P89" i="14"/>
  <c r="P18" i="14"/>
  <c r="P122" i="14"/>
  <c r="P19" i="14"/>
  <c r="P51" i="14"/>
  <c r="P75" i="14"/>
  <c r="P99" i="14"/>
  <c r="P123" i="14"/>
  <c r="P6" i="14"/>
  <c r="P14" i="14"/>
  <c r="P22" i="14"/>
  <c r="P30" i="14"/>
  <c r="P38" i="14"/>
  <c r="P46" i="14"/>
  <c r="P54" i="14"/>
  <c r="P62" i="14"/>
  <c r="P70" i="14"/>
  <c r="P78" i="14"/>
  <c r="P86" i="14"/>
  <c r="P94" i="14"/>
  <c r="P102" i="14"/>
  <c r="P110" i="14"/>
  <c r="P118" i="14"/>
  <c r="P16" i="14"/>
  <c r="P48" i="14"/>
  <c r="P64" i="14"/>
  <c r="P80" i="14"/>
  <c r="P104" i="14"/>
  <c r="P25" i="14"/>
  <c r="P41" i="14"/>
  <c r="P49" i="14"/>
  <c r="P65" i="14"/>
  <c r="P81" i="14"/>
  <c r="P97" i="14"/>
  <c r="P113" i="14"/>
  <c r="P26" i="14"/>
  <c r="P106" i="14"/>
  <c r="P11" i="14"/>
  <c r="P35" i="14"/>
  <c r="P43" i="14"/>
  <c r="P59" i="14"/>
  <c r="P83" i="14"/>
  <c r="P107" i="14"/>
  <c r="P7" i="14"/>
  <c r="P15" i="14"/>
  <c r="P23" i="14"/>
  <c r="P31" i="14"/>
  <c r="P39" i="14"/>
  <c r="P47" i="14"/>
  <c r="P55" i="14"/>
  <c r="P63" i="14"/>
  <c r="P71" i="14"/>
  <c r="P79" i="14"/>
  <c r="P87" i="14"/>
  <c r="P95" i="14"/>
  <c r="P103" i="14"/>
  <c r="P111" i="14"/>
  <c r="P119" i="14"/>
  <c r="P32" i="14"/>
  <c r="P17" i="14"/>
  <c r="P57" i="14"/>
  <c r="P73" i="14"/>
  <c r="P105" i="14"/>
  <c r="P121" i="14"/>
  <c r="P12" i="14"/>
  <c r="P20" i="14"/>
  <c r="P28" i="14"/>
  <c r="P36" i="14"/>
  <c r="P44" i="14"/>
  <c r="P52" i="14"/>
  <c r="P60" i="14"/>
  <c r="P68" i="14"/>
  <c r="P76" i="14"/>
  <c r="P84" i="14"/>
  <c r="P92" i="14"/>
  <c r="P100" i="14"/>
  <c r="P108" i="14"/>
  <c r="P116" i="14"/>
  <c r="P124" i="14"/>
  <c r="P8" i="14"/>
  <c r="P40" i="14"/>
  <c r="P56" i="14"/>
  <c r="P72" i="14"/>
  <c r="P88" i="14"/>
  <c r="P96" i="14"/>
  <c r="P112" i="14"/>
  <c r="P33" i="14"/>
  <c r="P10" i="14"/>
  <c r="P34" i="14"/>
  <c r="P42" i="14"/>
  <c r="P50" i="14"/>
  <c r="P58" i="14"/>
  <c r="P66" i="14"/>
  <c r="P74" i="14"/>
  <c r="P82" i="14"/>
  <c r="P90" i="14"/>
  <c r="P98" i="14"/>
  <c r="P114" i="14"/>
  <c r="P27" i="14"/>
  <c r="P67" i="14"/>
  <c r="P91" i="14"/>
  <c r="P115" i="14"/>
  <c r="G128" i="4"/>
  <c r="AC128" i="4"/>
  <c r="U128" i="4"/>
  <c r="Y128" i="4"/>
  <c r="M128" i="4"/>
  <c r="G127" i="4" l="1"/>
  <c r="U127" i="4"/>
  <c r="M127" i="4"/>
  <c r="AC127" i="4"/>
  <c r="Y127" i="4"/>
  <c r="G126" i="4" l="1"/>
  <c r="Y126" i="4"/>
  <c r="U126" i="4"/>
  <c r="M126" i="4"/>
  <c r="AC126" i="4"/>
  <c r="G125" i="4" l="1"/>
  <c r="M125" i="4"/>
  <c r="Y125" i="4"/>
  <c r="AC125" i="4"/>
  <c r="U125" i="4"/>
  <c r="G124" i="4" l="1"/>
  <c r="M124" i="4"/>
  <c r="Y124" i="4"/>
  <c r="U124" i="4"/>
  <c r="AC124" i="4"/>
  <c r="G123" i="4" l="1"/>
  <c r="Y123" i="4"/>
  <c r="M123" i="4"/>
  <c r="AC123" i="4"/>
  <c r="U123" i="4"/>
  <c r="G122" i="4" l="1"/>
  <c r="AC122" i="4"/>
  <c r="M122" i="4"/>
  <c r="Y122" i="4"/>
  <c r="U122" i="4"/>
  <c r="G121" i="4" l="1"/>
  <c r="AC121" i="4"/>
  <c r="M121" i="4"/>
  <c r="Y121" i="4"/>
  <c r="U121" i="4"/>
  <c r="G120" i="4" l="1"/>
  <c r="Y120" i="4"/>
  <c r="M120" i="4"/>
  <c r="AC120" i="4"/>
  <c r="U120" i="4"/>
  <c r="G119" i="4" l="1"/>
  <c r="AC119" i="4"/>
  <c r="M119" i="4"/>
  <c r="U119" i="4"/>
  <c r="Y119" i="4"/>
  <c r="G118" i="4" l="1"/>
  <c r="U118" i="4"/>
  <c r="AC118" i="4"/>
  <c r="M118" i="4"/>
  <c r="Y118" i="4"/>
  <c r="G117" i="4" l="1"/>
  <c r="Y117" i="4"/>
  <c r="M117" i="4"/>
  <c r="U117" i="4"/>
  <c r="AC117" i="4"/>
  <c r="G116" i="4" l="1"/>
  <c r="Y116" i="4"/>
  <c r="M116" i="4"/>
  <c r="AC116" i="4"/>
  <c r="U116" i="4"/>
  <c r="G115" i="4" l="1"/>
  <c r="Y115" i="4"/>
  <c r="M115" i="4"/>
  <c r="U115" i="4"/>
  <c r="AC115" i="4"/>
  <c r="G114" i="4" l="1"/>
  <c r="Y114" i="4"/>
  <c r="U114" i="4"/>
  <c r="AC114" i="4"/>
  <c r="M114" i="4"/>
  <c r="G113" i="4" l="1"/>
  <c r="U113" i="4"/>
  <c r="Y113" i="4"/>
  <c r="AC113" i="4"/>
  <c r="M113" i="4"/>
  <c r="G112" i="4" l="1"/>
  <c r="AC112" i="4"/>
  <c r="M112" i="4"/>
  <c r="Y112" i="4"/>
  <c r="U112" i="4"/>
  <c r="G111" i="4" l="1"/>
  <c r="U111" i="4"/>
  <c r="Y111" i="4"/>
  <c r="AC111" i="4"/>
  <c r="M111" i="4"/>
  <c r="G110" i="4" l="1"/>
  <c r="AC110" i="4"/>
  <c r="Y110" i="4"/>
  <c r="U110" i="4"/>
  <c r="M110" i="4"/>
  <c r="G109" i="4" l="1"/>
  <c r="AC109" i="4"/>
  <c r="Y109" i="4"/>
  <c r="M109" i="4"/>
  <c r="U109" i="4"/>
  <c r="G108" i="4" l="1"/>
  <c r="M108" i="4"/>
  <c r="U108" i="4"/>
  <c r="Y108" i="4"/>
  <c r="AC108" i="4"/>
  <c r="G107" i="4" l="1"/>
  <c r="AC107" i="4"/>
  <c r="Y107" i="4"/>
  <c r="M107" i="4"/>
  <c r="U107" i="4"/>
  <c r="G106" i="4" l="1"/>
  <c r="Y106" i="4"/>
  <c r="AC106" i="4"/>
  <c r="M106" i="4"/>
  <c r="U106" i="4"/>
  <c r="G105" i="4" l="1"/>
  <c r="Y105" i="4"/>
  <c r="M105" i="4"/>
  <c r="U105" i="4"/>
  <c r="AC105" i="4"/>
  <c r="G104" i="4" l="1"/>
  <c r="Y104" i="4"/>
  <c r="M104" i="4"/>
  <c r="U104" i="4"/>
  <c r="AC104" i="4"/>
  <c r="G103" i="4" l="1"/>
  <c r="M103" i="4"/>
  <c r="AC103" i="4"/>
  <c r="U103" i="4"/>
  <c r="Y103" i="4"/>
  <c r="G102" i="4" l="1"/>
  <c r="AC102" i="4"/>
  <c r="Y102" i="4"/>
  <c r="M102" i="4"/>
  <c r="U102" i="4"/>
  <c r="G101" i="4" l="1"/>
  <c r="M101" i="4"/>
  <c r="AC101" i="4"/>
  <c r="Y101" i="4"/>
  <c r="U101" i="4"/>
  <c r="G100" i="4" l="1"/>
  <c r="AC100" i="4"/>
  <c r="Y100" i="4"/>
  <c r="M100" i="4"/>
  <c r="U100" i="4"/>
  <c r="G99" i="4" l="1"/>
  <c r="AC99" i="4"/>
  <c r="Y99" i="4"/>
  <c r="U99" i="4"/>
  <c r="M99" i="4"/>
  <c r="G98" i="4" l="1"/>
  <c r="U98" i="4"/>
  <c r="M98" i="4"/>
  <c r="Y98" i="4"/>
  <c r="AC98" i="4"/>
  <c r="G97" i="4" l="1"/>
  <c r="U97" i="4"/>
  <c r="Y97" i="4"/>
  <c r="M97" i="4"/>
  <c r="AC97" i="4"/>
  <c r="G96" i="4" l="1"/>
  <c r="M96" i="4"/>
  <c r="AC96" i="4"/>
  <c r="U96" i="4"/>
  <c r="Y96" i="4"/>
  <c r="G95" i="4" l="1"/>
  <c r="M95" i="4"/>
  <c r="Y95" i="4"/>
  <c r="U95" i="4"/>
  <c r="AC95" i="4"/>
  <c r="G94" i="4" l="1"/>
  <c r="M94" i="4"/>
  <c r="U94" i="4"/>
  <c r="AC94" i="4"/>
  <c r="Y94" i="4"/>
  <c r="G93" i="4" l="1"/>
  <c r="M93" i="4"/>
  <c r="Y93" i="4"/>
  <c r="AC93" i="4"/>
  <c r="U93" i="4"/>
  <c r="G92" i="4" l="1"/>
  <c r="M92" i="4"/>
  <c r="AC92" i="4"/>
  <c r="Y92" i="4"/>
  <c r="U92" i="4"/>
  <c r="G91" i="4" l="1"/>
  <c r="Y91" i="4"/>
  <c r="AC91" i="4"/>
  <c r="M91" i="4"/>
  <c r="U91" i="4"/>
  <c r="G90" i="4" l="1"/>
  <c r="AC90" i="4"/>
  <c r="Y90" i="4"/>
  <c r="U90" i="4"/>
  <c r="M90" i="4"/>
  <c r="G89" i="4" l="1"/>
  <c r="AC89" i="4"/>
  <c r="Y89" i="4"/>
  <c r="M89" i="4"/>
  <c r="U89" i="4"/>
  <c r="G88" i="4" l="1"/>
  <c r="Y88" i="4"/>
  <c r="M88" i="4"/>
  <c r="U88" i="4"/>
  <c r="AC88" i="4"/>
  <c r="G87" i="4" l="1"/>
  <c r="AC87" i="4"/>
  <c r="M87" i="4"/>
  <c r="Y87" i="4"/>
  <c r="U87" i="4"/>
  <c r="G86" i="4" l="1"/>
  <c r="U86" i="4"/>
  <c r="AC86" i="4"/>
  <c r="M86" i="4"/>
  <c r="Y86" i="4"/>
  <c r="G85" i="4" l="1"/>
  <c r="AC85" i="4"/>
  <c r="Y85" i="4"/>
  <c r="M85" i="4"/>
  <c r="U85" i="4"/>
  <c r="G84" i="4" l="1"/>
  <c r="U84" i="4"/>
  <c r="Y84" i="4"/>
  <c r="M84" i="4"/>
  <c r="AC84" i="4"/>
  <c r="G83" i="4" l="1"/>
  <c r="U83" i="4"/>
  <c r="AC83" i="4"/>
  <c r="Y83" i="4"/>
  <c r="M83" i="4"/>
  <c r="G82" i="4" l="1"/>
  <c r="U82" i="4"/>
  <c r="AC82" i="4"/>
  <c r="Y82" i="4"/>
  <c r="M82" i="4"/>
  <c r="G81" i="4" l="1"/>
  <c r="U81" i="4"/>
  <c r="M81" i="4"/>
  <c r="Y81" i="4"/>
  <c r="AC81" i="4"/>
  <c r="G80" i="4" l="1"/>
  <c r="Y80" i="4"/>
  <c r="M80" i="4"/>
  <c r="U80" i="4"/>
  <c r="AC80" i="4"/>
  <c r="G79" i="4" l="1"/>
  <c r="U79" i="4"/>
  <c r="Y79" i="4"/>
  <c r="M79" i="4"/>
  <c r="AC79" i="4"/>
  <c r="G78" i="4" l="1"/>
  <c r="Y78" i="4"/>
  <c r="U78" i="4"/>
  <c r="M78" i="4"/>
  <c r="AC78" i="4"/>
  <c r="G77" i="4" l="1"/>
  <c r="U77" i="4"/>
  <c r="M77" i="4"/>
  <c r="Y77" i="4"/>
  <c r="AC77" i="4"/>
  <c r="G76" i="4" l="1"/>
  <c r="U76" i="4"/>
  <c r="AC76" i="4"/>
  <c r="M76" i="4"/>
  <c r="Y76" i="4"/>
  <c r="G75" i="4" l="1"/>
  <c r="M75" i="4"/>
  <c r="AC75" i="4"/>
  <c r="U75" i="4"/>
  <c r="Y75" i="4"/>
  <c r="G74" i="4" l="1"/>
  <c r="M74" i="4"/>
  <c r="U74" i="4"/>
  <c r="AC74" i="4"/>
  <c r="Y74" i="4"/>
  <c r="G73" i="4" l="1"/>
  <c r="Y73" i="4"/>
  <c r="AC73" i="4"/>
  <c r="U73" i="4"/>
  <c r="M73" i="4"/>
  <c r="G72" i="4" l="1"/>
  <c r="Y72" i="4"/>
  <c r="AC72" i="4"/>
  <c r="M72" i="4"/>
  <c r="U72" i="4"/>
  <c r="G71" i="4" l="1"/>
  <c r="M71" i="4"/>
  <c r="Y71" i="4"/>
  <c r="U71" i="4"/>
  <c r="AC71" i="4"/>
  <c r="G70" i="4" l="1"/>
  <c r="AC70" i="4"/>
  <c r="M70" i="4"/>
  <c r="U70" i="4"/>
  <c r="Y70" i="4"/>
  <c r="G69" i="4" l="1"/>
  <c r="AC69" i="4"/>
  <c r="Y69" i="4"/>
  <c r="U69" i="4"/>
  <c r="M69" i="4"/>
  <c r="G68" i="4" l="1"/>
  <c r="U68" i="4"/>
  <c r="Y68" i="4"/>
  <c r="M68" i="4"/>
  <c r="AC68" i="4"/>
  <c r="G67" i="4" l="1"/>
  <c r="AC67" i="4"/>
  <c r="Y67" i="4"/>
  <c r="U67" i="4"/>
  <c r="M67" i="4"/>
  <c r="G66" i="4" l="1"/>
  <c r="U66" i="4"/>
  <c r="Y66" i="4"/>
  <c r="M66" i="4"/>
  <c r="AC66" i="4"/>
  <c r="G65" i="4" l="1"/>
  <c r="Y65" i="4"/>
  <c r="U65" i="4"/>
  <c r="M65" i="4"/>
  <c r="AC65" i="4"/>
  <c r="G64" i="4" l="1"/>
  <c r="U64" i="4"/>
  <c r="Y64" i="4"/>
  <c r="AC64" i="4"/>
  <c r="M64" i="4"/>
  <c r="G63" i="4" l="1"/>
  <c r="M63" i="4"/>
  <c r="AC63" i="4"/>
  <c r="U63" i="4"/>
  <c r="Y63" i="4"/>
  <c r="G62" i="4" l="1"/>
  <c r="U62" i="4"/>
  <c r="Y62" i="4"/>
  <c r="AC62" i="4"/>
  <c r="M62" i="4"/>
  <c r="G61" i="4" l="1"/>
  <c r="M61" i="4"/>
  <c r="Y61" i="4"/>
  <c r="AC61" i="4"/>
  <c r="U61" i="4"/>
  <c r="G60" i="4" l="1"/>
  <c r="M60" i="4"/>
  <c r="U60" i="4"/>
  <c r="Y60" i="4"/>
  <c r="AC60" i="4"/>
  <c r="G59" i="4" l="1"/>
  <c r="M59" i="4"/>
  <c r="AC59" i="4"/>
  <c r="U59" i="4"/>
  <c r="Y59" i="4"/>
  <c r="G58" i="4" l="1"/>
  <c r="AC58" i="4"/>
  <c r="U58" i="4"/>
  <c r="M58" i="4"/>
  <c r="Y58" i="4"/>
  <c r="G57" i="4" l="1"/>
  <c r="AC57" i="4"/>
  <c r="U57" i="4"/>
  <c r="M57" i="4"/>
  <c r="Y57" i="4"/>
  <c r="G56" i="4" l="1"/>
  <c r="Y56" i="4"/>
  <c r="U56" i="4"/>
  <c r="M56" i="4"/>
  <c r="AC56" i="4"/>
  <c r="G55" i="4" l="1"/>
  <c r="U55" i="4"/>
  <c r="M55" i="4"/>
  <c r="AC55" i="4"/>
  <c r="Y55" i="4"/>
  <c r="G54" i="4" l="1"/>
  <c r="Y54" i="4"/>
  <c r="M54" i="4"/>
  <c r="U54" i="4"/>
  <c r="AC54" i="4"/>
  <c r="G53" i="4" l="1"/>
  <c r="AC53" i="4"/>
  <c r="Y53" i="4"/>
  <c r="M53" i="4"/>
  <c r="U53" i="4"/>
  <c r="G52" i="4" l="1"/>
  <c r="U52" i="4"/>
  <c r="Y52" i="4"/>
  <c r="M52" i="4"/>
  <c r="AC52" i="4"/>
  <c r="G51" i="4" l="1"/>
  <c r="M51" i="4"/>
  <c r="AC51" i="4"/>
  <c r="U51" i="4"/>
  <c r="Y51" i="4"/>
  <c r="G50" i="4" l="1"/>
  <c r="U50" i="4"/>
  <c r="AC50" i="4"/>
  <c r="Y50" i="4"/>
  <c r="M50" i="4"/>
  <c r="G49" i="4" l="1"/>
  <c r="Y49" i="4"/>
  <c r="U49" i="4"/>
  <c r="AC49" i="4"/>
  <c r="M49" i="4"/>
  <c r="G48" i="4" l="1"/>
  <c r="AC48" i="4"/>
  <c r="Y48" i="4"/>
  <c r="M48" i="4"/>
  <c r="U48" i="4"/>
  <c r="G47" i="4" l="1"/>
  <c r="Y47" i="4"/>
  <c r="AC47" i="4"/>
  <c r="M47" i="4"/>
  <c r="U47" i="4"/>
  <c r="G46" i="4" l="1"/>
  <c r="M46" i="4"/>
  <c r="U46" i="4"/>
  <c r="AC46" i="4"/>
  <c r="Y46" i="4"/>
  <c r="G45" i="4" l="1"/>
  <c r="AC45" i="4"/>
  <c r="U45" i="4"/>
  <c r="Y45" i="4"/>
  <c r="M45" i="4"/>
  <c r="G44" i="4" l="1"/>
  <c r="AC44" i="4"/>
  <c r="M44" i="4"/>
  <c r="Y44" i="4"/>
  <c r="U44" i="4"/>
  <c r="G43" i="4" l="1"/>
  <c r="U43" i="4"/>
  <c r="Y43" i="4"/>
  <c r="M43" i="4"/>
  <c r="AC43" i="4"/>
  <c r="G42" i="4" l="1"/>
  <c r="U42" i="4"/>
  <c r="Y42" i="4"/>
  <c r="M42" i="4"/>
  <c r="AC42" i="4"/>
  <c r="G41" i="4" l="1"/>
  <c r="U41" i="4"/>
  <c r="M41" i="4"/>
  <c r="AC41" i="4"/>
  <c r="Y41" i="4"/>
  <c r="G40" i="4" l="1"/>
  <c r="M40" i="4"/>
  <c r="U40" i="4"/>
  <c r="AC40" i="4"/>
  <c r="Y40" i="4"/>
  <c r="G39" i="4" l="1"/>
  <c r="Y39" i="4"/>
  <c r="M39" i="4"/>
  <c r="AC39" i="4"/>
  <c r="U39" i="4"/>
  <c r="G38" i="4" l="1"/>
  <c r="AC38" i="4"/>
  <c r="M38" i="4"/>
  <c r="Y38" i="4"/>
  <c r="U38" i="4"/>
  <c r="G37" i="4" l="1"/>
  <c r="AC37" i="4"/>
  <c r="Y37" i="4"/>
  <c r="U37" i="4"/>
  <c r="M37" i="4"/>
  <c r="G36" i="4" l="1"/>
  <c r="Y36" i="4"/>
  <c r="U36" i="4"/>
  <c r="AC36" i="4"/>
  <c r="M36" i="4"/>
  <c r="G35" i="4" l="1"/>
  <c r="M35" i="4"/>
  <c r="Y35" i="4"/>
  <c r="U35" i="4"/>
  <c r="AC35" i="4"/>
  <c r="G34" i="4" l="1"/>
  <c r="U34" i="4"/>
  <c r="Y34" i="4"/>
  <c r="M34" i="4"/>
  <c r="AC34" i="4"/>
  <c r="G33" i="4" l="1"/>
  <c r="Y33" i="4"/>
  <c r="U33" i="4"/>
  <c r="AC33" i="4"/>
  <c r="M33" i="4"/>
  <c r="G32" i="4" l="1"/>
  <c r="AC32" i="4"/>
  <c r="Y32" i="4"/>
  <c r="U32" i="4"/>
  <c r="M32" i="4"/>
  <c r="G31" i="4" l="1"/>
  <c r="AC31" i="4"/>
  <c r="U31" i="4"/>
  <c r="Y31" i="4"/>
  <c r="M31" i="4"/>
  <c r="G30" i="4" l="1"/>
  <c r="M30" i="4"/>
  <c r="Y30" i="4"/>
  <c r="U30" i="4"/>
  <c r="AC30" i="4"/>
  <c r="G29" i="4" l="1"/>
  <c r="U29" i="4"/>
  <c r="Y29" i="4"/>
  <c r="AC29" i="4"/>
  <c r="M29" i="4"/>
  <c r="G28" i="4" l="1"/>
  <c r="Y28" i="4"/>
  <c r="U28" i="4"/>
  <c r="AC28" i="4"/>
  <c r="M28" i="4"/>
  <c r="G27" i="4" l="1"/>
  <c r="M27" i="4"/>
  <c r="U27" i="4"/>
  <c r="Y27" i="4"/>
  <c r="AC27" i="4"/>
  <c r="G26" i="4" l="1"/>
  <c r="Y26" i="4"/>
  <c r="AC26" i="4"/>
  <c r="M26" i="4"/>
  <c r="U26" i="4"/>
  <c r="G25" i="4" l="1"/>
  <c r="Y25" i="4"/>
  <c r="AC25" i="4"/>
  <c r="U25" i="4"/>
  <c r="M25" i="4"/>
  <c r="G24" i="4" l="1"/>
  <c r="Y24" i="4"/>
  <c r="M24" i="4"/>
  <c r="AC24" i="4"/>
  <c r="U24" i="4"/>
  <c r="G23" i="4" l="1"/>
  <c r="Y23" i="4"/>
  <c r="M23" i="4"/>
  <c r="AC23" i="4"/>
  <c r="U23" i="4"/>
  <c r="G22" i="4" l="1"/>
  <c r="M22" i="4"/>
  <c r="U22" i="4"/>
  <c r="Y22" i="4"/>
  <c r="AC22" i="4"/>
  <c r="G21" i="4" l="1"/>
  <c r="Y21" i="4"/>
  <c r="AC21" i="4"/>
  <c r="M21" i="4"/>
  <c r="U21" i="4"/>
  <c r="G20" i="4" l="1"/>
  <c r="U20" i="4"/>
  <c r="Y20" i="4"/>
  <c r="M20" i="4"/>
  <c r="AC20" i="4"/>
  <c r="G19" i="4" l="1"/>
  <c r="M19" i="4"/>
  <c r="Y19" i="4"/>
  <c r="U19" i="4"/>
  <c r="AC19" i="4"/>
  <c r="G18" i="4" l="1"/>
  <c r="Y18" i="4"/>
  <c r="M18" i="4"/>
  <c r="U18" i="4"/>
  <c r="AC18" i="4"/>
  <c r="G17" i="4" l="1"/>
  <c r="U17" i="4"/>
  <c r="AC17" i="4"/>
  <c r="M17" i="4"/>
  <c r="Y17" i="4"/>
  <c r="G16" i="4" l="1"/>
  <c r="U16" i="4"/>
  <c r="AC16" i="4"/>
  <c r="Y16" i="4"/>
  <c r="M16" i="4"/>
  <c r="G15" i="4" l="1"/>
  <c r="AC15" i="4"/>
  <c r="Y15" i="4"/>
  <c r="U15" i="4"/>
  <c r="M15" i="4"/>
  <c r="G14" i="4" l="1"/>
  <c r="M14" i="4"/>
  <c r="Y14" i="4"/>
  <c r="U14" i="4"/>
  <c r="AC14" i="4"/>
  <c r="G13" i="4" l="1"/>
  <c r="Y13" i="4"/>
  <c r="AC13" i="4"/>
  <c r="M13" i="4"/>
  <c r="U13" i="4"/>
  <c r="G12" i="4" l="1"/>
  <c r="U12" i="4"/>
  <c r="Y12" i="4"/>
  <c r="M12" i="4"/>
  <c r="AC12" i="4"/>
  <c r="G11" i="4" l="1"/>
  <c r="U11" i="4"/>
  <c r="M11" i="4"/>
  <c r="Y11" i="4"/>
  <c r="AC11" i="4"/>
  <c r="G10" i="4" l="1"/>
  <c r="AC10" i="4"/>
  <c r="M10" i="4"/>
  <c r="U10" i="4"/>
  <c r="Y10" i="4"/>
  <c r="G9" i="4" l="1"/>
  <c r="Y9" i="4"/>
  <c r="AC9" i="4"/>
  <c r="M9" i="4"/>
  <c r="U9" i="4"/>
  <c r="G8" i="4" l="1"/>
  <c r="U8" i="4"/>
  <c r="Y8" i="4"/>
  <c r="AC8" i="4"/>
  <c r="M8" i="4"/>
  <c r="G7" i="4" l="1"/>
  <c r="B4" i="4"/>
  <c r="C4" i="4"/>
  <c r="R11" i="4"/>
  <c r="V124" i="4"/>
  <c r="AA38" i="4"/>
  <c r="O8" i="4"/>
  <c r="S93" i="4"/>
  <c r="X88" i="4"/>
  <c r="O26" i="4"/>
  <c r="AE32" i="4"/>
  <c r="P63" i="4"/>
  <c r="P116" i="4"/>
  <c r="S76" i="4"/>
  <c r="P111" i="4"/>
  <c r="S41" i="4"/>
  <c r="S99" i="4"/>
  <c r="O55" i="4"/>
  <c r="AB90" i="4"/>
  <c r="AA103" i="4"/>
  <c r="V107" i="4"/>
  <c r="R97" i="4"/>
  <c r="S16" i="4"/>
  <c r="AE49" i="4"/>
  <c r="R51" i="4"/>
  <c r="O9" i="4"/>
  <c r="V22" i="4"/>
  <c r="V121" i="4"/>
  <c r="AA65" i="4"/>
  <c r="R48" i="4"/>
  <c r="V15" i="4"/>
  <c r="AE118" i="4"/>
  <c r="AE124" i="4"/>
  <c r="R66" i="4"/>
  <c r="O117" i="4"/>
  <c r="V86" i="4"/>
  <c r="V62" i="4"/>
  <c r="AA33" i="4"/>
  <c r="R42" i="4"/>
  <c r="AE43" i="4"/>
  <c r="AE90" i="4"/>
  <c r="AB108" i="4"/>
  <c r="AE130" i="4"/>
  <c r="R16" i="4"/>
  <c r="R59" i="4"/>
  <c r="S17" i="4"/>
  <c r="X96" i="4"/>
  <c r="O24" i="4"/>
  <c r="R117" i="4"/>
  <c r="AE98" i="4"/>
  <c r="V43" i="4"/>
  <c r="O59" i="4"/>
  <c r="R102" i="4"/>
  <c r="AB71" i="4"/>
  <c r="AB132" i="4"/>
  <c r="P35" i="4"/>
  <c r="X12" i="4"/>
  <c r="P102" i="4"/>
  <c r="X17" i="4"/>
  <c r="S39" i="4"/>
  <c r="P83" i="4"/>
  <c r="S44" i="4"/>
  <c r="S91" i="4"/>
  <c r="O15" i="4"/>
  <c r="V122" i="4"/>
  <c r="P49" i="4"/>
  <c r="X10" i="4"/>
  <c r="AA104" i="4"/>
  <c r="AB129" i="4"/>
  <c r="S88" i="4"/>
  <c r="O118" i="4"/>
  <c r="AE82" i="4"/>
  <c r="AA60" i="4"/>
  <c r="V35" i="4"/>
  <c r="S42" i="4"/>
  <c r="X42" i="4"/>
  <c r="AB29" i="4"/>
  <c r="AB97" i="4"/>
  <c r="S82" i="4"/>
  <c r="O100" i="4"/>
  <c r="AB70" i="4"/>
  <c r="V118" i="4"/>
  <c r="V82" i="4"/>
  <c r="AA102" i="4"/>
  <c r="R22" i="4"/>
  <c r="AB19" i="4"/>
  <c r="AB89" i="4"/>
  <c r="AA47" i="4"/>
  <c r="S120" i="4"/>
  <c r="AA44" i="4"/>
  <c r="AB68" i="4"/>
  <c r="V50" i="4"/>
  <c r="R73" i="4"/>
  <c r="P124" i="4"/>
  <c r="R98" i="4"/>
  <c r="R44" i="4"/>
  <c r="P125" i="4"/>
  <c r="AB38" i="4"/>
  <c r="S19" i="4"/>
  <c r="AA16" i="4"/>
  <c r="O23" i="4"/>
  <c r="R127" i="4"/>
  <c r="AB21" i="4"/>
  <c r="P48" i="4"/>
  <c r="V54" i="4"/>
  <c r="R89" i="4"/>
  <c r="P25" i="4"/>
  <c r="AA125" i="4"/>
  <c r="AB47" i="4"/>
  <c r="AA14" i="4"/>
  <c r="P42" i="4"/>
  <c r="O46" i="4"/>
  <c r="V28" i="4"/>
  <c r="X99" i="4"/>
  <c r="P82" i="4"/>
  <c r="O101" i="4"/>
  <c r="V55" i="4"/>
  <c r="V33" i="4"/>
  <c r="AE84" i="4"/>
  <c r="P58" i="4"/>
  <c r="O92" i="4"/>
  <c r="AE56" i="4"/>
  <c r="AB46" i="4"/>
  <c r="M7" i="4"/>
  <c r="X102" i="4"/>
  <c r="X56" i="4"/>
  <c r="V49" i="4"/>
  <c r="AE89" i="4"/>
  <c r="V63" i="4"/>
  <c r="O96" i="4"/>
  <c r="P38" i="4"/>
  <c r="P100" i="4"/>
  <c r="AA59" i="4"/>
  <c r="AE59" i="4"/>
  <c r="P86" i="4"/>
  <c r="AA30" i="4"/>
  <c r="AA89" i="4"/>
  <c r="X40" i="4"/>
  <c r="AB74" i="4"/>
  <c r="X120" i="4"/>
  <c r="AE75" i="4"/>
  <c r="O88" i="4"/>
  <c r="R35" i="4"/>
  <c r="S78" i="4"/>
  <c r="P107" i="4"/>
  <c r="R128" i="4"/>
  <c r="X118" i="4"/>
  <c r="X80" i="4"/>
  <c r="AB18" i="4"/>
  <c r="AB119" i="4"/>
  <c r="V47" i="4"/>
  <c r="O106" i="4"/>
  <c r="AB17" i="4"/>
  <c r="V34" i="4"/>
  <c r="AB109" i="4"/>
  <c r="AE66" i="4"/>
  <c r="AE19" i="4"/>
  <c r="O123" i="4"/>
  <c r="R47" i="4"/>
  <c r="S89" i="4"/>
  <c r="P113" i="4"/>
  <c r="S102" i="4"/>
  <c r="R64" i="4"/>
  <c r="AE79" i="4"/>
  <c r="V94" i="4"/>
  <c r="S38" i="4"/>
  <c r="S122" i="4"/>
  <c r="X121" i="4"/>
  <c r="AE51" i="4"/>
  <c r="P87" i="4"/>
  <c r="P120" i="4"/>
  <c r="AA127" i="4"/>
  <c r="AB83" i="4"/>
  <c r="AA108" i="4"/>
  <c r="R17" i="4"/>
  <c r="P112" i="4"/>
  <c r="O67" i="4"/>
  <c r="P23" i="4"/>
  <c r="S56" i="4"/>
  <c r="AB79" i="4"/>
  <c r="S61" i="4"/>
  <c r="R49" i="4"/>
  <c r="P78" i="4"/>
  <c r="P110" i="4"/>
  <c r="O19" i="4"/>
  <c r="P94" i="4"/>
  <c r="AE77" i="4"/>
  <c r="S25" i="4"/>
  <c r="S28" i="4"/>
  <c r="V10" i="4"/>
  <c r="R103" i="4"/>
  <c r="O34" i="4"/>
  <c r="AA124" i="4"/>
  <c r="P119" i="4"/>
  <c r="S110" i="4"/>
  <c r="P75" i="4"/>
  <c r="R32" i="4"/>
  <c r="O79" i="4"/>
  <c r="X90" i="4"/>
  <c r="AA32" i="4"/>
  <c r="AE101" i="4"/>
  <c r="AE25" i="4"/>
  <c r="V75" i="4"/>
  <c r="P81" i="4"/>
  <c r="S59" i="4"/>
  <c r="R38" i="4"/>
  <c r="P17" i="4"/>
  <c r="O97" i="4"/>
  <c r="O33" i="4"/>
  <c r="AA61" i="4"/>
  <c r="AE69" i="4"/>
  <c r="V85" i="4"/>
  <c r="AE48" i="4"/>
  <c r="AE45" i="4"/>
  <c r="AB127" i="4"/>
  <c r="AE57" i="4"/>
  <c r="AA78" i="4"/>
  <c r="AE103" i="4"/>
  <c r="V106" i="4"/>
  <c r="P77" i="4"/>
  <c r="P56" i="4"/>
  <c r="P34" i="4"/>
  <c r="S13" i="4"/>
  <c r="O86" i="4"/>
  <c r="O22" i="4"/>
  <c r="V79" i="4"/>
  <c r="AB106" i="4"/>
  <c r="AB126" i="4"/>
  <c r="AA66" i="4"/>
  <c r="V81" i="4"/>
  <c r="AA107" i="4"/>
  <c r="V37" i="4"/>
  <c r="AE60" i="4"/>
  <c r="X86" i="4"/>
  <c r="AB51" i="4"/>
  <c r="S74" i="4"/>
  <c r="P53" i="4"/>
  <c r="R31" i="4"/>
  <c r="R10" i="4"/>
  <c r="O77" i="4"/>
  <c r="O13" i="4"/>
  <c r="AA93" i="4"/>
  <c r="X9" i="4"/>
  <c r="AA40" i="4"/>
  <c r="AE80" i="4"/>
  <c r="X108" i="4"/>
  <c r="AA112" i="4"/>
  <c r="AB22" i="4"/>
  <c r="AA46" i="4"/>
  <c r="AE71" i="4"/>
  <c r="R92" i="4"/>
  <c r="P71" i="4"/>
  <c r="R50" i="4"/>
  <c r="R28" i="4"/>
  <c r="O132" i="4"/>
  <c r="O68" i="4"/>
  <c r="X7" i="4"/>
  <c r="AE107" i="4"/>
  <c r="V38" i="4"/>
  <c r="V90" i="4"/>
  <c r="X95" i="4"/>
  <c r="V14" i="4"/>
  <c r="AE70" i="4"/>
  <c r="X8" i="4"/>
  <c r="V32" i="4"/>
  <c r="AB44" i="4"/>
  <c r="AE10" i="4"/>
  <c r="R90" i="4"/>
  <c r="O124" i="4"/>
  <c r="X125" i="4"/>
  <c r="AE38" i="4"/>
  <c r="Y7" i="4"/>
  <c r="O128" i="4"/>
  <c r="O66" i="4"/>
  <c r="X21" i="4"/>
  <c r="AB24" i="4"/>
  <c r="S112" i="4"/>
  <c r="V98" i="4"/>
  <c r="X77" i="4"/>
  <c r="AA58" i="4"/>
  <c r="R57" i="4"/>
  <c r="S113" i="4"/>
  <c r="P60" i="4"/>
  <c r="P104" i="4"/>
  <c r="O99" i="4"/>
  <c r="S62" i="4"/>
  <c r="X26" i="4"/>
  <c r="V69" i="4"/>
  <c r="P55" i="4"/>
  <c r="R105" i="4"/>
  <c r="V25" i="4"/>
  <c r="AE100" i="4"/>
  <c r="P33" i="4"/>
  <c r="O17" i="4"/>
  <c r="AA74" i="4"/>
  <c r="AE52" i="4"/>
  <c r="S72" i="4"/>
  <c r="O70" i="4"/>
  <c r="AB31" i="4"/>
  <c r="AA80" i="4"/>
  <c r="P90" i="4"/>
  <c r="R26" i="4"/>
  <c r="AB16" i="4"/>
  <c r="AA106" i="4"/>
  <c r="X123" i="4"/>
  <c r="P66" i="4"/>
  <c r="O52" i="4"/>
  <c r="X89" i="4"/>
  <c r="X65" i="4"/>
  <c r="V19" i="4"/>
  <c r="AE126" i="4"/>
  <c r="O16" i="4"/>
  <c r="R54" i="4"/>
  <c r="R116" i="4"/>
  <c r="AA88" i="4"/>
  <c r="S8" i="4"/>
  <c r="P115" i="4"/>
  <c r="V60" i="4"/>
  <c r="AB95" i="4"/>
  <c r="O43" i="4"/>
  <c r="P121" i="4"/>
  <c r="AB8" i="4"/>
  <c r="V101" i="4"/>
  <c r="S51" i="4"/>
  <c r="AA92" i="4"/>
  <c r="P122" i="4"/>
  <c r="S127" i="4"/>
  <c r="S24" i="4"/>
  <c r="R65" i="4"/>
  <c r="P97" i="4"/>
  <c r="O31" i="4"/>
  <c r="X75" i="4"/>
  <c r="P73" i="4"/>
  <c r="R9" i="4"/>
  <c r="X87" i="4"/>
  <c r="X16" i="4"/>
  <c r="R69" i="4"/>
  <c r="O62" i="4"/>
  <c r="X57" i="4"/>
  <c r="AE46" i="4"/>
  <c r="AE47" i="4"/>
  <c r="S23" i="4"/>
  <c r="AE131" i="4"/>
  <c r="X119" i="4"/>
  <c r="V8" i="4"/>
  <c r="R63" i="4"/>
  <c r="O44" i="4"/>
  <c r="X31" i="4"/>
  <c r="V93" i="4"/>
  <c r="X101" i="4"/>
  <c r="O32" i="4"/>
  <c r="X47" i="4"/>
  <c r="AE62" i="4"/>
  <c r="AB98" i="4"/>
  <c r="R56" i="4"/>
  <c r="AE92" i="4"/>
  <c r="V41" i="4"/>
  <c r="V120" i="4"/>
  <c r="X122" i="4"/>
  <c r="S68" i="4"/>
  <c r="S116" i="4"/>
  <c r="P92" i="4"/>
  <c r="R118" i="4"/>
  <c r="P96" i="4"/>
  <c r="R120" i="4"/>
  <c r="O119" i="4"/>
  <c r="X71" i="4"/>
  <c r="AA77" i="4"/>
  <c r="X37" i="4"/>
  <c r="AA105" i="4"/>
  <c r="P11" i="4"/>
  <c r="AB77" i="4"/>
  <c r="R70" i="4"/>
  <c r="O129" i="4"/>
  <c r="X49" i="4"/>
  <c r="AB59" i="4"/>
  <c r="AB52" i="4"/>
  <c r="P24" i="4"/>
  <c r="AE27" i="4"/>
  <c r="AB117" i="4"/>
  <c r="AB9" i="4"/>
  <c r="S63" i="4"/>
  <c r="O45" i="4"/>
  <c r="V110" i="4"/>
  <c r="AA99" i="4"/>
  <c r="AB20" i="4"/>
  <c r="R18" i="4"/>
  <c r="AB56" i="4"/>
  <c r="X36" i="4"/>
  <c r="AE95" i="4"/>
  <c r="V78" i="4"/>
  <c r="O48" i="4"/>
  <c r="V131" i="4"/>
  <c r="P130" i="4"/>
  <c r="AB37" i="4"/>
  <c r="R62" i="4"/>
  <c r="AA41" i="4"/>
  <c r="AE123" i="4"/>
  <c r="AA19" i="4"/>
  <c r="O75" i="4"/>
  <c r="S105" i="4"/>
  <c r="AE93" i="4"/>
  <c r="AB81" i="4"/>
  <c r="R107" i="4"/>
  <c r="P88" i="4"/>
  <c r="AB55" i="4"/>
  <c r="X58" i="4"/>
  <c r="R130" i="4"/>
  <c r="AE110" i="4"/>
  <c r="O127" i="4"/>
  <c r="X53" i="4"/>
  <c r="S67" i="4"/>
  <c r="O57" i="4"/>
  <c r="X73" i="4"/>
  <c r="V26" i="4"/>
  <c r="S85" i="4"/>
  <c r="S21" i="4"/>
  <c r="X28" i="4"/>
  <c r="AA130" i="4"/>
  <c r="AB124" i="4"/>
  <c r="R61" i="4"/>
  <c r="O37" i="4"/>
  <c r="AA42" i="4"/>
  <c r="X64" i="4"/>
  <c r="P79" i="4"/>
  <c r="P15" i="4"/>
  <c r="X104" i="4"/>
  <c r="AB78" i="4"/>
  <c r="V42" i="4"/>
  <c r="AC7" i="4"/>
  <c r="AE127" i="4"/>
  <c r="AB118" i="4"/>
  <c r="X127" i="4"/>
  <c r="AA100" i="4"/>
  <c r="AA37" i="4"/>
  <c r="O112" i="4"/>
  <c r="P43" i="4"/>
  <c r="R113" i="4"/>
  <c r="X128" i="4"/>
  <c r="O18" i="4"/>
  <c r="S100" i="4"/>
  <c r="X107" i="4"/>
  <c r="V115" i="4"/>
  <c r="X72" i="4"/>
  <c r="AA23" i="4"/>
  <c r="V126" i="4"/>
  <c r="X50" i="4"/>
  <c r="O104" i="4"/>
  <c r="R40" i="4"/>
  <c r="R83" i="4"/>
  <c r="R109" i="4"/>
  <c r="S131" i="4"/>
  <c r="V16" i="4"/>
  <c r="X29" i="4"/>
  <c r="X111" i="4"/>
  <c r="V70" i="4"/>
  <c r="AA21" i="4"/>
  <c r="O122" i="4"/>
  <c r="X43" i="4"/>
  <c r="AE102" i="4"/>
  <c r="V84" i="4"/>
  <c r="AB15" i="4"/>
  <c r="O11" i="4"/>
  <c r="S9" i="4"/>
  <c r="S52" i="4"/>
  <c r="R94" i="4"/>
  <c r="S115" i="4"/>
  <c r="S108" i="4"/>
  <c r="P95" i="4"/>
  <c r="V80" i="4"/>
  <c r="AB66" i="4"/>
  <c r="S49" i="4"/>
  <c r="R132" i="4"/>
  <c r="AA56" i="4"/>
  <c r="O39" i="4"/>
  <c r="S96" i="4"/>
  <c r="V13" i="4"/>
  <c r="AA28" i="4"/>
  <c r="V77" i="4"/>
  <c r="AA122" i="4"/>
  <c r="S30" i="4"/>
  <c r="S119" i="4"/>
  <c r="P20" i="4"/>
  <c r="P65" i="4"/>
  <c r="S103" i="4"/>
  <c r="AB128" i="4"/>
  <c r="R76" i="4"/>
  <c r="S92" i="4"/>
  <c r="S114" i="4"/>
  <c r="AA113" i="4"/>
  <c r="O83" i="4"/>
  <c r="R101" i="4"/>
  <c r="AE64" i="4"/>
  <c r="P40" i="4"/>
  <c r="P84" i="4"/>
  <c r="AE132" i="4"/>
  <c r="R95" i="4"/>
  <c r="X34" i="4"/>
  <c r="AA131" i="4"/>
  <c r="R111" i="4"/>
  <c r="P105" i="4"/>
  <c r="P69" i="4"/>
  <c r="R27" i="4"/>
  <c r="O63" i="4"/>
  <c r="AE115" i="4"/>
  <c r="V114" i="4"/>
  <c r="V30" i="4"/>
  <c r="AA126" i="4"/>
  <c r="AA49" i="4"/>
  <c r="R78" i="4"/>
  <c r="P57" i="4"/>
  <c r="S35" i="4"/>
  <c r="P14" i="4"/>
  <c r="O89" i="4"/>
  <c r="O25" i="4"/>
  <c r="X74" i="4"/>
  <c r="AA95" i="4"/>
  <c r="V117" i="4"/>
  <c r="AB61" i="4"/>
  <c r="AA71" i="4"/>
  <c r="AA91" i="4"/>
  <c r="AE41" i="4"/>
  <c r="AB65" i="4"/>
  <c r="V91" i="4"/>
  <c r="X69" i="4"/>
  <c r="P74" i="4"/>
  <c r="R53" i="4"/>
  <c r="S32" i="4"/>
  <c r="S10" i="4"/>
  <c r="O78" i="4"/>
  <c r="O14" i="4"/>
  <c r="AE91" i="4"/>
  <c r="X132" i="4"/>
  <c r="AB35" i="4"/>
  <c r="X79" i="4"/>
  <c r="V105" i="4"/>
  <c r="X117" i="4"/>
  <c r="X24" i="4"/>
  <c r="V48" i="4"/>
  <c r="AA73" i="4"/>
  <c r="R93" i="4"/>
  <c r="R71" i="4"/>
  <c r="S50" i="4"/>
  <c r="R29" i="4"/>
  <c r="P7" i="4"/>
  <c r="O69" i="4"/>
  <c r="AB7" i="4"/>
  <c r="X106" i="4"/>
  <c r="AE34" i="4"/>
  <c r="X85" i="4"/>
  <c r="AB93" i="4"/>
  <c r="AB33" i="4"/>
  <c r="S47" i="4"/>
  <c r="AB120" i="4"/>
  <c r="AE31" i="4"/>
  <c r="AB101" i="4"/>
  <c r="S48" i="4"/>
  <c r="AE12" i="4"/>
  <c r="R88" i="4"/>
  <c r="AE18" i="4"/>
  <c r="V89" i="4"/>
  <c r="P103" i="4"/>
  <c r="O103" i="4"/>
  <c r="V20" i="4"/>
  <c r="R106" i="4"/>
  <c r="P109" i="4"/>
  <c r="V111" i="4"/>
  <c r="R21" i="4"/>
  <c r="AE23" i="4"/>
  <c r="V87" i="4"/>
  <c r="V29" i="4"/>
  <c r="P29" i="4"/>
  <c r="AE78" i="4"/>
  <c r="AB60" i="4"/>
  <c r="AE58" i="4"/>
  <c r="AE20" i="4"/>
  <c r="O116" i="4"/>
  <c r="AB11" i="4"/>
  <c r="V76" i="4"/>
  <c r="O114" i="4"/>
  <c r="X25" i="4"/>
  <c r="X67" i="4"/>
  <c r="AA17" i="4"/>
  <c r="S20" i="4"/>
  <c r="AA64" i="4"/>
  <c r="R14" i="4"/>
  <c r="S7" i="4"/>
  <c r="AE87" i="4"/>
  <c r="P68" i="4"/>
  <c r="AA119" i="4"/>
  <c r="X76" i="4"/>
  <c r="R30" i="4"/>
  <c r="AE99" i="4"/>
  <c r="V40" i="4"/>
  <c r="O126" i="4"/>
  <c r="X33" i="4"/>
  <c r="S87" i="4"/>
  <c r="AA29" i="4"/>
  <c r="AA110" i="4"/>
  <c r="R20" i="4"/>
  <c r="X113" i="4"/>
  <c r="AA120" i="4"/>
  <c r="AA50" i="4"/>
  <c r="V64" i="4"/>
  <c r="R96" i="4"/>
  <c r="AA34" i="4"/>
  <c r="V130" i="4"/>
  <c r="S121" i="4"/>
  <c r="S29" i="4"/>
  <c r="P98" i="4"/>
  <c r="AA39" i="4"/>
  <c r="S94" i="4"/>
  <c r="AB49" i="4"/>
  <c r="O65" i="4"/>
  <c r="AB23" i="4"/>
  <c r="S45" i="4"/>
  <c r="X130" i="4"/>
  <c r="V112" i="4"/>
  <c r="O109" i="4"/>
  <c r="AB87" i="4"/>
  <c r="P39" i="4"/>
  <c r="X60" i="4"/>
  <c r="X83" i="4"/>
  <c r="AE24" i="4"/>
  <c r="AB12" i="4"/>
  <c r="P19" i="4"/>
  <c r="AE8" i="4"/>
  <c r="AB96" i="4"/>
  <c r="R121" i="4"/>
  <c r="S125" i="4"/>
  <c r="R112" i="4"/>
  <c r="AE96" i="4"/>
  <c r="S109" i="4"/>
  <c r="R75" i="4"/>
  <c r="X103" i="4"/>
  <c r="O121" i="4"/>
  <c r="AA10" i="4"/>
  <c r="AE39" i="4"/>
  <c r="AB40" i="4"/>
  <c r="AE105" i="4"/>
  <c r="R39" i="4"/>
  <c r="V53" i="4"/>
  <c r="AA128" i="4"/>
  <c r="AA69" i="4"/>
  <c r="AA70" i="4"/>
  <c r="V51" i="4"/>
  <c r="V128" i="4"/>
  <c r="AE26" i="4"/>
  <c r="X109" i="4"/>
  <c r="X114" i="4"/>
  <c r="O64" i="4"/>
  <c r="P27" i="4"/>
  <c r="S80" i="4"/>
  <c r="AE28" i="4"/>
  <c r="V46" i="4"/>
  <c r="P54" i="4"/>
  <c r="AB115" i="4"/>
  <c r="X38" i="4"/>
  <c r="X115" i="4"/>
  <c r="AE50" i="4"/>
  <c r="V12" i="4"/>
  <c r="V127" i="4"/>
  <c r="O56" i="4"/>
  <c r="R24" i="4"/>
  <c r="R67" i="4"/>
  <c r="P101" i="4"/>
  <c r="P123" i="4"/>
  <c r="V67" i="4"/>
  <c r="AE17" i="4"/>
  <c r="AE117" i="4"/>
  <c r="AE54" i="4"/>
  <c r="X98" i="4"/>
  <c r="O74" i="4"/>
  <c r="X94" i="4"/>
  <c r="V45" i="4"/>
  <c r="V65" i="4"/>
  <c r="V109" i="4"/>
  <c r="V71" i="4"/>
  <c r="O91" i="4"/>
  <c r="P36" i="4"/>
  <c r="R79" i="4"/>
  <c r="S107" i="4"/>
  <c r="S129" i="4"/>
  <c r="R129" i="4"/>
  <c r="P129" i="4"/>
  <c r="AE72" i="4"/>
  <c r="S12" i="4"/>
  <c r="P106" i="4"/>
  <c r="X32" i="4"/>
  <c r="X129" i="4"/>
  <c r="S57" i="4"/>
  <c r="R7" i="4"/>
  <c r="S106" i="4"/>
  <c r="P128" i="4"/>
  <c r="V11" i="4"/>
  <c r="O51" i="4"/>
  <c r="S98" i="4"/>
  <c r="X62" i="4"/>
  <c r="AA72" i="4"/>
  <c r="AB45" i="4"/>
  <c r="V116" i="4"/>
  <c r="R33" i="4"/>
  <c r="AA109" i="4"/>
  <c r="O71" i="4"/>
  <c r="R13" i="4"/>
  <c r="X116" i="4"/>
  <c r="P67" i="4"/>
  <c r="X11" i="4"/>
  <c r="O87" i="4"/>
  <c r="AE36" i="4"/>
  <c r="R119" i="4"/>
  <c r="O130" i="4"/>
  <c r="AA98" i="4"/>
  <c r="S132" i="4"/>
  <c r="S126" i="4"/>
  <c r="R85" i="4"/>
  <c r="S43" i="4"/>
  <c r="O111" i="4"/>
  <c r="V39" i="4"/>
  <c r="AB103" i="4"/>
  <c r="AE128" i="4"/>
  <c r="AE113" i="4"/>
  <c r="X126" i="4"/>
  <c r="S86" i="4"/>
  <c r="S65" i="4"/>
  <c r="R43" i="4"/>
  <c r="P22" i="4"/>
  <c r="O113" i="4"/>
  <c r="O49" i="4"/>
  <c r="AE35" i="4"/>
  <c r="V17" i="4"/>
  <c r="X97" i="4"/>
  <c r="X23" i="4"/>
  <c r="AB125" i="4"/>
  <c r="AE74" i="4"/>
  <c r="V125" i="4"/>
  <c r="V104" i="4"/>
  <c r="AA129" i="4"/>
  <c r="V27" i="4"/>
  <c r="R82" i="4"/>
  <c r="P61" i="4"/>
  <c r="S40" i="4"/>
  <c r="P18" i="4"/>
  <c r="O102" i="4"/>
  <c r="O38" i="4"/>
  <c r="AA53" i="4"/>
  <c r="AE53" i="4"/>
  <c r="AA132" i="4"/>
  <c r="AE40" i="4"/>
  <c r="AE29" i="4"/>
  <c r="AB111" i="4"/>
  <c r="AE65" i="4"/>
  <c r="AA86" i="4"/>
  <c r="AE111" i="4"/>
  <c r="AA9" i="4"/>
  <c r="S79" i="4"/>
  <c r="S58" i="4"/>
  <c r="R37" i="4"/>
  <c r="R15" i="4"/>
  <c r="O93" i="4"/>
  <c r="O29" i="4"/>
  <c r="AE67" i="4"/>
  <c r="AB82" i="4"/>
  <c r="AB102" i="4"/>
  <c r="X55" i="4"/>
  <c r="AB58" i="4"/>
  <c r="AE73" i="4"/>
  <c r="X48" i="4"/>
  <c r="V72" i="4"/>
  <c r="AA97" i="4"/>
  <c r="AE86" i="4"/>
  <c r="P76" i="4"/>
  <c r="R55" i="4"/>
  <c r="R34" i="4"/>
  <c r="P12" i="4"/>
  <c r="O84" i="4"/>
  <c r="O20" i="4"/>
  <c r="X82" i="4"/>
  <c r="V113" i="4"/>
  <c r="AA8" i="4"/>
  <c r="AB69" i="4"/>
  <c r="AA87" i="4"/>
  <c r="AA115" i="4"/>
  <c r="AE33" i="4"/>
  <c r="AB57" i="4"/>
  <c r="X70" i="4"/>
  <c r="AB75" i="4"/>
  <c r="V59" i="4"/>
  <c r="P26" i="4"/>
  <c r="X18" i="4"/>
  <c r="V108" i="4"/>
  <c r="X19" i="4"/>
  <c r="AB25" i="4"/>
  <c r="AE11" i="4"/>
  <c r="AA20" i="4"/>
  <c r="V61" i="4"/>
  <c r="AA76" i="4"/>
  <c r="S46" i="4"/>
  <c r="AB41" i="4"/>
  <c r="O10" i="4"/>
  <c r="AA83" i="4"/>
  <c r="O27" i="4"/>
  <c r="S97" i="4"/>
  <c r="AA85" i="4"/>
  <c r="AA62" i="4"/>
  <c r="P8" i="4"/>
  <c r="P126" i="4"/>
  <c r="S101" i="4"/>
  <c r="R114" i="4"/>
  <c r="P9" i="4"/>
  <c r="S117" i="4"/>
  <c r="S81" i="4"/>
  <c r="R100" i="4"/>
  <c r="O47" i="4"/>
  <c r="X81" i="4"/>
  <c r="S54" i="4"/>
  <c r="O81" i="4"/>
  <c r="AA24" i="4"/>
  <c r="AB131" i="4"/>
  <c r="AE22" i="4"/>
  <c r="R8" i="4"/>
  <c r="AB104" i="4"/>
  <c r="AB130" i="4"/>
  <c r="X35" i="4"/>
  <c r="P47" i="4"/>
  <c r="O61" i="4"/>
  <c r="AB123" i="4"/>
  <c r="AB43" i="4"/>
  <c r="R87" i="4"/>
  <c r="R23" i="4"/>
  <c r="V31" i="4"/>
  <c r="AA18" i="4"/>
  <c r="AE108" i="4"/>
  <c r="X51" i="4"/>
  <c r="AE125" i="4"/>
  <c r="AB28" i="4"/>
  <c r="AE121" i="4"/>
  <c r="AE88" i="4"/>
  <c r="P51" i="4"/>
  <c r="V74" i="4"/>
  <c r="X92" i="4"/>
  <c r="AA94" i="4"/>
  <c r="AE37" i="4"/>
  <c r="P99" i="4"/>
  <c r="R108" i="4"/>
  <c r="AE55" i="4"/>
  <c r="AE7" i="4"/>
  <c r="S60" i="4"/>
  <c r="AB36" i="4"/>
  <c r="R123" i="4"/>
  <c r="R115" i="4"/>
  <c r="AA54" i="4"/>
  <c r="P59" i="4"/>
  <c r="V52" i="4"/>
  <c r="AA96" i="4"/>
  <c r="O73" i="4"/>
  <c r="X61" i="4"/>
  <c r="X93" i="4"/>
  <c r="S90" i="4"/>
  <c r="S26" i="4"/>
  <c r="AA117" i="4"/>
  <c r="AE104" i="4"/>
  <c r="AA22" i="4"/>
  <c r="P45" i="4"/>
  <c r="O53" i="4"/>
  <c r="AE16" i="4"/>
  <c r="X13" i="4"/>
  <c r="R84" i="4"/>
  <c r="O108" i="4"/>
  <c r="AB34" i="4"/>
  <c r="AB10" i="4"/>
  <c r="V96" i="4"/>
  <c r="AE76" i="4"/>
  <c r="V73" i="4"/>
  <c r="X54" i="4"/>
  <c r="R124" i="4"/>
  <c r="X63" i="4"/>
  <c r="S14" i="4"/>
  <c r="AE15" i="4"/>
  <c r="O42" i="4"/>
  <c r="AE42" i="4"/>
  <c r="R25" i="4"/>
  <c r="S123" i="4"/>
  <c r="O50" i="4"/>
  <c r="AB26" i="4"/>
  <c r="P93" i="4"/>
  <c r="S73" i="4"/>
  <c r="AB113" i="4"/>
  <c r="AA90" i="4"/>
  <c r="R122" i="4"/>
  <c r="AE81" i="4"/>
  <c r="S53" i="4"/>
  <c r="V129" i="4"/>
  <c r="P91" i="4"/>
  <c r="S27" i="4"/>
  <c r="AB112" i="4"/>
  <c r="V100" i="4"/>
  <c r="X27" i="4"/>
  <c r="S66" i="4"/>
  <c r="O54" i="4"/>
  <c r="X15" i="4"/>
  <c r="AE14" i="4"/>
  <c r="P85" i="4"/>
  <c r="P21" i="4"/>
  <c r="AA31" i="4"/>
  <c r="V132" i="4"/>
  <c r="V123" i="4"/>
  <c r="R60" i="4"/>
  <c r="O36" i="4"/>
  <c r="V44" i="4"/>
  <c r="AB62" i="4"/>
  <c r="AA25" i="4"/>
  <c r="X20" i="4"/>
  <c r="P70" i="4"/>
  <c r="S33" i="4"/>
  <c r="X105" i="4"/>
  <c r="O40" i="4"/>
  <c r="R99" i="4"/>
  <c r="AA118" i="4"/>
  <c r="O58" i="4"/>
  <c r="AB114" i="4"/>
  <c r="P31" i="4"/>
  <c r="R126" i="4"/>
  <c r="O98" i="4"/>
  <c r="X39" i="4"/>
  <c r="R77" i="4"/>
  <c r="AB32" i="4"/>
  <c r="S130" i="4"/>
  <c r="V103" i="4"/>
  <c r="P52" i="4"/>
  <c r="S22" i="4"/>
  <c r="R91" i="4"/>
  <c r="AA13" i="4"/>
  <c r="V24" i="4"/>
  <c r="P46" i="4"/>
  <c r="V23" i="4"/>
  <c r="AE112" i="4"/>
  <c r="AE116" i="4"/>
  <c r="P64" i="4"/>
  <c r="O110" i="4"/>
  <c r="AE106" i="4"/>
  <c r="AA84" i="4"/>
  <c r="X22" i="4"/>
  <c r="S18" i="4"/>
  <c r="V57" i="4"/>
  <c r="AE114" i="4"/>
  <c r="X110" i="4"/>
  <c r="S36" i="4"/>
  <c r="O28" i="4"/>
  <c r="AE85" i="4"/>
  <c r="AE61" i="4"/>
  <c r="V83" i="4"/>
  <c r="AA121" i="4"/>
  <c r="AE120" i="4"/>
  <c r="V9" i="4"/>
  <c r="P44" i="4"/>
  <c r="X46" i="4"/>
  <c r="AA36" i="4"/>
  <c r="V119" i="4"/>
  <c r="O125" i="4"/>
  <c r="S69" i="4"/>
  <c r="AA11" i="4"/>
  <c r="V92" i="4"/>
  <c r="P50" i="4"/>
  <c r="X78" i="4"/>
  <c r="V97" i="4"/>
  <c r="AB122" i="4"/>
  <c r="S11" i="4"/>
  <c r="S75" i="4"/>
  <c r="AA26" i="4"/>
  <c r="S64" i="4"/>
  <c r="X131" i="4"/>
  <c r="V56" i="4"/>
  <c r="AA123" i="4"/>
  <c r="S95" i="4"/>
  <c r="P131" i="4"/>
  <c r="R45" i="4"/>
  <c r="AE94" i="4"/>
  <c r="X30" i="4"/>
  <c r="AB30" i="4"/>
  <c r="S118" i="4"/>
  <c r="S15" i="4"/>
  <c r="AE68" i="4"/>
  <c r="AB85" i="4"/>
  <c r="O120" i="4"/>
  <c r="AA114" i="4"/>
  <c r="P108" i="4"/>
  <c r="S124" i="4"/>
  <c r="AA52" i="4"/>
  <c r="V58" i="4"/>
  <c r="AB121" i="4"/>
  <c r="AB39" i="4"/>
  <c r="AB63" i="4"/>
  <c r="O60" i="4"/>
  <c r="R68" i="4"/>
  <c r="AE9" i="4"/>
  <c r="AA57" i="4"/>
  <c r="AE44" i="4"/>
  <c r="V21" i="4"/>
  <c r="AB107" i="4"/>
  <c r="AA111" i="4"/>
  <c r="AA82" i="4"/>
  <c r="X45" i="4"/>
  <c r="AA12" i="4"/>
  <c r="V95" i="4"/>
  <c r="O12" i="4"/>
  <c r="O76" i="4"/>
  <c r="P10" i="4"/>
  <c r="S31" i="4"/>
  <c r="R52" i="4"/>
  <c r="R74" i="4"/>
  <c r="AA48" i="4"/>
  <c r="AB84" i="4"/>
  <c r="X59" i="4"/>
  <c r="AA35" i="4"/>
  <c r="AB110" i="4"/>
  <c r="X84" i="4"/>
  <c r="V68" i="4"/>
  <c r="AE129" i="4"/>
  <c r="AE109" i="4"/>
  <c r="AB80" i="4"/>
  <c r="O21" i="4"/>
  <c r="O85" i="4"/>
  <c r="P13" i="4"/>
  <c r="S34" i="4"/>
  <c r="S55" i="4"/>
  <c r="S77" i="4"/>
  <c r="AB91" i="4"/>
  <c r="V99" i="4"/>
  <c r="AB73" i="4"/>
  <c r="AA51" i="4"/>
  <c r="AA67" i="4"/>
  <c r="AA55" i="4"/>
  <c r="AB53" i="4"/>
  <c r="AE97" i="4"/>
  <c r="AA79" i="4"/>
  <c r="X66" i="4"/>
  <c r="O30" i="4"/>
  <c r="O94" i="4"/>
  <c r="P16" i="4"/>
  <c r="S37" i="4"/>
  <c r="R58" i="4"/>
  <c r="P80" i="4"/>
  <c r="X14" i="4"/>
  <c r="AB116" i="4"/>
  <c r="X91" i="4"/>
  <c r="AA75" i="4"/>
  <c r="V102" i="4"/>
  <c r="AE21" i="4"/>
  <c r="V36" i="4"/>
  <c r="AE122" i="4"/>
  <c r="X44" i="4"/>
  <c r="AB48" i="4"/>
  <c r="O41" i="4"/>
  <c r="O105" i="4"/>
  <c r="R19" i="4"/>
  <c r="P41" i="4"/>
  <c r="P62" i="4"/>
  <c r="S83" i="4"/>
  <c r="AB100" i="4"/>
  <c r="AB54" i="4"/>
  <c r="X52" i="4"/>
  <c r="AB94" i="4"/>
  <c r="AB64" i="4"/>
  <c r="O95" i="4"/>
  <c r="P37" i="4"/>
  <c r="R80" i="4"/>
  <c r="P118" i="4"/>
  <c r="P127" i="4"/>
  <c r="AB42" i="4"/>
  <c r="O82" i="4"/>
  <c r="S111" i="4"/>
  <c r="AA68" i="4"/>
  <c r="AA63" i="4"/>
  <c r="R12" i="4"/>
  <c r="V18" i="4"/>
  <c r="R81" i="4"/>
  <c r="AE83" i="4"/>
  <c r="S71" i="4"/>
  <c r="R36" i="4"/>
  <c r="O131" i="4"/>
  <c r="R46" i="4"/>
  <c r="AB13" i="4"/>
  <c r="O35" i="4"/>
  <c r="X41" i="4"/>
  <c r="R104" i="4"/>
  <c r="O115" i="4"/>
  <c r="V88" i="4"/>
  <c r="P117" i="4"/>
  <c r="S128" i="4"/>
  <c r="P89" i="4"/>
  <c r="R72" i="4"/>
  <c r="AB50" i="4"/>
  <c r="V66" i="4"/>
  <c r="P114" i="4"/>
  <c r="P28" i="4"/>
  <c r="AB99" i="4"/>
  <c r="AE30" i="4"/>
  <c r="P132" i="4"/>
  <c r="R131" i="4"/>
  <c r="R110" i="4"/>
  <c r="S84" i="4"/>
  <c r="R41" i="4"/>
  <c r="O107" i="4"/>
  <c r="AA45" i="4"/>
  <c r="AA116" i="4"/>
  <c r="AA15" i="4"/>
  <c r="AB86" i="4"/>
  <c r="AE119" i="4"/>
  <c r="O90" i="4"/>
  <c r="AB72" i="4"/>
  <c r="X112" i="4"/>
  <c r="X68" i="4"/>
  <c r="AA43" i="4"/>
  <c r="AB92" i="4"/>
  <c r="R125" i="4"/>
  <c r="S104" i="4"/>
  <c r="P72" i="4"/>
  <c r="P30" i="4"/>
  <c r="O72" i="4"/>
  <c r="AA101" i="4"/>
  <c r="AB67" i="4"/>
  <c r="X124" i="4"/>
  <c r="AB14" i="4"/>
  <c r="AE63" i="4"/>
  <c r="AA81" i="4"/>
  <c r="S70" i="4"/>
  <c r="AE13" i="4"/>
  <c r="AB105" i="4"/>
  <c r="R86" i="4"/>
  <c r="P32" i="4"/>
  <c r="O80" i="4"/>
  <c r="AB88" i="4"/>
  <c r="AB27" i="4"/>
  <c r="X100" i="4"/>
  <c r="AA27" i="4"/>
  <c r="AB76" i="4"/>
  <c r="AA7" i="4"/>
  <c r="O7" i="4"/>
  <c r="V7" i="4"/>
  <c r="W42" i="4" l="1"/>
  <c r="W82" i="4"/>
  <c r="W19" i="4"/>
  <c r="AD44" i="4"/>
  <c r="Z70" i="4"/>
  <c r="W83" i="4"/>
  <c r="AD108" i="4"/>
  <c r="Z19" i="4"/>
  <c r="W32" i="4"/>
  <c r="AD57" i="4"/>
  <c r="Z83" i="4"/>
  <c r="W96" i="4"/>
  <c r="AD121" i="4"/>
  <c r="Z8" i="4"/>
  <c r="W21" i="4"/>
  <c r="AD46" i="4"/>
  <c r="AD62" i="4"/>
  <c r="W93" i="4"/>
  <c r="AD11" i="4"/>
  <c r="AD107" i="4"/>
  <c r="AD78" i="4"/>
  <c r="W118" i="4"/>
  <c r="Z65" i="4"/>
  <c r="AD39" i="4"/>
  <c r="W14" i="4"/>
  <c r="Z36" i="4"/>
  <c r="AD10" i="4"/>
  <c r="W108" i="4"/>
  <c r="Z95" i="4"/>
  <c r="AD69" i="4"/>
  <c r="W44" i="4"/>
  <c r="Z31" i="4"/>
  <c r="Z125" i="4"/>
  <c r="W90" i="4"/>
  <c r="Z45" i="4"/>
  <c r="Z104" i="4"/>
  <c r="AD70" i="4"/>
  <c r="Z113" i="4"/>
  <c r="Z89" i="4"/>
  <c r="AD63" i="4"/>
  <c r="W38" i="4"/>
  <c r="W113" i="4"/>
  <c r="Z60" i="4"/>
  <c r="AD34" i="4"/>
  <c r="W9" i="4"/>
  <c r="AD120" i="4"/>
  <c r="W95" i="4"/>
  <c r="Z82" i="4"/>
  <c r="AD56" i="4"/>
  <c r="W31" i="4"/>
  <c r="Z18" i="4"/>
  <c r="AD20" i="4"/>
  <c r="Z46" i="4"/>
  <c r="W59" i="4"/>
  <c r="AD84" i="4"/>
  <c r="Z110" i="4"/>
  <c r="W123" i="4"/>
  <c r="W8" i="4"/>
  <c r="AD33" i="4"/>
  <c r="Z59" i="4"/>
  <c r="W72" i="4"/>
  <c r="AD97" i="4"/>
  <c r="Z123" i="4"/>
  <c r="AD22" i="4"/>
  <c r="Z48" i="4"/>
  <c r="Z64" i="4"/>
  <c r="Z13" i="4"/>
  <c r="AD43" i="4"/>
  <c r="AD75" i="4"/>
  <c r="AD110" i="4"/>
  <c r="AD87" i="4"/>
  <c r="W62" i="4"/>
  <c r="Z108" i="4"/>
  <c r="Z84" i="4"/>
  <c r="AD58" i="4"/>
  <c r="W33" i="4"/>
  <c r="W132" i="4"/>
  <c r="Z119" i="4"/>
  <c r="AD93" i="4"/>
  <c r="W68" i="4"/>
  <c r="Z55" i="4"/>
  <c r="AD29" i="4"/>
  <c r="AD123" i="4"/>
  <c r="Z85" i="4"/>
  <c r="AD102" i="4"/>
  <c r="W53" i="4"/>
  <c r="W110" i="4"/>
  <c r="W86" i="4"/>
  <c r="Z9" i="4"/>
  <c r="AD82" i="4"/>
  <c r="W57" i="4"/>
  <c r="W119" i="4"/>
  <c r="Z106" i="4"/>
  <c r="AD80" i="4"/>
  <c r="W55" i="4"/>
  <c r="Z42" i="4"/>
  <c r="AD16" i="4"/>
  <c r="AD51" i="4"/>
  <c r="AD91" i="4"/>
  <c r="Z22" i="4"/>
  <c r="W35" i="4"/>
  <c r="AD60" i="4"/>
  <c r="Z86" i="4"/>
  <c r="W99" i="4"/>
  <c r="AD124" i="4"/>
  <c r="AD9" i="4"/>
  <c r="Z35" i="4"/>
  <c r="W48" i="4"/>
  <c r="AD73" i="4"/>
  <c r="Z99" i="4"/>
  <c r="W112" i="4"/>
  <c r="Z24" i="4"/>
  <c r="W37" i="4"/>
  <c r="Z117" i="4"/>
  <c r="AD111" i="4"/>
  <c r="Z33" i="4"/>
  <c r="AD130" i="4"/>
  <c r="W105" i="4"/>
  <c r="W81" i="4"/>
  <c r="AD117" i="4"/>
  <c r="W92" i="4"/>
  <c r="Z79" i="4"/>
  <c r="AD53" i="4"/>
  <c r="W28" i="4"/>
  <c r="Z15" i="4"/>
  <c r="AD35" i="4"/>
  <c r="AD126" i="4"/>
  <c r="Z57" i="4"/>
  <c r="AD31" i="4"/>
  <c r="Z132" i="4"/>
  <c r="AD106" i="4"/>
  <c r="Z28" i="4"/>
  <c r="Z130" i="4"/>
  <c r="AD104" i="4"/>
  <c r="W79" i="4"/>
  <c r="Z66" i="4"/>
  <c r="AD40" i="4"/>
  <c r="W15" i="4"/>
  <c r="Z69" i="4"/>
  <c r="W106" i="4"/>
  <c r="Z14" i="4"/>
  <c r="W27" i="4"/>
  <c r="AD52" i="4"/>
  <c r="Z78" i="4"/>
  <c r="W91" i="4"/>
  <c r="AD116" i="4"/>
  <c r="Z27" i="4"/>
  <c r="W40" i="4"/>
  <c r="AD65" i="4"/>
  <c r="Z91" i="4"/>
  <c r="W104" i="4"/>
  <c r="AD129" i="4"/>
  <c r="Z16" i="4"/>
  <c r="W29" i="4"/>
  <c r="W125" i="4"/>
  <c r="W26" i="4"/>
  <c r="AD59" i="4"/>
  <c r="Z93" i="4"/>
  <c r="AD131" i="4"/>
  <c r="AD127" i="4"/>
  <c r="W102" i="4"/>
  <c r="AD47" i="4"/>
  <c r="AD23" i="4"/>
  <c r="W121" i="4"/>
  <c r="W97" i="4"/>
  <c r="AD125" i="4"/>
  <c r="W100" i="4"/>
  <c r="Z87" i="4"/>
  <c r="AD61" i="4"/>
  <c r="W36" i="4"/>
  <c r="Z23" i="4"/>
  <c r="Z61" i="4"/>
  <c r="W117" i="4"/>
  <c r="W85" i="4"/>
  <c r="Z97" i="4"/>
  <c r="Z73" i="4"/>
  <c r="Z49" i="4"/>
  <c r="W22" i="4"/>
  <c r="AD122" i="4"/>
  <c r="Z44" i="4"/>
  <c r="W17" i="4"/>
  <c r="AD112" i="4"/>
  <c r="W87" i="4"/>
  <c r="Z74" i="4"/>
  <c r="AD48" i="4"/>
  <c r="W23" i="4"/>
  <c r="Z10" i="4"/>
  <c r="W75" i="4"/>
  <c r="AD100" i="4"/>
  <c r="Z126" i="4"/>
  <c r="W24" i="4"/>
  <c r="AD49" i="4"/>
  <c r="Z75" i="4"/>
  <c r="AD54" i="4"/>
  <c r="Z53" i="4"/>
  <c r="W122" i="4"/>
  <c r="Z81" i="4"/>
  <c r="W30" i="4"/>
  <c r="Z52" i="4"/>
  <c r="Z103" i="4"/>
  <c r="AD77" i="4"/>
  <c r="W52" i="4"/>
  <c r="W114" i="4"/>
  <c r="AD94" i="4"/>
  <c r="AD103" i="4"/>
  <c r="W54" i="4"/>
  <c r="W129" i="4"/>
  <c r="Z76" i="4"/>
  <c r="W25" i="4"/>
  <c r="Z90" i="4"/>
  <c r="AD64" i="4"/>
  <c r="W39" i="4"/>
  <c r="Z131" i="4"/>
  <c r="AD42" i="4"/>
  <c r="AD21" i="4"/>
  <c r="W111" i="4"/>
  <c r="Z34" i="4"/>
  <c r="Z37" i="4"/>
  <c r="W107" i="4"/>
  <c r="W56" i="4"/>
  <c r="W10" i="4"/>
  <c r="W18" i="4"/>
  <c r="Z11" i="4"/>
  <c r="Z116" i="4"/>
  <c r="Z71" i="4"/>
  <c r="AD90" i="4"/>
  <c r="W69" i="4"/>
  <c r="Z58" i="4"/>
  <c r="W103" i="4"/>
  <c r="Z17" i="4"/>
  <c r="Z26" i="4"/>
  <c r="AD128" i="4"/>
  <c r="AD79" i="4"/>
  <c r="AD13" i="4"/>
  <c r="W116" i="4"/>
  <c r="AD55" i="4"/>
  <c r="AD113" i="4"/>
  <c r="AD36" i="4"/>
  <c r="AD45" i="4"/>
  <c r="W7" i="4"/>
  <c r="AD38" i="4"/>
  <c r="Z41" i="4"/>
  <c r="Z62" i="4"/>
  <c r="AD32" i="4"/>
  <c r="Z12" i="4"/>
  <c r="W20" i="4"/>
  <c r="W88" i="4"/>
  <c r="W11" i="4"/>
  <c r="W77" i="4"/>
  <c r="AD83" i="4"/>
  <c r="W13" i="4"/>
  <c r="AD50" i="4"/>
  <c r="Z129" i="4"/>
  <c r="Z39" i="4"/>
  <c r="AD26" i="4"/>
  <c r="W101" i="4"/>
  <c r="Z121" i="4"/>
  <c r="W66" i="4"/>
  <c r="Z32" i="4"/>
  <c r="AD81" i="4"/>
  <c r="AD132" i="4"/>
  <c r="Z30" i="4"/>
  <c r="AD8" i="4"/>
  <c r="AD66" i="4"/>
  <c r="W94" i="4"/>
  <c r="AD99" i="4"/>
  <c r="AD71" i="4"/>
  <c r="AD30" i="4"/>
  <c r="W80" i="4"/>
  <c r="W71" i="4"/>
  <c r="AD96" i="4"/>
  <c r="Z122" i="4"/>
  <c r="W89" i="4"/>
  <c r="AD15" i="4"/>
  <c r="W109" i="4"/>
  <c r="W50" i="4"/>
  <c r="W130" i="4"/>
  <c r="W84" i="4"/>
  <c r="AD109" i="4"/>
  <c r="W65" i="4"/>
  <c r="AD114" i="4"/>
  <c r="AD95" i="4"/>
  <c r="W34" i="4"/>
  <c r="AD86" i="4"/>
  <c r="W45" i="4"/>
  <c r="W120" i="4"/>
  <c r="Z43" i="4"/>
  <c r="AD17" i="4"/>
  <c r="Z94" i="4"/>
  <c r="AD68" i="4"/>
  <c r="W43" i="4"/>
  <c r="Z77" i="4"/>
  <c r="W47" i="4"/>
  <c r="AD72" i="4"/>
  <c r="Z98" i="4"/>
  <c r="W41" i="4"/>
  <c r="Z92" i="4"/>
  <c r="W70" i="4"/>
  <c r="AD119" i="4"/>
  <c r="Z112" i="4"/>
  <c r="W60" i="4"/>
  <c r="AD85" i="4"/>
  <c r="Z111" i="4"/>
  <c r="AD18" i="4"/>
  <c r="Z68" i="4"/>
  <c r="Z88" i="4"/>
  <c r="W98" i="4"/>
  <c r="Z29" i="4"/>
  <c r="Z80" i="4"/>
  <c r="Z67" i="4"/>
  <c r="AD41" i="4"/>
  <c r="W16" i="4"/>
  <c r="Z118" i="4"/>
  <c r="AD92" i="4"/>
  <c r="W67" i="4"/>
  <c r="W74" i="4"/>
  <c r="AD24" i="4"/>
  <c r="Z50" i="4"/>
  <c r="W127" i="4"/>
  <c r="AD98" i="4"/>
  <c r="Z25" i="4"/>
  <c r="W126" i="4"/>
  <c r="Z120" i="4"/>
  <c r="AD67" i="4"/>
  <c r="W12" i="4"/>
  <c r="AD37" i="4"/>
  <c r="Z63" i="4"/>
  <c r="AD74" i="4"/>
  <c r="Z124" i="4"/>
  <c r="Z105" i="4"/>
  <c r="Z96" i="4"/>
  <c r="Z21" i="4"/>
  <c r="Z72" i="4"/>
  <c r="Z40" i="4"/>
  <c r="AD14" i="4"/>
  <c r="Z115" i="4"/>
  <c r="AD89" i="4"/>
  <c r="W64" i="4"/>
  <c r="W115" i="4"/>
  <c r="Z38" i="4"/>
  <c r="AD12" i="4"/>
  <c r="W61" i="4"/>
  <c r="Z107" i="4"/>
  <c r="AD115" i="4"/>
  <c r="W46" i="4"/>
  <c r="AD19" i="4"/>
  <c r="Z47" i="4"/>
  <c r="W124" i="4"/>
  <c r="Z128" i="4"/>
  <c r="AD105" i="4"/>
  <c r="W131" i="4"/>
  <c r="Z54" i="4"/>
  <c r="AD28" i="4"/>
  <c r="W63" i="4"/>
  <c r="AD88" i="4"/>
  <c r="Z114" i="4"/>
  <c r="Z20" i="4"/>
  <c r="W73" i="4"/>
  <c r="AD27" i="4"/>
  <c r="Z109" i="4"/>
  <c r="W76" i="4"/>
  <c r="AD101" i="4"/>
  <c r="Z127" i="4"/>
  <c r="W49" i="4"/>
  <c r="Z100" i="4"/>
  <c r="W78" i="4"/>
  <c r="W58" i="4"/>
  <c r="AD118" i="4"/>
  <c r="Z56" i="4"/>
  <c r="W128" i="4"/>
  <c r="Z51" i="4"/>
  <c r="AD25" i="4"/>
  <c r="Z102" i="4"/>
  <c r="AD76" i="4"/>
  <c r="W51" i="4"/>
  <c r="Z101" i="4"/>
  <c r="Z7" i="4"/>
  <c r="AD7" i="4"/>
  <c r="Q57" i="4"/>
  <c r="Q74" i="4"/>
  <c r="Q59" i="4"/>
  <c r="Q18" i="4"/>
  <c r="Q82" i="4"/>
  <c r="Q60" i="4"/>
  <c r="Q132" i="4"/>
  <c r="Q76" i="4"/>
  <c r="Q101" i="4"/>
  <c r="Q115" i="4"/>
  <c r="Q28" i="4"/>
  <c r="Q63" i="4"/>
  <c r="Q128" i="4"/>
  <c r="Q49" i="4"/>
  <c r="Q85" i="4"/>
  <c r="Q119" i="4"/>
  <c r="Q44" i="4"/>
  <c r="Q96" i="4"/>
  <c r="Q68" i="4"/>
  <c r="Q83" i="4"/>
  <c r="Q78" i="4"/>
  <c r="Q10" i="4"/>
  <c r="Q102" i="4"/>
  <c r="Q45" i="4"/>
  <c r="Q35" i="4"/>
  <c r="Q79" i="4"/>
  <c r="Q13" i="4"/>
  <c r="Q24" i="4"/>
  <c r="Q48" i="4"/>
  <c r="Q105" i="4"/>
  <c r="Q64" i="4"/>
  <c r="Q121" i="4"/>
  <c r="Q88" i="4"/>
  <c r="Q114" i="4"/>
  <c r="Q52" i="4"/>
  <c r="Q77" i="4"/>
  <c r="Q21" i="4"/>
  <c r="Q93" i="4"/>
  <c r="Q38" i="4"/>
  <c r="Q98" i="4"/>
  <c r="Q92" i="4"/>
  <c r="Q23" i="4"/>
  <c r="Q113" i="4"/>
  <c r="Q124" i="4"/>
  <c r="Q17" i="4"/>
  <c r="Q27" i="4"/>
  <c r="Q95" i="4"/>
  <c r="Q116" i="4"/>
  <c r="Q86" i="4"/>
  <c r="Q11" i="4"/>
  <c r="Q36" i="4"/>
  <c r="Q26" i="4"/>
  <c r="Q55" i="4"/>
  <c r="Q118" i="4"/>
  <c r="Q108" i="4"/>
  <c r="Q34" i="4"/>
  <c r="Q22" i="4"/>
  <c r="Q69" i="4"/>
  <c r="Q39" i="4"/>
  <c r="Q73" i="4"/>
  <c r="Q81" i="4"/>
  <c r="Q32" i="4"/>
  <c r="Q33" i="4"/>
  <c r="Q122" i="4"/>
  <c r="Q109" i="4"/>
  <c r="Q51" i="4"/>
  <c r="Q100" i="4"/>
  <c r="Q9" i="4"/>
  <c r="Q12" i="4"/>
  <c r="Q7" i="4"/>
  <c r="Q53" i="4"/>
  <c r="Q127" i="4"/>
  <c r="Q29" i="4"/>
  <c r="Q125" i="4"/>
  <c r="Q14" i="4"/>
  <c r="Q65" i="4"/>
  <c r="Q58" i="4"/>
  <c r="Q40" i="4"/>
  <c r="Q20" i="4"/>
  <c r="Q8" i="4"/>
  <c r="Q110" i="4"/>
  <c r="Q117" i="4"/>
  <c r="Q67" i="4"/>
  <c r="Q112" i="4"/>
  <c r="Q61" i="4"/>
  <c r="Q15" i="4"/>
  <c r="Q70" i="4"/>
  <c r="Q75" i="4"/>
  <c r="Q130" i="4"/>
  <c r="Q43" i="4"/>
  <c r="Q97" i="4"/>
  <c r="Q46" i="4"/>
  <c r="Q50" i="4"/>
  <c r="Q107" i="4"/>
  <c r="Q71" i="4"/>
  <c r="Q30" i="4"/>
  <c r="Q131" i="4"/>
  <c r="Q47" i="4"/>
  <c r="Q123" i="4"/>
  <c r="Q90" i="4"/>
  <c r="Q94" i="4"/>
  <c r="Q126" i="4"/>
  <c r="Q111" i="4"/>
  <c r="Q62" i="4"/>
  <c r="Q103" i="4"/>
  <c r="Q19" i="4"/>
  <c r="Q25" i="4"/>
  <c r="Q129" i="4"/>
  <c r="Q72" i="4"/>
  <c r="Q42" i="4"/>
  <c r="Q66" i="4"/>
  <c r="Q84" i="4"/>
  <c r="Q87" i="4"/>
  <c r="Q16" i="4"/>
  <c r="Q41" i="4"/>
  <c r="Q106" i="4"/>
  <c r="Q54" i="4"/>
  <c r="Q104" i="4"/>
  <c r="Q56" i="4"/>
  <c r="Q89" i="4"/>
  <c r="Q91" i="4"/>
  <c r="Q99" i="4"/>
  <c r="Q80" i="4"/>
  <c r="Q37" i="4"/>
  <c r="Q120" i="4"/>
  <c r="Q31" i="4"/>
  <c r="R3" i="4" l="1"/>
  <c r="O3" i="4"/>
  <c r="Q3" i="4"/>
  <c r="Q6" i="14" l="1" a="1"/>
  <c r="Q116" i="14"/>
  <c r="Q100" i="14"/>
  <c r="Q84" i="14"/>
  <c r="Q76" i="14"/>
  <c r="Q60" i="14"/>
  <c r="Q52" i="14"/>
  <c r="Q44" i="14"/>
  <c r="Q36" i="14"/>
  <c r="Q28" i="14"/>
  <c r="Q12" i="14"/>
  <c r="Q123" i="14"/>
  <c r="Q107" i="14"/>
  <c r="Q83" i="14"/>
  <c r="Q19" i="14"/>
  <c r="Q122" i="14"/>
  <c r="Q114" i="14"/>
  <c r="Q106" i="14"/>
  <c r="Q98" i="14"/>
  <c r="Q90" i="14"/>
  <c r="Q82" i="14"/>
  <c r="Q74" i="14"/>
  <c r="Q66" i="14"/>
  <c r="Q58" i="14"/>
  <c r="Q50" i="14"/>
  <c r="Q42" i="14"/>
  <c r="Q34" i="14"/>
  <c r="Q26" i="14"/>
  <c r="Q10" i="14"/>
  <c r="Q121" i="14"/>
  <c r="Q113" i="14"/>
  <c r="Q105" i="14"/>
  <c r="Q97" i="14"/>
  <c r="Q89" i="14"/>
  <c r="Q81" i="14"/>
  <c r="Q73" i="14"/>
  <c r="Q65" i="14"/>
  <c r="Q57" i="14"/>
  <c r="Q49" i="14"/>
  <c r="Q41" i="14"/>
  <c r="Q33" i="14"/>
  <c r="Q25" i="14"/>
  <c r="Q17" i="14"/>
  <c r="Q9" i="14"/>
  <c r="Q120" i="14"/>
  <c r="Q112" i="14"/>
  <c r="Q104" i="14"/>
  <c r="Q96" i="14"/>
  <c r="Q88" i="14"/>
  <c r="Q80" i="14"/>
  <c r="Q72" i="14"/>
  <c r="Q64" i="14"/>
  <c r="Q56" i="14"/>
  <c r="Q48" i="14"/>
  <c r="Q40" i="14"/>
  <c r="Q32" i="14"/>
  <c r="Q24" i="14"/>
  <c r="Q16" i="14"/>
  <c r="Q8" i="14"/>
  <c r="Q119" i="14"/>
  <c r="Q111" i="14"/>
  <c r="Q103" i="14"/>
  <c r="Q95" i="14"/>
  <c r="Q87" i="14"/>
  <c r="Q79" i="14"/>
  <c r="Q71" i="14"/>
  <c r="Q63" i="14"/>
  <c r="Q55" i="14"/>
  <c r="Q47" i="14"/>
  <c r="Q39" i="14"/>
  <c r="Q31" i="14"/>
  <c r="Q23" i="14"/>
  <c r="Q15" i="14"/>
  <c r="Q7" i="14"/>
  <c r="Q118" i="14"/>
  <c r="Q110" i="14"/>
  <c r="Q102" i="14"/>
  <c r="Q94" i="14"/>
  <c r="Q86" i="14"/>
  <c r="Q78" i="14"/>
  <c r="Q70" i="14"/>
  <c r="Q62" i="14"/>
  <c r="Q54" i="14"/>
  <c r="Q46" i="14"/>
  <c r="Q38" i="14"/>
  <c r="Q30" i="14"/>
  <c r="Q22" i="14"/>
  <c r="Q14" i="14"/>
  <c r="Q6" i="14"/>
  <c r="Q124" i="14"/>
  <c r="Q108" i="14"/>
  <c r="Q92" i="14"/>
  <c r="Q68" i="14"/>
  <c r="Q20" i="14"/>
  <c r="Q115" i="14"/>
  <c r="Q99" i="14"/>
  <c r="Q91" i="14"/>
  <c r="Q75" i="14"/>
  <c r="Q67" i="14"/>
  <c r="Q59" i="14"/>
  <c r="Q51" i="14"/>
  <c r="Q43" i="14"/>
  <c r="Q35" i="14"/>
  <c r="Q27" i="14"/>
  <c r="Q11" i="14"/>
  <c r="Q18" i="14"/>
  <c r="Q125" i="14"/>
  <c r="Q117" i="14"/>
  <c r="Q109" i="14"/>
  <c r="Q101" i="14"/>
  <c r="Q93" i="14"/>
  <c r="Q85" i="14"/>
  <c r="Q77" i="14"/>
  <c r="Q69" i="14"/>
  <c r="Q61" i="14"/>
  <c r="Q53" i="14"/>
  <c r="Q45" i="14"/>
  <c r="Q37" i="14"/>
  <c r="Q29" i="14"/>
  <c r="Q21" i="14"/>
  <c r="Q13" i="14"/>
</calcChain>
</file>

<file path=xl/sharedStrings.xml><?xml version="1.0" encoding="utf-8"?>
<sst xmlns="http://schemas.openxmlformats.org/spreadsheetml/2006/main" count="981" uniqueCount="310">
  <si>
    <t>BondDescription</t>
  </si>
  <si>
    <t>ISIN</t>
  </si>
  <si>
    <t>IssueDate</t>
  </si>
  <si>
    <t>FirstCouponDate</t>
  </si>
  <si>
    <t>LastCouponDate</t>
  </si>
  <si>
    <t>MaturityDate</t>
  </si>
  <si>
    <t>Coupon</t>
  </si>
  <si>
    <t>RollDay</t>
  </si>
  <si>
    <t>AccrualStartDate</t>
  </si>
  <si>
    <t>Valuation Date</t>
  </si>
  <si>
    <t>Settlement Date</t>
  </si>
  <si>
    <t>1D</t>
  </si>
  <si>
    <t>Bloomberg</t>
  </si>
  <si>
    <t xml:space="preserve">MLIB </t>
  </si>
  <si>
    <t>BB vs MLIB</t>
  </si>
  <si>
    <t>MLIB</t>
  </si>
  <si>
    <t>BBG</t>
  </si>
  <si>
    <t>Bond Identifier</t>
  </si>
  <si>
    <t>CreateBond</t>
  </si>
  <si>
    <t>YLD_YTM_ASK</t>
  </si>
  <si>
    <t>YAS_BOND_PX</t>
  </si>
  <si>
    <t>Clean Price</t>
  </si>
  <si>
    <t>DV01</t>
  </si>
  <si>
    <t>YAS_RISK</t>
  </si>
  <si>
    <t>Dirty Price</t>
  </si>
  <si>
    <t>Mod. Duration</t>
  </si>
  <si>
    <t>DUR_ADJ_ASK</t>
  </si>
  <si>
    <t>Numerical DV01</t>
  </si>
  <si>
    <t>912810EV Govt</t>
  </si>
  <si>
    <t>US912810EV62</t>
  </si>
  <si>
    <t>912810EQ Govt</t>
  </si>
  <si>
    <t>US912810EQ77</t>
  </si>
  <si>
    <t>912810EX Govt</t>
  </si>
  <si>
    <t>US912810EX29</t>
  </si>
  <si>
    <t>912810EZ Govt</t>
  </si>
  <si>
    <t>US912810EZ76</t>
  </si>
  <si>
    <t>912810EY Govt</t>
  </si>
  <si>
    <t>US912810EY02</t>
  </si>
  <si>
    <t>912828K7 Govt</t>
  </si>
  <si>
    <t>US912828K742</t>
  </si>
  <si>
    <t>912810FA Govt</t>
  </si>
  <si>
    <t>US912810FA17</t>
  </si>
  <si>
    <t>912810EW Govt</t>
  </si>
  <si>
    <t>US912810EW46</t>
  </si>
  <si>
    <t>912810QY Govt</t>
  </si>
  <si>
    <t>US912810QY73</t>
  </si>
  <si>
    <t>FaceValue</t>
  </si>
  <si>
    <t>912810QX Govt</t>
  </si>
  <si>
    <t>US912810QX90</t>
  </si>
  <si>
    <t>912810RB Govt</t>
  </si>
  <si>
    <t>US912810RB61</t>
  </si>
  <si>
    <t>912810RJ Govt</t>
  </si>
  <si>
    <t>US912810RJ97</t>
  </si>
  <si>
    <t>912810FB Govt</t>
  </si>
  <si>
    <t>US912810FB99</t>
  </si>
  <si>
    <t>912810FJ Govt</t>
  </si>
  <si>
    <t>US912810FJ26</t>
  </si>
  <si>
    <t>912810FM Govt</t>
  </si>
  <si>
    <t>US912810FM54</t>
  </si>
  <si>
    <t>912810FE Govt</t>
  </si>
  <si>
    <t>US912810FE39</t>
  </si>
  <si>
    <t>912810FG Govt</t>
  </si>
  <si>
    <t>US912810FG86</t>
  </si>
  <si>
    <t>912810FF Govt</t>
  </si>
  <si>
    <t>US912810FF04</t>
  </si>
  <si>
    <t>912810FP Govt</t>
  </si>
  <si>
    <t>US912810FP85</t>
  </si>
  <si>
    <t>912810PX Govt</t>
  </si>
  <si>
    <t>US912810PX00</t>
  </si>
  <si>
    <t>912828PX Govt</t>
  </si>
  <si>
    <t>US912828PX26</t>
  </si>
  <si>
    <t>912810PU Govt</t>
  </si>
  <si>
    <t>US912810PU60</t>
  </si>
  <si>
    <t>912828QN Govt</t>
  </si>
  <si>
    <t>US912828QN35</t>
  </si>
  <si>
    <t>912810PT Govt</t>
  </si>
  <si>
    <t>US912810PT97</t>
  </si>
  <si>
    <t>912810FT Govt</t>
  </si>
  <si>
    <t>US912810FT08</t>
  </si>
  <si>
    <t>912810QN Govt</t>
  </si>
  <si>
    <t>US912810QN19</t>
  </si>
  <si>
    <t>912810QE Govt</t>
  </si>
  <si>
    <t>US912810QE10</t>
  </si>
  <si>
    <t>912810PW Govt</t>
  </si>
  <si>
    <t>US912810PW27</t>
  </si>
  <si>
    <t>912810QC Govt</t>
  </si>
  <si>
    <t>US912810QC53</t>
  </si>
  <si>
    <t>912828S9 Govt</t>
  </si>
  <si>
    <t>US912828S927</t>
  </si>
  <si>
    <t>912810QD Govt</t>
  </si>
  <si>
    <t>US912810QD37</t>
  </si>
  <si>
    <t>912828T3 Govt</t>
  </si>
  <si>
    <t>US912828T347</t>
  </si>
  <si>
    <t>9128282A Govt</t>
  </si>
  <si>
    <t>US9128282A70</t>
  </si>
  <si>
    <t>912828T2 Govt</t>
  </si>
  <si>
    <t>US912828T263</t>
  </si>
  <si>
    <t>912810QH Govt</t>
  </si>
  <si>
    <t>US912810QH41</t>
  </si>
  <si>
    <t>912810QB Govt</t>
  </si>
  <si>
    <t>US912810QB70</t>
  </si>
  <si>
    <t>912828S7 Govt</t>
  </si>
  <si>
    <t>US912828S760</t>
  </si>
  <si>
    <t>912810QQ Govt</t>
  </si>
  <si>
    <t>US912810QQ40</t>
  </si>
  <si>
    <t>912810QL Govt</t>
  </si>
  <si>
    <t>US912810QL52</t>
  </si>
  <si>
    <t>912828R3 Govt</t>
  </si>
  <si>
    <t>US912828R366</t>
  </si>
  <si>
    <t>912828P4 Govt</t>
  </si>
  <si>
    <t>US912828P469</t>
  </si>
  <si>
    <t>912828P8 Govt</t>
  </si>
  <si>
    <t>US912828P873</t>
  </si>
  <si>
    <t>9128282D Govt</t>
  </si>
  <si>
    <t>US9128282D10</t>
  </si>
  <si>
    <t>9128282F Govt</t>
  </si>
  <si>
    <t>US9128282F67</t>
  </si>
  <si>
    <t>912828P7 Govt</t>
  </si>
  <si>
    <t>US912828P790</t>
  </si>
  <si>
    <t>912828S3 Govt</t>
  </si>
  <si>
    <t>US912828S356</t>
  </si>
  <si>
    <t>912828S2 Govt</t>
  </si>
  <si>
    <t>US912828S273</t>
  </si>
  <si>
    <t>912810QK Govt</t>
  </si>
  <si>
    <t>US912810QK79</t>
  </si>
  <si>
    <t>912828WE Govt</t>
  </si>
  <si>
    <t>US912828WE61</t>
  </si>
  <si>
    <t>912828B6 Govt</t>
  </si>
  <si>
    <t>US912828B667</t>
  </si>
  <si>
    <t>912828TY Govt</t>
  </si>
  <si>
    <t>US912828TY62</t>
  </si>
  <si>
    <t>912828H8 Govt</t>
  </si>
  <si>
    <t>US912828H862</t>
  </si>
  <si>
    <t>912810QS Govt</t>
  </si>
  <si>
    <t>US912810QS06</t>
  </si>
  <si>
    <t>912828N8 Govt</t>
  </si>
  <si>
    <t>US912828N894</t>
  </si>
  <si>
    <t>912828TJ Govt</t>
  </si>
  <si>
    <t>US912828TJ95</t>
  </si>
  <si>
    <t>912828VB Govt</t>
  </si>
  <si>
    <t>US912828VB32</t>
  </si>
  <si>
    <t>912828WY Govt</t>
  </si>
  <si>
    <t>US912828WY26</t>
  </si>
  <si>
    <t>912810QA Govt</t>
  </si>
  <si>
    <t>US912810QA97</t>
  </si>
  <si>
    <t>912828U2 Govt</t>
  </si>
  <si>
    <t>US912828U246</t>
  </si>
  <si>
    <t>912828R6 Govt</t>
  </si>
  <si>
    <t>US912828R697</t>
  </si>
  <si>
    <t>912810RD Govt</t>
  </si>
  <si>
    <t>US912810RD28</t>
  </si>
  <si>
    <t>912828B5 Govt</t>
  </si>
  <si>
    <t>US912828B584</t>
  </si>
  <si>
    <t>912828P3 Govt</t>
  </si>
  <si>
    <t>US912828P386</t>
  </si>
  <si>
    <t>912810RT Govt</t>
  </si>
  <si>
    <t>US912810RT79</t>
  </si>
  <si>
    <t>912828R7 Govt</t>
  </si>
  <si>
    <t>US912828R770</t>
  </si>
  <si>
    <t>912810RC Govt</t>
  </si>
  <si>
    <t>US912810RC45</t>
  </si>
  <si>
    <t>912828Q2 Govt</t>
  </si>
  <si>
    <t>US912828Q293</t>
  </si>
  <si>
    <t>912828L5 Govt</t>
  </si>
  <si>
    <t>US912828L575</t>
  </si>
  <si>
    <t>912828VS Govt</t>
  </si>
  <si>
    <t>US912828VS66</t>
  </si>
  <si>
    <t>912810RE Govt</t>
  </si>
  <si>
    <t>US912810RE01</t>
  </si>
  <si>
    <t>912828Q3 Govt</t>
  </si>
  <si>
    <t>US912828Q376</t>
  </si>
  <si>
    <t>912828J2 Govt</t>
  </si>
  <si>
    <t>US912828J272</t>
  </si>
  <si>
    <t>912828SV Govt</t>
  </si>
  <si>
    <t>US912828SV33</t>
  </si>
  <si>
    <t>912810RS Govt</t>
  </si>
  <si>
    <t>US912810RS96</t>
  </si>
  <si>
    <t>912810RK Govt</t>
  </si>
  <si>
    <t>US912810RK60</t>
  </si>
  <si>
    <t>912828RC Govt</t>
  </si>
  <si>
    <t>US912828RC60</t>
  </si>
  <si>
    <t>912810RQ Govt</t>
  </si>
  <si>
    <t>US912810RQ31</t>
  </si>
  <si>
    <t>912828WJ Govt</t>
  </si>
  <si>
    <t>US912828WJ58</t>
  </si>
  <si>
    <t>912828C5 Govt</t>
  </si>
  <si>
    <t>US912828C574</t>
  </si>
  <si>
    <t>912828B9 Govt</t>
  </si>
  <si>
    <t>US912828B907</t>
  </si>
  <si>
    <t>912828J4 Govt</t>
  </si>
  <si>
    <t>US912828J439</t>
  </si>
  <si>
    <t>912828XB Govt</t>
  </si>
  <si>
    <t>US912828XB14</t>
  </si>
  <si>
    <t>912828F2 Govt</t>
  </si>
  <si>
    <t>US912828F213</t>
  </si>
  <si>
    <t>912828WR Govt</t>
  </si>
  <si>
    <t>US912828WR74</t>
  </si>
  <si>
    <t>912828U6 Govt</t>
  </si>
  <si>
    <t>US912828U659</t>
  </si>
  <si>
    <t>912810RG Govt</t>
  </si>
  <si>
    <t>US912810RG58</t>
  </si>
  <si>
    <t>912828L2 Govt</t>
  </si>
  <si>
    <t>US912828L245</t>
  </si>
  <si>
    <t>912828T6 Govt</t>
  </si>
  <si>
    <t>US912828T677</t>
  </si>
  <si>
    <t>912828V9 Govt</t>
  </si>
  <si>
    <t>US912828V988</t>
  </si>
  <si>
    <t>912828G8 Govt</t>
  </si>
  <si>
    <t>US912828G872</t>
  </si>
  <si>
    <t>912828J7 Govt</t>
  </si>
  <si>
    <t>US912828J769</t>
  </si>
  <si>
    <t>912828M5 Govt</t>
  </si>
  <si>
    <t>US912828M565</t>
  </si>
  <si>
    <t>912828T9 Govt</t>
  </si>
  <si>
    <t>US912828T917</t>
  </si>
  <si>
    <t>912828WN Govt</t>
  </si>
  <si>
    <t>US912828WN60</t>
  </si>
  <si>
    <t>912828R2 Govt</t>
  </si>
  <si>
    <t>US912828R283</t>
  </si>
  <si>
    <t>912828UN Govt</t>
  </si>
  <si>
    <t>US912828UN88</t>
  </si>
  <si>
    <t>912828U8 Govt</t>
  </si>
  <si>
    <t>US912828U816</t>
  </si>
  <si>
    <t>912828D5 Govt</t>
  </si>
  <si>
    <t>US912828D564</t>
  </si>
  <si>
    <t>912828Q7 Govt</t>
  </si>
  <si>
    <t>US912828Q780</t>
  </si>
  <si>
    <t>912828M8 Govt</t>
  </si>
  <si>
    <t>US912828M805</t>
  </si>
  <si>
    <t>912828XD Govt</t>
  </si>
  <si>
    <t>US912828XD79</t>
  </si>
  <si>
    <t>912828W4 Govt</t>
  </si>
  <si>
    <t>US912828W481</t>
  </si>
  <si>
    <t>912828D7 Govt</t>
  </si>
  <si>
    <t>US912828D721</t>
  </si>
  <si>
    <t>912810RU Govt</t>
  </si>
  <si>
    <t>US912810RU43</t>
  </si>
  <si>
    <t>912828U5 Govt</t>
  </si>
  <si>
    <t>US912828U576</t>
  </si>
  <si>
    <t>912810QU Govt</t>
  </si>
  <si>
    <t>US912810QU51</t>
  </si>
  <si>
    <t>912828XG Govt</t>
  </si>
  <si>
    <t>US912828XG01</t>
  </si>
  <si>
    <t>912828RR Govt</t>
  </si>
  <si>
    <t>US912828RR30</t>
  </si>
  <si>
    <t>912828V7 Govt</t>
  </si>
  <si>
    <t>US912828V723</t>
  </si>
  <si>
    <t>912810QZ Govt</t>
  </si>
  <si>
    <t>US912810QZ49</t>
  </si>
  <si>
    <t>912828W5 Govt</t>
  </si>
  <si>
    <t>US912828W556</t>
  </si>
  <si>
    <t>912828SF Govt</t>
  </si>
  <si>
    <t>US912828SF82</t>
  </si>
  <si>
    <t>912810RN Govt</t>
  </si>
  <si>
    <t>US912810RN00</t>
  </si>
  <si>
    <t>912828G5 Govt</t>
  </si>
  <si>
    <t>US912828G534</t>
  </si>
  <si>
    <t>912828V2 Govt</t>
  </si>
  <si>
    <t>US912828V236</t>
  </si>
  <si>
    <t>912810RH Govt</t>
  </si>
  <si>
    <t>US912810RH32</t>
  </si>
  <si>
    <t>912810QT Govt</t>
  </si>
  <si>
    <t>US912810QT88</t>
  </si>
  <si>
    <t>912828G3 Govt</t>
  </si>
  <si>
    <t>US912828G385</t>
  </si>
  <si>
    <t>912828WZ Govt</t>
  </si>
  <si>
    <t>US912828WZ90</t>
  </si>
  <si>
    <t>912828M4 Govt</t>
  </si>
  <si>
    <t>US912828M490</t>
  </si>
  <si>
    <t>912828XQ Govt</t>
  </si>
  <si>
    <t>US912828XQ82</t>
  </si>
  <si>
    <t>912828V8 Govt</t>
  </si>
  <si>
    <t>US912828V806</t>
  </si>
  <si>
    <t>912810RP Govt</t>
  </si>
  <si>
    <t>US912810RP57</t>
  </si>
  <si>
    <t>912810RM Govt</t>
  </si>
  <si>
    <t>US912810RM27</t>
  </si>
  <si>
    <t>912828F9 Govt</t>
  </si>
  <si>
    <t>US912828F965</t>
  </si>
  <si>
    <t>912810QW Govt</t>
  </si>
  <si>
    <t>US912810QW18</t>
  </si>
  <si>
    <t>US_TREASURY_TYPE1</t>
  </si>
  <si>
    <t>Bond Generator</t>
  </si>
  <si>
    <t>+/-</t>
  </si>
  <si>
    <t>CleanPrice</t>
  </si>
  <si>
    <t>ModDuration</t>
  </si>
  <si>
    <t>Price Checks …</t>
  </si>
  <si>
    <t>-</t>
  </si>
  <si>
    <t>Bond Dates …</t>
  </si>
  <si>
    <t>BloombergYield</t>
  </si>
  <si>
    <t>DirtyPrice</t>
  </si>
  <si>
    <t>Yield</t>
  </si>
  <si>
    <t>ACT/ACT</t>
  </si>
  <si>
    <t>Tenor</t>
  </si>
  <si>
    <t>YTM</t>
  </si>
  <si>
    <t>Include</t>
  </si>
  <si>
    <t>FORMATTED DATA</t>
  </si>
  <si>
    <t>USED DATA</t>
  </si>
  <si>
    <t xml:space="preserve"> </t>
  </si>
  <si>
    <t>CALIBRATE</t>
  </si>
  <si>
    <t>Polynomial Order</t>
  </si>
  <si>
    <t>DayCount</t>
  </si>
  <si>
    <t>.. Calibration</t>
  </si>
  <si>
    <t>BOND SELECTION</t>
  </si>
  <si>
    <t>Polynomial</t>
  </si>
  <si>
    <t>FITTED CURVES</t>
  </si>
  <si>
    <t>Svensson</t>
  </si>
  <si>
    <t>Nelson-Siegel</t>
  </si>
  <si>
    <t>Bond Quote</t>
  </si>
  <si>
    <t>Polynomial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</si>
</sst>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_-* #,##0_-;\-* #,##0_-;_-* &quot;-&quot;_-;_-@_-"/>
    <numFmt numFmtId="165" formatCode="_-* #,##0.00_-;\-* #,##0.00_-;_-* &quot;-&quot;??_-;_-@_-"/>
    <numFmt numFmtId="166" formatCode="#,##0.00000000"/>
    <numFmt numFmtId="167" formatCode="0.000000"/>
    <numFmt numFmtId="168" formatCode="0.000%"/>
    <numFmt numFmtId="169" formatCode="ddd\,\ d\-mmm\-yy"/>
    <numFmt numFmtId="170" formatCode="dd/m/yy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dd\-mmm\-yy;dd\-mmm\-yy;"/>
    <numFmt numFmtId="174" formatCode="_ * #,##0_ ;_ * \-#,##0_ ;_ * &quot;-&quot;_ ;_ @_ "/>
    <numFmt numFmtId="176" formatCode="#,##0.0000"/>
    <numFmt numFmtId="177" formatCode="#,##0.000000"/>
    <numFmt numFmtId="187" formatCode="0.00000%"/>
    <numFmt numFmtId="188" formatCode="0.0000000%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Courier"/>
      <family val="3"/>
    </font>
    <font>
      <sz val="8"/>
      <name val="Arial"/>
      <family val="2"/>
    </font>
    <font>
      <b/>
      <sz val="11"/>
      <color indexed="9"/>
      <name val="Calibri"/>
      <family val="2"/>
    </font>
    <font>
      <b/>
      <sz val="9"/>
      <color indexed="12"/>
      <name val="Tahoma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fgColor indexed="17"/>
      </patternFill>
    </fill>
    <fill>
      <patternFill patternType="solid">
        <fgColor rgb="FF4F81BD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  <xf numFmtId="0" fontId="12" fillId="6" borderId="0" applyNumberFormat="0" applyFont="0" applyBorder="0" applyAlignment="0" applyProtection="0"/>
    <xf numFmtId="0" fontId="13" fillId="7" borderId="0"/>
    <xf numFmtId="168" fontId="14" fillId="8" borderId="0"/>
    <xf numFmtId="38" fontId="15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9" borderId="2" applyNumberFormat="0" applyFont="0" applyBorder="0" applyAlignment="0" applyProtection="0">
      <alignment horizontal="centerContinuous"/>
    </xf>
    <xf numFmtId="0" fontId="19" fillId="10" borderId="0" applyNumberFormat="0" applyBorder="0" applyAlignment="0">
      <alignment horizontal="center"/>
    </xf>
    <xf numFmtId="0" fontId="20" fillId="11" borderId="3">
      <alignment horizontal="center"/>
      <protection locked="0"/>
    </xf>
    <xf numFmtId="0" fontId="21" fillId="12" borderId="4" applyNumberFormat="0" applyFont="0" applyBorder="0" applyAlignment="0">
      <alignment horizontal="centerContinuous"/>
    </xf>
    <xf numFmtId="0" fontId="22" fillId="13" borderId="0" applyNumberFormat="0" applyFont="0" applyBorder="0" applyAlignment="0" applyProtection="0"/>
    <xf numFmtId="2" fontId="17" fillId="14" borderId="5" applyNumberFormat="0" applyBorder="0">
      <alignment horizontal="right" vertical="center"/>
    </xf>
    <xf numFmtId="2" fontId="23" fillId="15" borderId="6" applyBorder="0">
      <alignment horizontal="left" vertical="center"/>
    </xf>
    <xf numFmtId="10" fontId="24" fillId="16" borderId="0" applyBorder="0">
      <alignment horizontal="right"/>
      <protection locked="0"/>
    </xf>
    <xf numFmtId="15" fontId="24" fillId="16" borderId="7" applyBorder="0">
      <alignment horizontal="center"/>
      <protection locked="0"/>
    </xf>
    <xf numFmtId="15" fontId="24" fillId="16" borderId="0" applyBorder="0">
      <alignment horizontal="left"/>
      <protection locked="0"/>
    </xf>
    <xf numFmtId="2" fontId="25" fillId="17" borderId="6" applyNumberFormat="0">
      <alignment horizontal="center" vertical="center"/>
    </xf>
    <xf numFmtId="170" fontId="26" fillId="18" borderId="4" applyBorder="0">
      <alignment horizontal="left"/>
      <protection locked="0"/>
    </xf>
    <xf numFmtId="170" fontId="26" fillId="18" borderId="8" applyBorder="0">
      <alignment horizontal="right"/>
      <protection locked="0"/>
    </xf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>
      <alignment vertical="center"/>
    </xf>
    <xf numFmtId="0" fontId="16" fillId="0" borderId="0">
      <alignment vertical="center"/>
    </xf>
    <xf numFmtId="0" fontId="17" fillId="0" borderId="0"/>
    <xf numFmtId="0" fontId="27" fillId="19" borderId="0" applyNumberFormat="0" applyFont="0" applyBorder="0" applyAlignment="0" applyProtection="0"/>
    <xf numFmtId="0" fontId="27" fillId="20" borderId="0" applyNumberFormat="0" applyFont="0" applyBorder="0" applyAlignment="0" applyProtection="0"/>
    <xf numFmtId="0" fontId="27" fillId="21" borderId="0" applyNumberFormat="0" applyFont="0" applyBorder="0" applyAlignment="0" applyProtection="0">
      <alignment horizontal="center"/>
    </xf>
    <xf numFmtId="0" fontId="27" fillId="22" borderId="9" applyNumberFormat="0" applyFont="0" applyBorder="0" applyAlignment="0" applyProtection="0"/>
    <xf numFmtId="0" fontId="27" fillId="23" borderId="9" applyNumberFormat="0" applyFont="0" applyBorder="0" applyAlignment="0"/>
    <xf numFmtId="0" fontId="27" fillId="24" borderId="9" applyNumberFormat="0" applyFont="0" applyBorder="0" applyAlignment="0"/>
    <xf numFmtId="0" fontId="12" fillId="25" borderId="0" applyNumberFormat="0" applyFont="0" applyBorder="0" applyAlignment="0" applyProtection="0">
      <alignment horizontal="center"/>
      <protection hidden="1"/>
    </xf>
    <xf numFmtId="0" fontId="17" fillId="6" borderId="0" applyNumberFormat="0" applyFont="0" applyBorder="0" applyAlignment="0" applyProtection="0">
      <protection hidden="1"/>
    </xf>
    <xf numFmtId="0" fontId="17" fillId="26" borderId="0" applyNumberFormat="0" applyFont="0" applyBorder="0" applyAlignment="0" applyProtection="0">
      <protection hidden="1"/>
    </xf>
    <xf numFmtId="0" fontId="17" fillId="27" borderId="0" applyNumberFormat="0" applyFont="0" applyBorder="0" applyAlignment="0" applyProtection="0">
      <protection hidden="1"/>
    </xf>
    <xf numFmtId="0" fontId="17" fillId="28" borderId="0" applyNumberFormat="0" applyFont="0" applyBorder="0" applyAlignment="0" applyProtection="0">
      <protection hidden="1"/>
    </xf>
    <xf numFmtId="0" fontId="17" fillId="29" borderId="0" applyNumberFormat="0" applyFont="0" applyBorder="0" applyAlignment="0" applyProtection="0">
      <protection hidden="1"/>
    </xf>
    <xf numFmtId="0" fontId="17" fillId="30" borderId="0" applyNumberFormat="0" applyFont="0" applyBorder="0" applyAlignment="0" applyProtection="0">
      <protection hidden="1"/>
    </xf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73" fontId="28" fillId="0" borderId="10" applyBorder="0">
      <alignment horizontal="center"/>
      <protection locked="0"/>
    </xf>
    <xf numFmtId="0" fontId="17" fillId="0" borderId="0">
      <alignment horizontal="left" wrapText="1"/>
    </xf>
    <xf numFmtId="9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174" fontId="17" fillId="0" borderId="0" applyFont="0" applyFill="0" applyBorder="0" applyAlignment="0" applyProtection="0"/>
    <xf numFmtId="0" fontId="15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</cellStyleXfs>
  <cellXfs count="90">
    <xf numFmtId="0" fontId="0" fillId="0" borderId="0" xfId="0"/>
    <xf numFmtId="0" fontId="0" fillId="0" borderId="0" xfId="0" applyFill="1"/>
    <xf numFmtId="166" fontId="0" fillId="0" borderId="0" xfId="1" applyNumberFormat="1" applyFont="1" applyFill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167" fontId="2" fillId="0" borderId="0" xfId="0" applyNumberFormat="1" applyFont="1" applyFill="1" applyAlignment="1">
      <alignment horizontal="center" vertical="center"/>
    </xf>
    <xf numFmtId="15" fontId="5" fillId="0" borderId="0" xfId="0" applyNumberFormat="1" applyFont="1" applyFill="1" applyAlignment="1">
      <alignment horizontal="center" vertical="center"/>
    </xf>
    <xf numFmtId="166" fontId="6" fillId="0" borderId="0" xfId="1" applyNumberFormat="1" applyFont="1" applyFill="1" applyAlignment="1">
      <alignment horizontal="center" vertical="center"/>
    </xf>
    <xf numFmtId="167" fontId="6" fillId="0" borderId="0" xfId="0" applyNumberFormat="1" applyFont="1" applyFill="1" applyAlignment="1">
      <alignment horizontal="center" vertical="center"/>
    </xf>
    <xf numFmtId="167" fontId="7" fillId="0" borderId="0" xfId="0" applyNumberFormat="1" applyFont="1" applyFill="1" applyAlignment="1">
      <alignment horizontal="center" vertical="center"/>
    </xf>
    <xf numFmtId="167" fontId="8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0" fillId="3" borderId="0" xfId="0" applyFont="1" applyFill="1" applyAlignment="1">
      <alignment horizontal="center" vertical="center"/>
    </xf>
    <xf numFmtId="15" fontId="0" fillId="3" borderId="0" xfId="0" applyNumberFormat="1" applyFont="1" applyFill="1" applyAlignment="1">
      <alignment horizontal="center" vertical="center"/>
    </xf>
    <xf numFmtId="168" fontId="0" fillId="3" borderId="0" xfId="0" applyNumberFormat="1" applyFont="1" applyFill="1" applyAlignment="1">
      <alignment horizontal="center" vertical="center"/>
    </xf>
    <xf numFmtId="1" fontId="0" fillId="3" borderId="0" xfId="0" applyNumberFormat="1" applyFont="1" applyFill="1" applyAlignment="1">
      <alignment horizontal="center" vertical="center"/>
    </xf>
    <xf numFmtId="15" fontId="1" fillId="3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9" fillId="5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" fontId="10" fillId="5" borderId="0" xfId="0" applyNumberFormat="1" applyFont="1" applyFill="1" applyAlignment="1">
      <alignment horizontal="center" vertical="center"/>
    </xf>
    <xf numFmtId="14" fontId="0" fillId="0" borderId="0" xfId="0" applyNumberFormat="1" applyFill="1"/>
    <xf numFmtId="0" fontId="0" fillId="0" borderId="0" xfId="0" applyFont="1" applyFill="1"/>
    <xf numFmtId="14" fontId="0" fillId="0" borderId="0" xfId="0" applyNumberFormat="1" applyFill="1" applyAlignment="1">
      <alignment horizontal="center" vertical="center"/>
    </xf>
    <xf numFmtId="15" fontId="0" fillId="0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167" fontId="8" fillId="0" borderId="0" xfId="0" quotePrefix="1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4" fontId="10" fillId="0" borderId="0" xfId="0" quotePrefix="1" applyNumberFormat="1" applyFont="1" applyFill="1" applyAlignment="1">
      <alignment horizontal="center" vertical="center"/>
    </xf>
    <xf numFmtId="169" fontId="30" fillId="0" borderId="0" xfId="0" applyNumberFormat="1" applyFont="1" applyFill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/>
    <xf numFmtId="0" fontId="30" fillId="0" borderId="0" xfId="0" applyFont="1" applyFill="1"/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4" fillId="0" borderId="0" xfId="0" applyFont="1" applyFill="1"/>
    <xf numFmtId="14" fontId="4" fillId="0" borderId="0" xfId="0" applyNumberFormat="1" applyFont="1" applyFill="1"/>
    <xf numFmtId="176" fontId="9" fillId="5" borderId="0" xfId="1" applyNumberFormat="1" applyFont="1" applyFill="1" applyAlignment="1">
      <alignment horizontal="center" vertical="center"/>
    </xf>
    <xf numFmtId="177" fontId="9" fillId="5" borderId="0" xfId="1" applyNumberFormat="1" applyFont="1" applyFill="1" applyAlignment="1">
      <alignment horizontal="center" vertical="center"/>
    </xf>
    <xf numFmtId="188" fontId="4" fillId="5" borderId="0" xfId="0" applyNumberFormat="1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176" fontId="9" fillId="5" borderId="0" xfId="0" applyNumberFormat="1" applyFont="1" applyFill="1" applyAlignment="1">
      <alignment horizontal="center" vertical="center"/>
    </xf>
    <xf numFmtId="0" fontId="2" fillId="0" borderId="0" xfId="0" applyFont="1"/>
    <xf numFmtId="187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left" vertical="center"/>
    </xf>
    <xf numFmtId="4" fontId="4" fillId="5" borderId="20" xfId="0" applyNumberFormat="1" applyFont="1" applyFill="1" applyBorder="1" applyAlignment="1">
      <alignment horizontal="center" vertical="center"/>
    </xf>
    <xf numFmtId="0" fontId="0" fillId="3" borderId="21" xfId="0" applyFill="1" applyBorder="1"/>
    <xf numFmtId="4" fontId="4" fillId="5" borderId="22" xfId="0" applyNumberFormat="1" applyFont="1" applyFill="1" applyBorder="1" applyAlignment="1">
      <alignment horizontal="center" vertical="center"/>
    </xf>
    <xf numFmtId="0" fontId="0" fillId="3" borderId="23" xfId="0" applyFill="1" applyBorder="1"/>
    <xf numFmtId="4" fontId="4" fillId="5" borderId="24" xfId="0" applyNumberFormat="1" applyFont="1" applyFill="1" applyBorder="1" applyAlignment="1">
      <alignment horizontal="center" vertical="center"/>
    </xf>
    <xf numFmtId="0" fontId="0" fillId="3" borderId="25" xfId="0" applyFill="1" applyBorder="1"/>
    <xf numFmtId="187" fontId="4" fillId="5" borderId="21" xfId="0" applyNumberFormat="1" applyFont="1" applyFill="1" applyBorder="1" applyAlignment="1">
      <alignment horizontal="center" vertical="center"/>
    </xf>
    <xf numFmtId="187" fontId="4" fillId="5" borderId="23" xfId="0" applyNumberFormat="1" applyFont="1" applyFill="1" applyBorder="1" applyAlignment="1">
      <alignment horizontal="center" vertical="center"/>
    </xf>
    <xf numFmtId="187" fontId="4" fillId="5" borderId="25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" fontId="4" fillId="5" borderId="12" xfId="0" applyNumberFormat="1" applyFont="1" applyFill="1" applyBorder="1" applyAlignment="1">
      <alignment horizontal="center" vertical="center"/>
    </xf>
    <xf numFmtId="4" fontId="4" fillId="5" borderId="15" xfId="0" applyNumberFormat="1" applyFont="1" applyFill="1" applyBorder="1" applyAlignment="1">
      <alignment horizontal="center" vertical="center"/>
    </xf>
    <xf numFmtId="4" fontId="4" fillId="5" borderId="17" xfId="0" applyNumberFormat="1" applyFont="1" applyFill="1" applyBorder="1" applyAlignment="1">
      <alignment horizontal="center" vertical="center"/>
    </xf>
    <xf numFmtId="187" fontId="4" fillId="5" borderId="14" xfId="0" applyNumberFormat="1" applyFont="1" applyFill="1" applyBorder="1" applyAlignment="1">
      <alignment horizontal="center" vertical="center"/>
    </xf>
    <xf numFmtId="187" fontId="4" fillId="5" borderId="16" xfId="0" applyNumberFormat="1" applyFont="1" applyFill="1" applyBorder="1" applyAlignment="1">
      <alignment horizontal="center" vertical="center"/>
    </xf>
    <xf numFmtId="187" fontId="4" fillId="5" borderId="1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31" fillId="31" borderId="0" xfId="0" applyNumberFormat="1" applyFont="1" applyFill="1" applyAlignment="1">
      <alignment horizontal="center" vertical="center"/>
    </xf>
    <xf numFmtId="0" fontId="31" fillId="31" borderId="0" xfId="0" applyFont="1" applyFill="1" applyAlignment="1">
      <alignment horizontal="center"/>
    </xf>
    <xf numFmtId="187" fontId="4" fillId="5" borderId="0" xfId="0" applyNumberFormat="1" applyFont="1" applyFill="1" applyBorder="1" applyAlignment="1">
      <alignment horizontal="center" vertical="center"/>
    </xf>
    <xf numFmtId="187" fontId="4" fillId="5" borderId="13" xfId="0" applyNumberFormat="1" applyFont="1" applyFill="1" applyBorder="1" applyAlignment="1">
      <alignment horizontal="center" vertical="center"/>
    </xf>
    <xf numFmtId="187" fontId="4" fillId="5" borderId="18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" fontId="31" fillId="31" borderId="0" xfId="0" applyNumberFormat="1" applyFont="1" applyFill="1" applyAlignment="1">
      <alignment horizontal="left" vertical="center"/>
    </xf>
    <xf numFmtId="11" fontId="4" fillId="5" borderId="23" xfId="0" applyNumberFormat="1" applyFont="1" applyFill="1" applyBorder="1" applyAlignment="1">
      <alignment horizontal="center" vertical="center"/>
    </xf>
    <xf numFmtId="11" fontId="4" fillId="5" borderId="25" xfId="0" applyNumberFormat="1" applyFont="1" applyFill="1" applyBorder="1" applyAlignment="1">
      <alignment horizontal="center" vertical="center"/>
    </xf>
    <xf numFmtId="11" fontId="4" fillId="5" borderId="21" xfId="0" applyNumberFormat="1" applyFont="1" applyFill="1" applyBorder="1" applyAlignment="1">
      <alignment horizontal="center" vertical="center"/>
    </xf>
    <xf numFmtId="3" fontId="4" fillId="5" borderId="23" xfId="0" applyNumberFormat="1" applyFont="1" applyFill="1" applyBorder="1" applyAlignment="1">
      <alignment horizontal="center" vertical="center"/>
    </xf>
  </cellXfs>
  <cellStyles count="60">
    <cellStyle name="=C:\WINNT35\SYSTEM32\COMMAND.COM" xfId="2"/>
    <cellStyle name="Background" xfId="3"/>
    <cellStyle name="blp_column_header" xfId="4"/>
    <cellStyle name="calc" xfId="5"/>
    <cellStyle name="Comma [0] 2" xfId="6"/>
    <cellStyle name="Comma [0] 3" xfId="7"/>
    <cellStyle name="Comma 2" xfId="8"/>
    <cellStyle name="Comma 3" xfId="9"/>
    <cellStyle name="Data" xfId="10"/>
    <cellStyle name="Data2" xfId="11"/>
    <cellStyle name="Data5" xfId="12"/>
    <cellStyle name="Header" xfId="13"/>
    <cellStyle name="Hidden" xfId="14"/>
    <cellStyle name="InputDataRow" xfId="15"/>
    <cellStyle name="InputLabelRow" xfId="16"/>
    <cellStyle name="InputPc2Right" xfId="17"/>
    <cellStyle name="InputShortText" xfId="18"/>
    <cellStyle name="InputTextLeft" xfId="19"/>
    <cellStyle name="IntermediateLabelColumn" xfId="20"/>
    <cellStyle name="LabelLeft" xfId="21"/>
    <cellStyle name="LabelRight" xfId="22"/>
    <cellStyle name="Milliers [0]_Open&amp;Close" xfId="23"/>
    <cellStyle name="Milliers_Open&amp;Close" xfId="24"/>
    <cellStyle name="Mon?taire [0]_Open&amp;Close" xfId="25"/>
    <cellStyle name="Mon?taire_Open&amp;Close" xfId="26"/>
    <cellStyle name="Monétaire [0]_Open&amp;Close" xfId="27"/>
    <cellStyle name="Monétaire_Open&amp;Close" xfId="28"/>
    <cellStyle name="Normal" xfId="0" builtinId="0"/>
    <cellStyle name="Normal 2" xfId="29"/>
    <cellStyle name="Normal 2 2" xfId="30"/>
    <cellStyle name="Normal 3" xfId="31"/>
    <cellStyle name="Normal 4" xfId="32"/>
    <cellStyle name="Normal 5" xfId="33"/>
    <cellStyle name="Page 1" xfId="34"/>
    <cellStyle name="Page 2" xfId="35"/>
    <cellStyle name="Page 3" xfId="36"/>
    <cellStyle name="Page 4" xfId="37"/>
    <cellStyle name="Page 5" xfId="38"/>
    <cellStyle name="Page 6" xfId="39"/>
    <cellStyle name="Page 7" xfId="40"/>
    <cellStyle name="Page1" xfId="41"/>
    <cellStyle name="Page2" xfId="42"/>
    <cellStyle name="Page3" xfId="43"/>
    <cellStyle name="Page4" xfId="44"/>
    <cellStyle name="Page5" xfId="45"/>
    <cellStyle name="Page6" xfId="46"/>
    <cellStyle name="Percent" xfId="1" builtinId="5"/>
    <cellStyle name="Percent 2" xfId="47"/>
    <cellStyle name="Percent 3" xfId="48"/>
    <cellStyle name="Percent 4" xfId="49"/>
    <cellStyle name="Percent 5" xfId="50"/>
    <cellStyle name="ResultDateCenter" xfId="51"/>
    <cellStyle name="Style 1" xfId="52"/>
    <cellStyle name="パーセント 2" xfId="53"/>
    <cellStyle name="桁区切り 2" xfId="54"/>
    <cellStyle name="桁区切り_DegitalOption_test" xfId="55"/>
    <cellStyle name="標準 2" xfId="56"/>
    <cellStyle name="標準 3" xfId="57"/>
    <cellStyle name="標準 4" xfId="58"/>
    <cellStyle name="標準_examplePortfolio" xfId="59"/>
  </cellStyles>
  <dxfs count="0"/>
  <tableStyles count="0" defaultTableStyle="TableStyleMedium2" defaultPivotStyle="PivotStyleLight16"/>
  <colors>
    <mruColors>
      <color rgb="FF0000FF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2.9059239999999997</v>
        <stp/>
        <stp>##V3_BDPV12</stp>
        <stp>912828J7 Govt</stp>
        <stp>YLD_YTM_ASK</stp>
        <stp>[BondCurveFitting.xlsm]US_TREASURY_TYPE1!R39C14</stp>
        <tr r="N39" s="4"/>
      </tp>
      <tp>
        <v>2.9036455000000001</v>
        <stp/>
        <stp>##V3_BDPV12</stp>
        <stp>912828J4 Govt</stp>
        <stp>YLD_YTM_ASK</stp>
        <stp>[BondCurveFitting.xlsm]US_TREASURY_TYPE1!R37C14</stp>
        <tr r="N37" s="4"/>
      </tp>
      <tp>
        <v>2.9978617999999999</v>
        <stp/>
        <stp>##V3_BDPV12</stp>
        <stp>912828J2 Govt</stp>
        <stp>YLD_YTM_ASK</stp>
        <stp>[BondCurveFitting.xlsm]US_TREASURY_TYPE1!R74C14</stp>
        <tr r="N74" s="4"/>
      </tp>
      <tp>
        <v>4.4958502173085613</v>
        <stp/>
        <stp>##V3_BDPV12</stp>
        <stp>912828S9 Govt</stp>
        <stp>DUR_ADJ_ASK</stp>
        <stp>[BondCurveFitting.xlsm]US_TREASURY_TYPE1!R59C29</stp>
        <stp>YLD_YTM_ASK=2.937196</stp>
        <stp>YAS_YLD_CONV=3</stp>
        <tr r="AC59" s="4"/>
      </tp>
      <tp>
        <v>6.9560007842013221</v>
        <stp/>
        <stp>##V3_BDPV12</stp>
        <stp>912828R3 Govt</stp>
        <stp>DUR_ADJ_ASK</stp>
        <stp>[BondCurveFitting.xlsm]US_TREASURY_TYPE1!R81C29</stp>
        <stp>YLD_YTM_ASK=3.047274</stp>
        <stp>YAS_YLD_CONV=3</stp>
        <tr r="AC81" s="4"/>
      </tp>
      <tp>
        <v>17.241103270977476</v>
        <stp/>
        <stp>##V3_BDPV12</stp>
        <stp>912810RC Govt</stp>
        <stp>YAS_RISK</stp>
        <stp>[BondCurveFitting.xlsm]US_TREASURY_TYPE1!R119C25</stp>
        <stp>YLD_YTM_ASK=3.3465933</stp>
        <stp>YAS_YLD_CONV=3</stp>
        <tr r="Y119" s="4"/>
      </tp>
      <tp>
        <v>17.476248861601107</v>
        <stp/>
        <stp>##V3_BDPV12</stp>
        <stp>912810RE Govt</stp>
        <stp>YAS_RISK</stp>
        <stp>[BondCurveFitting.xlsm]US_TREASURY_TYPE1!R121C25</stp>
        <stp>YLD_YTM_ASK=3.3455686</stp>
        <stp>YAS_YLD_CONV=3</stp>
        <tr r="Y121" s="4"/>
      </tp>
      <tp>
        <v>16.685702476093667</v>
        <stp/>
        <stp>##V3_BDPV12</stp>
        <stp>912810QC Govt</stp>
        <stp>YAS_RISK</stp>
        <stp>[BondCurveFitting.xlsm]US_TREASURY_TYPE1!R103C25</stp>
        <stp>YLD_YTM_ASK=3.2735755</stp>
        <stp>YAS_YLD_CONV=3</stp>
        <tr r="Y103" s="4"/>
      </tp>
      <tp>
        <v>15.985003494928662</v>
        <stp/>
        <stp>##V3_BDPV12</stp>
        <stp>912810RQ Govt</stp>
        <stp>YAS_RISK</stp>
        <stp>[BondCurveFitting.xlsm]US_TREASURY_TYPE1!R129C25</stp>
        <stp>YLD_YTM_ASK=3.3585287</stp>
        <stp>YAS_YLD_CONV=3</stp>
        <tr r="Y129" s="4"/>
      </tp>
      <tp>
        <v>16.284328299647655</v>
        <stp/>
        <stp>##V3_BDPV12</stp>
        <stp>912810QK Govt</stp>
        <stp>YAS_RISK</stp>
        <stp>[BondCurveFitting.xlsm]US_TREASURY_TYPE1!R107C25</stp>
        <stp>YLD_YTM_ASK=3.3025212</stp>
        <stp>YAS_YLD_CONV=3</stp>
        <tr r="Y107" s="4"/>
      </tp>
      <tp>
        <v>98.437500036438735</v>
        <stp/>
        <stp>##V3_BDPV12</stp>
        <stp>912828B5 Govt</stp>
        <stp>YAS_BOND_PX</stp>
        <stp>[BondCurveFitting.xlsm]US_TREASURY_TYPE1!R8C21</stp>
        <stp>YAS_BOND_YLD=2.8598938</stp>
        <stp>YAS_YLD_CONV=2</stp>
        <tr r="U8" s="4"/>
      </tp>
      <tp>
        <v>3.3496290000000002</v>
        <stp/>
        <stp>##V3_BDPV12</stp>
        <stp>912810RM Govt</stp>
        <stp>YLD_YTM_ASK</stp>
        <stp>[BondCurveFitting.xlsm]US_TREASURY_TYPE1!R126C14</stp>
        <tr r="N126" s="4"/>
      </tp>
      <tp>
        <v>2.2060460053299935</v>
        <stp/>
        <stp>##V3_BDPV12</stp>
        <stp>912828B9 Govt</stp>
        <stp>DUR_ADJ_ASK</stp>
        <stp>[BondCurveFitting.xlsm]US_TREASURY_TYPE1!R11C29</stp>
        <stp>YLD_YTM_ASK=2.8661905</stp>
        <stp>YAS_YLD_CONV=3</stp>
        <tr r="AC11" s="4"/>
      </tp>
      <tp>
        <v>3.8041341838078493</v>
        <stp/>
        <stp>##V3_BDPV12</stp>
        <stp>912828M8 Govt</stp>
        <stp>DUR_ADJ_ASK</stp>
        <stp>[BondCurveFitting.xlsm]US_TREASURY_TYPE1!R50C29</stp>
        <stp>YLD_YTM_ASK=2.9250879</stp>
        <stp>YAS_YLD_CONV=3</stp>
        <tr r="AC50" s="4"/>
      </tp>
      <tp>
        <v>3.0202194000000002</v>
        <stp/>
        <stp>##V3_BDPV12</stp>
        <stp>912828K7 Govt</stp>
        <stp>YLD_YTM_ASK</stp>
        <stp>[BondCurveFitting.xlsm]US_TREASURY_TYPE1!R77C14</stp>
        <tr r="N77" s="4"/>
      </tp>
      <tp>
        <v>96.835937568048777</v>
        <stp/>
        <stp>##V3_BDPV12</stp>
        <stp>912828N8 Govt</stp>
        <stp>YAS_BOND_PX</stp>
        <stp>[BondCurveFitting.xlsm]US_TREASURY_TYPE1!R7C21</stp>
        <stp>YAS_BOND_YLD=2.8644356</stp>
        <stp>YAS_YLD_CONV=2</stp>
        <tr r="U7" s="4"/>
      </tp>
      <tp>
        <v>3.3051509000000001</v>
        <stp/>
        <stp>##V3_BDPV12</stp>
        <stp>912810QL Govt</stp>
        <stp>YLD_YTM_ASK</stp>
        <stp>[BondCurveFitting.xlsm]US_TREASURY_TYPE1!R108C14</stp>
        <tr r="N108" s="4"/>
      </tp>
      <tp>
        <v>16.80030890156667</v>
        <stp/>
        <stp>##V3_BDPV12</stp>
        <stp>912810QX Govt</stp>
        <stp>DUR_ADJ_ASK</stp>
        <stp>[BondCurveFitting.xlsm]US_TREASURY_TYPE1!R115C29</stp>
        <stp>YLD_YTM_ASK=3.347265</stp>
        <stp>YAS_YLD_CONV=3</stp>
        <tr r="AC115" s="4"/>
      </tp>
      <tp>
        <v>2.9750089739085119</v>
        <stp/>
        <stp>##V3_BDPV12</stp>
        <stp>912828U8 Govt</stp>
        <stp>DUR_ADJ_ASK</stp>
        <stp>[BondCurveFitting.xlsm]US_TREASURY_TYPE1!R33C29</stp>
        <stp>YLD_YTM_ASK=2.8981425</stp>
        <stp>YAS_YLD_CONV=3</stp>
        <tr r="AC33" s="4"/>
      </tp>
      <tp>
        <v>2.9049852999999999</v>
        <stp/>
        <stp>##V3_BDPV12</stp>
        <stp>912828H8 Govt</stp>
        <stp>YLD_YTM_ASK</stp>
        <stp>[BondCurveFitting.xlsm]US_TREASURY_TYPE1!R34C14</stp>
        <tr r="N34" s="4"/>
      </tp>
      <tp>
        <v>16.907449365039895</v>
        <stp/>
        <stp>##V3_BDPV12</stp>
        <stp>912810QH Govt</stp>
        <stp>YAS_RISK</stp>
        <stp>[BondCurveFitting.xlsm]US_TREASURY_TYPE1!R106C25</stp>
        <stp>YLD_YTM_ASK=3.2937842</stp>
        <stp>YAS_YLD_CONV=3</stp>
        <tr r="Y106" s="4"/>
      </tp>
      <tp>
        <v>17.591634625176056</v>
        <stp/>
        <stp>##V3_BDPV12</stp>
        <stp>912810RD Govt</stp>
        <stp>YAS_RISK</stp>
        <stp>[BondCurveFitting.xlsm]US_TREASURY_TYPE1!R120C25</stp>
        <stp>YLD_YTM_ASK=3.3447664</stp>
        <stp>YAS_YLD_CONV=3</stp>
        <tr r="Y120" s="4"/>
      </tp>
      <tp>
        <v>4.7496519874444294</v>
        <stp/>
        <stp>##V3_BDPV12</stp>
        <stp>912828V2 Govt</stp>
        <stp>DUR_ADJ_ASK</stp>
        <stp>[BondCurveFitting.xlsm]US_TREASURY_TYPE1!R67C29</stp>
        <stp>YLD_YTM_ASK=2.9478503</stp>
        <stp>YAS_YLD_CONV=3</stp>
        <tr r="AC67" s="4"/>
      </tp>
      <tp>
        <v>5.7739103854005389</v>
        <stp/>
        <stp>##V3_BDPV12</stp>
        <stp>912828J2 Govt</stp>
        <stp>DUR_ADJ_ASK</stp>
        <stp>[BondCurveFitting.xlsm]US_TREASURY_TYPE1!R74C29</stp>
        <stp>YLD_YTM_ASK=2.9978618</stp>
        <stp>YAS_YLD_CONV=3</stp>
        <tr r="AC74" s="4"/>
      </tp>
      <tp>
        <v>17.118165374184713</v>
        <stp/>
        <stp>##V3_BDPV12</stp>
        <stp>912810RG Govt</stp>
        <stp>YAS_RISK</stp>
        <stp>[BondCurveFitting.xlsm]US_TREASURY_TYPE1!R122C25</stp>
        <stp>YLD_YTM_ASK=3.3456922</stp>
        <stp>YAS_YLD_CONV=3</stp>
        <tr r="Y122" s="4"/>
      </tp>
      <tp>
        <v>15.780681726608492</v>
        <stp/>
        <stp>##V3_BDPV12</stp>
        <stp>912810RB Govt</stp>
        <stp>YAS_RISK</stp>
        <stp>[BondCurveFitting.xlsm]US_TREASURY_TYPE1!R118C25</stp>
        <stp>YLD_YTM_ASK=3.3496731</stp>
        <stp>YAS_YLD_CONV=3</stp>
        <tr r="Y118" s="4"/>
      </tp>
      <tp>
        <v>15.762367648746789</v>
        <stp/>
        <stp>##V3_BDPV12</stp>
        <stp>912810QU Govt</stp>
        <stp>YAS_RISK</stp>
        <stp>[BondCurveFitting.xlsm]US_TREASURY_TYPE1!R113C25</stp>
        <stp>YLD_YTM_ASK=3.3286447</stp>
        <stp>YAS_YLD_CONV=3</stp>
        <tr r="Y113" s="4"/>
      </tp>
      <tp>
        <v>15.632036511257752</v>
        <stp/>
        <stp>##V3_BDPV12</stp>
        <stp>912810QW Govt</stp>
        <stp>YAS_RISK</stp>
        <stp>[BondCurveFitting.xlsm]US_TREASURY_TYPE1!R114C25</stp>
        <stp>YLD_YTM_ASK=3.3376494</stp>
        <stp>YAS_YLD_CONV=3</stp>
        <tr r="Y114" s="4"/>
      </tp>
      <tp>
        <v>17.905875939550242</v>
        <stp/>
        <stp>##V3_BDPV12</stp>
        <stp>912810QN Govt</stp>
        <stp>YAS_RISK</stp>
        <stp>[BondCurveFitting.xlsm]US_TREASURY_TYPE1!R109C25</stp>
        <stp>YLD_YTM_ASK=3.3036119</stp>
        <stp>YAS_YLD_CONV=3</stp>
        <tr r="Y109" s="4"/>
      </tp>
      <tp>
        <v>16.203536714360212</v>
        <stp/>
        <stp>##V3_BDPV12</stp>
        <stp>912810QB Govt</stp>
        <stp>YAS_RISK</stp>
        <stp>[BondCurveFitting.xlsm]US_TREASURY_TYPE1!R102C25</stp>
        <stp>YLD_YTM_ASK=3.2666043</stp>
        <stp>YAS_YLD_CONV=3</stp>
        <tr r="Y102" s="4"/>
      </tp>
      <tp>
        <v>3.3036118999999999</v>
        <stp/>
        <stp>##V3_BDPV12</stp>
        <stp>912810QN Govt</stp>
        <stp>YLD_YTM_ASK</stp>
        <stp>[BondCurveFitting.xlsm]US_TREASURY_TYPE1!R109C14</stp>
        <tr r="N109" s="4"/>
      </tp>
      <tp>
        <v>3.3542505999999999</v>
        <stp/>
        <stp>##V3_BDPV12</stp>
        <stp>912810RN Govt</stp>
        <stp>YLD_YTM_ASK</stp>
        <stp>[BondCurveFitting.xlsm]US_TREASURY_TYPE1!R127C14</stp>
        <tr r="N127" s="4"/>
      </tp>
      <tp>
        <v>4.8325835037298512</v>
        <stp/>
        <stp>##V3_BDPV12</stp>
        <stp>912828V8 Govt</stp>
        <stp>DUR_ADJ_ASK</stp>
        <stp>[BondCurveFitting.xlsm]US_TREASURY_TYPE1!R68C29</stp>
        <stp>YLD_YTM_ASK=2.9503712</stp>
        <stp>YAS_YLD_CONV=3</stp>
        <tr r="AC68" s="4"/>
      </tp>
      <tp>
        <v>4.6444747140076226</v>
        <stp/>
        <stp>##V3_BDPV12</stp>
        <stp>912828T2 Govt</stp>
        <stp>DUR_ADJ_ASK</stp>
        <stp>[BondCurveFitting.xlsm]US_TREASURY_TYPE1!R63C29</stp>
        <stp>YLD_YTM_ASK=2.9399024</stp>
        <stp>YAS_YLD_CONV=3</stp>
        <tr r="AC63" s="4"/>
      </tp>
      <tp>
        <v>16.058026803126779</v>
        <stp/>
        <stp>##V3_BDPV12</stp>
        <stp>912810RS Govt</stp>
        <stp>YAS_RISK</stp>
        <stp>[BondCurveFitting.xlsm]US_TREASURY_TYPE1!R130C25</stp>
        <stp>YLD_YTM_ASK=3.3591997</stp>
        <stp>YAS_YLD_CONV=3</stp>
        <tr r="Y130" s="4"/>
      </tp>
      <tp>
        <v>16.980985883721189</v>
        <stp/>
        <stp>##V3_BDPV12</stp>
        <stp>912810QL Govt</stp>
        <stp>YAS_RISK</stp>
        <stp>[BondCurveFitting.xlsm]US_TREASURY_TYPE1!R108C25</stp>
        <stp>YLD_YTM_ASK=3.3051509</stp>
        <stp>YAS_YLD_CONV=3</stp>
        <tr r="Y108" s="4"/>
      </tp>
      <tp>
        <v>17.035025355468036</v>
        <stp/>
        <stp>##V3_BDPV12</stp>
        <stp>912810RU Govt</stp>
        <stp>YAS_RISK</stp>
        <stp>[BondCurveFitting.xlsm]US_TREASURY_TYPE1!R132C25</stp>
        <stp>YLD_YTM_ASK=3.3541494</stp>
        <stp>YAS_YLD_CONV=3</stp>
        <tr r="Y132" s="4"/>
      </tp>
      <tp>
        <v>15.374189784506598</v>
        <stp/>
        <stp>##V3_BDPV12</stp>
        <stp>912810QY Govt</stp>
        <stp>YAS_RISK</stp>
        <stp>[BondCurveFitting.xlsm]US_TREASURY_TYPE1!R116C25</stp>
        <stp>YLD_YTM_ASK=3.3481682</stp>
        <stp>YAS_YLD_CONV=3</stp>
        <tr r="Y116" s="4"/>
      </tp>
      <tp>
        <v>16.12984842976033</v>
        <stp/>
        <stp>##V3_BDPV12</stp>
        <stp>912810QZ Govt</stp>
        <stp>YAS_RISK</stp>
        <stp>[BondCurveFitting.xlsm]US_TREASURY_TYPE1!R117C25</stp>
        <stp>YLD_YTM_ASK=3.3471084</stp>
        <stp>YAS_YLD_CONV=3</stp>
        <tr r="Y117" s="4"/>
      </tp>
      <tp>
        <v>15.063303200994937</v>
        <stp/>
        <stp>##V3_BDPV12</stp>
        <stp>912810QA Govt</stp>
        <stp>YAS_RISK</stp>
        <stp>[BondCurveFitting.xlsm]US_TREASURY_TYPE1!R101C25</stp>
        <stp>YLD_YTM_ASK=3.2590999</stp>
        <stp>YAS_YLD_CONV=3</stp>
        <tr r="Y101" s="4"/>
      </tp>
      <tp>
        <v>17.443308593752249</v>
        <stp/>
        <stp>##V3_BDPV12</stp>
        <stp>912810QQ Govt</stp>
        <stp>YAS_RISK</stp>
        <stp>[BondCurveFitting.xlsm]US_TREASURY_TYPE1!R110C25</stp>
        <stp>YLD_YTM_ASK=3.3120743</stp>
        <stp>YAS_YLD_CONV=3</stp>
        <tr r="Y110" s="4"/>
      </tp>
      <tp>
        <v>3.2937842000000002</v>
        <stp/>
        <stp>##V3_BDPV12</stp>
        <stp>912810QH Govt</stp>
        <stp>YLD_YTM_ASK</stp>
        <stp>[BondCurveFitting.xlsm]US_TREASURY_TYPE1!R106C14</stp>
        <tr r="N106" s="4"/>
      </tp>
      <tp>
        <v>3.3478327999999999</v>
        <stp/>
        <stp>##V3_BDPV12</stp>
        <stp>912810RH Govt</stp>
        <stp>YLD_YTM_ASK</stp>
        <stp>[BondCurveFitting.xlsm]US_TREASURY_TYPE1!R123C14</stp>
        <tr r="N123" s="4"/>
      </tp>
      <tp>
        <v>4.7019941944068711</v>
        <stp/>
        <stp>##V3_BDPV12</stp>
        <stp>912828T9 Govt</stp>
        <stp>DUR_ADJ_ASK</stp>
        <stp>[BondCurveFitting.xlsm]US_TREASURY_TYPE1!R64C29</stp>
        <stp>YLD_YTM_ASK=2.9434482</stp>
        <stp>YAS_YLD_CONV=3</stp>
        <tr r="AC64" s="4"/>
      </tp>
      <tp>
        <v>2.9253951000000002</v>
        <stp/>
        <stp>##V3_BDPV12</stp>
        <stp>912828L5 Govt</stp>
        <stp>YLD_YTM_ASK</stp>
        <stp>[BondCurveFitting.xlsm]US_TREASURY_TYPE1!R47C14</stp>
        <tr r="N47" s="4"/>
      </tp>
      <tp>
        <v>2.9255762000000001</v>
        <stp/>
        <stp>##V3_BDPV12</stp>
        <stp>912828L2 Govt</stp>
        <stp>YLD_YTM_ASK</stp>
        <stp>[BondCurveFitting.xlsm]US_TREASURY_TYPE1!R46C14</stp>
        <tr r="N46" s="4"/>
      </tp>
      <tp>
        <v>16.594258404583684</v>
        <stp/>
        <stp>##V3_BDPV12</stp>
        <stp>912810RJ Govt</stp>
        <stp>YAS_RISK</stp>
        <stp>[BondCurveFitting.xlsm]US_TREASURY_TYPE1!R124C25</stp>
        <stp>YLD_YTM_ASK=3.3483479</stp>
        <stp>YAS_YLD_CONV=3</stp>
        <tr r="Y124" s="4"/>
      </tp>
      <tp>
        <v>16.637851812960491</v>
        <stp/>
        <stp>##V3_BDPV12</stp>
        <stp>912810QD Govt</stp>
        <stp>YAS_RISK</stp>
        <stp>[BondCurveFitting.xlsm]US_TREASURY_TYPE1!R104C25</stp>
        <stp>YLD_YTM_ASK=3.2823696</stp>
        <stp>YAS_YLD_CONV=3</stp>
        <tr r="Y104" s="4"/>
      </tp>
      <tp>
        <v>15.664926362146758</v>
        <stp/>
        <stp>##V3_BDPV12</stp>
        <stp>912810QT Govt</stp>
        <stp>YAS_RISK</stp>
        <stp>[BondCurveFitting.xlsm]US_TREASURY_TYPE1!R112C25</stp>
        <stp>YLD_YTM_ASK=3.3243621</stp>
        <stp>YAS_YLD_CONV=3</stp>
        <tr r="Y112" s="4"/>
      </tp>
      <tp>
        <v>15.59941814772472</v>
        <stp/>
        <stp>##V3_BDPV12</stp>
        <stp>912810RT Govt</stp>
        <stp>YAS_RISK</stp>
        <stp>[BondCurveFitting.xlsm]US_TREASURY_TYPE1!R131C25</stp>
        <stp>YLD_YTM_ASK=3.3603112</stp>
        <stp>YAS_YLD_CONV=3</stp>
        <tr r="Y131" s="4"/>
      </tp>
      <tp>
        <v>4.010100949317013</v>
        <stp/>
        <stp>##V3_BDPV12</stp>
        <stp>912828UN Govt</stp>
        <stp>DUR_ADJ_ASK</stp>
        <stp>[BondCurveFitting.xlsm]US_TREASURY_TYPE1!R52C29</stp>
        <stp>YLD_YTM_ASK=2.927193</stp>
        <stp>YAS_YLD_CONV=3</stp>
        <tr r="AC52" s="4"/>
      </tp>
      <tp>
        <v>3.3025212000000002</v>
        <stp/>
        <stp>##V3_BDPV12</stp>
        <stp>912810QK Govt</stp>
        <stp>YLD_YTM_ASK</stp>
        <stp>[BondCurveFitting.xlsm]US_TREASURY_TYPE1!R107C14</stp>
        <tr r="N107" s="4"/>
      </tp>
      <tp>
        <v>3.3558954999999999</v>
        <stp/>
        <stp>##V3_BDPV12</stp>
        <stp>912810RK Govt</stp>
        <stp>YLD_YTM_ASK</stp>
        <stp>[BondCurveFitting.xlsm]US_TREASURY_TYPE1!R125C14</stp>
        <tr r="N125" s="4"/>
      </tp>
      <tp>
        <v>2.4508556748192203</v>
        <stp/>
        <stp>##V3_BDPV12</stp>
        <stp>912828R7 Govt</stp>
        <stp>DUR_ADJ_ASK</stp>
        <stp>[BondCurveFitting.xlsm]US_TREASURY_TYPE1!R16C29</stp>
        <stp>YLD_YTM_ASK=2.8789266</stp>
        <stp>YAS_YLD_CONV=3</stp>
        <tr r="AC16" s="4"/>
      </tp>
      <tp>
        <v>2.2268577149759361</v>
        <stp/>
        <stp>##V3_BDPV12</stp>
        <stp>912828P8 Govt</stp>
        <stp>DUR_ADJ_ASK</stp>
        <stp>[BondCurveFitting.xlsm]US_TREASURY_TYPE1!R10C29</stp>
        <stp>YLD_YTM_ASK=2.8656103</stp>
        <stp>YAS_YLD_CONV=3</stp>
        <tr r="AC10" s="4"/>
      </tp>
      <tp>
        <v>2.8402222148062743</v>
        <stp/>
        <stp>##V3_BDPV12</stp>
        <stp>912828F9 Govt</stp>
        <stp>DUR_ADJ_ASK</stp>
        <stp>[BondCurveFitting.xlsm]US_TREASURY_TYPE1!R28C29</stp>
        <stp>YLD_YTM_ASK=2.8967526</stp>
        <stp>YAS_YLD_CONV=3</stp>
        <tr r="AC28" s="4"/>
      </tp>
      <tp>
        <v>2.9250878999999999</v>
        <stp/>
        <stp>##V3_BDPV12</stp>
        <stp>912828M8 Govt</stp>
        <stp>YLD_YTM_ASK</stp>
        <stp>[BondCurveFitting.xlsm]US_TREASURY_TYPE1!R50C14</stp>
        <tr r="N50" s="4"/>
      </tp>
      <tp>
        <v>3.0283593999999998</v>
        <stp/>
        <stp>##V3_BDPV12</stp>
        <stp>912828M5 Govt</stp>
        <stp>YLD_YTM_ASK</stp>
        <stp>[BondCurveFitting.xlsm]US_TREASURY_TYPE1!R78C14</stp>
        <tr r="N78" s="4"/>
      </tp>
      <tp>
        <v>2.9256612999999998</v>
        <stp/>
        <stp>##V3_BDPV12</stp>
        <stp>912828M4 Govt</stp>
        <stp>YLD_YTM_ASK</stp>
        <stp>[BondCurveFitting.xlsm]US_TREASURY_TYPE1!R48C14</stp>
        <tr r="N48" s="4"/>
      </tp>
      <tp>
        <v>2.3062715602015769</v>
        <stp/>
        <stp>##V3_BDPV12</stp>
        <stp>912828Q3 Govt</stp>
        <stp>DUR_ADJ_ASK</stp>
        <stp>[BondCurveFitting.xlsm]US_TREASURY_TYPE1!R12C29</stp>
        <stp>YLD_YTM_ASK=2.862569</stp>
        <stp>YAS_YLD_CONV=3</stp>
        <tr r="AC12" s="4"/>
      </tp>
      <tp>
        <v>16.601655226573797</v>
        <stp/>
        <stp>##V3_BDPV12</stp>
        <stp>912810RN Govt</stp>
        <stp>YAS_RISK</stp>
        <stp>[BondCurveFitting.xlsm]US_TREASURY_TYPE1!R127C25</stp>
        <stp>YLD_YTM_ASK=3.3542506</stp>
        <stp>YAS_YLD_CONV=3</stp>
        <tr r="Y127" s="4"/>
      </tp>
      <tp>
        <v>3.3483478999999998</v>
        <stp/>
        <stp>##V3_BDPV12</stp>
        <stp>912810RJ Govt</stp>
        <stp>YLD_YTM_ASK</stp>
        <stp>[BondCurveFitting.xlsm]US_TREASURY_TYPE1!R124C14</stp>
        <tr r="N124" s="4"/>
      </tp>
      <tp>
        <v>4.0904410747167361</v>
        <stp/>
        <stp>##V3_BDPV12</stp>
        <stp>912828P7 Govt</stp>
        <stp>DUR_ADJ_ASK</stp>
        <stp>[BondCurveFitting.xlsm]US_TREASURY_TYPE1!R53C29</stp>
        <stp>YLD_YTM_ASK=2.9328161</stp>
        <stp>YAS_YLD_CONV=3</stp>
        <tr r="AC53" s="4"/>
      </tp>
      <tp>
        <v>2.8661905000000001</v>
        <stp/>
        <stp>##V3_BDPV12</stp>
        <stp>912828B9 Govt</stp>
        <stp>YLD_YTM_ASK</stp>
        <stp>[BondCurveFitting.xlsm]US_TREASURY_TYPE1!R11C14</stp>
        <tr r="N11" s="4"/>
      </tp>
      <tp>
        <v>2.9484852999999998</v>
        <stp/>
        <stp>##V3_BDPV12</stp>
        <stp>912828B6 Govt</stp>
        <stp>YLD_YTM_ASK</stp>
        <stp>[BondCurveFitting.xlsm]US_TREASURY_TYPE1!R69C14</stp>
        <tr r="N69" s="4"/>
      </tp>
      <tp>
        <v>3.2858418</v>
        <stp/>
        <stp>##V3_BDPV12</stp>
        <stp>912810QE Govt</stp>
        <stp>YLD_YTM_ASK</stp>
        <stp>[BondCurveFitting.xlsm]US_TREASURY_TYPE1!R105C14</stp>
        <tr r="N105" s="4"/>
      </tp>
      <tp>
        <v>3.3455686</v>
        <stp/>
        <stp>##V3_BDPV12</stp>
        <stp>912810RE Govt</stp>
        <stp>YLD_YTM_ASK</stp>
        <stp>[BondCurveFitting.xlsm]US_TREASURY_TYPE1!R121C14</stp>
        <tr r="N121" s="4"/>
      </tp>
      <tp>
        <v>3.0639374796513557</v>
        <stp/>
        <stp>##V3_BDPV12</stp>
        <stp>912828V7 Govt</stp>
        <stp>DUR_ADJ_ASK</stp>
        <stp>[BondCurveFitting.xlsm]US_TREASURY_TYPE1!R35C29</stp>
        <stp>YLD_YTM_ASK=2.9047529</stp>
        <stp>YAS_YLD_CONV=3</stp>
        <tr r="AC35" s="4"/>
      </tp>
      <tp>
        <v>4.3996270049931079</v>
        <stp/>
        <stp>##V3_BDPV12</stp>
        <stp>912828S3 Govt</stp>
        <stp>DUR_ADJ_ASK</stp>
        <stp>[BondCurveFitting.xlsm]US_TREASURY_TYPE1!R58C29</stp>
        <stp>YLD_YTM_ASK=2.9343046</stp>
        <stp>YAS_YLD_CONV=3</stp>
        <tr r="AC58" s="4"/>
      </tp>
      <tp>
        <v>4.2907086478113747</v>
        <stp/>
        <stp>##V3_BDPV12</stp>
        <stp>912828R6 Govt</stp>
        <stp>DUR_ADJ_ASK</stp>
        <stp>[BondCurveFitting.xlsm]US_TREASURY_TYPE1!R57C29</stp>
        <stp>YLD_YTM_ASK=2.9356072</stp>
        <stp>YAS_YLD_CONV=3</stp>
        <tr r="AC57" s="4"/>
      </tp>
      <tp>
        <v>2.8670887999999999</v>
        <stp/>
        <stp>##V3_BDPV12</stp>
        <stp>912828C5 Govt</stp>
        <stp>YLD_YTM_ASK</stp>
        <stp>[BondCurveFitting.xlsm]US_TREASURY_TYPE1!R13C14</stp>
        <tr r="N13" s="4"/>
      </tp>
      <tp>
        <v>3.2823696</v>
        <stp/>
        <stp>##V3_BDPV12</stp>
        <stp>912810QD Govt</stp>
        <stp>YLD_YTM_ASK</stp>
        <stp>[BondCurveFitting.xlsm]US_TREASURY_TYPE1!R104C14</stp>
        <tr r="N104" s="4"/>
      </tp>
      <tp>
        <v>3.3447664000000001</v>
        <stp/>
        <stp>##V3_BDPV12</stp>
        <stp>912810RD Govt</stp>
        <stp>YLD_YTM_ASK</stp>
        <stp>[BondCurveFitting.xlsm]US_TREASURY_TYPE1!R120C14</stp>
        <tr r="N120" s="4"/>
      </tp>
      <tp>
        <v>7.3886063119076422</v>
        <stp/>
        <stp>##V3_BDPV12</stp>
        <stp>912828V9 Govt</stp>
        <stp>DUR_ADJ_ASK</stp>
        <stp>[BondCurveFitting.xlsm]US_TREASURY_TYPE1!R87C29</stp>
        <stp>YLD_YTM_ASK=3.0768122</stp>
        <stp>YAS_YLD_CONV=3</stp>
        <tr r="AC87" s="4"/>
      </tp>
      <tp>
        <v>2.7875958511131289</v>
        <stp/>
        <stp>##V3_BDPV12</stp>
        <stp>912828T3 Govt</stp>
        <stp>DUR_ADJ_ASK</stp>
        <stp>[BondCurveFitting.xlsm]US_TREASURY_TYPE1!R25C29</stp>
        <stp>YLD_YTM_ASK=2.8922422</stp>
        <stp>YAS_YLD_CONV=3</stp>
        <tr r="AC25" s="4"/>
      </tp>
      <tp>
        <v>5.5512183135327442</v>
        <stp/>
        <stp>##V3_BDPV12</stp>
        <stp>912828G3 Govt</stp>
        <stp>DUR_ADJ_ASK</stp>
        <stp>[BondCurveFitting.xlsm]US_TREASURY_TYPE1!R73C29</stp>
        <stp>YLD_YTM_ASK=2.9892245</stp>
        <stp>YAS_YLD_CONV=3</stp>
        <tr r="AC73" s="4"/>
      </tp>
      <tp>
        <v>3.0822643017704849</v>
        <stp/>
        <stp>##V3_BDPV12</stp>
        <stp>912828H8 Govt</stp>
        <stp>DUR_ADJ_ASK</stp>
        <stp>[BondCurveFitting.xlsm]US_TREASURY_TYPE1!R34C29</stp>
        <stp>YLD_YTM_ASK=2.9049853</stp>
        <stp>YAS_YLD_CONV=3</stp>
        <tr r="AC34" s="4"/>
      </tp>
      <tp>
        <v>2.8984221514484321</v>
        <stp/>
        <stp>##V3_BDPV12</stp>
        <stp>912828G5 Govt</stp>
        <stp>DUR_ADJ_ASK</stp>
        <stp>[BondCurveFitting.xlsm]US_TREASURY_TYPE1!R31C29</stp>
        <stp>YLD_YTM_ASK=2.8834802</stp>
        <stp>YAS_YLD_CONV=3</stp>
        <tr r="AC31" s="4"/>
      </tp>
      <tp>
        <v>3.9901011860937574</v>
        <stp/>
        <stp>##V3_BDPV12</stp>
        <stp>912828P3 Govt</stp>
        <stp>DUR_ADJ_ASK</stp>
        <stp>[BondCurveFitting.xlsm]US_TREASURY_TYPE1!R51C29</stp>
        <stp>YLD_YTM_ASK=2.9322865</stp>
        <stp>YAS_YLD_CONV=3</stp>
        <tr r="AC51" s="4"/>
      </tp>
      <tp>
        <v>3.3456922000000002</v>
        <stp/>
        <stp>##V3_BDPV12</stp>
        <stp>912810RG Govt</stp>
        <stp>YLD_YTM_ASK</stp>
        <stp>[BondCurveFitting.xlsm]US_TREASURY_TYPE1!R122C14</stp>
        <tr r="N122" s="4"/>
      </tp>
      <tp>
        <v>3.1435355646192842</v>
        <stp/>
        <stp>##V3_BDPV12</stp>
        <stp>912828W5 Govt</stp>
        <stp>DUR_ADJ_ASK</stp>
        <stp>[BondCurveFitting.xlsm]US_TREASURY_TYPE1!R38C29</stp>
        <stp>YLD_YTM_ASK=2.9057079</stp>
        <stp>YAS_YLD_CONV=3</stp>
        <tr r="AC38" s="4"/>
      </tp>
      <tp>
        <v>3.769807121996485</v>
        <stp/>
        <stp>##V3_BDPV12</stp>
        <stp>912828M4 Govt</stp>
        <stp>DUR_ADJ_ASK</stp>
        <stp>[BondCurveFitting.xlsm]US_TREASURY_TYPE1!R48C29</stp>
        <stp>YLD_YTM_ASK=2.9256613</stp>
        <stp>YAS_YLD_CONV=3</stp>
        <tr r="AC48" s="4"/>
      </tp>
      <tp>
        <v>2.9042200481792753</v>
        <stp/>
        <stp>##V3_BDPV12</stp>
        <stp>912828U6 Govt</stp>
        <stp>DUR_ADJ_ASK</stp>
        <stp>[BondCurveFitting.xlsm]US_TREASURY_TYPE1!R30C29</stp>
        <stp>YLD_YTM_ASK=2.8994213</stp>
        <stp>YAS_YLD_CONV=3</stp>
        <tr r="AC30" s="4"/>
      </tp>
      <tp>
        <v>3.1496292657014466</v>
        <stp/>
        <stp>##V3_BDPV12</stp>
        <stp>912828J4 Govt</stp>
        <stp>DUR_ADJ_ASK</stp>
        <stp>[BondCurveFitting.xlsm]US_TREASURY_TYPE1!R37C29</stp>
        <stp>YLD_YTM_ASK=2.9036455</stp>
        <stp>YAS_YLD_CONV=3</stp>
        <tr r="AC37" s="4"/>
      </tp>
      <tp>
        <v>4.1727416006123148</v>
        <stp/>
        <stp>##V3_BDPV12</stp>
        <stp>912828Q2 Govt</stp>
        <stp>DUR_ADJ_ASK</stp>
        <stp>[BondCurveFitting.xlsm]US_TREASURY_TYPE1!R54C29</stp>
        <stp>YLD_YTM_ASK=2.9360324</stp>
        <stp>YAS_YLD_CONV=3</stp>
        <tr r="AC54" s="4"/>
      </tp>
      <tp>
        <v>2.8666689045951128</v>
        <stp/>
        <stp>##V3_BDPV12</stp>
        <stp>912828T6 Govt</stp>
        <stp>DUR_ADJ_ASK</stp>
        <stp>[BondCurveFitting.xlsm]US_TREASURY_TYPE1!R27C29</stp>
        <stp>YLD_YTM_ASK=2.8994609</stp>
        <stp>YAS_YLD_CONV=3</stp>
        <tr r="AC27" s="4"/>
      </tp>
      <tp>
        <v>4.8158249221100267</v>
        <stp/>
        <stp>##V3_BDPV12</stp>
        <stp>912828B6 Govt</stp>
        <stp>DUR_ADJ_ASK</stp>
        <stp>[BondCurveFitting.xlsm]US_TREASURY_TYPE1!R69C29</stp>
        <stp>YLD_YTM_ASK=2.9484853</stp>
        <stp>YAS_YLD_CONV=3</stp>
        <tr r="AC69" s="4"/>
      </tp>
      <tp>
        <v>4.9267846906157704</v>
        <stp/>
        <stp>##V3_BDPV12</stp>
        <stp>912828W4 Govt</stp>
        <stp>DUR_ADJ_ASK</stp>
        <stp>[BondCurveFitting.xlsm]US_TREASURY_TYPE1!R70C29</stp>
        <stp>YLD_YTM_ASK=2.9537402</stp>
        <stp>YAS_YLD_CONV=3</stp>
        <tr r="AC70" s="4"/>
      </tp>
      <tp>
        <v>2.3868412632415978</v>
        <stp/>
        <stp>##V3_BDPV12</stp>
        <stp>912828Q7 Govt</stp>
        <stp>DUR_ADJ_ASK</stp>
        <stp>[BondCurveFitting.xlsm]US_TREASURY_TYPE1!R14C29</stp>
        <stp>YLD_YTM_ASK=2.8744067</stp>
        <stp>YAS_YLD_CONV=3</stp>
        <tr r="AC14" s="4"/>
      </tp>
      <tp>
        <v>7.2892409489312229</v>
        <stp/>
        <stp>##V3_BDPV12</stp>
        <stp>912828U2 Govt</stp>
        <stp>DUR_ADJ_ASK</stp>
        <stp>[BondCurveFitting.xlsm]US_TREASURY_TYPE1!R85C29</stp>
        <stp>YLD_YTM_ASK=3.0691949</stp>
        <stp>YAS_YLD_CONV=3</stp>
        <tr r="AC85" s="4"/>
      </tp>
      <tp>
        <v>2.8967526000000001</v>
        <stp/>
        <stp>##V3_BDPV12</stp>
        <stp>912828F9 Govt</stp>
        <stp>YLD_YTM_ASK</stp>
        <stp>[BondCurveFitting.xlsm]US_TREASURY_TYPE1!R28C14</stp>
        <tr r="N28" s="4"/>
      </tp>
      <tp>
        <v>2.8954789000000001</v>
        <stp/>
        <stp>##V3_BDPV12</stp>
        <stp>912828F2 Govt</stp>
        <stp>YLD_YTM_ASK</stp>
        <stp>[BondCurveFitting.xlsm]US_TREASURY_TYPE1!R26C14</stp>
        <tr r="N26" s="4"/>
      </tp>
      <tp>
        <v>6.7101987112749386</v>
        <stp/>
        <stp>##V3_BDPV12</stp>
        <stp>912828P4 Govt</stp>
        <stp>DUR_ADJ_ASK</stp>
        <stp>[BondCurveFitting.xlsm]US_TREASURY_TYPE1!R80C29</stp>
        <stp>YLD_YTM_ASK=3.039546</stp>
        <stp>YAS_YLD_CONV=3</stp>
        <tr r="AC80" s="4"/>
      </tp>
      <tp>
        <v>15.9863138111632</v>
        <stp/>
        <stp>##V3_BDPV12</stp>
        <stp>912810PX Govt</stp>
        <stp>YAS_RISK</stp>
        <stp>[BondCurveFitting.xlsm]US_TREASURY_TYPE1!R100C25</stp>
        <stp>YLD_YTM_ASK=3.2349841</stp>
        <stp>YAS_YLD_CONV=3</stp>
        <tr r="Y100" s="4"/>
      </tp>
      <tp>
        <v>16.957645689913647</v>
        <stp/>
        <stp>##V3_BDPV12</stp>
        <stp>912810RP Govt</stp>
        <stp>YAS_RISK</stp>
        <stp>[BondCurveFitting.xlsm]US_TREASURY_TYPE1!R128C25</stp>
        <stp>YLD_YTM_ASK=3.3509526</stp>
        <stp>YAS_YLD_CONV=3</stp>
        <tr r="Y128" s="4"/>
      </tp>
      <tp>
        <v>3.2590998999999998</v>
        <stp/>
        <stp>##V3_BDPV12</stp>
        <stp>912810QA Govt</stp>
        <stp>YLD_YTM_ASK</stp>
        <stp>[BondCurveFitting.xlsm]US_TREASURY_TYPE1!R101C14</stp>
        <tr r="N101" s="4"/>
      </tp>
      <tp>
        <v>3.1935095000000002</v>
        <stp/>
        <stp>##V3_BDPV12</stp>
        <stp>912810FT Govt</stp>
        <stp>YLD_YTM_ASK</stp>
        <stp>[BondCurveFitting.xlsm]US_TREASURY_TYPE1!R96C14</stp>
        <tr r="N96" s="4"/>
      </tp>
      <tp>
        <v>3.1382462000000002</v>
        <stp/>
        <stp>##V3_BDPV12</stp>
        <stp>912810FP Govt</stp>
        <stp>YLD_YTM_ASK</stp>
        <stp>[BondCurveFitting.xlsm]US_TREASURY_TYPE1!R95C14</stp>
        <tr r="N95" s="4"/>
      </tp>
      <tp>
        <v>4.2460112217642347</v>
        <stp/>
        <stp>##V3_BDPV12</stp>
        <stp>912828R2 Govt</stp>
        <stp>DUR_ADJ_ASK</stp>
        <stp>[BondCurveFitting.xlsm]US_TREASURY_TYPE1!R55C29</stp>
        <stp>YLD_YTM_ASK=2.9356796</stp>
        <stp>YAS_YLD_CONV=3</stp>
        <tr r="AC55" s="4"/>
      </tp>
      <tp>
        <v>3.1253541</v>
        <stp/>
        <stp>##V3_BDPV12</stp>
        <stp>912810FM Govt</stp>
        <stp>YLD_YTM_ASK</stp>
        <stp>[BondCurveFitting.xlsm]US_TREASURY_TYPE1!R94C14</stp>
        <tr r="N94" s="4"/>
      </tp>
      <tp>
        <v>3.1218900999999999</v>
        <stp/>
        <stp>##V3_BDPV12</stp>
        <stp>912810FJ Govt</stp>
        <stp>YLD_YTM_ASK</stp>
        <stp>[BondCurveFitting.xlsm]US_TREASURY_TYPE1!R93C14</stp>
        <tr r="N93" s="4"/>
      </tp>
      <tp>
        <v>5.2882466742299341</v>
        <stp/>
        <stp>##V3_BDPV12</stp>
        <stp>912828D5 Govt</stp>
        <stp>DUR_ADJ_ASK</stp>
        <stp>[BondCurveFitting.xlsm]US_TREASURY_TYPE1!R72C29</stp>
        <stp>YLD_YTM_ASK=2.9761261</stp>
        <stp>YAS_YLD_CONV=3</stp>
        <tr r="AC72" s="4"/>
      </tp>
      <tp>
        <v>3.1174846000000001</v>
        <stp/>
        <stp>##V3_BDPV12</stp>
        <stp>912810FG Govt</stp>
        <stp>YLD_YTM_ASK</stp>
        <stp>[BondCurveFitting.xlsm]US_TREASURY_TYPE1!R92C14</stp>
        <tr r="N92" s="4"/>
      </tp>
      <tp>
        <v>2.6742261179850106</v>
        <stp/>
        <stp>##V3_BDPV12</stp>
        <stp>912828D7 Govt</stp>
        <stp>DUR_ADJ_ASK</stp>
        <stp>[BondCurveFitting.xlsm]US_TREASURY_TYPE1!R24C29</stp>
        <stp>YLD_YTM_ASK=2.8893939</stp>
        <stp>YAS_YLD_CONV=3</stp>
        <tr r="AC24" s="4"/>
      </tp>
      <tp>
        <v>3.1117818000000002</v>
        <stp/>
        <stp>##V3_BDPV12</stp>
        <stp>912810FF Govt</stp>
        <stp>YLD_YTM_ASK</stp>
        <stp>[BondCurveFitting.xlsm]US_TREASURY_TYPE1!R91C14</stp>
        <tr r="N91" s="4"/>
      </tp>
      <tp>
        <v>3.1038676000000001</v>
        <stp/>
        <stp>##V3_BDPV12</stp>
        <stp>912810FE Govt</stp>
        <stp>YLD_YTM_ASK</stp>
        <stp>[BondCurveFitting.xlsm]US_TREASURY_TYPE1!R90C14</stp>
        <tr r="N90" s="4"/>
      </tp>
      <tp>
        <v>3.0822162</v>
        <stp/>
        <stp>##V3_BDPV12</stp>
        <stp>912810FB Govt</stp>
        <stp>YLD_YTM_ASK</stp>
        <stp>[BondCurveFitting.xlsm]US_TREASURY_TYPE1!R89C14</stp>
        <tr r="N89" s="4"/>
      </tp>
      <tp>
        <v>3.0636774999999998</v>
        <stp/>
        <stp>##V3_BDPV12</stp>
        <stp>912810FA Govt</stp>
        <stp>YLD_YTM_ASK</stp>
        <stp>[BondCurveFitting.xlsm]US_TREASURY_TYPE1!R88C14</stp>
        <tr r="N88" s="4"/>
      </tp>
      <tp>
        <v>2.8992770000000001</v>
        <stp/>
        <stp>##V3_BDPV12</stp>
        <stp>912828G8 Govt</stp>
        <stp>YLD_YTM_ASK</stp>
        <stp>[BondCurveFitting.xlsm]US_TREASURY_TYPE1!R32C14</stp>
        <tr r="N32" s="4"/>
      </tp>
      <tp>
        <v>2.8834802000000002</v>
        <stp/>
        <stp>##V3_BDPV12</stp>
        <stp>912828G5 Govt</stp>
        <stp>YLD_YTM_ASK</stp>
        <stp>[BondCurveFitting.xlsm]US_TREASURY_TYPE1!R31C14</stp>
        <tr r="N31" s="4"/>
      </tp>
      <tp>
        <v>2.9892244999999997</v>
        <stp/>
        <stp>##V3_BDPV12</stp>
        <stp>912828G3 Govt</stp>
        <stp>YLD_YTM_ASK</stp>
        <stp>[BondCurveFitting.xlsm]US_TREASURY_TYPE1!R73C14</stp>
        <tr r="N73" s="4"/>
      </tp>
      <tp>
        <v>15.680430631761766</v>
        <stp/>
        <stp>##V3_BDPV12</stp>
        <stp>912810RK Govt</stp>
        <stp>YAS_RISK</stp>
        <stp>[BondCurveFitting.xlsm]US_TREASURY_TYPE1!R125C25</stp>
        <stp>YLD_YTM_ASK=3.3558955</stp>
        <stp>YAS_YLD_CONV=3</stp>
        <tr r="Y125" s="4"/>
      </tp>
      <tp>
        <v>17.143017163391505</v>
        <stp/>
        <stp>##V3_BDPV12</stp>
        <stp>912810QE Govt</stp>
        <stp>YAS_RISK</stp>
        <stp>[BondCurveFitting.xlsm]US_TREASURY_TYPE1!R105C25</stp>
        <stp>YLD_YTM_ASK=3.2858418</stp>
        <stp>YAS_YLD_CONV=3</stp>
        <tr r="Y105" s="4"/>
      </tp>
      <tp>
        <v>16.572938607919241</v>
        <stp/>
        <stp>##V3_BDPV12</stp>
        <stp>912810QS Govt</stp>
        <stp>YAS_RISK</stp>
        <stp>[BondCurveFitting.xlsm]US_TREASURY_TYPE1!R111C25</stp>
        <stp>YLD_YTM_ASK=3.3178583</stp>
        <stp>YAS_YLD_CONV=3</stp>
        <tr r="Y111" s="4"/>
      </tp>
      <tp>
        <v>16.74023572438017</v>
        <stp/>
        <stp>##V3_BDPV12</stp>
        <stp>912810RH Govt</stp>
        <stp>YAS_RISK</stp>
        <stp>[BondCurveFitting.xlsm]US_TREASURY_TYPE1!R123C25</stp>
        <stp>YLD_YTM_ASK=3.3478328</stp>
        <stp>YAS_YLD_CONV=3</stp>
        <tr r="Y123" s="4"/>
      </tp>
      <tp>
        <v>2.5428151296910713</v>
        <stp/>
        <stp>##V3_BDPV12</stp>
        <stp>912828S2 Govt</stp>
        <stp>DUR_ADJ_ASK</stp>
        <stp>[BondCurveFitting.xlsm]US_TREASURY_TYPE1!R18C29</stp>
        <stp>YLD_YTM_ASK=2.8717646</stp>
        <stp>YAS_YLD_CONV=3</stp>
        <tr r="AC18" s="4"/>
      </tp>
      <tp>
        <v>2.6256219988418037</v>
        <stp/>
        <stp>##V3_BDPV12</stp>
        <stp>912828S7 Govt</stp>
        <stp>DUR_ADJ_ASK</stp>
        <stp>[BondCurveFitting.xlsm]US_TREASURY_TYPE1!R20C29</stp>
        <stp>YLD_YTM_ASK=2.8892763</stp>
        <stp>YAS_YLD_CONV=3</stp>
        <tr r="AC20" s="4"/>
      </tp>
      <tp>
        <v>2.2826588690456457</v>
        <stp/>
        <stp>##V3_BDPV12</stp>
        <stp>912828C5 Govt</stp>
        <stp>DUR_ADJ_ASK</stp>
        <stp>[BondCurveFitting.xlsm]US_TREASURY_TYPE1!R13C29</stp>
        <stp>YLD_YTM_ASK=2.8670888</stp>
        <stp>YAS_YLD_CONV=3</stp>
        <tr r="AC13" s="4"/>
      </tp>
      <tp>
        <v>6.2021383411409188</v>
        <stp/>
        <stp>##V3_BDPV12</stp>
        <stp>912828K7 Govt</stp>
        <stp>DUR_ADJ_ASK</stp>
        <stp>[BondCurveFitting.xlsm]US_TREASURY_TYPE1!R77C29</stp>
        <stp>YLD_YTM_ASK=3.0202194</stp>
        <stp>YAS_YLD_CONV=3</stp>
        <tr r="AC77" s="4"/>
      </tp>
      <tp>
        <v>2.8893939</v>
        <stp/>
        <stp>##V3_BDPV12</stp>
        <stp>912828D7 Govt</stp>
        <stp>YLD_YTM_ASK</stp>
        <stp>[BondCurveFitting.xlsm]US_TREASURY_TYPE1!R24C14</stp>
        <tr r="N24" s="4"/>
      </tp>
      <tp>
        <v>2.9761261000000001</v>
        <stp/>
        <stp>##V3_BDPV12</stp>
        <stp>912828D5 Govt</stp>
        <stp>YLD_YTM_ASK</stp>
        <stp>[BondCurveFitting.xlsm]US_TREASURY_TYPE1!R72C14</stp>
        <tr r="N72" s="4"/>
      </tp>
      <tp>
        <v>3.3465932999999999</v>
        <stp/>
        <stp>##V3_BDPV12</stp>
        <stp>912810RC Govt</stp>
        <stp>YLD_YTM_ASK</stp>
        <stp>[BondCurveFitting.xlsm]US_TREASURY_TYPE1!R119C14</stp>
        <tr r="N119" s="4"/>
      </tp>
      <tp>
        <v>3.2735755000000002</v>
        <stp/>
        <stp>##V3_BDPV12</stp>
        <stp>912810QC Govt</stp>
        <stp>YLD_YTM_ASK</stp>
        <stp>[BondCurveFitting.xlsm]US_TREASURY_TYPE1!R103C14</stp>
        <tr r="N103" s="4"/>
      </tp>
      <tp>
        <v>4.681604517320352</v>
        <stp/>
        <stp>##V3_BDPV12</stp>
        <stp>912828U5 Govt</stp>
        <stp>DUR_ADJ_ASK</stp>
        <stp>[BondCurveFitting.xlsm]US_TREASURY_TYPE1!R66C29</stp>
        <stp>YLD_YTM_ASK=2.9463772</stp>
        <stp>YAS_YLD_CONV=3</stp>
        <tr r="AC66" s="4"/>
      </tp>
      <tp>
        <v>2.752229829854441</v>
        <stp/>
        <stp>##V3_BDPV12</stp>
        <stp>912828F2 Govt</stp>
        <stp>DUR_ADJ_ASK</stp>
        <stp>[BondCurveFitting.xlsm]US_TREASURY_TYPE1!R26C29</stp>
        <stp>YLD_YTM_ASK=2.8954789</stp>
        <stp>YAS_YLD_CONV=3</stp>
        <tr r="AC26" s="4"/>
      </tp>
      <tp>
        <v>6.4005986142085538</v>
        <stp/>
        <stp>##V3_BDPV12</stp>
        <stp>912828M5 Govt</stp>
        <stp>DUR_ADJ_ASK</stp>
        <stp>[BondCurveFitting.xlsm]US_TREASURY_TYPE1!R78C29</stp>
        <stp>YLD_YTM_ASK=3.0283594</stp>
        <stp>YAS_YLD_CONV=3</stp>
        <tr r="AC78" s="4"/>
      </tp>
      <tp>
        <v>3.6941224717566361</v>
        <stp/>
        <stp>##V3_BDPV12</stp>
        <stp>912828L5 Govt</stp>
        <stp>DUR_ADJ_ASK</stp>
        <stp>[BondCurveFitting.xlsm]US_TREASURY_TYPE1!R47C29</stp>
        <stp>YLD_YTM_ASK=2.9253951</stp>
        <stp>YAS_YLD_CONV=3</stp>
        <tr r="AC47" s="4"/>
      </tp>
      <tp>
        <v>3.3496731</v>
        <stp/>
        <stp>##V3_BDPV12</stp>
        <stp>912810RB Govt</stp>
        <stp>YLD_YTM_ASK</stp>
        <stp>[BondCurveFitting.xlsm]US_TREASURY_TYPE1!R118C14</stp>
        <tr r="N118" s="4"/>
      </tp>
      <tp>
        <v>3.2666043</v>
        <stp/>
        <stp>##V3_BDPV12</stp>
        <stp>912810QB Govt</stp>
        <stp>YLD_YTM_ASK</stp>
        <stp>[BondCurveFitting.xlsm]US_TREASURY_TYPE1!R102C14</stp>
        <tr r="N102" s="4"/>
      </tp>
      <tp>
        <v>3.0309878000000001</v>
        <stp/>
        <stp>##V3_BDPV12</stp>
        <stp>912810EZ Govt</stp>
        <stp>YLD_YTM_ASK</stp>
        <stp>[BondCurveFitting.xlsm]US_TREASURY_TYPE1!R86C14</stp>
        <tr r="N86" s="4"/>
      </tp>
      <tp>
        <v>3.0217485000000002</v>
        <stp/>
        <stp>##V3_BDPV12</stp>
        <stp>912810EY Govt</stp>
        <stp>YLD_YTM_ASK</stp>
        <stp>[BondCurveFitting.xlsm]US_TREASURY_TYPE1!R84C14</stp>
        <tr r="N84" s="4"/>
      </tp>
      <tp>
        <v>3.0093846000000002</v>
        <stp/>
        <stp>##V3_BDPV12</stp>
        <stp>912810EX Govt</stp>
        <stp>YLD_YTM_ASK</stp>
        <stp>[BondCurveFitting.xlsm]US_TREASURY_TYPE1!R82C14</stp>
        <tr r="N82" s="4"/>
      </tp>
      <tp>
        <v>2.9976650999999999</v>
        <stp/>
        <stp>##V3_BDPV12</stp>
        <stp>912810EW Govt</stp>
        <stp>YLD_YTM_ASK</stp>
        <stp>[BondCurveFitting.xlsm]US_TREASURY_TYPE1!R79C14</stp>
        <tr r="N79" s="4"/>
      </tp>
      <tp>
        <v>2.9915471</v>
        <stp/>
        <stp>##V3_BDPV12</stp>
        <stp>912810EV Govt</stp>
        <stp>YLD_YTM_ASK</stp>
        <stp>[BondCurveFitting.xlsm]US_TREASURY_TYPE1!R76C14</stp>
        <tr r="N76" s="4"/>
      </tp>
      <tp>
        <v>2.9086007999999999</v>
        <stp/>
        <stp>##V3_BDPV12</stp>
        <stp>912810EQ Govt</stp>
        <stp>YLD_YTM_ASK</stp>
        <stp>[BondCurveFitting.xlsm]US_TREASURY_TYPE1!R60C14</stp>
        <tr r="N60" s="4"/>
      </tp>
      <tp>
        <v>3.6037300419901319</v>
        <stp/>
        <stp>##V3_BDPV12</stp>
        <stp>912828L2 Govt</stp>
        <stp>DUR_ADJ_ASK</stp>
        <stp>[BondCurveFitting.xlsm]US_TREASURY_TYPE1!R46C29</stp>
        <stp>YLD_YTM_ASK=2.9255762</stp>
        <stp>YAS_YLD_CONV=3</stp>
        <tr r="AC46" s="4"/>
      </tp>
      <tp>
        <v>90.531249940939745</v>
        <stp/>
        <stp>##V3_BDPV12</stp>
        <stp>912828R3 Govt</stp>
        <stp>YAS_BOND_PX</stp>
        <stp>[BondCurveFitting.xlsm]US_TREASURY_TYPE1!R81C21</stp>
        <stp>YAS_BOND_YLD=3.047274</stp>
        <stp>YAS_YLD_CONV=2</stp>
        <tr r="U81" s="4"/>
      </tp>
      <tp>
        <v>2.9152515999999999</v>
        <stp/>
        <stp>##V3_BDPV12</stp>
        <stp>912828XQ Govt</stp>
        <stp>YLD_YTM_ASK</stp>
        <stp>[BondCurveFitting.xlsm]US_TREASURY_TYPE1!R44C14</stp>
        <tr r="N44" s="4"/>
      </tp>
      <tp>
        <v>2.9140407000000002</v>
        <stp/>
        <stp>##V3_BDPV12</stp>
        <stp>912828XG Govt</stp>
        <stp>YLD_YTM_ASK</stp>
        <stp>[BondCurveFitting.xlsm]US_TREASURY_TYPE1!R43C14</stp>
        <tr r="N43" s="4"/>
      </tp>
      <tp>
        <v>2.9113462000000001</v>
        <stp/>
        <stp>##V3_BDPV12</stp>
        <stp>912828XD Govt</stp>
        <stp>YLD_YTM_ASK</stp>
        <stp>[BondCurveFitting.xlsm]US_TREASURY_TYPE1!R42C14</stp>
        <tr r="N42" s="4"/>
      </tp>
      <tp>
        <v>3.0086244999999998</v>
        <stp/>
        <stp>##V3_BDPV12</stp>
        <stp>912828XB Govt</stp>
        <stp>YLD_YTM_ASK</stp>
        <stp>[BondCurveFitting.xlsm]US_TREASURY_TYPE1!R75C14</stp>
        <tr r="N75" s="4"/>
      </tp>
      <tp>
        <v>3.3481681999999999</v>
        <stp/>
        <stp>##V3_BDPV12</stp>
        <stp>912810QY Govt</stp>
        <stp>YLD_YTM_ASK</stp>
        <stp>[BondCurveFitting.xlsm]US_TREASURY_TYPE1!R116C14</stp>
        <tr r="N116" s="4"/>
      </tp>
      <tp>
        <v>3.3472650000000002</v>
        <stp/>
        <stp>##V3_BDPV12</stp>
        <stp>912810QX Govt</stp>
        <stp>YLD_YTM_ASK</stp>
        <stp>[BondCurveFitting.xlsm]US_TREASURY_TYPE1!R115C14</stp>
        <tr r="N115" s="4"/>
      </tp>
      <tp>
        <v>3.2349841000000001</v>
        <stp/>
        <stp>##V3_BDPV12</stp>
        <stp>912810PX Govt</stp>
        <stp>YLD_YTM_ASK</stp>
        <stp>[BondCurveFitting.xlsm]US_TREASURY_TYPE1!R100C14</stp>
        <tr r="N100" s="4"/>
      </tp>
      <tp>
        <v>97.70312485549735</v>
        <stp/>
        <stp>##V3_BDPV12</stp>
        <stp>912828G8 Govt</stp>
        <stp>YAS_BOND_PX</stp>
        <stp>[BondCurveFitting.xlsm]US_TREASURY_TYPE1!R32C21</stp>
        <stp>YAS_BOND_YLD=2.899277</stp>
        <stp>YAS_YLD_CONV=2</stp>
        <tr r="U32" s="4"/>
      </tp>
      <tp>
        <v>96.328124945434311</v>
        <stp/>
        <stp>##V3_BDPV12</stp>
        <stp>912828Q3 Govt</stp>
        <stp>YAS_BOND_PX</stp>
        <stp>[BondCurveFitting.xlsm]US_TREASURY_TYPE1!R12C21</stp>
        <stp>YAS_BOND_YLD=2.862569</stp>
        <stp>YAS_YLD_CONV=2</stp>
        <tr r="U12" s="4"/>
      </tp>
      <tp>
        <v>96.312499912265622</v>
        <stp/>
        <stp>##V3_BDPV12</stp>
        <stp>912828J7 Govt</stp>
        <stp>YAS_BOND_PX</stp>
        <stp>[BondCurveFitting.xlsm]US_TREASURY_TYPE1!R39C21</stp>
        <stp>YAS_BOND_YLD=2.905924</stp>
        <stp>YAS_YLD_CONV=2</stp>
        <tr r="U39" s="4"/>
      </tp>
      <tp>
        <v>3.3471083999999998</v>
        <stp/>
        <stp>##V3_BDPV12</stp>
        <stp>912810QZ Govt</stp>
        <stp>YLD_YTM_ASK</stp>
        <stp>[BondCurveFitting.xlsm]US_TREASURY_TYPE1!R117C14</stp>
        <tr r="N117" s="4"/>
      </tp>
      <tp>
        <v>2.8789265999999998</v>
        <stp/>
        <stp>##V3_BDPV12</stp>
        <stp>912828R7 Govt</stp>
        <stp>YLD_YTM_ASK</stp>
        <stp>[BondCurveFitting.xlsm]US_TREASURY_TYPE1!R16C14</stp>
        <tr r="N16" s="4"/>
      </tp>
      <tp>
        <v>2.9356071999999998</v>
        <stp/>
        <stp>##V3_BDPV12</stp>
        <stp>912828R6 Govt</stp>
        <stp>YLD_YTM_ASK</stp>
        <stp>[BondCurveFitting.xlsm]US_TREASURY_TYPE1!R57C14</stp>
        <tr r="N57" s="4"/>
      </tp>
      <tp>
        <v>3.0472739999999998</v>
        <stp/>
        <stp>##V3_BDPV12</stp>
        <stp>912828R3 Govt</stp>
        <stp>YLD_YTM_ASK</stp>
        <stp>[BondCurveFitting.xlsm]US_TREASURY_TYPE1!R81C14</stp>
        <tr r="N81" s="4"/>
      </tp>
      <tp>
        <v>2.9356795999999998</v>
        <stp/>
        <stp>##V3_BDPV12</stp>
        <stp>912828R2 Govt</stp>
        <stp>YLD_YTM_ASK</stp>
        <stp>[BondCurveFitting.xlsm]US_TREASURY_TYPE1!R55C14</stp>
        <tr r="N55" s="4"/>
      </tp>
      <tp>
        <v>3.3286446999999999</v>
        <stp/>
        <stp>##V3_BDPV12</stp>
        <stp>912810QU Govt</stp>
        <stp>YLD_YTM_ASK</stp>
        <stp>[BondCurveFitting.xlsm]US_TREASURY_TYPE1!R113C14</stp>
        <tr r="N113" s="4"/>
      </tp>
      <tp>
        <v>3.3541493999999998</v>
        <stp/>
        <stp>##V3_BDPV12</stp>
        <stp>912810RU Govt</stp>
        <stp>YLD_YTM_ASK</stp>
        <stp>[BondCurveFitting.xlsm]US_TREASURY_TYPE1!R132C14</stp>
        <tr r="N132" s="4"/>
      </tp>
      <tp>
        <v>90.859375188797017</v>
        <stp/>
        <stp>##V3_BDPV12</stp>
        <stp>912828P4 Govt</stp>
        <stp>YAS_BOND_PX</stp>
        <stp>[BondCurveFitting.xlsm]US_TREASURY_TYPE1!R80C21</stp>
        <stp>YAS_BOND_YLD=3.039546</stp>
        <stp>YAS_YLD_CONV=2</stp>
        <tr r="U80" s="4"/>
      </tp>
      <tp>
        <v>2.8876664999999999</v>
        <stp/>
        <stp>##V3_BDPV12</stp>
        <stp>912828RR Govt</stp>
        <stp>YLD_YTM_ASK</stp>
        <stp>[BondCurveFitting.xlsm]US_TREASURY_TYPE1!R29C14</stp>
        <tr r="N29" s="4"/>
      </tp>
      <tp>
        <v>2.8867541999999999</v>
        <stp/>
        <stp>##V3_BDPV12</stp>
        <stp>912828RC Govt</stp>
        <stp>YLD_YTM_ASK</stp>
        <stp>[BondCurveFitting.xlsm]US_TREASURY_TYPE1!R22C14</stp>
        <tr r="N22" s="4"/>
      </tp>
      <tp>
        <v>2.9371960000000001</v>
        <stp/>
        <stp>##V3_BDPV12</stp>
        <stp>912828S9 Govt</stp>
        <stp>YLD_YTM_ASK</stp>
        <stp>[BondCurveFitting.xlsm]US_TREASURY_TYPE1!R59C14</stp>
        <tr r="N59" s="4"/>
      </tp>
      <tp>
        <v>2.8892763000000001</v>
        <stp/>
        <stp>##V3_BDPV12</stp>
        <stp>912828S7 Govt</stp>
        <stp>YLD_YTM_ASK</stp>
        <stp>[BondCurveFitting.xlsm]US_TREASURY_TYPE1!R20C14</stp>
        <tr r="N20" s="4"/>
      </tp>
      <tp>
        <v>2.9343045999999999</v>
        <stp/>
        <stp>##V3_BDPV12</stp>
        <stp>912828S3 Govt</stp>
        <stp>YLD_YTM_ASK</stp>
        <stp>[BondCurveFitting.xlsm]US_TREASURY_TYPE1!R58C14</stp>
        <tr r="N58" s="4"/>
      </tp>
      <tp>
        <v>2.8717646000000001</v>
        <stp/>
        <stp>##V3_BDPV12</stp>
        <stp>912828S2 Govt</stp>
        <stp>YLD_YTM_ASK</stp>
        <stp>[BondCurveFitting.xlsm]US_TREASURY_TYPE1!R18C14</stp>
        <tr r="N18" s="4"/>
      </tp>
      <tp>
        <v>3.3243621000000001</v>
        <stp/>
        <stp>##V3_BDPV12</stp>
        <stp>912810QT Govt</stp>
        <stp>YLD_YTM_ASK</stp>
        <stp>[BondCurveFitting.xlsm]US_TREASURY_TYPE1!R112C14</stp>
        <tr r="N112" s="4"/>
      </tp>
      <tp>
        <v>3.3603111999999999</v>
        <stp/>
        <stp>##V3_BDPV12</stp>
        <stp>912810RT Govt</stp>
        <stp>YLD_YTM_ASK</stp>
        <stp>[BondCurveFitting.xlsm]US_TREASURY_TYPE1!R131C14</stp>
        <tr r="N131" s="4"/>
      </tp>
      <tp>
        <v>2.9091658000000002</v>
        <stp/>
        <stp>##V3_BDPV12</stp>
        <stp>912828SV Govt</stp>
        <stp>YLD_YTM_ASK</stp>
        <stp>[BondCurveFitting.xlsm]US_TREASURY_TYPE1!R41C14</stp>
        <tr r="N41" s="4"/>
      </tp>
      <tp>
        <v>2.8979419000000002</v>
        <stp/>
        <stp>##V3_BDPV12</stp>
        <stp>912828SF Govt</stp>
        <stp>YLD_YTM_ASK</stp>
        <stp>[BondCurveFitting.xlsm]US_TREASURY_TYPE1!R36C14</stp>
        <tr r="N36" s="4"/>
      </tp>
      <tp>
        <v>2.8656103000000002</v>
        <stp/>
        <stp>##V3_BDPV12</stp>
        <stp>912828P8 Govt</stp>
        <stp>YLD_YTM_ASK</stp>
        <stp>[BondCurveFitting.xlsm]US_TREASURY_TYPE1!R10C14</stp>
        <tr r="N10" s="4"/>
      </tp>
      <tp>
        <v>2.9328161000000001</v>
        <stp/>
        <stp>##V3_BDPV12</stp>
        <stp>912828P7 Govt</stp>
        <stp>YLD_YTM_ASK</stp>
        <stp>[BondCurveFitting.xlsm]US_TREASURY_TYPE1!R53C14</stp>
        <tr r="N53" s="4"/>
      </tp>
      <tp>
        <v>3.0395460000000001</v>
        <stp/>
        <stp>##V3_BDPV12</stp>
        <stp>912828P4 Govt</stp>
        <stp>YLD_YTM_ASK</stp>
        <stp>[BondCurveFitting.xlsm]US_TREASURY_TYPE1!R80C14</stp>
        <tr r="N80" s="4"/>
      </tp>
      <tp>
        <v>2.9322865</v>
        <stp/>
        <stp>##V3_BDPV12</stp>
        <stp>912828P3 Govt</stp>
        <stp>YLD_YTM_ASK</stp>
        <stp>[BondCurveFitting.xlsm]US_TREASURY_TYPE1!R51C14</stp>
        <tr r="N51" s="4"/>
      </tp>
      <tp>
        <v>2.9690352145262415</v>
        <stp/>
        <stp>##V3_BDPV12</stp>
        <stp>912828G8 Govt</stp>
        <stp>DUR_ADJ_ASK</stp>
        <stp>[BondCurveFitting.xlsm]US_TREASURY_TYPE1!R32C29</stp>
        <stp>YLD_YTM_ASK=2.899277</stp>
        <stp>YAS_YLD_CONV=3</stp>
        <tr r="AC32" s="4"/>
      </tp>
      <tp>
        <v>3.3376494000000001</v>
        <stp/>
        <stp>##V3_BDPV12</stp>
        <stp>912810QW Govt</stp>
        <stp>YLD_YTM_ASK</stp>
        <stp>[BondCurveFitting.xlsm]US_TREASURY_TYPE1!R114C14</stp>
        <tr r="N114" s="4"/>
      </tp>
      <tp>
        <v>17.868039914088495</v>
        <stp/>
        <stp>##V3_BDPV12</stp>
        <stp>912810RM Govt</stp>
        <stp>DUR_ADJ_ASK</stp>
        <stp>[BondCurveFitting.xlsm]US_TREASURY_TYPE1!R126C29</stp>
        <stp>YLD_YTM_ASK=3.349629</stp>
        <stp>YAS_YLD_CONV=3</stp>
        <tr r="AC126" s="4"/>
      </tp>
      <tp>
        <v>3.2309869</v>
        <stp/>
        <stp>##V3_BDPV12</stp>
        <stp>912810PW Govt</stp>
        <stp>YLD_YTM_ASK</stp>
        <stp>[BondCurveFitting.xlsm]US_TREASURY_TYPE1!R99C14</stp>
        <tr r="N99" s="4"/>
      </tp>
      <tp>
        <v>3.2106303999999999</v>
        <stp/>
        <stp>##V3_BDPV12</stp>
        <stp>912810PU Govt</stp>
        <stp>YLD_YTM_ASK</stp>
        <stp>[BondCurveFitting.xlsm]US_TREASURY_TYPE1!R98C14</stp>
        <tr r="N98" s="4"/>
      </tp>
      <tp>
        <v>3.2068303999999999</v>
        <stp/>
        <stp>##V3_BDPV12</stp>
        <stp>912810PT Govt</stp>
        <stp>YLD_YTM_ASK</stp>
        <stp>[BondCurveFitting.xlsm]US_TREASURY_TYPE1!R97C14</stp>
        <tr r="N97" s="4"/>
      </tp>
      <tp>
        <v>92.632812424556889</v>
        <stp/>
        <stp>##V3_BDPV12</stp>
        <stp>912828S9 Govt</stp>
        <stp>YAS_BOND_PX</stp>
        <stp>[BondCurveFitting.xlsm]US_TREASURY_TYPE1!R59C21</stp>
        <stp>YAS_BOND_YLD=2.937196</stp>
        <stp>YAS_YLD_CONV=2</stp>
        <tr r="U59" s="4"/>
      </tp>
      <tp>
        <v>2.8744066999999998</v>
        <stp/>
        <stp>##V3_BDPV12</stp>
        <stp>912828Q7 Govt</stp>
        <stp>YLD_YTM_ASK</stp>
        <stp>[BondCurveFitting.xlsm]US_TREASURY_TYPE1!R14C14</stp>
        <tr r="N14" s="4"/>
      </tp>
      <tp>
        <v>2.8625690000000001</v>
        <stp/>
        <stp>##V3_BDPV12</stp>
        <stp>912828Q3 Govt</stp>
        <stp>YLD_YTM_ASK</stp>
        <stp>[BondCurveFitting.xlsm]US_TREASURY_TYPE1!R12C14</stp>
        <tr r="N12" s="4"/>
      </tp>
      <tp>
        <v>2.9360324000000002</v>
        <stp/>
        <stp>##V3_BDPV12</stp>
        <stp>912828Q2 Govt</stp>
        <stp>YLD_YTM_ASK</stp>
        <stp>[BondCurveFitting.xlsm]US_TREASURY_TYPE1!R54C14</stp>
        <tr r="N54" s="4"/>
      </tp>
      <tp>
        <v>3.2319788672016476</v>
        <stp/>
        <stp>##V3_BDPV12</stp>
        <stp>912828J7 Govt</stp>
        <stp>DUR_ADJ_ASK</stp>
        <stp>[BondCurveFitting.xlsm]US_TREASURY_TYPE1!R39C29</stp>
        <stp>YLD_YTM_ASK=2.905924</stp>
        <stp>YAS_YLD_CONV=3</stp>
        <tr r="AC39" s="4"/>
      </tp>
      <tp>
        <v>2.8671066000000001</v>
        <stp/>
        <stp>##V3_BDPV12</stp>
        <stp>912828QN Govt</stp>
        <stp>YLD_YTM_ASK</stp>
        <stp>[BondCurveFitting.xlsm]US_TREASURY_TYPE1!R15C14</stp>
        <tr r="N15" s="4"/>
      </tp>
      <tp>
        <v>3.0768122</v>
        <stp/>
        <stp>##V3_BDPV12</stp>
        <stp>912828V9 Govt</stp>
        <stp>YLD_YTM_ASK</stp>
        <stp>[BondCurveFitting.xlsm]US_TREASURY_TYPE1!R87C14</stp>
        <tr r="N87" s="4"/>
      </tp>
      <tp>
        <v>2.9503712000000002</v>
        <stp/>
        <stp>##V3_BDPV12</stp>
        <stp>912828V8 Govt</stp>
        <stp>YLD_YTM_ASK</stp>
        <stp>[BondCurveFitting.xlsm]US_TREASURY_TYPE1!R68C14</stp>
        <tr r="N68" s="4"/>
      </tp>
      <tp>
        <v>2.9047529000000001</v>
        <stp/>
        <stp>##V3_BDPV12</stp>
        <stp>912828V7 Govt</stp>
        <stp>YLD_YTM_ASK</stp>
        <stp>[BondCurveFitting.xlsm]US_TREASURY_TYPE1!R35C14</stp>
        <tr r="N35" s="4"/>
      </tp>
      <tp>
        <v>2.9478502999999998</v>
        <stp/>
        <stp>##V3_BDPV12</stp>
        <stp>912828V2 Govt</stp>
        <stp>YLD_YTM_ASK</stp>
        <stp>[BondCurveFitting.xlsm]US_TREASURY_TYPE1!R67C14</stp>
        <tr r="N67" s="4"/>
      </tp>
      <tp>
        <v>3.3120742999999999</v>
        <stp/>
        <stp>##V3_BDPV12</stp>
        <stp>912810QQ Govt</stp>
        <stp>YLD_YTM_ASK</stp>
        <stp>[BondCurveFitting.xlsm]US_TREASURY_TYPE1!R110C14</stp>
        <tr r="N110" s="4"/>
      </tp>
      <tp>
        <v>3.3585286999999999</v>
        <stp/>
        <stp>##V3_BDPV12</stp>
        <stp>912810RQ Govt</stp>
        <stp>YLD_YTM_ASK</stp>
        <stp>[BondCurveFitting.xlsm]US_TREASURY_TYPE1!R129C14</stp>
        <tr r="N129" s="4"/>
      </tp>
      <tp>
        <v>2.9343545</v>
        <stp/>
        <stp>##V3_BDPV12</stp>
        <stp>912828VS Govt</stp>
        <stp>YLD_YTM_ASK</stp>
        <stp>[BondCurveFitting.xlsm]US_TREASURY_TYPE1!R61C14</stp>
        <tr r="N61" s="4"/>
      </tp>
      <tp>
        <v>2.9278947</v>
        <stp/>
        <stp>##V3_BDPV12</stp>
        <stp>912828VB Govt</stp>
        <stp>YLD_YTM_ASK</stp>
        <stp>[BondCurveFitting.xlsm]US_TREASURY_TYPE1!R56C14</stp>
        <tr r="N56" s="4"/>
      </tp>
      <tp>
        <v>2.9057078999999999</v>
        <stp/>
        <stp>##V3_BDPV12</stp>
        <stp>912828W5 Govt</stp>
        <stp>YLD_YTM_ASK</stp>
        <stp>[BondCurveFitting.xlsm]US_TREASURY_TYPE1!R38C14</stp>
        <tr r="N38" s="4"/>
      </tp>
      <tp>
        <v>2.9537401999999999</v>
        <stp/>
        <stp>##V3_BDPV12</stp>
        <stp>912828W4 Govt</stp>
        <stp>YLD_YTM_ASK</stp>
        <stp>[BondCurveFitting.xlsm]US_TREASURY_TYPE1!R70C14</stp>
        <tr r="N70" s="4"/>
      </tp>
      <tp>
        <v>3.3509525999999998</v>
        <stp/>
        <stp>##V3_BDPV12</stp>
        <stp>912810RP Govt</stp>
        <stp>YLD_YTM_ASK</stp>
        <stp>[BondCurveFitting.xlsm]US_TREASURY_TYPE1!R128C14</stp>
        <tr r="N128" s="4"/>
      </tp>
      <tp>
        <v>2.9102915999999999</v>
        <stp/>
        <stp>##V3_BDPV12</stp>
        <stp>912828WZ Govt</stp>
        <stp>YLD_YTM_ASK</stp>
        <stp>[BondCurveFitting.xlsm]US_TREASURY_TYPE1!R40C14</stp>
        <tr r="N40" s="4"/>
      </tp>
      <tp>
        <v>2.8867912000000002</v>
        <stp/>
        <stp>##V3_BDPV12</stp>
        <stp>912828WY Govt</stp>
        <stp>YLD_YTM_ASK</stp>
        <stp>[BondCurveFitting.xlsm]US_TREASURY_TYPE1!R21C14</stp>
        <tr r="N21" s="4"/>
      </tp>
      <tp>
        <v>2.8781474</v>
        <stp/>
        <stp>##V3_BDPV12</stp>
        <stp>912828WR Govt</stp>
        <stp>YLD_YTM_ASK</stp>
        <stp>[BondCurveFitting.xlsm]US_TREASURY_TYPE1!R19C14</stp>
        <tr r="N19" s="4"/>
      </tp>
      <tp>
        <v>2.8771428000000001</v>
        <stp/>
        <stp>##V3_BDPV12</stp>
        <stp>912828WN Govt</stp>
        <stp>YLD_YTM_ASK</stp>
        <stp>[BondCurveFitting.xlsm]US_TREASURY_TYPE1!R17C14</stp>
        <tr r="N17" s="4"/>
      </tp>
      <tp>
        <v>2.9604637</v>
        <stp/>
        <stp>##V3_BDPV12</stp>
        <stp>912828WJ Govt</stp>
        <stp>YLD_YTM_ASK</stp>
        <stp>[BondCurveFitting.xlsm]US_TREASURY_TYPE1!R71C14</stp>
        <tr r="N71" s="4"/>
      </tp>
      <tp>
        <v>2.9412425</v>
        <stp/>
        <stp>##V3_BDPV12</stp>
        <stp>912828WE Govt</stp>
        <stp>YLD_YTM_ASK</stp>
        <stp>[BondCurveFitting.xlsm]US_TREASURY_TYPE1!R65C14</stp>
        <tr r="N65" s="4"/>
      </tp>
      <tp>
        <v>2.9434481999999997</v>
        <stp/>
        <stp>##V3_BDPV12</stp>
        <stp>912828T9 Govt</stp>
        <stp>YLD_YTM_ASK</stp>
        <stp>[BondCurveFitting.xlsm]US_TREASURY_TYPE1!R64C14</stp>
        <tr r="N64" s="4"/>
      </tp>
      <tp>
        <v>2.8994609000000002</v>
        <stp/>
        <stp>##V3_BDPV12</stp>
        <stp>912828T6 Govt</stp>
        <stp>YLD_YTM_ASK</stp>
        <stp>[BondCurveFitting.xlsm]US_TREASURY_TYPE1!R27C14</stp>
        <tr r="N27" s="4"/>
      </tp>
      <tp>
        <v>2.8922422000000001</v>
        <stp/>
        <stp>##V3_BDPV12</stp>
        <stp>912828T3 Govt</stp>
        <stp>YLD_YTM_ASK</stp>
        <stp>[BondCurveFitting.xlsm]US_TREASURY_TYPE1!R25C14</stp>
        <tr r="N25" s="4"/>
      </tp>
      <tp>
        <v>2.9399024000000002</v>
        <stp/>
        <stp>##V3_BDPV12</stp>
        <stp>912828T2 Govt</stp>
        <stp>YLD_YTM_ASK</stp>
        <stp>[BondCurveFitting.xlsm]US_TREASURY_TYPE1!R63C14</stp>
        <tr r="N63" s="4"/>
      </tp>
      <tp>
        <v>3.3178583000000001</v>
        <stp/>
        <stp>##V3_BDPV12</stp>
        <stp>912810QS Govt</stp>
        <stp>YLD_YTM_ASK</stp>
        <stp>[BondCurveFitting.xlsm]US_TREASURY_TYPE1!R111C14</stp>
        <tr r="N111" s="4"/>
      </tp>
      <tp>
        <v>3.3591997</v>
        <stp/>
        <stp>##V3_BDPV12</stp>
        <stp>912810RS Govt</stp>
        <stp>YLD_YTM_ASK</stp>
        <stp>[BondCurveFitting.xlsm]US_TREASURY_TYPE1!R130C14</stp>
        <tr r="N130" s="4"/>
      </tp>
      <tp>
        <v>2.9261898999999998</v>
        <stp/>
        <stp>##V3_BDPV12</stp>
        <stp>912828TY Govt</stp>
        <stp>YLD_YTM_ASK</stp>
        <stp>[BondCurveFitting.xlsm]US_TREASURY_TYPE1!R49C14</stp>
        <tr r="N49" s="4"/>
      </tp>
      <tp>
        <v>2.9187840999999999</v>
        <stp/>
        <stp>##V3_BDPV12</stp>
        <stp>912828TJ Govt</stp>
        <stp>YLD_YTM_ASK</stp>
        <stp>[BondCurveFitting.xlsm]US_TREASURY_TYPE1!R45C14</stp>
        <tr r="N45" s="4"/>
      </tp>
      <tp>
        <v>2.8981425000000001</v>
        <stp/>
        <stp>##V3_BDPV12</stp>
        <stp>912828U8 Govt</stp>
        <stp>YLD_YTM_ASK</stp>
        <stp>[BondCurveFitting.xlsm]US_TREASURY_TYPE1!R33C14</stp>
        <tr r="N33" s="4"/>
      </tp>
      <tp>
        <v>2.8994213000000002</v>
        <stp/>
        <stp>##V3_BDPV12</stp>
        <stp>912828U6 Govt</stp>
        <stp>YLD_YTM_ASK</stp>
        <stp>[BondCurveFitting.xlsm]US_TREASURY_TYPE1!R30C14</stp>
        <tr r="N30" s="4"/>
      </tp>
      <tp>
        <v>2.9463772000000001</v>
        <stp/>
        <stp>##V3_BDPV12</stp>
        <stp>912828U5 Govt</stp>
        <stp>YLD_YTM_ASK</stp>
        <stp>[BondCurveFitting.xlsm]US_TREASURY_TYPE1!R66C14</stp>
        <tr r="N66" s="4"/>
      </tp>
      <tp>
        <v>3.0691948999999998</v>
        <stp/>
        <stp>##V3_BDPV12</stp>
        <stp>912828U2 Govt</stp>
        <stp>YLD_YTM_ASK</stp>
        <stp>[BondCurveFitting.xlsm]US_TREASURY_TYPE1!R85C14</stp>
        <tr r="N85" s="4"/>
      </tp>
      <tp>
        <v>2.9271929999999999</v>
        <stp/>
        <stp>##V3_BDPV12</stp>
        <stp>912828UN Govt</stp>
        <stp>YLD_YTM_ASK</stp>
        <stp>[BondCurveFitting.xlsm]US_TREASURY_TYPE1!R52C14</stp>
        <tr r="N52" s="4"/>
      </tp>
    </main>
    <main first="bloomberg.rtd">
      <tp>
        <v>6.2976667072554449</v>
        <stp/>
        <stp>##V3_BDPV12</stp>
        <stp>912828R3 Govt</stp>
        <stp>YAS_RISK</stp>
        <stp>[BondCurveFitting.xlsm]US_TREASURY_TYPE1!R81C25</stp>
        <stp>YLD_YTM_ASK=3.047274</stp>
        <stp>YAS_YLD_CONV=3</stp>
        <tr r="Y81" s="4"/>
      </tp>
      <tp>
        <v>3.1201026728091108</v>
        <stp/>
        <stp>##V3_BDPV12</stp>
        <stp>912828J7 Govt</stp>
        <stp>YAS_RISK</stp>
        <stp>[BondCurveFitting.xlsm]US_TREASURY_TYPE1!R39C25</stp>
        <stp>YLD_YTM_ASK=2.905924</stp>
        <stp>YAS_YLD_CONV=3</stp>
        <tr r="Y39" s="4"/>
      </tp>
      <tp>
        <v>2.2253104977338012</v>
        <stp/>
        <stp>##V3_BDPV12</stp>
        <stp>912828Q3 Govt</stp>
        <stp>YAS_RISK</stp>
        <stp>[BondCurveFitting.xlsm]US_TREASURY_TYPE1!R12C25</stp>
        <stp>YLD_YTM_ASK=2.862569</stp>
        <stp>YAS_YLD_CONV=3</stp>
        <tr r="Y12" s="4"/>
      </tp>
      <tp>
        <v>2.9246711276655901</v>
        <stp/>
        <stp>##V3_BDPV12</stp>
        <stp>912828G8 Govt</stp>
        <stp>YAS_RISK</stp>
        <stp>[BondCurveFitting.xlsm]US_TREASURY_TYPE1!R32C25</stp>
        <stp>YLD_YTM_ASK=2.899277</stp>
        <stp>YAS_YLD_CONV=3</stp>
        <tr r="Y32" s="4"/>
      </tp>
      <tp>
        <v>4.1811254274747967</v>
        <stp/>
        <stp>##V3_BDPV12</stp>
        <stp>912828S9 Govt</stp>
        <stp>YAS_RISK</stp>
        <stp>[BondCurveFitting.xlsm]US_TREASURY_TYPE1!R59C25</stp>
        <stp>YLD_YTM_ASK=2.937196</stp>
        <stp>YAS_YLD_CONV=3</stp>
        <tr r="Y59" s="4"/>
      </tp>
      <tp>
        <v>6.124401111584632</v>
        <stp/>
        <stp>##V3_BDPV12</stp>
        <stp>912828P4 Govt</stp>
        <stp>YAS_RISK</stp>
        <stp>[BondCurveFitting.xlsm]US_TREASURY_TYPE1!R80C25</stp>
        <stp>YLD_YTM_ASK=3.039546</stp>
        <stp>YAS_YLD_CONV=3</stp>
        <tr r="Y80" s="4"/>
      </tp>
      <tp>
        <v>2.1303813898491497</v>
        <stp/>
        <stp>##V3_BDPV12</stp>
        <stp>912828PX Govt</stp>
        <stp>DUR_ADJ_ASK</stp>
        <stp>[BondCurveFitting.xlsm]US_TREASURY_TYPE1!R9C29</stp>
        <stp>YLD_YTM_ASK=2.853771</stp>
        <stp>YAS_YLD_CONV=3</stp>
        <tr r="AC9" s="4"/>
      </tp>
      <tp>
        <v>4.6334274916333129</v>
        <stp/>
        <stp>##V3_BDPV12</stp>
        <stp>912828V2 Govt</stp>
        <stp>YAS_RISK</stp>
        <stp>[BondCurveFitting.xlsm]US_TREASURY_TYPE1!R67C25</stp>
        <stp>YLD_YTM_ASK=2.9478503</stp>
        <stp>YAS_YLD_CONV=3</stp>
        <tr r="Y67" s="4"/>
      </tp>
      <tp>
        <v>5.4769580028050768</v>
        <stp/>
        <stp>##V3_BDPV12</stp>
        <stp>912828J2 Govt</stp>
        <stp>YAS_RISK</stp>
        <stp>[BondCurveFitting.xlsm]US_TREASURY_TYPE1!R74C25</stp>
        <stp>YLD_YTM_ASK=2.9978618</stp>
        <stp>YAS_YLD_CONV=3</stp>
        <tr r="Y74" s="4"/>
      </tp>
      <tp>
        <v>6.9884570749948693</v>
        <stp/>
        <stp>##V3_BDPV12</stp>
        <stp>912828V9 Govt</stp>
        <stp>YAS_RISK</stp>
        <stp>[BondCurveFitting.xlsm]US_TREASURY_TYPE1!R87C25</stp>
        <stp>YLD_YTM_ASK=3.0768122</stp>
        <stp>YAS_YLD_CONV=3</stp>
        <tr r="Y87" s="4"/>
      </tp>
      <tp>
        <v>4.2589743330822216</v>
        <stp/>
        <stp>##V3_BDPV12</stp>
        <stp>9128282D Govt</stp>
        <stp>YAS_RISK</stp>
        <stp>[BondCurveFitting.xlsm]US_TREASURY_TYPE1!R62C25</stp>
        <stp>YLD_YTM_ASK=2.9388056</stp>
        <stp>YAS_YLD_CONV=3</stp>
        <tr r="Y62" s="4"/>
      </tp>
      <tp>
        <v>3.8689308416678614</v>
        <stp/>
        <stp>##V3_BDPV12</stp>
        <stp>912828P7 Govt</stp>
        <stp>YAS_RISK</stp>
        <stp>[BondCurveFitting.xlsm]US_TREASURY_TYPE1!R53C25</stp>
        <stp>YLD_YTM_ASK=2.9328161</stp>
        <stp>YAS_YLD_CONV=3</stp>
        <tr r="Y53" s="4"/>
      </tp>
      <tp>
        <v>4.0661045641599003</v>
        <stp/>
        <stp>##V3_BDPV12</stp>
        <stp>912828VB Govt</stp>
        <stp>YAS_RISK</stp>
        <stp>[BondCurveFitting.xlsm]US_TREASURY_TYPE1!R56C25</stp>
        <stp>YLD_YTM_ASK=2.9278947</stp>
        <stp>YAS_YLD_CONV=3</stp>
        <tr r="Y56" s="4"/>
      </tp>
      <tp>
        <v>2.3768068535993336</v>
        <stp/>
        <stp>##V3_BDPV12</stp>
        <stp>912828R7 Govt</stp>
        <stp>YAS_RISK</stp>
        <stp>[BondCurveFitting.xlsm]US_TREASURY_TYPE1!R16C25</stp>
        <stp>YLD_YTM_ASK=2.8789266</stp>
        <stp>YAS_YLD_CONV=3</stp>
        <tr r="Y16" s="4"/>
      </tp>
      <tp>
        <v>4.3250673940363527</v>
        <stp/>
        <stp>##V3_BDPV12</stp>
        <stp>912828T2 Govt</stp>
        <stp>YAS_RISK</stp>
        <stp>[BondCurveFitting.xlsm]US_TREASURY_TYPE1!R63C25</stp>
        <stp>YLD_YTM_ASK=2.9399024</stp>
        <stp>YAS_YLD_CONV=3</stp>
        <tr r="Y63" s="4"/>
      </tp>
      <tp>
        <v>3.028201180744361</v>
        <stp/>
        <stp>##V3_BDPV12</stp>
        <stp>912828SF Govt</stp>
        <stp>YAS_RISK</stp>
        <stp>[BondCurveFitting.xlsm]US_TREASURY_TYPE1!R36C25</stp>
        <stp>YLD_YTM_ASK=2.8979419</stp>
        <stp>YAS_YLD_CONV=3</stp>
        <tr r="Y36" s="4"/>
      </tp>
      <tp>
        <v>2.9641143285459748</v>
        <stp/>
        <stp>##V3_BDPV12</stp>
        <stp>912828H8 Govt</stp>
        <stp>YAS_RISK</stp>
        <stp>[BondCurveFitting.xlsm]US_TREASURY_TYPE1!R34C25</stp>
        <stp>YLD_YTM_ASK=2.9049853</stp>
        <stp>YAS_YLD_CONV=3</stp>
        <tr r="Y34" s="4"/>
      </tp>
      <tp>
        <v>15.676850832593203</v>
        <stp/>
        <stp>##V3_BDPV12</stp>
        <stp>912810PW Govt</stp>
        <stp>YAS_RISK</stp>
        <stp>[BondCurveFitting.xlsm]US_TREASURY_TYPE1!R99C25</stp>
        <stp>YLD_YTM_ASK=3.2309869</stp>
        <stp>YAS_YLD_CONV=3</stp>
        <tr r="Y99" s="4"/>
      </tp>
      <tp>
        <v>8.3299739339970813</v>
        <stp/>
        <stp>##V3_BDPV12</stp>
        <stp>912810EZ Govt</stp>
        <stp>YAS_RISK</stp>
        <stp>[BondCurveFitting.xlsm]US_TREASURY_TYPE1!R86C25</stp>
        <stp>YLD_YTM_ASK=3.0309878</stp>
        <stp>YAS_YLD_CONV=3</stp>
        <tr r="Y86" s="4"/>
      </tp>
      <tp>
        <v>2.1853487046556097</v>
        <stp/>
        <stp>##V3_BDPV12</stp>
        <stp>912828PX Govt</stp>
        <stp>YAS_RISK</stp>
        <stp>[BondCurveFitting.xlsm]US_TREASURY_TYPE1!R9C25</stp>
        <stp>YLD_YTM_ASK=2.853771</stp>
        <stp>YAS_YLD_CONV=3</stp>
        <tr r="Y9" s="4"/>
      </tp>
      <tp>
        <v>10.501283274592765</v>
        <stp/>
        <stp>##V3_BDPV12</stp>
        <stp>912810FJ Govt</stp>
        <stp>YAS_RISK</stp>
        <stp>[BondCurveFitting.xlsm]US_TREASURY_TYPE1!R93C25</stp>
        <stp>YLD_YTM_ASK=3.1218901</stp>
        <stp>YAS_YLD_CONV=3</stp>
        <tr r="Y93" s="4"/>
      </tp>
      <tp>
        <v>15.506565283617846</v>
        <stp/>
        <stp>##V3_BDPV12</stp>
        <stp>912810PT Govt</stp>
        <stp>YAS_RISK</stp>
        <stp>[BondCurveFitting.xlsm]US_TREASURY_TYPE1!R97C25</stp>
        <stp>YLD_YTM_ASK=3.2068304</stp>
        <stp>YAS_YLD_CONV=3</stp>
        <tr r="Y97" s="4"/>
      </tp>
      <tp>
        <v>9.3194531178035334</v>
        <stp/>
        <stp>##V3_BDPV12</stp>
        <stp>912810FE Govt</stp>
        <stp>YAS_RISK</stp>
        <stp>[BondCurveFitting.xlsm]US_TREASURY_TYPE1!R90C25</stp>
        <stp>YLD_YTM_ASK=3.1038676</stp>
        <stp>YAS_YLD_CONV=3</stp>
        <tr r="Y90" s="4"/>
      </tp>
      <tp>
        <v>2.8537710000000001</v>
        <stp/>
        <stp>##V3_BDPV12</stp>
        <stp>912828PX Govt</stp>
        <stp>YLD_YTM_ASK</stp>
        <stp>[BondCurveFitting.xlsm]US_TREASURY_TYPE1!R9C14</stp>
        <tr r="N9" s="4"/>
      </tp>
      <tp>
        <v>2.8644356000000002</v>
        <stp/>
        <stp>##V3_BDPV12</stp>
        <stp>912828N8 Govt</stp>
        <stp>YLD_YTM_ASK</stp>
        <stp>[BondCurveFitting.xlsm]US_TREASURY_TYPE1!R7C14</stp>
        <tr r="N7" s="4"/>
      </tp>
      <tp>
        <v>2.8598938</v>
        <stp/>
        <stp>##V3_BDPV12</stp>
        <stp>912828B5 Govt</stp>
        <stp>YLD_YTM_ASK</stp>
        <stp>[BondCurveFitting.xlsm]US_TREASURY_TYPE1!R8C14</stp>
        <tr r="N8" s="4"/>
      </tp>
      <tp>
        <v>7.8723473763389507</v>
        <stp/>
        <stp>##V3_BDPV12</stp>
        <stp>912810EX Govt</stp>
        <stp>YAS_RISK</stp>
        <stp>[BondCurveFitting.xlsm]US_TREASURY_TYPE1!R82C25</stp>
        <stp>YLD_YTM_ASK=3.0093846</stp>
        <stp>YAS_YLD_CONV=3</stp>
        <tr r="Y82" s="4"/>
      </tp>
      <tp>
        <v>3.3607158319838959</v>
        <stp/>
        <stp>##V3_BDPV12</stp>
        <stp>912828XG Govt</stp>
        <stp>YAS_RISK</stp>
        <stp>[BondCurveFitting.xlsm]US_TREASURY_TYPE1!R43C25</stp>
        <stp>YLD_YTM_ASK=2.9140407</stp>
        <stp>YAS_YLD_CONV=3</stp>
        <tr r="Y43" s="4"/>
      </tp>
      <tp>
        <v>3.9366528451566296</v>
        <stp/>
        <stp>##V3_BDPV12</stp>
        <stp>912828Q2 Govt</stp>
        <stp>YAS_RISK</stp>
        <stp>[BondCurveFitting.xlsm]US_TREASURY_TYPE1!R54C25</stp>
        <stp>YLD_YTM_ASK=2.9360324</stp>
        <stp>YAS_YLD_CONV=3</stp>
        <tr r="Y54" s="4"/>
      </tp>
      <tp>
        <v>2.2571906024808186</v>
        <stp/>
        <stp>##V3_BDPV12</stp>
        <stp>912828C5 Govt</stp>
        <stp>YAS_RISK</stp>
        <stp>[BondCurveFitting.xlsm]US_TREASURY_TYPE1!R13C25</stp>
        <stp>YLD_YTM_ASK=2.8670888</stp>
        <stp>YAS_YLD_CONV=3</stp>
        <tr r="Y13" s="4"/>
      </tp>
      <tp>
        <v>3.7061205575646738</v>
        <stp/>
        <stp>##V3_BDPV12</stp>
        <stp>912828M8 Govt</stp>
        <stp>YAS_RISK</stp>
        <stp>[BondCurveFitting.xlsm]US_TREASURY_TYPE1!R50C25</stp>
        <stp>YLD_YTM_ASK=2.9250879</stp>
        <stp>YAS_YLD_CONV=3</stp>
        <tr r="Y50" s="4"/>
      </tp>
      <tp>
        <v>11.266704800476646</v>
        <stp/>
        <stp>##V3_BDPV12</stp>
        <stp>912810FM Govt</stp>
        <stp>YAS_RISK</stp>
        <stp>[BondCurveFitting.xlsm]US_TREASURY_TYPE1!R94C25</stp>
        <stp>YLD_YTM_ASK=3.1253541</stp>
        <stp>YAS_YLD_CONV=3</stp>
        <tr r="Y94" s="4"/>
      </tp>
      <tp>
        <v>3.2281404700370331</v>
        <stp/>
        <stp>##V3_BDPV12</stp>
        <stp>912828SV Govt</stp>
        <stp>YAS_RISK</stp>
        <stp>[BondCurveFitting.xlsm]US_TREASURY_TYPE1!R41C25</stp>
        <stp>YLD_YTM_ASK=2.9091658</stp>
        <stp>YAS_YLD_CONV=3</stp>
        <tr r="Y41" s="4"/>
      </tp>
      <tp>
        <v>2.5841820882604338</v>
        <stp/>
        <stp>##V3_BDPV12</stp>
        <stp>9128282F Govt</stp>
        <stp>YAS_RISK</stp>
        <stp>[BondCurveFitting.xlsm]US_TREASURY_TYPE1!R23C25</stp>
        <stp>YLD_YTM_ASK=2.8961125</stp>
        <stp>YAS_YLD_CONV=3</stp>
        <tr r="Y23" s="4"/>
      </tp>
      <tp>
        <v>2.4024790307194621</v>
        <stp/>
        <stp>##V3_BDPV12</stp>
        <stp>912828QN Govt</stp>
        <stp>YAS_RISK</stp>
        <stp>[BondCurveFitting.xlsm]US_TREASURY_TYPE1!R15C25</stp>
        <stp>YLD_YTM_ASK=2.8671066</stp>
        <stp>YAS_YLD_CONV=3</stp>
        <tr r="Y15" s="4"/>
      </tp>
      <tp>
        <v>2.9182271245424829</v>
        <stp/>
        <stp>##V3_BDPV12</stp>
        <stp>912828U8 Govt</stp>
        <stp>YAS_RISK</stp>
        <stp>[BondCurveFitting.xlsm]US_TREASURY_TYPE1!R33C25</stp>
        <stp>YLD_YTM_ASK=2.8981425</stp>
        <stp>YAS_YLD_CONV=3</stp>
        <tr r="Y33" s="4"/>
      </tp>
      <tp>
        <v>5.1530766481995727</v>
        <stp/>
        <stp>##V3_BDPV12</stp>
        <stp>912828D5 Govt</stp>
        <stp>YAS_RISK</stp>
        <stp>[BondCurveFitting.xlsm]US_TREASURY_TYPE1!R72C25</stp>
        <stp>YLD_YTM_ASK=2.9761261</stp>
        <stp>YAS_YLD_CONV=3</stp>
        <tr r="Y72" s="4"/>
      </tp>
      <tp>
        <v>2.399520675915312</v>
        <stp/>
        <stp>##V3_BDPV12</stp>
        <stp>912828WN Govt</stp>
        <stp>YAS_RISK</stp>
        <stp>[BondCurveFitting.xlsm]US_TREASURY_TYPE1!R17C25</stp>
        <stp>YLD_YTM_ASK=2.8771428</stp>
        <stp>YAS_YLD_CONV=3</stp>
        <tr r="Y17" s="4"/>
      </tp>
      <tp>
        <v>2.4801384856480979</v>
        <stp/>
        <stp>##V3_BDPV12</stp>
        <stp>912828WR Govt</stp>
        <stp>YAS_RISK</stp>
        <stp>[BondCurveFitting.xlsm]US_TREASURY_TYPE1!R19C25</stp>
        <stp>YLD_YTM_ASK=2.8781474</stp>
        <stp>YAS_YLD_CONV=3</stp>
        <tr r="Y19" s="4"/>
      </tp>
      <tp>
        <v>2.1733780894102495</v>
        <stp/>
        <stp>##V3_BDPV12</stp>
        <stp>912828B9 Govt</stp>
        <stp>YAS_RISK</stp>
        <stp>[BondCurveFitting.xlsm]US_TREASURY_TYPE1!R11C25</stp>
        <stp>YLD_YTM_ASK=2.8661905</stp>
        <stp>YAS_YLD_CONV=3</stp>
        <tr r="Y11" s="4"/>
      </tp>
      <tp>
        <v>6.740672688783178</v>
        <stp/>
        <stp>##V3_BDPV12</stp>
        <stp>912828U2 Govt</stp>
        <stp>YAS_RISK</stp>
        <stp>[BondCurveFitting.xlsm]US_TREASURY_TYPE1!R85C25</stp>
        <stp>YLD_YTM_ASK=3.0691949</stp>
        <stp>YAS_YLD_CONV=3</stp>
        <tr r="Y85" s="4"/>
      </tp>
      <tp>
        <v>8.8680718135186964</v>
        <stp/>
        <stp>##V3_BDPV12</stp>
        <stp>912810FB Govt</stp>
        <stp>YAS_RISK</stp>
        <stp>[BondCurveFitting.xlsm]US_TREASURY_TYPE1!R89C25</stp>
        <stp>YLD_YTM_ASK=3.0822162</stp>
        <stp>YAS_YLD_CONV=3</stp>
        <tr r="Y89" s="4"/>
      </tp>
      <tp>
        <v>11.437005984689819</v>
        <stp/>
        <stp>##V3_BDPV12</stp>
        <stp>912810FP Govt</stp>
        <stp>YAS_RISK</stp>
        <stp>[BondCurveFitting.xlsm]US_TREASURY_TYPE1!R95C25</stp>
        <stp>YLD_YTM_ASK=3.1382462</stp>
        <stp>YAS_YLD_CONV=3</stp>
        <tr r="Y95" s="4"/>
      </tp>
      <tp>
        <v>3.6403472209322274</v>
        <stp/>
        <stp>##V3_BDPV12</stp>
        <stp>912828TY Govt</stp>
        <stp>YAS_RISK</stp>
        <stp>[BondCurveFitting.xlsm]US_TREASURY_TYPE1!R49C25</stp>
        <stp>YLD_YTM_ASK=2.9261899</stp>
        <stp>YAS_YLD_CONV=3</stp>
        <tr r="Y49" s="4"/>
      </tp>
      <tp>
        <v>4.5925372555210231</v>
        <stp/>
        <stp>##V3_BDPV12</stp>
        <stp>912828WE Govt</stp>
        <stp>YAS_RISK</stp>
        <stp>[BondCurveFitting.xlsm]US_TREASURY_TYPE1!R65C25</stp>
        <stp>YLD_YTM_ASK=2.9412425</stp>
        <stp>YAS_YLD_CONV=3</stp>
        <tr r="Y65" s="4"/>
      </tp>
      <tp>
        <v>3.4246855216331085</v>
        <stp/>
        <stp>##V3_BDPV12</stp>
        <stp>912828XQ Govt</stp>
        <stp>YAS_RISK</stp>
        <stp>[BondCurveFitting.xlsm]US_TREASURY_TYPE1!R44C25</stp>
        <stp>YLD_YTM_ASK=2.9152516</stp>
        <stp>YAS_YLD_CONV=3</stp>
        <tr r="Y44" s="4"/>
      </tp>
      <tp>
        <v>2.656838747960677</v>
        <stp/>
        <stp>##V3_BDPV12</stp>
        <stp>912828T3 Govt</stp>
        <stp>YAS_RISK</stp>
        <stp>[BondCurveFitting.xlsm]US_TREASURY_TYPE1!R25C25</stp>
        <stp>YLD_YTM_ASK=2.8922422</stp>
        <stp>YAS_YLD_CONV=3</stp>
        <tr r="Y25" s="4"/>
      </tp>
      <tp>
        <v>5.3277798485801497</v>
        <stp/>
        <stp>##V3_BDPV12</stp>
        <stp>912828G3 Govt</stp>
        <stp>YAS_RISK</stp>
        <stp>[BondCurveFitting.xlsm]US_TREASURY_TYPE1!R73C25</stp>
        <stp>YLD_YTM_ASK=2.9892245</stp>
        <stp>YAS_YLD_CONV=3</stp>
        <tr r="Y73" s="4"/>
      </tp>
      <tp>
        <v>2.5144968293346892</v>
        <stp/>
        <stp>##V3_BDPV12</stp>
        <stp>912828S7 Govt</stp>
        <stp>YAS_RISK</stp>
        <stp>[BondCurveFitting.xlsm]US_TREASURY_TYPE1!R20C25</stp>
        <stp>YLD_YTM_ASK=2.8892763</stp>
        <stp>YAS_YLD_CONV=3</stp>
        <tr r="Y20" s="4"/>
      </tp>
      <tp>
        <v>5.849728784890118</v>
        <stp/>
        <stp>##V3_BDPV12</stp>
        <stp>912828K7 Govt</stp>
        <stp>YAS_RISK</stp>
        <stp>[BondCurveFitting.xlsm]US_TREASURY_TYPE1!R77C25</stp>
        <stp>YLD_YTM_ASK=3.0202194</stp>
        <stp>YAS_YLD_CONV=3</stp>
        <tr r="Y77" s="4"/>
      </tp>
      <tp>
        <v>3.8251164601298626</v>
        <stp/>
        <stp>##V3_BDPV12</stp>
        <stp>912828P3 Govt</stp>
        <stp>YAS_RISK</stp>
        <stp>[BondCurveFitting.xlsm]US_TREASURY_TYPE1!R51C25</stp>
        <stp>YLD_YTM_ASK=2.9322865</stp>
        <stp>YAS_YLD_CONV=3</stp>
        <tr r="Y51" s="4"/>
      </tp>
      <tp>
        <v>3.1925393265808566</v>
        <stp/>
        <stp>##V3_BDPV12</stp>
        <stp>912828WZ Govt</stp>
        <stp>YAS_RISK</stp>
        <stp>[BondCurveFitting.xlsm]US_TREASURY_TYPE1!R40C25</stp>
        <stp>YLD_YTM_ASK=2.9102916</stp>
        <stp>YAS_YLD_CONV=3</stp>
        <tr r="Y40" s="4"/>
      </tp>
      <tp>
        <v>4.3537997137278239</v>
        <stp/>
        <stp>##V3_BDPV12</stp>
        <stp>912828VS Govt</stp>
        <stp>YAS_RISK</stp>
        <stp>[BondCurveFitting.xlsm]US_TREASURY_TYPE1!R61C25</stp>
        <stp>YLD_YTM_ASK=2.9343545</stp>
        <stp>YAS_YLD_CONV=3</stp>
        <tr r="Y61" s="4"/>
      </tp>
      <tp>
        <v>4.548689239908299</v>
        <stp/>
        <stp>##V3_BDPV12</stp>
        <stp>912828U5 Govt</stp>
        <stp>YAS_RISK</stp>
        <stp>[BondCurveFitting.xlsm]US_TREASURY_TYPE1!R66C25</stp>
        <stp>YLD_YTM_ASK=2.9463772</stp>
        <stp>YAS_YLD_CONV=3</stp>
        <tr r="Y66" s="4"/>
      </tp>
      <tp>
        <v>4.7021497078944208</v>
        <stp/>
        <stp>##V3_BDPV12</stp>
        <stp>912828V8 Govt</stp>
        <stp>YAS_RISK</stp>
        <stp>[BondCurveFitting.xlsm]US_TREASURY_TYPE1!R68C25</stp>
        <stp>YLD_YTM_ASK=2.9503712</stp>
        <stp>YAS_YLD_CONV=3</stp>
        <tr r="Y68" s="4"/>
      </tp>
      <tp>
        <v>3.2713978408956734</v>
        <stp/>
        <stp>##V3_BDPV12</stp>
        <stp>912828XD Govt</stp>
        <stp>YAS_RISK</stp>
        <stp>[BondCurveFitting.xlsm]US_TREASURY_TYPE1!R42C25</stp>
        <stp>YLD_YTM_ASK=2.9113462</stp>
        <stp>YAS_YLD_CONV=3</stp>
        <tr r="Y42" s="4"/>
      </tp>
      <tp>
        <v>6.4347697074708776</v>
        <stp/>
        <stp>##V3_BDPV12</stp>
        <stp>9128282A Govt</stp>
        <stp>YAS_RISK</stp>
        <stp>[BondCurveFitting.xlsm]US_TREASURY_TYPE1!R83C25</stp>
        <stp>YLD_YTM_ASK=3.0573155</stp>
        <stp>YAS_YLD_CONV=3</stp>
        <tr r="Y83" s="4"/>
      </tp>
      <tp>
        <v>4.1279081890536418</v>
        <stp/>
        <stp>##V3_BDPV12</stp>
        <stp>912828S3 Govt</stp>
        <stp>YAS_RISK</stp>
        <stp>[BondCurveFitting.xlsm]US_TREASURY_TYPE1!R58C25</stp>
        <stp>YLD_YTM_ASK=2.9343046</stp>
        <stp>YAS_YLD_CONV=3</stp>
        <tr r="Y58" s="4"/>
      </tp>
      <tp>
        <v>6.0889672405508577</v>
        <stp/>
        <stp>##V3_BDPV12</stp>
        <stp>912828M5 Govt</stp>
        <stp>YAS_RISK</stp>
        <stp>[BondCurveFitting.xlsm]US_TREASURY_TYPE1!R78C25</stp>
        <stp>YLD_YTM_ASK=3.0283594</stp>
        <stp>YAS_YLD_CONV=3</stp>
        <tr r="Y78" s="4"/>
      </tp>
      <tp>
        <v>2.6222987164665312</v>
        <stp/>
        <stp>##V3_BDPV12</stp>
        <stp>912828D7 Govt</stp>
        <stp>YAS_RISK</stp>
        <stp>[BondCurveFitting.xlsm]US_TREASURY_TYPE1!R24C25</stp>
        <stp>YLD_YTM_ASK=2.8893939</stp>
        <stp>YAS_YLD_CONV=3</stp>
        <tr r="Y24" s="4"/>
      </tp>
      <tp>
        <v>3.5446037558301668</v>
        <stp/>
        <stp>##V3_BDPV12</stp>
        <stp>912828L5 Govt</stp>
        <stp>YAS_RISK</stp>
        <stp>[BondCurveFitting.xlsm]US_TREASURY_TYPE1!R47C25</stp>
        <stp>YLD_YTM_ASK=2.9253951</stp>
        <stp>YAS_YLD_CONV=3</stp>
        <tr r="Y47" s="4"/>
      </tp>
      <tp>
        <v>4.4214149512747269</v>
        <stp/>
        <stp>##V3_BDPV12</stp>
        <stp>912828T9 Govt</stp>
        <stp>YAS_RISK</stp>
        <stp>[BondCurveFitting.xlsm]US_TREASURY_TYPE1!R64C25</stp>
        <stp>YLD_YTM_ASK=2.9434482</stp>
        <stp>YAS_YLD_CONV=3</stp>
        <tr r="Y64" s="4"/>
      </tp>
      <tp>
        <v>4.9721026186539063</v>
        <stp/>
        <stp>##V3_BDPV12</stp>
        <stp>912828WJ Govt</stp>
        <stp>YAS_RISK</stp>
        <stp>[BondCurveFitting.xlsm]US_TREASURY_TYPE1!R71C25</stp>
        <stp>YLD_YTM_ASK=2.9604637</stp>
        <stp>YAS_YLD_CONV=3</stp>
        <tr r="Y71" s="4"/>
      </tp>
      <tp>
        <v>9.4324091721134096</v>
        <stp/>
        <stp>##V3_BDPV12</stp>
        <stp>912810FF Govt</stp>
        <stp>YAS_RISK</stp>
        <stp>[BondCurveFitting.xlsm]US_TREASURY_TYPE1!R91C25</stp>
        <stp>YLD_YTM_ASK=3.1117818</stp>
        <stp>YAS_YLD_CONV=3</stp>
        <tr r="Y91" s="4"/>
      </tp>
      <tp>
        <v>2.3040064964348517</v>
        <stp/>
        <stp>##V3_BDPV12</stp>
        <stp>912828Q7 Govt</stp>
        <stp>YAS_RISK</stp>
        <stp>[BondCurveFitting.xlsm]US_TREASURY_TYPE1!R14C25</stp>
        <stp>YLD_YTM_ASK=2.8744067</stp>
        <stp>YAS_YLD_CONV=3</stp>
        <tr r="Y14" s="4"/>
      </tp>
      <tp>
        <v>2.831258709304052</v>
        <stp/>
        <stp>##V3_BDPV12</stp>
        <stp>912828U6 Govt</stp>
        <stp>YAS_RISK</stp>
        <stp>[BondCurveFitting.xlsm]US_TREASURY_TYPE1!R30C25</stp>
        <stp>YLD_YTM_ASK=2.8994213</stp>
        <stp>YAS_YLD_CONV=3</stp>
        <tr r="Y30" s="4"/>
      </tp>
      <tp>
        <v>2.7352213440799744</v>
        <stp/>
        <stp>##V3_BDPV12</stp>
        <stp>912828T6 Govt</stp>
        <stp>YAS_RISK</stp>
        <stp>[BondCurveFitting.xlsm]US_TREASURY_TYPE1!R27C25</stp>
        <stp>YLD_YTM_ASK=2.8994609</stp>
        <stp>YAS_YLD_CONV=3</stp>
        <tr r="Y27" s="4"/>
      </tp>
      <tp>
        <v>2.7017266035173293</v>
        <stp/>
        <stp>##V3_BDPV12</stp>
        <stp>912828F2 Govt</stp>
        <stp>YAS_RISK</stp>
        <stp>[BondCurveFitting.xlsm]US_TREASURY_TYPE1!R26C25</stp>
        <stp>YLD_YTM_ASK=2.8954789</stp>
        <stp>YAS_YLD_CONV=3</stp>
        <tr r="Y26" s="4"/>
      </tp>
      <tp>
        <v>2.8390542410477337</v>
        <stp/>
        <stp>##V3_BDPV12</stp>
        <stp>912828G5 Govt</stp>
        <stp>YAS_RISK</stp>
        <stp>[BondCurveFitting.xlsm]US_TREASURY_TYPE1!R31C25</stp>
        <stp>YLD_YTM_ASK=2.8834802</stp>
        <stp>YAS_YLD_CONV=3</stp>
        <tr r="Y31" s="4"/>
      </tp>
      <tp>
        <v>4.8030165225924293</v>
        <stp/>
        <stp>##V3_BDPV12</stp>
        <stp>912828B6 Govt</stp>
        <stp>YAS_RISK</stp>
        <stp>[BondCurveFitting.xlsm]US_TREASURY_TYPE1!R69C25</stp>
        <stp>YLD_YTM_ASK=2.9484853</stp>
        <stp>YAS_YLD_CONV=3</stp>
        <tr r="Y69" s="4"/>
      </tp>
      <tp>
        <v>8.0462499621383188</v>
        <stp/>
        <stp>##V3_BDPV12</stp>
        <stp>912810EY Govt</stp>
        <stp>YAS_RISK</stp>
        <stp>[BondCurveFitting.xlsm]US_TREASURY_TYPE1!R84C25</stp>
        <stp>YLD_YTM_ASK=3.0217485</stp>
        <stp>YAS_YLD_CONV=3</stp>
        <tr r="Y84" s="4"/>
      </tp>
      <tp>
        <v>3.4832443120876633</v>
        <stp/>
        <stp>##V3_BDPV12</stp>
        <stp>912828L2 Govt</stp>
        <stp>YAS_RISK</stp>
        <stp>[BondCurveFitting.xlsm]US_TREASURY_TYPE1!R46C25</stp>
        <stp>YLD_YTM_ASK=2.9255762</stp>
        <stp>YAS_YLD_CONV=3</stp>
        <tr r="Y46" s="4"/>
      </tp>
      <tp>
        <v>15.965993833346204</v>
        <stp/>
        <stp>##V3_BDPV12</stp>
        <stp>912810PU Govt</stp>
        <stp>YAS_RISK</stp>
        <stp>[BondCurveFitting.xlsm]US_TREASURY_TYPE1!R98C25</stp>
        <stp>YLD_YTM_ASK=3.2106304</stp>
        <stp>YAS_YLD_CONV=3</stp>
        <tr r="Y98" s="4"/>
      </tp>
      <tp>
        <v>7.1892772455377951</v>
        <stp/>
        <stp>##V3_BDPV12</stp>
        <stp>912810EW Govt</stp>
        <stp>YAS_RISK</stp>
        <stp>[BondCurveFitting.xlsm]US_TREASURY_TYPE1!R79C25</stp>
        <stp>YLD_YTM_ASK=2.9976651</stp>
        <stp>YAS_YLD_CONV=3</stp>
        <tr r="Y79" s="4"/>
      </tp>
      <tp>
        <v>4.7790394394837676</v>
        <stp/>
        <stp>##V3_BDPV12</stp>
        <stp>912810EQ Govt</stp>
        <stp>YAS_RISK</stp>
        <stp>[BondCurveFitting.xlsm]US_TREASURY_TYPE1!R60C25</stp>
        <stp>YLD_YTM_ASK=2.9086008</stp>
        <stp>YAS_YLD_CONV=3</stp>
        <tr r="Y60" s="4"/>
      </tp>
      <tp>
        <v>8.7258650153167139</v>
        <stp/>
        <stp>##V3_BDPV12</stp>
        <stp>912810FA Govt</stp>
        <stp>YAS_RISK</stp>
        <stp>[BondCurveFitting.xlsm]US_TREASURY_TYPE1!R88C25</stp>
        <stp>YLD_YTM_ASK=3.0636775</stp>
        <stp>YAS_YLD_CONV=3</stp>
        <tr r="Y88" s="4"/>
      </tp>
      <tp>
        <v>4.018183988807067</v>
        <stp/>
        <stp>##V3_BDPV12</stp>
        <stp>912828R2 Govt</stp>
        <stp>YAS_RISK</stp>
        <stp>[BondCurveFitting.xlsm]US_TREASURY_TYPE1!R55C25</stp>
        <stp>YLD_YTM_ASK=2.9356796</stp>
        <stp>YAS_YLD_CONV=3</stp>
        <tr r="Y55" s="4"/>
      </tp>
      <tp>
        <v>3.6259676927443252</v>
        <stp/>
        <stp>##V3_BDPV12</stp>
        <stp>912828M4 Govt</stp>
        <stp>YAS_RISK</stp>
        <stp>[BondCurveFitting.xlsm]US_TREASURY_TYPE1!R48C25</stp>
        <stp>YLD_YTM_ASK=2.9256613</stp>
        <stp>YAS_YLD_CONV=3</stp>
        <tr r="Y48" s="4"/>
      </tp>
      <tp>
        <v>2.1469395898499499</v>
        <stp/>
        <stp>##V3_BDPV12</stp>
        <stp>912828P8 Govt</stp>
        <stp>YAS_RISK</stp>
        <stp>[BondCurveFitting.xlsm]US_TREASURY_TYPE1!R10C25</stp>
        <stp>YLD_YTM_ASK=2.8656103</stp>
        <stp>YAS_YLD_CONV=3</stp>
        <tr r="Y10" s="4"/>
      </tp>
      <tp>
        <v>3.0481635702876986</v>
        <stp/>
        <stp>##V3_BDPV12</stp>
        <stp>912828J4 Govt</stp>
        <stp>YAS_RISK</stp>
        <stp>[BondCurveFitting.xlsm]US_TREASURY_TYPE1!R37C25</stp>
        <stp>YLD_YTM_ASK=2.9036455</stp>
        <stp>YAS_YLD_CONV=3</stp>
        <tr r="Y37" s="4"/>
      </tp>
      <tp>
        <v>4.0855738000523445</v>
        <stp/>
        <stp>##V3_BDPV12</stp>
        <stp>912828R6 Govt</stp>
        <stp>YAS_RISK</stp>
        <stp>[BondCurveFitting.xlsm]US_TREASURY_TYPE1!R57C25</stp>
        <stp>YLD_YTM_ASK=2.9356072</stp>
        <stp>YAS_YLD_CONV=3</stp>
        <tr r="Y57" s="4"/>
      </tp>
      <tp>
        <v>2.8084363613928076</v>
        <stp/>
        <stp>##V3_BDPV12</stp>
        <stp>912828RR Govt</stp>
        <stp>YAS_RISK</stp>
        <stp>[BondCurveFitting.xlsm]US_TREASURY_TYPE1!R29C25</stp>
        <stp>YLD_YTM_ASK=2.8876665</stp>
        <stp>YAS_YLD_CONV=3</stp>
        <tr r="Y29" s="4"/>
      </tp>
      <tp>
        <v>6.886635978241884</v>
        <stp/>
        <stp>##V3_BDPV12</stp>
        <stp>912810EV Govt</stp>
        <stp>YAS_RISK</stp>
        <stp>[BondCurveFitting.xlsm]US_TREASURY_TYPE1!R76C25</stp>
        <stp>YLD_YTM_ASK=2.9915471</stp>
        <stp>YAS_YLD_CONV=3</stp>
        <tr r="Y76" s="4"/>
      </tp>
      <tp>
        <v>14.55612385782814</v>
        <stp/>
        <stp>##V3_BDPV12</stp>
        <stp>912810FT Govt</stp>
        <stp>YAS_RISK</stp>
        <stp>[BondCurveFitting.xlsm]US_TREASURY_TYPE1!R96C25</stp>
        <stp>YLD_YTM_ASK=3.1935095</stp>
        <stp>YAS_YLD_CONV=3</stp>
        <tr r="Y96" s="4"/>
      </tp>
      <tp>
        <v>5.6886256322044915</v>
        <stp/>
        <stp>##V3_BDPV12</stp>
        <stp>912828XB Govt</stp>
        <stp>YAS_RISK</stp>
        <stp>[BondCurveFitting.xlsm]US_TREASURY_TYPE1!R75C25</stp>
        <stp>YLD_YTM_ASK=3.0086245</stp>
        <stp>YAS_YLD_CONV=3</stp>
        <tr r="Y75" s="4"/>
      </tp>
      <tp>
        <v>4.7504428895209116</v>
        <stp/>
        <stp>##V3_BDPV12</stp>
        <stp>912828W4 Govt</stp>
        <stp>YAS_RISK</stp>
        <stp>[BondCurveFitting.xlsm]US_TREASURY_TYPE1!R70C25</stp>
        <stp>YLD_YTM_ASK=2.9537402</stp>
        <stp>YAS_YLD_CONV=3</stp>
        <tr r="Y70" s="4"/>
      </tp>
      <tp>
        <v>3.0551358397794104</v>
        <stp/>
        <stp>##V3_BDPV12</stp>
        <stp>912828W5 Govt</stp>
        <stp>YAS_RISK</stp>
        <stp>[BondCurveFitting.xlsm]US_TREASURY_TYPE1!R38C25</stp>
        <stp>YLD_YTM_ASK=2.9057079</stp>
        <stp>YAS_YLD_CONV=3</stp>
        <tr r="Y38" s="4"/>
      </tp>
      <tp>
        <v>9.6497702446150413</v>
        <stp/>
        <stp>##V3_BDPV12</stp>
        <stp>912810FG Govt</stp>
        <stp>YAS_RISK</stp>
        <stp>[BondCurveFitting.xlsm]US_TREASURY_TYPE1!R92C25</stp>
        <stp>YLD_YTM_ASK=3.1174846</stp>
        <stp>YAS_YLD_CONV=3</stp>
        <tr r="Y92" s="4"/>
      </tp>
      <tp>
        <v>2.984810041723307</v>
        <stp/>
        <stp>##V3_BDPV12</stp>
        <stp>912828V7 Govt</stp>
        <stp>YAS_RISK</stp>
        <stp>[BondCurveFitting.xlsm]US_TREASURY_TYPE1!R35C25</stp>
        <stp>YLD_YTM_ASK=2.9047529</stp>
        <stp>YAS_YLD_CONV=3</stp>
        <tr r="Y35" s="4"/>
      </tp>
      <tp>
        <v>2.4421735447660353</v>
        <stp/>
        <stp>##V3_BDPV12</stp>
        <stp>912828S2 Govt</stp>
        <stp>YAS_RISK</stp>
        <stp>[BondCurveFitting.xlsm]US_TREASURY_TYPE1!R18C25</stp>
        <stp>YLD_YTM_ASK=2.8717646</stp>
        <stp>YAS_YLD_CONV=3</stp>
        <tr r="Y18" s="4"/>
      </tp>
      <tp>
        <v>2.5920381457687824</v>
        <stp/>
        <stp>##V3_BDPV12</stp>
        <stp>912828RC Govt</stp>
        <stp>YAS_RISK</stp>
        <stp>[BondCurveFitting.xlsm]US_TREASURY_TYPE1!R22C25</stp>
        <stp>YLD_YTM_ASK=2.8867542</stp>
        <stp>YAS_YLD_CONV=3</stp>
        <tr r="Y22" s="4"/>
      </tp>
      <tp>
        <v>2.771061672701336</v>
        <stp/>
        <stp>##V3_BDPV12</stp>
        <stp>912828F9 Govt</stp>
        <stp>YAS_RISK</stp>
        <stp>[BondCurveFitting.xlsm]US_TREASURY_TYPE1!R28C25</stp>
        <stp>YLD_YTM_ASK=2.8967526</stp>
        <stp>YAS_YLD_CONV=3</stp>
        <tr r="Y28" s="4"/>
      </tp>
      <tp>
        <v>2.5605172907390283</v>
        <stp/>
        <stp>##V3_BDPV12</stp>
        <stp>912828WY Govt</stp>
        <stp>YAS_RISK</stp>
        <stp>[BondCurveFitting.xlsm]US_TREASURY_TYPE1!R21C25</stp>
        <stp>YLD_YTM_ASK=2.8867912</stp>
        <stp>YAS_YLD_CONV=3</stp>
        <tr r="Y21" s="4"/>
      </tp>
      <tp>
        <v>3.4318707145928329</v>
        <stp/>
        <stp>##V3_BDPV12</stp>
        <stp>912828TJ Govt</stp>
        <stp>YAS_RISK</stp>
        <stp>[BondCurveFitting.xlsm]US_TREASURY_TYPE1!R45C25</stp>
        <stp>YLD_YTM_ASK=2.9187841</stp>
        <stp>YAS_YLD_CONV=3</stp>
        <tr r="Y45" s="4"/>
      </tp>
      <tp>
        <v>17.985711990911049</v>
        <stp/>
        <stp>##V3_BDPV12</stp>
        <stp>912810RN Govt</stp>
        <stp>DUR_ADJ_ASK</stp>
        <stp>[BondCurveFitting.xlsm]US_TREASURY_TYPE1!R127C29</stp>
        <stp>YLD_YTM_ASK=3.3542506</stp>
        <stp>YAS_YLD_CONV=3</stp>
        <tr r="AC127" s="4"/>
      </tp>
      <tp>
        <v>92.94531251225618</v>
        <stp/>
        <stp>##V3_BDPV12</stp>
        <stp>912828T2 Govt</stp>
        <stp>YAS_BOND_PX</stp>
        <stp>[BondCurveFitting.xlsm]US_TREASURY_TYPE1!R63C21</stp>
        <stp>YAS_BOND_YLD=2.9399024</stp>
        <stp>YAS_YLD_CONV=2</stp>
        <tr r="U63" s="4"/>
      </tp>
      <tp>
        <v>94.351562247578826</v>
        <stp/>
        <stp>##V3_BDPV12</stp>
        <stp>912828J2 Govt</stp>
        <stp>YAS_BOND_PX</stp>
        <stp>[BondCurveFitting.xlsm]US_TREASURY_TYPE1!R74C21</stp>
        <stp>YAS_BOND_YLD=2.9978618</stp>
        <stp>YAS_YLD_CONV=2</stp>
        <tr r="U74" s="4"/>
      </tp>
      <tp>
        <v>117.21874956523634</v>
        <stp/>
        <stp>##V3_BDPV12</stp>
        <stp>912810FT Govt</stp>
        <stp>YAS_BOND_PX</stp>
        <stp>[BondCurveFitting.xlsm]US_TREASURY_TYPE1!R96C21</stp>
        <stp>YAS_BOND_YLD=3.1935095</stp>
        <stp>YAS_YLD_CONV=2</stp>
        <tr r="U96" s="4"/>
      </tp>
      <tp>
        <v>14.281851663606847</v>
        <stp/>
        <stp>##V3_BDPV12</stp>
        <stp>912810QD Govt</stp>
        <stp>DUR_ADJ_ASK</stp>
        <stp>[BondCurveFitting.xlsm]US_TREASURY_TYPE1!R104C29</stp>
        <stp>YLD_YTM_ASK=3.2823696</stp>
        <stp>YAS_YLD_CONV=3</stp>
        <tr r="AC104" s="4"/>
      </tp>
      <tp>
        <v>16.179243097498951</v>
        <stp/>
        <stp>##V3_BDPV12</stp>
        <stp>912810QT Govt</stp>
        <stp>DUR_ADJ_ASK</stp>
        <stp>[BondCurveFitting.xlsm]US_TREASURY_TYPE1!R112C29</stp>
        <stp>YLD_YTM_ASK=3.3243621</stp>
        <stp>YAS_YLD_CONV=3</stp>
        <tr r="AC112" s="4"/>
      </tp>
      <tp>
        <v>17.654844438095875</v>
        <stp/>
        <stp>##V3_BDPV12</stp>
        <stp>912810RJ Govt</stp>
        <stp>DUR_ADJ_ASK</stp>
        <stp>[BondCurveFitting.xlsm]US_TREASURY_TYPE1!R124C29</stp>
        <stp>YLD_YTM_ASK=3.3483479</stp>
        <stp>YAS_YLD_CONV=3</stp>
        <tr r="AC124" s="4"/>
      </tp>
      <tp>
        <v>19.34664822219316</v>
        <stp/>
        <stp>##V3_BDPV12</stp>
        <stp>912810RT Govt</stp>
        <stp>DUR_ADJ_ASK</stp>
        <stp>[BondCurveFitting.xlsm]US_TREASURY_TYPE1!R131C29</stp>
        <stp>YLD_YTM_ASK=3.3603112</stp>
        <stp>YAS_YLD_CONV=3</stp>
        <tr r="AC131" s="4"/>
      </tp>
      <tp>
        <v>96.703125096600104</v>
        <stp/>
        <stp>##V3_BDPV12</stp>
        <stp>912828V2 Govt</stp>
        <stp>YAS_BOND_PX</stp>
        <stp>[BondCurveFitting.xlsm]US_TREASURY_TYPE1!R67C21</stp>
        <stp>YAS_BOND_YLD=2.9478503</stp>
        <stp>YAS_YLD_CONV=2</stp>
        <tr r="U67" s="4"/>
      </tp>
      <tp>
        <v>93.062500161476819</v>
        <stp/>
        <stp>##V3_BDPV12</stp>
        <stp>9128282D Govt</stp>
        <stp>YAS_BOND_PX</stp>
        <stp>[BondCurveFitting.xlsm]US_TREASURY_TYPE1!R62C21</stp>
        <stp>YAS_BOND_YLD=2.9388056</stp>
        <stp>YAS_YLD_CONV=2</stp>
        <tr r="U62" s="4"/>
      </tp>
      <tp>
        <v>118.5781253182905</v>
        <stp/>
        <stp>##V3_BDPV12</stp>
        <stp>912810FG Govt</stp>
        <stp>YAS_BOND_PX</stp>
        <stp>[BondCurveFitting.xlsm]US_TREASURY_TYPE1!R92C21</stp>
        <stp>YAS_BOND_YLD=3.1174846</stp>
        <stp>YAS_YLD_CONV=2</stp>
        <tr r="U92" s="4"/>
      </tp>
      <tp>
        <v>14.937190112697408</v>
        <stp/>
        <stp>##V3_BDPV12</stp>
        <stp>912810QQ Govt</stp>
        <stp>DUR_ADJ_ASK</stp>
        <stp>[BondCurveFitting.xlsm]US_TREASURY_TYPE1!R110C29</stp>
        <stp>YLD_YTM_ASK=3.3120743</stp>
        <stp>YAS_YLD_CONV=3</stp>
        <tr r="AC110" s="4"/>
      </tp>
      <tp>
        <v>14.424115009049682</v>
        <stp/>
        <stp>##V3_BDPV12</stp>
        <stp>912810QA Govt</stp>
        <stp>DUR_ADJ_ASK</stp>
        <stp>[BondCurveFitting.xlsm]US_TREASURY_TYPE1!R101C29</stp>
        <stp>YLD_YTM_ASK=3.2590999</stp>
        <stp>YAS_YLD_CONV=3</stp>
        <tr r="AC101" s="4"/>
      </tp>
      <tp>
        <v>94.265625107510445</v>
        <stp/>
        <stp>##V3_BDPV12</stp>
        <stp>912828P7 Govt</stp>
        <stp>YAS_BOND_PX</stp>
        <stp>[BondCurveFitting.xlsm]US_TREASURY_TYPE1!R53C21</stp>
        <stp>YAS_BOND_YLD=2.9328161</stp>
        <stp>YAS_YLD_CONV=2</stp>
        <tr r="U53" s="4"/>
      </tp>
      <tp>
        <v>118.24999996841215</v>
        <stp/>
        <stp>##V3_BDPV12</stp>
        <stp>912810FF Govt</stp>
        <stp>YAS_BOND_PX</stp>
        <stp>[BondCurveFitting.xlsm]US_TREASURY_TYPE1!R91C21</stp>
        <stp>YAS_BOND_YLD=3.1117818</stp>
        <stp>YAS_YLD_CONV=2</stp>
        <tr r="U91" s="4"/>
      </tp>
      <tp>
        <v>95.070312618731634</v>
        <stp/>
        <stp>##V3_BDPV12</stp>
        <stp>912828VB Govt</stp>
        <stp>YAS_BOND_PX</stp>
        <stp>[BondCurveFitting.xlsm]US_TREASURY_TYPE1!R56C21</stp>
        <stp>YAS_BOND_YLD=2.9278947</stp>
        <stp>YAS_YLD_CONV=2</stp>
        <tr r="U56" s="4"/>
      </tp>
      <tp>
        <v>125.23437485032221</v>
        <stp/>
        <stp>##V3_BDPV12</stp>
        <stp>912810FA Govt</stp>
        <stp>YAS_BOND_PX</stp>
        <stp>[BondCurveFitting.xlsm]US_TREASURY_TYPE1!R88C21</stp>
        <stp>YAS_BOND_YLD=3.0636775</stp>
        <stp>YAS_YLD_CONV=2</stp>
        <tr r="U88" s="4"/>
      </tp>
      <tp>
        <v>18.647739359598162</v>
        <stp/>
        <stp>##V3_BDPV12</stp>
        <stp>912810RU Govt</stp>
        <stp>DUR_ADJ_ASK</stp>
        <stp>[BondCurveFitting.xlsm]US_TREASURY_TYPE1!R132C29</stp>
        <stp>YLD_YTM_ASK=3.3541494</stp>
        <stp>YAS_YLD_CONV=3</stp>
        <tr r="AC132" s="4"/>
      </tp>
      <tp>
        <v>17.045483035811724</v>
        <stp/>
        <stp>##V3_BDPV12</stp>
        <stp>912810QY Govt</stp>
        <stp>DUR_ADJ_ASK</stp>
        <stp>[BondCurveFitting.xlsm]US_TREASURY_TYPE1!R116C29</stp>
        <stp>YLD_YTM_ASK=3.3481682</stp>
        <stp>YAS_YLD_CONV=3</stp>
        <tr r="AC116" s="4"/>
      </tp>
      <tp>
        <v>14.804793637930016</v>
        <stp/>
        <stp>##V3_BDPV12</stp>
        <stp>912810QL Govt</stp>
        <stp>DUR_ADJ_ASK</stp>
        <stp>[BondCurveFitting.xlsm]US_TREASURY_TYPE1!R108C29</stp>
        <stp>YLD_YTM_ASK=3.3051509</stp>
        <stp>YAS_YLD_CONV=3</stp>
        <tr r="AC108" s="4"/>
      </tp>
      <tp>
        <v>16.608528403148682</v>
        <stp/>
        <stp>##V3_BDPV12</stp>
        <stp>912810QZ Govt</stp>
        <stp>DUR_ADJ_ASK</stp>
        <stp>[BondCurveFitting.xlsm]US_TREASURY_TYPE1!R117C29</stp>
        <stp>YLD_YTM_ASK=3.3471084</stp>
        <stp>YAS_YLD_CONV=3</stp>
        <tr r="AC117" s="4"/>
      </tp>
      <tp>
        <v>18.966959981686923</v>
        <stp/>
        <stp>##V3_BDPV12</stp>
        <stp>912810RS Govt</stp>
        <stp>DUR_ADJ_ASK</stp>
        <stp>[BondCurveFitting.xlsm]US_TREASURY_TYPE1!R130C29</stp>
        <stp>YLD_YTM_ASK=3.3591997</stp>
        <stp>YAS_YLD_CONV=3</stp>
        <tr r="AC130" s="4"/>
      </tp>
      <tp>
        <v>124.54687468129642</v>
        <stp/>
        <stp>##V3_BDPV12</stp>
        <stp>912810EY Govt</stp>
        <stp>YAS_BOND_PX</stp>
        <stp>[BondCurveFitting.xlsm]US_TREASURY_TYPE1!R84C21</stp>
        <stp>YAS_BOND_YLD=3.0217485</stp>
        <stp>YAS_YLD_CONV=2</stp>
        <tr r="U84" s="4"/>
      </tp>
      <tp>
        <v>124.81250056813973</v>
        <stp/>
        <stp>##V3_BDPV12</stp>
        <stp>912810PU Govt</stp>
        <stp>YAS_BOND_PX</stp>
        <stp>[BondCurveFitting.xlsm]US_TREASURY_TYPE1!R98C21</stp>
        <stp>YAS_BOND_YLD=3.2106304</stp>
        <stp>YAS_YLD_CONV=2</stp>
        <tr r="U98" s="4"/>
      </tp>
      <tp>
        <v>17.131069586610785</v>
        <stp/>
        <stp>##V3_BDPV12</stp>
        <stp>912810RB Govt</stp>
        <stp>DUR_ADJ_ASK</stp>
        <stp>[BondCurveFitting.xlsm]US_TREASURY_TYPE1!R118C29</stp>
        <stp>YLD_YTM_ASK=3.3496731</stp>
        <stp>YAS_YLD_CONV=3</stp>
        <tr r="AC118" s="4"/>
      </tp>
      <tp>
        <v>16.165122997018365</v>
        <stp/>
        <stp>##V3_BDPV12</stp>
        <stp>912810QU Govt</stp>
        <stp>DUR_ADJ_ASK</stp>
        <stp>[BondCurveFitting.xlsm]US_TREASURY_TYPE1!R113C29</stp>
        <stp>YLD_YTM_ASK=3.3286447</stp>
        <stp>YAS_YLD_CONV=3</stp>
        <tr r="AC113" s="4"/>
      </tp>
      <tp>
        <v>16.534919554246638</v>
        <stp/>
        <stp>##V3_BDPV12</stp>
        <stp>912810QW Govt</stp>
        <stp>DUR_ADJ_ASK</stp>
        <stp>[BondCurveFitting.xlsm]US_TREASURY_TYPE1!R114C29</stp>
        <stp>YLD_YTM_ASK=3.3376494</stp>
        <stp>YAS_YLD_CONV=3</stp>
        <tr r="AC114" s="4"/>
      </tp>
      <tp>
        <v>14.136607186841717</v>
        <stp/>
        <stp>##V3_BDPV12</stp>
        <stp>912810QB Govt</stp>
        <stp>DUR_ADJ_ASK</stp>
        <stp>[BondCurveFitting.xlsm]US_TREASURY_TYPE1!R102C29</stp>
        <stp>YLD_YTM_ASK=3.2666043</stp>
        <stp>YAS_YLD_CONV=3</stp>
        <tr r="AC102" s="4"/>
      </tp>
      <tp>
        <v>14.456934486599339</v>
        <stp/>
        <stp>##V3_BDPV12</stp>
        <stp>912810QN Govt</stp>
        <stp>DUR_ADJ_ASK</stp>
        <stp>[BondCurveFitting.xlsm]US_TREASURY_TYPE1!R109C29</stp>
        <stp>YLD_YTM_ASK=3.3036119</stp>
        <stp>YAS_YLD_CONV=3</stp>
        <tr r="AC109" s="4"/>
      </tp>
      <tp>
        <v>17.031420366599033</v>
        <stp/>
        <stp>##V3_BDPV12</stp>
        <stp>912810RG Govt</stp>
        <stp>DUR_ADJ_ASK</stp>
        <stp>[BondCurveFitting.xlsm]US_TREASURY_TYPE1!R122C29</stp>
        <stp>YLD_YTM_ASK=3.3456922</stp>
        <stp>YAS_YLD_CONV=3</stp>
        <tr r="AC122" s="4"/>
      </tp>
      <tp>
        <v>89.328124728501507</v>
        <stp/>
        <stp>##V3_BDPV12</stp>
        <stp>9128282A Govt</stp>
        <stp>YAS_BOND_PX</stp>
        <stp>[BondCurveFitting.xlsm]US_TREASURY_TYPE1!R83C21</stp>
        <stp>YAS_BOND_YLD=3.0573155</stp>
        <stp>YAS_YLD_CONV=2</stp>
        <tr r="U83" s="4"/>
      </tp>
      <tp>
        <v>16.465634847388028</v>
        <stp/>
        <stp>##V3_BDPV12</stp>
        <stp>912810RD Govt</stp>
        <stp>DUR_ADJ_ASK</stp>
        <stp>[BondCurveFitting.xlsm]US_TREASURY_TYPE1!R120C29</stp>
        <stp>YLD_YTM_ASK=3.3447664</stp>
        <stp>YAS_YLD_CONV=3</stp>
        <tr r="AC120" s="4"/>
      </tp>
      <tp>
        <v>14.503546639496596</v>
        <stp/>
        <stp>##V3_BDPV12</stp>
        <stp>912810QH Govt</stp>
        <stp>DUR_ADJ_ASK</stp>
        <stp>[BondCurveFitting.xlsm]US_TREASURY_TYPE1!R106C29</stp>
        <stp>YLD_YTM_ASK=3.2937842</stp>
        <stp>YAS_YLD_CONV=3</stp>
        <tr r="AC106" s="4"/>
      </tp>
      <tp>
        <v>97.234375127223359</v>
        <stp/>
        <stp>##V3_BDPV12</stp>
        <stp>912828SF Govt</stp>
        <stp>YAS_BOND_PX</stp>
        <stp>[BondCurveFitting.xlsm]US_TREASURY_TYPE1!R36C21</stp>
        <stp>YAS_BOND_YLD=2.8979419</stp>
        <stp>YAS_YLD_CONV=2</stp>
        <tr r="U36" s="4"/>
      </tp>
      <tp>
        <v>95.726562558207306</v>
        <stp/>
        <stp>##V3_BDPV12</stp>
        <stp>912828H8 Govt</stp>
        <stp>YAS_BOND_PX</stp>
        <stp>[BondCurveFitting.xlsm]US_TREASURY_TYPE1!R34C21</stp>
        <stp>YAS_BOND_YLD=2.9049853</stp>
        <stp>YAS_YLD_CONV=2</stp>
        <tr r="U34" s="4"/>
      </tp>
      <tp>
        <v>129.98437483145247</v>
        <stp/>
        <stp>##V3_BDPV12</stp>
        <stp>912810FM Govt</stp>
        <stp>YAS_BOND_PX</stp>
        <stp>[BondCurveFitting.xlsm]US_TREASURY_TYPE1!R94C21</stp>
        <stp>YAS_BOND_YLD=3.1253541</stp>
        <stp>YAS_YLD_CONV=2</stp>
        <tr r="U94" s="4"/>
      </tp>
      <tp>
        <v>92.468749702629168</v>
        <stp/>
        <stp>##V3_BDPV12</stp>
        <stp>912828U2 Govt</stp>
        <stp>YAS_BOND_PX</stp>
        <stp>[BondCurveFitting.xlsm]US_TREASURY_TYPE1!R85C21</stp>
        <stp>YAS_BOND_YLD=3.0691949</stp>
        <stp>YAS_YLD_CONV=2</stp>
        <tr r="U85" s="4"/>
      </tp>
      <tp>
        <v>123.75000007855284</v>
        <stp/>
        <stp>##V3_BDPV12</stp>
        <stp>912810FB Govt</stp>
        <stp>YAS_BOND_PX</stp>
        <stp>[BondCurveFitting.xlsm]US_TREASURY_TYPE1!R89C21</stp>
        <stp>YAS_BOND_YLD=3.0822162</stp>
        <stp>YAS_YLD_CONV=2</stp>
        <tr r="U89" s="4"/>
      </tp>
      <tp>
        <v>13.963327764809662</v>
        <stp/>
        <stp>##V3_BDPV12</stp>
        <stp>912810QC Govt</stp>
        <stp>DUR_ADJ_ASK</stp>
        <stp>[BondCurveFitting.xlsm]US_TREASURY_TYPE1!R103C29</stp>
        <stp>YLD_YTM_ASK=3.2735755</stp>
        <stp>YAS_YLD_CONV=3</stp>
        <tr r="AC103" s="4"/>
      </tp>
      <tp>
        <v>16.541571311295424</v>
        <stp/>
        <stp>##V3_BDPV12</stp>
        <stp>912810RE Govt</stp>
        <stp>DUR_ADJ_ASK</stp>
        <stp>[BondCurveFitting.xlsm]US_TREASURY_TYPE1!R121C29</stp>
        <stp>YLD_YTM_ASK=3.3455686</stp>
        <stp>YAS_YLD_CONV=3</stp>
        <tr r="AC121" s="4"/>
      </tp>
      <tp>
        <v>14.829899900684326</v>
        <stp/>
        <stp>##V3_BDPV12</stp>
        <stp>912810QK Govt</stp>
        <stp>DUR_ADJ_ASK</stp>
        <stp>[BondCurveFitting.xlsm]US_TREASURY_TYPE1!R107C29</stp>
        <stp>YLD_YTM_ASK=3.3025212</stp>
        <stp>YAS_YLD_CONV=3</stp>
        <tr r="AC107" s="4"/>
      </tp>
      <tp>
        <v>18.721794155880136</v>
        <stp/>
        <stp>##V3_BDPV12</stp>
        <stp>912810RQ Govt</stp>
        <stp>DUR_ADJ_ASK</stp>
        <stp>[BondCurveFitting.xlsm]US_TREASURY_TYPE1!R129C29</stp>
        <stp>YLD_YTM_ASK=3.3585287</stp>
        <stp>YAS_YLD_CONV=3</stp>
        <tr r="AC129" s="4"/>
      </tp>
      <tp>
        <v>16.331078363275687</v>
        <stp/>
        <stp>##V3_BDPV12</stp>
        <stp>912810RC Govt</stp>
        <stp>DUR_ADJ_ASK</stp>
        <stp>[BondCurveFitting.xlsm]US_TREASURY_TYPE1!R119C29</stp>
        <stp>YLD_YTM_ASK=3.3465933</stp>
        <stp>YAS_YLD_CONV=3</stp>
        <tr r="AC119" s="4"/>
      </tp>
      <tp>
        <v>122.59375001132167</v>
        <stp/>
        <stp>##V3_BDPV12</stp>
        <stp>912810FP Govt</stp>
        <stp>YAS_BOND_PX</stp>
        <stp>[BondCurveFitting.xlsm]US_TREASURY_TYPE1!R95C21</stp>
        <stp>YAS_BOND_YLD=3.1382462</stp>
        <stp>YAS_YLD_CONV=2</stp>
        <tr r="U95" s="4"/>
      </tp>
      <tp>
        <v>96.343749982456416</v>
        <stp/>
        <stp>##V3_BDPV12</stp>
        <stp>912828R7 Govt</stp>
        <stp>YAS_BOND_PX</stp>
        <stp>[BondCurveFitting.xlsm]US_TREASURY_TYPE1!R16C21</stp>
        <stp>YAS_BOND_YLD=2.8789266</stp>
        <stp>YAS_YLD_CONV=2</stp>
        <tr r="U16" s="4"/>
      </tp>
      <tp>
        <v>125.67187482803921</v>
        <stp/>
        <stp>##V3_BDPV12</stp>
        <stp>912810EX Govt</stp>
        <stp>YAS_BOND_PX</stp>
        <stp>[BondCurveFitting.xlsm]US_TREASURY_TYPE1!R82C21</stp>
        <stp>YAS_BOND_YLD=3.0093846</stp>
        <stp>YAS_YLD_CONV=2</stp>
        <tr r="U82" s="4"/>
      </tp>
      <tp>
        <v>96.679687455810935</v>
        <stp/>
        <stp>##V3_BDPV12</stp>
        <stp>912828U6 Govt</stp>
        <stp>YAS_BOND_PX</stp>
        <stp>[BondCurveFitting.xlsm]US_TREASURY_TYPE1!R30C21</stp>
        <stp>YAS_BOND_YLD=2.8994213</stp>
        <stp>YAS_YLD_CONV=2</stp>
        <tr r="U30" s="4"/>
      </tp>
      <tp>
        <v>96.171874985995956</v>
        <stp/>
        <stp>##V3_BDPV12</stp>
        <stp>912828P8 Govt</stp>
        <stp>YAS_BOND_PX</stp>
        <stp>[BondCurveFitting.xlsm]US_TREASURY_TYPE1!R10C21</stp>
        <stp>YAS_BOND_YLD=2.8656103</stp>
        <stp>YAS_YLD_CONV=2</stp>
        <tr r="U10" s="4"/>
      </tp>
      <tp>
        <v>96.53906244077352</v>
        <stp/>
        <stp>##V3_BDPV12</stp>
        <stp>912828XD Govt</stp>
        <stp>YAS_BOND_PX</stp>
        <stp>[BondCurveFitting.xlsm]US_TREASURY_TYPE1!R42C21</stp>
        <stp>YAS_BOND_YLD=2.9113462</stp>
        <stp>YAS_YLD_CONV=2</stp>
        <tr r="U42" s="4"/>
      </tp>
      <tp>
        <v>95.351562365031853</v>
        <stp/>
        <stp>##V3_BDPV12</stp>
        <stp>912828P3 Govt</stp>
        <stp>YAS_BOND_PX</stp>
        <stp>[BondCurveFitting.xlsm]US_TREASURY_TYPE1!R51C21</stp>
        <stp>YAS_BOND_YLD=2.9322865</stp>
        <stp>YAS_YLD_CONV=2</stp>
        <tr r="U51" s="4"/>
      </tp>
      <tp>
        <v>97.085937545391502</v>
        <stp/>
        <stp>##V3_BDPV12</stp>
        <stp>912828G5 Govt</stp>
        <stp>YAS_BOND_PX</stp>
        <stp>[BondCurveFitting.xlsm]US_TREASURY_TYPE1!R31C21</stp>
        <stp>YAS_BOND_YLD=2.8834802</stp>
        <stp>YAS_YLD_CONV=2</stp>
        <tr r="U31" s="4"/>
      </tp>
      <tp>
        <v>95.726562584124778</v>
        <stp/>
        <stp>##V3_BDPV12</stp>
        <stp>912828L5 Govt</stp>
        <stp>YAS_BOND_PX</stp>
        <stp>[BondCurveFitting.xlsm]US_TREASURY_TYPE1!R47C21</stp>
        <stp>YAS_BOND_YLD=2.9253951</stp>
        <stp>YAS_YLD_CONV=2</stp>
        <tr r="U47" s="4"/>
      </tp>
      <tp>
        <v>96.804687360571691</v>
        <stp/>
        <stp>##V3_BDPV12</stp>
        <stp>912828XQ Govt</stp>
        <stp>YAS_BOND_PX</stp>
        <stp>[BondCurveFitting.xlsm]US_TREASURY_TYPE1!R44C21</stp>
        <stp>YAS_BOND_YLD=2.9152516</stp>
        <stp>YAS_YLD_CONV=2</stp>
        <tr r="U44" s="4"/>
      </tp>
      <tp>
        <v>97.890625073174945</v>
        <stp/>
        <stp>##V3_BDPV12</stp>
        <stp>912828F2 Govt</stp>
        <stp>YAS_BOND_PX</stp>
        <stp>[BondCurveFitting.xlsm]US_TREASURY_TYPE1!R26C21</stp>
        <stp>YAS_BOND_YLD=2.8954789</stp>
        <stp>YAS_YLD_CONV=2</stp>
        <tr r="U26" s="4"/>
      </tp>
      <tp>
        <v>96.84375003598538</v>
        <stp/>
        <stp>##V3_BDPV12</stp>
        <stp>912828D5 Govt</stp>
        <stp>YAS_BOND_PX</stp>
        <stp>[BondCurveFitting.xlsm]US_TREASURY_TYPE1!R72C21</stp>
        <stp>YAS_BOND_YLD=2.9761261</stp>
        <stp>YAS_YLD_CONV=2</stp>
        <tr r="U72" s="4"/>
      </tp>
      <tp>
        <v>95.359374942923765</v>
        <stp/>
        <stp>##V3_BDPV12</stp>
        <stp>912828T6 Govt</stp>
        <stp>YAS_BOND_PX</stp>
        <stp>[BondCurveFitting.xlsm]US_TREASURY_TYPE1!R27C21</stp>
        <stp>YAS_BOND_YLD=2.8994609</stp>
        <stp>YAS_YLD_CONV=2</stp>
        <tr r="U27" s="4"/>
      </tp>
      <tp>
        <v>96.210937563905347</v>
        <stp/>
        <stp>##V3_BDPV12</stp>
        <stp>912828WZ Govt</stp>
        <stp>YAS_BOND_PX</stp>
        <stp>[BondCurveFitting.xlsm]US_TREASURY_TYPE1!R40C21</stp>
        <stp>YAS_BOND_YLD=2.9102916</stp>
        <stp>YAS_YLD_CONV=2</stp>
        <tr r="U40" s="4"/>
      </tp>
      <tp>
        <v>93.304687406752024</v>
        <stp/>
        <stp>##V3_BDPV12</stp>
        <stp>912828S3 Govt</stp>
        <stp>YAS_BOND_PX</stp>
        <stp>[BondCurveFitting.xlsm]US_TREASURY_TYPE1!R58C21</stp>
        <stp>YAS_BOND_YLD=2.9343046</stp>
        <stp>YAS_YLD_CONV=2</stp>
        <tr r="U58" s="4"/>
      </tp>
      <tp>
        <v>95.617187405053997</v>
        <stp/>
        <stp>##V3_BDPV12</stp>
        <stp>912828S2 Govt</stp>
        <stp>YAS_BOND_PX</stp>
        <stp>[BondCurveFitting.xlsm]US_TREASURY_TYPE1!R18C21</stp>
        <stp>YAS_BOND_YLD=2.8717646</stp>
        <stp>YAS_YLD_CONV=2</stp>
        <tr r="U18" s="4"/>
      </tp>
      <tp>
        <v>14.106205933912749</v>
        <stp/>
        <stp>##V3_BDPV12</stp>
        <stp>912810QE Govt</stp>
        <stp>DUR_ADJ_ASK</stp>
        <stp>[BondCurveFitting.xlsm]US_TREASURY_TYPE1!R105C29</stp>
        <stp>YLD_YTM_ASK=3.2858418</stp>
        <stp>YAS_YLD_CONV=3</stp>
        <tr r="AC105" s="4"/>
      </tp>
      <tp>
        <v>15.372775878430474</v>
        <stp/>
        <stp>##V3_BDPV12</stp>
        <stp>912810QS Govt</stp>
        <stp>DUR_ADJ_ASK</stp>
        <stp>[BondCurveFitting.xlsm]US_TREASURY_TYPE1!R111C29</stp>
        <stp>YLD_YTM_ASK=3.3178583</stp>
        <stp>YAS_YLD_CONV=3</stp>
        <tr r="AC111" s="4"/>
      </tp>
      <tp>
        <v>17.264806750057954</v>
        <stp/>
        <stp>##V3_BDPV12</stp>
        <stp>912810RH Govt</stp>
        <stp>DUR_ADJ_ASK</stp>
        <stp>[BondCurveFitting.xlsm]US_TREASURY_TYPE1!R123C29</stp>
        <stp>YLD_YTM_ASK=3.3478328</stp>
        <stp>YAS_YLD_CONV=3</stp>
        <tr r="AC123" s="4"/>
      </tp>
      <tp>
        <v>18.281436849946864</v>
        <stp/>
        <stp>##V3_BDPV12</stp>
        <stp>912810RK Govt</stp>
        <stp>DUR_ADJ_ASK</stp>
        <stp>[BondCurveFitting.xlsm]US_TREASURY_TYPE1!R125C29</stp>
        <stp>YLD_YTM_ASK=3.3558955</stp>
        <stp>YAS_YLD_CONV=3</stp>
        <tr r="AC125" s="4"/>
      </tp>
      <tp>
        <v>96.406250092370357</v>
        <stp/>
        <stp>##V3_BDPV12</stp>
        <stp>912828J4 Govt</stp>
        <stp>YAS_BOND_PX</stp>
        <stp>[BondCurveFitting.xlsm]US_TREASURY_TYPE1!R37C21</stp>
        <stp>YAS_BOND_YLD=2.9036455</stp>
        <stp>YAS_YLD_CONV=2</stp>
        <tr r="U37" s="4"/>
      </tp>
      <tp>
        <v>95.968749802282105</v>
        <stp/>
        <stp>##V3_BDPV12</stp>
        <stp>912828G3 Govt</stp>
        <stp>YAS_BOND_PX</stp>
        <stp>[BondCurveFitting.xlsm]US_TREASURY_TYPE1!R73C21</stp>
        <stp>YAS_BOND_YLD=2.9892245</stp>
        <stp>YAS_YLD_CONV=2</stp>
        <tr r="U73" s="4"/>
      </tp>
      <tp>
        <v>96.179687494577479</v>
        <stp/>
        <stp>##V3_BDPV12</stp>
        <stp>912828U5 Govt</stp>
        <stp>YAS_BOND_PX</stp>
        <stp>[BondCurveFitting.xlsm]US_TREASURY_TYPE1!R66C21</stp>
        <stp>YAS_BOND_YLD=2.9463772</stp>
        <stp>YAS_YLD_CONV=2</stp>
        <tr r="U66" s="4"/>
      </tp>
      <tp>
        <v>95.124999923752227</v>
        <stp/>
        <stp>##V3_BDPV12</stp>
        <stp>912828TY Govt</stp>
        <stp>YAS_BOND_PX</stp>
        <stp>[BondCurveFitting.xlsm]US_TREASURY_TYPE1!R49C21</stp>
        <stp>YAS_BOND_YLD=2.9261899</stp>
        <stp>YAS_YLD_CONV=2</stp>
        <tr r="U49" s="4"/>
      </tp>
      <tp>
        <v>96.171875084032848</v>
        <stp/>
        <stp>##V3_BDPV12</stp>
        <stp>912828SV Govt</stp>
        <stp>YAS_BOND_PX</stp>
        <stp>[BondCurveFitting.xlsm]US_TREASURY_TYPE1!R41C21</stp>
        <stp>YAS_BOND_YLD=2.9091658</stp>
        <stp>YAS_YLD_CONV=2</stp>
        <tr r="U41" s="4"/>
      </tp>
      <tp>
        <v>94.148437651229415</v>
        <stp/>
        <stp>##V3_BDPV12</stp>
        <stp>912828Q2 Govt</stp>
        <stp>YAS_BOND_PX</stp>
        <stp>[BondCurveFitting.xlsm]US_TREASURY_TYPE1!R54C21</stp>
        <stp>YAS_BOND_YLD=2.9360324</stp>
        <stp>YAS_YLD_CONV=2</stp>
        <tr r="U54" s="4"/>
      </tp>
      <tp>
        <v>97.999999948215446</v>
        <stp/>
        <stp>##V3_BDPV12</stp>
        <stp>912828RC Govt</stp>
        <stp>YAS_BOND_PX</stp>
        <stp>[BondCurveFitting.xlsm]US_TREASURY_TYPE1!R22C21</stp>
        <stp>YAS_BOND_YLD=2.8867542</stp>
        <stp>YAS_YLD_CONV=2</stp>
        <tr r="U22" s="4"/>
      </tp>
      <tp>
        <v>96.468749949217425</v>
        <stp/>
        <stp>##V3_BDPV12</stp>
        <stp>912828Q7 Govt</stp>
        <stp>YAS_BOND_PX</stp>
        <stp>[BondCurveFitting.xlsm]US_TREASURY_TYPE1!R14C21</stp>
        <stp>YAS_BOND_YLD=2.8744067</stp>
        <stp>YAS_YLD_CONV=2</stp>
        <tr r="U14" s="4"/>
      </tp>
      <tp>
        <v>98.085937510159525</v>
        <stp/>
        <stp>##V3_BDPV12</stp>
        <stp>912828VS Govt</stp>
        <stp>YAS_BOND_PX</stp>
        <stp>[BondCurveFitting.xlsm]US_TREASURY_TYPE1!R61C21</stp>
        <stp>YAS_BOND_YLD=2.9343545</stp>
        <stp>YAS_YLD_CONV=2</stp>
        <tr r="U61" s="4"/>
      </tp>
      <tp>
        <v>98.351562592556235</v>
        <stp/>
        <stp>##V3_BDPV12</stp>
        <stp>912828WY Govt</stp>
        <stp>YAS_BOND_PX</stp>
        <stp>[BondCurveFitting.xlsm]US_TREASURY_TYPE1!R21C21</stp>
        <stp>YAS_BOND_YLD=2.8867912</stp>
        <stp>YAS_YLD_CONV=2</stp>
        <tr r="U21" s="4"/>
      </tp>
      <tp>
        <v>96.499999867005883</v>
        <stp/>
        <stp>##V3_BDPV12</stp>
        <stp>912828M8 Govt</stp>
        <stp>YAS_BOND_PX</stp>
        <stp>[BondCurveFitting.xlsm]US_TREASURY_TYPE1!R50C21</stp>
        <stp>YAS_BOND_YLD=2.9250879</stp>
        <stp>YAS_YLD_CONV=2</stp>
        <tr r="U50" s="4"/>
      </tp>
      <tp>
        <v>93.812499825312742</v>
        <stp/>
        <stp>##V3_BDPV12</stp>
        <stp>912828K7 Govt</stp>
        <stp>YAS_BOND_PX</stp>
        <stp>[BondCurveFitting.xlsm]US_TREASURY_TYPE1!R77C21</stp>
        <stp>YAS_BOND_YLD=3.0202194</stp>
        <stp>YAS_YLD_CONV=2</stp>
        <tr r="U77" s="4"/>
      </tp>
      <tp>
        <v>96.640624931587524</v>
        <stp/>
        <stp>##V3_BDPV12</stp>
        <stp>912828V8 Govt</stp>
        <stp>YAS_BOND_PX</stp>
        <stp>[BondCurveFitting.xlsm]US_TREASURY_TYPE1!R68C21</stp>
        <stp>YAS_BOND_YLD=2.9503712</stp>
        <stp>YAS_YLD_CONV=2</stp>
        <tr r="U68" s="4"/>
      </tp>
      <tp>
        <v>97.476562382976255</v>
        <stp/>
        <stp>##V3_BDPV12</stp>
        <stp>912828F9 Govt</stp>
        <stp>YAS_BOND_PX</stp>
        <stp>[BondCurveFitting.xlsm]US_TREASURY_TYPE1!R28C21</stp>
        <stp>YAS_BOND_YLD=2.8967526</stp>
        <stp>YAS_YLD_CONV=2</stp>
        <tr r="U28" s="4"/>
      </tp>
      <tp>
        <v>18.077518550820979</v>
        <stp/>
        <stp>##V3_BDPV12</stp>
        <stp>912810RP Govt</stp>
        <stp>DUR_ADJ_ASK</stp>
        <stp>[BondCurveFitting.xlsm]US_TREASURY_TYPE1!R128C29</stp>
        <stp>YLD_YTM_ASK=3.3509526</stp>
        <stp>YAS_YLD_CONV=3</stp>
        <tr r="AC128" s="4"/>
      </tp>
      <tp>
        <v>13.524808101623046</v>
        <stp/>
        <stp>##V3_BDPV12</stp>
        <stp>912810PX Govt</stp>
        <stp>DUR_ADJ_ASK</stp>
        <stp>[BondCurveFitting.xlsm]US_TREASURY_TYPE1!R100C29</stp>
        <stp>YLD_YTM_ASK=3.2349841</stp>
        <stp>YAS_YLD_CONV=3</stp>
        <tr r="AC100" s="4"/>
      </tp>
      <tp>
        <v>99.117187325140421</v>
        <stp/>
        <stp>##V3_BDPV12</stp>
        <stp>912828WE Govt</stp>
        <stp>YAS_BOND_PX</stp>
        <stp>[BondCurveFitting.xlsm]US_TREASURY_TYPE1!R65C21</stp>
        <stp>YAS_BOND_YLD=2.9412425</stp>
        <stp>YAS_YLD_CONV=2</stp>
        <tr r="U65" s="4"/>
      </tp>
      <tp>
        <v>96.867187381574169</v>
        <stp/>
        <stp>##V3_BDPV12</stp>
        <stp>912828V7 Govt</stp>
        <stp>YAS_BOND_PX</stp>
        <stp>[BondCurveFitting.xlsm]US_TREASURY_TYPE1!R35C21</stp>
        <stp>YAS_BOND_YLD=2.9047529</stp>
        <stp>YAS_YLD_CONV=2</stp>
        <tr r="U35" s="4"/>
      </tp>
      <tp>
        <v>97.304687352178078</v>
        <stp/>
        <stp>##V3_BDPV12</stp>
        <stp>912828XG Govt</stp>
        <stp>YAS_BOND_PX</stp>
        <stp>[BondCurveFitting.xlsm]US_TREASURY_TYPE1!R43C21</stp>
        <stp>YAS_BOND_YLD=2.9140407</stp>
        <stp>YAS_YLD_CONV=2</stp>
        <tr r="U43" s="4"/>
      </tp>
      <tp>
        <v>95.124999711324406</v>
        <stp/>
        <stp>##V3_BDPV12</stp>
        <stp>912828M5 Govt</stp>
        <stp>YAS_BOND_PX</stp>
        <stp>[BondCurveFitting.xlsm]US_TREASURY_TYPE1!R78C21</stp>
        <stp>YAS_BOND_YLD=3.0283594</stp>
        <stp>YAS_YLD_CONV=2</stp>
        <tr r="U78" s="4"/>
      </tp>
      <tp>
        <v>96.789062542036433</v>
        <stp/>
        <stp>##V3_BDPV12</stp>
        <stp>912828W5 Govt</stp>
        <stp>YAS_BOND_PX</stp>
        <stp>[BondCurveFitting.xlsm]US_TREASURY_TYPE1!R38C21</stp>
        <stp>YAS_BOND_YLD=2.9057079</stp>
        <stp>YAS_YLD_CONV=2</stp>
        <tr r="U38" s="4"/>
      </tp>
      <tp>
        <v>97.468749938824843</v>
        <stp/>
        <stp>##V3_BDPV12</stp>
        <stp>912828RR Govt</stp>
        <stp>YAS_BOND_PX</stp>
        <stp>[BondCurveFitting.xlsm]US_TREASURY_TYPE1!R29C21</stp>
        <stp>YAS_BOND_YLD=2.8876665</stp>
        <stp>YAS_YLD_CONV=2</stp>
        <tr r="U29" s="4"/>
      </tp>
      <tp>
        <v>2.1036495519432208</v>
        <stp/>
        <stp>##V3_BDPV12</stp>
        <stp>912828B5 Govt</stp>
        <stp>YAS_RISK</stp>
        <stp>[BondCurveFitting.xlsm]US_TREASURY_TYPE1!R8C25</stp>
        <stp>YLD_YTM_ASK=2.8598938</stp>
        <stp>YAS_YLD_CONV=3</stp>
        <tr r="Y8" s="4"/>
      </tp>
      <tp>
        <v>95.28906241392734</v>
        <stp/>
        <stp>##V3_BDPV12</stp>
        <stp>9128282F Govt</stp>
        <stp>YAS_BOND_PX</stp>
        <stp>[BondCurveFitting.xlsm]US_TREASURY_TYPE1!R23C21</stp>
        <stp>YAS_BOND_YLD=2.8961125</stp>
        <stp>YAS_YLD_CONV=2</stp>
        <tr r="U23" s="4"/>
      </tp>
      <tp>
        <v>116.29687481251206</v>
        <stp/>
        <stp>##V3_BDPV12</stp>
        <stp>912810PW Govt</stp>
        <stp>YAS_BOND_PX</stp>
        <stp>[BondCurveFitting.xlsm]US_TREASURY_TYPE1!R99C21</stp>
        <stp>YAS_BOND_YLD=3.2309869</stp>
        <stp>YAS_YLD_CONV=2</stp>
        <tr r="U99" s="4"/>
      </tp>
      <tp>
        <v>94.562500139113226</v>
        <stp/>
        <stp>##V3_BDPV12</stp>
        <stp>912828R2 Govt</stp>
        <stp>YAS_BOND_PX</stp>
        <stp>[BondCurveFitting.xlsm]US_TREASURY_TYPE1!R55C21</stp>
        <stp>YAS_BOND_YLD=2.9356796</stp>
        <stp>YAS_YLD_CONV=2</stp>
        <tr r="U55" s="4"/>
      </tp>
      <tp>
        <v>94.468750125966608</v>
        <stp/>
        <stp>##V3_BDPV12</stp>
        <stp>912828R6 Govt</stp>
        <stp>YAS_BOND_PX</stp>
        <stp>[BondCurveFitting.xlsm]US_TREASURY_TYPE1!R57C21</stp>
        <stp>YAS_BOND_YLD=2.9356072</stp>
        <stp>YAS_YLD_CONV=2</stp>
        <tr r="U57" s="4"/>
      </tp>
      <tp>
        <v>97.679687325252644</v>
        <stp/>
        <stp>##V3_BDPV12</stp>
        <stp>912828WJ Govt</stp>
        <stp>YAS_BOND_PX</stp>
        <stp>[BondCurveFitting.xlsm]US_TREASURY_TYPE1!R71C21</stp>
        <stp>YAS_BOND_YLD=2.9604637</stp>
        <stp>YAS_YLD_CONV=2</stp>
        <tr r="U71" s="4"/>
      </tp>
      <tp>
        <v>114.710937539016</v>
        <stp/>
        <stp>##V3_BDPV12</stp>
        <stp>912810EQ Govt</stp>
        <stp>YAS_BOND_PX</stp>
        <stp>[BondCurveFitting.xlsm]US_TREASURY_TYPE1!R60C21</stp>
        <stp>YAS_BOND_YLD=2.9086008</stp>
        <stp>YAS_YLD_CONV=2</stp>
        <tr r="U60" s="4"/>
      </tp>
      <tp>
        <v>95.437499926494411</v>
        <stp/>
        <stp>##V3_BDPV12</stp>
        <stp>912828TJ Govt</stp>
        <stp>YAS_BOND_PX</stp>
        <stp>[BondCurveFitting.xlsm]US_TREASURY_TYPE1!R45C21</stp>
        <stp>YAS_BOND_YLD=2.9187841</stp>
        <stp>YAS_YLD_CONV=2</stp>
        <tr r="U45" s="4"/>
      </tp>
      <tp>
        <v>2.0820953881482751</v>
        <stp/>
        <stp>##V3_BDPV12</stp>
        <stp>912828N8 Govt</stp>
        <stp>YAS_RISK</stp>
        <stp>[BondCurveFitting.xlsm]US_TREASURY_TYPE1!R7C25</stp>
        <stp>YLD_YTM_ASK=2.8644356</stp>
        <stp>YAS_YLD_CONV=3</stp>
        <tr r="Y7" s="4"/>
      </tp>
      <tp>
        <v>99.039062365707636</v>
        <stp/>
        <stp>##V3_BDPV12</stp>
        <stp>912828B6 Govt</stp>
        <stp>YAS_BOND_PX</stp>
        <stp>[BondCurveFitting.xlsm]US_TREASURY_TYPE1!R69C21</stp>
        <stp>YAS_BOND_YLD=2.9484853</stp>
        <stp>YAS_YLD_CONV=2</stp>
        <tr r="U69" s="4"/>
      </tp>
      <tp>
        <v>93.960937544925571</v>
        <stp/>
        <stp>##V3_BDPV12</stp>
        <stp>912828T9 Govt</stp>
        <stp>YAS_BOND_PX</stp>
        <stp>[BondCurveFitting.xlsm]US_TREASURY_TYPE1!R64C21</stp>
        <stp>YAS_BOND_YLD=2.9434482</stp>
        <stp>YAS_YLD_CONV=2</stp>
        <tr r="U64" s="4"/>
      </tp>
      <tp>
        <v>119.42187515694218</v>
        <stp/>
        <stp>##V3_BDPV12</stp>
        <stp>912810EW Govt</stp>
        <stp>YAS_BOND_PX</stp>
        <stp>[BondCurveFitting.xlsm]US_TREASURY_TYPE1!R79C21</stp>
        <stp>YAS_BOND_YLD=2.9976651</stp>
        <stp>YAS_YLD_CONV=2</stp>
        <tr r="U79" s="4"/>
      </tp>
      <tp>
        <v>121.18750075025349</v>
        <stp/>
        <stp>##V3_BDPV12</stp>
        <stp>912810PT Govt</stp>
        <stp>YAS_BOND_PX</stp>
        <stp>[BondCurveFitting.xlsm]US_TREASURY_TYPE1!R97C21</stp>
        <stp>YAS_BOND_YLD=3.2068304</stp>
        <stp>YAS_YLD_CONV=2</stp>
        <tr r="U97" s="4"/>
      </tp>
      <tp>
        <v>120.01562463583107</v>
        <stp/>
        <stp>##V3_BDPV12</stp>
        <stp>912810FE Govt</stp>
        <stp>YAS_BOND_PX</stp>
        <stp>[BondCurveFitting.xlsm]US_TREASURY_TYPE1!R90C21</stp>
        <stp>YAS_BOND_YLD=3.1038676</stp>
        <stp>YAS_YLD_CONV=2</stp>
        <tr r="U90" s="4"/>
      </tp>
      <tp>
        <v>97.335937382516903</v>
        <stp/>
        <stp>##V3_BDPV12</stp>
        <stp>912828U8 Govt</stp>
        <stp>YAS_BOND_PX</stp>
        <stp>[BondCurveFitting.xlsm]US_TREASURY_TYPE1!R33C21</stp>
        <stp>YAS_BOND_YLD=2.8981425</stp>
        <stp>YAS_YLD_CONV=2</stp>
        <tr r="U33" s="4"/>
      </tp>
      <tp>
        <v>127.23437534287748</v>
        <stp/>
        <stp>##V3_BDPV12</stp>
        <stp>912810FJ Govt</stp>
        <stp>YAS_BOND_PX</stp>
        <stp>[BondCurveFitting.xlsm]US_TREASURY_TYPE1!R93C21</stp>
        <stp>YAS_BOND_YLD=3.1218901</stp>
        <stp>YAS_YLD_CONV=2</stp>
        <tr r="U93" s="4"/>
      </tp>
      <tp>
        <v>126.04687490861221</v>
        <stp/>
        <stp>##V3_BDPV12</stp>
        <stp>912810EZ Govt</stp>
        <stp>YAS_BOND_PX</stp>
        <stp>[BondCurveFitting.xlsm]US_TREASURY_TYPE1!R86C21</stp>
        <stp>YAS_BOND_YLD=3.0309878</stp>
        <stp>YAS_YLD_CONV=2</stp>
        <tr r="U86" s="4"/>
      </tp>
      <tp>
        <v>96.101562386487757</v>
        <stp/>
        <stp>##V3_BDPV12</stp>
        <stp>912828M4 Govt</stp>
        <stp>YAS_BOND_PX</stp>
        <stp>[BondCurveFitting.xlsm]US_TREASURY_TYPE1!R48C21</stp>
        <stp>YAS_BOND_YLD=2.9256613</stp>
        <stp>YAS_YLD_CONV=2</stp>
        <tr r="U48" s="4"/>
      </tp>
      <tp>
        <v>96.257812335724935</v>
        <stp/>
        <stp>##V3_BDPV12</stp>
        <stp>912828L2 Govt</stp>
        <stp>YAS_BOND_PX</stp>
        <stp>[BondCurveFitting.xlsm]US_TREASURY_TYPE1!R46C21</stp>
        <stp>YAS_BOND_YLD=2.9255762</stp>
        <stp>YAS_YLD_CONV=2</stp>
        <tr r="U46" s="4"/>
      </tp>
      <tp>
        <v>98.593749916031314</v>
        <stp/>
        <stp>##V3_BDPV12</stp>
        <stp>912828C5 Govt</stp>
        <stp>YAS_BOND_PX</stp>
        <stp>[BondCurveFitting.xlsm]US_TREASURY_TYPE1!R13C21</stp>
        <stp>YAS_BOND_YLD=2.8670888</stp>
        <stp>YAS_YLD_CONV=2</stp>
        <tr r="U13" s="4"/>
      </tp>
      <tp>
        <v>123.56249984363143</v>
        <stp/>
        <stp>##V3_BDPV12</stp>
        <stp>912810EV Govt</stp>
        <stp>YAS_BOND_PX</stp>
        <stp>[BondCurveFitting.xlsm]US_TREASURY_TYPE1!R76C21</stp>
        <stp>YAS_BOND_YLD=2.9915471</stp>
        <stp>YAS_YLD_CONV=2</stp>
        <tr r="U76" s="4"/>
      </tp>
      <tp>
        <v>94.82031255122007</v>
        <stp/>
        <stp>##V3_BDPV12</stp>
        <stp>912828XB Govt</stp>
        <stp>YAS_BOND_PX</stp>
        <stp>[BondCurveFitting.xlsm]US_TREASURY_TYPE1!R75C21</stp>
        <stp>YAS_BOND_YLD=3.0086245</stp>
        <stp>YAS_YLD_CONV=2</stp>
        <tr r="U75" s="4"/>
      </tp>
      <tp>
        <v>97.632812605425272</v>
        <stp/>
        <stp>##V3_BDPV12</stp>
        <stp>912828D7 Govt</stp>
        <stp>YAS_BOND_PX</stp>
        <stp>[BondCurveFitting.xlsm]US_TREASURY_TYPE1!R24C21</stp>
        <stp>YAS_BOND_YLD=2.8893939</stp>
        <stp>YAS_YLD_CONV=2</stp>
        <tr r="U24" s="4"/>
      </tp>
      <tp>
        <v>97.867187475144405</v>
        <stp/>
        <stp>##V3_BDPV12</stp>
        <stp>912828WN Govt</stp>
        <stp>YAS_BOND_PX</stp>
        <stp>[BondCurveFitting.xlsm]US_TREASURY_TYPE1!R17C21</stp>
        <stp>YAS_BOND_YLD=2.8771428</stp>
        <stp>YAS_YLD_CONV=2</stp>
        <tr r="U17" s="4"/>
      </tp>
      <tp>
        <v>95.164062523569257</v>
        <stp/>
        <stp>##V3_BDPV12</stp>
        <stp>912828T3 Govt</stp>
        <stp>YAS_BOND_PX</stp>
        <stp>[BondCurveFitting.xlsm]US_TREASURY_TYPE1!R25C21</stp>
        <stp>YAS_BOND_YLD=2.8922422</stp>
        <stp>YAS_YLD_CONV=2</stp>
        <tr r="U25" s="4"/>
      </tp>
      <tp>
        <v>95.437500026219766</v>
        <stp/>
        <stp>##V3_BDPV12</stp>
        <stp>912828S7 Govt</stp>
        <stp>YAS_BOND_PX</stp>
        <stp>[BondCurveFitting.xlsm]US_TREASURY_TYPE1!R20C21</stp>
        <stp>YAS_BOND_YLD=2.8892763</stp>
        <stp>YAS_YLD_CONV=2</stp>
        <tr r="U20" s="4"/>
      </tp>
      <tp>
        <v>95.968750078042433</v>
        <stp/>
        <stp>##V3_BDPV12</stp>
        <stp>912828W4 Govt</stp>
        <stp>YAS_BOND_PX</stp>
        <stp>[BondCurveFitting.xlsm]US_TREASURY_TYPE1!R70C21</stp>
        <stp>YAS_BOND_YLD=2.9537402</stp>
        <stp>YAS_YLD_CONV=2</stp>
        <tr r="U70" s="4"/>
      </tp>
      <tp>
        <v>100.61718752323699</v>
        <stp/>
        <stp>##V3_BDPV12</stp>
        <stp>912828QN Govt</stp>
        <stp>YAS_BOND_PX</stp>
        <stp>[BondCurveFitting.xlsm]US_TREASURY_TYPE1!R15C21</stp>
        <stp>YAS_BOND_YLD=2.8671066</stp>
        <stp>YAS_YLD_CONV=2</stp>
        <tr r="U15" s="4"/>
      </tp>
      <tp>
        <v>98.093749975503641</v>
        <stp/>
        <stp>##V3_BDPV12</stp>
        <stp>912828B9 Govt</stp>
        <stp>YAS_BOND_PX</stp>
        <stp>[BondCurveFitting.xlsm]US_TREASURY_TYPE1!R11C21</stp>
        <stp>YAS_BOND_YLD=2.8661905</stp>
        <stp>YAS_YLD_CONV=2</stp>
        <tr r="U11" s="4"/>
      </tp>
      <tp>
        <v>94.015625169636138</v>
        <stp/>
        <stp>##V3_BDPV12</stp>
        <stp>912828V9 Govt</stp>
        <stp>YAS_BOND_PX</stp>
        <stp>[BondCurveFitting.xlsm]US_TREASURY_TYPE1!R87C21</stp>
        <stp>YAS_BOND_YLD=3.0768122</stp>
        <stp>YAS_YLD_CONV=2</stp>
        <tr r="U87" s="4"/>
      </tp>
      <tp>
        <v>98.10937489974917</v>
        <stp/>
        <stp>##V3_BDPV12</stp>
        <stp>912828WR Govt</stp>
        <stp>YAS_BOND_PX</stp>
        <stp>[BondCurveFitting.xlsm]US_TREASURY_TYPE1!R19C21</stp>
        <stp>YAS_BOND_YLD=2.8781474</stp>
        <stp>YAS_YLD_CONV=2</stp>
        <tr r="U19" s="4"/>
      </tp>
      <tp>
        <v>90.265625549783664</v>
        <stp/>
        <stp>##V3_BDPV12</stp>
        <stp>912810QX Govt</stp>
        <stp>YAS_BOND_PX</stp>
        <stp>[BondCurveFitting.xlsm]US_TREASURY_TYPE1!R115C21</stp>
        <stp>YAS_BOND_YLD=3.347265</stp>
        <stp>YAS_YLD_CONV=2</stp>
        <tr r="U115" s="4"/>
      </tp>
      <tp>
        <v>16.777895090091732</v>
        <stp/>
        <stp>##V3_BDPV12</stp>
        <stp>912810RM Govt</stp>
        <stp>YAS_RISK</stp>
        <stp>[BondCurveFitting.xlsm]US_TREASURY_TYPE1!R126C25</stp>
        <stp>YLD_YTM_ASK=3.349629</stp>
        <stp>YAS_YLD_CONV=3</stp>
        <tr r="Y126" s="4"/>
      </tp>
      <tp>
        <v>15.281661505859745</v>
        <stp/>
        <stp>##V3_BDPV12</stp>
        <stp>912810QX Govt</stp>
        <stp>YAS_RISK</stp>
        <stp>[BondCurveFitting.xlsm]US_TREASURY_TYPE1!R115C25</stp>
        <stp>YLD_YTM_ASK=3.347265</stp>
        <stp>YAS_YLD_CONV=3</stp>
        <tr r="Y115" s="4"/>
      </tp>
      <tp>
        <v>93.890624791337657</v>
        <stp/>
        <stp>##V3_BDPV12</stp>
        <stp>912810RM Govt</stp>
        <stp>YAS_BOND_PX</stp>
        <stp>[BondCurveFitting.xlsm]US_TREASURY_TYPE1!R126C21</stp>
        <stp>YAS_BOND_YLD=3.349629</stp>
        <stp>YAS_YLD_CONV=2</stp>
        <tr r="U126" s="4"/>
      </tp>
      <tp>
        <v>3.8828102052107738</v>
        <stp/>
        <stp>##V3_BDPV12</stp>
        <stp>912828UN Govt</stp>
        <stp>YAS_RISK</stp>
        <stp>[BondCurveFitting.xlsm]US_TREASURY_TYPE1!R52C25</stp>
        <stp>YLD_YTM_ASK=2.927193</stp>
        <stp>YAS_YLD_CONV=3</stp>
        <tr r="Y52" s="4"/>
      </tp>
      <tp>
        <v>101.66406257043026</v>
        <stp/>
        <stp>##V3_BDPV12</stp>
        <stp>912828PX Govt</stp>
        <stp>YAS_BOND_PX</stp>
        <stp>[BondCurveFitting.xlsm]US_TREASURY_TYPE1!R9C21</stp>
        <stp>YAS_BOND_YLD=2.853771</stp>
        <stp>YAS_YLD_CONV=2</stp>
        <tr r="U9" s="4"/>
      </tp>
      <tp>
        <v>3.3156051181987429</v>
        <stp/>
        <stp>##V3_BDPV12</stp>
        <stp>912828WZ Govt</stp>
        <stp>DUR_ADJ_ASK</stp>
        <stp>[BondCurveFitting.xlsm]US_TREASURY_TYPE1!R40C29</stp>
        <stp>YLD_YTM_ASK=2.9102916</stp>
        <stp>YAS_YLD_CONV=3</stp>
        <tr r="AC40" s="4"/>
      </tp>
      <tp>
        <v>3.8267284561497168</v>
        <stp/>
        <stp>##V3_BDPV12</stp>
        <stp>912828TY Govt</stp>
        <stp>DUR_ADJ_ASK</stp>
        <stp>[BondCurveFitting.xlsm]US_TREASURY_TYPE1!R49C29</stp>
        <stp>YLD_YTM_ASK=2.9261899</stp>
        <stp>YAS_YLD_CONV=3</stp>
        <tr r="AC49" s="4"/>
      </tp>
      <tp>
        <v>6.1803175219279547</v>
        <stp/>
        <stp>##V3_BDPV12</stp>
        <stp>912810EX Govt</stp>
        <stp>DUR_ADJ_ASK</stp>
        <stp>[BondCurveFitting.xlsm]US_TREASURY_TYPE1!R82C29</stp>
        <stp>YLD_YTM_ASK=3.0093846</stp>
        <stp>YAS_YLD_CONV=3</stp>
        <tr r="AC82" s="4"/>
      </tp>
      <tp>
        <v>120.35937500175999</v>
        <stp/>
        <stp>##V3_BDPV12</stp>
        <stp>912810QE Govt</stp>
        <stp>YAS_BOND_PX</stp>
        <stp>[BondCurveFitting.xlsm]US_TREASURY_TYPE1!R105C21</stp>
        <stp>YAS_BOND_YLD=3.2858418</stp>
        <stp>YAS_YLD_CONV=2</stp>
        <tr r="U105" s="4"/>
      </tp>
      <tp>
        <v>12.670014130921272</v>
        <stp/>
        <stp>##V3_BDPV12</stp>
        <stp>912810PT Govt</stp>
        <stp>DUR_ADJ_ASK</stp>
        <stp>[BondCurveFitting.xlsm]US_TREASURY_TYPE1!R97C29</stp>
        <stp>YLD_YTM_ASK=3.2068304</stp>
        <stp>YAS_YLD_CONV=3</stp>
        <tr r="AC97" s="4"/>
      </tp>
      <tp>
        <v>118.18749981797814</v>
        <stp/>
        <stp>##V3_BDPV12</stp>
        <stp>912810PX Govt</stp>
        <stp>YAS_BOND_PX</stp>
        <stp>[BondCurveFitting.xlsm]US_TREASURY_TYPE1!R100C21</stp>
        <stp>YAS_BOND_YLD=3.2349841</stp>
        <stp>YAS_YLD_CONV=2</stp>
        <tr r="U100" s="4"/>
      </tp>
      <tp>
        <v>106.85937559154084</v>
        <stp/>
        <stp>##V3_BDPV12</stp>
        <stp>912810QS Govt</stp>
        <stp>YAS_BOND_PX</stp>
        <stp>[BondCurveFitting.xlsm]US_TREASURY_TYPE1!R111C21</stp>
        <stp>YAS_BOND_YLD=3.3178583</stp>
        <stp>YAS_YLD_CONV=2</stp>
        <tr r="U111" s="4"/>
      </tp>
      <tp>
        <v>85.140625618038456</v>
        <stp/>
        <stp>##V3_BDPV12</stp>
        <stp>912810RK Govt</stp>
        <stp>YAS_BOND_PX</stp>
        <stp>[BondCurveFitting.xlsm]US_TREASURY_TYPE1!R125C21</stp>
        <stp>YAS_BOND_YLD=3.3558955</stp>
        <stp>YAS_YLD_CONV=2</stp>
        <tr r="U125" s="4"/>
      </tp>
      <tp>
        <v>96.17187473281669</v>
        <stp/>
        <stp>##V3_BDPV12</stp>
        <stp>912810RH Govt</stp>
        <stp>YAS_BOND_PX</stp>
        <stp>[BondCurveFitting.xlsm]US_TREASURY_TYPE1!R123C21</stp>
        <stp>YAS_BOND_YLD=3.3478328</stp>
        <stp>YAS_YLD_CONV=2</stp>
        <tr r="U123" s="4"/>
      </tp>
      <tp>
        <v>6.4594877470451735</v>
        <stp/>
        <stp>##V3_BDPV12</stp>
        <stp>912810EY Govt</stp>
        <stp>DUR_ADJ_ASK</stp>
        <stp>[BondCurveFitting.xlsm]US_TREASURY_TYPE1!R84C29</stp>
        <stp>YLD_YTM_ASK=3.0217485</stp>
        <stp>YAS_YLD_CONV=3</stp>
        <tr r="AC84" s="4"/>
      </tp>
      <tp>
        <v>2.5860705465654283</v>
        <stp/>
        <stp>##V3_BDPV12</stp>
        <stp>912828WY Govt</stp>
        <stp>DUR_ADJ_ASK</stp>
        <stp>[BondCurveFitting.xlsm]US_TREASURY_TYPE1!R21C29</stp>
        <stp>YLD_YTM_ASK=2.8867912</stp>
        <stp>YAS_YLD_CONV=3</stp>
        <tr r="AC21" s="4"/>
      </tp>
      <tp>
        <v>13.353079400652884</v>
        <stp/>
        <stp>##V3_BDPV12</stp>
        <stp>912810PW Govt</stp>
        <stp>DUR_ADJ_ASK</stp>
        <stp>[BondCurveFitting.xlsm]US_TREASURY_TYPE1!R99C29</stp>
        <stp>YLD_YTM_ASK=3.2309869</stp>
        <stp>YAS_YLD_CONV=3</stp>
        <tr r="AC99" s="4"/>
      </tp>
      <tp>
        <v>93.796875413783567</v>
        <stp/>
        <stp>##V3_BDPV12</stp>
        <stp>912810RP Govt</stp>
        <stp>YAS_BOND_PX</stp>
        <stp>[BondCurveFitting.xlsm]US_TREASURY_TYPE1!R128C21</stp>
        <stp>YAS_BOND_YLD=3.3509526</stp>
        <stp>YAS_YLD_CONV=2</stp>
        <tr r="U128" s="4"/>
      </tp>
      <tp>
        <v>100.50000018563502</v>
        <stp/>
        <stp>##V3_BDPV12</stp>
        <stp>912810RG Govt</stp>
        <stp>YAS_BOND_PX</stp>
        <stp>[BondCurveFitting.xlsm]US_TREASURY_TYPE1!R122C21</stp>
        <stp>YAS_BOND_YLD=3.3456922</stp>
        <stp>YAS_YLD_CONV=2</stp>
        <tr r="U122" s="4"/>
      </tp>
      <tp>
        <v>104.65624983938557</v>
        <stp/>
        <stp>##V3_BDPV12</stp>
        <stp>912810RC Govt</stp>
        <stp>YAS_BOND_PX</stp>
        <stp>[BondCurveFitting.xlsm]US_TREASURY_TYPE1!R119C21</stp>
        <stp>YAS_BOND_YLD=3.3465933</stp>
        <stp>YAS_YLD_CONV=2</stp>
        <tr r="U119" s="4"/>
      </tp>
      <tp>
        <v>4.4103522945017071</v>
        <stp/>
        <stp>##V3_BDPV12</stp>
        <stp>912828VS Govt</stp>
        <stp>DUR_ADJ_ASK</stp>
        <stp>[BondCurveFitting.xlsm]US_TREASURY_TYPE1!R61C29</stp>
        <stp>YLD_YTM_ASK=2.9343545</stp>
        <stp>YAS_YLD_CONV=3</stp>
        <tr r="AC61" s="4"/>
      </tp>
      <tp>
        <v>118.35937568009724</v>
        <stp/>
        <stp>##V3_BDPV12</stp>
        <stp>912810QC Govt</stp>
        <stp>YAS_BOND_PX</stp>
        <stp>[BondCurveFitting.xlsm]US_TREASURY_TYPE1!R103C21</stp>
        <stp>YAS_BOND_YLD=3.2735755</stp>
        <stp>YAS_YLD_CONV=2</stp>
        <tr r="U103" s="4"/>
      </tp>
      <tp>
        <v>106.82812472152409</v>
        <stp/>
        <stp>##V3_BDPV12</stp>
        <stp>912810RD Govt</stp>
        <stp>YAS_BOND_PX</stp>
        <stp>[BondCurveFitting.xlsm]US_TREASURY_TYPE1!R120C21</stp>
        <stp>YAS_BOND_YLD=3.3447664</stp>
        <stp>YAS_YLD_CONV=2</stp>
        <tr r="U120" s="4"/>
      </tp>
      <tp>
        <v>108.82812547692873</v>
        <stp/>
        <stp>##V3_BDPV12</stp>
        <stp>912810QK Govt</stp>
        <stp>YAS_BOND_PX</stp>
        <stp>[BondCurveFitting.xlsm]US_TREASURY_TYPE1!R107C21</stp>
        <stp>YAS_BOND_YLD=3.3025212</stp>
        <stp>YAS_YLD_CONV=2</stp>
        <tr r="U107" s="4"/>
      </tp>
      <tp>
        <v>12.298596256130507</v>
        <stp/>
        <stp>##V3_BDPV12</stp>
        <stp>912810FT Govt</stp>
        <stp>DUR_ADJ_ASK</stp>
        <stp>[BondCurveFitting.xlsm]US_TREASURY_TYPE1!R96C29</stp>
        <stp>YLD_YTM_ASK=3.1935095</stp>
        <stp>YAS_YLD_CONV=3</stp>
        <tr r="AC96" s="4"/>
      </tp>
      <tp>
        <v>5.9445886112865889</v>
        <stp/>
        <stp>##V3_BDPV12</stp>
        <stp>912810EW Govt</stp>
        <stp>DUR_ADJ_ASK</stp>
        <stp>[BondCurveFitting.xlsm]US_TREASURY_TYPE1!R79C29</stp>
        <stp>YLD_YTM_ASK=2.9976651</stp>
        <stp>YAS_YLD_CONV=3</stp>
        <tr r="AC79" s="4"/>
      </tp>
      <tp>
        <v>122.65625063477783</v>
        <stp/>
        <stp>##V3_BDPV12</stp>
        <stp>912810QN Govt</stp>
        <stp>YAS_BOND_PX</stp>
        <stp>[BondCurveFitting.xlsm]US_TREASURY_TYPE1!R109C21</stp>
        <stp>YAS_BOND_YLD=3.3036119</stp>
        <stp>YAS_YLD_CONV=2</stp>
        <tr r="U109" s="4"/>
      </tp>
      <tp>
        <v>114.60937419903311</v>
        <stp/>
        <stp>##V3_BDPV12</stp>
        <stp>912810QB Govt</stp>
        <stp>YAS_BOND_PX</stp>
        <stp>[BondCurveFitting.xlsm]US_TREASURY_TYPE1!R102C21</stp>
        <stp>YAS_BOND_YLD=3.2666043</stp>
        <stp>YAS_YLD_CONV=2</stp>
        <tr r="U102" s="4"/>
      </tp>
      <tp>
        <v>9.2269557611639588</v>
        <stp/>
        <stp>##V3_BDPV12</stp>
        <stp>912810FP Govt</stp>
        <stp>DUR_ADJ_ASK</stp>
        <stp>[BondCurveFitting.xlsm]US_TREASURY_TYPE1!R95C29</stp>
        <stp>YLD_YTM_ASK=3.1382462</stp>
        <stp>YAS_YLD_CONV=3</stp>
        <tr r="AC95" s="4"/>
      </tp>
      <tp>
        <v>84.74999932340846</v>
        <stp/>
        <stp>##V3_BDPV12</stp>
        <stp>912810RQ Govt</stp>
        <stp>YAS_BOND_PX</stp>
        <stp>[BondCurveFitting.xlsm]US_TREASURY_TYPE1!R129C21</stp>
        <stp>YAS_BOND_YLD=3.3585287</stp>
        <stp>YAS_YLD_CONV=2</stp>
        <tr r="U129" s="4"/>
      </tp>
      <tp>
        <v>92.109375303031683</v>
        <stp/>
        <stp>##V3_BDPV12</stp>
        <stp>912810RB Govt</stp>
        <stp>YAS_BOND_PX</stp>
        <stp>[BondCurveFitting.xlsm]US_TREASURY_TYPE1!R118C21</stp>
        <stp>YAS_BOND_YLD=3.3496731</stp>
        <stp>YAS_YLD_CONV=2</stp>
        <tr r="U118" s="4"/>
      </tp>
      <tp>
        <v>116.56249977671465</v>
        <stp/>
        <stp>##V3_BDPV12</stp>
        <stp>912810QH Govt</stp>
        <stp>YAS_BOND_PX</stp>
        <stp>[BondCurveFitting.xlsm]US_TREASURY_TYPE1!R106C21</stp>
        <stp>YAS_BOND_YLD=3.2937842</stp>
        <stp>YAS_YLD_CONV=2</stp>
        <tr r="U106" s="4"/>
      </tp>
      <tp>
        <v>94.531250441086684</v>
        <stp/>
        <stp>##V3_BDPV12</stp>
        <stp>912810QW Govt</stp>
        <stp>YAS_BOND_PX</stp>
        <stp>[BondCurveFitting.xlsm]US_TREASURY_TYPE1!R114C21</stp>
        <stp>YAS_BOND_YLD=3.3376494</stp>
        <stp>YAS_YLD_CONV=2</stp>
        <tr r="U114" s="4"/>
      </tp>
      <tp>
        <v>104.73437565806287</v>
        <stp/>
        <stp>##V3_BDPV12</stp>
        <stp>912810RE Govt</stp>
        <stp>YAS_BOND_PX</stp>
        <stp>[BondCurveFitting.xlsm]US_TREASURY_TYPE1!R121C21</stp>
        <stp>YAS_BOND_YLD=3.3455686</stp>
        <stp>YAS_YLD_CONV=2</stp>
        <tr r="U121" s="4"/>
      </tp>
      <tp>
        <v>96.718750055725295</v>
        <stp/>
        <stp>##V3_BDPV12</stp>
        <stp>912810QU Govt</stp>
        <stp>YAS_BOND_PX</stp>
        <stp>[BondCurveFitting.xlsm]US_TREASURY_TYPE1!R113C21</stp>
        <stp>YAS_BOND_YLD=3.3286447</stp>
        <stp>YAS_YLD_CONV=2</stp>
        <tr r="U113" s="4"/>
      </tp>
      <tp>
        <v>12.790567537468695</v>
        <stp/>
        <stp>##V3_BDPV12</stp>
        <stp>912810PU Govt</stp>
        <stp>DUR_ADJ_ASK</stp>
        <stp>[BondCurveFitting.xlsm]US_TREASURY_TYPE1!R98C29</stp>
        <stp>YLD_YTM_ASK=3.2106304</stp>
        <stp>YAS_YLD_CONV=3</stp>
        <tr r="AC98" s="4"/>
      </tp>
      <tp>
        <v>3.5164059103176637</v>
        <stp/>
        <stp>##V3_BDPV12</stp>
        <stp>912828XQ Govt</stp>
        <stp>DUR_ADJ_ASK</stp>
        <stp>[BondCurveFitting.xlsm]US_TREASURY_TYPE1!R44C29</stp>
        <stp>YLD_YTM_ASK=2.9152516</stp>
        <stp>YAS_YLD_CONV=3</stp>
        <tr r="AC44" s="4"/>
      </tp>
      <tp>
        <v>5.4961210858850889</v>
        <stp/>
        <stp>##V3_BDPV12</stp>
        <stp>912810EV Govt</stp>
        <stp>DUR_ADJ_ASK</stp>
        <stp>[BondCurveFitting.xlsm]US_TREASURY_TYPE1!R76C29</stp>
        <stp>YLD_YTM_ASK=2.9915471</stp>
        <stp>YAS_YLD_CONV=3</stp>
        <tr r="AC76" s="4"/>
      </tp>
      <tp>
        <v>2.5074185891847636</v>
        <stp/>
        <stp>##V3_BDPV12</stp>
        <stp>912828WR Govt</stp>
        <stp>DUR_ADJ_ASK</stp>
        <stp>[BondCurveFitting.xlsm]US_TREASURY_TYPE1!R19C29</stp>
        <stp>YLD_YTM_ASK=2.8781474</stp>
        <stp>YAS_YLD_CONV=3</stp>
        <tr r="AC19" s="4"/>
      </tp>
      <tp>
        <v>6.5220015582614659</v>
        <stp/>
        <stp>##V3_BDPV12</stp>
        <stp>912810EZ Govt</stp>
        <stp>DUR_ADJ_ASK</stp>
        <stp>[BondCurveFitting.xlsm]US_TREASURY_TYPE1!R86C29</stp>
        <stp>YLD_YTM_ASK=3.0309878</stp>
        <stp>YAS_YLD_CONV=3</stp>
        <tr r="AC86" s="4"/>
      </tp>
      <tp>
        <v>103.54687498353037</v>
        <stp/>
        <stp>##V3_BDPV12</stp>
        <stp>912810QA Govt</stp>
        <stp>YAS_BOND_PX</stp>
        <stp>[BondCurveFitting.xlsm]US_TREASURY_TYPE1!R101C21</stp>
        <stp>YAS_BOND_YLD=3.2590999</stp>
        <stp>YAS_YLD_CONV=2</stp>
        <tr r="U101" s="4"/>
      </tp>
      <tp>
        <v>91.578124881646957</v>
        <stp/>
        <stp>##V3_BDPV12</stp>
        <stp>912810RN Govt</stp>
        <stp>YAS_BOND_PX</stp>
        <stp>[BondCurveFitting.xlsm]US_TREASURY_TYPE1!R127C21</stp>
        <stp>YAS_BOND_YLD=3.3542506</stp>
        <stp>YAS_YLD_CONV=2</stp>
        <tr r="U127" s="4"/>
      </tp>
      <tp>
        <v>90.187499295512978</v>
        <stp/>
        <stp>##V3_BDPV12</stp>
        <stp>912810QY Govt</stp>
        <stp>YAS_BOND_PX</stp>
        <stp>[BondCurveFitting.xlsm]US_TREASURY_TYPE1!R116C21</stp>
        <stp>YAS_BOND_YLD=3.3481682</stp>
        <stp>YAS_YLD_CONV=2</stp>
        <tr r="U116" s="4"/>
      </tp>
      <tp>
        <v>80.062500719888874</v>
        <stp/>
        <stp>##V3_BDPV12</stp>
        <stp>912810RT Govt</stp>
        <stp>YAS_BOND_PX</stp>
        <stp>[BondCurveFitting.xlsm]US_TREASURY_TYPE1!R131C21</stp>
        <stp>YAS_BOND_YLD=3.3603112</stp>
        <stp>YAS_YLD_CONV=2</stp>
        <tr r="U131" s="4"/>
      </tp>
      <tp>
        <v>96.328124577367987</v>
        <stp/>
        <stp>##V3_BDPV12</stp>
        <stp>912810QZ Govt</stp>
        <stp>YAS_BOND_PX</stp>
        <stp>[BondCurveFitting.xlsm]US_TREASURY_TYPE1!R117C21</stp>
        <stp>YAS_BOND_YLD=3.3471084</stp>
        <stp>YAS_YLD_CONV=2</stp>
        <tr r="U117" s="4"/>
      </tp>
      <tp>
        <v>2.8812077516195536</v>
        <stp/>
        <stp>##V3_BDPV12</stp>
        <stp>912828RR Govt</stp>
        <stp>DUR_ADJ_ASK</stp>
        <stp>[BondCurveFitting.xlsm]US_TREASURY_TYPE1!R29C29</stp>
        <stp>YLD_YTM_ASK=2.8876665</stp>
        <stp>YAS_YLD_CONV=3</stp>
        <tr r="AC29" s="4"/>
      </tp>
      <tp>
        <v>114.68750032672176</v>
        <stp/>
        <stp>##V3_BDPV12</stp>
        <stp>912810QL Govt</stp>
        <stp>YAS_BOND_PX</stp>
        <stp>[BondCurveFitting.xlsm]US_TREASURY_TYPE1!R108C21</stp>
        <stp>YAS_BOND_YLD=3.3051509</stp>
        <stp>YAS_YLD_CONV=2</stp>
        <tr r="U108" s="4"/>
      </tp>
      <tp>
        <v>93.984375529950341</v>
        <stp/>
        <stp>##V3_BDPV12</stp>
        <stp>912810RJ Govt</stp>
        <stp>YAS_BOND_PX</stp>
        <stp>[BondCurveFitting.xlsm]US_TREASURY_TYPE1!R124C21</stp>
        <stp>YAS_BOND_YLD=3.3483479</stp>
        <stp>YAS_YLD_CONV=2</stp>
        <tr r="U124" s="4"/>
      </tp>
      <tp>
        <v>116.76562464446457</v>
        <stp/>
        <stp>##V3_BDPV12</stp>
        <stp>912810QQ Govt</stp>
        <stp>YAS_BOND_PX</stp>
        <stp>[BondCurveFitting.xlsm]US_TREASURY_TYPE1!R110C21</stp>
        <stp>YAS_BOND_YLD=3.3120743</stp>
        <stp>YAS_YLD_CONV=2</stp>
        <tr r="U110" s="4"/>
      </tp>
      <tp>
        <v>96.320312356551952</v>
        <stp/>
        <stp>##V3_BDPV12</stp>
        <stp>912828UN Govt</stp>
        <stp>YAS_BOND_PX</stp>
        <stp>[BondCurveFitting.xlsm]US_TREASURY_TYPE1!R52C21</stp>
        <stp>YAS_BOND_YLD=2.927193</stp>
        <stp>YAS_YLD_CONV=2</stp>
        <tr r="U52" s="4"/>
      </tp>
      <tp>
        <v>84.656249318304447</v>
        <stp/>
        <stp>##V3_BDPV12</stp>
        <stp>912810RS Govt</stp>
        <stp>YAS_BOND_PX</stp>
        <stp>[BondCurveFitting.xlsm]US_TREASURY_TYPE1!R130C21</stp>
        <stp>YAS_BOND_YLD=3.3591997</stp>
        <stp>YAS_YLD_CONV=2</stp>
        <tr r="U130" s="4"/>
      </tp>
      <tp>
        <v>91.3437496395577</v>
        <stp/>
        <stp>##V3_BDPV12</stp>
        <stp>912810RU Govt</stp>
        <stp>YAS_BOND_PX</stp>
        <stp>[BondCurveFitting.xlsm]US_TREASURY_TYPE1!R132C21</stp>
        <stp>YAS_BOND_YLD=3.3541494</stp>
        <stp>YAS_YLD_CONV=2</stp>
        <tr r="U132" s="4"/>
      </tp>
      <tp>
        <v>96.81249968834932</v>
        <stp/>
        <stp>##V3_BDPV12</stp>
        <stp>912810QT Govt</stp>
        <stp>YAS_BOND_PX</stp>
        <stp>[BondCurveFitting.xlsm]US_TREASURY_TYPE1!R112C21</stp>
        <stp>YAS_BOND_YLD=3.3243621</stp>
        <stp>YAS_YLD_CONV=2</stp>
        <tr r="U112" s="4"/>
      </tp>
      <tp>
        <v>116.48437578187612</v>
        <stp/>
        <stp>##V3_BDPV12</stp>
        <stp>912810QD Govt</stp>
        <stp>YAS_BOND_PX</stp>
        <stp>[BondCurveFitting.xlsm]US_TREASURY_TYPE1!R104C21</stp>
        <stp>YAS_BOND_YLD=3.2823696</stp>
        <stp>YAS_YLD_CONV=2</stp>
        <tr r="U104" s="4"/>
      </tp>
      <tp>
        <v>3.3564679975546339</v>
        <stp/>
        <stp>##V3_BDPV12</stp>
        <stp>912828SV Govt</stp>
        <stp>DUR_ADJ_ASK</stp>
        <stp>[BondCurveFitting.xlsm]US_TREASURY_TYPE1!R41C29</stp>
        <stp>YLD_YTM_ASK=2.9091658</stp>
        <stp>YAS_YLD_CONV=3</stp>
        <tr r="AC41" s="4"/>
      </tp>
      <tp>
        <v>4.109572730706601</v>
        <stp/>
        <stp>##V3_BDPV12</stp>
        <stp>912810EQ Govt</stp>
        <stp>DUR_ADJ_ASK</stp>
        <stp>[BondCurveFitting.xlsm]US_TREASURY_TYPE1!R60C29</stp>
        <stp>YLD_YTM_ASK=2.9086008</stp>
        <stp>YAS_YLD_CONV=3</stp>
        <tr r="AC60" s="4"/>
      </tp>
      <tp>
        <v>4.2767270920934557</v>
        <stp/>
        <stp>##V3_BDPV12</stp>
        <stp>912828VB Govt</stp>
        <stp>DUR_ADJ_ASK</stp>
        <stp>[BondCurveFitting.xlsm]US_TREASURY_TYPE1!R56C29</stp>
        <stp>YLD_YTM_ASK=2.9278947</stp>
        <stp>YAS_YLD_CONV=3</stp>
        <tr r="AC56" s="4"/>
      </tp>
      <tp>
        <v>4.5621290621520929</v>
        <stp/>
        <stp>##V3_BDPV12</stp>
        <stp>9128282D Govt</stp>
        <stp>DUR_ADJ_ASK</stp>
        <stp>[BondCurveFitting.xlsm]US_TREASURY_TYPE1!R62C29</stp>
        <stp>YLD_YTM_ASK=2.9388056</stp>
        <stp>YAS_YLD_CONV=3</stp>
        <tr r="AC62" s="4"/>
      </tp>
      <tp>
        <v>7.676297797288381</v>
        <stp/>
        <stp>##V3_BDPV12</stp>
        <stp>912810FE Govt</stp>
        <stp>DUR_ADJ_ASK</stp>
        <stp>[BondCurveFitting.xlsm]US_TREASURY_TYPE1!R90C29</stp>
        <stp>YLD_YTM_ASK=3.1038676</stp>
        <stp>YAS_YLD_CONV=3</stp>
        <tr r="AC90" s="4"/>
      </tp>
      <tp>
        <v>3.5805283178677132</v>
        <stp/>
        <stp>##V3_BDPV12</stp>
        <stp>912828TJ Govt</stp>
        <stp>DUR_ADJ_ASK</stp>
        <stp>[BondCurveFitting.xlsm]US_TREASURY_TYPE1!R45C29</stp>
        <stp>YLD_YTM_ASK=2.9187841</stp>
        <stp>YAS_YLD_CONV=3</stp>
        <tr r="AC45" s="4"/>
      </tp>
      <tp>
        <v>5.0898515809248579</v>
        <stp/>
        <stp>##V3_BDPV12</stp>
        <stp>912828WJ Govt</stp>
        <stp>DUR_ADJ_ASK</stp>
        <stp>[BondCurveFitting.xlsm]US_TREASURY_TYPE1!R71C29</stp>
        <stp>YLD_YTM_ASK=2.9604637</stp>
        <stp>YAS_YLD_CONV=3</stp>
        <tr r="AC71" s="4"/>
      </tp>
      <tp>
        <v>8.6665866663877384</v>
        <stp/>
        <stp>##V3_BDPV12</stp>
        <stp>912810FM Govt</stp>
        <stp>DUR_ADJ_ASK</stp>
        <stp>[BondCurveFitting.xlsm]US_TREASURY_TYPE1!R94C29</stp>
        <stp>YLD_YTM_ASK=3.1253541</stp>
        <stp>YAS_YLD_CONV=3</stp>
        <tr r="AC94" s="4"/>
      </tp>
      <tp>
        <v>2.3875373416646726</v>
        <stp/>
        <stp>##V3_BDPV12</stp>
        <stp>912828QN Govt</stp>
        <stp>DUR_ADJ_ASK</stp>
        <stp>[BondCurveFitting.xlsm]US_TREASURY_TYPE1!R15C29</stp>
        <stp>YLD_YTM_ASK=2.8671066</stp>
        <stp>YAS_YLD_CONV=3</stp>
        <tr r="AC15" s="4"/>
      </tp>
      <tp>
        <v>3.0982270003778067</v>
        <stp/>
        <stp>##V3_BDPV12</stp>
        <stp>912828SF Govt</stp>
        <stp>DUR_ADJ_ASK</stp>
        <stp>[BondCurveFitting.xlsm]US_TREASURY_TYPE1!R36C29</stp>
        <stp>YLD_YTM_ASK=2.8979419</stp>
        <stp>YAS_YLD_CONV=3</stp>
        <tr r="AC36" s="4"/>
      </tp>
      <tp>
        <v>2.4288936574940245</v>
        <stp/>
        <stp>##V3_BDPV12</stp>
        <stp>912828WN Govt</stp>
        <stp>DUR_ADJ_ASK</stp>
        <stp>[BondCurveFitting.xlsm]US_TREASURY_TYPE1!R17C29</stp>
        <stp>YLD_YTM_ASK=2.8771428</stp>
        <stp>YAS_YLD_CONV=3</stp>
        <tr r="AC17" s="4"/>
      </tp>
      <tp>
        <v>7.1651389691264313</v>
        <stp/>
        <stp>##V3_BDPV12</stp>
        <stp>912810FB Govt</stp>
        <stp>DUR_ADJ_ASK</stp>
        <stp>[BondCurveFitting.xlsm]US_TREASURY_TYPE1!R89C29</stp>
        <stp>YLD_YTM_ASK=3.0822162</stp>
        <stp>YAS_YLD_CONV=3</stp>
        <tr r="AC89" s="4"/>
      </tp>
      <tp>
        <v>2.8961125000000001</v>
        <stp/>
        <stp>##V3_BDPV12</stp>
        <stp>9128282F Govt</stp>
        <stp>YLD_YTM_ASK</stp>
        <stp>[BondCurveFitting.xlsm]US_TREASURY_TYPE1!R23C14</stp>
        <tr r="N23" s="4"/>
      </tp>
      <tp>
        <v>2.9388056000000002</v>
        <stp/>
        <stp>##V3_BDPV12</stp>
        <stp>9128282D Govt</stp>
        <stp>YLD_YTM_ASK</stp>
        <stp>[BondCurveFitting.xlsm]US_TREASURY_TYPE1!R62C14</stp>
        <tr r="N62" s="4"/>
      </tp>
      <tp>
        <v>3.0573155000000001</v>
        <stp/>
        <stp>##V3_BDPV12</stp>
        <stp>9128282A Govt</stp>
        <stp>YLD_YTM_ASK</stp>
        <stp>[BondCurveFitting.xlsm]US_TREASURY_TYPE1!R83C14</stp>
        <tr r="N83" s="4"/>
      </tp>
      <tp>
        <v>2.1412039620987402</v>
        <stp/>
        <stp>##V3_BDPV12</stp>
        <stp>912828N8 Govt</stp>
        <stp>DUR_ADJ_ASK</stp>
        <stp>[BondCurveFitting.xlsm]US_TREASURY_TYPE1!R7C29</stp>
        <stp>YLD_YTM_ASK=2.8644356</stp>
        <stp>YAS_YLD_CONV=3</stp>
        <tr r="AC7" s="4"/>
      </tp>
      <tp>
        <v>2.1235870326855224</v>
        <stp/>
        <stp>##V3_BDPV12</stp>
        <stp>912828B5 Govt</stp>
        <stp>DUR_ADJ_ASK</stp>
        <stp>[BondCurveFitting.xlsm]US_TREASURY_TYPE1!R8C29</stp>
        <stp>YLD_YTM_ASK=2.8598938</stp>
        <stp>YAS_YLD_CONV=3</stp>
        <tr r="AC8" s="4"/>
      </tp>
      <tp>
        <v>7.9756892003178246</v>
        <stp/>
        <stp>##V3_BDPV12</stp>
        <stp>912810FF Govt</stp>
        <stp>DUR_ADJ_ASK</stp>
        <stp>[BondCurveFitting.xlsm]US_TREASURY_TYPE1!R91C29</stp>
        <stp>YLD_YTM_ASK=3.1117818</stp>
        <stp>YAS_YLD_CONV=3</stp>
        <tr r="AC91" s="4"/>
      </tp>
      <tp>
        <v>7.1730804762353744</v>
        <stp/>
        <stp>##V3_BDPV12</stp>
        <stp>9128282A Govt</stp>
        <stp>DUR_ADJ_ASK</stp>
        <stp>[BondCurveFitting.xlsm]US_TREASURY_TYPE1!R83C29</stp>
        <stp>YLD_YTM_ASK=3.0573155</stp>
        <stp>YAS_YLD_CONV=3</stp>
        <tr r="AC83" s="4"/>
      </tp>
      <tp>
        <v>8.1542927659248434</v>
        <stp/>
        <stp>##V3_BDPV12</stp>
        <stp>912810FJ Govt</stp>
        <stp>DUR_ADJ_ASK</stp>
        <stp>[BondCurveFitting.xlsm]US_TREASURY_TYPE1!R93C29</stp>
        <stp>YLD_YTM_ASK=3.1218901</stp>
        <stp>YAS_YLD_CONV=3</stp>
        <tr r="AC93" s="4"/>
      </tp>
      <tp>
        <v>8.0478536897264963</v>
        <stp/>
        <stp>##V3_BDPV12</stp>
        <stp>912810FG Govt</stp>
        <stp>DUR_ADJ_ASK</stp>
        <stp>[BondCurveFitting.xlsm]US_TREASURY_TYPE1!R92C29</stp>
        <stp>YLD_YTM_ASK=3.1174846</stp>
        <stp>YAS_YLD_CONV=3</stp>
        <tr r="AC92" s="4"/>
      </tp>
      <tp>
        <v>2.6305220412604324</v>
        <stp/>
        <stp>##V3_BDPV12</stp>
        <stp>912828RC Govt</stp>
        <stp>DUR_ADJ_ASK</stp>
        <stp>[BondCurveFitting.xlsm]US_TREASURY_TYPE1!R22C29</stp>
        <stp>YLD_YTM_ASK=2.8867542</stp>
        <stp>YAS_YLD_CONV=3</stp>
        <tr r="AC22" s="4"/>
      </tp>
      <tp>
        <v>5.9990030909329244</v>
        <stp/>
        <stp>##V3_BDPV12</stp>
        <stp>912828XB Govt</stp>
        <stp>DUR_ADJ_ASK</stp>
        <stp>[BondCurveFitting.xlsm]US_TREASURY_TYPE1!R75C29</stp>
        <stp>YLD_YTM_ASK=3.0086245</stp>
        <stp>YAS_YLD_CONV=3</stp>
        <tr r="AC75" s="4"/>
      </tp>
      <tp>
        <v>2.7051465580741163</v>
        <stp/>
        <stp>##V3_BDPV12</stp>
        <stp>9128282F Govt</stp>
        <stp>DUR_ADJ_ASK</stp>
        <stp>[BondCurveFitting.xlsm]US_TREASURY_TYPE1!R23C29</stp>
        <stp>YLD_YTM_ASK=2.8961125</stp>
        <stp>YAS_YLD_CONV=3</stp>
        <tr r="AC23" s="4"/>
      </tp>
      <tp>
        <v>4.6330867717677666</v>
        <stp/>
        <stp>##V3_BDPV12</stp>
        <stp>912828WE Govt</stp>
        <stp>DUR_ADJ_ASK</stp>
        <stp>[BondCurveFitting.xlsm]US_TREASURY_TYPE1!R65C29</stp>
        <stp>YLD_YTM_ASK=2.9412425</stp>
        <stp>YAS_YLD_CONV=3</stp>
        <tr r="AC65" s="4"/>
      </tp>
      <tp>
        <v>3.3585577502797022</v>
        <stp/>
        <stp>##V3_BDPV12</stp>
        <stp>912828XD Govt</stp>
        <stp>DUR_ADJ_ASK</stp>
        <stp>[BondCurveFitting.xlsm]US_TREASURY_TYPE1!R42C29</stp>
        <stp>YLD_YTM_ASK=2.9113462</stp>
        <stp>YAS_YLD_CONV=3</stp>
        <tr r="AC42" s="4"/>
      </tp>
      <tp>
        <v>3.4255499550833597</v>
        <stp/>
        <stp>##V3_BDPV12</stp>
        <stp>912828XG Govt</stp>
        <stp>DUR_ADJ_ASK</stp>
        <stp>[BondCurveFitting.xlsm]US_TREASURY_TYPE1!R43C29</stp>
        <stp>YLD_YTM_ASK=2.9140407</stp>
        <stp>YAS_YLD_CONV=3</stp>
        <tr r="AC43" s="4"/>
      </tp>
      <tp>
        <v>6.8791313663777371</v>
        <stp/>
        <stp>##V3_BDPV12</stp>
        <stp>912810FA Govt</stp>
        <stp>DUR_ADJ_ASK</stp>
        <stp>[BondCurveFitting.xlsm]US_TREASURY_TYPE1!R88C29</stp>
        <stp>YLD_YTM_ASK=3.0636775</stp>
        <stp>YAS_YLD_CONV=3</stp>
        <tr r="AC88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GB" b="0"/>
              <a:t>Bond Curves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CURVE_FITTING!$O$5</c:f>
              <c:strCache>
                <c:ptCount val="1"/>
                <c:pt idx="0">
                  <c:v>Nelson-Siegel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CURVE_FITTING!$N$6:$N$125</c:f>
              <c:numCache>
                <c:formatCode>#,##0.00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xVal>
          <c:yVal>
            <c:numRef>
              <c:f>CURVE_FITTING!$O$6:$O$125</c:f>
              <c:numCache>
                <c:formatCode>0.00000%</c:formatCode>
                <c:ptCount val="120"/>
                <c:pt idx="0">
                  <c:v>2.7920672966772048E-2</c:v>
                </c:pt>
                <c:pt idx="1">
                  <c:v>2.8017143656985717E-2</c:v>
                </c:pt>
                <c:pt idx="2">
                  <c:v>2.8112322107506731E-2</c:v>
                </c:pt>
                <c:pt idx="3">
                  <c:v>2.8206227791802565E-2</c:v>
                </c:pt>
                <c:pt idx="4">
                  <c:v>2.8298879870320648E-2</c:v>
                </c:pt>
                <c:pt idx="5">
                  <c:v>2.839029719572948E-2</c:v>
                </c:pt>
                <c:pt idx="6">
                  <c:v>2.8480498318069546E-2</c:v>
                </c:pt>
                <c:pt idx="7">
                  <c:v>2.8569501489815626E-2</c:v>
                </c:pt>
                <c:pt idx="8">
                  <c:v>2.8657324670851875E-2</c:v>
                </c:pt>
                <c:pt idx="9">
                  <c:v>2.8743985533361379E-2</c:v>
                </c:pt>
                <c:pt idx="10">
                  <c:v>2.8829501466631581E-2</c:v>
                </c:pt>
                <c:pt idx="11">
                  <c:v>2.8913889581777152E-2</c:v>
                </c:pt>
                <c:pt idx="12">
                  <c:v>2.8997166716381664E-2</c:v>
                </c:pt>
                <c:pt idx="13">
                  <c:v>2.9079349439059543E-2</c:v>
                </c:pt>
                <c:pt idx="14">
                  <c:v>2.9160454053939668E-2</c:v>
                </c:pt>
                <c:pt idx="15">
                  <c:v>2.9240496605072042E-2</c:v>
                </c:pt>
                <c:pt idx="16">
                  <c:v>2.9319492880758823E-2</c:v>
                </c:pt>
                <c:pt idx="17">
                  <c:v>2.9397458417811072E-2</c:v>
                </c:pt>
                <c:pt idx="18">
                  <c:v>2.9474408505732557E-2</c:v>
                </c:pt>
                <c:pt idx="19">
                  <c:v>2.9550358190831759E-2</c:v>
                </c:pt>
                <c:pt idx="20">
                  <c:v>2.9625322280263548E-2</c:v>
                </c:pt>
                <c:pt idx="21">
                  <c:v>2.969931534600153E-2</c:v>
                </c:pt>
                <c:pt idx="22">
                  <c:v>2.9772351728742485E-2</c:v>
                </c:pt>
                <c:pt idx="23">
                  <c:v>2.9844445541743921E-2</c:v>
                </c:pt>
                <c:pt idx="24">
                  <c:v>2.9915610674596006E-2</c:v>
                </c:pt>
                <c:pt idx="25">
                  <c:v>2.9985860796929026E-2</c:v>
                </c:pt>
                <c:pt idx="26">
                  <c:v>3.0055209362057422E-2</c:v>
                </c:pt>
                <c:pt idx="27">
                  <c:v>3.0123669610561624E-2</c:v>
                </c:pt>
                <c:pt idx="28">
                  <c:v>3.0191254573808664E-2</c:v>
                </c:pt>
                <c:pt idx="29">
                  <c:v>3.0257977077412693E-2</c:v>
                </c:pt>
                <c:pt idx="30">
                  <c:v>3.0323849744636474E-2</c:v>
                </c:pt>
                <c:pt idx="31">
                  <c:v>3.0388884999734803E-2</c:v>
                </c:pt>
                <c:pt idx="32">
                  <c:v>3.045309507124094E-2</c:v>
                </c:pt>
                <c:pt idx="33">
                  <c:v>3.0516491995197036E-2</c:v>
                </c:pt>
                <c:pt idx="34">
                  <c:v>3.0579087618329479E-2</c:v>
                </c:pt>
                <c:pt idx="35">
                  <c:v>3.0640893601170213E-2</c:v>
                </c:pt>
                <c:pt idx="36">
                  <c:v>3.0701921421124868E-2</c:v>
                </c:pt>
                <c:pt idx="37">
                  <c:v>3.0762182375488702E-2</c:v>
                </c:pt>
                <c:pt idx="38">
                  <c:v>3.0821687584411232E-2</c:v>
                </c:pt>
                <c:pt idx="39">
                  <c:v>3.0880447993810473E-2</c:v>
                </c:pt>
                <c:pt idx="40">
                  <c:v>3.0938474378237619E-2</c:v>
                </c:pt>
                <c:pt idx="41">
                  <c:v>3.0995777343693055E-2</c:v>
                </c:pt>
                <c:pt idx="42">
                  <c:v>3.1052367330394577E-2</c:v>
                </c:pt>
                <c:pt idx="43">
                  <c:v>3.1108254615498591E-2</c:v>
                </c:pt>
                <c:pt idx="44">
                  <c:v>3.1163449315775121E-2</c:v>
                </c:pt>
                <c:pt idx="45">
                  <c:v>3.1217961390237508E-2</c:v>
                </c:pt>
                <c:pt idx="46">
                  <c:v>3.127180064272745E-2</c:v>
                </c:pt>
                <c:pt idx="47">
                  <c:v>3.1324976724456291E-2</c:v>
                </c:pt>
                <c:pt idx="48">
                  <c:v>3.1377499136503201E-2</c:v>
                </c:pt>
                <c:pt idx="49">
                  <c:v>3.1429377232271148E-2</c:v>
                </c:pt>
                <c:pt idx="50">
                  <c:v>3.1480620219901181E-2</c:v>
                </c:pt>
                <c:pt idx="51">
                  <c:v>3.1531237164645974E-2</c:v>
                </c:pt>
                <c:pt idx="52">
                  <c:v>3.1581236991203167E-2</c:v>
                </c:pt>
                <c:pt idx="53">
                  <c:v>3.1630628486009282E-2</c:v>
                </c:pt>
                <c:pt idx="54">
                  <c:v>3.1679420299494887E-2</c:v>
                </c:pt>
                <c:pt idx="55">
                  <c:v>3.1727620948301692E-2</c:v>
                </c:pt>
                <c:pt idx="56">
                  <c:v>3.1775238817462116E-2</c:v>
                </c:pt>
                <c:pt idx="57">
                  <c:v>3.1822282162542251E-2</c:v>
                </c:pt>
                <c:pt idx="58">
                  <c:v>3.186875911174851E-2</c:v>
                </c:pt>
                <c:pt idx="59">
                  <c:v>3.1914677667998853E-2</c:v>
                </c:pt>
                <c:pt idx="60">
                  <c:v>3.1960045710959069E-2</c:v>
                </c:pt>
                <c:pt idx="61">
                  <c:v>3.2004870999044789E-2</c:v>
                </c:pt>
                <c:pt idx="62">
                  <c:v>3.204916117138977E-2</c:v>
                </c:pt>
                <c:pt idx="63">
                  <c:v>3.2092923749781052E-2</c:v>
                </c:pt>
                <c:pt idx="64">
                  <c:v>3.213616614056157E-2</c:v>
                </c:pt>
                <c:pt idx="65">
                  <c:v>3.2178895636500768E-2</c:v>
                </c:pt>
                <c:pt idx="66">
                  <c:v>3.2221119418633773E-2</c:v>
                </c:pt>
                <c:pt idx="67">
                  <c:v>3.2262844558069693E-2</c:v>
                </c:pt>
                <c:pt idx="68">
                  <c:v>3.2304078017769536E-2</c:v>
                </c:pt>
                <c:pt idx="69">
                  <c:v>3.2344826654294244E-2</c:v>
                </c:pt>
                <c:pt idx="70">
                  <c:v>3.2385097219523505E-2</c:v>
                </c:pt>
                <c:pt idx="71">
                  <c:v>3.2424896362345627E-2</c:v>
                </c:pt>
                <c:pt idx="72">
                  <c:v>3.2464230630319203E-2</c:v>
                </c:pt>
                <c:pt idx="73">
                  <c:v>3.2503106471306796E-2</c:v>
                </c:pt>
                <c:pt idx="74">
                  <c:v>3.2541530235081439E-2</c:v>
                </c:pt>
                <c:pt idx="75">
                  <c:v>3.2579508174906104E-2</c:v>
                </c:pt>
                <c:pt idx="76">
                  <c:v>3.2617046449086806E-2</c:v>
                </c:pt>
                <c:pt idx="77">
                  <c:v>3.2654151122499746E-2</c:v>
                </c:pt>
                <c:pt idx="78">
                  <c:v>3.2690828168092906E-2</c:v>
                </c:pt>
                <c:pt idx="79">
                  <c:v>3.2727083468362568E-2</c:v>
                </c:pt>
                <c:pt idx="80">
                  <c:v>3.2762922816805165E-2</c:v>
                </c:pt>
                <c:pt idx="81">
                  <c:v>3.2798351919344944E-2</c:v>
                </c:pt>
                <c:pt idx="82">
                  <c:v>3.2833376395737746E-2</c:v>
                </c:pt>
                <c:pt idx="83">
                  <c:v>3.2868001780951436E-2</c:v>
                </c:pt>
                <c:pt idx="84">
                  <c:v>3.2902233526523293E-2</c:v>
                </c:pt>
                <c:pt idx="85">
                  <c:v>3.2936077001894812E-2</c:v>
                </c:pt>
                <c:pt idx="86">
                  <c:v>3.2969537495724267E-2</c:v>
                </c:pt>
                <c:pt idx="87">
                  <c:v>3.3002620217177439E-2</c:v>
                </c:pt>
                <c:pt idx="88">
                  <c:v>3.3035330297196859E-2</c:v>
                </c:pt>
                <c:pt idx="89">
                  <c:v>3.3067672789749959E-2</c:v>
                </c:pt>
                <c:pt idx="90">
                  <c:v>3.3099652673056507E-2</c:v>
                </c:pt>
                <c:pt idx="91">
                  <c:v>3.3131274850795596E-2</c:v>
                </c:pt>
                <c:pt idx="92">
                  <c:v>3.3162544153292686E-2</c:v>
                </c:pt>
                <c:pt idx="93">
                  <c:v>3.3193465338686834E-2</c:v>
                </c:pt>
                <c:pt idx="94">
                  <c:v>3.322404309407867E-2</c:v>
                </c:pt>
                <c:pt idx="95">
                  <c:v>3.3254282036659283E-2</c:v>
                </c:pt>
                <c:pt idx="96">
                  <c:v>3.328418671482046E-2</c:v>
                </c:pt>
                <c:pt idx="97">
                  <c:v>3.3313761609246435E-2</c:v>
                </c:pt>
                <c:pt idx="98">
                  <c:v>3.3343011133987722E-2</c:v>
                </c:pt>
                <c:pt idx="99">
                  <c:v>3.3371939637517035E-2</c:v>
                </c:pt>
                <c:pt idx="100">
                  <c:v>3.3400551403767839E-2</c:v>
                </c:pt>
                <c:pt idx="101">
                  <c:v>3.3428850653155748E-2</c:v>
                </c:pt>
                <c:pt idx="102">
                  <c:v>3.3456841543582951E-2</c:v>
                </c:pt>
                <c:pt idx="103">
                  <c:v>3.3484528171426178E-2</c:v>
                </c:pt>
                <c:pt idx="104">
                  <c:v>3.3511914572508301E-2</c:v>
                </c:pt>
                <c:pt idx="105">
                  <c:v>3.353900472305392E-2</c:v>
                </c:pt>
                <c:pt idx="106">
                  <c:v>3.3565802540629172E-2</c:v>
                </c:pt>
                <c:pt idx="107">
                  <c:v>3.3592311885066152E-2</c:v>
                </c:pt>
                <c:pt idx="108">
                  <c:v>3.3618536559371998E-2</c:v>
                </c:pt>
                <c:pt idx="109">
                  <c:v>3.3644480310623059E-2</c:v>
                </c:pt>
                <c:pt idx="110">
                  <c:v>3.3670146830844412E-2</c:v>
                </c:pt>
                <c:pt idx="111">
                  <c:v>3.3695539757874829E-2</c:v>
                </c:pt>
                <c:pt idx="112">
                  <c:v>3.3720662676217587E-2</c:v>
                </c:pt>
                <c:pt idx="113">
                  <c:v>3.3745519117877286E-2</c:v>
                </c:pt>
                <c:pt idx="114">
                  <c:v>3.377011256318297E-2</c:v>
                </c:pt>
                <c:pt idx="115">
                  <c:v>3.3794446441597674E-2</c:v>
                </c:pt>
                <c:pt idx="116">
                  <c:v>3.3818524132514752E-2</c:v>
                </c:pt>
                <c:pt idx="117">
                  <c:v>3.3842348966041186E-2</c:v>
                </c:pt>
                <c:pt idx="118">
                  <c:v>3.3865924223767954E-2</c:v>
                </c:pt>
                <c:pt idx="119">
                  <c:v>3.3889253139527911E-2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CURVE_FITTING!$P$5</c:f>
              <c:strCache>
                <c:ptCount val="1"/>
                <c:pt idx="0">
                  <c:v>Svensson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CURVE_FITTING!$N$6:$N$125</c:f>
              <c:numCache>
                <c:formatCode>#,##0.00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xVal>
          <c:yVal>
            <c:numRef>
              <c:f>CURVE_FITTING!$P$6:$P$125</c:f>
              <c:numCache>
                <c:formatCode>0.00000%</c:formatCode>
                <c:ptCount val="120"/>
                <c:pt idx="0">
                  <c:v>2.7846562758981647E-2</c:v>
                </c:pt>
                <c:pt idx="1">
                  <c:v>2.7951823364282573E-2</c:v>
                </c:pt>
                <c:pt idx="2">
                  <c:v>2.8055208175556123E-2</c:v>
                </c:pt>
                <c:pt idx="3">
                  <c:v>2.8156759455853858E-2</c:v>
                </c:pt>
                <c:pt idx="4">
                  <c:v>2.8256518563016676E-2</c:v>
                </c:pt>
                <c:pt idx="5">
                  <c:v>2.8354525967778609E-2</c:v>
                </c:pt>
                <c:pt idx="6">
                  <c:v>2.8450821271543341E-2</c:v>
                </c:pt>
                <c:pt idx="7">
                  <c:v>2.8545443223803382E-2</c:v>
                </c:pt>
                <c:pt idx="8">
                  <c:v>2.8638429739242369E-2</c:v>
                </c:pt>
                <c:pt idx="9">
                  <c:v>2.8729817914503408E-2</c:v>
                </c:pt>
                <c:pt idx="10">
                  <c:v>2.8819644044641497E-2</c:v>
                </c:pt>
                <c:pt idx="11">
                  <c:v>2.8907943639265826E-2</c:v>
                </c:pt>
                <c:pt idx="12">
                  <c:v>2.8994751438364406E-2</c:v>
                </c:pt>
                <c:pt idx="13">
                  <c:v>2.9080101427837048E-2</c:v>
                </c:pt>
                <c:pt idx="14">
                  <c:v>2.9164026854728173E-2</c:v>
                </c:pt>
                <c:pt idx="15">
                  <c:v>2.9246560242164266E-2</c:v>
                </c:pt>
                <c:pt idx="16">
                  <c:v>2.9327733404013734E-2</c:v>
                </c:pt>
                <c:pt idx="17">
                  <c:v>2.9407577459258177E-2</c:v>
                </c:pt>
                <c:pt idx="18">
                  <c:v>2.9486122846092658E-2</c:v>
                </c:pt>
                <c:pt idx="19">
                  <c:v>2.9563399335756468E-2</c:v>
                </c:pt>
                <c:pt idx="20">
                  <c:v>2.9639436046095355E-2</c:v>
                </c:pt>
                <c:pt idx="21">
                  <c:v>2.9714261454865318E-2</c:v>
                </c:pt>
                <c:pt idx="22">
                  <c:v>2.9787903412780009E-2</c:v>
                </c:pt>
                <c:pt idx="23">
                  <c:v>2.9860389156308884E-2</c:v>
                </c:pt>
                <c:pt idx="24">
                  <c:v>2.9931745320225758E-2</c:v>
                </c:pt>
                <c:pt idx="25">
                  <c:v>3.0001997949918827E-2</c:v>
                </c:pt>
                <c:pt idx="26">
                  <c:v>3.0071172513461697E-2</c:v>
                </c:pt>
                <c:pt idx="27">
                  <c:v>3.0139293913452297E-2</c:v>
                </c:pt>
                <c:pt idx="28">
                  <c:v>3.0206386498621632E-2</c:v>
                </c:pt>
                <c:pt idx="29">
                  <c:v>3.027247407522074E-2</c:v>
                </c:pt>
                <c:pt idx="30">
                  <c:v>3.0337579918184684E-2</c:v>
                </c:pt>
                <c:pt idx="31">
                  <c:v>3.0401726782082722E-2</c:v>
                </c:pt>
                <c:pt idx="32">
                  <c:v>3.0464936911854437E-2</c:v>
                </c:pt>
                <c:pt idx="33">
                  <c:v>3.0527232053339182E-2</c:v>
                </c:pt>
                <c:pt idx="34">
                  <c:v>3.0588633463599621E-2</c:v>
                </c:pt>
                <c:pt idx="35">
                  <c:v>3.0649161921046331E-2</c:v>
                </c:pt>
                <c:pt idx="36">
                  <c:v>3.0708837735364369E-2</c:v>
                </c:pt>
                <c:pt idx="37">
                  <c:v>3.076768075724759E-2</c:v>
                </c:pt>
                <c:pt idx="38">
                  <c:v>3.0825710387941616E-2</c:v>
                </c:pt>
                <c:pt idx="39">
                  <c:v>3.0882945588603716E-2</c:v>
                </c:pt>
                <c:pt idx="40">
                  <c:v>3.0939404889477121E-2</c:v>
                </c:pt>
                <c:pt idx="41">
                  <c:v>3.0995106398887695E-2</c:v>
                </c:pt>
                <c:pt idx="42">
                  <c:v>3.1050067812064458E-2</c:v>
                </c:pt>
                <c:pt idx="43">
                  <c:v>3.1104306419787647E-2</c:v>
                </c:pt>
                <c:pt idx="44">
                  <c:v>3.1157839116867064E-2</c:v>
                </c:pt>
                <c:pt idx="45">
                  <c:v>3.1210682410454882E-2</c:v>
                </c:pt>
                <c:pt idx="46">
                  <c:v>3.1262852428194154E-2</c:v>
                </c:pt>
                <c:pt idx="47">
                  <c:v>3.1314364926208649E-2</c:v>
                </c:pt>
                <c:pt idx="48">
                  <c:v>3.1365235296935051E-2</c:v>
                </c:pt>
                <c:pt idx="49">
                  <c:v>3.1415478576801076E-2</c:v>
                </c:pt>
                <c:pt idx="50">
                  <c:v>3.1465109453752194E-2</c:v>
                </c:pt>
                <c:pt idx="51">
                  <c:v>3.1514142274629814E-2</c:v>
                </c:pt>
                <c:pt idx="52">
                  <c:v>3.1562591052404998E-2</c:v>
                </c:pt>
                <c:pt idx="53">
                  <c:v>3.1610469473267983E-2</c:v>
                </c:pt>
                <c:pt idx="54">
                  <c:v>3.1657790903578287E-2</c:v>
                </c:pt>
                <c:pt idx="55">
                  <c:v>3.1704568396676541E-2</c:v>
                </c:pt>
                <c:pt idx="56">
                  <c:v>3.175081469956284E-2</c:v>
                </c:pt>
                <c:pt idx="57">
                  <c:v>3.1796542259440536E-2</c:v>
                </c:pt>
                <c:pt idx="58">
                  <c:v>3.1841763230132353E-2</c:v>
                </c:pt>
                <c:pt idx="59">
                  <c:v>3.1886489478367003E-2</c:v>
                </c:pt>
                <c:pt idx="60">
                  <c:v>3.1930732589942473E-2</c:v>
                </c:pt>
                <c:pt idx="61">
                  <c:v>3.1974503875765392E-2</c:v>
                </c:pt>
                <c:pt idx="62">
                  <c:v>3.2017814377770654E-2</c:v>
                </c:pt>
                <c:pt idx="63">
                  <c:v>3.2060674874722112E-2</c:v>
                </c:pt>
                <c:pt idx="64">
                  <c:v>3.2103095887899002E-2</c:v>
                </c:pt>
                <c:pt idx="65">
                  <c:v>3.2145087686666823E-2</c:v>
                </c:pt>
                <c:pt idx="66">
                  <c:v>3.2186660293937935E-2</c:v>
                </c:pt>
                <c:pt idx="67">
                  <c:v>3.2227823491522256E-2</c:v>
                </c:pt>
                <c:pt idx="68">
                  <c:v>3.2268586825370482E-2</c:v>
                </c:pt>
                <c:pt idx="69">
                  <c:v>3.2308959610712562E-2</c:v>
                </c:pt>
                <c:pt idx="70">
                  <c:v>3.234895093709253E-2</c:v>
                </c:pt>
                <c:pt idx="71">
                  <c:v>3.2388569673301282E-2</c:v>
                </c:pt>
                <c:pt idx="72">
                  <c:v>3.2427824472212152E-2</c:v>
                </c:pt>
                <c:pt idx="73">
                  <c:v>3.246672377551546E-2</c:v>
                </c:pt>
                <c:pt idx="74">
                  <c:v>3.2505275818361379E-2</c:v>
                </c:pt>
                <c:pt idx="75">
                  <c:v>3.2543488633905715E-2</c:v>
                </c:pt>
                <c:pt idx="76">
                  <c:v>3.2581370057765346E-2</c:v>
                </c:pt>
                <c:pt idx="77">
                  <c:v>3.2618927732383091E-2</c:v>
                </c:pt>
                <c:pt idx="78">
                  <c:v>3.2656169111303562E-2</c:v>
                </c:pt>
                <c:pt idx="79">
                  <c:v>3.2693101463363128E-2</c:v>
                </c:pt>
                <c:pt idx="80">
                  <c:v>3.2729731876792928E-2</c:v>
                </c:pt>
                <c:pt idx="81">
                  <c:v>3.2766067263240772E-2</c:v>
                </c:pt>
                <c:pt idx="82">
                  <c:v>3.2802114361708323E-2</c:v>
                </c:pt>
                <c:pt idx="83">
                  <c:v>3.2837879742410786E-2</c:v>
                </c:pt>
                <c:pt idx="84">
                  <c:v>3.2873369810554665E-2</c:v>
                </c:pt>
                <c:pt idx="85">
                  <c:v>3.2908590810041216E-2</c:v>
                </c:pt>
                <c:pt idx="86">
                  <c:v>3.2943548827091385E-2</c:v>
                </c:pt>
                <c:pt idx="87">
                  <c:v>3.2978249793798597E-2</c:v>
                </c:pt>
                <c:pt idx="88">
                  <c:v>3.3012699491606595E-2</c:v>
                </c:pt>
                <c:pt idx="89">
                  <c:v>3.3046903554717677E-2</c:v>
                </c:pt>
                <c:pt idx="90">
                  <c:v>3.3080867473429226E-2</c:v>
                </c:pt>
                <c:pt idx="91">
                  <c:v>3.3114596597401791E-2</c:v>
                </c:pt>
                <c:pt idx="92">
                  <c:v>3.3148096138860744E-2</c:v>
                </c:pt>
                <c:pt idx="93">
                  <c:v>3.318137117573014E-2</c:v>
                </c:pt>
                <c:pt idx="94">
                  <c:v>3.3214426654702978E-2</c:v>
                </c:pt>
                <c:pt idx="95">
                  <c:v>3.3247267394246771E-2</c:v>
                </c:pt>
                <c:pt idx="96">
                  <c:v>3.3279898087547943E-2</c:v>
                </c:pt>
                <c:pt idx="97">
                  <c:v>3.3312323305393743E-2</c:v>
                </c:pt>
                <c:pt idx="98">
                  <c:v>3.3344547498995569E-2</c:v>
                </c:pt>
                <c:pt idx="99">
                  <c:v>3.3376575002751596E-2</c:v>
                </c:pt>
                <c:pt idx="100">
                  <c:v>3.3408410036953745E-2</c:v>
                </c:pt>
                <c:pt idx="101">
                  <c:v>3.3440056710436872E-2</c:v>
                </c:pt>
                <c:pt idx="102">
                  <c:v>3.3471519023172525E-2</c:v>
                </c:pt>
                <c:pt idx="103">
                  <c:v>3.350280086880883E-2</c:v>
                </c:pt>
                <c:pt idx="104">
                  <c:v>3.3533906037156724E-2</c:v>
                </c:pt>
                <c:pt idx="105">
                  <c:v>3.3564838216624177E-2</c:v>
                </c:pt>
                <c:pt idx="106">
                  <c:v>3.3595600996598807E-2</c:v>
                </c:pt>
                <c:pt idx="107">
                  <c:v>3.3626197869780411E-2</c:v>
                </c:pt>
                <c:pt idx="108">
                  <c:v>3.3656632234464606E-2</c:v>
                </c:pt>
                <c:pt idx="109">
                  <c:v>3.3686907396777405E-2</c:v>
                </c:pt>
                <c:pt idx="110">
                  <c:v>3.3717026572863296E-2</c:v>
                </c:pt>
                <c:pt idx="111">
                  <c:v>3.3746992891026228E-2</c:v>
                </c:pt>
                <c:pt idx="112">
                  <c:v>3.3776809393825658E-2</c:v>
                </c:pt>
                <c:pt idx="113">
                  <c:v>3.3806479040127568E-2</c:v>
                </c:pt>
                <c:pt idx="114">
                  <c:v>3.3836004707111927E-2</c:v>
                </c:pt>
                <c:pt idx="115">
                  <c:v>3.3865389192237361E-2</c:v>
                </c:pt>
                <c:pt idx="116">
                  <c:v>3.3894635215163865E-2</c:v>
                </c:pt>
                <c:pt idx="117">
                  <c:v>3.392374541963411E-2</c:v>
                </c:pt>
                <c:pt idx="118">
                  <c:v>3.3952722375314548E-2</c:v>
                </c:pt>
                <c:pt idx="119">
                  <c:v>3.3981568579596777E-2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CURVE_FITTING!$Q$5</c:f>
              <c:strCache>
                <c:ptCount val="1"/>
                <c:pt idx="0">
                  <c:v>Polynomial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CURVE_FITTING!$N$6:$N$125</c:f>
              <c:numCache>
                <c:formatCode>#,##0.00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xVal>
          <c:yVal>
            <c:numRef>
              <c:f>CURVE_FITTING!$Q$6:$Q$125</c:f>
              <c:numCache>
                <c:formatCode>0.00000%</c:formatCode>
                <c:ptCount val="120"/>
                <c:pt idx="0">
                  <c:v>2.7901663824820566E-2</c:v>
                </c:pt>
                <c:pt idx="1">
                  <c:v>2.7999491715114119E-2</c:v>
                </c:pt>
                <c:pt idx="2">
                  <c:v>2.8096052957402053E-2</c:v>
                </c:pt>
                <c:pt idx="3">
                  <c:v>2.8191359847849075E-2</c:v>
                </c:pt>
                <c:pt idx="4">
                  <c:v>2.8285424682619884E-2</c:v>
                </c:pt>
                <c:pt idx="5">
                  <c:v>2.8378259757879186E-2</c:v>
                </c:pt>
                <c:pt idx="6">
                  <c:v>2.8469877369791681E-2</c:v>
                </c:pt>
                <c:pt idx="7">
                  <c:v>2.8560289814522067E-2</c:v>
                </c:pt>
                <c:pt idx="8">
                  <c:v>2.8649509388235052E-2</c:v>
                </c:pt>
                <c:pt idx="9">
                  <c:v>2.8737548387095333E-2</c:v>
                </c:pt>
                <c:pt idx="10">
                  <c:v>2.8824419107267615E-2</c:v>
                </c:pt>
                <c:pt idx="11">
                  <c:v>2.89101338449166E-2</c:v>
                </c:pt>
                <c:pt idx="12">
                  <c:v>2.899470489620699E-2</c:v>
                </c:pt>
                <c:pt idx="13">
                  <c:v>2.9078144557303485E-2</c:v>
                </c:pt>
                <c:pt idx="14">
                  <c:v>2.9160465124370788E-2</c:v>
                </c:pt>
                <c:pt idx="15">
                  <c:v>2.9241678893573604E-2</c:v>
                </c:pt>
                <c:pt idx="16">
                  <c:v>2.9321798161076627E-2</c:v>
                </c:pt>
                <c:pt idx="17">
                  <c:v>2.9400835223044569E-2</c:v>
                </c:pt>
                <c:pt idx="18">
                  <c:v>2.9478802375642123E-2</c:v>
                </c:pt>
                <c:pt idx="19">
                  <c:v>2.9555711915033995E-2</c:v>
                </c:pt>
                <c:pt idx="20">
                  <c:v>2.9631576137384888E-2</c:v>
                </c:pt>
                <c:pt idx="21">
                  <c:v>2.9706407338859504E-2</c:v>
                </c:pt>
                <c:pt idx="22">
                  <c:v>2.9780217815622543E-2</c:v>
                </c:pt>
                <c:pt idx="23">
                  <c:v>2.9853019863838707E-2</c:v>
                </c:pt>
                <c:pt idx="24">
                  <c:v>2.99248257796727E-2</c:v>
                </c:pt>
                <c:pt idx="25">
                  <c:v>2.9995647859289223E-2</c:v>
                </c:pt>
                <c:pt idx="26">
                  <c:v>3.0065498398852978E-2</c:v>
                </c:pt>
                <c:pt idx="27">
                  <c:v>3.0134389694528665E-2</c:v>
                </c:pt>
                <c:pt idx="28">
                  <c:v>3.0202334042480988E-2</c:v>
                </c:pt>
                <c:pt idx="29">
                  <c:v>3.0269343738874646E-2</c:v>
                </c:pt>
                <c:pt idx="30">
                  <c:v>3.0335431079874346E-2</c:v>
                </c:pt>
                <c:pt idx="31">
                  <c:v>3.040060836164479E-2</c:v>
                </c:pt>
                <c:pt idx="32">
                  <c:v>3.0464887880350674E-2</c:v>
                </c:pt>
                <c:pt idx="33">
                  <c:v>3.0528281932156703E-2</c:v>
                </c:pt>
                <c:pt idx="34">
                  <c:v>3.0590802813227583E-2</c:v>
                </c:pt>
                <c:pt idx="35">
                  <c:v>3.065246281972801E-2</c:v>
                </c:pt>
                <c:pt idx="36">
                  <c:v>3.0713274247822688E-2</c:v>
                </c:pt>
                <c:pt idx="37">
                  <c:v>3.077324939367632E-2</c:v>
                </c:pt>
                <c:pt idx="38">
                  <c:v>3.0832400553453605E-2</c:v>
                </c:pt>
                <c:pt idx="39">
                  <c:v>3.0890740023319249E-2</c:v>
                </c:pt>
                <c:pt idx="40">
                  <c:v>3.0948280099437953E-2</c:v>
                </c:pt>
                <c:pt idx="41">
                  <c:v>3.1005033077974416E-2</c:v>
                </c:pt>
                <c:pt idx="42">
                  <c:v>3.1061011255093342E-2</c:v>
                </c:pt>
                <c:pt idx="43">
                  <c:v>3.1116226926959437E-2</c:v>
                </c:pt>
                <c:pt idx="44">
                  <c:v>3.1170692389737395E-2</c:v>
                </c:pt>
                <c:pt idx="45">
                  <c:v>3.1224419939591925E-2</c:v>
                </c:pt>
                <c:pt idx="46">
                  <c:v>3.127742187268772E-2</c:v>
                </c:pt>
                <c:pt idx="47">
                  <c:v>3.1329710485189496E-2</c:v>
                </c:pt>
                <c:pt idx="48">
                  <c:v>3.138129807326194E-2</c:v>
                </c:pt>
                <c:pt idx="49">
                  <c:v>3.1432196933069763E-2</c:v>
                </c:pt>
                <c:pt idx="50">
                  <c:v>3.1482419360777669E-2</c:v>
                </c:pt>
                <c:pt idx="51">
                  <c:v>3.153197765255035E-2</c:v>
                </c:pt>
                <c:pt idx="52">
                  <c:v>3.1580884104552516E-2</c:v>
                </c:pt>
                <c:pt idx="53">
                  <c:v>3.1629151012948865E-2</c:v>
                </c:pt>
                <c:pt idx="54">
                  <c:v>3.1676790673904102E-2</c:v>
                </c:pt>
                <c:pt idx="55">
                  <c:v>3.1723815383582932E-2</c:v>
                </c:pt>
                <c:pt idx="56">
                  <c:v>3.1770237438150044E-2</c:v>
                </c:pt>
                <c:pt idx="57">
                  <c:v>3.181606913377015E-2</c:v>
                </c:pt>
                <c:pt idx="58">
                  <c:v>3.1861322766607955E-2</c:v>
                </c:pt>
                <c:pt idx="59">
                  <c:v>3.1906010632828156E-2</c:v>
                </c:pt>
                <c:pt idx="60">
                  <c:v>3.1950145028595452E-2</c:v>
                </c:pt>
                <c:pt idx="61">
                  <c:v>3.1993738250074552E-2</c:v>
                </c:pt>
                <c:pt idx="62">
                  <c:v>3.2036802593430148E-2</c:v>
                </c:pt>
                <c:pt idx="63">
                  <c:v>3.2079350354826952E-2</c:v>
                </c:pt>
                <c:pt idx="64">
                  <c:v>3.2121393830429668E-2</c:v>
                </c:pt>
                <c:pt idx="65">
                  <c:v>3.2162945316402985E-2</c:v>
                </c:pt>
                <c:pt idx="66">
                  <c:v>3.220401710891161E-2</c:v>
                </c:pt>
                <c:pt idx="67">
                  <c:v>3.2244621504120254E-2</c:v>
                </c:pt>
                <c:pt idx="68">
                  <c:v>3.2284770798193613E-2</c:v>
                </c:pt>
                <c:pt idx="69">
                  <c:v>3.2324477287296378E-2</c:v>
                </c:pt>
                <c:pt idx="70">
                  <c:v>3.2363753267593269E-2</c:v>
                </c:pt>
                <c:pt idx="71">
                  <c:v>3.2402611035248982E-2</c:v>
                </c:pt>
                <c:pt idx="72">
                  <c:v>3.2441062886428208E-2</c:v>
                </c:pt>
                <c:pt idx="73">
                  <c:v>3.2479121117295666E-2</c:v>
                </c:pt>
                <c:pt idx="74">
                  <c:v>3.2516798024016046E-2</c:v>
                </c:pt>
                <c:pt idx="75">
                  <c:v>3.2554105902754052E-2</c:v>
                </c:pt>
                <c:pt idx="76">
                  <c:v>3.2591057049674396E-2</c:v>
                </c:pt>
                <c:pt idx="77">
                  <c:v>3.2627663760941762E-2</c:v>
                </c:pt>
                <c:pt idx="78">
                  <c:v>3.2663938332720868E-2</c:v>
                </c:pt>
                <c:pt idx="79">
                  <c:v>3.2699893061176405E-2</c:v>
                </c:pt>
                <c:pt idx="80">
                  <c:v>3.2735540242473084E-2</c:v>
                </c:pt>
                <c:pt idx="81">
                  <c:v>3.2770892172775602E-2</c:v>
                </c:pt>
                <c:pt idx="82">
                  <c:v>3.2805961148248658E-2</c:v>
                </c:pt>
                <c:pt idx="83">
                  <c:v>3.2840759465056962E-2</c:v>
                </c:pt>
                <c:pt idx="84">
                  <c:v>3.2875299419365206E-2</c:v>
                </c:pt>
                <c:pt idx="85">
                  <c:v>3.29095933073381E-2</c:v>
                </c:pt>
                <c:pt idx="86">
                  <c:v>3.2943653425140343E-2</c:v>
                </c:pt>
                <c:pt idx="87">
                  <c:v>3.2977492068936638E-2</c:v>
                </c:pt>
                <c:pt idx="88">
                  <c:v>3.3011121534891691E-2</c:v>
                </c:pt>
                <c:pt idx="89">
                  <c:v>3.3044554119170191E-2</c:v>
                </c:pt>
                <c:pt idx="90">
                  <c:v>3.3077802117936858E-2</c:v>
                </c:pt>
                <c:pt idx="91">
                  <c:v>3.3110877827356375E-2</c:v>
                </c:pt>
                <c:pt idx="92">
                  <c:v>3.3143793543593453E-2</c:v>
                </c:pt>
                <c:pt idx="93">
                  <c:v>3.3176561562812804E-2</c:v>
                </c:pt>
                <c:pt idx="94">
                  <c:v>3.3209194181179111E-2</c:v>
                </c:pt>
                <c:pt idx="95">
                  <c:v>3.3241703694857086E-2</c:v>
                </c:pt>
                <c:pt idx="96">
                  <c:v>3.3274102400011434E-2</c:v>
                </c:pt>
                <c:pt idx="97">
                  <c:v>3.3306402592806851E-2</c:v>
                </c:pt>
                <c:pt idx="98">
                  <c:v>3.3338616569408036E-2</c:v>
                </c:pt>
                <c:pt idx="99">
                  <c:v>3.33707566259797E-2</c:v>
                </c:pt>
                <c:pt idx="100">
                  <c:v>3.3402835058686541E-2</c:v>
                </c:pt>
                <c:pt idx="101">
                  <c:v>3.3434864163693262E-2</c:v>
                </c:pt>
                <c:pt idx="102">
                  <c:v>3.3466856237164562E-2</c:v>
                </c:pt>
                <c:pt idx="103">
                  <c:v>3.3498823575265145E-2</c:v>
                </c:pt>
                <c:pt idx="104">
                  <c:v>3.3530778474159716E-2</c:v>
                </c:pt>
                <c:pt idx="105">
                  <c:v>3.3562733230012971E-2</c:v>
                </c:pt>
                <c:pt idx="106">
                  <c:v>3.3594700138989617E-2</c:v>
                </c:pt>
                <c:pt idx="107">
                  <c:v>3.3626691497254349E-2</c:v>
                </c:pt>
                <c:pt idx="108">
                  <c:v>3.3658719600971873E-2</c:v>
                </c:pt>
                <c:pt idx="109">
                  <c:v>3.3690796746306893E-2</c:v>
                </c:pt>
                <c:pt idx="110">
                  <c:v>3.3722935229424114E-2</c:v>
                </c:pt>
                <c:pt idx="111">
                  <c:v>3.3755147346488226E-2</c:v>
                </c:pt>
                <c:pt idx="112">
                  <c:v>3.3787445393663948E-2</c:v>
                </c:pt>
                <c:pt idx="113">
                  <c:v>3.3819841667115963E-2</c:v>
                </c:pt>
                <c:pt idx="114">
                  <c:v>3.385234846300899E-2</c:v>
                </c:pt>
                <c:pt idx="115">
                  <c:v>3.3884978077507719E-2</c:v>
                </c:pt>
                <c:pt idx="116">
                  <c:v>3.3917742806776854E-2</c:v>
                </c:pt>
                <c:pt idx="117">
                  <c:v>3.3950654946981101E-2</c:v>
                </c:pt>
                <c:pt idx="118">
                  <c:v>3.3983726794285164E-2</c:v>
                </c:pt>
                <c:pt idx="119">
                  <c:v>3.4016970644853733E-2</c:v>
                </c:pt>
              </c:numCache>
            </c:numRef>
          </c:yVal>
          <c:smooth val="0"/>
        </c:ser>
        <c:ser>
          <c:idx val="1"/>
          <c:order val="3"/>
          <c:tx>
            <c:strRef>
              <c:f>CURVE_FITTING!$T$5</c:f>
              <c:strCache>
                <c:ptCount val="1"/>
                <c:pt idx="0">
                  <c:v>Bond Quote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CURVE_FITTING!$S$6:$S$131</c:f>
              <c:numCache>
                <c:formatCode>#,##0.00</c:formatCode>
                <c:ptCount val="126"/>
                <c:pt idx="0">
                  <c:v>2.2082191780821918</c:v>
                </c:pt>
                <c:pt idx="1">
                  <c:v>2.2082191780821918</c:v>
                </c:pt>
                <c:pt idx="2">
                  <c:v>2.2493150684931509</c:v>
                </c:pt>
                <c:pt idx="3">
                  <c:v>2.2849315068493152</c:v>
                </c:pt>
                <c:pt idx="4">
                  <c:v>2.2849315068493152</c:v>
                </c:pt>
                <c:pt idx="5">
                  <c:v>2.3698630136986303</c:v>
                </c:pt>
                <c:pt idx="6">
                  <c:v>2.3698630136986303</c:v>
                </c:pt>
                <c:pt idx="7">
                  <c:v>2.452054794520548</c:v>
                </c:pt>
                <c:pt idx="8">
                  <c:v>2.493150684931507</c:v>
                </c:pt>
                <c:pt idx="9">
                  <c:v>2.536986301369863</c:v>
                </c:pt>
                <c:pt idx="10">
                  <c:v>2.536986301369863</c:v>
                </c:pt>
                <c:pt idx="11">
                  <c:v>2.6191780821917807</c:v>
                </c:pt>
                <c:pt idx="12">
                  <c:v>2.6191780821917807</c:v>
                </c:pt>
                <c:pt idx="13">
                  <c:v>2.7041095890410958</c:v>
                </c:pt>
                <c:pt idx="14">
                  <c:v>2.7041095890410958</c:v>
                </c:pt>
                <c:pt idx="15">
                  <c:v>2.7452054794520548</c:v>
                </c:pt>
                <c:pt idx="16">
                  <c:v>2.7890410958904108</c:v>
                </c:pt>
                <c:pt idx="17">
                  <c:v>2.7890410958904108</c:v>
                </c:pt>
                <c:pt idx="18">
                  <c:v>2.8712328767123285</c:v>
                </c:pt>
                <c:pt idx="19">
                  <c:v>2.8712328767123285</c:v>
                </c:pt>
                <c:pt idx="20">
                  <c:v>2.956164383561644</c:v>
                </c:pt>
                <c:pt idx="21">
                  <c:v>2.956164383561644</c:v>
                </c:pt>
                <c:pt idx="22">
                  <c:v>2.9972602739726026</c:v>
                </c:pt>
                <c:pt idx="23">
                  <c:v>3.0383561643835617</c:v>
                </c:pt>
                <c:pt idx="24">
                  <c:v>3.0383561643835617</c:v>
                </c:pt>
                <c:pt idx="25">
                  <c:v>3.1232876712328768</c:v>
                </c:pt>
                <c:pt idx="26">
                  <c:v>3.1232876712328768</c:v>
                </c:pt>
                <c:pt idx="27">
                  <c:v>3.2082191780821918</c:v>
                </c:pt>
                <c:pt idx="28">
                  <c:v>3.2082191780821918</c:v>
                </c:pt>
                <c:pt idx="29">
                  <c:v>3.2493150684931509</c:v>
                </c:pt>
                <c:pt idx="30">
                  <c:v>3.2849315068493152</c:v>
                </c:pt>
                <c:pt idx="31">
                  <c:v>3.2849315068493152</c:v>
                </c:pt>
                <c:pt idx="32">
                  <c:v>3.3698630136986303</c:v>
                </c:pt>
                <c:pt idx="33">
                  <c:v>3.452054794520548</c:v>
                </c:pt>
                <c:pt idx="34">
                  <c:v>3.493150684931507</c:v>
                </c:pt>
                <c:pt idx="35">
                  <c:v>3.536986301369863</c:v>
                </c:pt>
                <c:pt idx="36">
                  <c:v>3.6191780821917807</c:v>
                </c:pt>
                <c:pt idx="37">
                  <c:v>3.7041095890410958</c:v>
                </c:pt>
                <c:pt idx="38">
                  <c:v>3.7452054794520548</c:v>
                </c:pt>
                <c:pt idx="39">
                  <c:v>3.7890410958904108</c:v>
                </c:pt>
                <c:pt idx="40">
                  <c:v>3.8712328767123285</c:v>
                </c:pt>
                <c:pt idx="41">
                  <c:v>3.956164383561644</c:v>
                </c:pt>
                <c:pt idx="42">
                  <c:v>3.9972602739726026</c:v>
                </c:pt>
                <c:pt idx="43">
                  <c:v>4.0383561643835613</c:v>
                </c:pt>
                <c:pt idx="44">
                  <c:v>4.2082191780821914</c:v>
                </c:pt>
                <c:pt idx="45">
                  <c:v>4.2493150684931509</c:v>
                </c:pt>
                <c:pt idx="46">
                  <c:v>4.2849315068493148</c:v>
                </c:pt>
                <c:pt idx="47">
                  <c:v>4.3698630136986303</c:v>
                </c:pt>
                <c:pt idx="48">
                  <c:v>4.4520547945205475</c:v>
                </c:pt>
                <c:pt idx="49">
                  <c:v>4.493150684931507</c:v>
                </c:pt>
                <c:pt idx="50">
                  <c:v>4.536986301369863</c:v>
                </c:pt>
                <c:pt idx="51">
                  <c:v>4.6191780821917812</c:v>
                </c:pt>
                <c:pt idx="52">
                  <c:v>4.7041095890410958</c:v>
                </c:pt>
                <c:pt idx="53">
                  <c:v>4.7452054794520553</c:v>
                </c:pt>
                <c:pt idx="54">
                  <c:v>4.7452054794520553</c:v>
                </c:pt>
                <c:pt idx="55">
                  <c:v>4.7890410958904113</c:v>
                </c:pt>
                <c:pt idx="56">
                  <c:v>4.8712328767123285</c:v>
                </c:pt>
                <c:pt idx="57">
                  <c:v>4.956164383561644</c:v>
                </c:pt>
                <c:pt idx="58">
                  <c:v>4.9972602739726026</c:v>
                </c:pt>
                <c:pt idx="59">
                  <c:v>5.0383561643835613</c:v>
                </c:pt>
                <c:pt idx="60">
                  <c:v>5.1232876712328768</c:v>
                </c:pt>
                <c:pt idx="61">
                  <c:v>5.2079871247847889</c:v>
                </c:pt>
                <c:pt idx="62">
                  <c:v>5.2489707313421663</c:v>
                </c:pt>
                <c:pt idx="63">
                  <c:v>5.2872220974623847</c:v>
                </c:pt>
                <c:pt idx="64">
                  <c:v>5.4948723706864282</c:v>
                </c:pt>
                <c:pt idx="65">
                  <c:v>5.7462384909050082</c:v>
                </c:pt>
                <c:pt idx="66">
                  <c:v>5.9976046111235872</c:v>
                </c:pt>
                <c:pt idx="67">
                  <c:v>6.2493150684931509</c:v>
                </c:pt>
                <c:pt idx="68">
                  <c:v>6.493150684931507</c:v>
                </c:pt>
                <c:pt idx="69">
                  <c:v>6.7452054794520553</c:v>
                </c:pt>
                <c:pt idx="70">
                  <c:v>6.7452054794520553</c:v>
                </c:pt>
                <c:pt idx="71">
                  <c:v>6.9972602739726026</c:v>
                </c:pt>
                <c:pt idx="72">
                  <c:v>7.2493150684931509</c:v>
                </c:pt>
                <c:pt idx="73">
                  <c:v>7.2493150684931509</c:v>
                </c:pt>
                <c:pt idx="74">
                  <c:v>7.493150684931507</c:v>
                </c:pt>
                <c:pt idx="75">
                  <c:v>7.7452054794520553</c:v>
                </c:pt>
                <c:pt idx="76">
                  <c:v>7.7452054794520553</c:v>
                </c:pt>
                <c:pt idx="77">
                  <c:v>7.9972602739726026</c:v>
                </c:pt>
                <c:pt idx="78">
                  <c:v>7.9972602739726026</c:v>
                </c:pt>
                <c:pt idx="79">
                  <c:v>8.24931506849315</c:v>
                </c:pt>
                <c:pt idx="80">
                  <c:v>8.24931506849315</c:v>
                </c:pt>
                <c:pt idx="81">
                  <c:v>8.7452054794520553</c:v>
                </c:pt>
                <c:pt idx="82">
                  <c:v>8.9972602739726035</c:v>
                </c:pt>
                <c:pt idx="83">
                  <c:v>9.7462384909050073</c:v>
                </c:pt>
                <c:pt idx="84">
                  <c:v>9.9976046111235863</c:v>
                </c:pt>
                <c:pt idx="85">
                  <c:v>10.24931506849315</c:v>
                </c:pt>
                <c:pt idx="86">
                  <c:v>10.745205479452055</c:v>
                </c:pt>
                <c:pt idx="87">
                  <c:v>11.493150684931507</c:v>
                </c:pt>
                <c:pt idx="88">
                  <c:v>12.24931506849315</c:v>
                </c:pt>
                <c:pt idx="89">
                  <c:v>17.248970731342165</c:v>
                </c:pt>
                <c:pt idx="90">
                  <c:v>18.24931506849315</c:v>
                </c:pt>
                <c:pt idx="91">
                  <c:v>18.493150684931507</c:v>
                </c:pt>
                <c:pt idx="92">
                  <c:v>19.24931506849315</c:v>
                </c:pt>
                <c:pt idx="93">
                  <c:v>19.493150684931507</c:v>
                </c:pt>
                <c:pt idx="94">
                  <c:v>20.24931506849315</c:v>
                </c:pt>
                <c:pt idx="95">
                  <c:v>20.493150684931507</c:v>
                </c:pt>
                <c:pt idx="96">
                  <c:v>20.745205479452054</c:v>
                </c:pt>
                <c:pt idx="97">
                  <c:v>20.997260273972604</c:v>
                </c:pt>
                <c:pt idx="98">
                  <c:v>21.248970731342165</c:v>
                </c:pt>
                <c:pt idx="99">
                  <c:v>21.49487237068643</c:v>
                </c:pt>
                <c:pt idx="100">
                  <c:v>21.746238490905007</c:v>
                </c:pt>
                <c:pt idx="101">
                  <c:v>21.997604611123588</c:v>
                </c:pt>
                <c:pt idx="102">
                  <c:v>22.24931506849315</c:v>
                </c:pt>
                <c:pt idx="103">
                  <c:v>22.493150684931507</c:v>
                </c:pt>
                <c:pt idx="104">
                  <c:v>22.745205479452054</c:v>
                </c:pt>
                <c:pt idx="105">
                  <c:v>22.997260273972604</c:v>
                </c:pt>
                <c:pt idx="106">
                  <c:v>23.24931506849315</c:v>
                </c:pt>
                <c:pt idx="107">
                  <c:v>23.493150684931507</c:v>
                </c:pt>
                <c:pt idx="108">
                  <c:v>23.745205479452054</c:v>
                </c:pt>
                <c:pt idx="109">
                  <c:v>23.997260273972604</c:v>
                </c:pt>
                <c:pt idx="110">
                  <c:v>24.24931506849315</c:v>
                </c:pt>
                <c:pt idx="111">
                  <c:v>24.493150684931507</c:v>
                </c:pt>
                <c:pt idx="112">
                  <c:v>24.745205479452054</c:v>
                </c:pt>
                <c:pt idx="113">
                  <c:v>24.997260273972604</c:v>
                </c:pt>
                <c:pt idx="114">
                  <c:v>25.248970731342165</c:v>
                </c:pt>
                <c:pt idx="115">
                  <c:v>25.49487237068643</c:v>
                </c:pt>
                <c:pt idx="116">
                  <c:v>25.746238490905007</c:v>
                </c:pt>
                <c:pt idx="117">
                  <c:v>25.997604611123588</c:v>
                </c:pt>
                <c:pt idx="118">
                  <c:v>26.24931506849315</c:v>
                </c:pt>
                <c:pt idx="119">
                  <c:v>26.493150684931507</c:v>
                </c:pt>
                <c:pt idx="120">
                  <c:v>26.745205479452054</c:v>
                </c:pt>
                <c:pt idx="121">
                  <c:v>26.997260273972604</c:v>
                </c:pt>
                <c:pt idx="122">
                  <c:v>27.24931506849315</c:v>
                </c:pt>
                <c:pt idx="123">
                  <c:v>27.493150684931507</c:v>
                </c:pt>
                <c:pt idx="124">
                  <c:v>27.745205479452054</c:v>
                </c:pt>
                <c:pt idx="125">
                  <c:v>27.997260273972604</c:v>
                </c:pt>
              </c:numCache>
            </c:numRef>
          </c:xVal>
          <c:yVal>
            <c:numRef>
              <c:f>CURVE_FITTING!$T$6:$T$131</c:f>
              <c:numCache>
                <c:formatCode>0.00000%</c:formatCode>
                <c:ptCount val="126"/>
                <c:pt idx="0">
                  <c:v>2.8644356000000003E-2</c:v>
                </c:pt>
                <c:pt idx="1">
                  <c:v>2.8598938000000001E-2</c:v>
                </c:pt>
                <c:pt idx="2">
                  <c:v>2.8537710000000001E-2</c:v>
                </c:pt>
                <c:pt idx="3">
                  <c:v>2.8656103000000002E-2</c:v>
                </c:pt>
                <c:pt idx="4">
                  <c:v>2.8661905000000001E-2</c:v>
                </c:pt>
                <c:pt idx="5">
                  <c:v>2.8625690000000002E-2</c:v>
                </c:pt>
                <c:pt idx="6">
                  <c:v>2.8670887999999999E-2</c:v>
                </c:pt>
                <c:pt idx="7">
                  <c:v>2.8744066999999998E-2</c:v>
                </c:pt>
                <c:pt idx="8">
                  <c:v>2.8671066000000002E-2</c:v>
                </c:pt>
                <c:pt idx="9">
                  <c:v>2.8789265999999997E-2</c:v>
                </c:pt>
                <c:pt idx="10">
                  <c:v>2.8771428000000002E-2</c:v>
                </c:pt>
                <c:pt idx="11">
                  <c:v>2.8717645999999999E-2</c:v>
                </c:pt>
                <c:pt idx="12">
                  <c:v>2.8781474000000001E-2</c:v>
                </c:pt>
                <c:pt idx="13">
                  <c:v>2.8892763000000002E-2</c:v>
                </c:pt>
                <c:pt idx="14">
                  <c:v>2.8867912000000003E-2</c:v>
                </c:pt>
                <c:pt idx="15">
                  <c:v>2.8867542E-2</c:v>
                </c:pt>
                <c:pt idx="16">
                  <c:v>2.8961125000000001E-2</c:v>
                </c:pt>
                <c:pt idx="17">
                  <c:v>2.8893939E-2</c:v>
                </c:pt>
                <c:pt idx="18">
                  <c:v>2.8922422E-2</c:v>
                </c:pt>
                <c:pt idx="19">
                  <c:v>2.8954789000000002E-2</c:v>
                </c:pt>
                <c:pt idx="20">
                  <c:v>2.8994609000000001E-2</c:v>
                </c:pt>
                <c:pt idx="21">
                  <c:v>2.8967526E-2</c:v>
                </c:pt>
                <c:pt idx="22">
                  <c:v>2.8876664999999999E-2</c:v>
                </c:pt>
                <c:pt idx="23">
                  <c:v>2.8994213000000001E-2</c:v>
                </c:pt>
                <c:pt idx="24">
                  <c:v>2.8834802000000003E-2</c:v>
                </c:pt>
                <c:pt idx="25">
                  <c:v>2.8992770000000001E-2</c:v>
                </c:pt>
                <c:pt idx="26">
                  <c:v>2.8981425000000002E-2</c:v>
                </c:pt>
                <c:pt idx="27">
                  <c:v>2.9049853E-2</c:v>
                </c:pt>
                <c:pt idx="28">
                  <c:v>2.9047529000000002E-2</c:v>
                </c:pt>
                <c:pt idx="29">
                  <c:v>2.8979419000000003E-2</c:v>
                </c:pt>
                <c:pt idx="30">
                  <c:v>2.9036455000000003E-2</c:v>
                </c:pt>
                <c:pt idx="31">
                  <c:v>2.9057079E-2</c:v>
                </c:pt>
                <c:pt idx="32">
                  <c:v>2.9059239999999997E-2</c:v>
                </c:pt>
                <c:pt idx="33">
                  <c:v>2.9102916E-2</c:v>
                </c:pt>
                <c:pt idx="34">
                  <c:v>2.9091658000000003E-2</c:v>
                </c:pt>
                <c:pt idx="35">
                  <c:v>2.9113462E-2</c:v>
                </c:pt>
                <c:pt idx="36">
                  <c:v>2.9140407E-2</c:v>
                </c:pt>
                <c:pt idx="37">
                  <c:v>2.9152516E-2</c:v>
                </c:pt>
                <c:pt idx="38">
                  <c:v>2.9187840999999999E-2</c:v>
                </c:pt>
                <c:pt idx="39">
                  <c:v>2.9255762000000001E-2</c:v>
                </c:pt>
                <c:pt idx="40">
                  <c:v>2.9253951000000004E-2</c:v>
                </c:pt>
                <c:pt idx="41">
                  <c:v>2.9256612999999997E-2</c:v>
                </c:pt>
                <c:pt idx="42">
                  <c:v>2.9261898999999997E-2</c:v>
                </c:pt>
                <c:pt idx="43">
                  <c:v>2.9250878999999997E-2</c:v>
                </c:pt>
                <c:pt idx="44">
                  <c:v>2.9322865E-2</c:v>
                </c:pt>
                <c:pt idx="45">
                  <c:v>2.9271929999999998E-2</c:v>
                </c:pt>
                <c:pt idx="46">
                  <c:v>2.9328161000000002E-2</c:v>
                </c:pt>
                <c:pt idx="47">
                  <c:v>2.9360324000000004E-2</c:v>
                </c:pt>
                <c:pt idx="48">
                  <c:v>2.9356795999999998E-2</c:v>
                </c:pt>
                <c:pt idx="49">
                  <c:v>2.9278947E-2</c:v>
                </c:pt>
                <c:pt idx="50">
                  <c:v>2.9356071999999997E-2</c:v>
                </c:pt>
                <c:pt idx="51">
                  <c:v>2.9343045999999998E-2</c:v>
                </c:pt>
                <c:pt idx="52">
                  <c:v>2.9371960000000003E-2</c:v>
                </c:pt>
                <c:pt idx="53">
                  <c:v>2.9086008E-2</c:v>
                </c:pt>
                <c:pt idx="54">
                  <c:v>2.9343544999999999E-2</c:v>
                </c:pt>
                <c:pt idx="55">
                  <c:v>2.9388056000000003E-2</c:v>
                </c:pt>
                <c:pt idx="56">
                  <c:v>2.9399024000000003E-2</c:v>
                </c:pt>
                <c:pt idx="57">
                  <c:v>2.9434481999999998E-2</c:v>
                </c:pt>
                <c:pt idx="58">
                  <c:v>2.9412424999999999E-2</c:v>
                </c:pt>
                <c:pt idx="59">
                  <c:v>2.9463772000000003E-2</c:v>
                </c:pt>
                <c:pt idx="60">
                  <c:v>2.9478503E-2</c:v>
                </c:pt>
                <c:pt idx="61">
                  <c:v>2.9503712000000001E-2</c:v>
                </c:pt>
                <c:pt idx="62">
                  <c:v>2.9484852999999998E-2</c:v>
                </c:pt>
                <c:pt idx="63">
                  <c:v>2.9537402000000001E-2</c:v>
                </c:pt>
                <c:pt idx="64">
                  <c:v>2.9604637E-2</c:v>
                </c:pt>
                <c:pt idx="65">
                  <c:v>2.9761261000000001E-2</c:v>
                </c:pt>
                <c:pt idx="66">
                  <c:v>2.9892244999999998E-2</c:v>
                </c:pt>
                <c:pt idx="67">
                  <c:v>2.9978617999999999E-2</c:v>
                </c:pt>
                <c:pt idx="68">
                  <c:v>3.0086244999999998E-2</c:v>
                </c:pt>
                <c:pt idx="69">
                  <c:v>2.9915470999999999E-2</c:v>
                </c:pt>
                <c:pt idx="70">
                  <c:v>3.0202194000000002E-2</c:v>
                </c:pt>
                <c:pt idx="71">
                  <c:v>3.0283593999999997E-2</c:v>
                </c:pt>
                <c:pt idx="72">
                  <c:v>2.9976651E-2</c:v>
                </c:pt>
                <c:pt idx="73">
                  <c:v>3.0395459999999999E-2</c:v>
                </c:pt>
                <c:pt idx="74">
                  <c:v>3.0472739999999998E-2</c:v>
                </c:pt>
                <c:pt idx="75">
                  <c:v>3.0093846E-2</c:v>
                </c:pt>
                <c:pt idx="76">
                  <c:v>3.0573155000000001E-2</c:v>
                </c:pt>
                <c:pt idx="77">
                  <c:v>3.0217485000000002E-2</c:v>
                </c:pt>
                <c:pt idx="78">
                  <c:v>3.0691949E-2</c:v>
                </c:pt>
                <c:pt idx="79">
                  <c:v>3.0309878000000002E-2</c:v>
                </c:pt>
                <c:pt idx="80">
                  <c:v>3.0768121999999998E-2</c:v>
                </c:pt>
                <c:pt idx="81">
                  <c:v>3.0636774999999998E-2</c:v>
                </c:pt>
                <c:pt idx="82">
                  <c:v>3.0822162E-2</c:v>
                </c:pt>
                <c:pt idx="83">
                  <c:v>3.1038676000000001E-2</c:v>
                </c:pt>
                <c:pt idx="84">
                  <c:v>3.1117818000000002E-2</c:v>
                </c:pt>
                <c:pt idx="85">
                  <c:v>3.1174845999999999E-2</c:v>
                </c:pt>
                <c:pt idx="86">
                  <c:v>3.1218901E-2</c:v>
                </c:pt>
                <c:pt idx="87">
                  <c:v>3.1253541000000003E-2</c:v>
                </c:pt>
                <c:pt idx="88">
                  <c:v>3.1382462E-2</c:v>
                </c:pt>
                <c:pt idx="89">
                  <c:v>3.1935095000000004E-2</c:v>
                </c:pt>
                <c:pt idx="90">
                  <c:v>3.2068303999999999E-2</c:v>
                </c:pt>
                <c:pt idx="91">
                  <c:v>3.2106304000000002E-2</c:v>
                </c:pt>
                <c:pt idx="92">
                  <c:v>3.2309868999999998E-2</c:v>
                </c:pt>
                <c:pt idx="93">
                  <c:v>3.2349841000000004E-2</c:v>
                </c:pt>
                <c:pt idx="94">
                  <c:v>3.2590998999999996E-2</c:v>
                </c:pt>
                <c:pt idx="95">
                  <c:v>3.2666042999999999E-2</c:v>
                </c:pt>
                <c:pt idx="96">
                  <c:v>3.2735755000000005E-2</c:v>
                </c:pt>
                <c:pt idx="97">
                  <c:v>3.2823695999999999E-2</c:v>
                </c:pt>
                <c:pt idx="98">
                  <c:v>3.2858418E-2</c:v>
                </c:pt>
                <c:pt idx="99">
                  <c:v>3.2937842000000002E-2</c:v>
                </c:pt>
                <c:pt idx="100">
                  <c:v>3.3025211999999998E-2</c:v>
                </c:pt>
                <c:pt idx="101">
                  <c:v>3.3051509E-2</c:v>
                </c:pt>
                <c:pt idx="102">
                  <c:v>3.3036119000000003E-2</c:v>
                </c:pt>
                <c:pt idx="103">
                  <c:v>3.3120743000000001E-2</c:v>
                </c:pt>
                <c:pt idx="104">
                  <c:v>3.3178583000000005E-2</c:v>
                </c:pt>
                <c:pt idx="105">
                  <c:v>3.3243621000000001E-2</c:v>
                </c:pt>
                <c:pt idx="106">
                  <c:v>3.3286446999999997E-2</c:v>
                </c:pt>
                <c:pt idx="107">
                  <c:v>3.3376494E-2</c:v>
                </c:pt>
                <c:pt idx="108">
                  <c:v>3.347265E-2</c:v>
                </c:pt>
                <c:pt idx="109">
                  <c:v>3.3481681999999999E-2</c:v>
                </c:pt>
                <c:pt idx="110">
                  <c:v>3.3471083999999998E-2</c:v>
                </c:pt>
                <c:pt idx="111">
                  <c:v>3.3496731000000002E-2</c:v>
                </c:pt>
                <c:pt idx="112">
                  <c:v>3.3465932999999996E-2</c:v>
                </c:pt>
                <c:pt idx="113">
                  <c:v>3.3447664000000002E-2</c:v>
                </c:pt>
                <c:pt idx="114">
                  <c:v>3.3455685999999998E-2</c:v>
                </c:pt>
                <c:pt idx="115">
                  <c:v>3.3456922E-2</c:v>
                </c:pt>
                <c:pt idx="116">
                  <c:v>3.3478328000000002E-2</c:v>
                </c:pt>
                <c:pt idx="117">
                  <c:v>3.3483478999999997E-2</c:v>
                </c:pt>
                <c:pt idx="118">
                  <c:v>3.3558955000000001E-2</c:v>
                </c:pt>
                <c:pt idx="119">
                  <c:v>3.3496290000000005E-2</c:v>
                </c:pt>
                <c:pt idx="120">
                  <c:v>3.3542506E-2</c:v>
                </c:pt>
                <c:pt idx="121">
                  <c:v>3.3509525999999998E-2</c:v>
                </c:pt>
                <c:pt idx="122">
                  <c:v>3.3585286999999998E-2</c:v>
                </c:pt>
                <c:pt idx="123">
                  <c:v>3.3591996999999998E-2</c:v>
                </c:pt>
                <c:pt idx="124">
                  <c:v>3.3603111999999997E-2</c:v>
                </c:pt>
                <c:pt idx="125">
                  <c:v>3.3541493999999998E-2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015552"/>
        <c:axId val="586867072"/>
      </c:scatterChart>
      <c:valAx>
        <c:axId val="613015552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586867072"/>
        <c:crosses val="autoZero"/>
        <c:crossBetween val="midCat"/>
      </c:valAx>
      <c:valAx>
        <c:axId val="586867072"/>
        <c:scaling>
          <c:orientation val="minMax"/>
          <c:max val="3.500000000000001E-2"/>
          <c:min val="2.5000000000000005E-2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613015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345832005124702"/>
          <c:y val="0.52696008237065606"/>
          <c:w val="0.16461624776540962"/>
          <c:h val="0.21868980663131393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114299</xdr:rowOff>
    </xdr:from>
    <xdr:to>
      <xdr:col>11</xdr:col>
      <xdr:colOff>466724</xdr:colOff>
      <xdr:row>23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64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outlineLevelCol="1"/>
  <cols>
    <col min="1" max="1" width="9.140625" style="1"/>
    <col min="2" max="4" width="15.7109375" style="1" customWidth="1"/>
    <col min="5" max="10" width="15.7109375" style="1" hidden="1" customWidth="1" outlineLevel="1"/>
    <col min="11" max="11" width="15.7109375" style="1" customWidth="1" collapsed="1"/>
    <col min="12" max="12" width="15.7109375" style="1" customWidth="1"/>
    <col min="13" max="13" width="22.7109375" style="1" customWidth="1"/>
    <col min="14" max="14" width="15.7109375" style="41" customWidth="1"/>
    <col min="15" max="19" width="12.7109375" style="47" customWidth="1"/>
    <col min="20" max="20" width="15.7109375" style="2" hidden="1" customWidth="1" outlineLevel="1"/>
    <col min="21" max="31" width="15.7109375" style="3" hidden="1" customWidth="1" outlineLevel="1"/>
    <col min="32" max="32" width="9.140625" style="1" collapsed="1"/>
    <col min="33" max="16384" width="9.140625" style="1"/>
  </cols>
  <sheetData>
    <row r="1" spans="2:32">
      <c r="K1" s="5" t="s">
        <v>288</v>
      </c>
      <c r="N1" s="44"/>
      <c r="O1" s="44"/>
      <c r="P1" s="44"/>
      <c r="Q1" s="44"/>
      <c r="R1" s="44"/>
      <c r="S1" s="44"/>
      <c r="AF1" s="5" t="s">
        <v>286</v>
      </c>
    </row>
    <row r="2" spans="2:32">
      <c r="N2" s="44"/>
      <c r="O2" s="35" t="s">
        <v>283</v>
      </c>
      <c r="P2" s="35" t="s">
        <v>283</v>
      </c>
      <c r="Q2" s="35" t="s">
        <v>283</v>
      </c>
      <c r="R2" s="35" t="s">
        <v>283</v>
      </c>
      <c r="S2" s="35" t="s">
        <v>283</v>
      </c>
      <c r="T2" s="33"/>
      <c r="X2" s="7"/>
      <c r="Y2" s="7" t="s">
        <v>46</v>
      </c>
      <c r="AA2" s="7"/>
      <c r="AB2" s="7"/>
      <c r="AC2" s="7"/>
      <c r="AE2" s="7"/>
    </row>
    <row r="3" spans="2:32">
      <c r="B3" s="5" t="s">
        <v>9</v>
      </c>
      <c r="C3" s="5" t="s">
        <v>10</v>
      </c>
      <c r="D3" s="6"/>
      <c r="M3" s="5" t="s">
        <v>282</v>
      </c>
      <c r="N3" s="45"/>
      <c r="O3" s="37">
        <f ca="1">IF(ISNUMBER(SUM(W7:W132)),SUM(W7:W132),"BBG WAIT!")</f>
        <v>2.0321522242738865E-12</v>
      </c>
      <c r="P3" s="38" t="s">
        <v>287</v>
      </c>
      <c r="Q3" s="37">
        <f ca="1">IF(ISNUMBER(SUM(N7:N132)),SUM(N7:N132)-SUM(Q7:Q132)*100,"BBG WAIT!")</f>
        <v>-2.233946361229755E-11</v>
      </c>
      <c r="R3" s="37">
        <f ca="1">IF(ISNUMBER(SUM(AD7:AD132)),SUM(AD7:AD132),"BBG WAIT!")</f>
        <v>4.977459560220332E-4</v>
      </c>
      <c r="S3" s="38" t="s">
        <v>287</v>
      </c>
      <c r="X3" s="7"/>
      <c r="Y3" s="36">
        <v>1000000</v>
      </c>
      <c r="AA3" s="7"/>
      <c r="AB3" s="7"/>
      <c r="AC3" s="7"/>
      <c r="AE3" s="7"/>
    </row>
    <row r="4" spans="2:32">
      <c r="B4" s="39">
        <f ca="1">TODAY()</f>
        <v>43419</v>
      </c>
      <c r="C4" s="40">
        <f ca="1">_xll.meDateFromTenor($B$4,$D$4,"MOD_FOLLOWING","NYB")</f>
        <v>43420</v>
      </c>
      <c r="D4" s="8" t="s">
        <v>11</v>
      </c>
      <c r="E4" s="4"/>
      <c r="F4" s="4"/>
      <c r="G4" s="4"/>
      <c r="H4" s="4"/>
      <c r="I4" s="4"/>
      <c r="J4" s="4"/>
      <c r="K4" s="4"/>
      <c r="L4" s="4"/>
      <c r="M4" s="31" t="s">
        <v>281</v>
      </c>
      <c r="N4" s="45"/>
      <c r="O4" s="45"/>
      <c r="P4" s="45"/>
      <c r="Q4" s="45"/>
      <c r="R4" s="45"/>
      <c r="S4" s="45"/>
    </row>
    <row r="5" spans="2:3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N5" s="9" t="s">
        <v>19</v>
      </c>
      <c r="O5" s="44"/>
      <c r="P5" s="44"/>
      <c r="Q5" s="44"/>
      <c r="R5" s="44"/>
      <c r="S5" s="44"/>
      <c r="T5" s="9" t="s">
        <v>12</v>
      </c>
      <c r="U5" s="10" t="s">
        <v>12</v>
      </c>
      <c r="V5" s="11" t="s">
        <v>13</v>
      </c>
      <c r="W5" s="12" t="s">
        <v>14</v>
      </c>
      <c r="X5" s="11" t="s">
        <v>15</v>
      </c>
      <c r="Y5" s="10" t="s">
        <v>16</v>
      </c>
      <c r="Z5" s="12" t="s">
        <v>14</v>
      </c>
      <c r="AA5" s="11" t="s">
        <v>15</v>
      </c>
      <c r="AB5" s="11" t="s">
        <v>15</v>
      </c>
      <c r="AC5" s="10" t="s">
        <v>16</v>
      </c>
      <c r="AD5" s="12" t="s">
        <v>14</v>
      </c>
      <c r="AE5" s="11" t="s">
        <v>15</v>
      </c>
    </row>
    <row r="6" spans="2:32" s="13" customFormat="1">
      <c r="B6" s="34" t="s">
        <v>17</v>
      </c>
      <c r="C6" s="34" t="s">
        <v>0</v>
      </c>
      <c r="D6" s="34" t="s">
        <v>1</v>
      </c>
      <c r="E6" s="34" t="s">
        <v>2</v>
      </c>
      <c r="F6" s="34" t="s">
        <v>8</v>
      </c>
      <c r="G6" s="34" t="s">
        <v>7</v>
      </c>
      <c r="H6" s="34" t="s">
        <v>3</v>
      </c>
      <c r="I6" s="34" t="s">
        <v>4</v>
      </c>
      <c r="J6" s="34" t="s">
        <v>301</v>
      </c>
      <c r="K6" s="34" t="s">
        <v>6</v>
      </c>
      <c r="L6" s="34" t="s">
        <v>5</v>
      </c>
      <c r="M6" s="34" t="s">
        <v>18</v>
      </c>
      <c r="N6" s="42" t="s">
        <v>289</v>
      </c>
      <c r="O6" s="46" t="s">
        <v>284</v>
      </c>
      <c r="P6" s="46" t="s">
        <v>290</v>
      </c>
      <c r="Q6" s="46" t="s">
        <v>291</v>
      </c>
      <c r="R6" s="46" t="s">
        <v>285</v>
      </c>
      <c r="S6" s="46" t="s">
        <v>22</v>
      </c>
      <c r="T6" s="9" t="s">
        <v>19</v>
      </c>
      <c r="U6" s="10" t="s">
        <v>20</v>
      </c>
      <c r="V6" s="11" t="s">
        <v>21</v>
      </c>
      <c r="W6" s="32" t="s">
        <v>283</v>
      </c>
      <c r="X6" s="11" t="s">
        <v>22</v>
      </c>
      <c r="Y6" s="10" t="s">
        <v>23</v>
      </c>
      <c r="Z6" s="32" t="s">
        <v>283</v>
      </c>
      <c r="AA6" s="11" t="s">
        <v>24</v>
      </c>
      <c r="AB6" s="11" t="s">
        <v>25</v>
      </c>
      <c r="AC6" s="10" t="s">
        <v>26</v>
      </c>
      <c r="AD6" s="32" t="s">
        <v>283</v>
      </c>
      <c r="AE6" s="11" t="s">
        <v>27</v>
      </c>
    </row>
    <row r="7" spans="2:32">
      <c r="B7" s="14" t="s">
        <v>135</v>
      </c>
      <c r="C7" s="14" t="s">
        <v>136</v>
      </c>
      <c r="D7" s="14" t="s">
        <v>136</v>
      </c>
      <c r="E7" s="15">
        <v>42401</v>
      </c>
      <c r="F7" s="18">
        <v>42400</v>
      </c>
      <c r="G7" s="17" t="str">
        <f t="shared" ref="G7:G38" si="0">IF(DAY(L7+1)=1, "EOM","")</f>
        <v>EOM</v>
      </c>
      <c r="H7" s="15">
        <v>42582</v>
      </c>
      <c r="I7" s="15">
        <v>44043</v>
      </c>
      <c r="J7" s="15" t="s">
        <v>292</v>
      </c>
      <c r="K7" s="16">
        <v>1.375E-2</v>
      </c>
      <c r="L7" s="15">
        <v>44227</v>
      </c>
      <c r="M7" s="19" t="str">
        <f ca="1">_xll.meLWOBondCreateFromGeneratorLVB(C7,$M$4,_xll.meUtilityLVBFromKeysValues($C$6:$L$6,C7:L7))</f>
        <v>US912828N894@1434:4</v>
      </c>
      <c r="N7" s="53">
        <f ca="1">_xll.BDP($B7,$N$5)</f>
        <v>2.8644356000000002</v>
      </c>
      <c r="O7" s="52">
        <f ca="1">_xll.meLWOBondCleanPrice($M7,$C$4,$N7%)</f>
        <v>96.835937568048763</v>
      </c>
      <c r="P7" s="52">
        <f ca="1">_xll.meLWOBondDirtyPrice($M7,$C$4,$N7%)</f>
        <v>97.239470176744419</v>
      </c>
      <c r="Q7" s="51">
        <f ca="1">_xll.meLWOBondYield($M7,$C$4,O7)</f>
        <v>2.8644356000002348E-2</v>
      </c>
      <c r="R7" s="52">
        <f ca="1">_xll.meLWOBondModifiedDuration($M7,$C$4,$N7%)</f>
        <v>2.1412039321811576</v>
      </c>
      <c r="S7" s="21">
        <f ca="1">_xll.meLWOBondDV01($M7,$C$4,$N7%)</f>
        <v>208.20953590565756</v>
      </c>
      <c r="T7" s="50">
        <f ca="1">N7</f>
        <v>2.8644356000000002</v>
      </c>
      <c r="U7" s="20">
        <f ca="1">_xll.BDP($B7,U$6, "YAS_BOND_YLD="&amp;$T7,"YAS_YLD_CONV=2")</f>
        <v>96.835937568048777</v>
      </c>
      <c r="V7" s="21">
        <f ca="1">_xll.meLWOBondCleanPrice($M7,$C$4,$T7%)</f>
        <v>96.835937568048763</v>
      </c>
      <c r="W7" s="22">
        <f t="shared" ref="W7:W38" ca="1" si="1">ABS(V7-U7)</f>
        <v>1.4210854715202004E-14</v>
      </c>
      <c r="X7" s="21">
        <f ca="1">_xll.meLWOBondDV01($M7,$C$4,$T7%)</f>
        <v>208.20953590565756</v>
      </c>
      <c r="Y7" s="20">
        <f ca="1">_xll.BDP($B7,Y$6, "YLD_YTM_ASK="&amp;$T7,"YAS_YLD_CONV=3")*$Y$3*0.0001</f>
        <v>208.20953881482754</v>
      </c>
      <c r="Z7" s="22">
        <f t="shared" ref="Z7:Z38" ca="1" si="2">ABS(Y7-X7)</f>
        <v>2.9091699786931713E-6</v>
      </c>
      <c r="AA7" s="21">
        <f ca="1">_xll.meLWOBondDirtyPrice($M7,$C$4,$T7%)</f>
        <v>97.239470176744419</v>
      </c>
      <c r="AB7" s="21">
        <f ca="1">_xll.meLWOBondModifiedDuration($M7,$C$4,$T7%)</f>
        <v>2.1412039321811576</v>
      </c>
      <c r="AC7" s="20">
        <f ca="1">_xll.BDP($B7,AC$6,"YLD_YTM_ASK="&amp;$T7,"YAS_YLD_CONV=3")</f>
        <v>2.1412039620987402</v>
      </c>
      <c r="AD7" s="22">
        <f t="shared" ref="AD7:AD38" ca="1" si="3">ABS(AC7-AB7)</f>
        <v>2.9917582633487427E-8</v>
      </c>
      <c r="AE7" s="21">
        <f ca="1">_xll.meLWOBondDV01Numerical($M7,$C$4,$T7%,0.5,"CENTRAL")</f>
        <v>208.20953663232447</v>
      </c>
    </row>
    <row r="8" spans="2:32">
      <c r="B8" s="14" t="s">
        <v>151</v>
      </c>
      <c r="C8" s="14" t="s">
        <v>152</v>
      </c>
      <c r="D8" s="14" t="s">
        <v>152</v>
      </c>
      <c r="E8" s="15">
        <v>41670</v>
      </c>
      <c r="F8" s="18">
        <v>41670</v>
      </c>
      <c r="G8" s="17" t="str">
        <f t="shared" si="0"/>
        <v>EOM</v>
      </c>
      <c r="H8" s="15">
        <v>41851</v>
      </c>
      <c r="I8" s="15">
        <v>44043</v>
      </c>
      <c r="J8" s="15" t="s">
        <v>292</v>
      </c>
      <c r="K8" s="16">
        <v>2.1250000000000002E-2</v>
      </c>
      <c r="L8" s="15">
        <v>44227</v>
      </c>
      <c r="M8" s="19" t="str">
        <f ca="1">_xll.meLWOBondCreateFromGeneratorLVB(C8,$M$4,_xll.meUtilityLVBFromKeysValues($C$6:$L$6,C8:L8))</f>
        <v>US912828B584@1433:4</v>
      </c>
      <c r="N8" s="53">
        <f ca="1">_xll.BDP($B8,$N$5)</f>
        <v>2.8598938</v>
      </c>
      <c r="O8" s="52">
        <f ca="1">_xll.meLWOBondCleanPrice($M8,$C$4,$N8%)</f>
        <v>98.437500036438735</v>
      </c>
      <c r="P8" s="52">
        <f ca="1">_xll.meLWOBondDirtyPrice($M8,$C$4,$N8%)</f>
        <v>99.061141340786563</v>
      </c>
      <c r="Q8" s="51">
        <f ca="1">_xll.meLWOBondYield($M8,$C$4,O8)</f>
        <v>2.8598938000000657E-2</v>
      </c>
      <c r="R8" s="52">
        <f ca="1">_xll.meLWOBondModifiedDuration($M8,$C$4,$N8%)</f>
        <v>2.123587003109261</v>
      </c>
      <c r="S8" s="21">
        <f ca="1">_xll.meLWOBondDV01($M8,$C$4,$N8%)</f>
        <v>210.36495226446385</v>
      </c>
      <c r="T8" s="50">
        <f t="shared" ref="T8:T71" ca="1" si="4">N8</f>
        <v>2.8598938</v>
      </c>
      <c r="U8" s="20">
        <f ca="1">_xll.BDP($B8,U$6, "YAS_BOND_YLD="&amp;$T8,"YAS_YLD_CONV=2")</f>
        <v>98.437500036438735</v>
      </c>
      <c r="V8" s="21">
        <f ca="1">_xll.meLWOBondCleanPrice($M8,$C$4,$T8%)</f>
        <v>98.437500036438735</v>
      </c>
      <c r="W8" s="22">
        <f t="shared" ca="1" si="1"/>
        <v>0</v>
      </c>
      <c r="X8" s="21">
        <f ca="1">_xll.meLWOBondDV01($M8,$C$4,$T8%)</f>
        <v>210.36495226446385</v>
      </c>
      <c r="Y8" s="20">
        <f ca="1">_xll.BDP($B8,Y$6, "YLD_YTM_ASK="&amp;$T8,"YAS_YLD_CONV=3")*$Y$3*0.0001</f>
        <v>210.36495519432208</v>
      </c>
      <c r="Z8" s="22">
        <f t="shared" ca="1" si="2"/>
        <v>2.9298582262526907E-6</v>
      </c>
      <c r="AA8" s="21">
        <f ca="1">_xll.meLWOBondDirtyPrice($M8,$C$4,$T8%)</f>
        <v>99.061141340786563</v>
      </c>
      <c r="AB8" s="21">
        <f ca="1">_xll.meLWOBondModifiedDuration($M8,$C$4,$T8%)</f>
        <v>2.123587003109261</v>
      </c>
      <c r="AC8" s="20">
        <f ca="1">_xll.BDP($B8,AC$6,"YLD_YTM_ASK="&amp;$T8,"YAS_YLD_CONV=3")</f>
        <v>2.1235870326855224</v>
      </c>
      <c r="AD8" s="22">
        <f t="shared" ca="1" si="3"/>
        <v>2.9576261439956397E-8</v>
      </c>
      <c r="AE8" s="21">
        <f ca="1">_xll.meLWOBondDV01Numerical($M8,$C$4,$T8%,0.5,"CENTRAL")</f>
        <v>210.36495299654237</v>
      </c>
    </row>
    <row r="9" spans="2:32">
      <c r="B9" s="14" t="s">
        <v>69</v>
      </c>
      <c r="C9" s="14" t="s">
        <v>70</v>
      </c>
      <c r="D9" s="14" t="s">
        <v>70</v>
      </c>
      <c r="E9" s="15">
        <v>40589</v>
      </c>
      <c r="F9" s="18">
        <v>40589</v>
      </c>
      <c r="G9" s="17" t="str">
        <f t="shared" si="0"/>
        <v/>
      </c>
      <c r="H9" s="15">
        <v>40770</v>
      </c>
      <c r="I9" s="15">
        <v>44058</v>
      </c>
      <c r="J9" s="15" t="s">
        <v>292</v>
      </c>
      <c r="K9" s="16">
        <v>3.6249999999999998E-2</v>
      </c>
      <c r="L9" s="15">
        <v>44242</v>
      </c>
      <c r="M9" s="19" t="str">
        <f ca="1">_xll.meLWOBondCreateFromGeneratorLVB(C9,$M$4,_xll.meUtilityLVBFromKeysValues($C$6:$L$6,C9:L9))</f>
        <v>US912828PX26@1432:4</v>
      </c>
      <c r="N9" s="53">
        <f ca="1">_xll.BDP($B9,$N$5)</f>
        <v>2.8537710000000001</v>
      </c>
      <c r="O9" s="52">
        <f ca="1">_xll.meLWOBondCleanPrice($M9,$C$4,$N9%)</f>
        <v>101.66406257043023</v>
      </c>
      <c r="P9" s="52">
        <f ca="1">_xll.meLWOBondDirtyPrice($M9,$C$4,$N9%)</f>
        <v>102.5801631139085</v>
      </c>
      <c r="Q9" s="51">
        <f ca="1">_xll.meLWOBondYield($M9,$C$4,O9)</f>
        <v>2.8537710000002606E-2</v>
      </c>
      <c r="R9" s="52">
        <f ca="1">_xll.meLWOBondModifiedDuration($M9,$C$4,$N9%)</f>
        <v>2.1303813595510519</v>
      </c>
      <c r="S9" s="21">
        <f ca="1">_xll.meLWOBondDV01($M9,$C$4,$N9%)</f>
        <v>218.53486735757707</v>
      </c>
      <c r="T9" s="50">
        <f t="shared" ca="1" si="4"/>
        <v>2.8537710000000001</v>
      </c>
      <c r="U9" s="20">
        <f ca="1">_xll.BDP($B9,U$6, "YAS_BOND_YLD="&amp;$T9,"YAS_YLD_CONV=2")</f>
        <v>101.66406257043026</v>
      </c>
      <c r="V9" s="21">
        <f ca="1">_xll.meLWOBondCleanPrice($M9,$C$4,$T9%)</f>
        <v>101.66406257043023</v>
      </c>
      <c r="W9" s="22">
        <f t="shared" ca="1" si="1"/>
        <v>2.8421709430404007E-14</v>
      </c>
      <c r="X9" s="21">
        <f ca="1">_xll.meLWOBondDV01($M9,$C$4,$T9%)</f>
        <v>218.53486735757707</v>
      </c>
      <c r="Y9" s="20">
        <f ca="1">_xll.BDP($B9,Y$6, "YLD_YTM_ASK="&amp;$T9,"YAS_YLD_CONV=3")*$Y$3*0.0001</f>
        <v>218.53487046556097</v>
      </c>
      <c r="Z9" s="22">
        <f t="shared" ca="1" si="2"/>
        <v>3.1079839004632959E-6</v>
      </c>
      <c r="AA9" s="21">
        <f ca="1">_xll.meLWOBondDirtyPrice($M9,$C$4,$T9%)</f>
        <v>102.5801631139085</v>
      </c>
      <c r="AB9" s="21">
        <f ca="1">_xll.meLWOBondModifiedDuration($M9,$C$4,$T9%)</f>
        <v>2.1303813595510519</v>
      </c>
      <c r="AC9" s="20">
        <f ca="1">_xll.BDP($B9,AC$6,"YLD_YTM_ASK="&amp;$T9,"YAS_YLD_CONV=3")</f>
        <v>2.1303813898491497</v>
      </c>
      <c r="AD9" s="22">
        <f t="shared" ca="1" si="3"/>
        <v>3.0298097808412194E-8</v>
      </c>
      <c r="AE9" s="21">
        <f ca="1">_xll.meLWOBondDV01Numerical($M9,$C$4,$T9%,0.5,"CENTRAL")</f>
        <v>218.53486813512291</v>
      </c>
    </row>
    <row r="10" spans="2:32">
      <c r="B10" s="14" t="s">
        <v>111</v>
      </c>
      <c r="C10" s="14" t="s">
        <v>112</v>
      </c>
      <c r="D10" s="14" t="s">
        <v>112</v>
      </c>
      <c r="E10" s="15">
        <v>42429</v>
      </c>
      <c r="F10" s="18">
        <v>42429</v>
      </c>
      <c r="G10" s="17" t="str">
        <f t="shared" si="0"/>
        <v>EOM</v>
      </c>
      <c r="H10" s="15">
        <v>42613</v>
      </c>
      <c r="I10" s="15">
        <v>44074</v>
      </c>
      <c r="J10" s="15" t="s">
        <v>292</v>
      </c>
      <c r="K10" s="16">
        <v>1.125E-2</v>
      </c>
      <c r="L10" s="15">
        <v>44255</v>
      </c>
      <c r="M10" s="19" t="str">
        <f ca="1">_xll.meLWOBondCreateFromGeneratorLVB(C10,$M$4,_xll.meUtilityLVBFromKeysValues($C$6:$L$6,C10:L10))</f>
        <v>US912828P873@1431:4</v>
      </c>
      <c r="N10" s="53">
        <f ca="1">_xll.BDP($B10,$N$5)</f>
        <v>2.8656103000000002</v>
      </c>
      <c r="O10" s="52">
        <f ca="1">_xll.meLWOBondCleanPrice($M10,$C$4,$N10%)</f>
        <v>96.17187498599597</v>
      </c>
      <c r="P10" s="52">
        <f ca="1">_xll.meLWOBondDirtyPrice($M10,$C$4,$N10%)</f>
        <v>96.411170566106463</v>
      </c>
      <c r="Q10" s="51">
        <f ca="1">_xll.meLWOBondYield($M10,$C$4,O10)</f>
        <v>2.8656103000001848E-2</v>
      </c>
      <c r="R10" s="52">
        <f ca="1">_xll.meLWOBondModifiedDuration($M10,$C$4,$N10%)</f>
        <v>2.2268576820956785</v>
      </c>
      <c r="S10" s="21">
        <f ca="1">_xll.meLWOBondDV01($M10,$C$4,$N10%)</f>
        <v>214.69395581497093</v>
      </c>
      <c r="T10" s="50">
        <f t="shared" ca="1" si="4"/>
        <v>2.8656103000000002</v>
      </c>
      <c r="U10" s="20">
        <f ca="1">_xll.BDP($B10,U$6, "YAS_BOND_YLD="&amp;$T10,"YAS_YLD_CONV=2")</f>
        <v>96.171874985995956</v>
      </c>
      <c r="V10" s="21">
        <f ca="1">_xll.meLWOBondCleanPrice($M10,$C$4,$T10%)</f>
        <v>96.17187498599597</v>
      </c>
      <c r="W10" s="22">
        <f t="shared" ca="1" si="1"/>
        <v>1.4210854715202004E-14</v>
      </c>
      <c r="X10" s="21">
        <f ca="1">_xll.meLWOBondDV01($M10,$C$4,$T10%)</f>
        <v>214.69395581497093</v>
      </c>
      <c r="Y10" s="20">
        <f ca="1">_xll.BDP($B10,Y$6, "YLD_YTM_ASK="&amp;$T10,"YAS_YLD_CONV=3")*$Y$3*0.0001</f>
        <v>214.69395898499499</v>
      </c>
      <c r="Z10" s="22">
        <f t="shared" ca="1" si="2"/>
        <v>3.1700240583631967E-6</v>
      </c>
      <c r="AA10" s="21">
        <f ca="1">_xll.meLWOBondDirtyPrice($M10,$C$4,$T10%)</f>
        <v>96.411170566106463</v>
      </c>
      <c r="AB10" s="21">
        <f ca="1">_xll.meLWOBondModifiedDuration($M10,$C$4,$T10%)</f>
        <v>2.2268576820956785</v>
      </c>
      <c r="AC10" s="20">
        <f ca="1">_xll.BDP($B10,AC$6,"YLD_YTM_ASK="&amp;$T10,"YAS_YLD_CONV=3")</f>
        <v>2.2268577149759361</v>
      </c>
      <c r="AD10" s="22">
        <f t="shared" ca="1" si="3"/>
        <v>3.2880257627709852E-8</v>
      </c>
      <c r="AE10" s="21">
        <f ca="1">_xll.meLWOBondDV01Numerical($M10,$C$4,$T10%,0.5,"CENTRAL")</f>
        <v>214.69395660773219</v>
      </c>
    </row>
    <row r="11" spans="2:32" s="24" customFormat="1">
      <c r="B11" s="14" t="s">
        <v>187</v>
      </c>
      <c r="C11" s="14" t="s">
        <v>188</v>
      </c>
      <c r="D11" s="14" t="s">
        <v>188</v>
      </c>
      <c r="E11" s="15">
        <v>41698</v>
      </c>
      <c r="F11" s="18">
        <v>41698</v>
      </c>
      <c r="G11" s="17" t="str">
        <f t="shared" si="0"/>
        <v>EOM</v>
      </c>
      <c r="H11" s="15">
        <v>41882</v>
      </c>
      <c r="I11" s="15">
        <v>44074</v>
      </c>
      <c r="J11" s="15" t="s">
        <v>292</v>
      </c>
      <c r="K11" s="16">
        <v>0.02</v>
      </c>
      <c r="L11" s="15">
        <v>44255</v>
      </c>
      <c r="M11" s="19" t="str">
        <f ca="1">_xll.meLWOBondCreateFromGeneratorLVB(C11,$M$4,_xll.meUtilityLVBFromKeysValues($C$6:$L$6,C11:L11))</f>
        <v>US912828B907@1430:4</v>
      </c>
      <c r="N11" s="53">
        <f ca="1">_xll.BDP($B11,$N$5)</f>
        <v>2.8661905000000001</v>
      </c>
      <c r="O11" s="52">
        <f ca="1">_xll.meLWOBondCleanPrice($M11,$C$4,$N11%)</f>
        <v>98.093749975503655</v>
      </c>
      <c r="P11" s="52">
        <f ca="1">_xll.meLWOBondDirtyPrice($M11,$C$4,$N11%)</f>
        <v>98.519164340144542</v>
      </c>
      <c r="Q11" s="51">
        <f ca="1">_xll.meLWOBondYield($M11,$C$4,O11)</f>
        <v>2.86619050000003E-2</v>
      </c>
      <c r="R11" s="52">
        <f ca="1">_xll.meLWOBondModifiedDuration($M11,$C$4,$N11%)</f>
        <v>2.2060459728890391</v>
      </c>
      <c r="S11" s="21">
        <f ca="1">_xll.meLWOBondDV01($M11,$C$4,$N11%)</f>
        <v>217.3378057449693</v>
      </c>
      <c r="T11" s="50">
        <f t="shared" ca="1" si="4"/>
        <v>2.8661905000000001</v>
      </c>
      <c r="U11" s="20">
        <f ca="1">_xll.BDP($B11,U$6, "YAS_BOND_YLD="&amp;$T11,"YAS_YLD_CONV=2")</f>
        <v>98.093749975503641</v>
      </c>
      <c r="V11" s="21">
        <f ca="1">_xll.meLWOBondCleanPrice($M11,$C$4,$T11%)</f>
        <v>98.093749975503655</v>
      </c>
      <c r="W11" s="22">
        <f t="shared" ca="1" si="1"/>
        <v>1.4210854715202004E-14</v>
      </c>
      <c r="X11" s="21">
        <f ca="1">_xll.meLWOBondDV01($M11,$C$4,$T11%)</f>
        <v>217.3378057449693</v>
      </c>
      <c r="Y11" s="20">
        <f ca="1">_xll.BDP($B11,Y$6, "YLD_YTM_ASK="&amp;$T11,"YAS_YLD_CONV=3")*$Y$3*0.0001</f>
        <v>217.33780894102497</v>
      </c>
      <c r="Z11" s="22">
        <f t="shared" ca="1" si="2"/>
        <v>3.1960556725607603E-6</v>
      </c>
      <c r="AA11" s="21">
        <f ca="1">_xll.meLWOBondDirtyPrice($M11,$C$4,$T11%)</f>
        <v>98.519164340144542</v>
      </c>
      <c r="AB11" s="21">
        <f ca="1">_xll.meLWOBondModifiedDuration($M11,$C$4,$T11%)</f>
        <v>2.2060459728890391</v>
      </c>
      <c r="AC11" s="20">
        <f ca="1">_xll.BDP($B11,AC$6,"YLD_YTM_ASK="&amp;$T11,"YAS_YLD_CONV=3")</f>
        <v>2.2060460053299935</v>
      </c>
      <c r="AD11" s="22">
        <f t="shared" ca="1" si="3"/>
        <v>3.2440954367274344E-8</v>
      </c>
      <c r="AE11" s="21">
        <f ca="1">_xll.meLWOBondDV01Numerical($M11,$C$4,$T11%,0.5,"CENTRAL")</f>
        <v>217.33780654457749</v>
      </c>
    </row>
    <row r="12" spans="2:32">
      <c r="B12" s="14" t="s">
        <v>169</v>
      </c>
      <c r="C12" s="14" t="s">
        <v>170</v>
      </c>
      <c r="D12" s="14" t="s">
        <v>170</v>
      </c>
      <c r="E12" s="15">
        <v>42460</v>
      </c>
      <c r="F12" s="18">
        <v>42460</v>
      </c>
      <c r="G12" s="17" t="str">
        <f t="shared" si="0"/>
        <v>EOM</v>
      </c>
      <c r="H12" s="15">
        <v>42643</v>
      </c>
      <c r="I12" s="15">
        <v>44104</v>
      </c>
      <c r="J12" s="15" t="s">
        <v>292</v>
      </c>
      <c r="K12" s="16">
        <v>1.2500000000000001E-2</v>
      </c>
      <c r="L12" s="15">
        <v>44286</v>
      </c>
      <c r="M12" s="19" t="str">
        <f ca="1">_xll.meLWOBondCreateFromGeneratorLVB(C12,$M$4,_xll.meUtilityLVBFromKeysValues($C$6:$L$6,C12:L12))</f>
        <v>US912828Q376@1429:4</v>
      </c>
      <c r="N12" s="53">
        <f ca="1">_xll.BDP($B12,$N$5)</f>
        <v>2.8625690000000001</v>
      </c>
      <c r="O12" s="52">
        <f ca="1">_xll.meLWOBondCleanPrice($M12,$C$4,$N12%)</f>
        <v>96.328124945434311</v>
      </c>
      <c r="P12" s="52">
        <f ca="1">_xll.meLWOBondDirtyPrice($M12,$C$4,$N12%)</f>
        <v>96.489526044335406</v>
      </c>
      <c r="Q12" s="51">
        <f ca="1">_xll.meLWOBondYield($M12,$C$4,O12)</f>
        <v>2.8625690000002642E-2</v>
      </c>
      <c r="R12" s="52">
        <f ca="1">_xll.meLWOBondModifiedDuration($M12,$C$4,$N12%)</f>
        <v>2.3062715242646932</v>
      </c>
      <c r="S12" s="21">
        <f ca="1">_xll.meLWOBondDV01($M12,$C$4,$N12%)</f>
        <v>222.53104630584721</v>
      </c>
      <c r="T12" s="50">
        <f t="shared" ca="1" si="4"/>
        <v>2.8625690000000001</v>
      </c>
      <c r="U12" s="20">
        <f ca="1">_xll.BDP($B12,U$6, "YAS_BOND_YLD="&amp;$T12,"YAS_YLD_CONV=2")</f>
        <v>96.328124945434311</v>
      </c>
      <c r="V12" s="21">
        <f ca="1">_xll.meLWOBondCleanPrice($M12,$C$4,$T12%)</f>
        <v>96.328124945434311</v>
      </c>
      <c r="W12" s="22">
        <f t="shared" ca="1" si="1"/>
        <v>0</v>
      </c>
      <c r="X12" s="21">
        <f ca="1">_xll.meLWOBondDV01($M12,$C$4,$T12%)</f>
        <v>222.53104630584721</v>
      </c>
      <c r="Y12" s="20">
        <f ca="1">_xll.BDP($B12,Y$6, "YLD_YTM_ASK="&amp;$T12,"YAS_YLD_CONV=3")*$Y$3*0.0001</f>
        <v>222.53104977338012</v>
      </c>
      <c r="Z12" s="22">
        <f t="shared" ca="1" si="2"/>
        <v>3.4675329061428783E-6</v>
      </c>
      <c r="AA12" s="21">
        <f ca="1">_xll.meLWOBondDirtyPrice($M12,$C$4,$T12%)</f>
        <v>96.489526044335406</v>
      </c>
      <c r="AB12" s="21">
        <f ca="1">_xll.meLWOBondModifiedDuration($M12,$C$4,$T12%)</f>
        <v>2.3062715242646932</v>
      </c>
      <c r="AC12" s="20">
        <f ca="1">_xll.BDP($B12,AC$6,"YLD_YTM_ASK="&amp;$T12,"YAS_YLD_CONV=3")</f>
        <v>2.3062715602015769</v>
      </c>
      <c r="AD12" s="22">
        <f t="shared" ca="1" si="3"/>
        <v>3.5936883691078947E-8</v>
      </c>
      <c r="AE12" s="21">
        <f ca="1">_xll.meLWOBondDV01Numerical($M12,$C$4,$T12%,0.5,"CENTRAL")</f>
        <v>222.53104717307795</v>
      </c>
    </row>
    <row r="13" spans="2:32">
      <c r="B13" s="14" t="s">
        <v>185</v>
      </c>
      <c r="C13" s="14" t="s">
        <v>186</v>
      </c>
      <c r="D13" s="14" t="s">
        <v>186</v>
      </c>
      <c r="E13" s="15">
        <v>41729</v>
      </c>
      <c r="F13" s="18">
        <v>41729</v>
      </c>
      <c r="G13" s="17" t="str">
        <f t="shared" si="0"/>
        <v>EOM</v>
      </c>
      <c r="H13" s="15">
        <v>41912</v>
      </c>
      <c r="I13" s="15">
        <v>44104</v>
      </c>
      <c r="J13" s="15" t="s">
        <v>292</v>
      </c>
      <c r="K13" s="16">
        <v>2.2499999999999999E-2</v>
      </c>
      <c r="L13" s="15">
        <v>44286</v>
      </c>
      <c r="M13" s="19" t="str">
        <f ca="1">_xll.meLWOBondCreateFromGeneratorLVB(C13,$M$4,_xll.meUtilityLVBFromKeysValues($C$6:$L$6,C13:L13))</f>
        <v>US912828C574@1428:4</v>
      </c>
      <c r="N13" s="53">
        <f ca="1">_xll.BDP($B13,$N$5)</f>
        <v>2.8670887999999999</v>
      </c>
      <c r="O13" s="52">
        <f ca="1">_xll.meLWOBondCleanPrice($M13,$C$4,$N13%)</f>
        <v>98.593749916031328</v>
      </c>
      <c r="P13" s="52">
        <f ca="1">_xll.meLWOBondDirtyPrice($M13,$C$4,$N13%)</f>
        <v>98.884271894053299</v>
      </c>
      <c r="Q13" s="51">
        <f ca="1">_xll.meLWOBondYield($M13,$C$4,O13)</f>
        <v>2.8670888000000529E-2</v>
      </c>
      <c r="R13" s="52">
        <f ca="1">_xll.meLWOBondModifiedDuration($M13,$C$4,$N13%)</f>
        <v>2.2826588336475973</v>
      </c>
      <c r="S13" s="21">
        <f ca="1">_xll.meLWOBondDV01($M13,$C$4,$N13%)</f>
        <v>225.71905674777159</v>
      </c>
      <c r="T13" s="50">
        <f t="shared" ca="1" si="4"/>
        <v>2.8670887999999999</v>
      </c>
      <c r="U13" s="20">
        <f ca="1">_xll.BDP($B13,U$6, "YAS_BOND_YLD="&amp;$T13,"YAS_YLD_CONV=2")</f>
        <v>98.593749916031314</v>
      </c>
      <c r="V13" s="21">
        <f ca="1">_xll.meLWOBondCleanPrice($M13,$C$4,$T13%)</f>
        <v>98.593749916031328</v>
      </c>
      <c r="W13" s="22">
        <f t="shared" ca="1" si="1"/>
        <v>1.4210854715202004E-14</v>
      </c>
      <c r="X13" s="21">
        <f ca="1">_xll.meLWOBondDV01($M13,$C$4,$T13%)</f>
        <v>225.71905674777159</v>
      </c>
      <c r="Y13" s="20">
        <f ca="1">_xll.BDP($B13,Y$6, "YLD_YTM_ASK="&amp;$T13,"YAS_YLD_CONV=3")*$Y$3*0.0001</f>
        <v>225.71906024808186</v>
      </c>
      <c r="Z13" s="22">
        <f t="shared" ca="1" si="2"/>
        <v>3.5003102709652012E-6</v>
      </c>
      <c r="AA13" s="21">
        <f ca="1">_xll.meLWOBondDirtyPrice($M13,$C$4,$T13%)</f>
        <v>98.884271894053299</v>
      </c>
      <c r="AB13" s="21">
        <f ca="1">_xll.meLWOBondModifiedDuration($M13,$C$4,$T13%)</f>
        <v>2.2826588336475973</v>
      </c>
      <c r="AC13" s="20">
        <f ca="1">_xll.BDP($B13,AC$6,"YLD_YTM_ASK="&amp;$T13,"YAS_YLD_CONV=3")</f>
        <v>2.2826588690456457</v>
      </c>
      <c r="AD13" s="22">
        <f t="shared" ca="1" si="3"/>
        <v>3.5398048492396583E-8</v>
      </c>
      <c r="AE13" s="21">
        <f ca="1">_xll.meLWOBondDV01Numerical($M13,$C$4,$T13%,0.5,"CENTRAL")</f>
        <v>225.71905762333699</v>
      </c>
    </row>
    <row r="14" spans="2:32">
      <c r="B14" s="14" t="s">
        <v>225</v>
      </c>
      <c r="C14" s="14" t="s">
        <v>226</v>
      </c>
      <c r="D14" s="14" t="s">
        <v>226</v>
      </c>
      <c r="E14" s="15">
        <v>42492</v>
      </c>
      <c r="F14" s="18">
        <v>42490</v>
      </c>
      <c r="G14" s="17" t="str">
        <f t="shared" si="0"/>
        <v>EOM</v>
      </c>
      <c r="H14" s="15">
        <v>42674</v>
      </c>
      <c r="I14" s="15">
        <v>44135</v>
      </c>
      <c r="J14" s="15" t="s">
        <v>292</v>
      </c>
      <c r="K14" s="16">
        <v>1.375E-2</v>
      </c>
      <c r="L14" s="15">
        <v>44316</v>
      </c>
      <c r="M14" s="19" t="str">
        <f ca="1">_xll.meLWOBondCreateFromGeneratorLVB(C14,$M$4,_xll.meUtilityLVBFromKeysValues($C$6:$L$6,C14:L14))</f>
        <v>US912828Q780@1427:4</v>
      </c>
      <c r="N14" s="53">
        <f ca="1">_xll.BDP($B14,$N$5)</f>
        <v>2.8744066999999998</v>
      </c>
      <c r="O14" s="52">
        <f ca="1">_xll.meLWOBondCleanPrice($M14,$C$4,$N14%)</f>
        <v>96.468749949217411</v>
      </c>
      <c r="P14" s="52">
        <f ca="1">_xll.meLWOBondDirtyPrice($M14,$C$4,$N14%)</f>
        <v>96.529523429880399</v>
      </c>
      <c r="Q14" s="51">
        <f ca="1">_xll.meLWOBondYield($M14,$C$4,O14)</f>
        <v>2.8744067000001854E-2</v>
      </c>
      <c r="R14" s="52">
        <f ca="1">_xll.meLWOBondModifiedDuration($M14,$C$4,$N14%)</f>
        <v>2.3868412240215764</v>
      </c>
      <c r="S14" s="21">
        <f ca="1">_xll.meLWOBondDV01($M14,$C$4,$N14%)</f>
        <v>230.40064585759515</v>
      </c>
      <c r="T14" s="50">
        <f t="shared" ca="1" si="4"/>
        <v>2.8744066999999998</v>
      </c>
      <c r="U14" s="20">
        <f ca="1">_xll.BDP($B14,U$6, "YAS_BOND_YLD="&amp;$T14,"YAS_YLD_CONV=2")</f>
        <v>96.468749949217425</v>
      </c>
      <c r="V14" s="21">
        <f ca="1">_xll.meLWOBondCleanPrice($M14,$C$4,$T14%)</f>
        <v>96.468749949217411</v>
      </c>
      <c r="W14" s="22">
        <f t="shared" ca="1" si="1"/>
        <v>1.4210854715202004E-14</v>
      </c>
      <c r="X14" s="21">
        <f ca="1">_xll.meLWOBondDV01($M14,$C$4,$T14%)</f>
        <v>230.40064585759515</v>
      </c>
      <c r="Y14" s="20">
        <f ca="1">_xll.BDP($B14,Y$6, "YLD_YTM_ASK="&amp;$T14,"YAS_YLD_CONV=3")*$Y$3*0.0001</f>
        <v>230.40064964348517</v>
      </c>
      <c r="Z14" s="22">
        <f t="shared" ca="1" si="2"/>
        <v>3.7858900157061726E-6</v>
      </c>
      <c r="AA14" s="21">
        <f ca="1">_xll.meLWOBondDirtyPrice($M14,$C$4,$T14%)</f>
        <v>96.529523429880399</v>
      </c>
      <c r="AB14" s="21">
        <f ca="1">_xll.meLWOBondModifiedDuration($M14,$C$4,$T14%)</f>
        <v>2.3868412240215764</v>
      </c>
      <c r="AC14" s="20">
        <f ca="1">_xll.BDP($B14,AC$6,"YLD_YTM_ASK="&amp;$T14,"YAS_YLD_CONV=3")</f>
        <v>2.3868412632415978</v>
      </c>
      <c r="AD14" s="22">
        <f t="shared" ca="1" si="3"/>
        <v>3.9220021452734954E-8</v>
      </c>
      <c r="AE14" s="21">
        <f ca="1">_xll.meLWOBondDV01Numerical($M14,$C$4,$T14%,0.5,"CENTRAL")</f>
        <v>230.40064680458272</v>
      </c>
    </row>
    <row r="15" spans="2:32">
      <c r="B15" s="14" t="s">
        <v>73</v>
      </c>
      <c r="C15" s="14" t="s">
        <v>74</v>
      </c>
      <c r="D15" s="14" t="s">
        <v>74</v>
      </c>
      <c r="E15" s="15">
        <v>40679</v>
      </c>
      <c r="F15" s="18">
        <v>40678</v>
      </c>
      <c r="G15" s="17" t="str">
        <f t="shared" si="0"/>
        <v/>
      </c>
      <c r="H15" s="15">
        <v>40862</v>
      </c>
      <c r="I15" s="15">
        <v>44150</v>
      </c>
      <c r="J15" s="15" t="s">
        <v>292</v>
      </c>
      <c r="K15" s="16">
        <v>3.125E-2</v>
      </c>
      <c r="L15" s="15">
        <v>44331</v>
      </c>
      <c r="M15" s="19" t="str">
        <f ca="1">_xll.meLWOBondCreateFromGeneratorLVB(C15,$M$4,_xll.meUtilityLVBFromKeysValues($C$6:$L$6,C15:L15))</f>
        <v>US912828QN35@1426:4</v>
      </c>
      <c r="N15" s="53">
        <f ca="1">_xll.BDP($B15,$N$5)</f>
        <v>2.8671066000000001</v>
      </c>
      <c r="O15" s="52">
        <f ca="1">_xll.meLWOBondCleanPrice($M15,$C$4,$N15%)</f>
        <v>100.61718752323701</v>
      </c>
      <c r="P15" s="52">
        <f ca="1">_xll.meLWOBondDirtyPrice($M15,$C$4,$N15%)</f>
        <v>100.6258201199221</v>
      </c>
      <c r="Q15" s="51">
        <f ca="1">_xll.meLWOBondYield($M15,$C$4,O15)</f>
        <v>2.8671065999999832E-2</v>
      </c>
      <c r="R15" s="52">
        <f ca="1">_xll.meLWOBondModifiedDuration($M15,$C$4,$N15%)</f>
        <v>2.3875373017494965</v>
      </c>
      <c r="S15" s="21">
        <f ca="1">_xll.meLWOBondDV01($M15,$C$4,$N15%)</f>
        <v>240.24789905544901</v>
      </c>
      <c r="T15" s="50">
        <f t="shared" ca="1" si="4"/>
        <v>2.8671066000000001</v>
      </c>
      <c r="U15" s="20">
        <f ca="1">_xll.BDP($B15,U$6, "YAS_BOND_YLD="&amp;$T15,"YAS_YLD_CONV=2")</f>
        <v>100.61718752323699</v>
      </c>
      <c r="V15" s="21">
        <f ca="1">_xll.meLWOBondCleanPrice($M15,$C$4,$T15%)</f>
        <v>100.61718752323701</v>
      </c>
      <c r="W15" s="22">
        <f t="shared" ca="1" si="1"/>
        <v>1.4210854715202004E-14</v>
      </c>
      <c r="X15" s="21">
        <f ca="1">_xll.meLWOBondDV01($M15,$C$4,$T15%)</f>
        <v>240.24789905544901</v>
      </c>
      <c r="Y15" s="20">
        <f ca="1">_xll.BDP($B15,Y$6, "YLD_YTM_ASK="&amp;$T15,"YAS_YLD_CONV=3")*$Y$3*0.0001</f>
        <v>240.24790307194624</v>
      </c>
      <c r="Z15" s="22">
        <f t="shared" ca="1" si="2"/>
        <v>4.0164972290313017E-6</v>
      </c>
      <c r="AA15" s="21">
        <f ca="1">_xll.meLWOBondDirtyPrice($M15,$C$4,$T15%)</f>
        <v>100.6258201199221</v>
      </c>
      <c r="AB15" s="21">
        <f ca="1">_xll.meLWOBondModifiedDuration($M15,$C$4,$T15%)</f>
        <v>2.3875373017494965</v>
      </c>
      <c r="AC15" s="20">
        <f ca="1">_xll.BDP($B15,AC$6,"YLD_YTM_ASK="&amp;$T15,"YAS_YLD_CONV=3")</f>
        <v>2.3875373416646726</v>
      </c>
      <c r="AD15" s="22">
        <f t="shared" ca="1" si="3"/>
        <v>3.991517605328454E-8</v>
      </c>
      <c r="AE15" s="21">
        <f ca="1">_xll.meLWOBondDV01Numerical($M15,$C$4,$T15%,0.5,"CENTRAL")</f>
        <v>240.24790006009766</v>
      </c>
    </row>
    <row r="16" spans="2:32">
      <c r="B16" s="14" t="s">
        <v>157</v>
      </c>
      <c r="C16" s="14" t="s">
        <v>158</v>
      </c>
      <c r="D16" s="14" t="s">
        <v>158</v>
      </c>
      <c r="E16" s="15">
        <v>42521</v>
      </c>
      <c r="F16" s="18">
        <v>42521</v>
      </c>
      <c r="G16" s="17" t="str">
        <f t="shared" si="0"/>
        <v>EOM</v>
      </c>
      <c r="H16" s="15">
        <v>42704</v>
      </c>
      <c r="I16" s="15">
        <v>44165</v>
      </c>
      <c r="J16" s="15" t="s">
        <v>292</v>
      </c>
      <c r="K16" s="16">
        <v>1.375E-2</v>
      </c>
      <c r="L16" s="15">
        <v>44347</v>
      </c>
      <c r="M16" s="19" t="str">
        <f ca="1">_xll.meLWOBondCreateFromGeneratorLVB(C16,$M$4,_xll.meUtilityLVBFromKeysValues($C$6:$L$6,C16:L16))</f>
        <v>US912828R770@1425:4</v>
      </c>
      <c r="N16" s="53">
        <f ca="1">_xll.BDP($B16,$N$5)</f>
        <v>2.8789265999999998</v>
      </c>
      <c r="O16" s="52">
        <f ca="1">_xll.meLWOBondCleanPrice($M16,$C$4,$N16%)</f>
        <v>96.343749982456416</v>
      </c>
      <c r="P16" s="52">
        <f ca="1">_xll.meLWOBondDirtyPrice($M16,$C$4,$N16%)</f>
        <v>96.978654354041112</v>
      </c>
      <c r="Q16" s="51">
        <f ca="1">_xll.meLWOBondYield($M16,$C$4,O16)</f>
        <v>2.878926600000254E-2</v>
      </c>
      <c r="R16" s="52">
        <f ca="1">_xll.meLWOBondModifiedDuration($M16,$C$4,$N16%)</f>
        <v>2.4508556324502457</v>
      </c>
      <c r="S16" s="21">
        <f ca="1">_xll.meLWOBondDV01($M16,$C$4,$N16%)</f>
        <v>237.68068125104719</v>
      </c>
      <c r="T16" s="50">
        <f t="shared" ca="1" si="4"/>
        <v>2.8789265999999998</v>
      </c>
      <c r="U16" s="20">
        <f ca="1">_xll.BDP($B16,U$6, "YAS_BOND_YLD="&amp;$T16,"YAS_YLD_CONV=2")</f>
        <v>96.343749982456416</v>
      </c>
      <c r="V16" s="21">
        <f ca="1">_xll.meLWOBondCleanPrice($M16,$C$4,$T16%)</f>
        <v>96.343749982456416</v>
      </c>
      <c r="W16" s="22">
        <f t="shared" ca="1" si="1"/>
        <v>0</v>
      </c>
      <c r="X16" s="21">
        <f ca="1">_xll.meLWOBondDV01($M16,$C$4,$T16%)</f>
        <v>237.68068125104719</v>
      </c>
      <c r="Y16" s="20">
        <f ca="1">_xll.BDP($B16,Y$6, "YLD_YTM_ASK="&amp;$T16,"YAS_YLD_CONV=3")*$Y$3*0.0001</f>
        <v>237.68068535993339</v>
      </c>
      <c r="Z16" s="22">
        <f t="shared" ca="1" si="2"/>
        <v>4.1088862019478256E-6</v>
      </c>
      <c r="AA16" s="21">
        <f ca="1">_xll.meLWOBondDirtyPrice($M16,$C$4,$T16%)</f>
        <v>96.978654354041112</v>
      </c>
      <c r="AB16" s="21">
        <f ca="1">_xll.meLWOBondModifiedDuration($M16,$C$4,$T16%)</f>
        <v>2.4508556324502457</v>
      </c>
      <c r="AC16" s="20">
        <f ca="1">_xll.BDP($B16,AC$6,"YLD_YTM_ASK="&amp;$T16,"YAS_YLD_CONV=3")</f>
        <v>2.4508556748192203</v>
      </c>
      <c r="AD16" s="22">
        <f t="shared" ca="1" si="3"/>
        <v>4.2368974551010297E-8</v>
      </c>
      <c r="AE16" s="21">
        <f ca="1">_xll.meLWOBondDV01Numerical($M16,$C$4,$T16%,0.5,"CENTRAL")</f>
        <v>237.68068227767006</v>
      </c>
    </row>
    <row r="17" spans="2:31">
      <c r="B17" s="14" t="s">
        <v>215</v>
      </c>
      <c r="C17" s="14" t="s">
        <v>216</v>
      </c>
      <c r="D17" s="14" t="s">
        <v>216</v>
      </c>
      <c r="E17" s="15">
        <v>41792</v>
      </c>
      <c r="F17" s="18">
        <v>41790</v>
      </c>
      <c r="G17" s="17" t="str">
        <f t="shared" si="0"/>
        <v>EOM</v>
      </c>
      <c r="H17" s="15">
        <v>41973</v>
      </c>
      <c r="I17" s="15">
        <v>44165</v>
      </c>
      <c r="J17" s="15" t="s">
        <v>292</v>
      </c>
      <c r="K17" s="16">
        <v>0.02</v>
      </c>
      <c r="L17" s="15">
        <v>44347</v>
      </c>
      <c r="M17" s="19" t="str">
        <f ca="1">_xll.meLWOBondCreateFromGeneratorLVB(C17,$M$4,_xll.meUtilityLVBFromKeysValues($C$6:$L$6,C17:L17))</f>
        <v>US912828WN60@1424:4</v>
      </c>
      <c r="N17" s="53">
        <f ca="1">_xll.BDP($B17,$N$5)</f>
        <v>2.8771428000000001</v>
      </c>
      <c r="O17" s="52">
        <f ca="1">_xll.meLWOBondCleanPrice($M17,$C$4,$N17%)</f>
        <v>97.867187475144419</v>
      </c>
      <c r="P17" s="52">
        <f ca="1">_xll.meLWOBondDirtyPrice($M17,$C$4,$N17%)</f>
        <v>98.790684742903977</v>
      </c>
      <c r="Q17" s="51">
        <f ca="1">_xll.meLWOBondYield($M17,$C$4,O17)</f>
        <v>2.8771428000001369E-2</v>
      </c>
      <c r="R17" s="52">
        <f ca="1">_xll.meLWOBondModifiedDuration($M17,$C$4,$N17%)</f>
        <v>2.4288936156382164</v>
      </c>
      <c r="S17" s="21">
        <f ca="1">_xll.meLWOBondDV01($M17,$C$4,$N17%)</f>
        <v>239.9520634565672</v>
      </c>
      <c r="T17" s="50">
        <f t="shared" ca="1" si="4"/>
        <v>2.8771428000000001</v>
      </c>
      <c r="U17" s="20">
        <f ca="1">_xll.BDP($B17,U$6, "YAS_BOND_YLD="&amp;$T17,"YAS_YLD_CONV=2")</f>
        <v>97.867187475144405</v>
      </c>
      <c r="V17" s="21">
        <f ca="1">_xll.meLWOBondCleanPrice($M17,$C$4,$T17%)</f>
        <v>97.867187475144419</v>
      </c>
      <c r="W17" s="22">
        <f t="shared" ca="1" si="1"/>
        <v>1.4210854715202004E-14</v>
      </c>
      <c r="X17" s="21">
        <f ca="1">_xll.meLWOBondDV01($M17,$C$4,$T17%)</f>
        <v>239.9520634565672</v>
      </c>
      <c r="Y17" s="20">
        <f ca="1">_xll.BDP($B17,Y$6, "YLD_YTM_ASK="&amp;$T17,"YAS_YLD_CONV=3")*$Y$3*0.0001</f>
        <v>239.9520675915312</v>
      </c>
      <c r="Z17" s="22">
        <f t="shared" ca="1" si="2"/>
        <v>4.1349640014232136E-6</v>
      </c>
      <c r="AA17" s="21">
        <f ca="1">_xll.meLWOBondDirtyPrice($M17,$C$4,$T17%)</f>
        <v>98.790684742903977</v>
      </c>
      <c r="AB17" s="21">
        <f ca="1">_xll.meLWOBondModifiedDuration($M17,$C$4,$T17%)</f>
        <v>2.4288936156382164</v>
      </c>
      <c r="AC17" s="20">
        <f ca="1">_xll.BDP($B17,AC$6,"YLD_YTM_ASK="&amp;$T17,"YAS_YLD_CONV=3")</f>
        <v>2.4288936574940245</v>
      </c>
      <c r="AD17" s="22">
        <f t="shared" ca="1" si="3"/>
        <v>4.1855808152746476E-8</v>
      </c>
      <c r="AE17" s="21">
        <f ca="1">_xll.meLWOBondDV01Numerical($M17,$C$4,$T17%,0.5,"CENTRAL")</f>
        <v>239.95206449072273</v>
      </c>
    </row>
    <row r="18" spans="2:31">
      <c r="B18" s="14" t="s">
        <v>121</v>
      </c>
      <c r="C18" s="14" t="s">
        <v>122</v>
      </c>
      <c r="D18" s="14" t="s">
        <v>122</v>
      </c>
      <c r="E18" s="15">
        <v>42551</v>
      </c>
      <c r="F18" s="18">
        <v>42551</v>
      </c>
      <c r="G18" s="17" t="str">
        <f t="shared" si="0"/>
        <v>EOM</v>
      </c>
      <c r="H18" s="15">
        <v>42735</v>
      </c>
      <c r="I18" s="15">
        <v>44196</v>
      </c>
      <c r="J18" s="15" t="s">
        <v>292</v>
      </c>
      <c r="K18" s="16">
        <v>1.125E-2</v>
      </c>
      <c r="L18" s="15">
        <v>44377</v>
      </c>
      <c r="M18" s="19" t="str">
        <f ca="1">_xll.meLWOBondCreateFromGeneratorLVB(C18,$M$4,_xll.meUtilityLVBFromKeysValues($C$6:$L$6,C18:L18))</f>
        <v>US912828S273@1423:4</v>
      </c>
      <c r="N18" s="53">
        <f ca="1">_xll.BDP($B18,$N$5)</f>
        <v>2.8717646000000001</v>
      </c>
      <c r="O18" s="52">
        <f ca="1">_xll.meLWOBondCleanPrice($M18,$C$4,$N18%)</f>
        <v>95.617187405053983</v>
      </c>
      <c r="P18" s="52">
        <f ca="1">_xll.meLWOBondDirtyPrice($M18,$C$4,$N18%)</f>
        <v>96.042119470271373</v>
      </c>
      <c r="Q18" s="51">
        <f ca="1">_xll.meLWOBondYield($M18,$C$4,O18)</f>
        <v>2.871764600000282E-2</v>
      </c>
      <c r="R18" s="52">
        <f ca="1">_xll.meLWOBondModifiedDuration($M18,$C$4,$N18%)</f>
        <v>2.5428150833950633</v>
      </c>
      <c r="S18" s="21">
        <f ca="1">_xll.meLWOBondDV01($M18,$C$4,$N18%)</f>
        <v>244.21735003023676</v>
      </c>
      <c r="T18" s="50">
        <f t="shared" ca="1" si="4"/>
        <v>2.8717646000000001</v>
      </c>
      <c r="U18" s="20">
        <f ca="1">_xll.BDP($B18,U$6, "YAS_BOND_YLD="&amp;$T18,"YAS_YLD_CONV=2")</f>
        <v>95.617187405053997</v>
      </c>
      <c r="V18" s="21">
        <f ca="1">_xll.meLWOBondCleanPrice($M18,$C$4,$T18%)</f>
        <v>95.617187405053983</v>
      </c>
      <c r="W18" s="22">
        <f t="shared" ca="1" si="1"/>
        <v>1.4210854715202004E-14</v>
      </c>
      <c r="X18" s="21">
        <f ca="1">_xll.meLWOBondDV01($M18,$C$4,$T18%)</f>
        <v>244.21735003023676</v>
      </c>
      <c r="Y18" s="20">
        <f ca="1">_xll.BDP($B18,Y$6, "YLD_YTM_ASK="&amp;$T18,"YAS_YLD_CONV=3")*$Y$3*0.0001</f>
        <v>244.21735447660356</v>
      </c>
      <c r="Z18" s="22">
        <f t="shared" ca="1" si="2"/>
        <v>4.4463668018579483E-6</v>
      </c>
      <c r="AA18" s="21">
        <f ca="1">_xll.meLWOBondDirtyPrice($M18,$C$4,$T18%)</f>
        <v>96.042119470271373</v>
      </c>
      <c r="AB18" s="21">
        <f ca="1">_xll.meLWOBondModifiedDuration($M18,$C$4,$T18%)</f>
        <v>2.5428150833950633</v>
      </c>
      <c r="AC18" s="20">
        <f ca="1">_xll.BDP($B18,AC$6,"YLD_YTM_ASK="&amp;$T18,"YAS_YLD_CONV=3")</f>
        <v>2.5428151296910713</v>
      </c>
      <c r="AD18" s="22">
        <f t="shared" ca="1" si="3"/>
        <v>4.6296007916168946E-8</v>
      </c>
      <c r="AE18" s="21">
        <f ca="1">_xll.meLWOBondDV01Numerical($M18,$C$4,$T18%,0.5,"CENTRAL")</f>
        <v>244.21735114131593</v>
      </c>
    </row>
    <row r="19" spans="2:31">
      <c r="B19" s="14" t="s">
        <v>195</v>
      </c>
      <c r="C19" s="14" t="s">
        <v>196</v>
      </c>
      <c r="D19" s="14" t="s">
        <v>196</v>
      </c>
      <c r="E19" s="15">
        <v>41820</v>
      </c>
      <c r="F19" s="18">
        <v>41820</v>
      </c>
      <c r="G19" s="17" t="str">
        <f t="shared" si="0"/>
        <v>EOM</v>
      </c>
      <c r="H19" s="15">
        <v>42004</v>
      </c>
      <c r="I19" s="15">
        <v>44196</v>
      </c>
      <c r="J19" s="15" t="s">
        <v>292</v>
      </c>
      <c r="K19" s="16">
        <v>2.1250000000000002E-2</v>
      </c>
      <c r="L19" s="15">
        <v>44377</v>
      </c>
      <c r="M19" s="19" t="str">
        <f ca="1">_xll.meLWOBondCreateFromGeneratorLVB(C19,$M$4,_xll.meUtilityLVBFromKeysValues($C$6:$L$6,C19:L19))</f>
        <v>US912828WR74@1422:4</v>
      </c>
      <c r="N19" s="53">
        <f ca="1">_xll.BDP($B19,$N$5)</f>
        <v>2.8781474</v>
      </c>
      <c r="O19" s="52">
        <f ca="1">_xll.meLWOBondCleanPrice($M19,$C$4,$N19%)</f>
        <v>98.109374899749184</v>
      </c>
      <c r="P19" s="52">
        <f ca="1">_xll.meLWOBondDirtyPrice($M19,$C$4,$N19%)</f>
        <v>98.912024356270919</v>
      </c>
      <c r="Q19" s="51">
        <f ca="1">_xll.meLWOBondYield($M19,$C$4,O19)</f>
        <v>2.8781474000000595E-2</v>
      </c>
      <c r="R19" s="52">
        <f ca="1">_xll.meLWOBondModifiedDuration($M19,$C$4,$N19%)</f>
        <v>2.5074185437810024</v>
      </c>
      <c r="S19" s="21">
        <f ca="1">_xll.meLWOBondDV01($M19,$C$4,$N19%)</f>
        <v>248.01384407383185</v>
      </c>
      <c r="T19" s="50">
        <f t="shared" ca="1" si="4"/>
        <v>2.8781474</v>
      </c>
      <c r="U19" s="20">
        <f ca="1">_xll.BDP($B19,U$6, "YAS_BOND_YLD="&amp;$T19,"YAS_YLD_CONV=2")</f>
        <v>98.10937489974917</v>
      </c>
      <c r="V19" s="21">
        <f ca="1">_xll.meLWOBondCleanPrice($M19,$C$4,$T19%)</f>
        <v>98.109374899749184</v>
      </c>
      <c r="W19" s="22">
        <f t="shared" ca="1" si="1"/>
        <v>1.4210854715202004E-14</v>
      </c>
      <c r="X19" s="21">
        <f ca="1">_xll.meLWOBondDV01($M19,$C$4,$T19%)</f>
        <v>248.01384407383185</v>
      </c>
      <c r="Y19" s="20">
        <f ca="1">_xll.BDP($B19,Y$6, "YLD_YTM_ASK="&amp;$T19,"YAS_YLD_CONV=3")*$Y$3*0.0001</f>
        <v>248.01384856480982</v>
      </c>
      <c r="Z19" s="22">
        <f t="shared" ca="1" si="2"/>
        <v>4.4909779717272613E-6</v>
      </c>
      <c r="AA19" s="21">
        <f ca="1">_xll.meLWOBondDirtyPrice($M19,$C$4,$T19%)</f>
        <v>98.912024356270919</v>
      </c>
      <c r="AB19" s="21">
        <f ca="1">_xll.meLWOBondModifiedDuration($M19,$C$4,$T19%)</f>
        <v>2.5074185437810024</v>
      </c>
      <c r="AC19" s="20">
        <f ca="1">_xll.BDP($B19,AC$6,"YLD_YTM_ASK="&amp;$T19,"YAS_YLD_CONV=3")</f>
        <v>2.5074185891847636</v>
      </c>
      <c r="AD19" s="22">
        <f t="shared" ca="1" si="3"/>
        <v>4.5403761195217385E-8</v>
      </c>
      <c r="AE19" s="21">
        <f ca="1">_xll.meLWOBondDV01Numerical($M19,$C$4,$T19%,0.5,"CENTRAL")</f>
        <v>248.01384519577144</v>
      </c>
    </row>
    <row r="20" spans="2:31">
      <c r="B20" s="14" t="s">
        <v>101</v>
      </c>
      <c r="C20" s="14" t="s">
        <v>102</v>
      </c>
      <c r="D20" s="14" t="s">
        <v>102</v>
      </c>
      <c r="E20" s="15">
        <v>42583</v>
      </c>
      <c r="F20" s="18">
        <v>42582</v>
      </c>
      <c r="G20" s="17" t="str">
        <f t="shared" si="0"/>
        <v>EOM</v>
      </c>
      <c r="H20" s="15">
        <v>42766</v>
      </c>
      <c r="I20" s="15">
        <v>44227</v>
      </c>
      <c r="J20" s="15" t="s">
        <v>292</v>
      </c>
      <c r="K20" s="16">
        <v>1.125E-2</v>
      </c>
      <c r="L20" s="15">
        <v>44408</v>
      </c>
      <c r="M20" s="19" t="str">
        <f ca="1">_xll.meLWOBondCreateFromGeneratorLVB(C20,$M$4,_xll.meUtilityLVBFromKeysValues($C$6:$L$6,C20:L20))</f>
        <v>US912828S760@1421:4</v>
      </c>
      <c r="N20" s="53">
        <f ca="1">_xll.BDP($B20,$N$5)</f>
        <v>2.8892763000000001</v>
      </c>
      <c r="O20" s="52">
        <f ca="1">_xll.meLWOBondCleanPrice($M20,$C$4,$N20%)</f>
        <v>95.43750002621978</v>
      </c>
      <c r="P20" s="52">
        <f ca="1">_xll.meLWOBondDirtyPrice($M20,$C$4,$N20%)</f>
        <v>95.767663069698045</v>
      </c>
      <c r="Q20" s="51">
        <f ca="1">_xll.meLWOBondYield($M20,$C$4,O20)</f>
        <v>2.8892763000002968E-2</v>
      </c>
      <c r="R20" s="52">
        <f ca="1">_xll.meLWOBondModifiedDuration($M20,$C$4,$N20%)</f>
        <v>2.6256219486294712</v>
      </c>
      <c r="S20" s="21">
        <f ca="1">_xll.meLWOBondDV01($M20,$C$4,$N20%)</f>
        <v>251.44967812475122</v>
      </c>
      <c r="T20" s="50">
        <f t="shared" ca="1" si="4"/>
        <v>2.8892763000000001</v>
      </c>
      <c r="U20" s="20">
        <f ca="1">_xll.BDP($B20,U$6, "YAS_BOND_YLD="&amp;$T20,"YAS_YLD_CONV=2")</f>
        <v>95.437500026219766</v>
      </c>
      <c r="V20" s="21">
        <f ca="1">_xll.meLWOBondCleanPrice($M20,$C$4,$T20%)</f>
        <v>95.43750002621978</v>
      </c>
      <c r="W20" s="22">
        <f t="shared" ca="1" si="1"/>
        <v>1.4210854715202004E-14</v>
      </c>
      <c r="X20" s="21">
        <f ca="1">_xll.meLWOBondDV01($M20,$C$4,$T20%)</f>
        <v>251.44967812475122</v>
      </c>
      <c r="Y20" s="20">
        <f ca="1">_xll.BDP($B20,Y$6, "YLD_YTM_ASK="&amp;$T20,"YAS_YLD_CONV=3")*$Y$3*0.0001</f>
        <v>251.44968293346895</v>
      </c>
      <c r="Z20" s="22">
        <f t="shared" ca="1" si="2"/>
        <v>4.8087177333400177E-6</v>
      </c>
      <c r="AA20" s="21">
        <f ca="1">_xll.meLWOBondDirtyPrice($M20,$C$4,$T20%)</f>
        <v>95.767663069698045</v>
      </c>
      <c r="AB20" s="21">
        <f ca="1">_xll.meLWOBondModifiedDuration($M20,$C$4,$T20%)</f>
        <v>2.6256219486294712</v>
      </c>
      <c r="AC20" s="20">
        <f ca="1">_xll.BDP($B20,AC$6,"YLD_YTM_ASK="&amp;$T20,"YAS_YLD_CONV=3")</f>
        <v>2.6256219988418037</v>
      </c>
      <c r="AD20" s="22">
        <f t="shared" ca="1" si="3"/>
        <v>5.0212332514121272E-8</v>
      </c>
      <c r="AE20" s="21">
        <f ca="1">_xll.meLWOBondDV01Numerical($M20,$C$4,$T20%,0.5,"CENTRAL")</f>
        <v>251.44967932661191</v>
      </c>
    </row>
    <row r="21" spans="2:31">
      <c r="B21" s="14" t="s">
        <v>141</v>
      </c>
      <c r="C21" s="14" t="s">
        <v>142</v>
      </c>
      <c r="D21" s="14" t="s">
        <v>142</v>
      </c>
      <c r="E21" s="15">
        <v>41851</v>
      </c>
      <c r="F21" s="18">
        <v>41851</v>
      </c>
      <c r="G21" s="17" t="str">
        <f t="shared" si="0"/>
        <v>EOM</v>
      </c>
      <c r="H21" s="15">
        <v>42035</v>
      </c>
      <c r="I21" s="15">
        <v>44227</v>
      </c>
      <c r="J21" s="15" t="s">
        <v>292</v>
      </c>
      <c r="K21" s="16">
        <v>2.2499999999999999E-2</v>
      </c>
      <c r="L21" s="15">
        <v>44408</v>
      </c>
      <c r="M21" s="19" t="str">
        <f ca="1">_xll.meLWOBondCreateFromGeneratorLVB(C21,$M$4,_xll.meUtilityLVBFromKeysValues($C$6:$L$6,C21:L21))</f>
        <v>US912828WY26@1420:4</v>
      </c>
      <c r="N21" s="53">
        <f ca="1">_xll.BDP($B21,$N$5)</f>
        <v>2.8867912000000002</v>
      </c>
      <c r="O21" s="52">
        <f ca="1">_xll.meLWOBondCleanPrice($M21,$C$4,$N21%)</f>
        <v>98.35156259255622</v>
      </c>
      <c r="P21" s="52">
        <f ca="1">_xll.meLWOBondDirtyPrice($M21,$C$4,$N21%)</f>
        <v>99.011888679512737</v>
      </c>
      <c r="Q21" s="51">
        <f ca="1">_xll.meLWOBondYield($M21,$C$4,O21)</f>
        <v>2.8867912000000238E-2</v>
      </c>
      <c r="R21" s="52">
        <f ca="1">_xll.meLWOBondModifiedDuration($M21,$C$4,$N21%)</f>
        <v>2.5860704974174151</v>
      </c>
      <c r="S21" s="21">
        <f ca="1">_xll.meLWOBondDV01($M21,$C$4,$N21%)</f>
        <v>256.05172420766525</v>
      </c>
      <c r="T21" s="50">
        <f t="shared" ca="1" si="4"/>
        <v>2.8867912000000002</v>
      </c>
      <c r="U21" s="20">
        <f ca="1">_xll.BDP($B21,U$6, "YAS_BOND_YLD="&amp;$T21,"YAS_YLD_CONV=2")</f>
        <v>98.351562592556235</v>
      </c>
      <c r="V21" s="21">
        <f ca="1">_xll.meLWOBondCleanPrice($M21,$C$4,$T21%)</f>
        <v>98.35156259255622</v>
      </c>
      <c r="W21" s="22">
        <f t="shared" ca="1" si="1"/>
        <v>1.4210854715202004E-14</v>
      </c>
      <c r="X21" s="21">
        <f ca="1">_xll.meLWOBondDV01($M21,$C$4,$T21%)</f>
        <v>256.05172420766525</v>
      </c>
      <c r="Y21" s="20">
        <f ca="1">_xll.BDP($B21,Y$6, "YLD_YTM_ASK="&amp;$T21,"YAS_YLD_CONV=3")*$Y$3*0.0001</f>
        <v>256.05172907390283</v>
      </c>
      <c r="Z21" s="22">
        <f t="shared" ca="1" si="2"/>
        <v>4.8662375888852694E-6</v>
      </c>
      <c r="AA21" s="21">
        <f ca="1">_xll.meLWOBondDirtyPrice($M21,$C$4,$T21%)</f>
        <v>99.011888679512737</v>
      </c>
      <c r="AB21" s="21">
        <f ca="1">_xll.meLWOBondModifiedDuration($M21,$C$4,$T21%)</f>
        <v>2.5860704974174151</v>
      </c>
      <c r="AC21" s="20">
        <f ca="1">_xll.BDP($B21,AC$6,"YLD_YTM_ASK="&amp;$T21,"YAS_YLD_CONV=3")</f>
        <v>2.5860705465654283</v>
      </c>
      <c r="AD21" s="22">
        <f t="shared" ca="1" si="3"/>
        <v>4.9148013214761477E-8</v>
      </c>
      <c r="AE21" s="21">
        <f ca="1">_xll.meLWOBondDV01Numerical($M21,$C$4,$T21%,0.5,"CENTRAL")</f>
        <v>256.05172542341853</v>
      </c>
    </row>
    <row r="22" spans="2:31">
      <c r="B22" s="14" t="s">
        <v>179</v>
      </c>
      <c r="C22" s="14" t="s">
        <v>180</v>
      </c>
      <c r="D22" s="14" t="s">
        <v>180</v>
      </c>
      <c r="E22" s="15">
        <v>40770</v>
      </c>
      <c r="F22" s="18">
        <v>40770</v>
      </c>
      <c r="G22" s="17" t="str">
        <f t="shared" si="0"/>
        <v/>
      </c>
      <c r="H22" s="15">
        <v>40954</v>
      </c>
      <c r="I22" s="15">
        <v>44242</v>
      </c>
      <c r="J22" s="15" t="s">
        <v>292</v>
      </c>
      <c r="K22" s="16">
        <v>2.1250000000000002E-2</v>
      </c>
      <c r="L22" s="15">
        <v>44423</v>
      </c>
      <c r="M22" s="19" t="str">
        <f ca="1">_xll.meLWOBondCreateFromGeneratorLVB(C22,$M$4,_xll.meUtilityLVBFromKeysValues($C$6:$L$6,C22:L22))</f>
        <v>US912828RC60@1419:4</v>
      </c>
      <c r="N22" s="53">
        <f ca="1">_xll.BDP($B22,$N$5)</f>
        <v>2.8867541999999999</v>
      </c>
      <c r="O22" s="52">
        <f ca="1">_xll.meLWOBondCleanPrice($M22,$C$4,$N22%)</f>
        <v>97.999999948215432</v>
      </c>
      <c r="P22" s="52">
        <f ca="1">_xll.meLWOBondDirtyPrice($M22,$C$4,$N22%)</f>
        <v>98.537024404737167</v>
      </c>
      <c r="Q22" s="51">
        <f ca="1">_xll.meLWOBondYield($M22,$C$4,O22)</f>
        <v>2.8867542000000766E-2</v>
      </c>
      <c r="R22" s="52">
        <f ca="1">_xll.meLWOBondModifiedDuration($M22,$C$4,$N22%)</f>
        <v>2.6305219900528467</v>
      </c>
      <c r="S22" s="21">
        <f ca="1">_xll.meLWOBondDV01($M22,$C$4,$N22%)</f>
        <v>259.20380953103512</v>
      </c>
      <c r="T22" s="50">
        <f t="shared" ca="1" si="4"/>
        <v>2.8867541999999999</v>
      </c>
      <c r="U22" s="20">
        <f ca="1">_xll.BDP($B22,U$6, "YAS_BOND_YLD="&amp;$T22,"YAS_YLD_CONV=2")</f>
        <v>97.999999948215446</v>
      </c>
      <c r="V22" s="21">
        <f ca="1">_xll.meLWOBondCleanPrice($M22,$C$4,$T22%)</f>
        <v>97.999999948215432</v>
      </c>
      <c r="W22" s="22">
        <f t="shared" ca="1" si="1"/>
        <v>1.4210854715202004E-14</v>
      </c>
      <c r="X22" s="21">
        <f ca="1">_xll.meLWOBondDV01($M22,$C$4,$T22%)</f>
        <v>259.20380953103512</v>
      </c>
      <c r="Y22" s="20">
        <f ca="1">_xll.BDP($B22,Y$6, "YLD_YTM_ASK="&amp;$T22,"YAS_YLD_CONV=3")*$Y$3*0.0001</f>
        <v>259.20381457687824</v>
      </c>
      <c r="Z22" s="22">
        <f t="shared" ca="1" si="2"/>
        <v>5.0458431246624968E-6</v>
      </c>
      <c r="AA22" s="21">
        <f ca="1">_xll.meLWOBondDirtyPrice($M22,$C$4,$T22%)</f>
        <v>98.537024404737167</v>
      </c>
      <c r="AB22" s="21">
        <f ca="1">_xll.meLWOBondModifiedDuration($M22,$C$4,$T22%)</f>
        <v>2.6305219900528467</v>
      </c>
      <c r="AC22" s="20">
        <f ca="1">_xll.BDP($B22,AC$6,"YLD_YTM_ASK="&amp;$T22,"YAS_YLD_CONV=3")</f>
        <v>2.6305220412604324</v>
      </c>
      <c r="AD22" s="22">
        <f t="shared" ca="1" si="3"/>
        <v>5.1207585727297555E-8</v>
      </c>
      <c r="AE22" s="21">
        <f ca="1">_xll.meLWOBondDV01Numerical($M22,$C$4,$T22%,0.5,"CENTRAL")</f>
        <v>259.20381079188815</v>
      </c>
    </row>
    <row r="23" spans="2:31">
      <c r="B23" s="14" t="s">
        <v>115</v>
      </c>
      <c r="C23" s="14" t="s">
        <v>116</v>
      </c>
      <c r="D23" s="14" t="s">
        <v>116</v>
      </c>
      <c r="E23" s="15">
        <v>42613</v>
      </c>
      <c r="F23" s="18">
        <v>42613</v>
      </c>
      <c r="G23" s="17" t="str">
        <f t="shared" si="0"/>
        <v>EOM</v>
      </c>
      <c r="H23" s="15">
        <v>42794</v>
      </c>
      <c r="I23" s="15">
        <v>44255</v>
      </c>
      <c r="J23" s="15" t="s">
        <v>292</v>
      </c>
      <c r="K23" s="16">
        <v>1.125E-2</v>
      </c>
      <c r="L23" s="15">
        <v>44439</v>
      </c>
      <c r="M23" s="19" t="str">
        <f ca="1">_xll.meLWOBondCreateFromGeneratorLVB(C23,$M$4,_xll.meUtilityLVBFromKeysValues($C$6:$L$6,C23:L23))</f>
        <v>US9128282F67@1418:4</v>
      </c>
      <c r="N23" s="53">
        <f ca="1">_xll.BDP($B23,$N$5)</f>
        <v>2.8961125000000001</v>
      </c>
      <c r="O23" s="52">
        <f ca="1">_xll.meLWOBondCleanPrice($M23,$C$4,$N23%)</f>
        <v>95.28906241392734</v>
      </c>
      <c r="P23" s="52">
        <f ca="1">_xll.meLWOBondDirtyPrice($M23,$C$4,$N23%)</f>
        <v>95.528357994037833</v>
      </c>
      <c r="Q23" s="51">
        <f ca="1">_xll.meLWOBondYield($M23,$C$4,O23)</f>
        <v>2.89611250000039E-2</v>
      </c>
      <c r="R23" s="52">
        <f ca="1">_xll.meLWOBondModifiedDuration($M23,$C$4,$N23%)</f>
        <v>2.7051465038983782</v>
      </c>
      <c r="S23" s="21">
        <f ca="1">_xll.meLWOBondDV01($M23,$C$4,$N23%)</f>
        <v>258.41820365072414</v>
      </c>
      <c r="T23" s="50">
        <f t="shared" ca="1" si="4"/>
        <v>2.8961125000000001</v>
      </c>
      <c r="U23" s="20">
        <f ca="1">_xll.BDP($B23,U$6, "YAS_BOND_YLD="&amp;$T23,"YAS_YLD_CONV=2")</f>
        <v>95.28906241392734</v>
      </c>
      <c r="V23" s="21">
        <f ca="1">_xll.meLWOBondCleanPrice($M23,$C$4,$T23%)</f>
        <v>95.28906241392734</v>
      </c>
      <c r="W23" s="22">
        <f t="shared" ca="1" si="1"/>
        <v>0</v>
      </c>
      <c r="X23" s="21">
        <f ca="1">_xll.meLWOBondDV01($M23,$C$4,$T23%)</f>
        <v>258.41820365072414</v>
      </c>
      <c r="Y23" s="20">
        <f ca="1">_xll.BDP($B23,Y$6, "YLD_YTM_ASK="&amp;$T23,"YAS_YLD_CONV=3")*$Y$3*0.0001</f>
        <v>258.41820882604338</v>
      </c>
      <c r="Z23" s="22">
        <f t="shared" ca="1" si="2"/>
        <v>5.1753192451542418E-6</v>
      </c>
      <c r="AA23" s="21">
        <f ca="1">_xll.meLWOBondDirtyPrice($M23,$C$4,$T23%)</f>
        <v>95.528357994037833</v>
      </c>
      <c r="AB23" s="21">
        <f ca="1">_xll.meLWOBondModifiedDuration($M23,$C$4,$T23%)</f>
        <v>2.7051465038983782</v>
      </c>
      <c r="AC23" s="20">
        <f ca="1">_xll.BDP($B23,AC$6,"YLD_YTM_ASK="&amp;$T23,"YAS_YLD_CONV=3")</f>
        <v>2.7051465580741163</v>
      </c>
      <c r="AD23" s="22">
        <f t="shared" ca="1" si="3"/>
        <v>5.4175738117834271E-8</v>
      </c>
      <c r="AE23" s="21">
        <f ca="1">_xll.meLWOBondDV01Numerical($M23,$C$4,$T23%,0.5,"CENTRAL")</f>
        <v>258.4182049440642</v>
      </c>
    </row>
    <row r="24" spans="2:31">
      <c r="B24" s="14" t="s">
        <v>233</v>
      </c>
      <c r="C24" s="14" t="s">
        <v>234</v>
      </c>
      <c r="D24" s="14" t="s">
        <v>234</v>
      </c>
      <c r="E24" s="15">
        <v>41884</v>
      </c>
      <c r="F24" s="18">
        <v>41882</v>
      </c>
      <c r="G24" s="17" t="str">
        <f t="shared" si="0"/>
        <v>EOM</v>
      </c>
      <c r="H24" s="15">
        <v>42063</v>
      </c>
      <c r="I24" s="15">
        <v>44255</v>
      </c>
      <c r="J24" s="15" t="s">
        <v>292</v>
      </c>
      <c r="K24" s="16">
        <v>0.02</v>
      </c>
      <c r="L24" s="15">
        <v>44439</v>
      </c>
      <c r="M24" s="19" t="str">
        <f ca="1">_xll.meLWOBondCreateFromGeneratorLVB(C24,$M$4,_xll.meUtilityLVBFromKeysValues($C$6:$L$6,C24:L24))</f>
        <v>US912828D721@1417:4</v>
      </c>
      <c r="N24" s="53">
        <f ca="1">_xll.BDP($B24,$N$5)</f>
        <v>2.8893939</v>
      </c>
      <c r="O24" s="52">
        <f ca="1">_xll.meLWOBondCleanPrice($M24,$C$4,$N24%)</f>
        <v>97.632812605425272</v>
      </c>
      <c r="P24" s="52">
        <f ca="1">_xll.meLWOBondDirtyPrice($M24,$C$4,$N24%)</f>
        <v>98.058226970066158</v>
      </c>
      <c r="Q24" s="51">
        <f ca="1">_xll.meLWOBondYield($M24,$C$4,O24)</f>
        <v>2.8893939000001197E-2</v>
      </c>
      <c r="R24" s="52">
        <f ca="1">_xll.meLWOBondModifiedDuration($M24,$C$4,$N24%)</f>
        <v>2.6742260646964962</v>
      </c>
      <c r="S24" s="21">
        <f ca="1">_xll.meLWOBondDV01($M24,$C$4,$N24%)</f>
        <v>262.22986642127586</v>
      </c>
      <c r="T24" s="50">
        <f t="shared" ca="1" si="4"/>
        <v>2.8893939</v>
      </c>
      <c r="U24" s="20">
        <f ca="1">_xll.BDP($B24,U$6, "YAS_BOND_YLD="&amp;$T24,"YAS_YLD_CONV=2")</f>
        <v>97.632812605425272</v>
      </c>
      <c r="V24" s="21">
        <f ca="1">_xll.meLWOBondCleanPrice($M24,$C$4,$T24%)</f>
        <v>97.632812605425272</v>
      </c>
      <c r="W24" s="22">
        <f t="shared" ca="1" si="1"/>
        <v>0</v>
      </c>
      <c r="X24" s="21">
        <f ca="1">_xll.meLWOBondDV01($M24,$C$4,$T24%)</f>
        <v>262.22986642127586</v>
      </c>
      <c r="Y24" s="20">
        <f ca="1">_xll.BDP($B24,Y$6, "YLD_YTM_ASK="&amp;$T24,"YAS_YLD_CONV=3")*$Y$3*0.0001</f>
        <v>262.22987164665312</v>
      </c>
      <c r="Z24" s="22">
        <f t="shared" ca="1" si="2"/>
        <v>5.2253772651056352E-6</v>
      </c>
      <c r="AA24" s="21">
        <f ca="1">_xll.meLWOBondDirtyPrice($M24,$C$4,$T24%)</f>
        <v>98.058226970066158</v>
      </c>
      <c r="AB24" s="21">
        <f ca="1">_xll.meLWOBondModifiedDuration($M24,$C$4,$T24%)</f>
        <v>2.6742260646964962</v>
      </c>
      <c r="AC24" s="20">
        <f ca="1">_xll.BDP($B24,AC$6,"YLD_YTM_ASK="&amp;$T24,"YAS_YLD_CONV=3")</f>
        <v>2.6742261179850106</v>
      </c>
      <c r="AD24" s="22">
        <f t="shared" ca="1" si="3"/>
        <v>5.3288514489935324E-8</v>
      </c>
      <c r="AE24" s="21">
        <f ca="1">_xll.meLWOBondDV01Numerical($M24,$C$4,$T24%,0.5,"CENTRAL")</f>
        <v>262.22986772708623</v>
      </c>
    </row>
    <row r="25" spans="2:31">
      <c r="B25" s="14" t="s">
        <v>91</v>
      </c>
      <c r="C25" s="14" t="s">
        <v>92</v>
      </c>
      <c r="D25" s="14" t="s">
        <v>92</v>
      </c>
      <c r="E25" s="15">
        <v>42643</v>
      </c>
      <c r="F25" s="18">
        <v>42643</v>
      </c>
      <c r="G25" s="17" t="str">
        <f t="shared" si="0"/>
        <v>EOM</v>
      </c>
      <c r="H25" s="15">
        <v>42825</v>
      </c>
      <c r="I25" s="15">
        <v>44286</v>
      </c>
      <c r="J25" s="15" t="s">
        <v>292</v>
      </c>
      <c r="K25" s="16">
        <v>1.125E-2</v>
      </c>
      <c r="L25" s="15">
        <v>44469</v>
      </c>
      <c r="M25" s="19" t="str">
        <f ca="1">_xll.meLWOBondCreateFromGeneratorLVB(C25,$M$4,_xll.meUtilityLVBFromKeysValues($C$6:$L$6,C25:L25))</f>
        <v>US912828T347@1416:4</v>
      </c>
      <c r="N25" s="53">
        <f ca="1">_xll.BDP($B25,$N$5)</f>
        <v>2.8922422000000001</v>
      </c>
      <c r="O25" s="52">
        <f ca="1">_xll.meLWOBondCleanPrice($M25,$C$4,$N25%)</f>
        <v>95.164062523569285</v>
      </c>
      <c r="P25" s="52">
        <f ca="1">_xll.meLWOBondDirtyPrice($M25,$C$4,$N25%)</f>
        <v>95.309323512580278</v>
      </c>
      <c r="Q25" s="51">
        <f ca="1">_xll.meLWOBondYield($M25,$C$4,O25)</f>
        <v>2.8922422000003785E-2</v>
      </c>
      <c r="R25" s="52">
        <f ca="1">_xll.meLWOBondModifiedDuration($M25,$C$4,$N25%)</f>
        <v>2.7875957926121022</v>
      </c>
      <c r="S25" s="21">
        <f ca="1">_xll.meLWOBondDV01($M25,$C$4,$N25%)</f>
        <v>265.6838692203745</v>
      </c>
      <c r="T25" s="50">
        <f t="shared" ca="1" si="4"/>
        <v>2.8922422000000001</v>
      </c>
      <c r="U25" s="20">
        <f ca="1">_xll.BDP($B25,U$6, "YAS_BOND_YLD="&amp;$T25,"YAS_YLD_CONV=2")</f>
        <v>95.164062523569257</v>
      </c>
      <c r="V25" s="21">
        <f ca="1">_xll.meLWOBondCleanPrice($M25,$C$4,$T25%)</f>
        <v>95.164062523569285</v>
      </c>
      <c r="W25" s="22">
        <f t="shared" ca="1" si="1"/>
        <v>2.8421709430404007E-14</v>
      </c>
      <c r="X25" s="21">
        <f ca="1">_xll.meLWOBondDV01($M25,$C$4,$T25%)</f>
        <v>265.6838692203745</v>
      </c>
      <c r="Y25" s="20">
        <f ca="1">_xll.BDP($B25,Y$6, "YLD_YTM_ASK="&amp;$T25,"YAS_YLD_CONV=3")*$Y$3*0.0001</f>
        <v>265.6838747960677</v>
      </c>
      <c r="Z25" s="22">
        <f t="shared" ca="1" si="2"/>
        <v>5.5756931942596566E-6</v>
      </c>
      <c r="AA25" s="21">
        <f ca="1">_xll.meLWOBondDirtyPrice($M25,$C$4,$T25%)</f>
        <v>95.309323512580278</v>
      </c>
      <c r="AB25" s="21">
        <f ca="1">_xll.meLWOBondModifiedDuration($M25,$C$4,$T25%)</f>
        <v>2.7875957926121022</v>
      </c>
      <c r="AC25" s="20">
        <f ca="1">_xll.BDP($B25,AC$6,"YLD_YTM_ASK="&amp;$T25,"YAS_YLD_CONV=3")</f>
        <v>2.7875958511131289</v>
      </c>
      <c r="AD25" s="22">
        <f t="shared" ca="1" si="3"/>
        <v>5.8501026689583568E-8</v>
      </c>
      <c r="AE25" s="21">
        <f ca="1">_xll.meLWOBondDV01Numerical($M25,$C$4,$T25%,0.5,"CENTRAL")</f>
        <v>265.68387061345788</v>
      </c>
    </row>
    <row r="26" spans="2:31">
      <c r="B26" s="14" t="s">
        <v>193</v>
      </c>
      <c r="C26" s="14" t="s">
        <v>194</v>
      </c>
      <c r="D26" s="14" t="s">
        <v>194</v>
      </c>
      <c r="E26" s="15">
        <v>41912</v>
      </c>
      <c r="F26" s="18">
        <v>41912</v>
      </c>
      <c r="G26" s="17" t="str">
        <f t="shared" si="0"/>
        <v>EOM</v>
      </c>
      <c r="H26" s="15">
        <v>42094</v>
      </c>
      <c r="I26" s="15">
        <v>44286</v>
      </c>
      <c r="J26" s="15" t="s">
        <v>292</v>
      </c>
      <c r="K26" s="16">
        <v>2.1250000000000002E-2</v>
      </c>
      <c r="L26" s="15">
        <v>44469</v>
      </c>
      <c r="M26" s="19" t="str">
        <f ca="1">_xll.meLWOBondCreateFromGeneratorLVB(C26,$M$4,_xll.meUtilityLVBFromKeysValues($C$6:$L$6,C26:L26))</f>
        <v>US912828F213@1415:4</v>
      </c>
      <c r="N26" s="53">
        <f ca="1">_xll.BDP($B26,$N$5)</f>
        <v>2.8954789000000001</v>
      </c>
      <c r="O26" s="52">
        <f ca="1">_xll.meLWOBondCleanPrice($M26,$C$4,$N26%)</f>
        <v>97.890625073174945</v>
      </c>
      <c r="P26" s="52">
        <f ca="1">_xll.meLWOBondDirtyPrice($M26,$C$4,$N26%)</f>
        <v>98.165006941306814</v>
      </c>
      <c r="Q26" s="51">
        <f ca="1">_xll.meLWOBondYield($M26,$C$4,O26)</f>
        <v>2.8954789000001011E-2</v>
      </c>
      <c r="R26" s="52">
        <f ca="1">_xll.meLWOBondModifiedDuration($M26,$C$4,$N26%)</f>
        <v>2.7522297724428091</v>
      </c>
      <c r="S26" s="21">
        <f ca="1">_xll.meLWOBondDV01($M26,$C$4,$N26%)</f>
        <v>270.17265471591963</v>
      </c>
      <c r="T26" s="50">
        <f t="shared" ca="1" si="4"/>
        <v>2.8954789000000001</v>
      </c>
      <c r="U26" s="20">
        <f ca="1">_xll.BDP($B26,U$6, "YAS_BOND_YLD="&amp;$T26,"YAS_YLD_CONV=2")</f>
        <v>97.890625073174945</v>
      </c>
      <c r="V26" s="21">
        <f ca="1">_xll.meLWOBondCleanPrice($M26,$C$4,$T26%)</f>
        <v>97.890625073174945</v>
      </c>
      <c r="W26" s="22">
        <f t="shared" ca="1" si="1"/>
        <v>0</v>
      </c>
      <c r="X26" s="21">
        <f ca="1">_xll.meLWOBondDV01($M26,$C$4,$T26%)</f>
        <v>270.17265471591963</v>
      </c>
      <c r="Y26" s="20">
        <f ca="1">_xll.BDP($B26,Y$6, "YLD_YTM_ASK="&amp;$T26,"YAS_YLD_CONV=3")*$Y$3*0.0001</f>
        <v>270.17266035173293</v>
      </c>
      <c r="Z26" s="22">
        <f t="shared" ca="1" si="2"/>
        <v>5.635813295157277E-6</v>
      </c>
      <c r="AA26" s="21">
        <f ca="1">_xll.meLWOBondDirtyPrice($M26,$C$4,$T26%)</f>
        <v>98.165006941306814</v>
      </c>
      <c r="AB26" s="21">
        <f ca="1">_xll.meLWOBondModifiedDuration($M26,$C$4,$T26%)</f>
        <v>2.7522297724428091</v>
      </c>
      <c r="AC26" s="20">
        <f ca="1">_xll.BDP($B26,AC$6,"YLD_YTM_ASK="&amp;$T26,"YAS_YLD_CONV=3")</f>
        <v>2.752229829854441</v>
      </c>
      <c r="AD26" s="22">
        <f t="shared" ca="1" si="3"/>
        <v>5.741163189298959E-8</v>
      </c>
      <c r="AE26" s="21">
        <f ca="1">_xll.meLWOBondDV01Numerical($M26,$C$4,$T26%,0.5,"CENTRAL")</f>
        <v>270.17265612542479</v>
      </c>
    </row>
    <row r="27" spans="2:31">
      <c r="B27" s="14" t="s">
        <v>203</v>
      </c>
      <c r="C27" s="14" t="s">
        <v>204</v>
      </c>
      <c r="D27" s="14" t="s">
        <v>204</v>
      </c>
      <c r="E27" s="15">
        <v>42674</v>
      </c>
      <c r="F27" s="18">
        <v>42674</v>
      </c>
      <c r="G27" s="17" t="str">
        <f t="shared" si="0"/>
        <v>EOM</v>
      </c>
      <c r="H27" s="15">
        <v>42855</v>
      </c>
      <c r="I27" s="15">
        <v>44316</v>
      </c>
      <c r="J27" s="15" t="s">
        <v>292</v>
      </c>
      <c r="K27" s="16">
        <v>1.2500000000000001E-2</v>
      </c>
      <c r="L27" s="15">
        <v>44500</v>
      </c>
      <c r="M27" s="19" t="str">
        <f ca="1">_xll.meLWOBondCreateFromGeneratorLVB(C27,$M$4,_xll.meUtilityLVBFromKeysValues($C$6:$L$6,C27:L27))</f>
        <v>US912828T677@1414:4</v>
      </c>
      <c r="N27" s="53">
        <f ca="1">_xll.BDP($B27,$N$5)</f>
        <v>2.8994609000000002</v>
      </c>
      <c r="O27" s="52">
        <f ca="1">_xll.meLWOBondCleanPrice($M27,$C$4,$N27%)</f>
        <v>95.35937494292375</v>
      </c>
      <c r="P27" s="52">
        <f ca="1">_xll.meLWOBondDirtyPrice($M27,$C$4,$N27%)</f>
        <v>95.414623561708282</v>
      </c>
      <c r="Q27" s="51">
        <f ca="1">_xll.meLWOBondYield($M27,$C$4,O27)</f>
        <v>2.8994609000003869E-2</v>
      </c>
      <c r="R27" s="52">
        <f ca="1">_xll.meLWOBondModifiedDuration($M27,$C$4,$N27%)</f>
        <v>2.8666688416331927</v>
      </c>
      <c r="S27" s="21">
        <f ca="1">_xll.meLWOBondDV01($M27,$C$4,$N27%)</f>
        <v>273.52212840050942</v>
      </c>
      <c r="T27" s="50">
        <f t="shared" ca="1" si="4"/>
        <v>2.8994609000000002</v>
      </c>
      <c r="U27" s="20">
        <f ca="1">_xll.BDP($B27,U$6, "YAS_BOND_YLD="&amp;$T27,"YAS_YLD_CONV=2")</f>
        <v>95.359374942923765</v>
      </c>
      <c r="V27" s="21">
        <f ca="1">_xll.meLWOBondCleanPrice($M27,$C$4,$T27%)</f>
        <v>95.35937494292375</v>
      </c>
      <c r="W27" s="22">
        <f t="shared" ca="1" si="1"/>
        <v>1.4210854715202004E-14</v>
      </c>
      <c r="X27" s="21">
        <f ca="1">_xll.meLWOBondDV01($M27,$C$4,$T27%)</f>
        <v>273.52212840050942</v>
      </c>
      <c r="Y27" s="20">
        <f ca="1">_xll.BDP($B27,Y$6, "YLD_YTM_ASK="&amp;$T27,"YAS_YLD_CONV=3")*$Y$3*0.0001</f>
        <v>273.5221344079975</v>
      </c>
      <c r="Z27" s="22">
        <f t="shared" ca="1" si="2"/>
        <v>6.0074880821048282E-6</v>
      </c>
      <c r="AA27" s="21">
        <f ca="1">_xll.meLWOBondDirtyPrice($M27,$C$4,$T27%)</f>
        <v>95.414623561708282</v>
      </c>
      <c r="AB27" s="21">
        <f ca="1">_xll.meLWOBondModifiedDuration($M27,$C$4,$T27%)</f>
        <v>2.8666688416331927</v>
      </c>
      <c r="AC27" s="20">
        <f ca="1">_xll.BDP($B27,AC$6,"YLD_YTM_ASK="&amp;$T27,"YAS_YLD_CONV=3")</f>
        <v>2.8666689045951128</v>
      </c>
      <c r="AD27" s="22">
        <f t="shared" ca="1" si="3"/>
        <v>6.2961920122006632E-8</v>
      </c>
      <c r="AE27" s="21">
        <f ca="1">_xll.meLWOBondDV01Numerical($M27,$C$4,$T27%,0.5,"CENTRAL")</f>
        <v>273.52212990308544</v>
      </c>
    </row>
    <row r="28" spans="2:31">
      <c r="B28" s="14" t="s">
        <v>277</v>
      </c>
      <c r="C28" s="14" t="s">
        <v>278</v>
      </c>
      <c r="D28" s="14" t="s">
        <v>278</v>
      </c>
      <c r="E28" s="15">
        <v>41943</v>
      </c>
      <c r="F28" s="18">
        <v>41943</v>
      </c>
      <c r="G28" s="17" t="str">
        <f t="shared" si="0"/>
        <v>EOM</v>
      </c>
      <c r="H28" s="15">
        <v>42124</v>
      </c>
      <c r="I28" s="15">
        <v>44316</v>
      </c>
      <c r="J28" s="15" t="s">
        <v>292</v>
      </c>
      <c r="K28" s="16">
        <v>0.02</v>
      </c>
      <c r="L28" s="15">
        <v>44500</v>
      </c>
      <c r="M28" s="19" t="str">
        <f ca="1">_xll.meLWOBondCreateFromGeneratorLVB(C28,$M$4,_xll.meUtilityLVBFromKeysValues($C$6:$L$6,C28:L28))</f>
        <v>US912828F965@1413:4</v>
      </c>
      <c r="N28" s="53">
        <f ca="1">_xll.BDP($B28,$N$5)</f>
        <v>2.8967526000000001</v>
      </c>
      <c r="O28" s="52">
        <f ca="1">_xll.meLWOBondCleanPrice($M28,$C$4,$N28%)</f>
        <v>97.476562382976255</v>
      </c>
      <c r="P28" s="52">
        <f ca="1">_xll.meLWOBondDirtyPrice($M28,$C$4,$N28%)</f>
        <v>97.564960173031508</v>
      </c>
      <c r="Q28" s="51">
        <f ca="1">_xll.meLWOBondYield($M28,$C$4,O28)</f>
        <v>2.8967526000001412E-2</v>
      </c>
      <c r="R28" s="52">
        <f ca="1">_xll.meLWOBondModifiedDuration($M28,$C$4,$N28%)</f>
        <v>2.8402221527096811</v>
      </c>
      <c r="S28" s="21">
        <f ca="1">_xll.meLWOBondDV01($M28,$C$4,$N28%)</f>
        <v>277.10616121168187</v>
      </c>
      <c r="T28" s="50">
        <f t="shared" ca="1" si="4"/>
        <v>2.8967526000000001</v>
      </c>
      <c r="U28" s="20">
        <f ca="1">_xll.BDP($B28,U$6, "YAS_BOND_YLD="&amp;$T28,"YAS_YLD_CONV=2")</f>
        <v>97.476562382976255</v>
      </c>
      <c r="V28" s="21">
        <f ca="1">_xll.meLWOBondCleanPrice($M28,$C$4,$T28%)</f>
        <v>97.476562382976255</v>
      </c>
      <c r="W28" s="22">
        <f t="shared" ca="1" si="1"/>
        <v>0</v>
      </c>
      <c r="X28" s="21">
        <f ca="1">_xll.meLWOBondDV01($M28,$C$4,$T28%)</f>
        <v>277.10616121168187</v>
      </c>
      <c r="Y28" s="20">
        <f ca="1">_xll.BDP($B28,Y$6, "YLD_YTM_ASK="&amp;$T28,"YAS_YLD_CONV=3")*$Y$3*0.0001</f>
        <v>277.1061672701336</v>
      </c>
      <c r="Z28" s="22">
        <f t="shared" ca="1" si="2"/>
        <v>6.058451731405512E-6</v>
      </c>
      <c r="AA28" s="21">
        <f ca="1">_xll.meLWOBondDirtyPrice($M28,$C$4,$T28%)</f>
        <v>97.564960173031508</v>
      </c>
      <c r="AB28" s="21">
        <f ca="1">_xll.meLWOBondModifiedDuration($M28,$C$4,$T28%)</f>
        <v>2.8402221527096811</v>
      </c>
      <c r="AC28" s="20">
        <f ca="1">_xll.BDP($B28,AC$6,"YLD_YTM_ASK="&amp;$T28,"YAS_YLD_CONV=3")</f>
        <v>2.8402222148062743</v>
      </c>
      <c r="AD28" s="22">
        <f t="shared" ca="1" si="3"/>
        <v>6.2096593200777761E-8</v>
      </c>
      <c r="AE28" s="21">
        <f ca="1">_xll.meLWOBondDV01Numerical($M28,$C$4,$T28%,0.5,"CENTRAL")</f>
        <v>277.10616272699446</v>
      </c>
    </row>
    <row r="29" spans="2:31">
      <c r="B29" s="14" t="s">
        <v>243</v>
      </c>
      <c r="C29" s="14" t="s">
        <v>244</v>
      </c>
      <c r="D29" s="14" t="s">
        <v>244</v>
      </c>
      <c r="E29" s="15">
        <v>40862</v>
      </c>
      <c r="F29" s="18">
        <v>40862</v>
      </c>
      <c r="G29" s="17" t="str">
        <f t="shared" si="0"/>
        <v/>
      </c>
      <c r="H29" s="15">
        <v>41044</v>
      </c>
      <c r="I29" s="15">
        <v>44331</v>
      </c>
      <c r="J29" s="15" t="s">
        <v>292</v>
      </c>
      <c r="K29" s="16">
        <v>0.02</v>
      </c>
      <c r="L29" s="15">
        <v>44515</v>
      </c>
      <c r="M29" s="19" t="str">
        <f ca="1">_xll.meLWOBondCreateFromGeneratorLVB(C29,$M$4,_xll.meUtilityLVBFromKeysValues($C$6:$L$6,C29:L29))</f>
        <v>US912828RR30@1412:4</v>
      </c>
      <c r="N29" s="53">
        <f ca="1">_xll.BDP($B29,$N$5)</f>
        <v>2.8876664999999999</v>
      </c>
      <c r="O29" s="52">
        <f ca="1">_xll.meLWOBondCleanPrice($M29,$C$4,$N29%)</f>
        <v>97.4687499388248</v>
      </c>
      <c r="P29" s="52">
        <f ca="1">_xll.meLWOBondDirtyPrice($M29,$C$4,$N29%)</f>
        <v>97.474274800703256</v>
      </c>
      <c r="Q29" s="51">
        <f ca="1">_xll.meLWOBondYield($M29,$C$4,O29)</f>
        <v>2.8876665000001252E-2</v>
      </c>
      <c r="R29" s="52">
        <f ca="1">_xll.meLWOBondModifiedDuration($M29,$C$4,$N29%)</f>
        <v>2.8812076872077061</v>
      </c>
      <c r="S29" s="21">
        <f ca="1">_xll.meLWOBondDV01($M29,$C$4,$N29%)</f>
        <v>280.84362986078264</v>
      </c>
      <c r="T29" s="50">
        <f t="shared" ca="1" si="4"/>
        <v>2.8876664999999999</v>
      </c>
      <c r="U29" s="20">
        <f ca="1">_xll.BDP($B29,U$6, "YAS_BOND_YLD="&amp;$T29,"YAS_YLD_CONV=2")</f>
        <v>97.468749938824843</v>
      </c>
      <c r="V29" s="21">
        <f ca="1">_xll.meLWOBondCleanPrice($M29,$C$4,$T29%)</f>
        <v>97.4687499388248</v>
      </c>
      <c r="W29" s="22">
        <f t="shared" ca="1" si="1"/>
        <v>4.2632564145606011E-14</v>
      </c>
      <c r="X29" s="21">
        <f ca="1">_xll.meLWOBondDV01($M29,$C$4,$T29%)</f>
        <v>280.84362986078264</v>
      </c>
      <c r="Y29" s="20">
        <f ca="1">_xll.BDP($B29,Y$6, "YLD_YTM_ASK="&amp;$T29,"YAS_YLD_CONV=3")*$Y$3*0.0001</f>
        <v>280.84363613928076</v>
      </c>
      <c r="Z29" s="22">
        <f t="shared" ca="1" si="2"/>
        <v>6.2784981196273293E-6</v>
      </c>
      <c r="AA29" s="21">
        <f ca="1">_xll.meLWOBondDirtyPrice($M29,$C$4,$T29%)</f>
        <v>97.474274800703256</v>
      </c>
      <c r="AB29" s="21">
        <f ca="1">_xll.meLWOBondModifiedDuration($M29,$C$4,$T29%)</f>
        <v>2.8812076872077061</v>
      </c>
      <c r="AC29" s="20">
        <f ca="1">_xll.BDP($B29,AC$6,"YLD_YTM_ASK="&amp;$T29,"YAS_YLD_CONV=3")</f>
        <v>2.8812077516195536</v>
      </c>
      <c r="AD29" s="22">
        <f t="shared" ca="1" si="3"/>
        <v>6.4411847411349754E-8</v>
      </c>
      <c r="AE29" s="21">
        <f ca="1">_xll.meLWOBondDV01Numerical($M29,$C$4,$T29%,0.5,"CENTRAL")</f>
        <v>280.84363143094038</v>
      </c>
    </row>
    <row r="30" spans="2:31">
      <c r="B30" s="14" t="s">
        <v>197</v>
      </c>
      <c r="C30" s="14" t="s">
        <v>198</v>
      </c>
      <c r="D30" s="14" t="s">
        <v>198</v>
      </c>
      <c r="E30" s="15">
        <v>42704</v>
      </c>
      <c r="F30" s="18">
        <v>42704</v>
      </c>
      <c r="G30" s="17" t="str">
        <f t="shared" si="0"/>
        <v>EOM</v>
      </c>
      <c r="H30" s="15">
        <v>42886</v>
      </c>
      <c r="I30" s="15">
        <v>44347</v>
      </c>
      <c r="J30" s="15" t="s">
        <v>292</v>
      </c>
      <c r="K30" s="16">
        <v>1.7500000000000002E-2</v>
      </c>
      <c r="L30" s="15">
        <v>44530</v>
      </c>
      <c r="M30" s="19" t="str">
        <f ca="1">_xll.meLWOBondCreateFromGeneratorLVB(C30,$M$4,_xll.meUtilityLVBFromKeysValues($C$6:$L$6,C30:L30))</f>
        <v>US912828U659@1411:4</v>
      </c>
      <c r="N30" s="53">
        <f ca="1">_xll.BDP($B30,$N$5)</f>
        <v>2.8994213000000002</v>
      </c>
      <c r="O30" s="52">
        <f ca="1">_xll.meLWOBondCleanPrice($M30,$C$4,$N30%)</f>
        <v>96.679687455810907</v>
      </c>
      <c r="P30" s="52">
        <f ca="1">_xll.meLWOBondDirtyPrice($M30,$C$4,$N30%)</f>
        <v>97.48774756510052</v>
      </c>
      <c r="Q30" s="51">
        <f ca="1">_xll.meLWOBondYield($M30,$C$4,O30)</f>
        <v>2.8994213000002062E-2</v>
      </c>
      <c r="R30" s="52">
        <f ca="1">_xll.meLWOBondModifiedDuration($M30,$C$4,$N30%)</f>
        <v>2.9042199817386893</v>
      </c>
      <c r="S30" s="21">
        <f ca="1">_xll.meLWOBondDV01($M30,$C$4,$N30%)</f>
        <v>283.12586445326218</v>
      </c>
      <c r="T30" s="50">
        <f t="shared" ca="1" si="4"/>
        <v>2.8994213000000002</v>
      </c>
      <c r="U30" s="20">
        <f ca="1">_xll.BDP($B30,U$6, "YAS_BOND_YLD="&amp;$T30,"YAS_YLD_CONV=2")</f>
        <v>96.679687455810935</v>
      </c>
      <c r="V30" s="21">
        <f ca="1">_xll.meLWOBondCleanPrice($M30,$C$4,$T30%)</f>
        <v>96.679687455810907</v>
      </c>
      <c r="W30" s="22">
        <f t="shared" ca="1" si="1"/>
        <v>2.8421709430404007E-14</v>
      </c>
      <c r="X30" s="21">
        <f ca="1">_xll.meLWOBondDV01($M30,$C$4,$T30%)</f>
        <v>283.12586445326218</v>
      </c>
      <c r="Y30" s="20">
        <f ca="1">_xll.BDP($B30,Y$6, "YLD_YTM_ASK="&amp;$T30,"YAS_YLD_CONV=3")*$Y$3*0.0001</f>
        <v>283.1258709304052</v>
      </c>
      <c r="Z30" s="22">
        <f t="shared" ca="1" si="2"/>
        <v>6.4771430174914713E-6</v>
      </c>
      <c r="AA30" s="21">
        <f ca="1">_xll.meLWOBondDirtyPrice($M30,$C$4,$T30%)</f>
        <v>97.48774756510052</v>
      </c>
      <c r="AB30" s="21">
        <f ca="1">_xll.meLWOBondModifiedDuration($M30,$C$4,$T30%)</f>
        <v>2.9042199817386893</v>
      </c>
      <c r="AC30" s="20">
        <f ca="1">_xll.BDP($B30,AC$6,"YLD_YTM_ASK="&amp;$T30,"YAS_YLD_CONV=3")</f>
        <v>2.9042200481792753</v>
      </c>
      <c r="AD30" s="22">
        <f t="shared" ca="1" si="3"/>
        <v>6.6440585921867523E-8</v>
      </c>
      <c r="AE30" s="21">
        <f ca="1">_xll.meLWOBondDV01Numerical($M30,$C$4,$T30%,0.5,"CENTRAL")</f>
        <v>283.12586607313506</v>
      </c>
    </row>
    <row r="31" spans="2:31">
      <c r="B31" s="14" t="s">
        <v>255</v>
      </c>
      <c r="C31" s="14" t="s">
        <v>256</v>
      </c>
      <c r="D31" s="14" t="s">
        <v>256</v>
      </c>
      <c r="E31" s="15">
        <v>41974</v>
      </c>
      <c r="F31" s="18">
        <v>41973</v>
      </c>
      <c r="G31" s="17" t="str">
        <f t="shared" si="0"/>
        <v>EOM</v>
      </c>
      <c r="H31" s="15">
        <v>42155</v>
      </c>
      <c r="I31" s="15">
        <v>44347</v>
      </c>
      <c r="J31" s="15" t="s">
        <v>292</v>
      </c>
      <c r="K31" s="16">
        <v>1.8749999999999999E-2</v>
      </c>
      <c r="L31" s="15">
        <v>44530</v>
      </c>
      <c r="M31" s="19" t="str">
        <f ca="1">_xll.meLWOBondCreateFromGeneratorLVB(C31,$M$4,_xll.meUtilityLVBFromKeysValues($C$6:$L$6,C31:L31))</f>
        <v>US912828G534@1410:4</v>
      </c>
      <c r="N31" s="53">
        <f ca="1">_xll.BDP($B31,$N$5)</f>
        <v>2.8834802000000002</v>
      </c>
      <c r="O31" s="52">
        <f ca="1">_xll.meLWOBondCleanPrice($M31,$C$4,$N31%)</f>
        <v>97.085937545391502</v>
      </c>
      <c r="P31" s="52">
        <f ca="1">_xll.meLWOBondDirtyPrice($M31,$C$4,$N31%)</f>
        <v>97.951716233916088</v>
      </c>
      <c r="Q31" s="51">
        <f ca="1">_xll.meLWOBondYield($M31,$C$4,O31)</f>
        <v>2.8834802000002008E-2</v>
      </c>
      <c r="R31" s="52">
        <f ca="1">_xll.meLWOBondModifiedDuration($M31,$C$4,$N31%)</f>
        <v>2.8984220851792859</v>
      </c>
      <c r="S31" s="21">
        <f ca="1">_xll.meLWOBondDV01($M31,$C$4,$N31%)</f>
        <v>283.9054176135968</v>
      </c>
      <c r="T31" s="50">
        <f t="shared" ca="1" si="4"/>
        <v>2.8834802000000002</v>
      </c>
      <c r="U31" s="20">
        <f ca="1">_xll.BDP($B31,U$6, "YAS_BOND_YLD="&amp;$T31,"YAS_YLD_CONV=2")</f>
        <v>97.085937545391502</v>
      </c>
      <c r="V31" s="21">
        <f ca="1">_xll.meLWOBondCleanPrice($M31,$C$4,$T31%)</f>
        <v>97.085937545391502</v>
      </c>
      <c r="W31" s="22">
        <f t="shared" ca="1" si="1"/>
        <v>0</v>
      </c>
      <c r="X31" s="21">
        <f ca="1">_xll.meLWOBondDV01($M31,$C$4,$T31%)</f>
        <v>283.9054176135968</v>
      </c>
      <c r="Y31" s="20">
        <f ca="1">_xll.BDP($B31,Y$6, "YLD_YTM_ASK="&amp;$T31,"YAS_YLD_CONV=3")*$Y$3*0.0001</f>
        <v>283.90542410477343</v>
      </c>
      <c r="Z31" s="22">
        <f t="shared" ca="1" si="2"/>
        <v>6.4911766344266653E-6</v>
      </c>
      <c r="AA31" s="21">
        <f ca="1">_xll.meLWOBondDirtyPrice($M31,$C$4,$T31%)</f>
        <v>97.951716233916088</v>
      </c>
      <c r="AB31" s="21">
        <f ca="1">_xll.meLWOBondModifiedDuration($M31,$C$4,$T31%)</f>
        <v>2.8984220851792859</v>
      </c>
      <c r="AC31" s="20">
        <f ca="1">_xll.BDP($B31,AC$6,"YLD_YTM_ASK="&amp;$T31,"YAS_YLD_CONV=3")</f>
        <v>2.8984221514484321</v>
      </c>
      <c r="AD31" s="22">
        <f t="shared" ca="1" si="3"/>
        <v>6.6269146170583326E-8</v>
      </c>
      <c r="AE31" s="21">
        <f ca="1">_xll.meLWOBondDV01Numerical($M31,$C$4,$T31%,0.5,"CENTRAL")</f>
        <v>283.90541923570828</v>
      </c>
    </row>
    <row r="32" spans="2:31">
      <c r="B32" s="14" t="s">
        <v>207</v>
      </c>
      <c r="C32" s="14" t="s">
        <v>208</v>
      </c>
      <c r="D32" s="14" t="s">
        <v>208</v>
      </c>
      <c r="E32" s="15">
        <v>42004</v>
      </c>
      <c r="F32" s="18">
        <v>42004</v>
      </c>
      <c r="G32" s="17" t="str">
        <f t="shared" si="0"/>
        <v>EOM</v>
      </c>
      <c r="H32" s="15">
        <v>42185</v>
      </c>
      <c r="I32" s="15">
        <v>44377</v>
      </c>
      <c r="J32" s="15" t="s">
        <v>292</v>
      </c>
      <c r="K32" s="16">
        <v>2.1250000000000002E-2</v>
      </c>
      <c r="L32" s="15">
        <v>44561</v>
      </c>
      <c r="M32" s="19" t="str">
        <f ca="1">_xll.meLWOBondCreateFromGeneratorLVB(C32,$M$4,_xll.meUtilityLVBFromKeysValues($C$6:$L$6,C32:L32))</f>
        <v>US912828G872@1409:4</v>
      </c>
      <c r="N32" s="53">
        <f ca="1">_xll.BDP($B32,$N$5)</f>
        <v>2.8992770000000001</v>
      </c>
      <c r="O32" s="52">
        <f ca="1">_xll.meLWOBondCleanPrice($M32,$C$4,$N32%)</f>
        <v>97.70312485549735</v>
      </c>
      <c r="P32" s="52">
        <f ca="1">_xll.meLWOBondDirtyPrice($M32,$C$4,$N32%)</f>
        <v>98.505774312019085</v>
      </c>
      <c r="Q32" s="51">
        <f ca="1">_xll.meLWOBondYield($M32,$C$4,O32)</f>
        <v>2.8992770000000875E-2</v>
      </c>
      <c r="R32" s="52">
        <f ca="1">_xll.meLWOBondModifiedDuration($M32,$C$4,$N32%)</f>
        <v>2.9690351437492337</v>
      </c>
      <c r="S32" s="21">
        <f ca="1">_xll.meLWOBondDV01($M32,$C$4,$N32%)</f>
        <v>292.46710579461518</v>
      </c>
      <c r="T32" s="50">
        <f t="shared" ca="1" si="4"/>
        <v>2.8992770000000001</v>
      </c>
      <c r="U32" s="20">
        <f ca="1">_xll.BDP($B32,U$6, "YAS_BOND_YLD="&amp;$T32,"YAS_YLD_CONV=2")</f>
        <v>97.70312485549735</v>
      </c>
      <c r="V32" s="21">
        <f ca="1">_xll.meLWOBondCleanPrice($M32,$C$4,$T32%)</f>
        <v>97.70312485549735</v>
      </c>
      <c r="W32" s="22">
        <f t="shared" ca="1" si="1"/>
        <v>0</v>
      </c>
      <c r="X32" s="21">
        <f ca="1">_xll.meLWOBondDV01($M32,$C$4,$T32%)</f>
        <v>292.46710579461518</v>
      </c>
      <c r="Y32" s="20">
        <f ca="1">_xll.BDP($B32,Y$6, "YLD_YTM_ASK="&amp;$T32,"YAS_YLD_CONV=3")*$Y$3*0.0001</f>
        <v>292.46711276655901</v>
      </c>
      <c r="Z32" s="22">
        <f t="shared" ca="1" si="2"/>
        <v>6.9719438329229888E-6</v>
      </c>
      <c r="AA32" s="21">
        <f ca="1">_xll.meLWOBondDirtyPrice($M32,$C$4,$T32%)</f>
        <v>98.505774312019085</v>
      </c>
      <c r="AB32" s="21">
        <f ca="1">_xll.meLWOBondModifiedDuration($M32,$C$4,$T32%)</f>
        <v>2.9690351437492337</v>
      </c>
      <c r="AC32" s="20">
        <f ca="1">_xll.BDP($B32,AC$6,"YLD_YTM_ASK="&amp;$T32,"YAS_YLD_CONV=3")</f>
        <v>2.9690352145262415</v>
      </c>
      <c r="AD32" s="22">
        <f t="shared" ca="1" si="3"/>
        <v>7.0777007810107762E-8</v>
      </c>
      <c r="AE32" s="21">
        <f ca="1">_xll.meLWOBondDV01Numerical($M32,$C$4,$T32%,0.5,"CENTRAL")</f>
        <v>292.46710753824351</v>
      </c>
    </row>
    <row r="33" spans="2:31">
      <c r="B33" s="14" t="s">
        <v>221</v>
      </c>
      <c r="C33" s="14" t="s">
        <v>222</v>
      </c>
      <c r="D33" s="14" t="s">
        <v>222</v>
      </c>
      <c r="E33" s="15">
        <v>42738</v>
      </c>
      <c r="F33" s="18">
        <v>42735</v>
      </c>
      <c r="G33" s="17" t="str">
        <f t="shared" si="0"/>
        <v>EOM</v>
      </c>
      <c r="H33" s="15">
        <v>42916</v>
      </c>
      <c r="I33" s="15">
        <v>44377</v>
      </c>
      <c r="J33" s="15" t="s">
        <v>292</v>
      </c>
      <c r="K33" s="16">
        <v>0.02</v>
      </c>
      <c r="L33" s="15">
        <v>44561</v>
      </c>
      <c r="M33" s="19" t="str">
        <f ca="1">_xll.meLWOBondCreateFromGeneratorLVB(C33,$M$4,_xll.meUtilityLVBFromKeysValues($C$6:$L$6,C33:L33))</f>
        <v>US912828U816@1408:4</v>
      </c>
      <c r="N33" s="53">
        <f ca="1">_xll.BDP($B33,$N$5)</f>
        <v>2.8981425000000001</v>
      </c>
      <c r="O33" s="52">
        <f ca="1">_xll.meLWOBondCleanPrice($M33,$C$4,$N33%)</f>
        <v>97.335937382516903</v>
      </c>
      <c r="P33" s="52">
        <f ca="1">_xll.meLWOBondDirtyPrice($M33,$C$4,$N33%)</f>
        <v>98.091372165125605</v>
      </c>
      <c r="Q33" s="51">
        <f ca="1">_xll.meLWOBondYield($M33,$C$4,O33)</f>
        <v>2.8981425000001493E-2</v>
      </c>
      <c r="R33" s="52">
        <f ca="1">_xll.meLWOBondModifiedDuration($M33,$C$4,$N33%)</f>
        <v>2.9750089029272031</v>
      </c>
      <c r="S33" s="21">
        <f ca="1">_xll.meLWOBondDV01($M33,$C$4,$N33%)</f>
        <v>291.82270549159432</v>
      </c>
      <c r="T33" s="50">
        <f t="shared" ca="1" si="4"/>
        <v>2.8981425000000001</v>
      </c>
      <c r="U33" s="20">
        <f ca="1">_xll.BDP($B33,U$6, "YAS_BOND_YLD="&amp;$T33,"YAS_YLD_CONV=2")</f>
        <v>97.335937382516903</v>
      </c>
      <c r="V33" s="21">
        <f ca="1">_xll.meLWOBondCleanPrice($M33,$C$4,$T33%)</f>
        <v>97.335937382516903</v>
      </c>
      <c r="W33" s="22">
        <f t="shared" ca="1" si="1"/>
        <v>0</v>
      </c>
      <c r="X33" s="21">
        <f ca="1">_xll.meLWOBondDV01($M33,$C$4,$T33%)</f>
        <v>291.82270549159432</v>
      </c>
      <c r="Y33" s="20">
        <f ca="1">_xll.BDP($B33,Y$6, "YLD_YTM_ASK="&amp;$T33,"YAS_YLD_CONV=3")*$Y$3*0.0001</f>
        <v>291.82271245424835</v>
      </c>
      <c r="Z33" s="22">
        <f t="shared" ca="1" si="2"/>
        <v>6.9626540266654047E-6</v>
      </c>
      <c r="AA33" s="21">
        <f ca="1">_xll.meLWOBondDirtyPrice($M33,$C$4,$T33%)</f>
        <v>98.091372165125605</v>
      </c>
      <c r="AB33" s="21">
        <f ca="1">_xll.meLWOBondModifiedDuration($M33,$C$4,$T33%)</f>
        <v>2.9750089029272031</v>
      </c>
      <c r="AC33" s="20">
        <f ca="1">_xll.BDP($B33,AC$6,"YLD_YTM_ASK="&amp;$T33,"YAS_YLD_CONV=3")</f>
        <v>2.9750089739085119</v>
      </c>
      <c r="AD33" s="22">
        <f t="shared" ca="1" si="3"/>
        <v>7.0981308830653234E-8</v>
      </c>
      <c r="AE33" s="21">
        <f ca="1">_xll.meLWOBondDV01Numerical($M33,$C$4,$T33%,0.5,"CENTRAL")</f>
        <v>291.82270723154602</v>
      </c>
    </row>
    <row r="34" spans="2:31">
      <c r="B34" s="14" t="s">
        <v>131</v>
      </c>
      <c r="C34" s="14" t="s">
        <v>132</v>
      </c>
      <c r="D34" s="14" t="s">
        <v>132</v>
      </c>
      <c r="E34" s="15">
        <v>42037</v>
      </c>
      <c r="F34" s="18">
        <v>42035</v>
      </c>
      <c r="G34" s="17" t="str">
        <f t="shared" si="0"/>
        <v>EOM</v>
      </c>
      <c r="H34" s="15">
        <v>42216</v>
      </c>
      <c r="I34" s="15">
        <v>44408</v>
      </c>
      <c r="J34" s="15" t="s">
        <v>292</v>
      </c>
      <c r="K34" s="16">
        <v>1.4999999999999999E-2</v>
      </c>
      <c r="L34" s="15">
        <v>44592</v>
      </c>
      <c r="M34" s="19" t="str">
        <f ca="1">_xll.meLWOBondCreateFromGeneratorLVB(C34,$M$4,_xll.meUtilityLVBFromKeysValues($C$6:$L$6,C34:L34))</f>
        <v>US912828H862@1407:4</v>
      </c>
      <c r="N34" s="53">
        <f ca="1">_xll.BDP($B34,$N$5)</f>
        <v>2.9049852999999999</v>
      </c>
      <c r="O34" s="52">
        <f ca="1">_xll.meLWOBondCleanPrice($M34,$C$4,$N34%)</f>
        <v>95.726562558207334</v>
      </c>
      <c r="P34" s="52">
        <f ca="1">_xll.meLWOBondDirtyPrice($M34,$C$4,$N34%)</f>
        <v>96.166779949511678</v>
      </c>
      <c r="Q34" s="51">
        <f ca="1">_xll.meLWOBondYield($M34,$C$4,O34)</f>
        <v>2.9049853000003682E-2</v>
      </c>
      <c r="R34" s="52">
        <f ca="1">_xll.meLWOBondModifiedDuration($M34,$C$4,$N34%)</f>
        <v>3.0822642247664813</v>
      </c>
      <c r="S34" s="21">
        <f ca="1">_xll.meLWOBondDV01($M34,$C$4,$N34%)</f>
        <v>296.41142544937043</v>
      </c>
      <c r="T34" s="50">
        <f t="shared" ca="1" si="4"/>
        <v>2.9049852999999999</v>
      </c>
      <c r="U34" s="20">
        <f ca="1">_xll.BDP($B34,U$6, "YAS_BOND_YLD="&amp;$T34,"YAS_YLD_CONV=2")</f>
        <v>95.726562558207306</v>
      </c>
      <c r="V34" s="21">
        <f ca="1">_xll.meLWOBondCleanPrice($M34,$C$4,$T34%)</f>
        <v>95.726562558207334</v>
      </c>
      <c r="W34" s="22">
        <f t="shared" ca="1" si="1"/>
        <v>2.8421709430404007E-14</v>
      </c>
      <c r="X34" s="21">
        <f ca="1">_xll.meLWOBondDV01($M34,$C$4,$T34%)</f>
        <v>296.41142544937043</v>
      </c>
      <c r="Y34" s="20">
        <f ca="1">_xll.BDP($B34,Y$6, "YLD_YTM_ASK="&amp;$T34,"YAS_YLD_CONV=3")*$Y$3*0.0001</f>
        <v>296.41143285459748</v>
      </c>
      <c r="Z34" s="22">
        <f t="shared" ca="1" si="2"/>
        <v>7.405227052004193E-6</v>
      </c>
      <c r="AA34" s="21">
        <f ca="1">_xll.meLWOBondDirtyPrice($M34,$C$4,$T34%)</f>
        <v>96.166779949511678</v>
      </c>
      <c r="AB34" s="21">
        <f ca="1">_xll.meLWOBondModifiedDuration($M34,$C$4,$T34%)</f>
        <v>3.0822642247664813</v>
      </c>
      <c r="AC34" s="20">
        <f ca="1">_xll.BDP($B34,AC$6,"YLD_YTM_ASK="&amp;$T34,"YAS_YLD_CONV=3")</f>
        <v>3.0822643017704849</v>
      </c>
      <c r="AD34" s="22">
        <f t="shared" ca="1" si="3"/>
        <v>7.7004003617986427E-8</v>
      </c>
      <c r="AE34" s="21">
        <f ca="1">_xll.meLWOBondDV01Numerical($M34,$C$4,$T34%,0.5,"CENTRAL")</f>
        <v>296.41142729985859</v>
      </c>
    </row>
    <row r="35" spans="2:31">
      <c r="B35" s="14" t="s">
        <v>245</v>
      </c>
      <c r="C35" s="14" t="s">
        <v>246</v>
      </c>
      <c r="D35" s="14" t="s">
        <v>246</v>
      </c>
      <c r="E35" s="15">
        <v>42766</v>
      </c>
      <c r="F35" s="18">
        <v>42766</v>
      </c>
      <c r="G35" s="17" t="str">
        <f t="shared" si="0"/>
        <v>EOM</v>
      </c>
      <c r="H35" s="15">
        <v>42947</v>
      </c>
      <c r="I35" s="15">
        <v>44408</v>
      </c>
      <c r="J35" s="15" t="s">
        <v>292</v>
      </c>
      <c r="K35" s="16">
        <v>1.8749999999999999E-2</v>
      </c>
      <c r="L35" s="15">
        <v>44592</v>
      </c>
      <c r="M35" s="19" t="str">
        <f ca="1">_xll.meLWOBondCreateFromGeneratorLVB(C35,$M$4,_xll.meUtilityLVBFromKeysValues($C$6:$L$6,C35:L35))</f>
        <v>US912828V723@1406:4</v>
      </c>
      <c r="N35" s="53">
        <f ca="1">_xll.BDP($B35,$N$5)</f>
        <v>2.9047529000000001</v>
      </c>
      <c r="O35" s="52">
        <f ca="1">_xll.meLWOBondCleanPrice($M35,$C$4,$N35%)</f>
        <v>96.867187381574169</v>
      </c>
      <c r="P35" s="52">
        <f ca="1">_xll.meLWOBondDirtyPrice($M35,$C$4,$N35%)</f>
        <v>97.417459120704606</v>
      </c>
      <c r="Q35" s="51">
        <f ca="1">_xll.meLWOBondYield($M35,$C$4,O35)</f>
        <v>2.9047529000001994E-2</v>
      </c>
      <c r="R35" s="52">
        <f ca="1">_xll.meLWOBondModifiedDuration($M35,$C$4,$N35%)</f>
        <v>3.0639374033002604</v>
      </c>
      <c r="S35" s="21">
        <f ca="1">_xll.meLWOBondDV01($M35,$C$4,$N35%)</f>
        <v>298.48099673440095</v>
      </c>
      <c r="T35" s="50">
        <f t="shared" ca="1" si="4"/>
        <v>2.9047529000000001</v>
      </c>
      <c r="U35" s="20">
        <f ca="1">_xll.BDP($B35,U$6, "YAS_BOND_YLD="&amp;$T35,"YAS_YLD_CONV=2")</f>
        <v>96.867187381574169</v>
      </c>
      <c r="V35" s="21">
        <f ca="1">_xll.meLWOBondCleanPrice($M35,$C$4,$T35%)</f>
        <v>96.867187381574169</v>
      </c>
      <c r="W35" s="22">
        <f t="shared" ca="1" si="1"/>
        <v>0</v>
      </c>
      <c r="X35" s="21">
        <f ca="1">_xll.meLWOBondDV01($M35,$C$4,$T35%)</f>
        <v>298.48099673440095</v>
      </c>
      <c r="Y35" s="20">
        <f ca="1">_xll.BDP($B35,Y$6, "YLD_YTM_ASK="&amp;$T35,"YAS_YLD_CONV=3")*$Y$3*0.0001</f>
        <v>298.48100417233076</v>
      </c>
      <c r="Z35" s="22">
        <f t="shared" ca="1" si="2"/>
        <v>7.437929809839261E-6</v>
      </c>
      <c r="AA35" s="21">
        <f ca="1">_xll.meLWOBondDirtyPrice($M35,$C$4,$T35%)</f>
        <v>97.417459120704606</v>
      </c>
      <c r="AB35" s="21">
        <f ca="1">_xll.meLWOBondModifiedDuration($M35,$C$4,$T35%)</f>
        <v>3.0639374033002604</v>
      </c>
      <c r="AC35" s="20">
        <f ca="1">_xll.BDP($B35,AC$6,"YLD_YTM_ASK="&amp;$T35,"YAS_YLD_CONV=3")</f>
        <v>3.0639374796513557</v>
      </c>
      <c r="AD35" s="22">
        <f t="shared" ca="1" si="3"/>
        <v>7.6351095223969878E-8</v>
      </c>
      <c r="AE35" s="21">
        <f ca="1">_xll.meLWOBondDV01Numerical($M35,$C$4,$T35%,0.5,"CENTRAL")</f>
        <v>298.48099859322025</v>
      </c>
    </row>
    <row r="36" spans="2:31">
      <c r="B36" s="14" t="s">
        <v>251</v>
      </c>
      <c r="C36" s="14" t="s">
        <v>252</v>
      </c>
      <c r="D36" s="14" t="s">
        <v>252</v>
      </c>
      <c r="E36" s="15">
        <v>40954</v>
      </c>
      <c r="F36" s="18">
        <v>40954</v>
      </c>
      <c r="G36" s="17" t="str">
        <f t="shared" si="0"/>
        <v/>
      </c>
      <c r="H36" s="15">
        <v>41136</v>
      </c>
      <c r="I36" s="15">
        <v>44423</v>
      </c>
      <c r="J36" s="15" t="s">
        <v>292</v>
      </c>
      <c r="K36" s="16">
        <v>0.02</v>
      </c>
      <c r="L36" s="15">
        <v>44607</v>
      </c>
      <c r="M36" s="19" t="str">
        <f ca="1">_xll.meLWOBondCreateFromGeneratorLVB(C36,$M$4,_xll.meUtilityLVBFromKeysValues($C$6:$L$6,C36:L36))</f>
        <v>US912828SF82@1405:4</v>
      </c>
      <c r="N36" s="53">
        <f ca="1">_xll.BDP($B36,$N$5)</f>
        <v>2.8979419000000002</v>
      </c>
      <c r="O36" s="52">
        <f ca="1">_xll.meLWOBondCleanPrice($M36,$C$4,$N36%)</f>
        <v>97.234375127223387</v>
      </c>
      <c r="P36" s="52">
        <f ca="1">_xll.meLWOBondDirtyPrice($M36,$C$4,$N36%)</f>
        <v>97.73980990983209</v>
      </c>
      <c r="Q36" s="51">
        <f ca="1">_xll.meLWOBondYield($M36,$C$4,O36)</f>
        <v>2.8979419000001578E-2</v>
      </c>
      <c r="R36" s="52">
        <f ca="1">_xll.meLWOBondModifiedDuration($M36,$C$4,$N36%)</f>
        <v>3.0982269216449101</v>
      </c>
      <c r="S36" s="21">
        <f ca="1">_xll.meLWOBondDV01($M36,$C$4,$N36%)</f>
        <v>302.82011037909774</v>
      </c>
      <c r="T36" s="50">
        <f t="shared" ca="1" si="4"/>
        <v>2.8979419000000002</v>
      </c>
      <c r="U36" s="20">
        <f ca="1">_xll.BDP($B36,U$6, "YAS_BOND_YLD="&amp;$T36,"YAS_YLD_CONV=2")</f>
        <v>97.234375127223359</v>
      </c>
      <c r="V36" s="21">
        <f ca="1">_xll.meLWOBondCleanPrice($M36,$C$4,$T36%)</f>
        <v>97.234375127223387</v>
      </c>
      <c r="W36" s="22">
        <f t="shared" ca="1" si="1"/>
        <v>2.8421709430404007E-14</v>
      </c>
      <c r="X36" s="21">
        <f ca="1">_xll.meLWOBondDV01($M36,$C$4,$T36%)</f>
        <v>302.82011037909774</v>
      </c>
      <c r="Y36" s="20">
        <f ca="1">_xll.BDP($B36,Y$6, "YLD_YTM_ASK="&amp;$T36,"YAS_YLD_CONV=3")*$Y$3*0.0001</f>
        <v>302.82011807443615</v>
      </c>
      <c r="Z36" s="22">
        <f t="shared" ca="1" si="2"/>
        <v>7.6953384109401668E-6</v>
      </c>
      <c r="AA36" s="21">
        <f ca="1">_xll.meLWOBondDirtyPrice($M36,$C$4,$T36%)</f>
        <v>97.73980990983209</v>
      </c>
      <c r="AB36" s="21">
        <f ca="1">_xll.meLWOBondModifiedDuration($M36,$C$4,$T36%)</f>
        <v>3.0982269216449101</v>
      </c>
      <c r="AC36" s="20">
        <f ca="1">_xll.BDP($B36,AC$6,"YLD_YTM_ASK="&amp;$T36,"YAS_YLD_CONV=3")</f>
        <v>3.0982270003778067</v>
      </c>
      <c r="AD36" s="22">
        <f t="shared" ca="1" si="3"/>
        <v>7.8732896646727113E-8</v>
      </c>
      <c r="AE36" s="21">
        <f ca="1">_xll.meLWOBondDV01Numerical($M36,$C$4,$T36%,0.5,"CENTRAL")</f>
        <v>302.82011230355016</v>
      </c>
    </row>
    <row r="37" spans="2:31">
      <c r="B37" s="14" t="s">
        <v>189</v>
      </c>
      <c r="C37" s="14" t="s">
        <v>190</v>
      </c>
      <c r="D37" s="14" t="s">
        <v>190</v>
      </c>
      <c r="E37" s="15">
        <v>42065</v>
      </c>
      <c r="F37" s="18">
        <v>42063</v>
      </c>
      <c r="G37" s="17" t="str">
        <f t="shared" si="0"/>
        <v>EOM</v>
      </c>
      <c r="H37" s="15">
        <v>42247</v>
      </c>
      <c r="I37" s="15">
        <v>44439</v>
      </c>
      <c r="J37" s="15" t="s">
        <v>292</v>
      </c>
      <c r="K37" s="16">
        <v>1.7500000000000002E-2</v>
      </c>
      <c r="L37" s="15">
        <v>44620</v>
      </c>
      <c r="M37" s="19" t="str">
        <f ca="1">_xll.meLWOBondCreateFromGeneratorLVB(C37,$M$4,_xll.meUtilityLVBFromKeysValues($C$6:$L$6,C37:L37))</f>
        <v>US912828J439@1404:4</v>
      </c>
      <c r="N37" s="53">
        <f ca="1">_xll.BDP($B37,$N$5)</f>
        <v>2.9036455000000001</v>
      </c>
      <c r="O37" s="52">
        <f ca="1">_xll.meLWOBondCleanPrice($M37,$C$4,$N37%)</f>
        <v>96.406250092370357</v>
      </c>
      <c r="P37" s="52">
        <f ca="1">_xll.meLWOBondDirtyPrice($M37,$C$4,$N37%)</f>
        <v>96.778487661431129</v>
      </c>
      <c r="Q37" s="51">
        <f ca="1">_xll.meLWOBondYield($M37,$C$4,O37)</f>
        <v>2.9036455000001894E-2</v>
      </c>
      <c r="R37" s="52">
        <f ca="1">_xll.meLWOBondModifiedDuration($M37,$C$4,$N37%)</f>
        <v>3.1496291839249557</v>
      </c>
      <c r="S37" s="21">
        <f ca="1">_xll.meLWOBondDV01($M37,$C$4,$N37%)</f>
        <v>304.81634911456473</v>
      </c>
      <c r="T37" s="50">
        <f t="shared" ca="1" si="4"/>
        <v>2.9036455000000001</v>
      </c>
      <c r="U37" s="20">
        <f ca="1">_xll.BDP($B37,U$6, "YAS_BOND_YLD="&amp;$T37,"YAS_YLD_CONV=2")</f>
        <v>96.406250092370357</v>
      </c>
      <c r="V37" s="21">
        <f ca="1">_xll.meLWOBondCleanPrice($M37,$C$4,$T37%)</f>
        <v>96.406250092370357</v>
      </c>
      <c r="W37" s="22">
        <f t="shared" ca="1" si="1"/>
        <v>0</v>
      </c>
      <c r="X37" s="21">
        <f ca="1">_xll.meLWOBondDV01($M37,$C$4,$T37%)</f>
        <v>304.81634911456473</v>
      </c>
      <c r="Y37" s="20">
        <f ca="1">_xll.BDP($B37,Y$6, "YLD_YTM_ASK="&amp;$T37,"YAS_YLD_CONV=3")*$Y$3*0.0001</f>
        <v>304.81635702876986</v>
      </c>
      <c r="Z37" s="22">
        <f t="shared" ca="1" si="2"/>
        <v>7.9142051276903658E-6</v>
      </c>
      <c r="AA37" s="21">
        <f ca="1">_xll.meLWOBondDirtyPrice($M37,$C$4,$T37%)</f>
        <v>96.778487661431129</v>
      </c>
      <c r="AB37" s="21">
        <f ca="1">_xll.meLWOBondModifiedDuration($M37,$C$4,$T37%)</f>
        <v>3.1496291839249557</v>
      </c>
      <c r="AC37" s="20">
        <f ca="1">_xll.BDP($B37,AC$6,"YLD_YTM_ASK="&amp;$T37,"YAS_YLD_CONV=3")</f>
        <v>3.1496292657014466</v>
      </c>
      <c r="AD37" s="22">
        <f t="shared" ca="1" si="3"/>
        <v>8.1776490912233157E-8</v>
      </c>
      <c r="AE37" s="21">
        <f ca="1">_xll.meLWOBondDV01Numerical($M37,$C$4,$T37%,0.5,"CENTRAL")</f>
        <v>304.81635109239846</v>
      </c>
    </row>
    <row r="38" spans="2:31">
      <c r="B38" s="14" t="s">
        <v>249</v>
      </c>
      <c r="C38" s="14" t="s">
        <v>250</v>
      </c>
      <c r="D38" s="14" t="s">
        <v>250</v>
      </c>
      <c r="E38" s="15">
        <v>42794</v>
      </c>
      <c r="F38" s="18">
        <v>42794</v>
      </c>
      <c r="G38" s="17" t="str">
        <f t="shared" si="0"/>
        <v>EOM</v>
      </c>
      <c r="H38" s="15">
        <v>42978</v>
      </c>
      <c r="I38" s="15">
        <v>44439</v>
      </c>
      <c r="J38" s="15" t="s">
        <v>292</v>
      </c>
      <c r="K38" s="16">
        <v>1.8749999999999999E-2</v>
      </c>
      <c r="L38" s="15">
        <v>44620</v>
      </c>
      <c r="M38" s="19" t="str">
        <f ca="1">_xll.meLWOBondCreateFromGeneratorLVB(C38,$M$4,_xll.meUtilityLVBFromKeysValues($C$6:$L$6,C38:L38))</f>
        <v>US912828W556@1403:4</v>
      </c>
      <c r="N38" s="53">
        <f ca="1">_xll.BDP($B38,$N$5)</f>
        <v>2.9057078999999999</v>
      </c>
      <c r="O38" s="52">
        <f ca="1">_xll.meLWOBondCleanPrice($M38,$C$4,$N38%)</f>
        <v>96.789062542036419</v>
      </c>
      <c r="P38" s="52">
        <f ca="1">_xll.meLWOBondDirtyPrice($M38,$C$4,$N38%)</f>
        <v>97.187888508887241</v>
      </c>
      <c r="Q38" s="51">
        <f ca="1">_xll.meLWOBondYield($M38,$C$4,O38)</f>
        <v>2.9057079000001873E-2</v>
      </c>
      <c r="R38" s="52">
        <f ca="1">_xll.meLWOBondModifiedDuration($M38,$C$4,$N38%)</f>
        <v>3.1435354830721116</v>
      </c>
      <c r="S38" s="21">
        <f ca="1">_xll.meLWOBondDV01($M38,$C$4,$N38%)</f>
        <v>305.51357605254339</v>
      </c>
      <c r="T38" s="50">
        <f t="shared" ca="1" si="4"/>
        <v>2.9057078999999999</v>
      </c>
      <c r="U38" s="20">
        <f ca="1">_xll.BDP($B38,U$6, "YAS_BOND_YLD="&amp;$T38,"YAS_YLD_CONV=2")</f>
        <v>96.789062542036433</v>
      </c>
      <c r="V38" s="21">
        <f ca="1">_xll.meLWOBondCleanPrice($M38,$C$4,$T38%)</f>
        <v>96.789062542036419</v>
      </c>
      <c r="W38" s="22">
        <f t="shared" ca="1" si="1"/>
        <v>1.4210854715202004E-14</v>
      </c>
      <c r="X38" s="21">
        <f ca="1">_xll.meLWOBondDV01($M38,$C$4,$T38%)</f>
        <v>305.51357605254339</v>
      </c>
      <c r="Y38" s="20">
        <f ca="1">_xll.BDP($B38,Y$6, "YLD_YTM_ASK="&amp;$T38,"YAS_YLD_CONV=3")*$Y$3*0.0001</f>
        <v>305.51358397794104</v>
      </c>
      <c r="Z38" s="22">
        <f t="shared" ca="1" si="2"/>
        <v>7.9253976537074777E-6</v>
      </c>
      <c r="AA38" s="21">
        <f ca="1">_xll.meLWOBondDirtyPrice($M38,$C$4,$T38%)</f>
        <v>97.187888508887241</v>
      </c>
      <c r="AB38" s="21">
        <f ca="1">_xll.meLWOBondModifiedDuration($M38,$C$4,$T38%)</f>
        <v>3.1435354830721116</v>
      </c>
      <c r="AC38" s="20">
        <f ca="1">_xll.BDP($B38,AC$6,"YLD_YTM_ASK="&amp;$T38,"YAS_YLD_CONV=3")</f>
        <v>3.1435355646192842</v>
      </c>
      <c r="AD38" s="22">
        <f t="shared" ca="1" si="3"/>
        <v>8.1547172570139992E-8</v>
      </c>
      <c r="AE38" s="21">
        <f ca="1">_xll.meLWOBondDV01Numerical($M38,$C$4,$T38%,0.5,"CENTRAL")</f>
        <v>305.51357803460638</v>
      </c>
    </row>
    <row r="39" spans="2:31">
      <c r="B39" s="14" t="s">
        <v>209</v>
      </c>
      <c r="C39" s="14" t="s">
        <v>210</v>
      </c>
      <c r="D39" s="14" t="s">
        <v>210</v>
      </c>
      <c r="E39" s="15">
        <v>42094</v>
      </c>
      <c r="F39" s="18">
        <v>42094</v>
      </c>
      <c r="G39" s="17" t="str">
        <f t="shared" ref="G39:G70" si="5">IF(DAY(L39+1)=1, "EOM","")</f>
        <v>EOM</v>
      </c>
      <c r="H39" s="15">
        <v>42277</v>
      </c>
      <c r="I39" s="15">
        <v>44469</v>
      </c>
      <c r="J39" s="15" t="s">
        <v>292</v>
      </c>
      <c r="K39" s="16">
        <v>1.7500000000000002E-2</v>
      </c>
      <c r="L39" s="15">
        <v>44651</v>
      </c>
      <c r="M39" s="19" t="str">
        <f ca="1">_xll.meLWOBondCreateFromGeneratorLVB(C39,$M$4,_xll.meUtilityLVBFromKeysValues($C$6:$L$6,C39:L39))</f>
        <v>US912828J769@1402:4</v>
      </c>
      <c r="N39" s="53">
        <f ca="1">_xll.BDP($B39,$N$5)</f>
        <v>2.9059239999999997</v>
      </c>
      <c r="O39" s="52">
        <f ca="1">_xll.meLWOBondCleanPrice($M39,$C$4,$N39%)</f>
        <v>96.312499912265608</v>
      </c>
      <c r="P39" s="52">
        <f ca="1">_xll.meLWOBondDirtyPrice($M39,$C$4,$N39%)</f>
        <v>96.538461450727141</v>
      </c>
      <c r="Q39" s="51">
        <f ca="1">_xll.meLWOBondYield($M39,$C$4,O39)</f>
        <v>2.905924000000271E-2</v>
      </c>
      <c r="R39" s="52">
        <f ca="1">_xll.meLWOBondModifiedDuration($M39,$C$4,$N39%)</f>
        <v>3.2319787797942792</v>
      </c>
      <c r="S39" s="21">
        <f ca="1">_xll.meLWOBondDV01($M39,$C$4,$N39%)</f>
        <v>312.01025884273815</v>
      </c>
      <c r="T39" s="50">
        <f t="shared" ca="1" si="4"/>
        <v>2.9059239999999997</v>
      </c>
      <c r="U39" s="20">
        <f ca="1">_xll.BDP($B39,U$6, "YAS_BOND_YLD="&amp;$T39,"YAS_YLD_CONV=2")</f>
        <v>96.312499912265622</v>
      </c>
      <c r="V39" s="21">
        <f ca="1">_xll.meLWOBondCleanPrice($M39,$C$4,$T39%)</f>
        <v>96.312499912265608</v>
      </c>
      <c r="W39" s="22">
        <f t="shared" ref="W39:W70" ca="1" si="6">ABS(V39-U39)</f>
        <v>1.4210854715202004E-14</v>
      </c>
      <c r="X39" s="21">
        <f ca="1">_xll.meLWOBondDV01($M39,$C$4,$T39%)</f>
        <v>312.01025884273815</v>
      </c>
      <c r="Y39" s="20">
        <f ca="1">_xll.BDP($B39,Y$6, "YLD_YTM_ASK="&amp;$T39,"YAS_YLD_CONV=3")*$Y$3*0.0001</f>
        <v>312.01026728091114</v>
      </c>
      <c r="Z39" s="22">
        <f t="shared" ref="Z39:Z70" ca="1" si="7">ABS(Y39-X39)</f>
        <v>8.4381729834603902E-6</v>
      </c>
      <c r="AA39" s="21">
        <f ca="1">_xll.meLWOBondDirtyPrice($M39,$C$4,$T39%)</f>
        <v>96.538461450727141</v>
      </c>
      <c r="AB39" s="21">
        <f ca="1">_xll.meLWOBondModifiedDuration($M39,$C$4,$T39%)</f>
        <v>3.2319787797942792</v>
      </c>
      <c r="AC39" s="20">
        <f ca="1">_xll.BDP($B39,AC$6,"YLD_YTM_ASK="&amp;$T39,"YAS_YLD_CONV=3")</f>
        <v>3.2319788672016476</v>
      </c>
      <c r="AD39" s="22">
        <f t="shared" ref="AD39:AD70" ca="1" si="8">ABS(AC39-AB39)</f>
        <v>8.74073684542509E-8</v>
      </c>
      <c r="AE39" s="21">
        <f ca="1">_xll.meLWOBondDV01Numerical($M39,$C$4,$T39%,0.5,"CENTRAL")</f>
        <v>312.01026095160955</v>
      </c>
    </row>
    <row r="40" spans="2:31">
      <c r="B40" s="14" t="s">
        <v>265</v>
      </c>
      <c r="C40" s="14" t="s">
        <v>266</v>
      </c>
      <c r="D40" s="14" t="s">
        <v>266</v>
      </c>
      <c r="E40" s="15">
        <v>42124</v>
      </c>
      <c r="F40" s="18">
        <v>42124</v>
      </c>
      <c r="G40" s="17" t="str">
        <f t="shared" si="5"/>
        <v>EOM</v>
      </c>
      <c r="H40" s="15">
        <v>42308</v>
      </c>
      <c r="I40" s="15">
        <v>44500</v>
      </c>
      <c r="J40" s="15" t="s">
        <v>292</v>
      </c>
      <c r="K40" s="16">
        <v>1.7500000000000002E-2</v>
      </c>
      <c r="L40" s="15">
        <v>44681</v>
      </c>
      <c r="M40" s="19" t="str">
        <f ca="1">_xll.meLWOBondCreateFromGeneratorLVB(C40,$M$4,_xll.meUtilityLVBFromKeysValues($C$6:$L$6,C40:L40))</f>
        <v>US912828WZ90@1401:4</v>
      </c>
      <c r="N40" s="53">
        <f ca="1">_xll.BDP($B40,$N$5)</f>
        <v>2.9102915999999999</v>
      </c>
      <c r="O40" s="52">
        <f ca="1">_xll.meLWOBondCleanPrice($M40,$C$4,$N40%)</f>
        <v>96.210937563905333</v>
      </c>
      <c r="P40" s="52">
        <f ca="1">_xll.meLWOBondDirtyPrice($M40,$C$4,$N40%)</f>
        <v>96.288285630203674</v>
      </c>
      <c r="Q40" s="51">
        <f ca="1">_xll.meLWOBondYield($M40,$C$4,O40)</f>
        <v>2.9102916000002369E-2</v>
      </c>
      <c r="R40" s="52">
        <f ca="1">_xll.meLWOBondModifiedDuration($M40,$C$4,$N40%)</f>
        <v>3.3156050248133782</v>
      </c>
      <c r="S40" s="21">
        <f ca="1">_xll.meLWOBondDV01($M40,$C$4,$N40%)</f>
        <v>319.2539236661691</v>
      </c>
      <c r="T40" s="50">
        <f t="shared" ca="1" si="4"/>
        <v>2.9102915999999999</v>
      </c>
      <c r="U40" s="20">
        <f ca="1">_xll.BDP($B40,U$6, "YAS_BOND_YLD="&amp;$T40,"YAS_YLD_CONV=2")</f>
        <v>96.210937563905347</v>
      </c>
      <c r="V40" s="21">
        <f ca="1">_xll.meLWOBondCleanPrice($M40,$C$4,$T40%)</f>
        <v>96.210937563905333</v>
      </c>
      <c r="W40" s="22">
        <f t="shared" ca="1" si="6"/>
        <v>1.4210854715202004E-14</v>
      </c>
      <c r="X40" s="21">
        <f ca="1">_xll.meLWOBondDV01($M40,$C$4,$T40%)</f>
        <v>319.2539236661691</v>
      </c>
      <c r="Y40" s="20">
        <f ca="1">_xll.BDP($B40,Y$6, "YLD_YTM_ASK="&amp;$T40,"YAS_YLD_CONV=3")*$Y$3*0.0001</f>
        <v>319.25393265808566</v>
      </c>
      <c r="Z40" s="22">
        <f t="shared" ca="1" si="7"/>
        <v>8.9919165588980832E-6</v>
      </c>
      <c r="AA40" s="21">
        <f ca="1">_xll.meLWOBondDirtyPrice($M40,$C$4,$T40%)</f>
        <v>96.288285630203674</v>
      </c>
      <c r="AB40" s="21">
        <f ca="1">_xll.meLWOBondModifiedDuration($M40,$C$4,$T40%)</f>
        <v>3.3156050248133782</v>
      </c>
      <c r="AC40" s="20">
        <f ca="1">_xll.BDP($B40,AC$6,"YLD_YTM_ASK="&amp;$T40,"YAS_YLD_CONV=3")</f>
        <v>3.3156051181987429</v>
      </c>
      <c r="AD40" s="22">
        <f t="shared" ca="1" si="8"/>
        <v>9.3385364774434265E-8</v>
      </c>
      <c r="AE40" s="21">
        <f ca="1">_xll.meLWOBondDV01Numerical($M40,$C$4,$T40%,0.5,"CENTRAL")</f>
        <v>319.25392591475094</v>
      </c>
    </row>
    <row r="41" spans="2:31">
      <c r="B41" s="14" t="s">
        <v>173</v>
      </c>
      <c r="C41" s="14" t="s">
        <v>174</v>
      </c>
      <c r="D41" s="14" t="s">
        <v>174</v>
      </c>
      <c r="E41" s="15">
        <v>41044</v>
      </c>
      <c r="F41" s="18">
        <v>41044</v>
      </c>
      <c r="G41" s="17" t="str">
        <f t="shared" si="5"/>
        <v/>
      </c>
      <c r="H41" s="15">
        <v>41228</v>
      </c>
      <c r="I41" s="15">
        <v>44515</v>
      </c>
      <c r="J41" s="15" t="s">
        <v>292</v>
      </c>
      <c r="K41" s="16">
        <v>1.7500000000000002E-2</v>
      </c>
      <c r="L41" s="15">
        <v>44696</v>
      </c>
      <c r="M41" s="19" t="str">
        <f ca="1">_xll.meLWOBondCreateFromGeneratorLVB(C41,$M$4,_xll.meUtilityLVBFromKeysValues($C$6:$L$6,C41:L41))</f>
        <v>US912828SV33@1400:4</v>
      </c>
      <c r="N41" s="53">
        <f ca="1">_xll.BDP($B41,$N$5)</f>
        <v>2.9091658000000002</v>
      </c>
      <c r="O41" s="52">
        <f ca="1">_xll.meLWOBondCleanPrice($M41,$C$4,$N41%)</f>
        <v>96.171875084032834</v>
      </c>
      <c r="P41" s="52">
        <f ca="1">_xll.meLWOBondDirtyPrice($M41,$C$4,$N41%)</f>
        <v>96.176709338176479</v>
      </c>
      <c r="Q41" s="51">
        <f ca="1">_xll.meLWOBondYield($M41,$C$4,O41)</f>
        <v>2.909165800000239E-2</v>
      </c>
      <c r="R41" s="52">
        <f ca="1">_xll.meLWOBondModifiedDuration($M41,$C$4,$N41%)</f>
        <v>3.356467901153771</v>
      </c>
      <c r="S41" s="21">
        <f ca="1">_xll.meLWOBondDV01($M41,$C$4,$N41%)</f>
        <v>322.81403773218551</v>
      </c>
      <c r="T41" s="50">
        <f t="shared" ca="1" si="4"/>
        <v>2.9091658000000002</v>
      </c>
      <c r="U41" s="20">
        <f ca="1">_xll.BDP($B41,U$6, "YAS_BOND_YLD="&amp;$T41,"YAS_YLD_CONV=2")</f>
        <v>96.171875084032848</v>
      </c>
      <c r="V41" s="21">
        <f ca="1">_xll.meLWOBondCleanPrice($M41,$C$4,$T41%)</f>
        <v>96.171875084032834</v>
      </c>
      <c r="W41" s="22">
        <f t="shared" ca="1" si="6"/>
        <v>1.4210854715202004E-14</v>
      </c>
      <c r="X41" s="21">
        <f ca="1">_xll.meLWOBondDV01($M41,$C$4,$T41%)</f>
        <v>322.81403773218551</v>
      </c>
      <c r="Y41" s="20">
        <f ca="1">_xll.BDP($B41,Y$6, "YLD_YTM_ASK="&amp;$T41,"YAS_YLD_CONV=3")*$Y$3*0.0001</f>
        <v>322.81404700370331</v>
      </c>
      <c r="Z41" s="22">
        <f t="shared" ca="1" si="7"/>
        <v>9.271517797060369E-6</v>
      </c>
      <c r="AA41" s="21">
        <f ca="1">_xll.meLWOBondDirtyPrice($M41,$C$4,$T41%)</f>
        <v>96.176709338176479</v>
      </c>
      <c r="AB41" s="21">
        <f ca="1">_xll.meLWOBondModifiedDuration($M41,$C$4,$T41%)</f>
        <v>3.356467901153771</v>
      </c>
      <c r="AC41" s="20">
        <f ca="1">_xll.BDP($B41,AC$6,"YLD_YTM_ASK="&amp;$T41,"YAS_YLD_CONV=3")</f>
        <v>3.3564679975546339</v>
      </c>
      <c r="AD41" s="22">
        <f t="shared" ca="1" si="8"/>
        <v>9.6400862847900726E-8</v>
      </c>
      <c r="AE41" s="21">
        <f ca="1">_xll.meLWOBondDV01Numerical($M41,$C$4,$T41%,0.5,"CENTRAL")</f>
        <v>322.81404004933734</v>
      </c>
    </row>
    <row r="42" spans="2:31">
      <c r="B42" s="14" t="s">
        <v>229</v>
      </c>
      <c r="C42" s="14" t="s">
        <v>230</v>
      </c>
      <c r="D42" s="14" t="s">
        <v>230</v>
      </c>
      <c r="E42" s="15">
        <v>42156</v>
      </c>
      <c r="F42" s="18">
        <v>42155</v>
      </c>
      <c r="G42" s="17" t="str">
        <f t="shared" si="5"/>
        <v>EOM</v>
      </c>
      <c r="H42" s="15">
        <v>42338</v>
      </c>
      <c r="I42" s="15">
        <v>44530</v>
      </c>
      <c r="J42" s="15" t="s">
        <v>292</v>
      </c>
      <c r="K42" s="16">
        <v>1.8749999999999999E-2</v>
      </c>
      <c r="L42" s="15">
        <v>44712</v>
      </c>
      <c r="M42" s="19" t="str">
        <f ca="1">_xll.meLWOBondCreateFromGeneratorLVB(C42,$M$4,_xll.meUtilityLVBFromKeysValues($C$6:$L$6,C42:L42))</f>
        <v>US912828XD79@1399:4</v>
      </c>
      <c r="N42" s="53">
        <f ca="1">_xll.BDP($B42,$N$5)</f>
        <v>2.9113462000000001</v>
      </c>
      <c r="O42" s="52">
        <f ca="1">_xll.meLWOBondCleanPrice($M42,$C$4,$N42%)</f>
        <v>96.53906244077352</v>
      </c>
      <c r="P42" s="52">
        <f ca="1">_xll.meLWOBondDirtyPrice($M42,$C$4,$N42%)</f>
        <v>97.404841129298106</v>
      </c>
      <c r="Q42" s="51">
        <f ca="1">_xll.meLWOBondYield($M42,$C$4,O42)</f>
        <v>2.9113462000002591E-2</v>
      </c>
      <c r="R42" s="52">
        <f ca="1">_xll.meLWOBondModifiedDuration($M42,$C$4,$N42%)</f>
        <v>3.3585576520587592</v>
      </c>
      <c r="S42" s="21">
        <f ca="1">_xll.meLWOBondDV01($M42,$C$4,$N42%)</f>
        <v>327.13977452237191</v>
      </c>
      <c r="T42" s="50">
        <f t="shared" ca="1" si="4"/>
        <v>2.9113462000000001</v>
      </c>
      <c r="U42" s="20">
        <f ca="1">_xll.BDP($B42,U$6, "YAS_BOND_YLD="&amp;$T42,"YAS_YLD_CONV=2")</f>
        <v>96.53906244077352</v>
      </c>
      <c r="V42" s="21">
        <f ca="1">_xll.meLWOBondCleanPrice($M42,$C$4,$T42%)</f>
        <v>96.53906244077352</v>
      </c>
      <c r="W42" s="22">
        <f t="shared" ca="1" si="6"/>
        <v>0</v>
      </c>
      <c r="X42" s="21">
        <f ca="1">_xll.meLWOBondDV01($M42,$C$4,$T42%)</f>
        <v>327.13977452237191</v>
      </c>
      <c r="Y42" s="20">
        <f ca="1">_xll.BDP($B42,Y$6, "YLD_YTM_ASK="&amp;$T42,"YAS_YLD_CONV=3")*$Y$3*0.0001</f>
        <v>327.13978408956734</v>
      </c>
      <c r="Z42" s="22">
        <f t="shared" ca="1" si="7"/>
        <v>9.5671954341014498E-6</v>
      </c>
      <c r="AA42" s="21">
        <f ca="1">_xll.meLWOBondDirtyPrice($M42,$C$4,$T42%)</f>
        <v>97.404841129298106</v>
      </c>
      <c r="AB42" s="21">
        <f ca="1">_xll.meLWOBondModifiedDuration($M42,$C$4,$T42%)</f>
        <v>3.3585576520587592</v>
      </c>
      <c r="AC42" s="20">
        <f ca="1">_xll.BDP($B42,AC$6,"YLD_YTM_ASK="&amp;$T42,"YAS_YLD_CONV=3")</f>
        <v>3.3585577502797022</v>
      </c>
      <c r="AD42" s="22">
        <f t="shared" ca="1" si="8"/>
        <v>9.8220942934545974E-8</v>
      </c>
      <c r="AE42" s="21">
        <f ca="1">_xll.meLWOBondDV01Numerical($M42,$C$4,$T42%,0.5,"CENTRAL")</f>
        <v>327.13977691500423</v>
      </c>
    </row>
    <row r="43" spans="2:31">
      <c r="B43" s="14" t="s">
        <v>241</v>
      </c>
      <c r="C43" s="14" t="s">
        <v>242</v>
      </c>
      <c r="D43" s="14" t="s">
        <v>242</v>
      </c>
      <c r="E43" s="15">
        <v>42185</v>
      </c>
      <c r="F43" s="18">
        <v>42185</v>
      </c>
      <c r="G43" s="17" t="str">
        <f t="shared" si="5"/>
        <v>EOM</v>
      </c>
      <c r="H43" s="15">
        <v>42369</v>
      </c>
      <c r="I43" s="15">
        <v>44561</v>
      </c>
      <c r="J43" s="15" t="s">
        <v>292</v>
      </c>
      <c r="K43" s="16">
        <v>2.1250000000000002E-2</v>
      </c>
      <c r="L43" s="15">
        <v>44742</v>
      </c>
      <c r="M43" s="19" t="str">
        <f ca="1">_xll.meLWOBondCreateFromGeneratorLVB(C43,$M$4,_xll.meUtilityLVBFromKeysValues($C$6:$L$6,C43:L43))</f>
        <v>US912828XG01@1398:4</v>
      </c>
      <c r="N43" s="53">
        <f ca="1">_xll.BDP($B43,$N$5)</f>
        <v>2.9140407000000002</v>
      </c>
      <c r="O43" s="52">
        <f ca="1">_xll.meLWOBondCleanPrice($M43,$C$4,$N43%)</f>
        <v>97.304687352178064</v>
      </c>
      <c r="P43" s="52">
        <f ca="1">_xll.meLWOBondDirtyPrice($M43,$C$4,$N43%)</f>
        <v>98.107336808699799</v>
      </c>
      <c r="Q43" s="51">
        <f ca="1">_xll.meLWOBondYield($M43,$C$4,O43)</f>
        <v>2.9140407000001103E-2</v>
      </c>
      <c r="R43" s="52">
        <f ca="1">_xll.meLWOBondModifiedDuration($M43,$C$4,$N43%)</f>
        <v>3.4255498511765246</v>
      </c>
      <c r="S43" s="21">
        <f ca="1">_xll.meLWOBondDV01($M43,$C$4,$N43%)</f>
        <v>336.07157300436677</v>
      </c>
      <c r="T43" s="50">
        <f t="shared" ca="1" si="4"/>
        <v>2.9140407000000002</v>
      </c>
      <c r="U43" s="20">
        <f ca="1">_xll.BDP($B43,U$6, "YAS_BOND_YLD="&amp;$T43,"YAS_YLD_CONV=2")</f>
        <v>97.304687352178078</v>
      </c>
      <c r="V43" s="21">
        <f ca="1">_xll.meLWOBondCleanPrice($M43,$C$4,$T43%)</f>
        <v>97.304687352178064</v>
      </c>
      <c r="W43" s="22">
        <f t="shared" ca="1" si="6"/>
        <v>1.4210854715202004E-14</v>
      </c>
      <c r="X43" s="21">
        <f ca="1">_xll.meLWOBondDV01($M43,$C$4,$T43%)</f>
        <v>336.07157300436677</v>
      </c>
      <c r="Y43" s="20">
        <f ca="1">_xll.BDP($B43,Y$6, "YLD_YTM_ASK="&amp;$T43,"YAS_YLD_CONV=3")*$Y$3*0.0001</f>
        <v>336.07158319838959</v>
      </c>
      <c r="Z43" s="22">
        <f t="shared" ca="1" si="7"/>
        <v>1.0194022820542159E-5</v>
      </c>
      <c r="AA43" s="21">
        <f ca="1">_xll.meLWOBondDirtyPrice($M43,$C$4,$T43%)</f>
        <v>98.107336808699799</v>
      </c>
      <c r="AB43" s="21">
        <f ca="1">_xll.meLWOBondModifiedDuration($M43,$C$4,$T43%)</f>
        <v>3.4255498511765246</v>
      </c>
      <c r="AC43" s="20">
        <f ca="1">_xll.BDP($B43,AC$6,"YLD_YTM_ASK="&amp;$T43,"YAS_YLD_CONV=3")</f>
        <v>3.4255499550833597</v>
      </c>
      <c r="AD43" s="22">
        <f t="shared" ca="1" si="8"/>
        <v>1.0390683513605836E-7</v>
      </c>
      <c r="AE43" s="21">
        <f ca="1">_xll.meLWOBondDV01Numerical($M43,$C$4,$T43%,0.5,"CENTRAL")</f>
        <v>336.0715755536603</v>
      </c>
    </row>
    <row r="44" spans="2:31">
      <c r="B44" s="14" t="s">
        <v>269</v>
      </c>
      <c r="C44" s="14" t="s">
        <v>270</v>
      </c>
      <c r="D44" s="14" t="s">
        <v>270</v>
      </c>
      <c r="E44" s="15">
        <v>42216</v>
      </c>
      <c r="F44" s="18">
        <v>42216</v>
      </c>
      <c r="G44" s="17" t="str">
        <f t="shared" si="5"/>
        <v>EOM</v>
      </c>
      <c r="H44" s="15">
        <v>42400</v>
      </c>
      <c r="I44" s="15">
        <v>44592</v>
      </c>
      <c r="J44" s="15" t="s">
        <v>292</v>
      </c>
      <c r="K44" s="16">
        <v>0.02</v>
      </c>
      <c r="L44" s="15">
        <v>44773</v>
      </c>
      <c r="M44" s="19" t="str">
        <f ca="1">_xll.meLWOBondCreateFromGeneratorLVB(C44,$M$4,_xll.meUtilityLVBFromKeysValues($C$6:$L$6,C44:L44))</f>
        <v>US912828XQ82@1397:4</v>
      </c>
      <c r="N44" s="53">
        <f ca="1">_xll.BDP($B44,$N$5)</f>
        <v>2.9152515999999999</v>
      </c>
      <c r="O44" s="52">
        <f ca="1">_xll.meLWOBondCleanPrice($M44,$C$4,$N44%)</f>
        <v>96.804687360571705</v>
      </c>
      <c r="P44" s="52">
        <f ca="1">_xll.meLWOBondDirtyPrice($M44,$C$4,$N44%)</f>
        <v>97.391643882310831</v>
      </c>
      <c r="Q44" s="51">
        <f ca="1">_xll.meLWOBondYield($M44,$C$4,O44)</f>
        <v>2.9152516000001648E-2</v>
      </c>
      <c r="R44" s="52">
        <f ca="1">_xll.meLWOBondModifiedDuration($M44,$C$4,$N44%)</f>
        <v>3.5164057994394144</v>
      </c>
      <c r="S44" s="21">
        <f ca="1">_xll.meLWOBondDV01($M44,$C$4,$N44%)</f>
        <v>342.46854136469597</v>
      </c>
      <c r="T44" s="50">
        <f t="shared" ca="1" si="4"/>
        <v>2.9152515999999999</v>
      </c>
      <c r="U44" s="20">
        <f ca="1">_xll.BDP($B44,U$6, "YAS_BOND_YLD="&amp;$T44,"YAS_YLD_CONV=2")</f>
        <v>96.804687360571691</v>
      </c>
      <c r="V44" s="21">
        <f ca="1">_xll.meLWOBondCleanPrice($M44,$C$4,$T44%)</f>
        <v>96.804687360571705</v>
      </c>
      <c r="W44" s="22">
        <f t="shared" ca="1" si="6"/>
        <v>1.4210854715202004E-14</v>
      </c>
      <c r="X44" s="21">
        <f ca="1">_xll.meLWOBondDV01($M44,$C$4,$T44%)</f>
        <v>342.46854136469597</v>
      </c>
      <c r="Y44" s="20">
        <f ca="1">_xll.BDP($B44,Y$6, "YLD_YTM_ASK="&amp;$T44,"YAS_YLD_CONV=3")*$Y$3*0.0001</f>
        <v>342.4685521633109</v>
      </c>
      <c r="Z44" s="22">
        <f t="shared" ca="1" si="7"/>
        <v>1.0798614937357343E-5</v>
      </c>
      <c r="AA44" s="21">
        <f ca="1">_xll.meLWOBondDirtyPrice($M44,$C$4,$T44%)</f>
        <v>97.391643882310831</v>
      </c>
      <c r="AB44" s="21">
        <f ca="1">_xll.meLWOBondModifiedDuration($M44,$C$4,$T44%)</f>
        <v>3.5164057994394144</v>
      </c>
      <c r="AC44" s="20">
        <f ca="1">_xll.BDP($B44,AC$6,"YLD_YTM_ASK="&amp;$T44,"YAS_YLD_CONV=3")</f>
        <v>3.5164059103176637</v>
      </c>
      <c r="AD44" s="22">
        <f t="shared" ca="1" si="8"/>
        <v>1.108782492487137E-7</v>
      </c>
      <c r="AE44" s="21">
        <f ca="1">_xll.meLWOBondDV01Numerical($M44,$C$4,$T44%,0.5,"CENTRAL")</f>
        <v>342.46854406347893</v>
      </c>
    </row>
    <row r="45" spans="2:31">
      <c r="B45" s="14" t="s">
        <v>137</v>
      </c>
      <c r="C45" s="14" t="s">
        <v>138</v>
      </c>
      <c r="D45" s="14" t="s">
        <v>138</v>
      </c>
      <c r="E45" s="15">
        <v>41136</v>
      </c>
      <c r="F45" s="18">
        <v>41136</v>
      </c>
      <c r="G45" s="17" t="str">
        <f t="shared" si="5"/>
        <v/>
      </c>
      <c r="H45" s="15">
        <v>41320</v>
      </c>
      <c r="I45" s="15">
        <v>44607</v>
      </c>
      <c r="J45" s="15" t="s">
        <v>292</v>
      </c>
      <c r="K45" s="16">
        <v>1.6250000000000001E-2</v>
      </c>
      <c r="L45" s="15">
        <v>44788</v>
      </c>
      <c r="M45" s="19" t="str">
        <f ca="1">_xll.meLWOBondCreateFromGeneratorLVB(C45,$M$4,_xll.meUtilityLVBFromKeysValues($C$6:$L$6,C45:L45))</f>
        <v>US912828TJ95@1396:4</v>
      </c>
      <c r="N45" s="53">
        <f ca="1">_xll.BDP($B45,$N$5)</f>
        <v>2.9187840999999999</v>
      </c>
      <c r="O45" s="52">
        <f ca="1">_xll.meLWOBondCleanPrice($M45,$C$4,$N45%)</f>
        <v>95.437499926494382</v>
      </c>
      <c r="P45" s="52">
        <f ca="1">_xll.meLWOBondDirtyPrice($M45,$C$4,$N45%)</f>
        <v>95.848165687363945</v>
      </c>
      <c r="Q45" s="51">
        <f ca="1">_xll.meLWOBondYield($M45,$C$4,O45)</f>
        <v>2.9187841000003645E-2</v>
      </c>
      <c r="R45" s="52">
        <f ca="1">_xll.meLWOBondModifiedDuration($M45,$C$4,$N45%)</f>
        <v>3.5805282025642846</v>
      </c>
      <c r="S45" s="21">
        <f ca="1">_xll.meLWOBondDV01($M45,$C$4,$N45%)</f>
        <v>343.18706040766097</v>
      </c>
      <c r="T45" s="50">
        <f t="shared" ca="1" si="4"/>
        <v>2.9187840999999999</v>
      </c>
      <c r="U45" s="20">
        <f ca="1">_xll.BDP($B45,U$6, "YAS_BOND_YLD="&amp;$T45,"YAS_YLD_CONV=2")</f>
        <v>95.437499926494411</v>
      </c>
      <c r="V45" s="21">
        <f ca="1">_xll.meLWOBondCleanPrice($M45,$C$4,$T45%)</f>
        <v>95.437499926494382</v>
      </c>
      <c r="W45" s="22">
        <f t="shared" ca="1" si="6"/>
        <v>2.8421709430404007E-14</v>
      </c>
      <c r="X45" s="21">
        <f ca="1">_xll.meLWOBondDV01($M45,$C$4,$T45%)</f>
        <v>343.18706040766097</v>
      </c>
      <c r="Y45" s="20">
        <f ca="1">_xll.BDP($B45,Y$6, "YLD_YTM_ASK="&amp;$T45,"YAS_YLD_CONV=3")*$Y$3*0.0001</f>
        <v>343.18707145928335</v>
      </c>
      <c r="Z45" s="22">
        <f t="shared" ca="1" si="7"/>
        <v>1.1051622379909531E-5</v>
      </c>
      <c r="AA45" s="21">
        <f ca="1">_xll.meLWOBondDirtyPrice($M45,$C$4,$T45%)</f>
        <v>95.848165687363945</v>
      </c>
      <c r="AB45" s="21">
        <f ca="1">_xll.meLWOBondModifiedDuration($M45,$C$4,$T45%)</f>
        <v>3.5805282025642846</v>
      </c>
      <c r="AC45" s="20">
        <f ca="1">_xll.BDP($B45,AC$6,"YLD_YTM_ASK="&amp;$T45,"YAS_YLD_CONV=3")</f>
        <v>3.5805283178677132</v>
      </c>
      <c r="AD45" s="22">
        <f t="shared" ca="1" si="8"/>
        <v>1.1530342858279141E-7</v>
      </c>
      <c r="AE45" s="21">
        <f ca="1">_xll.meLWOBondDV01Numerical($M45,$C$4,$T45%,0.5,"CENTRAL")</f>
        <v>343.18706317094438</v>
      </c>
    </row>
    <row r="46" spans="2:31">
      <c r="B46" s="14" t="s">
        <v>201</v>
      </c>
      <c r="C46" s="14" t="s">
        <v>202</v>
      </c>
      <c r="D46" s="14" t="s">
        <v>202</v>
      </c>
      <c r="E46" s="15">
        <v>42247</v>
      </c>
      <c r="F46" s="18">
        <v>42247</v>
      </c>
      <c r="G46" s="17" t="str">
        <f t="shared" si="5"/>
        <v>EOM</v>
      </c>
      <c r="H46" s="15">
        <v>42429</v>
      </c>
      <c r="I46" s="15">
        <v>44620</v>
      </c>
      <c r="J46" s="15" t="s">
        <v>292</v>
      </c>
      <c r="K46" s="16">
        <v>1.8749999999999999E-2</v>
      </c>
      <c r="L46" s="15">
        <v>44804</v>
      </c>
      <c r="M46" s="19" t="str">
        <f ca="1">_xll.meLWOBondCreateFromGeneratorLVB(C46,$M$4,_xll.meUtilityLVBFromKeysValues($C$6:$L$6,C46:L46))</f>
        <v>US912828L245@1395:4</v>
      </c>
      <c r="N46" s="53">
        <f ca="1">_xll.BDP($B46,$N$5)</f>
        <v>2.9255762000000001</v>
      </c>
      <c r="O46" s="52">
        <f ca="1">_xll.meLWOBondCleanPrice($M46,$C$4,$N46%)</f>
        <v>96.257812335724921</v>
      </c>
      <c r="P46" s="52">
        <f ca="1">_xll.meLWOBondDirtyPrice($M46,$C$4,$N46%)</f>
        <v>96.656638302575743</v>
      </c>
      <c r="Q46" s="51">
        <f ca="1">_xll.meLWOBondYield($M46,$C$4,O46)</f>
        <v>2.9255762000003092E-2</v>
      </c>
      <c r="R46" s="52">
        <f ca="1">_xll.meLWOBondModifiedDuration($M46,$C$4,$N46%)</f>
        <v>3.6037299241302332</v>
      </c>
      <c r="S46" s="21">
        <f ca="1">_xll.meLWOBondDV01($M46,$C$4,$N46%)</f>
        <v>348.32441981682467</v>
      </c>
      <c r="T46" s="50">
        <f t="shared" ca="1" si="4"/>
        <v>2.9255762000000001</v>
      </c>
      <c r="U46" s="20">
        <f ca="1">_xll.BDP($B46,U$6, "YAS_BOND_YLD="&amp;$T46,"YAS_YLD_CONV=2")</f>
        <v>96.257812335724935</v>
      </c>
      <c r="V46" s="21">
        <f ca="1">_xll.meLWOBondCleanPrice($M46,$C$4,$T46%)</f>
        <v>96.257812335724921</v>
      </c>
      <c r="W46" s="22">
        <f t="shared" ca="1" si="6"/>
        <v>1.4210854715202004E-14</v>
      </c>
      <c r="X46" s="21">
        <f ca="1">_xll.meLWOBondDV01($M46,$C$4,$T46%)</f>
        <v>348.32441981682467</v>
      </c>
      <c r="Y46" s="20">
        <f ca="1">_xll.BDP($B46,Y$6, "YLD_YTM_ASK="&amp;$T46,"YAS_YLD_CONV=3")*$Y$3*0.0001</f>
        <v>348.32443120876638</v>
      </c>
      <c r="Z46" s="22">
        <f t="shared" ca="1" si="7"/>
        <v>1.1391941711735853E-5</v>
      </c>
      <c r="AA46" s="21">
        <f ca="1">_xll.meLWOBondDirtyPrice($M46,$C$4,$T46%)</f>
        <v>96.656638302575743</v>
      </c>
      <c r="AB46" s="21">
        <f ca="1">_xll.meLWOBondModifiedDuration($M46,$C$4,$T46%)</f>
        <v>3.6037299241302332</v>
      </c>
      <c r="AC46" s="20">
        <f ca="1">_xll.BDP($B46,AC$6,"YLD_YTM_ASK="&amp;$T46,"YAS_YLD_CONV=3")</f>
        <v>3.6037300419901319</v>
      </c>
      <c r="AD46" s="22">
        <f t="shared" ca="1" si="8"/>
        <v>1.1785989872947766E-7</v>
      </c>
      <c r="AE46" s="21">
        <f ca="1">_xll.meLWOBondDV01Numerical($M46,$C$4,$T46%,0.5,"CENTRAL")</f>
        <v>348.3244226639215</v>
      </c>
    </row>
    <row r="47" spans="2:31">
      <c r="B47" s="14" t="s">
        <v>163</v>
      </c>
      <c r="C47" s="14" t="s">
        <v>164</v>
      </c>
      <c r="D47" s="14" t="s">
        <v>164</v>
      </c>
      <c r="E47" s="15">
        <v>42277</v>
      </c>
      <c r="F47" s="18">
        <v>42277</v>
      </c>
      <c r="G47" s="17" t="str">
        <f t="shared" si="5"/>
        <v>EOM</v>
      </c>
      <c r="H47" s="15">
        <v>42460</v>
      </c>
      <c r="I47" s="15">
        <v>44651</v>
      </c>
      <c r="J47" s="15" t="s">
        <v>292</v>
      </c>
      <c r="K47" s="16">
        <v>1.7500000000000002E-2</v>
      </c>
      <c r="L47" s="15">
        <v>44834</v>
      </c>
      <c r="M47" s="19" t="str">
        <f ca="1">_xll.meLWOBondCreateFromGeneratorLVB(C47,$M$4,_xll.meUtilityLVBFromKeysValues($C$6:$L$6,C47:L47))</f>
        <v>US912828L575@1394:4</v>
      </c>
      <c r="N47" s="53">
        <f ca="1">_xll.BDP($B47,$N$5)</f>
        <v>2.9253951000000002</v>
      </c>
      <c r="O47" s="52">
        <f ca="1">_xll.meLWOBondCleanPrice($M47,$C$4,$N47%)</f>
        <v>95.726562584124792</v>
      </c>
      <c r="P47" s="52">
        <f ca="1">_xll.meLWOBondDirtyPrice($M47,$C$4,$N47%)</f>
        <v>95.952524122586325</v>
      </c>
      <c r="Q47" s="51">
        <f ca="1">_xll.meLWOBondYield($M47,$C$4,O47)</f>
        <v>2.9253951000003425E-2</v>
      </c>
      <c r="R47" s="52">
        <f ca="1">_xll.meLWOBondModifiedDuration($M47,$C$4,$N47%)</f>
        <v>3.6941223463501887</v>
      </c>
      <c r="S47" s="21">
        <f ca="1">_xll.meLWOBondDV01($M47,$C$4,$N47%)</f>
        <v>354.46036354995169</v>
      </c>
      <c r="T47" s="50">
        <f t="shared" ca="1" si="4"/>
        <v>2.9253951000000002</v>
      </c>
      <c r="U47" s="20">
        <f ca="1">_xll.BDP($B47,U$6, "YAS_BOND_YLD="&amp;$T47,"YAS_YLD_CONV=2")</f>
        <v>95.726562584124778</v>
      </c>
      <c r="V47" s="21">
        <f ca="1">_xll.meLWOBondCleanPrice($M47,$C$4,$T47%)</f>
        <v>95.726562584124792</v>
      </c>
      <c r="W47" s="22">
        <f t="shared" ca="1" si="6"/>
        <v>1.4210854715202004E-14</v>
      </c>
      <c r="X47" s="21">
        <f ca="1">_xll.meLWOBondDV01($M47,$C$4,$T47%)</f>
        <v>354.46036354995169</v>
      </c>
      <c r="Y47" s="20">
        <f ca="1">_xll.BDP($B47,Y$6, "YLD_YTM_ASK="&amp;$T47,"YAS_YLD_CONV=3")*$Y$3*0.0001</f>
        <v>354.46037558301668</v>
      </c>
      <c r="Z47" s="22">
        <f t="shared" ca="1" si="7"/>
        <v>1.203306499064638E-5</v>
      </c>
      <c r="AA47" s="21">
        <f ca="1">_xll.meLWOBondDirtyPrice($M47,$C$4,$T47%)</f>
        <v>95.952524122586325</v>
      </c>
      <c r="AB47" s="21">
        <f ca="1">_xll.meLWOBondModifiedDuration($M47,$C$4,$T47%)</f>
        <v>3.6941223463501887</v>
      </c>
      <c r="AC47" s="20">
        <f ca="1">_xll.BDP($B47,AC$6,"YLD_YTM_ASK="&amp;$T47,"YAS_YLD_CONV=3")</f>
        <v>3.6941224717566361</v>
      </c>
      <c r="AD47" s="22">
        <f t="shared" ca="1" si="8"/>
        <v>1.254064474487393E-7</v>
      </c>
      <c r="AE47" s="21">
        <f ca="1">_xll.meLWOBondDV01Numerical($M47,$C$4,$T47%,0.5,"CENTRAL")</f>
        <v>354.46036655898183</v>
      </c>
    </row>
    <row r="48" spans="2:31">
      <c r="B48" s="14" t="s">
        <v>267</v>
      </c>
      <c r="C48" s="14" t="s">
        <v>268</v>
      </c>
      <c r="D48" s="14" t="s">
        <v>268</v>
      </c>
      <c r="E48" s="15">
        <v>42310</v>
      </c>
      <c r="F48" s="18">
        <v>42308</v>
      </c>
      <c r="G48" s="17" t="str">
        <f t="shared" si="5"/>
        <v>EOM</v>
      </c>
      <c r="H48" s="15">
        <v>42490</v>
      </c>
      <c r="I48" s="15">
        <v>44681</v>
      </c>
      <c r="J48" s="15" t="s">
        <v>292</v>
      </c>
      <c r="K48" s="16">
        <v>1.8749999999999999E-2</v>
      </c>
      <c r="L48" s="15">
        <v>44865</v>
      </c>
      <c r="M48" s="19" t="str">
        <f ca="1">_xll.meLWOBondCreateFromGeneratorLVB(C48,$M$4,_xll.meUtilityLVBFromKeysValues($C$6:$L$6,C48:L48))</f>
        <v>US912828M490@1393:4</v>
      </c>
      <c r="N48" s="53">
        <f ca="1">_xll.BDP($B48,$N$5)</f>
        <v>2.9256612999999998</v>
      </c>
      <c r="O48" s="52">
        <f ca="1">_xll.meLWOBondCleanPrice($M48,$C$4,$N48%)</f>
        <v>96.101562386487771</v>
      </c>
      <c r="P48" s="52">
        <f ca="1">_xll.meLWOBondDirtyPrice($M48,$C$4,$N48%)</f>
        <v>96.184435314664569</v>
      </c>
      <c r="Q48" s="51">
        <f ca="1">_xll.meLWOBondYield($M48,$C$4,O48)</f>
        <v>2.9256613000002978E-2</v>
      </c>
      <c r="R48" s="52">
        <f ca="1">_xll.meLWOBondModifiedDuration($M48,$C$4,$N48%)</f>
        <v>3.7698069894430803</v>
      </c>
      <c r="S48" s="21">
        <f ca="1">_xll.meLWOBondDV01($M48,$C$4,$N48%)</f>
        <v>362.59675652485834</v>
      </c>
      <c r="T48" s="50">
        <f t="shared" ca="1" si="4"/>
        <v>2.9256612999999998</v>
      </c>
      <c r="U48" s="20">
        <f ca="1">_xll.BDP($B48,U$6, "YAS_BOND_YLD="&amp;$T48,"YAS_YLD_CONV=2")</f>
        <v>96.101562386487757</v>
      </c>
      <c r="V48" s="21">
        <f ca="1">_xll.meLWOBondCleanPrice($M48,$C$4,$T48%)</f>
        <v>96.101562386487771</v>
      </c>
      <c r="W48" s="22">
        <f t="shared" ca="1" si="6"/>
        <v>1.4210854715202004E-14</v>
      </c>
      <c r="X48" s="21">
        <f ca="1">_xll.meLWOBondDV01($M48,$C$4,$T48%)</f>
        <v>362.59675652485834</v>
      </c>
      <c r="Y48" s="20">
        <f ca="1">_xll.BDP($B48,Y$6, "YLD_YTM_ASK="&amp;$T48,"YAS_YLD_CONV=3")*$Y$3*0.0001</f>
        <v>362.59676927443257</v>
      </c>
      <c r="Z48" s="22">
        <f t="shared" ca="1" si="7"/>
        <v>1.2749574239023787E-5</v>
      </c>
      <c r="AA48" s="21">
        <f ca="1">_xll.meLWOBondDirtyPrice($M48,$C$4,$T48%)</f>
        <v>96.184435314664569</v>
      </c>
      <c r="AB48" s="21">
        <f ca="1">_xll.meLWOBondModifiedDuration($M48,$C$4,$T48%)</f>
        <v>3.7698069894430803</v>
      </c>
      <c r="AC48" s="20">
        <f ca="1">_xll.BDP($B48,AC$6,"YLD_YTM_ASK="&amp;$T48,"YAS_YLD_CONV=3")</f>
        <v>3.769807121996485</v>
      </c>
      <c r="AD48" s="22">
        <f t="shared" ca="1" si="8"/>
        <v>1.3255340469697785E-7</v>
      </c>
      <c r="AE48" s="21">
        <f ca="1">_xll.meLWOBondDV01Numerical($M48,$C$4,$T48%,0.5,"CENTRAL")</f>
        <v>362.59675971308525</v>
      </c>
    </row>
    <row r="49" spans="2:31">
      <c r="B49" s="14" t="s">
        <v>129</v>
      </c>
      <c r="C49" s="14" t="s">
        <v>130</v>
      </c>
      <c r="D49" s="14" t="s">
        <v>130</v>
      </c>
      <c r="E49" s="15">
        <v>41228</v>
      </c>
      <c r="F49" s="18">
        <v>41228</v>
      </c>
      <c r="G49" s="17" t="str">
        <f t="shared" si="5"/>
        <v/>
      </c>
      <c r="H49" s="15">
        <v>41409</v>
      </c>
      <c r="I49" s="15">
        <v>44696</v>
      </c>
      <c r="J49" s="15" t="s">
        <v>292</v>
      </c>
      <c r="K49" s="16">
        <v>1.6250000000000001E-2</v>
      </c>
      <c r="L49" s="15">
        <v>44880</v>
      </c>
      <c r="M49" s="19" t="str">
        <f ca="1">_xll.meLWOBondCreateFromGeneratorLVB(C49,$M$4,_xll.meUtilityLVBFromKeysValues($C$6:$L$6,C49:L49))</f>
        <v>US912828TY62@1392:4</v>
      </c>
      <c r="N49" s="53">
        <f ca="1">_xll.BDP($B49,$N$5)</f>
        <v>2.9261898999999998</v>
      </c>
      <c r="O49" s="52">
        <f ca="1">_xll.meLWOBondCleanPrice($M49,$C$4,$N49%)</f>
        <v>95.124999923752213</v>
      </c>
      <c r="P49" s="52">
        <f ca="1">_xll.meLWOBondDirtyPrice($M49,$C$4,$N49%)</f>
        <v>95.129488874028453</v>
      </c>
      <c r="Q49" s="51">
        <f ca="1">_xll.meLWOBondYield($M49,$C$4,O49)</f>
        <v>2.9261899000004893E-2</v>
      </c>
      <c r="R49" s="52">
        <f ca="1">_xll.meLWOBondModifiedDuration($M49,$C$4,$N49%)</f>
        <v>3.8267283189343764</v>
      </c>
      <c r="S49" s="21">
        <f ca="1">_xll.meLWOBondDV01($M49,$C$4,$N49%)</f>
        <v>364.03470903999738</v>
      </c>
      <c r="T49" s="50">
        <f t="shared" ca="1" si="4"/>
        <v>2.9261898999999998</v>
      </c>
      <c r="U49" s="20">
        <f ca="1">_xll.BDP($B49,U$6, "YAS_BOND_YLD="&amp;$T49,"YAS_YLD_CONV=2")</f>
        <v>95.124999923752227</v>
      </c>
      <c r="V49" s="21">
        <f ca="1">_xll.meLWOBondCleanPrice($M49,$C$4,$T49%)</f>
        <v>95.124999923752213</v>
      </c>
      <c r="W49" s="22">
        <f t="shared" ca="1" si="6"/>
        <v>1.4210854715202004E-14</v>
      </c>
      <c r="X49" s="21">
        <f ca="1">_xll.meLWOBondDV01($M49,$C$4,$T49%)</f>
        <v>364.03470903999738</v>
      </c>
      <c r="Y49" s="20">
        <f ca="1">_xll.BDP($B49,Y$6, "YLD_YTM_ASK="&amp;$T49,"YAS_YLD_CONV=3")*$Y$3*0.0001</f>
        <v>364.0347220932228</v>
      </c>
      <c r="Z49" s="22">
        <f t="shared" ca="1" si="7"/>
        <v>1.3053225416115311E-5</v>
      </c>
      <c r="AA49" s="21">
        <f ca="1">_xll.meLWOBondDirtyPrice($M49,$C$4,$T49%)</f>
        <v>95.129488874028453</v>
      </c>
      <c r="AB49" s="21">
        <f ca="1">_xll.meLWOBondModifiedDuration($M49,$C$4,$T49%)</f>
        <v>3.8267283189343764</v>
      </c>
      <c r="AC49" s="20">
        <f ca="1">_xll.BDP($B49,AC$6,"YLD_YTM_ASK="&amp;$T49,"YAS_YLD_CONV=3")</f>
        <v>3.8267284561497168</v>
      </c>
      <c r="AD49" s="22">
        <f t="shared" ca="1" si="8"/>
        <v>1.3721534042332451E-7</v>
      </c>
      <c r="AE49" s="21">
        <f ca="1">_xll.meLWOBondDV01Numerical($M49,$C$4,$T49%,0.5,"CENTRAL")</f>
        <v>364.03471230414658</v>
      </c>
    </row>
    <row r="50" spans="2:31">
      <c r="B50" s="14" t="s">
        <v>227</v>
      </c>
      <c r="C50" s="14" t="s">
        <v>228</v>
      </c>
      <c r="D50" s="14" t="s">
        <v>228</v>
      </c>
      <c r="E50" s="15">
        <v>42338</v>
      </c>
      <c r="F50" s="18">
        <v>42338</v>
      </c>
      <c r="G50" s="17" t="str">
        <f t="shared" si="5"/>
        <v>EOM</v>
      </c>
      <c r="H50" s="15">
        <v>42521</v>
      </c>
      <c r="I50" s="15">
        <v>44712</v>
      </c>
      <c r="J50" s="15" t="s">
        <v>292</v>
      </c>
      <c r="K50" s="16">
        <v>0.02</v>
      </c>
      <c r="L50" s="15">
        <v>44895</v>
      </c>
      <c r="M50" s="19" t="str">
        <f ca="1">_xll.meLWOBondCreateFromGeneratorLVB(C50,$M$4,_xll.meUtilityLVBFromKeysValues($C$6:$L$6,C50:L50))</f>
        <v>US912828M805@1391:4</v>
      </c>
      <c r="N50" s="53">
        <f ca="1">_xll.BDP($B50,$N$5)</f>
        <v>2.9250878999999999</v>
      </c>
      <c r="O50" s="52">
        <f ca="1">_xll.meLWOBondCleanPrice($M50,$C$4,$N50%)</f>
        <v>96.499999867005883</v>
      </c>
      <c r="P50" s="52">
        <f ca="1">_xll.meLWOBondDirtyPrice($M50,$C$4,$N50%)</f>
        <v>97.423497134765441</v>
      </c>
      <c r="Q50" s="51">
        <f ca="1">_xll.meLWOBondYield($M50,$C$4,O50)</f>
        <v>2.9250879000002821E-2</v>
      </c>
      <c r="R50" s="52">
        <f ca="1">_xll.meLWOBondModifiedDuration($M50,$C$4,$N50%)</f>
        <v>3.8041340455118857</v>
      </c>
      <c r="S50" s="21">
        <f ca="1">_xll.meLWOBondDV01($M50,$C$4,$N50%)</f>
        <v>370.61204228319087</v>
      </c>
      <c r="T50" s="50">
        <f t="shared" ca="1" si="4"/>
        <v>2.9250878999999999</v>
      </c>
      <c r="U50" s="20">
        <f ca="1">_xll.BDP($B50,U$6, "YAS_BOND_YLD="&amp;$T50,"YAS_YLD_CONV=2")</f>
        <v>96.499999867005883</v>
      </c>
      <c r="V50" s="21">
        <f ca="1">_xll.meLWOBondCleanPrice($M50,$C$4,$T50%)</f>
        <v>96.499999867005883</v>
      </c>
      <c r="W50" s="22">
        <f t="shared" ca="1" si="6"/>
        <v>0</v>
      </c>
      <c r="X50" s="21">
        <f ca="1">_xll.meLWOBondDV01($M50,$C$4,$T50%)</f>
        <v>370.61204228319087</v>
      </c>
      <c r="Y50" s="20">
        <f ca="1">_xll.BDP($B50,Y$6, "YLD_YTM_ASK="&amp;$T50,"YAS_YLD_CONV=3")*$Y$3*0.0001</f>
        <v>370.61205575646738</v>
      </c>
      <c r="Z50" s="22">
        <f t="shared" ca="1" si="7"/>
        <v>1.3473276510467258E-5</v>
      </c>
      <c r="AA50" s="21">
        <f ca="1">_xll.meLWOBondDirtyPrice($M50,$C$4,$T50%)</f>
        <v>97.423497134765441</v>
      </c>
      <c r="AB50" s="21">
        <f ca="1">_xll.meLWOBondModifiedDuration($M50,$C$4,$T50%)</f>
        <v>3.8041340455118857</v>
      </c>
      <c r="AC50" s="20">
        <f ca="1">_xll.BDP($B50,AC$6,"YLD_YTM_ASK="&amp;$T50,"YAS_YLD_CONV=3")</f>
        <v>3.8041341838078493</v>
      </c>
      <c r="AD50" s="22">
        <f t="shared" ca="1" si="8"/>
        <v>1.3829596356984553E-7</v>
      </c>
      <c r="AE50" s="21">
        <f ca="1">_xll.meLWOBondDV01Numerical($M50,$C$4,$T50%,0.5,"CENTRAL")</f>
        <v>370.61204565233658</v>
      </c>
    </row>
    <row r="51" spans="2:31">
      <c r="B51" s="14" t="s">
        <v>153</v>
      </c>
      <c r="C51" s="14" t="s">
        <v>154</v>
      </c>
      <c r="D51" s="14" t="s">
        <v>154</v>
      </c>
      <c r="E51" s="15">
        <v>42401</v>
      </c>
      <c r="F51" s="18">
        <v>42400</v>
      </c>
      <c r="G51" s="17" t="str">
        <f t="shared" si="5"/>
        <v>EOM</v>
      </c>
      <c r="H51" s="15">
        <v>42582</v>
      </c>
      <c r="I51" s="15">
        <v>44773</v>
      </c>
      <c r="J51" s="15" t="s">
        <v>292</v>
      </c>
      <c r="K51" s="16">
        <v>1.7500000000000002E-2</v>
      </c>
      <c r="L51" s="15">
        <v>44957</v>
      </c>
      <c r="M51" s="19" t="str">
        <f ca="1">_xll.meLWOBondCreateFromGeneratorLVB(C51,$M$4,_xll.meUtilityLVBFromKeysValues($C$6:$L$6,C51:L51))</f>
        <v>US912828P386@1390:4</v>
      </c>
      <c r="N51" s="53">
        <f ca="1">_xll.BDP($B51,$N$5)</f>
        <v>2.9322865</v>
      </c>
      <c r="O51" s="52">
        <f ca="1">_xll.meLWOBondCleanPrice($M51,$C$4,$N51%)</f>
        <v>95.351562365031839</v>
      </c>
      <c r="P51" s="52">
        <f ca="1">_xll.meLWOBondDirtyPrice($M51,$C$4,$N51%)</f>
        <v>95.865149321553574</v>
      </c>
      <c r="Q51" s="51">
        <f ca="1">_xll.meLWOBondYield($M51,$C$4,O51)</f>
        <v>2.9322865000004597E-2</v>
      </c>
      <c r="R51" s="52">
        <f ca="1">_xll.meLWOBondModifiedDuration($M51,$C$4,$N51%)</f>
        <v>3.9901010304389142</v>
      </c>
      <c r="S51" s="21">
        <f ca="1">_xll.meLWOBondDV01($M51,$C$4,$N51%)</f>
        <v>382.51163109111127</v>
      </c>
      <c r="T51" s="50">
        <f t="shared" ca="1" si="4"/>
        <v>2.9322865</v>
      </c>
      <c r="U51" s="20">
        <f ca="1">_xll.BDP($B51,U$6, "YAS_BOND_YLD="&amp;$T51,"YAS_YLD_CONV=2")</f>
        <v>95.351562365031853</v>
      </c>
      <c r="V51" s="21">
        <f ca="1">_xll.meLWOBondCleanPrice($M51,$C$4,$T51%)</f>
        <v>95.351562365031839</v>
      </c>
      <c r="W51" s="22">
        <f t="shared" ca="1" si="6"/>
        <v>1.4210854715202004E-14</v>
      </c>
      <c r="X51" s="21">
        <f ca="1">_xll.meLWOBondDV01($M51,$C$4,$T51%)</f>
        <v>382.51163109111127</v>
      </c>
      <c r="Y51" s="20">
        <f ca="1">_xll.BDP($B51,Y$6, "YLD_YTM_ASK="&amp;$T51,"YAS_YLD_CONV=3")*$Y$3*0.0001</f>
        <v>382.51164601298626</v>
      </c>
      <c r="Z51" s="22">
        <f t="shared" ca="1" si="7"/>
        <v>1.4921874992523954E-5</v>
      </c>
      <c r="AA51" s="21">
        <f ca="1">_xll.meLWOBondDirtyPrice($M51,$C$4,$T51%)</f>
        <v>95.865149321553574</v>
      </c>
      <c r="AB51" s="21">
        <f ca="1">_xll.meLWOBondModifiedDuration($M51,$C$4,$T51%)</f>
        <v>3.9901010304389142</v>
      </c>
      <c r="AC51" s="20">
        <f ca="1">_xll.BDP($B51,AC$6,"YLD_YTM_ASK="&amp;$T51,"YAS_YLD_CONV=3")</f>
        <v>3.9901011860937574</v>
      </c>
      <c r="AD51" s="22">
        <f t="shared" ca="1" si="8"/>
        <v>1.5565484323687429E-7</v>
      </c>
      <c r="AE51" s="21">
        <f ca="1">_xll.meLWOBondDV01Numerical($M51,$C$4,$T51%,0.5,"CENTRAL")</f>
        <v>382.5116348222935</v>
      </c>
    </row>
    <row r="52" spans="2:31">
      <c r="B52" s="14" t="s">
        <v>219</v>
      </c>
      <c r="C52" s="14" t="s">
        <v>220</v>
      </c>
      <c r="D52" s="14" t="s">
        <v>220</v>
      </c>
      <c r="E52" s="15">
        <v>41320</v>
      </c>
      <c r="F52" s="18">
        <v>41320</v>
      </c>
      <c r="G52" s="17" t="str">
        <f t="shared" si="5"/>
        <v/>
      </c>
      <c r="H52" s="15">
        <v>41501</v>
      </c>
      <c r="I52" s="15">
        <v>44788</v>
      </c>
      <c r="J52" s="15" t="s">
        <v>292</v>
      </c>
      <c r="K52" s="16">
        <v>0.02</v>
      </c>
      <c r="L52" s="15">
        <v>44972</v>
      </c>
      <c r="M52" s="19" t="str">
        <f ca="1">_xll.meLWOBondCreateFromGeneratorLVB(C52,$M$4,_xll.meUtilityLVBFromKeysValues($C$6:$L$6,C52:L52))</f>
        <v>US912828UN88@1389:4</v>
      </c>
      <c r="N52" s="53">
        <f ca="1">_xll.BDP($B52,$N$5)</f>
        <v>2.9271929999999999</v>
      </c>
      <c r="O52" s="52">
        <f ca="1">_xll.meLWOBondCleanPrice($M52,$C$4,$N52%)</f>
        <v>96.320312356551938</v>
      </c>
      <c r="P52" s="52">
        <f ca="1">_xll.meLWOBondDirtyPrice($M52,$C$4,$N52%)</f>
        <v>96.82574713916064</v>
      </c>
      <c r="Q52" s="51">
        <f ca="1">_xll.meLWOBondYield($M52,$C$4,O52)</f>
        <v>2.9271930000003325E-2</v>
      </c>
      <c r="R52" s="52">
        <f ca="1">_xll.meLWOBondModifiedDuration($M52,$C$4,$N52%)</f>
        <v>4.0101007906858337</v>
      </c>
      <c r="S52" s="21">
        <f ca="1">_xll.meLWOBondDV01($M52,$C$4,$N52%)</f>
        <v>388.28100516149465</v>
      </c>
      <c r="T52" s="50">
        <f t="shared" ca="1" si="4"/>
        <v>2.9271929999999999</v>
      </c>
      <c r="U52" s="20">
        <f ca="1">_xll.BDP($B52,U$6, "YAS_BOND_YLD="&amp;$T52,"YAS_YLD_CONV=2")</f>
        <v>96.320312356551952</v>
      </c>
      <c r="V52" s="21">
        <f ca="1">_xll.meLWOBondCleanPrice($M52,$C$4,$T52%)</f>
        <v>96.320312356551938</v>
      </c>
      <c r="W52" s="22">
        <f t="shared" ca="1" si="6"/>
        <v>1.4210854715202004E-14</v>
      </c>
      <c r="X52" s="21">
        <f ca="1">_xll.meLWOBondDV01($M52,$C$4,$T52%)</f>
        <v>388.28100516149465</v>
      </c>
      <c r="Y52" s="20">
        <f ca="1">_xll.BDP($B52,Y$6, "YLD_YTM_ASK="&amp;$T52,"YAS_YLD_CONV=3")*$Y$3*0.0001</f>
        <v>388.28102052107738</v>
      </c>
      <c r="Z52" s="22">
        <f t="shared" ca="1" si="7"/>
        <v>1.5359582732799026E-5</v>
      </c>
      <c r="AA52" s="21">
        <f ca="1">_xll.meLWOBondDirtyPrice($M52,$C$4,$T52%)</f>
        <v>96.82574713916064</v>
      </c>
      <c r="AB52" s="21">
        <f ca="1">_xll.meLWOBondModifiedDuration($M52,$C$4,$T52%)</f>
        <v>4.0101007906858337</v>
      </c>
      <c r="AC52" s="20">
        <f ca="1">_xll.BDP($B52,AC$6,"YLD_YTM_ASK="&amp;$T52,"YAS_YLD_CONV=3")</f>
        <v>4.010100949317013</v>
      </c>
      <c r="AD52" s="22">
        <f t="shared" ca="1" si="8"/>
        <v>1.5863117930337012E-7</v>
      </c>
      <c r="AE52" s="21">
        <f ca="1">_xll.meLWOBondDV01Numerical($M52,$C$4,$T52%,0.5,"CENTRAL")</f>
        <v>388.28100900246915</v>
      </c>
    </row>
    <row r="53" spans="2:31">
      <c r="B53" s="14" t="s">
        <v>117</v>
      </c>
      <c r="C53" s="14" t="s">
        <v>118</v>
      </c>
      <c r="D53" s="14" t="s">
        <v>118</v>
      </c>
      <c r="E53" s="15">
        <v>42429</v>
      </c>
      <c r="F53" s="18">
        <v>42429</v>
      </c>
      <c r="G53" s="17" t="str">
        <f t="shared" si="5"/>
        <v>EOM</v>
      </c>
      <c r="H53" s="15">
        <v>42613</v>
      </c>
      <c r="I53" s="15">
        <v>44804</v>
      </c>
      <c r="J53" s="15" t="s">
        <v>292</v>
      </c>
      <c r="K53" s="16">
        <v>1.4999999999999999E-2</v>
      </c>
      <c r="L53" s="15">
        <v>44985</v>
      </c>
      <c r="M53" s="19" t="str">
        <f ca="1">_xll.meLWOBondCreateFromGeneratorLVB(C53,$M$4,_xll.meUtilityLVBFromKeysValues($C$6:$L$6,C53:L53))</f>
        <v>US912828P790@1388:4</v>
      </c>
      <c r="N53" s="53">
        <f ca="1">_xll.BDP($B53,$N$5)</f>
        <v>2.9328161000000001</v>
      </c>
      <c r="O53" s="52">
        <f ca="1">_xll.meLWOBondCleanPrice($M53,$C$4,$N53%)</f>
        <v>94.265625107510473</v>
      </c>
      <c r="P53" s="52">
        <f ca="1">_xll.meLWOBondDirtyPrice($M53,$C$4,$N53%)</f>
        <v>94.584685880991131</v>
      </c>
      <c r="Q53" s="51">
        <f ca="1">_xll.meLWOBondYield($M53,$C$4,O53)</f>
        <v>2.932816100000497E-2</v>
      </c>
      <c r="R53" s="52">
        <f ca="1">_xll.meLWOBondModifiedDuration($M53,$C$4,$N53%)</f>
        <v>4.0904409095634673</v>
      </c>
      <c r="S53" s="21">
        <f ca="1">_xll.meLWOBondDV01($M53,$C$4,$N53%)</f>
        <v>386.89306854581622</v>
      </c>
      <c r="T53" s="50">
        <f t="shared" ca="1" si="4"/>
        <v>2.9328161000000001</v>
      </c>
      <c r="U53" s="20">
        <f ca="1">_xll.BDP($B53,U$6, "YAS_BOND_YLD="&amp;$T53,"YAS_YLD_CONV=2")</f>
        <v>94.265625107510445</v>
      </c>
      <c r="V53" s="21">
        <f ca="1">_xll.meLWOBondCleanPrice($M53,$C$4,$T53%)</f>
        <v>94.265625107510473</v>
      </c>
      <c r="W53" s="22">
        <f t="shared" ca="1" si="6"/>
        <v>2.8421709430404007E-14</v>
      </c>
      <c r="X53" s="21">
        <f ca="1">_xll.meLWOBondDV01($M53,$C$4,$T53%)</f>
        <v>386.89306854581622</v>
      </c>
      <c r="Y53" s="20">
        <f ca="1">_xll.BDP($B53,Y$6, "YLD_YTM_ASK="&amp;$T53,"YAS_YLD_CONV=3")*$Y$3*0.0001</f>
        <v>386.89308416678614</v>
      </c>
      <c r="Z53" s="22">
        <f t="shared" ca="1" si="7"/>
        <v>1.5620969918472838E-5</v>
      </c>
      <c r="AA53" s="21">
        <f ca="1">_xll.meLWOBondDirtyPrice($M53,$C$4,$T53%)</f>
        <v>94.584685880991131</v>
      </c>
      <c r="AB53" s="21">
        <f ca="1">_xll.meLWOBondModifiedDuration($M53,$C$4,$T53%)</f>
        <v>4.0904409095634673</v>
      </c>
      <c r="AC53" s="20">
        <f ca="1">_xll.BDP($B53,AC$6,"YLD_YTM_ASK="&amp;$T53,"YAS_YLD_CONV=3")</f>
        <v>4.0904410747167361</v>
      </c>
      <c r="AD53" s="22">
        <f t="shared" ca="1" si="8"/>
        <v>1.6515326883848047E-7</v>
      </c>
      <c r="AE53" s="21">
        <f ca="1">_xll.meLWOBondDV01Numerical($M53,$C$4,$T53%,0.5,"CENTRAL")</f>
        <v>386.89307245007853</v>
      </c>
    </row>
    <row r="54" spans="2:31">
      <c r="B54" s="14" t="s">
        <v>161</v>
      </c>
      <c r="C54" s="14" t="s">
        <v>162</v>
      </c>
      <c r="D54" s="14" t="s">
        <v>162</v>
      </c>
      <c r="E54" s="15">
        <v>42460</v>
      </c>
      <c r="F54" s="18">
        <v>42460</v>
      </c>
      <c r="G54" s="17" t="str">
        <f t="shared" si="5"/>
        <v>EOM</v>
      </c>
      <c r="H54" s="15">
        <v>42643</v>
      </c>
      <c r="I54" s="15">
        <v>44834</v>
      </c>
      <c r="J54" s="15" t="s">
        <v>292</v>
      </c>
      <c r="K54" s="16">
        <v>1.4999999999999999E-2</v>
      </c>
      <c r="L54" s="15">
        <v>45016</v>
      </c>
      <c r="M54" s="19" t="str">
        <f ca="1">_xll.meLWOBondCreateFromGeneratorLVB(C54,$M$4,_xll.meUtilityLVBFromKeysValues($C$6:$L$6,C54:L54))</f>
        <v>US912828Q293@1387:4</v>
      </c>
      <c r="N54" s="53">
        <f ca="1">_xll.BDP($B54,$N$5)</f>
        <v>2.9360324000000002</v>
      </c>
      <c r="O54" s="52">
        <f ca="1">_xll.meLWOBondCleanPrice($M54,$C$4,$N54%)</f>
        <v>94.148437651229443</v>
      </c>
      <c r="P54" s="52">
        <f ca="1">_xll.meLWOBondDirtyPrice($M54,$C$4,$N54%)</f>
        <v>94.342118969910757</v>
      </c>
      <c r="Q54" s="51">
        <f ca="1">_xll.meLWOBondYield($M54,$C$4,O54)</f>
        <v>2.936032400000586E-2</v>
      </c>
      <c r="R54" s="52">
        <f ca="1">_xll.meLWOBondModifiedDuration($M54,$C$4,$N54%)</f>
        <v>4.1727414265421165</v>
      </c>
      <c r="S54" s="21">
        <f ca="1">_xll.meLWOBondDV01($M54,$C$4,$N54%)</f>
        <v>393.66526809351149</v>
      </c>
      <c r="T54" s="50">
        <f t="shared" ca="1" si="4"/>
        <v>2.9360324000000002</v>
      </c>
      <c r="U54" s="20">
        <f ca="1">_xll.BDP($B54,U$6, "YAS_BOND_YLD="&amp;$T54,"YAS_YLD_CONV=2")</f>
        <v>94.148437651229415</v>
      </c>
      <c r="V54" s="21">
        <f ca="1">_xll.meLWOBondCleanPrice($M54,$C$4,$T54%)</f>
        <v>94.148437651229443</v>
      </c>
      <c r="W54" s="22">
        <f t="shared" ca="1" si="6"/>
        <v>2.8421709430404007E-14</v>
      </c>
      <c r="X54" s="21">
        <f ca="1">_xll.meLWOBondDV01($M54,$C$4,$T54%)</f>
        <v>393.66526809351149</v>
      </c>
      <c r="Y54" s="20">
        <f ca="1">_xll.BDP($B54,Y$6, "YLD_YTM_ASK="&amp;$T54,"YAS_YLD_CONV=3")*$Y$3*0.0001</f>
        <v>393.66528451566296</v>
      </c>
      <c r="Z54" s="22">
        <f t="shared" ca="1" si="7"/>
        <v>1.6422151475126157E-5</v>
      </c>
      <c r="AA54" s="21">
        <f ca="1">_xll.meLWOBondDirtyPrice($M54,$C$4,$T54%)</f>
        <v>94.342118969910757</v>
      </c>
      <c r="AB54" s="21">
        <f ca="1">_xll.meLWOBondModifiedDuration($M54,$C$4,$T54%)</f>
        <v>4.1727414265421165</v>
      </c>
      <c r="AC54" s="20">
        <f ca="1">_xll.BDP($B54,AC$6,"YLD_YTM_ASK="&amp;$T54,"YAS_YLD_CONV=3")</f>
        <v>4.1727416006123148</v>
      </c>
      <c r="AD54" s="22">
        <f t="shared" ca="1" si="8"/>
        <v>1.7407019825554926E-7</v>
      </c>
      <c r="AE54" s="21">
        <f ca="1">_xll.meLWOBondDV01Numerical($M54,$C$4,$T54%,0.5,"CENTRAL")</f>
        <v>393.66527219968367</v>
      </c>
    </row>
    <row r="55" spans="2:31">
      <c r="B55" s="14" t="s">
        <v>217</v>
      </c>
      <c r="C55" s="14" t="s">
        <v>218</v>
      </c>
      <c r="D55" s="14" t="s">
        <v>218</v>
      </c>
      <c r="E55" s="15">
        <v>42492</v>
      </c>
      <c r="F55" s="18">
        <v>42490</v>
      </c>
      <c r="G55" s="17" t="str">
        <f t="shared" si="5"/>
        <v>EOM</v>
      </c>
      <c r="H55" s="15">
        <v>42674</v>
      </c>
      <c r="I55" s="15">
        <v>44865</v>
      </c>
      <c r="J55" s="15" t="s">
        <v>292</v>
      </c>
      <c r="K55" s="16">
        <v>1.6250000000000001E-2</v>
      </c>
      <c r="L55" s="15">
        <v>45046</v>
      </c>
      <c r="M55" s="19" t="str">
        <f ca="1">_xll.meLWOBondCreateFromGeneratorLVB(C55,$M$4,_xll.meUtilityLVBFromKeysValues($C$6:$L$6,C55:L55))</f>
        <v>US912828R283@1386:4</v>
      </c>
      <c r="N55" s="53">
        <f ca="1">_xll.BDP($B55,$N$5)</f>
        <v>2.9356795999999998</v>
      </c>
      <c r="O55" s="52">
        <f ca="1">_xll.meLWOBondCleanPrice($M55,$C$4,$N55%)</f>
        <v>94.562500139113197</v>
      </c>
      <c r="P55" s="52">
        <f ca="1">_xll.meLWOBondDirtyPrice($M55,$C$4,$N55%)</f>
        <v>94.634323343533083</v>
      </c>
      <c r="Q55" s="51">
        <f ca="1">_xll.meLWOBondYield($M55,$C$4,O55)</f>
        <v>2.9356796000004997E-2</v>
      </c>
      <c r="R55" s="52">
        <f ca="1">_xll.meLWOBondModifiedDuration($M55,$C$4,$N55%)</f>
        <v>4.2460110389796748</v>
      </c>
      <c r="S55" s="21">
        <f ca="1">_xll.meLWOBondDV01($M55,$C$4,$N55%)</f>
        <v>401.81838158301343</v>
      </c>
      <c r="T55" s="50">
        <f t="shared" ca="1" si="4"/>
        <v>2.9356795999999998</v>
      </c>
      <c r="U55" s="20">
        <f ca="1">_xll.BDP($B55,U$6, "YAS_BOND_YLD="&amp;$T55,"YAS_YLD_CONV=2")</f>
        <v>94.562500139113226</v>
      </c>
      <c r="V55" s="21">
        <f ca="1">_xll.meLWOBondCleanPrice($M55,$C$4,$T55%)</f>
        <v>94.562500139113197</v>
      </c>
      <c r="W55" s="22">
        <f t="shared" ca="1" si="6"/>
        <v>2.8421709430404007E-14</v>
      </c>
      <c r="X55" s="21">
        <f ca="1">_xll.meLWOBondDV01($M55,$C$4,$T55%)</f>
        <v>401.81838158301343</v>
      </c>
      <c r="Y55" s="20">
        <f ca="1">_xll.BDP($B55,Y$6, "YLD_YTM_ASK="&amp;$T55,"YAS_YLD_CONV=3")*$Y$3*0.0001</f>
        <v>401.8183988807067</v>
      </c>
      <c r="Z55" s="22">
        <f t="shared" ca="1" si="7"/>
        <v>1.7297693261753011E-5</v>
      </c>
      <c r="AA55" s="21">
        <f ca="1">_xll.meLWOBondDirtyPrice($M55,$C$4,$T55%)</f>
        <v>94.634323343533083</v>
      </c>
      <c r="AB55" s="21">
        <f ca="1">_xll.meLWOBondModifiedDuration($M55,$C$4,$T55%)</f>
        <v>4.2460110389796748</v>
      </c>
      <c r="AC55" s="20">
        <f ca="1">_xll.BDP($B55,AC$6,"YLD_YTM_ASK="&amp;$T55,"YAS_YLD_CONV=3")</f>
        <v>4.2460112217642347</v>
      </c>
      <c r="AD55" s="22">
        <f t="shared" ca="1" si="8"/>
        <v>1.8278455993225862E-7</v>
      </c>
      <c r="AE55" s="21">
        <f ca="1">_xll.meLWOBondDV01Numerical($M55,$C$4,$T55%,0.5,"CENTRAL")</f>
        <v>401.81838590655161</v>
      </c>
    </row>
    <row r="56" spans="2:31">
      <c r="B56" s="14" t="s">
        <v>139</v>
      </c>
      <c r="C56" s="14" t="s">
        <v>140</v>
      </c>
      <c r="D56" s="14" t="s">
        <v>140</v>
      </c>
      <c r="E56" s="15">
        <v>41409</v>
      </c>
      <c r="F56" s="18">
        <v>41409</v>
      </c>
      <c r="G56" s="17" t="str">
        <f t="shared" si="5"/>
        <v/>
      </c>
      <c r="H56" s="15">
        <v>41593</v>
      </c>
      <c r="I56" s="15">
        <v>44880</v>
      </c>
      <c r="J56" s="15" t="s">
        <v>292</v>
      </c>
      <c r="K56" s="16">
        <v>1.7500000000000002E-2</v>
      </c>
      <c r="L56" s="15">
        <v>45061</v>
      </c>
      <c r="M56" s="19" t="str">
        <f ca="1">_xll.meLWOBondCreateFromGeneratorLVB(C56,$M$4,_xll.meUtilityLVBFromKeysValues($C$6:$L$6,C56:L56))</f>
        <v>US912828VB32@1385:4</v>
      </c>
      <c r="N56" s="53">
        <f ca="1">_xll.BDP($B56,$N$5)</f>
        <v>2.9278947</v>
      </c>
      <c r="O56" s="52">
        <f ca="1">_xll.meLWOBondCleanPrice($M56,$C$4,$N56%)</f>
        <v>95.070312618731634</v>
      </c>
      <c r="P56" s="52">
        <f ca="1">_xll.meLWOBondDirtyPrice($M56,$C$4,$N56%)</f>
        <v>95.07514687287528</v>
      </c>
      <c r="Q56" s="51">
        <f ca="1">_xll.meLWOBondYield($M56,$C$4,O56)</f>
        <v>2.9278947000004212E-2</v>
      </c>
      <c r="R56" s="52">
        <f ca="1">_xll.meLWOBondModifiedDuration($M56,$C$4,$N56%)</f>
        <v>4.2767269052809755</v>
      </c>
      <c r="S56" s="21">
        <f ca="1">_xll.meLWOBondDV01($M56,$C$4,$N56%)</f>
        <v>406.61043865476614</v>
      </c>
      <c r="T56" s="50">
        <f t="shared" ca="1" si="4"/>
        <v>2.9278947</v>
      </c>
      <c r="U56" s="20">
        <f ca="1">_xll.BDP($B56,U$6, "YAS_BOND_YLD="&amp;$T56,"YAS_YLD_CONV=2")</f>
        <v>95.070312618731634</v>
      </c>
      <c r="V56" s="21">
        <f ca="1">_xll.meLWOBondCleanPrice($M56,$C$4,$T56%)</f>
        <v>95.070312618731634</v>
      </c>
      <c r="W56" s="22">
        <f t="shared" ca="1" si="6"/>
        <v>0</v>
      </c>
      <c r="X56" s="21">
        <f ca="1">_xll.meLWOBondDV01($M56,$C$4,$T56%)</f>
        <v>406.61043865476614</v>
      </c>
      <c r="Y56" s="20">
        <f ca="1">_xll.BDP($B56,Y$6, "YLD_YTM_ASK="&amp;$T56,"YAS_YLD_CONV=3")*$Y$3*0.0001</f>
        <v>406.61045641599009</v>
      </c>
      <c r="Z56" s="22">
        <f t="shared" ca="1" si="7"/>
        <v>1.7761223944035009E-5</v>
      </c>
      <c r="AA56" s="21">
        <f ca="1">_xll.meLWOBondDirtyPrice($M56,$C$4,$T56%)</f>
        <v>95.07514687287528</v>
      </c>
      <c r="AB56" s="21">
        <f ca="1">_xll.meLWOBondModifiedDuration($M56,$C$4,$T56%)</f>
        <v>4.2767269052809755</v>
      </c>
      <c r="AC56" s="20">
        <f ca="1">_xll.BDP($B56,AC$6,"YLD_YTM_ASK="&amp;$T56,"YAS_YLD_CONV=3")</f>
        <v>4.2767270920934557</v>
      </c>
      <c r="AD56" s="22">
        <f t="shared" ca="1" si="8"/>
        <v>1.8681248015184337E-7</v>
      </c>
      <c r="AE56" s="21">
        <f ca="1">_xll.meLWOBondDV01Numerical($M56,$C$4,$T56%,0.5,"CENTRAL")</f>
        <v>406.6104430960138</v>
      </c>
    </row>
    <row r="57" spans="2:31">
      <c r="B57" s="14" t="s">
        <v>147</v>
      </c>
      <c r="C57" s="14" t="s">
        <v>148</v>
      </c>
      <c r="D57" s="14" t="s">
        <v>148</v>
      </c>
      <c r="E57" s="15">
        <v>42521</v>
      </c>
      <c r="F57" s="18">
        <v>42521</v>
      </c>
      <c r="G57" s="17" t="str">
        <f t="shared" si="5"/>
        <v>EOM</v>
      </c>
      <c r="H57" s="15">
        <v>42704</v>
      </c>
      <c r="I57" s="15">
        <v>44895</v>
      </c>
      <c r="J57" s="15" t="s">
        <v>292</v>
      </c>
      <c r="K57" s="16">
        <v>1.6250000000000001E-2</v>
      </c>
      <c r="L57" s="15">
        <v>45077</v>
      </c>
      <c r="M57" s="19" t="str">
        <f ca="1">_xll.meLWOBondCreateFromGeneratorLVB(C57,$M$4,_xll.meUtilityLVBFromKeysValues($C$6:$L$6,C57:L57))</f>
        <v>US912828R697@1384:4</v>
      </c>
      <c r="N57" s="53">
        <f ca="1">_xll.BDP($B57,$N$5)</f>
        <v>2.9356071999999998</v>
      </c>
      <c r="O57" s="52">
        <f ca="1">_xll.meLWOBondCleanPrice($M57,$C$4,$N57%)</f>
        <v>94.468750125966608</v>
      </c>
      <c r="P57" s="52">
        <f ca="1">_xll.meLWOBondDirtyPrice($M57,$C$4,$N57%)</f>
        <v>95.219091656021249</v>
      </c>
      <c r="Q57" s="51">
        <f ca="1">_xll.meLWOBondYield($M57,$C$4,O57)</f>
        <v>2.9356072000005441E-2</v>
      </c>
      <c r="R57" s="52">
        <f ca="1">_xll.meLWOBondModifiedDuration($M57,$C$4,$N57%)</f>
        <v>4.2907084572564829</v>
      </c>
      <c r="S57" s="21">
        <f ca="1">_xll.meLWOBondDV01($M57,$C$4,$N57%)</f>
        <v>408.55736186077058</v>
      </c>
      <c r="T57" s="50">
        <f t="shared" ca="1" si="4"/>
        <v>2.9356071999999998</v>
      </c>
      <c r="U57" s="20">
        <f ca="1">_xll.BDP($B57,U$6, "YAS_BOND_YLD="&amp;$T57,"YAS_YLD_CONV=2")</f>
        <v>94.468750125966608</v>
      </c>
      <c r="V57" s="21">
        <f ca="1">_xll.meLWOBondCleanPrice($M57,$C$4,$T57%)</f>
        <v>94.468750125966608</v>
      </c>
      <c r="W57" s="22">
        <f t="shared" ca="1" si="6"/>
        <v>0</v>
      </c>
      <c r="X57" s="21">
        <f ca="1">_xll.meLWOBondDV01($M57,$C$4,$T57%)</f>
        <v>408.55736186077058</v>
      </c>
      <c r="Y57" s="20">
        <f ca="1">_xll.BDP($B57,Y$6, "YLD_YTM_ASK="&amp;$T57,"YAS_YLD_CONV=3")*$Y$3*0.0001</f>
        <v>408.55738000523445</v>
      </c>
      <c r="Z57" s="22">
        <f t="shared" ca="1" si="7"/>
        <v>1.8144463865610305E-5</v>
      </c>
      <c r="AA57" s="21">
        <f ca="1">_xll.meLWOBondDirtyPrice($M57,$C$4,$T57%)</f>
        <v>95.219091656021249</v>
      </c>
      <c r="AB57" s="21">
        <f ca="1">_xll.meLWOBondModifiedDuration($M57,$C$4,$T57%)</f>
        <v>4.2907084572564829</v>
      </c>
      <c r="AC57" s="20">
        <f ca="1">_xll.BDP($B57,AC$6,"YLD_YTM_ASK="&amp;$T57,"YAS_YLD_CONV=3")</f>
        <v>4.2907086478113747</v>
      </c>
      <c r="AD57" s="22">
        <f t="shared" ca="1" si="8"/>
        <v>1.9055489186570185E-7</v>
      </c>
      <c r="AE57" s="21">
        <f ca="1">_xll.meLWOBondDV01Numerical($M57,$C$4,$T57%,0.5,"CENTRAL")</f>
        <v>408.55736639784374</v>
      </c>
    </row>
    <row r="58" spans="2:31">
      <c r="B58" s="14" t="s">
        <v>119</v>
      </c>
      <c r="C58" s="14" t="s">
        <v>120</v>
      </c>
      <c r="D58" s="14" t="s">
        <v>120</v>
      </c>
      <c r="E58" s="15">
        <v>42551</v>
      </c>
      <c r="F58" s="18">
        <v>42551</v>
      </c>
      <c r="G58" s="17" t="str">
        <f t="shared" si="5"/>
        <v>EOM</v>
      </c>
      <c r="H58" s="15">
        <v>42735</v>
      </c>
      <c r="I58" s="15">
        <v>44926</v>
      </c>
      <c r="J58" s="15" t="s">
        <v>292</v>
      </c>
      <c r="K58" s="16">
        <v>1.375E-2</v>
      </c>
      <c r="L58" s="15">
        <v>45107</v>
      </c>
      <c r="M58" s="19" t="str">
        <f ca="1">_xll.meLWOBondCreateFromGeneratorLVB(C58,$M$4,_xll.meUtilityLVBFromKeysValues($C$6:$L$6,C58:L58))</f>
        <v>US912828S356@1383:4</v>
      </c>
      <c r="N58" s="53">
        <f ca="1">_xll.BDP($B58,$N$5)</f>
        <v>2.9343045999999999</v>
      </c>
      <c r="O58" s="52">
        <f ca="1">_xll.meLWOBondCleanPrice($M58,$C$4,$N58%)</f>
        <v>93.304687406752024</v>
      </c>
      <c r="P58" s="52">
        <f ca="1">_xll.meLWOBondDirtyPrice($M58,$C$4,$N58%)</f>
        <v>93.824048819795507</v>
      </c>
      <c r="Q58" s="51">
        <f ca="1">_xll.meLWOBondYield($M58,$C$4,O58)</f>
        <v>2.9343046000006274E-2</v>
      </c>
      <c r="R58" s="52">
        <f ca="1">_xll.meLWOBondModifiedDuration($M58,$C$4,$N58%)</f>
        <v>4.3996268028874441</v>
      </c>
      <c r="S58" s="21">
        <f ca="1">_xll.meLWOBondDV01($M58,$C$4,$N58%)</f>
        <v>412.79079994299235</v>
      </c>
      <c r="T58" s="50">
        <f t="shared" ca="1" si="4"/>
        <v>2.9343045999999999</v>
      </c>
      <c r="U58" s="20">
        <f ca="1">_xll.BDP($B58,U$6, "YAS_BOND_YLD="&amp;$T58,"YAS_YLD_CONV=2")</f>
        <v>93.304687406752024</v>
      </c>
      <c r="V58" s="21">
        <f ca="1">_xll.meLWOBondCleanPrice($M58,$C$4,$T58%)</f>
        <v>93.304687406752024</v>
      </c>
      <c r="W58" s="22">
        <f t="shared" ca="1" si="6"/>
        <v>0</v>
      </c>
      <c r="X58" s="21">
        <f ca="1">_xll.meLWOBondDV01($M58,$C$4,$T58%)</f>
        <v>412.79079994299235</v>
      </c>
      <c r="Y58" s="20">
        <f ca="1">_xll.BDP($B58,Y$6, "YLD_YTM_ASK="&amp;$T58,"YAS_YLD_CONV=3")*$Y$3*0.0001</f>
        <v>412.79081890536418</v>
      </c>
      <c r="Z58" s="22">
        <f t="shared" ca="1" si="7"/>
        <v>1.8962371825637092E-5</v>
      </c>
      <c r="AA58" s="21">
        <f ca="1">_xll.meLWOBondDirtyPrice($M58,$C$4,$T58%)</f>
        <v>93.824048819795507</v>
      </c>
      <c r="AB58" s="21">
        <f ca="1">_xll.meLWOBondModifiedDuration($M58,$C$4,$T58%)</f>
        <v>4.3996268028874441</v>
      </c>
      <c r="AC58" s="20">
        <f ca="1">_xll.BDP($B58,AC$6,"YLD_YTM_ASK="&amp;$T58,"YAS_YLD_CONV=3")</f>
        <v>4.3996270049931079</v>
      </c>
      <c r="AD58" s="22">
        <f t="shared" ca="1" si="8"/>
        <v>2.0210566376022143E-7</v>
      </c>
      <c r="AE58" s="21">
        <f ca="1">_xll.meLWOBondDV01Numerical($M58,$C$4,$T58%,0.5,"CENTRAL")</f>
        <v>412.79080468427765</v>
      </c>
    </row>
    <row r="59" spans="2:31">
      <c r="B59" s="14" t="s">
        <v>87</v>
      </c>
      <c r="C59" s="14" t="s">
        <v>88</v>
      </c>
      <c r="D59" s="14" t="s">
        <v>88</v>
      </c>
      <c r="E59" s="15">
        <v>42583</v>
      </c>
      <c r="F59" s="18">
        <v>42582</v>
      </c>
      <c r="G59" s="17" t="str">
        <f t="shared" si="5"/>
        <v>EOM</v>
      </c>
      <c r="H59" s="15">
        <v>42766</v>
      </c>
      <c r="I59" s="15">
        <v>44957</v>
      </c>
      <c r="J59" s="15" t="s">
        <v>292</v>
      </c>
      <c r="K59" s="16">
        <v>1.2500000000000001E-2</v>
      </c>
      <c r="L59" s="15">
        <v>45138</v>
      </c>
      <c r="M59" s="19" t="str">
        <f ca="1">_xll.meLWOBondCreateFromGeneratorLVB(C59,$M$4,_xll.meUtilityLVBFromKeysValues($C$6:$L$6,C59:L59))</f>
        <v>US912828S927@1382:4</v>
      </c>
      <c r="N59" s="53">
        <f ca="1">_xll.BDP($B59,$N$5)</f>
        <v>2.9371960000000001</v>
      </c>
      <c r="O59" s="52">
        <f ca="1">_xll.meLWOBondCleanPrice($M59,$C$4,$N59%)</f>
        <v>92.632812424556889</v>
      </c>
      <c r="P59" s="52">
        <f ca="1">_xll.meLWOBondDirtyPrice($M59,$C$4,$N59%)</f>
        <v>92.999660250643842</v>
      </c>
      <c r="Q59" s="51">
        <f ca="1">_xll.meLWOBondYield($M59,$C$4,O59)</f>
        <v>2.9371960000006598E-2</v>
      </c>
      <c r="R59" s="52">
        <f ca="1">_xll.meLWOBondModifiedDuration($M59,$C$4,$N59%)</f>
        <v>4.4958500040337857</v>
      </c>
      <c r="S59" s="21">
        <f ca="1">_xll.meLWOBondDV01($M59,$C$4,$N59%)</f>
        <v>418.1125229129978</v>
      </c>
      <c r="T59" s="50">
        <f t="shared" ca="1" si="4"/>
        <v>2.9371960000000001</v>
      </c>
      <c r="U59" s="20">
        <f ca="1">_xll.BDP($B59,U$6, "YAS_BOND_YLD="&amp;$T59,"YAS_YLD_CONV=2")</f>
        <v>92.632812424556889</v>
      </c>
      <c r="V59" s="21">
        <f ca="1">_xll.meLWOBondCleanPrice($M59,$C$4,$T59%)</f>
        <v>92.632812424556889</v>
      </c>
      <c r="W59" s="22">
        <f t="shared" ca="1" si="6"/>
        <v>0</v>
      </c>
      <c r="X59" s="21">
        <f ca="1">_xll.meLWOBondDV01($M59,$C$4,$T59%)</f>
        <v>418.1125229129978</v>
      </c>
      <c r="Y59" s="20">
        <f ca="1">_xll.BDP($B59,Y$6, "YLD_YTM_ASK="&amp;$T59,"YAS_YLD_CONV=3")*$Y$3*0.0001</f>
        <v>418.11254274747972</v>
      </c>
      <c r="Z59" s="22">
        <f t="shared" ca="1" si="7"/>
        <v>1.9834481918223901E-5</v>
      </c>
      <c r="AA59" s="21">
        <f ca="1">_xll.meLWOBondDirtyPrice($M59,$C$4,$T59%)</f>
        <v>92.999660250643842</v>
      </c>
      <c r="AB59" s="21">
        <f ca="1">_xll.meLWOBondModifiedDuration($M59,$C$4,$T59%)</f>
        <v>4.4958500040337857</v>
      </c>
      <c r="AC59" s="20">
        <f ca="1">_xll.BDP($B59,AC$6,"YLD_YTM_ASK="&amp;$T59,"YAS_YLD_CONV=3")</f>
        <v>4.4958502173085613</v>
      </c>
      <c r="AD59" s="22">
        <f t="shared" ca="1" si="8"/>
        <v>2.1327477561783326E-7</v>
      </c>
      <c r="AE59" s="21">
        <f ca="1">_xll.meLWOBondDV01Numerical($M59,$C$4,$T59%,0.5,"CENTRAL")</f>
        <v>418.11252787255171</v>
      </c>
    </row>
    <row r="60" spans="2:31">
      <c r="B60" s="14" t="s">
        <v>30</v>
      </c>
      <c r="C60" s="14" t="s">
        <v>31</v>
      </c>
      <c r="D60" s="14" t="s">
        <v>31</v>
      </c>
      <c r="E60" s="15">
        <v>34197</v>
      </c>
      <c r="F60" s="18">
        <v>34196</v>
      </c>
      <c r="G60" s="17" t="str">
        <f t="shared" si="5"/>
        <v/>
      </c>
      <c r="H60" s="15">
        <v>34380</v>
      </c>
      <c r="I60" s="15">
        <v>44972</v>
      </c>
      <c r="J60" s="15" t="s">
        <v>292</v>
      </c>
      <c r="K60" s="16">
        <v>6.25E-2</v>
      </c>
      <c r="L60" s="15">
        <v>45153</v>
      </c>
      <c r="M60" s="19" t="str">
        <f ca="1">_xll.meLWOBondCreateFromGeneratorLVB(C60,$M$4,_xll.meUtilityLVBFromKeysValues($C$6:$L$6,C60:L60))</f>
        <v>US912810EQ77@1381:4</v>
      </c>
      <c r="N60" s="53">
        <f ca="1">_xll.BDP($B60,$N$5)</f>
        <v>2.9086007999999999</v>
      </c>
      <c r="O60" s="52">
        <f ca="1">_xll.meLWOBondCleanPrice($M60,$C$4,$N60%)</f>
        <v>114.71093753901596</v>
      </c>
      <c r="P60" s="52">
        <f ca="1">_xll.meLWOBondDirtyPrice($M60,$C$4,$N60%)</f>
        <v>116.29042123466813</v>
      </c>
      <c r="Q60" s="51">
        <f ca="1">_xll.meLWOBondYield($M60,$C$4,O60)</f>
        <v>2.908600799996279E-2</v>
      </c>
      <c r="R60" s="52">
        <f ca="1">_xll.meLWOBondModifiedDuration($M60,$C$4,$N60%)</f>
        <v>4.1095725422435345</v>
      </c>
      <c r="S60" s="21">
        <f ca="1">_xll.meLWOBondDV01($M60,$C$4,$N60%)</f>
        <v>477.90392203192658</v>
      </c>
      <c r="T60" s="50">
        <f t="shared" ca="1" si="4"/>
        <v>2.9086007999999999</v>
      </c>
      <c r="U60" s="20">
        <f ca="1">_xll.BDP($B60,U$6, "YAS_BOND_YLD="&amp;$T60,"YAS_YLD_CONV=2")</f>
        <v>114.710937539016</v>
      </c>
      <c r="V60" s="21">
        <f ca="1">_xll.meLWOBondCleanPrice($M60,$C$4,$T60%)</f>
        <v>114.71093753901596</v>
      </c>
      <c r="W60" s="22">
        <f t="shared" ca="1" si="6"/>
        <v>4.2632564145606011E-14</v>
      </c>
      <c r="X60" s="21">
        <f ca="1">_xll.meLWOBondDV01($M60,$C$4,$T60%)</f>
        <v>477.90392203192658</v>
      </c>
      <c r="Y60" s="20">
        <f ca="1">_xll.BDP($B60,Y$6, "YLD_YTM_ASK="&amp;$T60,"YAS_YLD_CONV=3")*$Y$3*0.0001</f>
        <v>477.90394394837676</v>
      </c>
      <c r="Z60" s="22">
        <f t="shared" ca="1" si="7"/>
        <v>2.191645018001509E-5</v>
      </c>
      <c r="AA60" s="21">
        <f ca="1">_xll.meLWOBondDirtyPrice($M60,$C$4,$T60%)</f>
        <v>116.29042123466813</v>
      </c>
      <c r="AB60" s="21">
        <f ca="1">_xll.meLWOBondModifiedDuration($M60,$C$4,$T60%)</f>
        <v>4.1095725422435345</v>
      </c>
      <c r="AC60" s="20">
        <f ca="1">_xll.BDP($B60,AC$6,"YLD_YTM_ASK="&amp;$T60,"YAS_YLD_CONV=3")</f>
        <v>4.109572730706601</v>
      </c>
      <c r="AD60" s="22">
        <f t="shared" ca="1" si="8"/>
        <v>1.8846306648612199E-7</v>
      </c>
      <c r="AE60" s="21">
        <f ca="1">_xll.meLWOBondDV01Numerical($M60,$C$4,$T60%,0.5,"CENTRAL")</f>
        <v>477.9039275121022</v>
      </c>
    </row>
    <row r="61" spans="2:31">
      <c r="B61" s="14" t="s">
        <v>165</v>
      </c>
      <c r="C61" s="14" t="s">
        <v>166</v>
      </c>
      <c r="D61" s="14" t="s">
        <v>166</v>
      </c>
      <c r="E61" s="15">
        <v>41501</v>
      </c>
      <c r="F61" s="18">
        <v>41501</v>
      </c>
      <c r="G61" s="17" t="str">
        <f t="shared" si="5"/>
        <v/>
      </c>
      <c r="H61" s="15">
        <v>41685</v>
      </c>
      <c r="I61" s="15">
        <v>44972</v>
      </c>
      <c r="J61" s="15" t="s">
        <v>292</v>
      </c>
      <c r="K61" s="16">
        <v>2.5000000000000001E-2</v>
      </c>
      <c r="L61" s="15">
        <v>45153</v>
      </c>
      <c r="M61" s="19" t="str">
        <f ca="1">_xll.meLWOBondCreateFromGeneratorLVB(C61,$M$4,_xll.meUtilityLVBFromKeysValues($C$6:$L$6,C61:L61))</f>
        <v>US912828VS66@1380:4</v>
      </c>
      <c r="N61" s="53">
        <f ca="1">_xll.BDP($B61,$N$5)</f>
        <v>2.9343545</v>
      </c>
      <c r="O61" s="52">
        <f ca="1">_xll.meLWOBondCleanPrice($M61,$C$4,$N61%)</f>
        <v>98.085937510159525</v>
      </c>
      <c r="P61" s="52">
        <f ca="1">_xll.meLWOBondDirtyPrice($M61,$C$4,$N61%)</f>
        <v>98.717730988420399</v>
      </c>
      <c r="Q61" s="51">
        <f ca="1">_xll.meLWOBondYield($M61,$C$4,O61)</f>
        <v>2.9343545000000904E-2</v>
      </c>
      <c r="R61" s="52">
        <f ca="1">_xll.meLWOBondModifiedDuration($M61,$C$4,$N61%)</f>
        <v>4.4103520849411062</v>
      </c>
      <c r="S61" s="21">
        <f ca="1">_xll.meLWOBondDV01($M61,$C$4,$N61%)</f>
        <v>435.37995068543518</v>
      </c>
      <c r="T61" s="50">
        <f t="shared" ca="1" si="4"/>
        <v>2.9343545</v>
      </c>
      <c r="U61" s="20">
        <f ca="1">_xll.BDP($B61,U$6, "YAS_BOND_YLD="&amp;$T61,"YAS_YLD_CONV=2")</f>
        <v>98.085937510159525</v>
      </c>
      <c r="V61" s="21">
        <f ca="1">_xll.meLWOBondCleanPrice($M61,$C$4,$T61%)</f>
        <v>98.085937510159525</v>
      </c>
      <c r="W61" s="22">
        <f t="shared" ca="1" si="6"/>
        <v>0</v>
      </c>
      <c r="X61" s="21">
        <f ca="1">_xll.meLWOBondDV01($M61,$C$4,$T61%)</f>
        <v>435.37995068543518</v>
      </c>
      <c r="Y61" s="20">
        <f ca="1">_xll.BDP($B61,Y$6, "YLD_YTM_ASK="&amp;$T61,"YAS_YLD_CONV=3")*$Y$3*0.0001</f>
        <v>435.37997137278245</v>
      </c>
      <c r="Z61" s="22">
        <f t="shared" ca="1" si="7"/>
        <v>2.0687347273451451E-5</v>
      </c>
      <c r="AA61" s="21">
        <f ca="1">_xll.meLWOBondDirtyPrice($M61,$C$4,$T61%)</f>
        <v>98.717730988420399</v>
      </c>
      <c r="AB61" s="21">
        <f ca="1">_xll.meLWOBondModifiedDuration($M61,$C$4,$T61%)</f>
        <v>4.4103520849411062</v>
      </c>
      <c r="AC61" s="20">
        <f ca="1">_xll.BDP($B61,AC$6,"YLD_YTM_ASK="&amp;$T61,"YAS_YLD_CONV=3")</f>
        <v>4.4103522945017071</v>
      </c>
      <c r="AD61" s="22">
        <f t="shared" ca="1" si="8"/>
        <v>2.0956060087229389E-7</v>
      </c>
      <c r="AE61" s="21">
        <f ca="1">_xll.meLWOBondDV01Numerical($M61,$C$4,$T61%,0.5,"CENTRAL")</f>
        <v>435.37995585808181</v>
      </c>
    </row>
    <row r="62" spans="2:31">
      <c r="B62" s="14" t="s">
        <v>113</v>
      </c>
      <c r="C62" s="14" t="s">
        <v>114</v>
      </c>
      <c r="D62" s="14" t="s">
        <v>114</v>
      </c>
      <c r="E62" s="15">
        <v>42613</v>
      </c>
      <c r="F62" s="18">
        <v>42613</v>
      </c>
      <c r="G62" s="17" t="str">
        <f t="shared" si="5"/>
        <v>EOM</v>
      </c>
      <c r="H62" s="15">
        <v>42794</v>
      </c>
      <c r="I62" s="15">
        <v>44985</v>
      </c>
      <c r="J62" s="15" t="s">
        <v>292</v>
      </c>
      <c r="K62" s="16">
        <v>1.375E-2</v>
      </c>
      <c r="L62" s="15">
        <v>45169</v>
      </c>
      <c r="M62" s="19" t="str">
        <f ca="1">_xll.meLWOBondCreateFromGeneratorLVB(C62,$M$4,_xll.meUtilityLVBFromKeysValues($C$6:$L$6,C62:L62))</f>
        <v>US9128282D10@1379:4</v>
      </c>
      <c r="N62" s="53">
        <f ca="1">_xll.BDP($B62,$N$5)</f>
        <v>2.9388056000000002</v>
      </c>
      <c r="O62" s="52">
        <f ca="1">_xll.meLWOBondCleanPrice($M62,$C$4,$N62%)</f>
        <v>93.062500161476791</v>
      </c>
      <c r="P62" s="52">
        <f ca="1">_xll.meLWOBondDirtyPrice($M62,$C$4,$N62%)</f>
        <v>93.354972537167399</v>
      </c>
      <c r="Q62" s="51">
        <f ca="1">_xll.meLWOBondYield($M62,$C$4,O62)</f>
        <v>2.9388056000006577E-2</v>
      </c>
      <c r="R62" s="52">
        <f ca="1">_xll.meLWOBondModifiedDuration($M62,$C$4,$N62%)</f>
        <v>4.5621288396317272</v>
      </c>
      <c r="S62" s="21">
        <f ca="1">_xll.meLWOBondDV01($M62,$C$4,$N62%)</f>
        <v>425.8974125348393</v>
      </c>
      <c r="T62" s="50">
        <f t="shared" ca="1" si="4"/>
        <v>2.9388056000000002</v>
      </c>
      <c r="U62" s="20">
        <f ca="1">_xll.BDP($B62,U$6, "YAS_BOND_YLD="&amp;$T62,"YAS_YLD_CONV=2")</f>
        <v>93.062500161476819</v>
      </c>
      <c r="V62" s="21">
        <f ca="1">_xll.meLWOBondCleanPrice($M62,$C$4,$T62%)</f>
        <v>93.062500161476791</v>
      </c>
      <c r="W62" s="22">
        <f t="shared" ca="1" si="6"/>
        <v>2.8421709430404007E-14</v>
      </c>
      <c r="X62" s="21">
        <f ca="1">_xll.meLWOBondDV01($M62,$C$4,$T62%)</f>
        <v>425.8974125348393</v>
      </c>
      <c r="Y62" s="20">
        <f ca="1">_xll.BDP($B62,Y$6, "YLD_YTM_ASK="&amp;$T62,"YAS_YLD_CONV=3")*$Y$3*0.0001</f>
        <v>425.89743330822216</v>
      </c>
      <c r="Z62" s="22">
        <f t="shared" ca="1" si="7"/>
        <v>2.0773382857441902E-5</v>
      </c>
      <c r="AA62" s="21">
        <f ca="1">_xll.meLWOBondDirtyPrice($M62,$C$4,$T62%)</f>
        <v>93.354972537167399</v>
      </c>
      <c r="AB62" s="21">
        <f ca="1">_xll.meLWOBondModifiedDuration($M62,$C$4,$T62%)</f>
        <v>4.5621288396317272</v>
      </c>
      <c r="AC62" s="20">
        <f ca="1">_xll.BDP($B62,AC$6,"YLD_YTM_ASK="&amp;$T62,"YAS_YLD_CONV=3")</f>
        <v>4.5621290621520929</v>
      </c>
      <c r="AD62" s="22">
        <f t="shared" ca="1" si="8"/>
        <v>2.2252036568914946E-7</v>
      </c>
      <c r="AE62" s="21">
        <f ca="1">_xll.meLWOBondDV01Numerical($M62,$C$4,$T62%,0.5,"CENTRAL")</f>
        <v>425.89741772886219</v>
      </c>
    </row>
    <row r="63" spans="2:31">
      <c r="B63" s="14" t="s">
        <v>95</v>
      </c>
      <c r="C63" s="14" t="s">
        <v>96</v>
      </c>
      <c r="D63" s="14" t="s">
        <v>96</v>
      </c>
      <c r="E63" s="15">
        <v>42643</v>
      </c>
      <c r="F63" s="18">
        <v>42643</v>
      </c>
      <c r="G63" s="17" t="str">
        <f t="shared" si="5"/>
        <v>EOM</v>
      </c>
      <c r="H63" s="15">
        <v>42825</v>
      </c>
      <c r="I63" s="15">
        <v>45016</v>
      </c>
      <c r="J63" s="15" t="s">
        <v>292</v>
      </c>
      <c r="K63" s="16">
        <v>1.375E-2</v>
      </c>
      <c r="L63" s="15">
        <v>45199</v>
      </c>
      <c r="M63" s="19" t="str">
        <f ca="1">_xll.meLWOBondCreateFromGeneratorLVB(C63,$M$4,_xll.meUtilityLVBFromKeysValues($C$6:$L$6,C63:L63))</f>
        <v>US912828T263@1378:4</v>
      </c>
      <c r="N63" s="53">
        <f ca="1">_xll.BDP($B63,$N$5)</f>
        <v>2.9399024000000002</v>
      </c>
      <c r="O63" s="52">
        <f ca="1">_xll.meLWOBondCleanPrice($M63,$C$4,$N63%)</f>
        <v>92.945312512256166</v>
      </c>
      <c r="P63" s="52">
        <f ca="1">_xll.meLWOBondDirtyPrice($M63,$C$4,$N63%)</f>
        <v>93.122853721047377</v>
      </c>
      <c r="Q63" s="51">
        <f ca="1">_xll.meLWOBondYield($M63,$C$4,O63)</f>
        <v>2.9399024000006501E-2</v>
      </c>
      <c r="R63" s="52">
        <f ca="1">_xll.meLWOBondModifiedDuration($M63,$C$4,$N63%)</f>
        <v>4.6444744806338099</v>
      </c>
      <c r="S63" s="21">
        <f ca="1">_xll.meLWOBondDV01($M63,$C$4,$N63%)</f>
        <v>432.50671767119974</v>
      </c>
      <c r="T63" s="50">
        <f t="shared" ca="1" si="4"/>
        <v>2.9399024000000002</v>
      </c>
      <c r="U63" s="20">
        <f ca="1">_xll.BDP($B63,U$6, "YAS_BOND_YLD="&amp;$T63,"YAS_YLD_CONV=2")</f>
        <v>92.94531251225618</v>
      </c>
      <c r="V63" s="21">
        <f ca="1">_xll.meLWOBondCleanPrice($M63,$C$4,$T63%)</f>
        <v>92.945312512256166</v>
      </c>
      <c r="W63" s="22">
        <f t="shared" ca="1" si="6"/>
        <v>1.4210854715202004E-14</v>
      </c>
      <c r="X63" s="21">
        <f ca="1">_xll.meLWOBondDV01($M63,$C$4,$T63%)</f>
        <v>432.50671767119974</v>
      </c>
      <c r="Y63" s="20">
        <f ca="1">_xll.BDP($B63,Y$6, "YLD_YTM_ASK="&amp;$T63,"YAS_YLD_CONV=3")*$Y$3*0.0001</f>
        <v>432.50673940363527</v>
      </c>
      <c r="Z63" s="22">
        <f t="shared" ca="1" si="7"/>
        <v>2.1732435527610505E-5</v>
      </c>
      <c r="AA63" s="21">
        <f ca="1">_xll.meLWOBondDirtyPrice($M63,$C$4,$T63%)</f>
        <v>93.122853721047377</v>
      </c>
      <c r="AB63" s="21">
        <f ca="1">_xll.meLWOBondModifiedDuration($M63,$C$4,$T63%)</f>
        <v>4.6444744806338099</v>
      </c>
      <c r="AC63" s="20">
        <f ca="1">_xll.BDP($B63,AC$6,"YLD_YTM_ASK="&amp;$T63,"YAS_YLD_CONV=3")</f>
        <v>4.6444747140076226</v>
      </c>
      <c r="AD63" s="22">
        <f t="shared" ca="1" si="8"/>
        <v>2.3337381271915092E-7</v>
      </c>
      <c r="AE63" s="21">
        <f ca="1">_xll.meLWOBondDV01Numerical($M63,$C$4,$T63%,0.5,"CENTRAL")</f>
        <v>432.50672310321647</v>
      </c>
    </row>
    <row r="64" spans="2:31">
      <c r="B64" s="14" t="s">
        <v>213</v>
      </c>
      <c r="C64" s="14" t="s">
        <v>214</v>
      </c>
      <c r="D64" s="14" t="s">
        <v>214</v>
      </c>
      <c r="E64" s="15">
        <v>42674</v>
      </c>
      <c r="F64" s="18">
        <v>42674</v>
      </c>
      <c r="G64" s="17" t="str">
        <f t="shared" si="5"/>
        <v>EOM</v>
      </c>
      <c r="H64" s="15">
        <v>42855</v>
      </c>
      <c r="I64" s="15">
        <v>45046</v>
      </c>
      <c r="J64" s="15" t="s">
        <v>292</v>
      </c>
      <c r="K64" s="16">
        <v>1.6250000000000001E-2</v>
      </c>
      <c r="L64" s="15">
        <v>45230</v>
      </c>
      <c r="M64" s="19" t="str">
        <f ca="1">_xll.meLWOBondCreateFromGeneratorLVB(C64,$M$4,_xll.meUtilityLVBFromKeysValues($C$6:$L$6,C64:L64))</f>
        <v>US912828T917@1377:4</v>
      </c>
      <c r="N64" s="53">
        <f ca="1">_xll.BDP($B64,$N$5)</f>
        <v>2.9434481999999997</v>
      </c>
      <c r="O64" s="52">
        <f ca="1">_xll.meLWOBondCleanPrice($M64,$C$4,$N64%)</f>
        <v>93.960937544925557</v>
      </c>
      <c r="P64" s="52">
        <f ca="1">_xll.meLWOBondDirtyPrice($M64,$C$4,$N64%)</f>
        <v>94.032760749345442</v>
      </c>
      <c r="Q64" s="51">
        <f ca="1">_xll.meLWOBondYield($M64,$C$4,O64)</f>
        <v>2.943448200000617E-2</v>
      </c>
      <c r="R64" s="52">
        <f ca="1">_xll.meLWOBondModifiedDuration($M64,$C$4,$N64%)</f>
        <v>4.701993951691227</v>
      </c>
      <c r="S64" s="21">
        <f ca="1">_xll.meLWOBondDV01($M64,$C$4,$N64%)</f>
        <v>442.1414723042505</v>
      </c>
      <c r="T64" s="50">
        <f t="shared" ca="1" si="4"/>
        <v>2.9434481999999997</v>
      </c>
      <c r="U64" s="20">
        <f ca="1">_xll.BDP($B64,U$6, "YAS_BOND_YLD="&amp;$T64,"YAS_YLD_CONV=2")</f>
        <v>93.960937544925571</v>
      </c>
      <c r="V64" s="21">
        <f ca="1">_xll.meLWOBondCleanPrice($M64,$C$4,$T64%)</f>
        <v>93.960937544925557</v>
      </c>
      <c r="W64" s="22">
        <f t="shared" ca="1" si="6"/>
        <v>1.4210854715202004E-14</v>
      </c>
      <c r="X64" s="21">
        <f ca="1">_xll.meLWOBondDV01($M64,$C$4,$T64%)</f>
        <v>442.1414723042505</v>
      </c>
      <c r="Y64" s="20">
        <f ca="1">_xll.BDP($B64,Y$6, "YLD_YTM_ASK="&amp;$T64,"YAS_YLD_CONV=3")*$Y$3*0.0001</f>
        <v>442.14149512747269</v>
      </c>
      <c r="Z64" s="22">
        <f t="shared" ca="1" si="7"/>
        <v>2.2823222195711423E-5</v>
      </c>
      <c r="AA64" s="21">
        <f ca="1">_xll.meLWOBondDirtyPrice($M64,$C$4,$T64%)</f>
        <v>94.032760749345442</v>
      </c>
      <c r="AB64" s="21">
        <f ca="1">_xll.meLWOBondModifiedDuration($M64,$C$4,$T64%)</f>
        <v>4.701993951691227</v>
      </c>
      <c r="AC64" s="20">
        <f ca="1">_xll.BDP($B64,AC$6,"YLD_YTM_ASK="&amp;$T64,"YAS_YLD_CONV=3")</f>
        <v>4.7019941944068711</v>
      </c>
      <c r="AD64" s="22">
        <f t="shared" ca="1" si="8"/>
        <v>2.4271564402766899E-7</v>
      </c>
      <c r="AE64" s="21">
        <f ca="1">_xll.meLWOBondDV01Numerical($M64,$C$4,$T64%,0.5,"CENTRAL")</f>
        <v>442.14147800943238</v>
      </c>
    </row>
    <row r="65" spans="2:31">
      <c r="B65" s="14" t="s">
        <v>125</v>
      </c>
      <c r="C65" s="14" t="s">
        <v>126</v>
      </c>
      <c r="D65" s="14" t="s">
        <v>126</v>
      </c>
      <c r="E65" s="15">
        <v>41593</v>
      </c>
      <c r="F65" s="18">
        <v>41593</v>
      </c>
      <c r="G65" s="17" t="str">
        <f t="shared" si="5"/>
        <v/>
      </c>
      <c r="H65" s="15">
        <v>41774</v>
      </c>
      <c r="I65" s="15">
        <v>45061</v>
      </c>
      <c r="J65" s="15" t="s">
        <v>292</v>
      </c>
      <c r="K65" s="16">
        <v>2.75E-2</v>
      </c>
      <c r="L65" s="15">
        <v>45245</v>
      </c>
      <c r="M65" s="19" t="str">
        <f ca="1">_xll.meLWOBondCreateFromGeneratorLVB(C65,$M$4,_xll.meUtilityLVBFromKeysValues($C$6:$L$6,C65:L65))</f>
        <v>US912828WE61@1376:4</v>
      </c>
      <c r="N65" s="53">
        <f ca="1">_xll.BDP($B65,$N$5)</f>
        <v>2.9412425</v>
      </c>
      <c r="O65" s="52">
        <f ca="1">_xll.meLWOBondCleanPrice($M65,$C$4,$N65%)</f>
        <v>99.117187325140435</v>
      </c>
      <c r="P65" s="52">
        <f ca="1">_xll.meLWOBondDirtyPrice($M65,$C$4,$N65%)</f>
        <v>99.124784010223308</v>
      </c>
      <c r="Q65" s="51">
        <f ca="1">_xll.meLWOBondYield($M65,$C$4,O65)</f>
        <v>2.9412425000000155E-2</v>
      </c>
      <c r="R65" s="52">
        <f ca="1">_xll.meLWOBondModifiedDuration($M65,$C$4,$N65%)</f>
        <v>4.6330865321143087</v>
      </c>
      <c r="S65" s="21">
        <f ca="1">_xll.meLWOBondDV01($M65,$C$4,$N65%)</f>
        <v>459.25370179650537</v>
      </c>
      <c r="T65" s="50">
        <f t="shared" ca="1" si="4"/>
        <v>2.9412425</v>
      </c>
      <c r="U65" s="20">
        <f ca="1">_xll.BDP($B65,U$6, "YAS_BOND_YLD="&amp;$T65,"YAS_YLD_CONV=2")</f>
        <v>99.117187325140421</v>
      </c>
      <c r="V65" s="21">
        <f ca="1">_xll.meLWOBondCleanPrice($M65,$C$4,$T65%)</f>
        <v>99.117187325140435</v>
      </c>
      <c r="W65" s="22">
        <f t="shared" ca="1" si="6"/>
        <v>1.4210854715202004E-14</v>
      </c>
      <c r="X65" s="21">
        <f ca="1">_xll.meLWOBondDV01($M65,$C$4,$T65%)</f>
        <v>459.25370179650537</v>
      </c>
      <c r="Y65" s="20">
        <f ca="1">_xll.BDP($B65,Y$6, "YLD_YTM_ASK="&amp;$T65,"YAS_YLD_CONV=3")*$Y$3*0.0001</f>
        <v>459.25372555210231</v>
      </c>
      <c r="Z65" s="22">
        <f t="shared" ca="1" si="7"/>
        <v>2.3755596942010015E-5</v>
      </c>
      <c r="AA65" s="21">
        <f ca="1">_xll.meLWOBondDirtyPrice($M65,$C$4,$T65%)</f>
        <v>99.124784010223308</v>
      </c>
      <c r="AB65" s="21">
        <f ca="1">_xll.meLWOBondModifiedDuration($M65,$C$4,$T65%)</f>
        <v>4.6330865321143087</v>
      </c>
      <c r="AC65" s="20">
        <f ca="1">_xll.BDP($B65,AC$6,"YLD_YTM_ASK="&amp;$T65,"YAS_YLD_CONV=3")</f>
        <v>4.6330867717677666</v>
      </c>
      <c r="AD65" s="22">
        <f t="shared" ca="1" si="8"/>
        <v>2.3965345796739257E-7</v>
      </c>
      <c r="AE65" s="21">
        <f ca="1">_xll.meLWOBondDV01Numerical($M65,$C$4,$T65%,0.5,"CENTRAL")</f>
        <v>459.25370773630908</v>
      </c>
    </row>
    <row r="66" spans="2:31">
      <c r="B66" s="14" t="s">
        <v>237</v>
      </c>
      <c r="C66" s="14" t="s">
        <v>238</v>
      </c>
      <c r="D66" s="14" t="s">
        <v>238</v>
      </c>
      <c r="E66" s="15">
        <v>42704</v>
      </c>
      <c r="F66" s="18">
        <v>42704</v>
      </c>
      <c r="G66" s="17" t="str">
        <f t="shared" si="5"/>
        <v>EOM</v>
      </c>
      <c r="H66" s="15">
        <v>42886</v>
      </c>
      <c r="I66" s="15">
        <v>45077</v>
      </c>
      <c r="J66" s="15" t="s">
        <v>292</v>
      </c>
      <c r="K66" s="16">
        <v>2.1250000000000002E-2</v>
      </c>
      <c r="L66" s="15">
        <v>45260</v>
      </c>
      <c r="M66" s="19" t="str">
        <f ca="1">_xll.meLWOBondCreateFromGeneratorLVB(C66,$M$4,_xll.meUtilityLVBFromKeysValues($C$6:$L$6,C66:L66))</f>
        <v>US912828U576@1375:4</v>
      </c>
      <c r="N66" s="53">
        <f ca="1">_xll.BDP($B66,$N$5)</f>
        <v>2.9463772000000001</v>
      </c>
      <c r="O66" s="52">
        <f ca="1">_xll.meLWOBondCleanPrice($M66,$C$4,$N66%)</f>
        <v>96.179687494577493</v>
      </c>
      <c r="P66" s="52">
        <f ca="1">_xll.meLWOBondDirtyPrice($M66,$C$4,$N66%)</f>
        <v>97.160903341572023</v>
      </c>
      <c r="Q66" s="51">
        <f ca="1">_xll.meLWOBondYield($M66,$C$4,O66)</f>
        <v>2.9463772000003528E-2</v>
      </c>
      <c r="R66" s="52">
        <f ca="1">_xll.meLWOBondModifiedDuration($M66,$C$4,$N66%)</f>
        <v>4.6816042700942075</v>
      </c>
      <c r="S66" s="21">
        <f ca="1">_xll.meLWOBondDV01($M66,$C$4,$N66%)</f>
        <v>454.86889997011417</v>
      </c>
      <c r="T66" s="50">
        <f t="shared" ca="1" si="4"/>
        <v>2.9463772000000001</v>
      </c>
      <c r="U66" s="20">
        <f ca="1">_xll.BDP($B66,U$6, "YAS_BOND_YLD="&amp;$T66,"YAS_YLD_CONV=2")</f>
        <v>96.179687494577479</v>
      </c>
      <c r="V66" s="21">
        <f ca="1">_xll.meLWOBondCleanPrice($M66,$C$4,$T66%)</f>
        <v>96.179687494577493</v>
      </c>
      <c r="W66" s="22">
        <f t="shared" ca="1" si="6"/>
        <v>1.4210854715202004E-14</v>
      </c>
      <c r="X66" s="21">
        <f ca="1">_xll.meLWOBondDV01($M66,$C$4,$T66%)</f>
        <v>454.86889997011417</v>
      </c>
      <c r="Y66" s="20">
        <f ca="1">_xll.BDP($B66,Y$6, "YLD_YTM_ASK="&amp;$T66,"YAS_YLD_CONV=3")*$Y$3*0.0001</f>
        <v>454.86892399082996</v>
      </c>
      <c r="Z66" s="22">
        <f t="shared" ca="1" si="7"/>
        <v>2.4020715784445201E-5</v>
      </c>
      <c r="AA66" s="21">
        <f ca="1">_xll.meLWOBondDirtyPrice($M66,$C$4,$T66%)</f>
        <v>97.160903341572023</v>
      </c>
      <c r="AB66" s="21">
        <f ca="1">_xll.meLWOBondModifiedDuration($M66,$C$4,$T66%)</f>
        <v>4.6816042700942075</v>
      </c>
      <c r="AC66" s="20">
        <f ca="1">_xll.BDP($B66,AC$6,"YLD_YTM_ASK="&amp;$T66,"YAS_YLD_CONV=3")</f>
        <v>4.681604517320352</v>
      </c>
      <c r="AD66" s="22">
        <f t="shared" ca="1" si="8"/>
        <v>2.4722614444527835E-7</v>
      </c>
      <c r="AE66" s="21">
        <f ca="1">_xll.meLWOBondDV01Numerical($M66,$C$4,$T66%,0.5,"CENTRAL")</f>
        <v>454.86890597658208</v>
      </c>
    </row>
    <row r="67" spans="2:31">
      <c r="B67" s="14" t="s">
        <v>257</v>
      </c>
      <c r="C67" s="14" t="s">
        <v>258</v>
      </c>
      <c r="D67" s="14" t="s">
        <v>258</v>
      </c>
      <c r="E67" s="15">
        <v>42738</v>
      </c>
      <c r="F67" s="18">
        <v>42735</v>
      </c>
      <c r="G67" s="17" t="str">
        <f t="shared" si="5"/>
        <v>EOM</v>
      </c>
      <c r="H67" s="15">
        <v>42916</v>
      </c>
      <c r="I67" s="15">
        <v>45107</v>
      </c>
      <c r="J67" s="15" t="s">
        <v>292</v>
      </c>
      <c r="K67" s="16">
        <v>2.2499999999999999E-2</v>
      </c>
      <c r="L67" s="15">
        <v>45291</v>
      </c>
      <c r="M67" s="19" t="str">
        <f ca="1">_xll.meLWOBondCreateFromGeneratorLVB(C67,$M$4,_xll.meUtilityLVBFromKeysValues($C$6:$L$6,C67:L67))</f>
        <v>US912828V236@1374:4</v>
      </c>
      <c r="N67" s="53">
        <f ca="1">_xll.BDP($B67,$N$5)</f>
        <v>2.9478502999999998</v>
      </c>
      <c r="O67" s="52">
        <f ca="1">_xll.meLWOBondCleanPrice($M67,$C$4,$N67%)</f>
        <v>96.703125096600104</v>
      </c>
      <c r="P67" s="52">
        <f ca="1">_xll.meLWOBondDirtyPrice($M67,$C$4,$N67%)</f>
        <v>97.552989227034885</v>
      </c>
      <c r="Q67" s="51">
        <f ca="1">_xll.meLWOBondYield($M67,$C$4,O67)</f>
        <v>2.9478503000002623E-2</v>
      </c>
      <c r="R67" s="52">
        <f ca="1">_xll.meLWOBondModifiedDuration($M67,$C$4,$N67%)</f>
        <v>4.7496517297803607</v>
      </c>
      <c r="S67" s="21">
        <f ca="1">_xll.meLWOBondDV01($M67,$C$4,$N67%)</f>
        <v>463.34272402743113</v>
      </c>
      <c r="T67" s="50">
        <f t="shared" ca="1" si="4"/>
        <v>2.9478502999999998</v>
      </c>
      <c r="U67" s="20">
        <f ca="1">_xll.BDP($B67,U$6, "YAS_BOND_YLD="&amp;$T67,"YAS_YLD_CONV=2")</f>
        <v>96.703125096600104</v>
      </c>
      <c r="V67" s="21">
        <f ca="1">_xll.meLWOBondCleanPrice($M67,$C$4,$T67%)</f>
        <v>96.703125096600104</v>
      </c>
      <c r="W67" s="22">
        <f t="shared" ca="1" si="6"/>
        <v>0</v>
      </c>
      <c r="X67" s="21">
        <f ca="1">_xll.meLWOBondDV01($M67,$C$4,$T67%)</f>
        <v>463.34272402743113</v>
      </c>
      <c r="Y67" s="20">
        <f ca="1">_xll.BDP($B67,Y$6, "YLD_YTM_ASK="&amp;$T67,"YAS_YLD_CONV=3")*$Y$3*0.0001</f>
        <v>463.34274916333129</v>
      </c>
      <c r="Z67" s="22">
        <f t="shared" ca="1" si="7"/>
        <v>2.5135900159511948E-5</v>
      </c>
      <c r="AA67" s="21">
        <f ca="1">_xll.meLWOBondDirtyPrice($M67,$C$4,$T67%)</f>
        <v>97.552989227034885</v>
      </c>
      <c r="AB67" s="21">
        <f ca="1">_xll.meLWOBondModifiedDuration($M67,$C$4,$T67%)</f>
        <v>4.7496517297803607</v>
      </c>
      <c r="AC67" s="20">
        <f ca="1">_xll.BDP($B67,AC$6,"YLD_YTM_ASK="&amp;$T67,"YAS_YLD_CONV=3")</f>
        <v>4.7496519874444294</v>
      </c>
      <c r="AD67" s="22">
        <f t="shared" ca="1" si="8"/>
        <v>2.5766406874794257E-7</v>
      </c>
      <c r="AE67" s="21">
        <f ca="1">_xll.meLWOBondDV01Numerical($M67,$C$4,$T67%,0.5,"CENTRAL")</f>
        <v>463.34273031050088</v>
      </c>
    </row>
    <row r="68" spans="2:31">
      <c r="B68" s="14" t="s">
        <v>271</v>
      </c>
      <c r="C68" s="14" t="s">
        <v>272</v>
      </c>
      <c r="D68" s="14" t="s">
        <v>272</v>
      </c>
      <c r="E68" s="15">
        <v>42766</v>
      </c>
      <c r="F68" s="18">
        <v>42766</v>
      </c>
      <c r="G68" s="17" t="str">
        <f t="shared" si="5"/>
        <v>EOM</v>
      </c>
      <c r="H68" s="15">
        <v>42947</v>
      </c>
      <c r="I68" s="15">
        <v>45138</v>
      </c>
      <c r="J68" s="15" t="s">
        <v>292</v>
      </c>
      <c r="K68" s="16">
        <v>2.2499999999999999E-2</v>
      </c>
      <c r="L68" s="15">
        <v>45322</v>
      </c>
      <c r="M68" s="19" t="str">
        <f ca="1">_xll.meLWOBondCreateFromGeneratorLVB(C68,$M$4,_xll.meUtilityLVBFromKeysValues($C$6:$L$6,C68:L68))</f>
        <v>US912828V806@1373:4</v>
      </c>
      <c r="N68" s="53">
        <f ca="1">_xll.BDP($B68,$N$5)</f>
        <v>2.9503712000000002</v>
      </c>
      <c r="O68" s="52">
        <f ca="1">_xll.meLWOBondCleanPrice($M68,$C$4,$N68%)</f>
        <v>96.64062493158751</v>
      </c>
      <c r="P68" s="52">
        <f ca="1">_xll.meLWOBondDirtyPrice($M68,$C$4,$N68%)</f>
        <v>97.300951018544026</v>
      </c>
      <c r="Q68" s="51">
        <f ca="1">_xll.meLWOBondYield($M68,$C$4,O68)</f>
        <v>2.950371200000261E-2</v>
      </c>
      <c r="R68" s="52">
        <f ca="1">_xll.meLWOBondModifiedDuration($M68,$C$4,$N68%)</f>
        <v>4.8325832341270836</v>
      </c>
      <c r="S68" s="21">
        <f ca="1">_xll.meLWOBondDV01($M68,$C$4,$N68%)</f>
        <v>470.21494455683643</v>
      </c>
      <c r="T68" s="50">
        <f t="shared" ca="1" si="4"/>
        <v>2.9503712000000002</v>
      </c>
      <c r="U68" s="20">
        <f ca="1">_xll.BDP($B68,U$6, "YAS_BOND_YLD="&amp;$T68,"YAS_YLD_CONV=2")</f>
        <v>96.640624931587524</v>
      </c>
      <c r="V68" s="21">
        <f ca="1">_xll.meLWOBondCleanPrice($M68,$C$4,$T68%)</f>
        <v>96.64062493158751</v>
      </c>
      <c r="W68" s="22">
        <f t="shared" ca="1" si="6"/>
        <v>1.4210854715202004E-14</v>
      </c>
      <c r="X68" s="21">
        <f ca="1">_xll.meLWOBondDV01($M68,$C$4,$T68%)</f>
        <v>470.21494455683643</v>
      </c>
      <c r="Y68" s="20">
        <f ca="1">_xll.BDP($B68,Y$6, "YLD_YTM_ASK="&amp;$T68,"YAS_YLD_CONV=3")*$Y$3*0.0001</f>
        <v>470.21497078944213</v>
      </c>
      <c r="Z68" s="22">
        <f t="shared" ca="1" si="7"/>
        <v>2.6232605705445167E-5</v>
      </c>
      <c r="AA68" s="21">
        <f ca="1">_xll.meLWOBondDirtyPrice($M68,$C$4,$T68%)</f>
        <v>97.300951018544026</v>
      </c>
      <c r="AB68" s="21">
        <f ca="1">_xll.meLWOBondModifiedDuration($M68,$C$4,$T68%)</f>
        <v>4.8325832341270836</v>
      </c>
      <c r="AC68" s="20">
        <f ca="1">_xll.BDP($B68,AC$6,"YLD_YTM_ASK="&amp;$T68,"YAS_YLD_CONV=3")</f>
        <v>4.8325835037298512</v>
      </c>
      <c r="AD68" s="22">
        <f t="shared" ca="1" si="8"/>
        <v>2.6960276766629931E-7</v>
      </c>
      <c r="AE68" s="21">
        <f ca="1">_xll.meLWOBondDV01Numerical($M68,$C$4,$T68%,0.5,"CENTRAL")</f>
        <v>470.2149511140874</v>
      </c>
    </row>
    <row r="69" spans="2:31">
      <c r="B69" s="14" t="s">
        <v>127</v>
      </c>
      <c r="C69" s="14" t="s">
        <v>128</v>
      </c>
      <c r="D69" s="14" t="s">
        <v>128</v>
      </c>
      <c r="E69" s="15">
        <v>41688</v>
      </c>
      <c r="F69" s="18">
        <v>41685</v>
      </c>
      <c r="G69" s="17" t="str">
        <f t="shared" si="5"/>
        <v/>
      </c>
      <c r="H69" s="15">
        <v>41866</v>
      </c>
      <c r="I69" s="15">
        <v>45153</v>
      </c>
      <c r="J69" s="15" t="s">
        <v>292</v>
      </c>
      <c r="K69" s="16">
        <v>2.75E-2</v>
      </c>
      <c r="L69" s="15">
        <v>45337</v>
      </c>
      <c r="M69" s="19" t="str">
        <f ca="1">_xll.meLWOBondCreateFromGeneratorLVB(C69,$M$4,_xll.meUtilityLVBFromKeysValues($C$6:$L$6,C69:L69))</f>
        <v>US912828B667@1372:4</v>
      </c>
      <c r="N69" s="53">
        <f ca="1">_xll.BDP($B69,$N$5)</f>
        <v>2.9484852999999998</v>
      </c>
      <c r="O69" s="52">
        <f ca="1">_xll.meLWOBondCleanPrice($M69,$C$4,$N69%)</f>
        <v>99.03906236570765</v>
      </c>
      <c r="P69" s="52">
        <f ca="1">_xll.meLWOBondDirtyPrice($M69,$C$4,$N69%)</f>
        <v>99.734035191794604</v>
      </c>
      <c r="Q69" s="51">
        <f ca="1">_xll.meLWOBondYield($M69,$C$4,O69)</f>
        <v>2.9484852999999891E-2</v>
      </c>
      <c r="R69" s="52">
        <f ca="1">_xll.meLWOBondModifiedDuration($M69,$C$4,$N69%)</f>
        <v>4.8158246513602272</v>
      </c>
      <c r="S69" s="21">
        <f ca="1">_xll.meLWOBondDV01($M69,$C$4,$N69%)</f>
        <v>480.30162525627287</v>
      </c>
      <c r="T69" s="50">
        <f t="shared" ca="1" si="4"/>
        <v>2.9484852999999998</v>
      </c>
      <c r="U69" s="20">
        <f ca="1">_xll.BDP($B69,U$6, "YAS_BOND_YLD="&amp;$T69,"YAS_YLD_CONV=2")</f>
        <v>99.039062365707636</v>
      </c>
      <c r="V69" s="21">
        <f ca="1">_xll.meLWOBondCleanPrice($M69,$C$4,$T69%)</f>
        <v>99.03906236570765</v>
      </c>
      <c r="W69" s="22">
        <f t="shared" ca="1" si="6"/>
        <v>1.4210854715202004E-14</v>
      </c>
      <c r="X69" s="21">
        <f ca="1">_xll.meLWOBondDV01($M69,$C$4,$T69%)</f>
        <v>480.30162525627287</v>
      </c>
      <c r="Y69" s="20">
        <f ca="1">_xll.BDP($B69,Y$6, "YLD_YTM_ASK="&amp;$T69,"YAS_YLD_CONV=3")*$Y$3*0.0001</f>
        <v>480.30165225924293</v>
      </c>
      <c r="Z69" s="22">
        <f t="shared" ca="1" si="7"/>
        <v>2.7002970057310449E-5</v>
      </c>
      <c r="AA69" s="21">
        <f ca="1">_xll.meLWOBondDirtyPrice($M69,$C$4,$T69%)</f>
        <v>99.734035191794604</v>
      </c>
      <c r="AB69" s="21">
        <f ca="1">_xll.meLWOBondModifiedDuration($M69,$C$4,$T69%)</f>
        <v>4.8158246513602272</v>
      </c>
      <c r="AC69" s="20">
        <f ca="1">_xll.BDP($B69,AC$6,"YLD_YTM_ASK="&amp;$T69,"YAS_YLD_CONV=3")</f>
        <v>4.8158249221100267</v>
      </c>
      <c r="AD69" s="22">
        <f t="shared" ca="1" si="8"/>
        <v>2.707497994691721E-7</v>
      </c>
      <c r="AE69" s="21">
        <f ca="1">_xll.meLWOBondDV01Numerical($M69,$C$4,$T69%,0.5,"CENTRAL")</f>
        <v>480.30163200593285</v>
      </c>
    </row>
    <row r="70" spans="2:31">
      <c r="B70" s="14" t="s">
        <v>231</v>
      </c>
      <c r="C70" s="14" t="s">
        <v>232</v>
      </c>
      <c r="D70" s="14" t="s">
        <v>232</v>
      </c>
      <c r="E70" s="15">
        <v>42794</v>
      </c>
      <c r="F70" s="18">
        <v>42794</v>
      </c>
      <c r="G70" s="17" t="str">
        <f t="shared" si="5"/>
        <v>EOM</v>
      </c>
      <c r="H70" s="15">
        <v>42978</v>
      </c>
      <c r="I70" s="15">
        <v>45169</v>
      </c>
      <c r="J70" s="15" t="s">
        <v>292</v>
      </c>
      <c r="K70" s="16">
        <v>2.1250000000000002E-2</v>
      </c>
      <c r="L70" s="15">
        <v>45351</v>
      </c>
      <c r="M70" s="19" t="str">
        <f ca="1">_xll.meLWOBondCreateFromGeneratorLVB(C70,$M$4,_xll.meUtilityLVBFromKeysValues($C$6:$L$6,C70:L70))</f>
        <v>US912828W481@1371:4</v>
      </c>
      <c r="N70" s="53">
        <f ca="1">_xll.BDP($B70,$N$5)</f>
        <v>2.9537401999999999</v>
      </c>
      <c r="O70" s="52">
        <f ca="1">_xll.meLWOBondCleanPrice($M70,$C$4,$N70%)</f>
        <v>95.968750078042447</v>
      </c>
      <c r="P70" s="52">
        <f ca="1">_xll.meLWOBondDirtyPrice($M70,$C$4,$N70%)</f>
        <v>96.420752840473384</v>
      </c>
      <c r="Q70" s="51">
        <f ca="1">_xll.meLWOBondYield($M70,$C$4,O70)</f>
        <v>2.9537402000003578E-2</v>
      </c>
      <c r="R70" s="52">
        <f ca="1">_xll.meLWOBondModifiedDuration($M70,$C$4,$N70%)</f>
        <v>4.9267844079720753</v>
      </c>
      <c r="S70" s="21">
        <f ca="1">_xll.meLWOBondDV01($M70,$C$4,$N70%)</f>
        <v>475.04426169937346</v>
      </c>
      <c r="T70" s="50">
        <f t="shared" ca="1" si="4"/>
        <v>2.9537401999999999</v>
      </c>
      <c r="U70" s="20">
        <f ca="1">_xll.BDP($B70,U$6, "YAS_BOND_YLD="&amp;$T70,"YAS_YLD_CONV=2")</f>
        <v>95.968750078042433</v>
      </c>
      <c r="V70" s="21">
        <f ca="1">_xll.meLWOBondCleanPrice($M70,$C$4,$T70%)</f>
        <v>95.968750078042447</v>
      </c>
      <c r="W70" s="22">
        <f t="shared" ca="1" si="6"/>
        <v>1.4210854715202004E-14</v>
      </c>
      <c r="X70" s="21">
        <f ca="1">_xll.meLWOBondDV01($M70,$C$4,$T70%)</f>
        <v>475.04426169937346</v>
      </c>
      <c r="Y70" s="20">
        <f ca="1">_xll.BDP($B70,Y$6, "YLD_YTM_ASK="&amp;$T70,"YAS_YLD_CONV=3")*$Y$3*0.0001</f>
        <v>475.04428895209116</v>
      </c>
      <c r="Z70" s="22">
        <f t="shared" ca="1" si="7"/>
        <v>2.7252717700321227E-5</v>
      </c>
      <c r="AA70" s="21">
        <f ca="1">_xll.meLWOBondDirtyPrice($M70,$C$4,$T70%)</f>
        <v>96.420752840473384</v>
      </c>
      <c r="AB70" s="21">
        <f ca="1">_xll.meLWOBondModifiedDuration($M70,$C$4,$T70%)</f>
        <v>4.9267844079720753</v>
      </c>
      <c r="AC70" s="20">
        <f ca="1">_xll.BDP($B70,AC$6,"YLD_YTM_ASK="&amp;$T70,"YAS_YLD_CONV=3")</f>
        <v>4.9267846906157704</v>
      </c>
      <c r="AD70" s="22">
        <f t="shared" ca="1" si="8"/>
        <v>2.826436951153255E-7</v>
      </c>
      <c r="AE70" s="21">
        <f ca="1">_xll.meLWOBondDV01Numerical($M70,$C$4,$T70%,0.5,"CENTRAL")</f>
        <v>475.04426851361359</v>
      </c>
    </row>
    <row r="71" spans="2:31">
      <c r="B71" s="14" t="s">
        <v>183</v>
      </c>
      <c r="C71" s="14" t="s">
        <v>184</v>
      </c>
      <c r="D71" s="14" t="s">
        <v>184</v>
      </c>
      <c r="E71" s="15">
        <v>41774</v>
      </c>
      <c r="F71" s="18">
        <v>41774</v>
      </c>
      <c r="G71" s="17" t="str">
        <f t="shared" ref="G71:G102" si="9">IF(DAY(L71+1)=1, "EOM","")</f>
        <v/>
      </c>
      <c r="H71" s="15">
        <v>41958</v>
      </c>
      <c r="I71" s="15">
        <v>45245</v>
      </c>
      <c r="J71" s="15" t="s">
        <v>292</v>
      </c>
      <c r="K71" s="16">
        <v>2.5000000000000001E-2</v>
      </c>
      <c r="L71" s="15">
        <v>45427</v>
      </c>
      <c r="M71" s="19" t="str">
        <f ca="1">_xll.meLWOBondCreateFromGeneratorLVB(C71,$M$4,_xll.meUtilityLVBFromKeysValues($C$6:$L$6,C71:L71))</f>
        <v>US912828WJ58@1370:4</v>
      </c>
      <c r="N71" s="53">
        <f ca="1">_xll.BDP($B71,$N$5)</f>
        <v>2.9604637</v>
      </c>
      <c r="O71" s="52">
        <f ca="1">_xll.meLWOBondCleanPrice($M71,$C$4,$N71%)</f>
        <v>97.679687325252644</v>
      </c>
      <c r="P71" s="52">
        <f ca="1">_xll.meLWOBondDirtyPrice($M71,$C$4,$N71%)</f>
        <v>97.686593402600707</v>
      </c>
      <c r="Q71" s="51">
        <f ca="1">_xll.meLWOBondYield($M71,$C$4,O71)</f>
        <v>2.9604637000001398E-2</v>
      </c>
      <c r="R71" s="52">
        <f ca="1">_xll.meLWOBondModifiedDuration($M71,$C$4,$N71%)</f>
        <v>5.0898512699870286</v>
      </c>
      <c r="S71" s="21">
        <f ca="1">_xll.meLWOBondDV01($M71,$C$4,$N71%)</f>
        <v>497.21023149093372</v>
      </c>
      <c r="T71" s="50">
        <f t="shared" ca="1" si="4"/>
        <v>2.9604637</v>
      </c>
      <c r="U71" s="20">
        <f ca="1">_xll.BDP($B71,U$6, "YAS_BOND_YLD="&amp;$T71,"YAS_YLD_CONV=2")</f>
        <v>97.679687325252644</v>
      </c>
      <c r="V71" s="21">
        <f ca="1">_xll.meLWOBondCleanPrice($M71,$C$4,$T71%)</f>
        <v>97.679687325252644</v>
      </c>
      <c r="W71" s="22">
        <f t="shared" ref="W71:W102" ca="1" si="10">ABS(V71-U71)</f>
        <v>0</v>
      </c>
      <c r="X71" s="21">
        <f ca="1">_xll.meLWOBondDV01($M71,$C$4,$T71%)</f>
        <v>497.21023149093372</v>
      </c>
      <c r="Y71" s="20">
        <f ca="1">_xll.BDP($B71,Y$6, "YLD_YTM_ASK="&amp;$T71,"YAS_YLD_CONV=3")*$Y$3*0.0001</f>
        <v>497.21026186539069</v>
      </c>
      <c r="Z71" s="22">
        <f t="shared" ref="Z71:Z102" ca="1" si="11">ABS(Y71-X71)</f>
        <v>3.0374456969184394E-5</v>
      </c>
      <c r="AA71" s="21">
        <f ca="1">_xll.meLWOBondDirtyPrice($M71,$C$4,$T71%)</f>
        <v>97.686593402600707</v>
      </c>
      <c r="AB71" s="21">
        <f ca="1">_xll.meLWOBondModifiedDuration($M71,$C$4,$T71%)</f>
        <v>5.0898512699870286</v>
      </c>
      <c r="AC71" s="20">
        <f ca="1">_xll.BDP($B71,AC$6,"YLD_YTM_ASK="&amp;$T71,"YAS_YLD_CONV=3")</f>
        <v>5.0898515809248579</v>
      </c>
      <c r="AD71" s="22">
        <f t="shared" ref="AD71:AD102" ca="1" si="12">ABS(AC71-AB71)</f>
        <v>3.1093782926205904E-7</v>
      </c>
      <c r="AE71" s="21">
        <f ca="1">_xll.meLWOBondDV01Numerical($M71,$C$4,$T71%,0.5,"CENTRAL")</f>
        <v>497.21023908574585</v>
      </c>
    </row>
    <row r="72" spans="2:31">
      <c r="B72" s="14" t="s">
        <v>223</v>
      </c>
      <c r="C72" s="14" t="s">
        <v>224</v>
      </c>
      <c r="D72" s="14" t="s">
        <v>224</v>
      </c>
      <c r="E72" s="15">
        <v>41866</v>
      </c>
      <c r="F72" s="18">
        <v>41866</v>
      </c>
      <c r="G72" s="17" t="str">
        <f t="shared" si="9"/>
        <v/>
      </c>
      <c r="H72" s="15">
        <v>42050</v>
      </c>
      <c r="I72" s="15">
        <v>45337</v>
      </c>
      <c r="J72" s="15" t="s">
        <v>292</v>
      </c>
      <c r="K72" s="16">
        <v>2.375E-2</v>
      </c>
      <c r="L72" s="15">
        <v>45519</v>
      </c>
      <c r="M72" s="19" t="str">
        <f ca="1">_xll.meLWOBondCreateFromGeneratorLVB(C72,$M$4,_xll.meUtilityLVBFromKeysValues($C$6:$L$6,C72:L72))</f>
        <v>US912828D564@1369:4</v>
      </c>
      <c r="N72" s="53">
        <f ca="1">_xll.BDP($B72,$N$5)</f>
        <v>2.9761261000000001</v>
      </c>
      <c r="O72" s="52">
        <f ca="1">_xll.meLWOBondCleanPrice($M72,$C$4,$N72%)</f>
        <v>96.843750035985394</v>
      </c>
      <c r="P72" s="52">
        <f ca="1">_xll.meLWOBondDirtyPrice($M72,$C$4,$N72%)</f>
        <v>97.443953840333222</v>
      </c>
      <c r="Q72" s="51">
        <f ca="1">_xll.meLWOBondYield($M72,$C$4,O72)</f>
        <v>2.976126100000219E-2</v>
      </c>
      <c r="R72" s="52">
        <f ca="1">_xll.meLWOBondModifiedDuration($M72,$C$4,$N72%)</f>
        <v>5.2882463248765132</v>
      </c>
      <c r="S72" s="21">
        <f ca="1">_xll.meLWOBondDV01($M72,$C$4,$N72%)</f>
        <v>515.30763077757877</v>
      </c>
      <c r="T72" s="50">
        <f t="shared" ref="T72:T132" ca="1" si="13">N72</f>
        <v>2.9761261000000001</v>
      </c>
      <c r="U72" s="20">
        <f ca="1">_xll.BDP($B72,U$6, "YAS_BOND_YLD="&amp;$T72,"YAS_YLD_CONV=2")</f>
        <v>96.84375003598538</v>
      </c>
      <c r="V72" s="21">
        <f ca="1">_xll.meLWOBondCleanPrice($M72,$C$4,$T72%)</f>
        <v>96.843750035985394</v>
      </c>
      <c r="W72" s="22">
        <f t="shared" ca="1" si="10"/>
        <v>1.4210854715202004E-14</v>
      </c>
      <c r="X72" s="21">
        <f ca="1">_xll.meLWOBondDV01($M72,$C$4,$T72%)</f>
        <v>515.30763077757877</v>
      </c>
      <c r="Y72" s="20">
        <f ca="1">_xll.BDP($B72,Y$6, "YLD_YTM_ASK="&amp;$T72,"YAS_YLD_CONV=3")*$Y$3*0.0001</f>
        <v>515.30766481995727</v>
      </c>
      <c r="Z72" s="22">
        <f t="shared" ca="1" si="11"/>
        <v>3.4042378501908388E-5</v>
      </c>
      <c r="AA72" s="21">
        <f ca="1">_xll.meLWOBondDirtyPrice($M72,$C$4,$T72%)</f>
        <v>97.443953840333222</v>
      </c>
      <c r="AB72" s="21">
        <f ca="1">_xll.meLWOBondModifiedDuration($M72,$C$4,$T72%)</f>
        <v>5.2882463248765132</v>
      </c>
      <c r="AC72" s="20">
        <f ca="1">_xll.BDP($B72,AC$6,"YLD_YTM_ASK="&amp;$T72,"YAS_YLD_CONV=3")</f>
        <v>5.2882466742299341</v>
      </c>
      <c r="AD72" s="22">
        <f t="shared" ca="1" si="12"/>
        <v>3.4935342085873344E-7</v>
      </c>
      <c r="AE72" s="21">
        <f ca="1">_xll.meLWOBondDV01Numerical($M72,$C$4,$T72%,0.5,"CENTRAL")</f>
        <v>515.30763928695933</v>
      </c>
    </row>
    <row r="73" spans="2:31">
      <c r="B73" s="14" t="s">
        <v>263</v>
      </c>
      <c r="C73" s="14" t="s">
        <v>264</v>
      </c>
      <c r="D73" s="14" t="s">
        <v>264</v>
      </c>
      <c r="E73" s="15">
        <v>41960</v>
      </c>
      <c r="F73" s="18">
        <v>41958</v>
      </c>
      <c r="G73" s="17" t="str">
        <f t="shared" si="9"/>
        <v/>
      </c>
      <c r="H73" s="15">
        <v>42139</v>
      </c>
      <c r="I73" s="15">
        <v>45427</v>
      </c>
      <c r="J73" s="15" t="s">
        <v>292</v>
      </c>
      <c r="K73" s="16">
        <v>2.2499999999999999E-2</v>
      </c>
      <c r="L73" s="15">
        <v>45611</v>
      </c>
      <c r="M73" s="19" t="str">
        <f ca="1">_xll.meLWOBondCreateFromGeneratorLVB(C73,$M$4,_xll.meUtilityLVBFromKeysValues($C$6:$L$6,C73:L73))</f>
        <v>US912828G385@1368:4</v>
      </c>
      <c r="N73" s="53">
        <f ca="1">_xll.BDP($B73,$N$5)</f>
        <v>2.9892244999999997</v>
      </c>
      <c r="O73" s="52">
        <f ca="1">_xll.meLWOBondCleanPrice($M73,$C$4,$N73%)</f>
        <v>95.968749802282105</v>
      </c>
      <c r="P73" s="52">
        <f ca="1">_xll.meLWOBondDirtyPrice($M73,$C$4,$N73%)</f>
        <v>95.974965271895371</v>
      </c>
      <c r="Q73" s="51">
        <f ca="1">_xll.meLWOBondYield($M73,$C$4,O73)</f>
        <v>2.9892245000004768E-2</v>
      </c>
      <c r="R73" s="52">
        <f ca="1">_xll.meLWOBondModifiedDuration($M73,$C$4,$N73%)</f>
        <v>5.551217917967576</v>
      </c>
      <c r="S73" s="21">
        <f ca="1">_xll.meLWOBondDV01($M73,$C$4,$N73%)</f>
        <v>532.77794689366146</v>
      </c>
      <c r="T73" s="50">
        <f t="shared" ca="1" si="13"/>
        <v>2.9892244999999997</v>
      </c>
      <c r="U73" s="20">
        <f ca="1">_xll.BDP($B73,U$6, "YAS_BOND_YLD="&amp;$T73,"YAS_YLD_CONV=2")</f>
        <v>95.968749802282105</v>
      </c>
      <c r="V73" s="21">
        <f ca="1">_xll.meLWOBondCleanPrice($M73,$C$4,$T73%)</f>
        <v>95.968749802282105</v>
      </c>
      <c r="W73" s="22">
        <f t="shared" ca="1" si="10"/>
        <v>0</v>
      </c>
      <c r="X73" s="21">
        <f ca="1">_xll.meLWOBondDV01($M73,$C$4,$T73%)</f>
        <v>532.77794689366146</v>
      </c>
      <c r="Y73" s="20">
        <f ca="1">_xll.BDP($B73,Y$6, "YLD_YTM_ASK="&amp;$T73,"YAS_YLD_CONV=3")*$Y$3*0.0001</f>
        <v>532.77798485801497</v>
      </c>
      <c r="Z73" s="22">
        <f t="shared" ca="1" si="11"/>
        <v>3.7964353509778448E-5</v>
      </c>
      <c r="AA73" s="21">
        <f ca="1">_xll.meLWOBondDirtyPrice($M73,$C$4,$T73%)</f>
        <v>95.974965271895371</v>
      </c>
      <c r="AB73" s="21">
        <f ca="1">_xll.meLWOBondModifiedDuration($M73,$C$4,$T73%)</f>
        <v>5.551217917967576</v>
      </c>
      <c r="AC73" s="20">
        <f ca="1">_xll.BDP($B73,AC$6,"YLD_YTM_ASK="&amp;$T73,"YAS_YLD_CONV=3")</f>
        <v>5.5512183135327442</v>
      </c>
      <c r="AD73" s="22">
        <f t="shared" ca="1" si="12"/>
        <v>3.9556516817640386E-7</v>
      </c>
      <c r="AE73" s="21">
        <f ca="1">_xll.meLWOBondDV01Numerical($M73,$C$4,$T73%,0.5,"CENTRAL")</f>
        <v>532.77795638351233</v>
      </c>
    </row>
    <row r="74" spans="2:31">
      <c r="B74" s="14" t="s">
        <v>171</v>
      </c>
      <c r="C74" s="14" t="s">
        <v>172</v>
      </c>
      <c r="D74" s="14" t="s">
        <v>172</v>
      </c>
      <c r="E74" s="15">
        <v>42052</v>
      </c>
      <c r="F74" s="18">
        <v>42050</v>
      </c>
      <c r="G74" s="17" t="str">
        <f t="shared" si="9"/>
        <v/>
      </c>
      <c r="H74" s="15">
        <v>42231</v>
      </c>
      <c r="I74" s="15">
        <v>45519</v>
      </c>
      <c r="J74" s="15" t="s">
        <v>292</v>
      </c>
      <c r="K74" s="16">
        <v>0.02</v>
      </c>
      <c r="L74" s="15">
        <v>45703</v>
      </c>
      <c r="M74" s="19" t="str">
        <f ca="1">_xll.meLWOBondCreateFromGeneratorLVB(C74,$M$4,_xll.meUtilityLVBFromKeysValues($C$6:$L$6,C74:L74))</f>
        <v>US912828J272@1367:4</v>
      </c>
      <c r="N74" s="53">
        <f ca="1">_xll.BDP($B74,$N$5)</f>
        <v>2.9978617999999999</v>
      </c>
      <c r="O74" s="52">
        <f ca="1">_xll.meLWOBondCleanPrice($M74,$C$4,$N74%)</f>
        <v>94.351562247578855</v>
      </c>
      <c r="P74" s="52">
        <f ca="1">_xll.meLWOBondDirtyPrice($M74,$C$4,$N74%)</f>
        <v>94.856997030187557</v>
      </c>
      <c r="Q74" s="51">
        <f ca="1">_xll.meLWOBondYield($M74,$C$4,O74)</f>
        <v>2.9978618000007316E-2</v>
      </c>
      <c r="R74" s="52">
        <f ca="1">_xll.meLWOBondModifiedDuration($M74,$C$4,$N74%)</f>
        <v>5.7739099420603921</v>
      </c>
      <c r="S74" s="21">
        <f ca="1">_xll.meLWOBondDV01($M74,$C$4,$N74%)</f>
        <v>547.69575822659306</v>
      </c>
      <c r="T74" s="50">
        <f t="shared" ca="1" si="13"/>
        <v>2.9978617999999999</v>
      </c>
      <c r="U74" s="20">
        <f ca="1">_xll.BDP($B74,U$6, "YAS_BOND_YLD="&amp;$T74,"YAS_YLD_CONV=2")</f>
        <v>94.351562247578826</v>
      </c>
      <c r="V74" s="21">
        <f ca="1">_xll.meLWOBondCleanPrice($M74,$C$4,$T74%)</f>
        <v>94.351562247578855</v>
      </c>
      <c r="W74" s="22">
        <f t="shared" ca="1" si="10"/>
        <v>2.8421709430404007E-14</v>
      </c>
      <c r="X74" s="21">
        <f ca="1">_xll.meLWOBondDV01($M74,$C$4,$T74%)</f>
        <v>547.69575822659306</v>
      </c>
      <c r="Y74" s="20">
        <f ca="1">_xll.BDP($B74,Y$6, "YLD_YTM_ASK="&amp;$T74,"YAS_YLD_CONV=3")*$Y$3*0.0001</f>
        <v>547.69580028050768</v>
      </c>
      <c r="Z74" s="22">
        <f t="shared" ca="1" si="11"/>
        <v>4.2053914626194455E-5</v>
      </c>
      <c r="AA74" s="21">
        <f ca="1">_xll.meLWOBondDirtyPrice($M74,$C$4,$T74%)</f>
        <v>94.856997030187557</v>
      </c>
      <c r="AB74" s="21">
        <f ca="1">_xll.meLWOBondModifiedDuration($M74,$C$4,$T74%)</f>
        <v>5.7739099420603921</v>
      </c>
      <c r="AC74" s="20">
        <f ca="1">_xll.BDP($B74,AC$6,"YLD_YTM_ASK="&amp;$T74,"YAS_YLD_CONV=3")</f>
        <v>5.7739103854005389</v>
      </c>
      <c r="AD74" s="22">
        <f t="shared" ca="1" si="12"/>
        <v>4.4334014681624012E-7</v>
      </c>
      <c r="AE74" s="21">
        <f ca="1">_xll.meLWOBondDV01Numerical($M74,$C$4,$T74%,0.5,"CENTRAL")</f>
        <v>547.6957687388051</v>
      </c>
    </row>
    <row r="75" spans="2:31">
      <c r="B75" s="14" t="s">
        <v>191</v>
      </c>
      <c r="C75" s="14" t="s">
        <v>192</v>
      </c>
      <c r="D75" s="14" t="s">
        <v>192</v>
      </c>
      <c r="E75" s="15">
        <v>42139</v>
      </c>
      <c r="F75" s="18">
        <v>42139</v>
      </c>
      <c r="G75" s="17" t="str">
        <f t="shared" si="9"/>
        <v/>
      </c>
      <c r="H75" s="15">
        <v>42323</v>
      </c>
      <c r="I75" s="15">
        <v>45611</v>
      </c>
      <c r="J75" s="15" t="s">
        <v>292</v>
      </c>
      <c r="K75" s="16">
        <v>2.1250000000000002E-2</v>
      </c>
      <c r="L75" s="15">
        <v>45792</v>
      </c>
      <c r="M75" s="19" t="str">
        <f ca="1">_xll.meLWOBondCreateFromGeneratorLVB(C75,$M$4,_xll.meUtilityLVBFromKeysValues($C$6:$L$6,C75:L75))</f>
        <v>US912828XB14@1366:4</v>
      </c>
      <c r="N75" s="53">
        <f ca="1">_xll.BDP($B75,$N$5)</f>
        <v>3.0086244999999998</v>
      </c>
      <c r="O75" s="52">
        <f ca="1">_xll.meLWOBondCleanPrice($M75,$C$4,$N75%)</f>
        <v>94.82031255122007</v>
      </c>
      <c r="P75" s="52">
        <f ca="1">_xll.meLWOBondDirtyPrice($M75,$C$4,$N75%)</f>
        <v>94.826182716965931</v>
      </c>
      <c r="Q75" s="51">
        <f ca="1">_xll.meLWOBondYield($M75,$C$4,O75)</f>
        <v>3.0086245000006513E-2</v>
      </c>
      <c r="R75" s="52">
        <f ca="1">_xll.meLWOBondModifiedDuration($M75,$C$4,$N75%)</f>
        <v>5.9990025983426607</v>
      </c>
      <c r="S75" s="21">
        <f ca="1">_xll.meLWOBondDV01($M75,$C$4,$N75%)</f>
        <v>568.86251650999452</v>
      </c>
      <c r="T75" s="50">
        <f t="shared" ca="1" si="13"/>
        <v>3.0086244999999998</v>
      </c>
      <c r="U75" s="20">
        <f ca="1">_xll.BDP($B75,U$6, "YAS_BOND_YLD="&amp;$T75,"YAS_YLD_CONV=2")</f>
        <v>94.82031255122007</v>
      </c>
      <c r="V75" s="21">
        <f ca="1">_xll.meLWOBondCleanPrice($M75,$C$4,$T75%)</f>
        <v>94.82031255122007</v>
      </c>
      <c r="W75" s="22">
        <f t="shared" ca="1" si="10"/>
        <v>0</v>
      </c>
      <c r="X75" s="21">
        <f ca="1">_xll.meLWOBondDV01($M75,$C$4,$T75%)</f>
        <v>568.86251650999452</v>
      </c>
      <c r="Y75" s="20">
        <f ca="1">_xll.BDP($B75,Y$6, "YLD_YTM_ASK="&amp;$T75,"YAS_YLD_CONV=3")*$Y$3*0.0001</f>
        <v>568.86256322044915</v>
      </c>
      <c r="Z75" s="22">
        <f t="shared" ca="1" si="11"/>
        <v>4.6710454626008868E-5</v>
      </c>
      <c r="AA75" s="21">
        <f ca="1">_xll.meLWOBondDirtyPrice($M75,$C$4,$T75%)</f>
        <v>94.826182716965931</v>
      </c>
      <c r="AB75" s="21">
        <f ca="1">_xll.meLWOBondModifiedDuration($M75,$C$4,$T75%)</f>
        <v>5.9990025983426607</v>
      </c>
      <c r="AC75" s="20">
        <f ca="1">_xll.BDP($B75,AC$6,"YLD_YTM_ASK="&amp;$T75,"YAS_YLD_CONV=3")</f>
        <v>5.9990030909329244</v>
      </c>
      <c r="AD75" s="22">
        <f t="shared" ca="1" si="12"/>
        <v>4.925902636898627E-7</v>
      </c>
      <c r="AE75" s="21">
        <f ca="1">_xll.meLWOBondDV01Numerical($M75,$C$4,$T75%,0.5,"CENTRAL")</f>
        <v>568.86252818870275</v>
      </c>
    </row>
    <row r="76" spans="2:31">
      <c r="B76" s="14" t="s">
        <v>28</v>
      </c>
      <c r="C76" s="14" t="s">
        <v>29</v>
      </c>
      <c r="D76" s="14" t="s">
        <v>29</v>
      </c>
      <c r="E76" s="15">
        <v>34926</v>
      </c>
      <c r="F76" s="18">
        <v>34926</v>
      </c>
      <c r="G76" s="17" t="str">
        <f t="shared" si="9"/>
        <v/>
      </c>
      <c r="H76" s="15">
        <v>35110</v>
      </c>
      <c r="I76" s="15">
        <v>45703</v>
      </c>
      <c r="J76" s="15" t="s">
        <v>292</v>
      </c>
      <c r="K76" s="16">
        <v>6.8750000000000006E-2</v>
      </c>
      <c r="L76" s="15">
        <v>45884</v>
      </c>
      <c r="M76" s="19" t="str">
        <f ca="1">_xll.meLWOBondCreateFromGeneratorLVB(C76,$M$4,_xll.meUtilityLVBFromKeysValues($C$6:$L$6,C76:L76))</f>
        <v>US912810EV62@1365:4</v>
      </c>
      <c r="N76" s="53">
        <f ca="1">_xll.BDP($B76,$N$5)</f>
        <v>2.9915471</v>
      </c>
      <c r="O76" s="52">
        <f ca="1">_xll.meLWOBondCleanPrice($M76,$C$4,$N76%)</f>
        <v>123.56249984363137</v>
      </c>
      <c r="P76" s="52">
        <f ca="1">_xll.meLWOBondDirtyPrice($M76,$C$4,$N76%)</f>
        <v>125.29993190884876</v>
      </c>
      <c r="Q76" s="51">
        <f ca="1">_xll.meLWOBondYield($M76,$C$4,O76)</f>
        <v>2.9915471000000481E-2</v>
      </c>
      <c r="R76" s="52">
        <f ca="1">_xll.meLWOBondModifiedDuration($M76,$C$4,$N76%)</f>
        <v>5.4961206333657904</v>
      </c>
      <c r="S76" s="21">
        <f ca="1">_xll.meLWOBondDV01($M76,$C$4,$N76%)</f>
        <v>688.66354112355225</v>
      </c>
      <c r="T76" s="50">
        <f t="shared" ca="1" si="13"/>
        <v>2.9915471</v>
      </c>
      <c r="U76" s="20">
        <f ca="1">_xll.BDP($B76,U$6, "YAS_BOND_YLD="&amp;$T76,"YAS_YLD_CONV=2")</f>
        <v>123.56249984363143</v>
      </c>
      <c r="V76" s="21">
        <f ca="1">_xll.meLWOBondCleanPrice($M76,$C$4,$T76%)</f>
        <v>123.56249984363137</v>
      </c>
      <c r="W76" s="22">
        <f t="shared" ca="1" si="10"/>
        <v>5.6843418860808015E-14</v>
      </c>
      <c r="X76" s="21">
        <f ca="1">_xll.meLWOBondDV01($M76,$C$4,$T76%)</f>
        <v>688.66354112355225</v>
      </c>
      <c r="Y76" s="20">
        <f ca="1">_xll.BDP($B76,Y$6, "YLD_YTM_ASK="&amp;$T76,"YAS_YLD_CONV=3")*$Y$3*0.0001</f>
        <v>688.6635978241884</v>
      </c>
      <c r="Z76" s="22">
        <f t="shared" ca="1" si="11"/>
        <v>5.6700636150708306E-5</v>
      </c>
      <c r="AA76" s="21">
        <f ca="1">_xll.meLWOBondDirtyPrice($M76,$C$4,$T76%)</f>
        <v>125.29993190884876</v>
      </c>
      <c r="AB76" s="21">
        <f ca="1">_xll.meLWOBondModifiedDuration($M76,$C$4,$T76%)</f>
        <v>5.4961206333657904</v>
      </c>
      <c r="AC76" s="20">
        <f ca="1">_xll.BDP($B76,AC$6,"YLD_YTM_ASK="&amp;$T76,"YAS_YLD_CONV=3")</f>
        <v>5.4961210858850889</v>
      </c>
      <c r="AD76" s="22">
        <f t="shared" ca="1" si="12"/>
        <v>4.5251929847722749E-7</v>
      </c>
      <c r="AE76" s="21">
        <f ca="1">_xll.meLWOBondDV01Numerical($M76,$C$4,$T76%,0.5,"CENTRAL")</f>
        <v>688.66355530005319</v>
      </c>
    </row>
    <row r="77" spans="2:31">
      <c r="B77" s="14" t="s">
        <v>38</v>
      </c>
      <c r="C77" s="14" t="s">
        <v>39</v>
      </c>
      <c r="D77" s="14" t="s">
        <v>39</v>
      </c>
      <c r="E77" s="15">
        <v>42233</v>
      </c>
      <c r="F77" s="18">
        <v>42231</v>
      </c>
      <c r="G77" s="17" t="str">
        <f t="shared" si="9"/>
        <v/>
      </c>
      <c r="H77" s="15">
        <v>42415</v>
      </c>
      <c r="I77" s="15">
        <v>45703</v>
      </c>
      <c r="J77" s="15" t="s">
        <v>292</v>
      </c>
      <c r="K77" s="16">
        <v>0.02</v>
      </c>
      <c r="L77" s="15">
        <v>45884</v>
      </c>
      <c r="M77" s="19" t="str">
        <f ca="1">_xll.meLWOBondCreateFromGeneratorLVB(C77,$M$4,_xll.meUtilityLVBFromKeysValues($C$6:$L$6,C77:L77))</f>
        <v>US912828K742@1364:4</v>
      </c>
      <c r="N77" s="53">
        <f ca="1">_xll.BDP($B77,$N$5)</f>
        <v>3.0202194000000002</v>
      </c>
      <c r="O77" s="52">
        <f ca="1">_xll.meLWOBondCleanPrice($M77,$C$4,$N77%)</f>
        <v>93.812499825312742</v>
      </c>
      <c r="P77" s="52">
        <f ca="1">_xll.meLWOBondDirtyPrice($M77,$C$4,$N77%)</f>
        <v>94.317934607921444</v>
      </c>
      <c r="Q77" s="51">
        <f ca="1">_xll.meLWOBondYield($M77,$C$4,O77)</f>
        <v>3.0202194000008495E-2</v>
      </c>
      <c r="R77" s="52">
        <f ca="1">_xll.meLWOBondModifiedDuration($M77,$C$4,$N77%)</f>
        <v>6.2021377959407875</v>
      </c>
      <c r="S77" s="21">
        <f ca="1">_xll.meLWOBondDV01($M77,$C$4,$N77%)</f>
        <v>584.97282706686121</v>
      </c>
      <c r="T77" s="50">
        <f t="shared" ca="1" si="13"/>
        <v>3.0202194000000002</v>
      </c>
      <c r="U77" s="20">
        <f ca="1">_xll.BDP($B77,U$6, "YAS_BOND_YLD="&amp;$T77,"YAS_YLD_CONV=2")</f>
        <v>93.812499825312742</v>
      </c>
      <c r="V77" s="21">
        <f ca="1">_xll.meLWOBondCleanPrice($M77,$C$4,$T77%)</f>
        <v>93.812499825312742</v>
      </c>
      <c r="W77" s="22">
        <f t="shared" ca="1" si="10"/>
        <v>0</v>
      </c>
      <c r="X77" s="21">
        <f ca="1">_xll.meLWOBondDV01($M77,$C$4,$T77%)</f>
        <v>584.97282706686121</v>
      </c>
      <c r="Y77" s="20">
        <f ca="1">_xll.BDP($B77,Y$6, "YLD_YTM_ASK="&amp;$T77,"YAS_YLD_CONV=3")*$Y$3*0.0001</f>
        <v>584.9728784890118</v>
      </c>
      <c r="Z77" s="22">
        <f t="shared" ca="1" si="11"/>
        <v>5.1422150590951787E-5</v>
      </c>
      <c r="AA77" s="21">
        <f ca="1">_xll.meLWOBondDirtyPrice($M77,$C$4,$T77%)</f>
        <v>94.317934607921444</v>
      </c>
      <c r="AB77" s="21">
        <f ca="1">_xll.meLWOBondModifiedDuration($M77,$C$4,$T77%)</f>
        <v>6.2021377959407875</v>
      </c>
      <c r="AC77" s="20">
        <f ca="1">_xll.BDP($B77,AC$6,"YLD_YTM_ASK="&amp;$T77,"YAS_YLD_CONV=3")</f>
        <v>6.2021383411409188</v>
      </c>
      <c r="AD77" s="22">
        <f t="shared" ca="1" si="12"/>
        <v>5.4520013126335698E-7</v>
      </c>
      <c r="AE77" s="21">
        <f ca="1">_xll.meLWOBondDV01Numerical($M77,$C$4,$T77%,0.5,"CENTRAL")</f>
        <v>584.97283992366533</v>
      </c>
    </row>
    <row r="78" spans="2:31">
      <c r="B78" s="14" t="s">
        <v>211</v>
      </c>
      <c r="C78" s="14" t="s">
        <v>212</v>
      </c>
      <c r="D78" s="14" t="s">
        <v>212</v>
      </c>
      <c r="E78" s="15">
        <v>42324</v>
      </c>
      <c r="F78" s="18">
        <v>42323</v>
      </c>
      <c r="G78" s="17" t="str">
        <f t="shared" si="9"/>
        <v/>
      </c>
      <c r="H78" s="15">
        <v>42505</v>
      </c>
      <c r="I78" s="15">
        <v>45792</v>
      </c>
      <c r="J78" s="15" t="s">
        <v>292</v>
      </c>
      <c r="K78" s="16">
        <v>2.2499999999999999E-2</v>
      </c>
      <c r="L78" s="15">
        <v>45976</v>
      </c>
      <c r="M78" s="19" t="str">
        <f ca="1">_xll.meLWOBondCreateFromGeneratorLVB(C78,$M$4,_xll.meUtilityLVBFromKeysValues($C$6:$L$6,C78:L78))</f>
        <v>US912828M565@1363:4</v>
      </c>
      <c r="N78" s="53">
        <f ca="1">_xll.BDP($B78,$N$5)</f>
        <v>3.0283593999999998</v>
      </c>
      <c r="O78" s="52">
        <f ca="1">_xll.meLWOBondCleanPrice($M78,$C$4,$N78%)</f>
        <v>95.124999711324406</v>
      </c>
      <c r="P78" s="52">
        <f ca="1">_xll.meLWOBondDirtyPrice($M78,$C$4,$N78%)</f>
        <v>95.131215180937673</v>
      </c>
      <c r="Q78" s="51">
        <f ca="1">_xll.meLWOBondYield($M78,$C$4,O78)</f>
        <v>3.0283594000006974E-2</v>
      </c>
      <c r="R78" s="52">
        <f ca="1">_xll.meLWOBondModifiedDuration($M78,$C$4,$N78%)</f>
        <v>6.4005980165475416</v>
      </c>
      <c r="S78" s="21">
        <f ca="1">_xll.meLWOBondDV01($M78,$C$4,$N78%)</f>
        <v>608.89666719886702</v>
      </c>
      <c r="T78" s="50">
        <f t="shared" ca="1" si="13"/>
        <v>3.0283593999999998</v>
      </c>
      <c r="U78" s="20">
        <f ca="1">_xll.BDP($B78,U$6, "YAS_BOND_YLD="&amp;$T78,"YAS_YLD_CONV=2")</f>
        <v>95.124999711324406</v>
      </c>
      <c r="V78" s="21">
        <f ca="1">_xll.meLWOBondCleanPrice($M78,$C$4,$T78%)</f>
        <v>95.124999711324406</v>
      </c>
      <c r="W78" s="22">
        <f t="shared" ca="1" si="10"/>
        <v>0</v>
      </c>
      <c r="X78" s="21">
        <f ca="1">_xll.meLWOBondDV01($M78,$C$4,$T78%)</f>
        <v>608.89666719886702</v>
      </c>
      <c r="Y78" s="20">
        <f ca="1">_xll.BDP($B78,Y$6, "YLD_YTM_ASK="&amp;$T78,"YAS_YLD_CONV=3")*$Y$3*0.0001</f>
        <v>608.89672405508577</v>
      </c>
      <c r="Z78" s="22">
        <f t="shared" ca="1" si="11"/>
        <v>5.6856218748180254E-5</v>
      </c>
      <c r="AA78" s="21">
        <f ca="1">_xll.meLWOBondDirtyPrice($M78,$C$4,$T78%)</f>
        <v>95.131215180937673</v>
      </c>
      <c r="AB78" s="21">
        <f ca="1">_xll.meLWOBondModifiedDuration($M78,$C$4,$T78%)</f>
        <v>6.4005980165475416</v>
      </c>
      <c r="AC78" s="20">
        <f ca="1">_xll.BDP($B78,AC$6,"YLD_YTM_ASK="&amp;$T78,"YAS_YLD_CONV=3")</f>
        <v>6.4005986142085538</v>
      </c>
      <c r="AD78" s="22">
        <f t="shared" ca="1" si="12"/>
        <v>5.9766101223601709E-7</v>
      </c>
      <c r="AE78" s="21">
        <f ca="1">_xll.meLWOBondDV01Numerical($M78,$C$4,$T78%,0.5,"CENTRAL")</f>
        <v>608.89668141413722</v>
      </c>
    </row>
    <row r="79" spans="2:31">
      <c r="B79" s="14" t="s">
        <v>42</v>
      </c>
      <c r="C79" s="14" t="s">
        <v>43</v>
      </c>
      <c r="D79" s="14" t="s">
        <v>43</v>
      </c>
      <c r="E79" s="15">
        <v>35110</v>
      </c>
      <c r="F79" s="18">
        <v>35110</v>
      </c>
      <c r="G79" s="17" t="str">
        <f t="shared" si="9"/>
        <v/>
      </c>
      <c r="H79" s="15">
        <v>35292</v>
      </c>
      <c r="I79" s="15">
        <v>45884</v>
      </c>
      <c r="J79" s="15" t="s">
        <v>292</v>
      </c>
      <c r="K79" s="16">
        <v>0.06</v>
      </c>
      <c r="L79" s="15">
        <v>46068</v>
      </c>
      <c r="M79" s="19" t="str">
        <f ca="1">_xll.meLWOBondCreateFromGeneratorLVB(C79,$M$4,_xll.meUtilityLVBFromKeysValues($C$6:$L$6,C79:L79))</f>
        <v>US912810EW46@1362:4</v>
      </c>
      <c r="N79" s="53">
        <f ca="1">_xll.BDP($B79,$N$5)</f>
        <v>2.9976650999999999</v>
      </c>
      <c r="O79" s="52">
        <f ca="1">_xll.meLWOBondCleanPrice($M79,$C$4,$N79%)</f>
        <v>119.42187515694219</v>
      </c>
      <c r="P79" s="52">
        <f ca="1">_xll.meLWOBondDirtyPrice($M79,$C$4,$N79%)</f>
        <v>120.93817950476829</v>
      </c>
      <c r="Q79" s="51">
        <f ca="1">_xll.meLWOBondYield($M79,$C$4,O79)</f>
        <v>2.9976651000000538E-2</v>
      </c>
      <c r="R79" s="52">
        <f ca="1">_xll.meLWOBondModifiedDuration($M79,$C$4,$N79%)</f>
        <v>5.9445880521319721</v>
      </c>
      <c r="S79" s="21">
        <f ca="1">_xll.meLWOBondDV01($M79,$C$4,$N79%)</f>
        <v>718.92765693063734</v>
      </c>
      <c r="T79" s="50">
        <f t="shared" ca="1" si="13"/>
        <v>2.9976650999999999</v>
      </c>
      <c r="U79" s="20">
        <f ca="1">_xll.BDP($B79,U$6, "YAS_BOND_YLD="&amp;$T79,"YAS_YLD_CONV=2")</f>
        <v>119.42187515694218</v>
      </c>
      <c r="V79" s="21">
        <f ca="1">_xll.meLWOBondCleanPrice($M79,$C$4,$T79%)</f>
        <v>119.42187515694219</v>
      </c>
      <c r="W79" s="22">
        <f t="shared" ca="1" si="10"/>
        <v>1.4210854715202004E-14</v>
      </c>
      <c r="X79" s="21">
        <f ca="1">_xll.meLWOBondDV01($M79,$C$4,$T79%)</f>
        <v>718.92765693063734</v>
      </c>
      <c r="Y79" s="20">
        <f ca="1">_xll.BDP($B79,Y$6, "YLD_YTM_ASK="&amp;$T79,"YAS_YLD_CONV=3")*$Y$3*0.0001</f>
        <v>718.92772455377951</v>
      </c>
      <c r="Z79" s="22">
        <f t="shared" ca="1" si="11"/>
        <v>6.7623142172124062E-5</v>
      </c>
      <c r="AA79" s="21">
        <f ca="1">_xll.meLWOBondDirtyPrice($M79,$C$4,$T79%)</f>
        <v>120.93817950476829</v>
      </c>
      <c r="AB79" s="21">
        <f ca="1">_xll.meLWOBondModifiedDuration($M79,$C$4,$T79%)</f>
        <v>5.9445880521319721</v>
      </c>
      <c r="AC79" s="20">
        <f ca="1">_xll.BDP($B79,AC$6,"YLD_YTM_ASK="&amp;$T79,"YAS_YLD_CONV=3")</f>
        <v>5.9445886112865889</v>
      </c>
      <c r="AD79" s="22">
        <f t="shared" ca="1" si="12"/>
        <v>5.5915461683042622E-7</v>
      </c>
      <c r="AE79" s="21">
        <f ca="1">_xll.meLWOBondDV01Numerical($M79,$C$4,$T79%,0.5,"CENTRAL")</f>
        <v>718.92767383744172</v>
      </c>
    </row>
    <row r="80" spans="2:31">
      <c r="B80" s="14" t="s">
        <v>109</v>
      </c>
      <c r="C80" s="14" t="s">
        <v>110</v>
      </c>
      <c r="D80" s="14" t="s">
        <v>110</v>
      </c>
      <c r="E80" s="15">
        <v>42416</v>
      </c>
      <c r="F80" s="18">
        <v>42415</v>
      </c>
      <c r="G80" s="17" t="str">
        <f t="shared" si="9"/>
        <v/>
      </c>
      <c r="H80" s="15">
        <v>42597</v>
      </c>
      <c r="I80" s="15">
        <v>45884</v>
      </c>
      <c r="J80" s="15" t="s">
        <v>292</v>
      </c>
      <c r="K80" s="16">
        <v>1.6250000000000001E-2</v>
      </c>
      <c r="L80" s="15">
        <v>46068</v>
      </c>
      <c r="M80" s="19" t="str">
        <f ca="1">_xll.meLWOBondCreateFromGeneratorLVB(C80,$M$4,_xll.meUtilityLVBFromKeysValues($C$6:$L$6,C80:L80))</f>
        <v>US912828P469@1361:4</v>
      </c>
      <c r="N80" s="53">
        <f ca="1">_xll.BDP($B80,$N$5)</f>
        <v>3.0395460000000001</v>
      </c>
      <c r="O80" s="52">
        <f ca="1">_xll.meLWOBondCleanPrice($M80,$C$4,$N80%)</f>
        <v>90.859375188797017</v>
      </c>
      <c r="P80" s="52">
        <f ca="1">_xll.meLWOBondDirtyPrice($M80,$C$4,$N80%)</f>
        <v>91.27004094966658</v>
      </c>
      <c r="Q80" s="51">
        <f ca="1">_xll.meLWOBondYield($M80,$C$4,O80)</f>
        <v>3.0395459999999593E-2</v>
      </c>
      <c r="R80" s="52">
        <f ca="1">_xll.meLWOBondModifiedDuration($M80,$C$4,$N80%)</f>
        <v>6.7101980377544681</v>
      </c>
      <c r="S80" s="21">
        <f ca="1">_xll.meLWOBondDV01($M80,$C$4,$N80%)</f>
        <v>612.44004968622266</v>
      </c>
      <c r="T80" s="50">
        <f t="shared" ca="1" si="13"/>
        <v>3.0395460000000001</v>
      </c>
      <c r="U80" s="20">
        <f ca="1">_xll.BDP($B80,U$6, "YAS_BOND_YLD="&amp;$T80,"YAS_YLD_CONV=2")</f>
        <v>90.859375188797017</v>
      </c>
      <c r="V80" s="21">
        <f ca="1">_xll.meLWOBondCleanPrice($M80,$C$4,$T80%)</f>
        <v>90.859375188797017</v>
      </c>
      <c r="W80" s="22">
        <f t="shared" ca="1" si="10"/>
        <v>0</v>
      </c>
      <c r="X80" s="21">
        <f ca="1">_xll.meLWOBondDV01($M80,$C$4,$T80%)</f>
        <v>612.44004968622266</v>
      </c>
      <c r="Y80" s="20">
        <f ca="1">_xll.BDP($B80,Y$6, "YLD_YTM_ASK="&amp;$T80,"YAS_YLD_CONV=3")*$Y$3*0.0001</f>
        <v>612.4401111584632</v>
      </c>
      <c r="Z80" s="22">
        <f t="shared" ca="1" si="11"/>
        <v>6.1472240531657008E-5</v>
      </c>
      <c r="AA80" s="21">
        <f ca="1">_xll.meLWOBondDirtyPrice($M80,$C$4,$T80%)</f>
        <v>91.27004094966658</v>
      </c>
      <c r="AB80" s="21">
        <f ca="1">_xll.meLWOBondModifiedDuration($M80,$C$4,$T80%)</f>
        <v>6.7101980377544681</v>
      </c>
      <c r="AC80" s="20">
        <f ca="1">_xll.BDP($B80,AC$6,"YLD_YTM_ASK="&amp;$T80,"YAS_YLD_CONV=3")</f>
        <v>6.7101987112749386</v>
      </c>
      <c r="AD80" s="22">
        <f t="shared" ca="1" si="12"/>
        <v>6.7352047050661668E-7</v>
      </c>
      <c r="AE80" s="21">
        <f ca="1">_xll.meLWOBondDV01Numerical($M80,$C$4,$T80%,0.5,"CENTRAL")</f>
        <v>612.44006505575044</v>
      </c>
    </row>
    <row r="81" spans="2:31">
      <c r="B81" s="14" t="s">
        <v>107</v>
      </c>
      <c r="C81" s="14" t="s">
        <v>108</v>
      </c>
      <c r="D81" s="14" t="s">
        <v>108</v>
      </c>
      <c r="E81" s="15">
        <v>42506</v>
      </c>
      <c r="F81" s="18">
        <v>42505</v>
      </c>
      <c r="G81" s="17" t="str">
        <f t="shared" si="9"/>
        <v/>
      </c>
      <c r="H81" s="15">
        <v>42689</v>
      </c>
      <c r="I81" s="15">
        <v>45976</v>
      </c>
      <c r="J81" s="15" t="s">
        <v>292</v>
      </c>
      <c r="K81" s="16">
        <v>1.6250000000000001E-2</v>
      </c>
      <c r="L81" s="15">
        <v>46157</v>
      </c>
      <c r="M81" s="19" t="str">
        <f ca="1">_xll.meLWOBondCreateFromGeneratorLVB(C81,$M$4,_xll.meUtilityLVBFromKeysValues($C$6:$L$6,C81:L81))</f>
        <v>US912828R366@1360:4</v>
      </c>
      <c r="N81" s="53">
        <f ca="1">_xll.BDP($B81,$N$5)</f>
        <v>3.0472739999999998</v>
      </c>
      <c r="O81" s="52">
        <f ca="1">_xll.meLWOBondCleanPrice($M81,$C$4,$N81%)</f>
        <v>90.53124994093973</v>
      </c>
      <c r="P81" s="52">
        <f ca="1">_xll.meLWOBondDirtyPrice($M81,$C$4,$N81%)</f>
        <v>90.535738891215971</v>
      </c>
      <c r="Q81" s="51">
        <f ca="1">_xll.meLWOBondYield($M81,$C$4,O81)</f>
        <v>3.0472740000000179E-2</v>
      </c>
      <c r="R81" s="52">
        <f ca="1">_xll.meLWOBondModifiedDuration($M81,$C$4,$N81%)</f>
        <v>6.9560000424721729</v>
      </c>
      <c r="S81" s="21">
        <f ca="1">_xll.meLWOBondDV01($M81,$C$4,$N81%)</f>
        <v>629.76660357254787</v>
      </c>
      <c r="T81" s="50">
        <f t="shared" ca="1" si="13"/>
        <v>3.0472739999999998</v>
      </c>
      <c r="U81" s="20">
        <f ca="1">_xll.BDP($B81,U$6, "YAS_BOND_YLD="&amp;$T81,"YAS_YLD_CONV=2")</f>
        <v>90.531249940939745</v>
      </c>
      <c r="V81" s="21">
        <f ca="1">_xll.meLWOBondCleanPrice($M81,$C$4,$T81%)</f>
        <v>90.53124994093973</v>
      </c>
      <c r="W81" s="22">
        <f t="shared" ca="1" si="10"/>
        <v>1.4210854715202004E-14</v>
      </c>
      <c r="X81" s="21">
        <f ca="1">_xll.meLWOBondDV01($M81,$C$4,$T81%)</f>
        <v>629.76660357254787</v>
      </c>
      <c r="Y81" s="20">
        <f ca="1">_xll.BDP($B81,Y$6, "YLD_YTM_ASK="&amp;$T81,"YAS_YLD_CONV=3")*$Y$3*0.0001</f>
        <v>629.76667072554449</v>
      </c>
      <c r="Z81" s="22">
        <f t="shared" ca="1" si="11"/>
        <v>6.7152996621189232E-5</v>
      </c>
      <c r="AA81" s="21">
        <f ca="1">_xll.meLWOBondDirtyPrice($M81,$C$4,$T81%)</f>
        <v>90.535738891215971</v>
      </c>
      <c r="AB81" s="21">
        <f ca="1">_xll.meLWOBondModifiedDuration($M81,$C$4,$T81%)</f>
        <v>6.9560000424721729</v>
      </c>
      <c r="AC81" s="20">
        <f ca="1">_xll.BDP($B81,AC$6,"YLD_YTM_ASK="&amp;$T81,"YAS_YLD_CONV=3")</f>
        <v>6.9560007842013221</v>
      </c>
      <c r="AD81" s="22">
        <f t="shared" ca="1" si="12"/>
        <v>7.4172914921177835E-7</v>
      </c>
      <c r="AE81" s="21">
        <f ca="1">_xll.meLWOBondDV01Numerical($M81,$C$4,$T81%,0.5,"CENTRAL")</f>
        <v>629.76662035907793</v>
      </c>
    </row>
    <row r="82" spans="2:31">
      <c r="B82" s="14" t="s">
        <v>32</v>
      </c>
      <c r="C82" s="14" t="s">
        <v>33</v>
      </c>
      <c r="D82" s="14" t="s">
        <v>33</v>
      </c>
      <c r="E82" s="15">
        <v>35292</v>
      </c>
      <c r="F82" s="18">
        <v>35292</v>
      </c>
      <c r="G82" s="17" t="str">
        <f t="shared" si="9"/>
        <v/>
      </c>
      <c r="H82" s="15">
        <v>35476</v>
      </c>
      <c r="I82" s="15">
        <v>46068</v>
      </c>
      <c r="J82" s="15" t="s">
        <v>292</v>
      </c>
      <c r="K82" s="16">
        <v>6.7500000000000004E-2</v>
      </c>
      <c r="L82" s="15">
        <v>46249</v>
      </c>
      <c r="M82" s="19" t="str">
        <f ca="1">_xll.meLWOBondCreateFromGeneratorLVB(C82,$M$4,_xll.meUtilityLVBFromKeysValues($C$6:$L$6,C82:L82))</f>
        <v>US912810EX29@1359:4</v>
      </c>
      <c r="N82" s="53">
        <f ca="1">_xll.BDP($B82,$N$5)</f>
        <v>3.0093846000000002</v>
      </c>
      <c r="O82" s="52">
        <f ca="1">_xll.meLWOBondCleanPrice($M82,$C$4,$N82%)</f>
        <v>125.67187482803922</v>
      </c>
      <c r="P82" s="52">
        <f ca="1">_xll.meLWOBondDirtyPrice($M82,$C$4,$N82%)</f>
        <v>127.37771721934357</v>
      </c>
      <c r="Q82" s="51">
        <f ca="1">_xll.meLWOBondYield($M82,$C$4,O82)</f>
        <v>3.009384600000059E-2</v>
      </c>
      <c r="R82" s="52">
        <f ca="1">_xll.meLWOBondModifiedDuration($M82,$C$4,$N82%)</f>
        <v>6.1803168766544241</v>
      </c>
      <c r="S82" s="21">
        <f ca="1">_xll.meLWOBondDV01($M82,$C$4,$N82%)</f>
        <v>787.23465544042392</v>
      </c>
      <c r="T82" s="50">
        <f t="shared" ca="1" si="13"/>
        <v>3.0093846000000002</v>
      </c>
      <c r="U82" s="20">
        <f ca="1">_xll.BDP($B82,U$6, "YAS_BOND_YLD="&amp;$T82,"YAS_YLD_CONV=2")</f>
        <v>125.67187482803921</v>
      </c>
      <c r="V82" s="21">
        <f ca="1">_xll.meLWOBondCleanPrice($M82,$C$4,$T82%)</f>
        <v>125.67187482803922</v>
      </c>
      <c r="W82" s="22">
        <f t="shared" ca="1" si="10"/>
        <v>1.4210854715202004E-14</v>
      </c>
      <c r="X82" s="21">
        <f ca="1">_xll.meLWOBondDV01($M82,$C$4,$T82%)</f>
        <v>787.23465544042392</v>
      </c>
      <c r="Y82" s="20">
        <f ca="1">_xll.BDP($B82,Y$6, "YLD_YTM_ASK="&amp;$T82,"YAS_YLD_CONV=3")*$Y$3*0.0001</f>
        <v>787.23473763389507</v>
      </c>
      <c r="Z82" s="22">
        <f t="shared" ca="1" si="11"/>
        <v>8.2193471143909846E-5</v>
      </c>
      <c r="AA82" s="21">
        <f ca="1">_xll.meLWOBondDirtyPrice($M82,$C$4,$T82%)</f>
        <v>127.37771721934357</v>
      </c>
      <c r="AB82" s="21">
        <f ca="1">_xll.meLWOBondModifiedDuration($M82,$C$4,$T82%)</f>
        <v>6.1803168766544241</v>
      </c>
      <c r="AC82" s="20">
        <f ca="1">_xll.BDP($B82,AC$6,"YLD_YTM_ASK="&amp;$T82,"YAS_YLD_CONV=3")</f>
        <v>6.1803175219279547</v>
      </c>
      <c r="AD82" s="22">
        <f t="shared" ca="1" si="12"/>
        <v>6.4527353060839232E-7</v>
      </c>
      <c r="AE82" s="21">
        <f ca="1">_xll.meLWOBondDV01Numerical($M82,$C$4,$T82%,0.5,"CENTRAL")</f>
        <v>787.23467599047581</v>
      </c>
    </row>
    <row r="83" spans="2:31">
      <c r="B83" s="14" t="s">
        <v>93</v>
      </c>
      <c r="C83" s="14" t="s">
        <v>94</v>
      </c>
      <c r="D83" s="14" t="s">
        <v>94</v>
      </c>
      <c r="E83" s="15">
        <v>42597</v>
      </c>
      <c r="F83" s="18">
        <v>42597</v>
      </c>
      <c r="G83" s="17" t="str">
        <f t="shared" si="9"/>
        <v/>
      </c>
      <c r="H83" s="15">
        <v>42781</v>
      </c>
      <c r="I83" s="15">
        <v>46068</v>
      </c>
      <c r="J83" s="15" t="s">
        <v>292</v>
      </c>
      <c r="K83" s="16">
        <v>1.4999999999999999E-2</v>
      </c>
      <c r="L83" s="15">
        <v>46249</v>
      </c>
      <c r="M83" s="19" t="str">
        <f ca="1">_xll.meLWOBondCreateFromGeneratorLVB(C83,$M$4,_xll.meUtilityLVBFromKeysValues($C$6:$L$6,C83:L83))</f>
        <v>US9128282A70@1358:4</v>
      </c>
      <c r="N83" s="53">
        <f ca="1">_xll.BDP($B83,$N$5)</f>
        <v>3.0573155000000001</v>
      </c>
      <c r="O83" s="52">
        <f ca="1">_xll.meLWOBondCleanPrice($M83,$C$4,$N83%)</f>
        <v>89.328124728501521</v>
      </c>
      <c r="P83" s="52">
        <f ca="1">_xll.meLWOBondDirtyPrice($M83,$C$4,$N83%)</f>
        <v>89.707200815458037</v>
      </c>
      <c r="Q83" s="51">
        <f ca="1">_xll.meLWOBondYield($M83,$C$4,O83)</f>
        <v>3.0573154999982807E-2</v>
      </c>
      <c r="R83" s="52">
        <f ca="1">_xll.meLWOBondModifiedDuration($M83,$C$4,$N83%)</f>
        <v>7.1730796634584371</v>
      </c>
      <c r="S83" s="21">
        <f ca="1">_xll.meLWOBondDV01($M83,$C$4,$N83%)</f>
        <v>643.4768978351442</v>
      </c>
      <c r="T83" s="50">
        <f t="shared" ca="1" si="13"/>
        <v>3.0573155000000001</v>
      </c>
      <c r="U83" s="20">
        <f ca="1">_xll.BDP($B83,U$6, "YAS_BOND_YLD="&amp;$T83,"YAS_YLD_CONV=2")</f>
        <v>89.328124728501507</v>
      </c>
      <c r="V83" s="21">
        <f ca="1">_xll.meLWOBondCleanPrice($M83,$C$4,$T83%)</f>
        <v>89.328124728501521</v>
      </c>
      <c r="W83" s="22">
        <f t="shared" ca="1" si="10"/>
        <v>1.4210854715202004E-14</v>
      </c>
      <c r="X83" s="21">
        <f ca="1">_xll.meLWOBondDV01($M83,$C$4,$T83%)</f>
        <v>643.4768978351442</v>
      </c>
      <c r="Y83" s="20">
        <f ca="1">_xll.BDP($B83,Y$6, "YLD_YTM_ASK="&amp;$T83,"YAS_YLD_CONV=3")*$Y$3*0.0001</f>
        <v>643.47697074708788</v>
      </c>
      <c r="Z83" s="22">
        <f t="shared" ca="1" si="11"/>
        <v>7.291194367553544E-5</v>
      </c>
      <c r="AA83" s="21">
        <f ca="1">_xll.meLWOBondDirtyPrice($M83,$C$4,$T83%)</f>
        <v>89.707200815458037</v>
      </c>
      <c r="AB83" s="21">
        <f ca="1">_xll.meLWOBondModifiedDuration($M83,$C$4,$T83%)</f>
        <v>7.1730796634584371</v>
      </c>
      <c r="AC83" s="20">
        <f ca="1">_xll.BDP($B83,AC$6,"YLD_YTM_ASK="&amp;$T83,"YAS_YLD_CONV=3")</f>
        <v>7.1730804762353744</v>
      </c>
      <c r="AD83" s="22">
        <f t="shared" ca="1" si="12"/>
        <v>8.1277693730896772E-7</v>
      </c>
      <c r="AE83" s="21">
        <f ca="1">_xll.meLWOBondDV01Numerical($M83,$C$4,$T83%,0.5,"CENTRAL")</f>
        <v>643.4769160617293</v>
      </c>
    </row>
    <row r="84" spans="2:31">
      <c r="B84" s="14" t="s">
        <v>36</v>
      </c>
      <c r="C84" s="14" t="s">
        <v>37</v>
      </c>
      <c r="D84" s="14" t="s">
        <v>37</v>
      </c>
      <c r="E84" s="15">
        <v>35384</v>
      </c>
      <c r="F84" s="18">
        <v>35384</v>
      </c>
      <c r="G84" s="17" t="str">
        <f t="shared" si="9"/>
        <v/>
      </c>
      <c r="H84" s="15">
        <v>35565</v>
      </c>
      <c r="I84" s="15">
        <v>46157</v>
      </c>
      <c r="J84" s="15" t="s">
        <v>292</v>
      </c>
      <c r="K84" s="16">
        <v>6.5000000000000002E-2</v>
      </c>
      <c r="L84" s="15">
        <v>46341</v>
      </c>
      <c r="M84" s="19" t="str">
        <f ca="1">_xll.meLWOBondCreateFromGeneratorLVB(C84,$M$4,_xll.meUtilityLVBFromKeysValues($C$6:$L$6,C84:L84))</f>
        <v>US912810EY02@1357:4</v>
      </c>
      <c r="N84" s="53">
        <f ca="1">_xll.BDP($B84,$N$5)</f>
        <v>3.0217485000000002</v>
      </c>
      <c r="O84" s="52">
        <f ca="1">_xll.meLWOBondCleanPrice($M84,$C$4,$N84%)</f>
        <v>124.54687468129639</v>
      </c>
      <c r="P84" s="52">
        <f ca="1">_xll.meLWOBondDirtyPrice($M84,$C$4,$N84%)</f>
        <v>124.56483048240136</v>
      </c>
      <c r="Q84" s="51">
        <f ca="1">_xll.meLWOBondYield($M84,$C$4,O84)</f>
        <v>3.0217485000000356E-2</v>
      </c>
      <c r="R84" s="52">
        <f ca="1">_xll.meLWOBondModifiedDuration($M84,$C$4,$N84%)</f>
        <v>6.4594870323385249</v>
      </c>
      <c r="S84" s="21">
        <f ca="1">_xll.meLWOBondDV01($M84,$C$4,$N84%)</f>
        <v>804.62490718651816</v>
      </c>
      <c r="T84" s="50">
        <f t="shared" ca="1" si="13"/>
        <v>3.0217485000000002</v>
      </c>
      <c r="U84" s="20">
        <f ca="1">_xll.BDP($B84,U$6, "YAS_BOND_YLD="&amp;$T84,"YAS_YLD_CONV=2")</f>
        <v>124.54687468129642</v>
      </c>
      <c r="V84" s="21">
        <f ca="1">_xll.meLWOBondCleanPrice($M84,$C$4,$T84%)</f>
        <v>124.54687468129639</v>
      </c>
      <c r="W84" s="22">
        <f t="shared" ca="1" si="10"/>
        <v>2.8421709430404007E-14</v>
      </c>
      <c r="X84" s="21">
        <f ca="1">_xll.meLWOBondDV01($M84,$C$4,$T84%)</f>
        <v>804.62490718651816</v>
      </c>
      <c r="Y84" s="20">
        <f ca="1">_xll.BDP($B84,Y$6, "YLD_YTM_ASK="&amp;$T84,"YAS_YLD_CONV=3")*$Y$3*0.0001</f>
        <v>804.62499621383188</v>
      </c>
      <c r="Z84" s="22">
        <f t="shared" ca="1" si="11"/>
        <v>8.9027313720180246E-5</v>
      </c>
      <c r="AA84" s="21">
        <f ca="1">_xll.meLWOBondDirtyPrice($M84,$C$4,$T84%)</f>
        <v>124.56483048240136</v>
      </c>
      <c r="AB84" s="21">
        <f ca="1">_xll.meLWOBondModifiedDuration($M84,$C$4,$T84%)</f>
        <v>6.4594870323385249</v>
      </c>
      <c r="AC84" s="20">
        <f ca="1">_xll.BDP($B84,AC$6,"YLD_YTM_ASK="&amp;$T84,"YAS_YLD_CONV=3")</f>
        <v>6.4594877470451735</v>
      </c>
      <c r="AD84" s="22">
        <f t="shared" ca="1" si="12"/>
        <v>7.1470664853023891E-7</v>
      </c>
      <c r="AE84" s="21">
        <f ca="1">_xll.meLWOBondDV01Numerical($M84,$C$4,$T84%,0.5,"CENTRAL")</f>
        <v>804.62492944136</v>
      </c>
    </row>
    <row r="85" spans="2:31">
      <c r="B85" s="14" t="s">
        <v>145</v>
      </c>
      <c r="C85" s="14" t="s">
        <v>146</v>
      </c>
      <c r="D85" s="14" t="s">
        <v>146</v>
      </c>
      <c r="E85" s="15">
        <v>42689</v>
      </c>
      <c r="F85" s="18">
        <v>42689</v>
      </c>
      <c r="G85" s="17" t="str">
        <f t="shared" si="9"/>
        <v/>
      </c>
      <c r="H85" s="15">
        <v>42870</v>
      </c>
      <c r="I85" s="15">
        <v>46157</v>
      </c>
      <c r="J85" s="15" t="s">
        <v>292</v>
      </c>
      <c r="K85" s="16">
        <v>0.02</v>
      </c>
      <c r="L85" s="15">
        <v>46341</v>
      </c>
      <c r="M85" s="19" t="str">
        <f ca="1">_xll.meLWOBondCreateFromGeneratorLVB(C85,$M$4,_xll.meUtilityLVBFromKeysValues($C$6:$L$6,C85:L85))</f>
        <v>US912828U246@1356:4</v>
      </c>
      <c r="N85" s="53">
        <f ca="1">_xll.BDP($B85,$N$5)</f>
        <v>3.0691948999999998</v>
      </c>
      <c r="O85" s="52">
        <f ca="1">_xll.meLWOBondCleanPrice($M85,$C$4,$N85%)</f>
        <v>92.468749702629154</v>
      </c>
      <c r="P85" s="52">
        <f ca="1">_xll.meLWOBondDirtyPrice($M85,$C$4,$N85%)</f>
        <v>92.47427456450761</v>
      </c>
      <c r="Q85" s="51">
        <f ca="1">_xll.meLWOBondYield($M85,$C$4,O85)</f>
        <v>3.0691949000008704E-2</v>
      </c>
      <c r="R85" s="52">
        <f ca="1">_xll.meLWOBondModifiedDuration($M85,$C$4,$N85%)</f>
        <v>7.2892400827463257</v>
      </c>
      <c r="S85" s="21">
        <f ca="1">_xll.meLWOBondDV01($M85,$C$4,$N85%)</f>
        <v>674.06718877849789</v>
      </c>
      <c r="T85" s="50">
        <f t="shared" ca="1" si="13"/>
        <v>3.0691948999999998</v>
      </c>
      <c r="U85" s="20">
        <f ca="1">_xll.BDP($B85,U$6, "YAS_BOND_YLD="&amp;$T85,"YAS_YLD_CONV=2")</f>
        <v>92.468749702629168</v>
      </c>
      <c r="V85" s="21">
        <f ca="1">_xll.meLWOBondCleanPrice($M85,$C$4,$T85%)</f>
        <v>92.468749702629154</v>
      </c>
      <c r="W85" s="22">
        <f t="shared" ca="1" si="10"/>
        <v>1.4210854715202004E-14</v>
      </c>
      <c r="X85" s="21">
        <f ca="1">_xll.meLWOBondDV01($M85,$C$4,$T85%)</f>
        <v>674.06718877849789</v>
      </c>
      <c r="Y85" s="20">
        <f ca="1">_xll.BDP($B85,Y$6, "YLD_YTM_ASK="&amp;$T85,"YAS_YLD_CONV=3")*$Y$3*0.0001</f>
        <v>674.0672688783178</v>
      </c>
      <c r="Z85" s="22">
        <f t="shared" ca="1" si="11"/>
        <v>8.0099819911083614E-5</v>
      </c>
      <c r="AA85" s="21">
        <f ca="1">_xll.meLWOBondDirtyPrice($M85,$C$4,$T85%)</f>
        <v>92.47427456450761</v>
      </c>
      <c r="AB85" s="21">
        <f ca="1">_xll.meLWOBondModifiedDuration($M85,$C$4,$T85%)</f>
        <v>7.2892400827463257</v>
      </c>
      <c r="AC85" s="20">
        <f ca="1">_xll.BDP($B85,AC$6,"YLD_YTM_ASK="&amp;$T85,"YAS_YLD_CONV=3")</f>
        <v>7.2892409489312229</v>
      </c>
      <c r="AD85" s="22">
        <f t="shared" ca="1" si="12"/>
        <v>8.6618489714140878E-7</v>
      </c>
      <c r="AE85" s="21">
        <f ca="1">_xll.meLWOBondDV01Numerical($M85,$C$4,$T85%,0.5,"CENTRAL")</f>
        <v>674.06720880171645</v>
      </c>
    </row>
    <row r="86" spans="2:31">
      <c r="B86" s="14" t="s">
        <v>34</v>
      </c>
      <c r="C86" s="14" t="s">
        <v>35</v>
      </c>
      <c r="D86" s="14" t="s">
        <v>35</v>
      </c>
      <c r="E86" s="15">
        <v>35479</v>
      </c>
      <c r="F86" s="18">
        <v>35476</v>
      </c>
      <c r="G86" s="17" t="str">
        <f t="shared" si="9"/>
        <v/>
      </c>
      <c r="H86" s="15">
        <v>35657</v>
      </c>
      <c r="I86" s="15">
        <v>46249</v>
      </c>
      <c r="J86" s="15" t="s">
        <v>292</v>
      </c>
      <c r="K86" s="16">
        <v>6.6250000000000003E-2</v>
      </c>
      <c r="L86" s="15">
        <v>46433</v>
      </c>
      <c r="M86" s="19" t="str">
        <f ca="1">_xll.meLWOBondCreateFromGeneratorLVB(C86,$M$4,_xll.meUtilityLVBFromKeysValues($C$6:$L$6,C86:L86))</f>
        <v>US912810EZ76@1355:4</v>
      </c>
      <c r="N86" s="53">
        <f ca="1">_xll.BDP($B86,$N$5)</f>
        <v>3.0309878000000001</v>
      </c>
      <c r="O86" s="52">
        <f ca="1">_xll.meLWOBondCleanPrice($M86,$C$4,$N86%)</f>
        <v>126.04687490861222</v>
      </c>
      <c r="P86" s="52">
        <f ca="1">_xll.meLWOBondDirtyPrice($M86,$C$4,$N86%)</f>
        <v>127.72112762600352</v>
      </c>
      <c r="Q86" s="51">
        <f ca="1">_xll.meLWOBondYield($M86,$C$4,O86)</f>
        <v>3.0309878000000619E-2</v>
      </c>
      <c r="R86" s="52">
        <f ca="1">_xll.meLWOBondModifiedDuration($M86,$C$4,$N86%)</f>
        <v>6.5220007990357649</v>
      </c>
      <c r="S86" s="21">
        <f ca="1">_xll.meLWOBondDV01($M86,$C$4,$N86%)</f>
        <v>832.99729643054388</v>
      </c>
      <c r="T86" s="50">
        <f t="shared" ca="1" si="13"/>
        <v>3.0309878000000001</v>
      </c>
      <c r="U86" s="20">
        <f ca="1">_xll.BDP($B86,U$6, "YAS_BOND_YLD="&amp;$T86,"YAS_YLD_CONV=2")</f>
        <v>126.04687490861221</v>
      </c>
      <c r="V86" s="21">
        <f ca="1">_xll.meLWOBondCleanPrice($M86,$C$4,$T86%)</f>
        <v>126.04687490861222</v>
      </c>
      <c r="W86" s="22">
        <f t="shared" ca="1" si="10"/>
        <v>1.4210854715202004E-14</v>
      </c>
      <c r="X86" s="21">
        <f ca="1">_xll.meLWOBondDV01($M86,$C$4,$T86%)</f>
        <v>832.99729643054388</v>
      </c>
      <c r="Y86" s="20">
        <f ca="1">_xll.BDP($B86,Y$6, "YLD_YTM_ASK="&amp;$T86,"YAS_YLD_CONV=3")*$Y$3*0.0001</f>
        <v>832.99739339970824</v>
      </c>
      <c r="Z86" s="22">
        <f t="shared" ca="1" si="11"/>
        <v>9.6969164360416471E-5</v>
      </c>
      <c r="AA86" s="21">
        <f ca="1">_xll.meLWOBondDirtyPrice($M86,$C$4,$T86%)</f>
        <v>127.72112762600352</v>
      </c>
      <c r="AB86" s="21">
        <f ca="1">_xll.meLWOBondModifiedDuration($M86,$C$4,$T86%)</f>
        <v>6.5220007990357649</v>
      </c>
      <c r="AC86" s="20">
        <f ca="1">_xll.BDP($B86,AC$6,"YLD_YTM_ASK="&amp;$T86,"YAS_YLD_CONV=3")</f>
        <v>6.5220015582614659</v>
      </c>
      <c r="AD86" s="22">
        <f t="shared" ca="1" si="12"/>
        <v>7.5922570097475273E-7</v>
      </c>
      <c r="AE86" s="21">
        <f ca="1">_xll.meLWOBondDV01Numerical($M86,$C$4,$T86%,0.5,"CENTRAL")</f>
        <v>832.99732067430921</v>
      </c>
    </row>
    <row r="87" spans="2:31">
      <c r="B87" s="14" t="s">
        <v>205</v>
      </c>
      <c r="C87" s="14" t="s">
        <v>206</v>
      </c>
      <c r="D87" s="14" t="s">
        <v>206</v>
      </c>
      <c r="E87" s="15">
        <v>42781</v>
      </c>
      <c r="F87" s="18">
        <v>42781</v>
      </c>
      <c r="G87" s="17" t="str">
        <f t="shared" si="9"/>
        <v/>
      </c>
      <c r="H87" s="15">
        <v>42962</v>
      </c>
      <c r="I87" s="15">
        <v>46249</v>
      </c>
      <c r="J87" s="15" t="s">
        <v>292</v>
      </c>
      <c r="K87" s="16">
        <v>2.2499999999999999E-2</v>
      </c>
      <c r="L87" s="15">
        <v>46433</v>
      </c>
      <c r="M87" s="19" t="str">
        <f ca="1">_xll.meLWOBondCreateFromGeneratorLVB(C87,$M$4,_xll.meUtilityLVBFromKeysValues($C$6:$L$6,C87:L87))</f>
        <v>US912828V988@1354:4</v>
      </c>
      <c r="N87" s="53">
        <f ca="1">_xll.BDP($B87,$N$5)</f>
        <v>3.0768122</v>
      </c>
      <c r="O87" s="52">
        <f ca="1">_xll.meLWOBondCleanPrice($M87,$C$4,$N87%)</f>
        <v>94.015625169636152</v>
      </c>
      <c r="P87" s="52">
        <f ca="1">_xll.meLWOBondDirtyPrice($M87,$C$4,$N87%)</f>
        <v>94.584239300070934</v>
      </c>
      <c r="Q87" s="51">
        <f ca="1">_xll.meLWOBondYield($M87,$C$4,O87)</f>
        <v>3.0768122000010212E-2</v>
      </c>
      <c r="R87" s="52">
        <f ca="1">_xll.meLWOBondModifiedDuration($M87,$C$4,$N87%)</f>
        <v>7.388605388756921</v>
      </c>
      <c r="S87" s="21">
        <f ca="1">_xll.meLWOBondDV01($M87,$C$4,$N87%)</f>
        <v>698.84562018397821</v>
      </c>
      <c r="T87" s="50">
        <f t="shared" ca="1" si="13"/>
        <v>3.0768122</v>
      </c>
      <c r="U87" s="20">
        <f ca="1">_xll.BDP($B87,U$6, "YAS_BOND_YLD="&amp;$T87,"YAS_YLD_CONV=2")</f>
        <v>94.015625169636138</v>
      </c>
      <c r="V87" s="21">
        <f ca="1">_xll.meLWOBondCleanPrice($M87,$C$4,$T87%)</f>
        <v>94.015625169636152</v>
      </c>
      <c r="W87" s="22">
        <f t="shared" ca="1" si="10"/>
        <v>1.4210854715202004E-14</v>
      </c>
      <c r="X87" s="21">
        <f ca="1">_xll.meLWOBondDV01($M87,$C$4,$T87%)</f>
        <v>698.84562018397821</v>
      </c>
      <c r="Y87" s="20">
        <f ca="1">_xll.BDP($B87,Y$6, "YLD_YTM_ASK="&amp;$T87,"YAS_YLD_CONV=3")*$Y$3*0.0001</f>
        <v>698.84570749948693</v>
      </c>
      <c r="Z87" s="22">
        <f t="shared" ca="1" si="11"/>
        <v>8.731550872198568E-5</v>
      </c>
      <c r="AA87" s="21">
        <f ca="1">_xll.meLWOBondDirtyPrice($M87,$C$4,$T87%)</f>
        <v>94.584239300070934</v>
      </c>
      <c r="AB87" s="21">
        <f ca="1">_xll.meLWOBondModifiedDuration($M87,$C$4,$T87%)</f>
        <v>7.388605388756921</v>
      </c>
      <c r="AC87" s="20">
        <f ca="1">_xll.BDP($B87,AC$6,"YLD_YTM_ASK="&amp;$T87,"YAS_YLD_CONV=3")</f>
        <v>7.3886063119076422</v>
      </c>
      <c r="AD87" s="22">
        <f t="shared" ca="1" si="12"/>
        <v>9.2315072119930619E-7</v>
      </c>
      <c r="AE87" s="21">
        <f ca="1">_xll.meLWOBondDV01Numerical($M87,$C$4,$T87%,0.5,"CENTRAL")</f>
        <v>698.84564201103672</v>
      </c>
    </row>
    <row r="88" spans="2:31">
      <c r="B88" s="14" t="s">
        <v>40</v>
      </c>
      <c r="C88" s="14" t="s">
        <v>41</v>
      </c>
      <c r="D88" s="14" t="s">
        <v>41</v>
      </c>
      <c r="E88" s="15">
        <v>35657</v>
      </c>
      <c r="F88" s="18">
        <v>35657</v>
      </c>
      <c r="G88" s="17" t="str">
        <f t="shared" si="9"/>
        <v/>
      </c>
      <c r="H88" s="15">
        <v>35841</v>
      </c>
      <c r="I88" s="15">
        <v>46433</v>
      </c>
      <c r="J88" s="15" t="s">
        <v>292</v>
      </c>
      <c r="K88" s="16">
        <v>6.3750000000000001E-2</v>
      </c>
      <c r="L88" s="15">
        <v>46614</v>
      </c>
      <c r="M88" s="19" t="str">
        <f ca="1">_xll.meLWOBondCreateFromGeneratorLVB(C88,$M$4,_xll.meUtilityLVBFromKeysValues($C$6:$L$6,C88:L88))</f>
        <v>US912810FA17@1353:4</v>
      </c>
      <c r="N88" s="53">
        <f ca="1">_xll.BDP($B88,$N$5)</f>
        <v>3.0636774999999998</v>
      </c>
      <c r="O88" s="52">
        <f ca="1">_xll.meLWOBondCleanPrice($M88,$C$4,$N88%)</f>
        <v>125.23437485032221</v>
      </c>
      <c r="P88" s="52">
        <f ca="1">_xll.meLWOBondDirtyPrice($M88,$C$4,$N88%)</f>
        <v>126.84544821988743</v>
      </c>
      <c r="Q88" s="51">
        <f ca="1">_xll.meLWOBondYield($M88,$C$4,O88)</f>
        <v>3.0636775000000348E-2</v>
      </c>
      <c r="R88" s="52">
        <f ca="1">_xll.meLWOBondModifiedDuration($M88,$C$4,$N88%)</f>
        <v>6.8791304773224091</v>
      </c>
      <c r="S88" s="21">
        <f ca="1">_xll.meLWOBondDV01($M88,$C$4,$N88%)</f>
        <v>872.5863887590491</v>
      </c>
      <c r="T88" s="50">
        <f t="shared" ca="1" si="13"/>
        <v>3.0636774999999998</v>
      </c>
      <c r="U88" s="20">
        <f ca="1">_xll.BDP($B88,U$6, "YAS_BOND_YLD="&amp;$T88,"YAS_YLD_CONV=2")</f>
        <v>125.23437485032221</v>
      </c>
      <c r="V88" s="21">
        <f ca="1">_xll.meLWOBondCleanPrice($M88,$C$4,$T88%)</f>
        <v>125.23437485032221</v>
      </c>
      <c r="W88" s="22">
        <f t="shared" ca="1" si="10"/>
        <v>0</v>
      </c>
      <c r="X88" s="21">
        <f ca="1">_xll.meLWOBondDV01($M88,$C$4,$T88%)</f>
        <v>872.5863887590491</v>
      </c>
      <c r="Y88" s="20">
        <f ca="1">_xll.BDP($B88,Y$6, "YLD_YTM_ASK="&amp;$T88,"YAS_YLD_CONV=3")*$Y$3*0.0001</f>
        <v>872.58650153167139</v>
      </c>
      <c r="Z88" s="22">
        <f t="shared" ca="1" si="11"/>
        <v>1.1277262228759355E-4</v>
      </c>
      <c r="AA88" s="21">
        <f ca="1">_xll.meLWOBondDirtyPrice($M88,$C$4,$T88%)</f>
        <v>126.84544821988743</v>
      </c>
      <c r="AB88" s="21">
        <f ca="1">_xll.meLWOBondModifiedDuration($M88,$C$4,$T88%)</f>
        <v>6.8791304773224091</v>
      </c>
      <c r="AC88" s="20">
        <f ca="1">_xll.BDP($B88,AC$6,"YLD_YTM_ASK="&amp;$T88,"YAS_YLD_CONV=3")</f>
        <v>6.8791313663777371</v>
      </c>
      <c r="AD88" s="22">
        <f t="shared" ca="1" si="12"/>
        <v>8.8905532802385778E-7</v>
      </c>
      <c r="AE88" s="21">
        <f ca="1">_xll.meLWOBondDV01Numerical($M88,$C$4,$T88%,0.5,"CENTRAL")</f>
        <v>872.58641695029837</v>
      </c>
    </row>
    <row r="89" spans="2:31">
      <c r="B89" s="14" t="s">
        <v>53</v>
      </c>
      <c r="C89" s="14" t="s">
        <v>54</v>
      </c>
      <c r="D89" s="14" t="s">
        <v>54</v>
      </c>
      <c r="E89" s="15">
        <v>35751</v>
      </c>
      <c r="F89" s="18">
        <v>35749</v>
      </c>
      <c r="G89" s="17" t="str">
        <f t="shared" si="9"/>
        <v/>
      </c>
      <c r="H89" s="15">
        <v>35930</v>
      </c>
      <c r="I89" s="15">
        <v>46522</v>
      </c>
      <c r="J89" s="15" t="s">
        <v>292</v>
      </c>
      <c r="K89" s="16">
        <v>6.1249999999999999E-2</v>
      </c>
      <c r="L89" s="15">
        <v>46706</v>
      </c>
      <c r="M89" s="19" t="str">
        <f ca="1">_xll.meLWOBondCreateFromGeneratorLVB(C89,$M$4,_xll.meUtilityLVBFromKeysValues($C$6:$L$6,C89:L89))</f>
        <v>US912810FB99@1352:4</v>
      </c>
      <c r="N89" s="53">
        <f ca="1">_xll.BDP($B89,$N$5)</f>
        <v>3.0822162</v>
      </c>
      <c r="O89" s="52">
        <f ca="1">_xll.meLWOBondCleanPrice($M89,$C$4,$N89%)</f>
        <v>123.7500000785528</v>
      </c>
      <c r="P89" s="52">
        <f ca="1">_xll.meLWOBondDirtyPrice($M89,$C$4,$N89%)</f>
        <v>123.76691996805556</v>
      </c>
      <c r="Q89" s="51">
        <f ca="1">_xll.meLWOBondYield($M89,$C$4,O89)</f>
        <v>3.0822162000000024E-2</v>
      </c>
      <c r="R89" s="52">
        <f ca="1">_xll.meLWOBondModifiedDuration($M89,$C$4,$N89%)</f>
        <v>7.1651379932548451</v>
      </c>
      <c r="S89" s="21">
        <f ca="1">_xll.meLWOBondDV01($M89,$C$4,$N89%)</f>
        <v>886.80706057124667</v>
      </c>
      <c r="T89" s="50">
        <f t="shared" ca="1" si="13"/>
        <v>3.0822162</v>
      </c>
      <c r="U89" s="20">
        <f ca="1">_xll.BDP($B89,U$6, "YAS_BOND_YLD="&amp;$T89,"YAS_YLD_CONV=2")</f>
        <v>123.75000007855284</v>
      </c>
      <c r="V89" s="21">
        <f ca="1">_xll.meLWOBondCleanPrice($M89,$C$4,$T89%)</f>
        <v>123.7500000785528</v>
      </c>
      <c r="W89" s="22">
        <f t="shared" ca="1" si="10"/>
        <v>4.2632564145606011E-14</v>
      </c>
      <c r="X89" s="21">
        <f ca="1">_xll.meLWOBondDV01($M89,$C$4,$T89%)</f>
        <v>886.80706057124667</v>
      </c>
      <c r="Y89" s="20">
        <f ca="1">_xll.BDP($B89,Y$6, "YLD_YTM_ASK="&amp;$T89,"YAS_YLD_CONV=3")*$Y$3*0.0001</f>
        <v>886.80718135186964</v>
      </c>
      <c r="Z89" s="22">
        <f t="shared" ca="1" si="11"/>
        <v>1.2078062297860015E-4</v>
      </c>
      <c r="AA89" s="21">
        <f ca="1">_xll.meLWOBondDirtyPrice($M89,$C$4,$T89%)</f>
        <v>123.76691996805556</v>
      </c>
      <c r="AB89" s="21">
        <f ca="1">_xll.meLWOBondModifiedDuration($M89,$C$4,$T89%)</f>
        <v>7.1651379932548451</v>
      </c>
      <c r="AC89" s="20">
        <f ca="1">_xll.BDP($B89,AC$6,"YLD_YTM_ASK="&amp;$T89,"YAS_YLD_CONV=3")</f>
        <v>7.1651389691264313</v>
      </c>
      <c r="AD89" s="22">
        <f t="shared" ca="1" si="12"/>
        <v>9.7587158620626724E-7</v>
      </c>
      <c r="AE89" s="21">
        <f ca="1">_xll.meLWOBondDV01Numerical($M89,$C$4,$T89%,0.5,"CENTRAL")</f>
        <v>886.80709076840003</v>
      </c>
    </row>
    <row r="90" spans="2:31">
      <c r="B90" s="14" t="s">
        <v>59</v>
      </c>
      <c r="C90" s="14" t="s">
        <v>60</v>
      </c>
      <c r="D90" s="14" t="s">
        <v>60</v>
      </c>
      <c r="E90" s="15">
        <v>36024</v>
      </c>
      <c r="F90" s="18">
        <v>36022</v>
      </c>
      <c r="G90" s="17" t="str">
        <f t="shared" si="9"/>
        <v/>
      </c>
      <c r="H90" s="15">
        <v>36206</v>
      </c>
      <c r="I90" s="15">
        <v>46798</v>
      </c>
      <c r="J90" s="15" t="s">
        <v>292</v>
      </c>
      <c r="K90" s="16">
        <v>5.5E-2</v>
      </c>
      <c r="L90" s="15">
        <v>46980</v>
      </c>
      <c r="M90" s="19" t="str">
        <f ca="1">_xll.meLWOBondCreateFromGeneratorLVB(C90,$M$4,_xll.meUtilityLVBFromKeysValues($C$6:$L$6,C90:L90))</f>
        <v>US912810FE39@1351:4</v>
      </c>
      <c r="N90" s="53">
        <f ca="1">_xll.BDP($B90,$N$5)</f>
        <v>3.1038676000000001</v>
      </c>
      <c r="O90" s="52">
        <f ca="1">_xll.meLWOBondCleanPrice($M90,$C$4,$N90%)</f>
        <v>120.0156246358311</v>
      </c>
      <c r="P90" s="52">
        <f ca="1">_xll.meLWOBondDirtyPrice($M90,$C$4,$N90%)</f>
        <v>121.40557028800501</v>
      </c>
      <c r="Q90" s="51">
        <f ca="1">_xll.meLWOBondYield($M90,$C$4,O90)</f>
        <v>3.103867600000032E-2</v>
      </c>
      <c r="R90" s="52">
        <f ca="1">_xll.meLWOBondModifiedDuration($M90,$C$4,$N90%)</f>
        <v>7.6762965842196644</v>
      </c>
      <c r="S90" s="21">
        <f ca="1">_xll.meLWOBondDV01($M90,$C$4,$N90%)</f>
        <v>931.94516450705328</v>
      </c>
      <c r="T90" s="50">
        <f t="shared" ca="1" si="13"/>
        <v>3.1038676000000001</v>
      </c>
      <c r="U90" s="20">
        <f ca="1">_xll.BDP($B90,U$6, "YAS_BOND_YLD="&amp;$T90,"YAS_YLD_CONV=2")</f>
        <v>120.01562463583107</v>
      </c>
      <c r="V90" s="21">
        <f ca="1">_xll.meLWOBondCleanPrice($M90,$C$4,$T90%)</f>
        <v>120.0156246358311</v>
      </c>
      <c r="W90" s="22">
        <f t="shared" ca="1" si="10"/>
        <v>2.8421709430404007E-14</v>
      </c>
      <c r="X90" s="21">
        <f ca="1">_xll.meLWOBondDV01($M90,$C$4,$T90%)</f>
        <v>931.94516450705328</v>
      </c>
      <c r="Y90" s="20">
        <f ca="1">_xll.BDP($B90,Y$6, "YLD_YTM_ASK="&amp;$T90,"YAS_YLD_CONV=3")*$Y$3*0.0001</f>
        <v>931.94531178035334</v>
      </c>
      <c r="Z90" s="22">
        <f t="shared" ca="1" si="11"/>
        <v>1.4727330005825934E-4</v>
      </c>
      <c r="AA90" s="21">
        <f ca="1">_xll.meLWOBondDirtyPrice($M90,$C$4,$T90%)</f>
        <v>121.40557028800501</v>
      </c>
      <c r="AB90" s="21">
        <f ca="1">_xll.meLWOBondModifiedDuration($M90,$C$4,$T90%)</f>
        <v>7.6762965842196644</v>
      </c>
      <c r="AC90" s="20">
        <f ca="1">_xll.BDP($B90,AC$6,"YLD_YTM_ASK="&amp;$T90,"YAS_YLD_CONV=3")</f>
        <v>7.676297797288381</v>
      </c>
      <c r="AD90" s="22">
        <f t="shared" ca="1" si="12"/>
        <v>1.213068716587884E-6</v>
      </c>
      <c r="AE90" s="21">
        <f ca="1">_xll.meLWOBondDV01Numerical($M90,$C$4,$T90%,0.5,"CENTRAL")</f>
        <v>931.9452013230034</v>
      </c>
    </row>
    <row r="91" spans="2:31">
      <c r="B91" s="14" t="s">
        <v>63</v>
      </c>
      <c r="C91" s="14" t="s">
        <v>64</v>
      </c>
      <c r="D91" s="14" t="s">
        <v>64</v>
      </c>
      <c r="E91" s="15">
        <v>36115</v>
      </c>
      <c r="F91" s="18">
        <v>36114</v>
      </c>
      <c r="G91" s="17" t="str">
        <f t="shared" si="9"/>
        <v/>
      </c>
      <c r="H91" s="15">
        <v>36295</v>
      </c>
      <c r="I91" s="15">
        <v>46888</v>
      </c>
      <c r="J91" s="15" t="s">
        <v>292</v>
      </c>
      <c r="K91" s="16">
        <v>5.2499999999999998E-2</v>
      </c>
      <c r="L91" s="15">
        <v>47072</v>
      </c>
      <c r="M91" s="19" t="str">
        <f ca="1">_xll.meLWOBondCreateFromGeneratorLVB(C91,$M$4,_xll.meUtilityLVBFromKeysValues($C$6:$L$6,C91:L91))</f>
        <v>US912810FF04@1350:4</v>
      </c>
      <c r="N91" s="53">
        <f ca="1">_xll.BDP($B91,$N$5)</f>
        <v>3.1117818000000002</v>
      </c>
      <c r="O91" s="52">
        <f ca="1">_xll.meLWOBondCleanPrice($M91,$C$4,$N91%)</f>
        <v>118.24999996841213</v>
      </c>
      <c r="P91" s="52">
        <f ca="1">_xll.meLWOBondDirtyPrice($M91,$C$4,$N91%)</f>
        <v>118.26450273084306</v>
      </c>
      <c r="Q91" s="51">
        <f ca="1">_xll.meLWOBondYield($M91,$C$4,O91)</f>
        <v>3.1117817999999797E-2</v>
      </c>
      <c r="R91" s="52">
        <f ca="1">_xll.meLWOBondModifiedDuration($M91,$C$4,$N91%)</f>
        <v>7.975687877180186</v>
      </c>
      <c r="S91" s="21">
        <f ca="1">_xll.meLWOBondDV01($M91,$C$4,$N91%)</f>
        <v>943.24076073112803</v>
      </c>
      <c r="T91" s="50">
        <f t="shared" ca="1" si="13"/>
        <v>3.1117818000000002</v>
      </c>
      <c r="U91" s="20">
        <f ca="1">_xll.BDP($B91,U$6, "YAS_BOND_YLD="&amp;$T91,"YAS_YLD_CONV=2")</f>
        <v>118.24999996841215</v>
      </c>
      <c r="V91" s="21">
        <f ca="1">_xll.meLWOBondCleanPrice($M91,$C$4,$T91%)</f>
        <v>118.24999996841213</v>
      </c>
      <c r="W91" s="22">
        <f t="shared" ca="1" si="10"/>
        <v>2.8421709430404007E-14</v>
      </c>
      <c r="X91" s="21">
        <f ca="1">_xll.meLWOBondDV01($M91,$C$4,$T91%)</f>
        <v>943.24076073112803</v>
      </c>
      <c r="Y91" s="20">
        <f ca="1">_xll.BDP($B91,Y$6, "YLD_YTM_ASK="&amp;$T91,"YAS_YLD_CONV=3")*$Y$3*0.0001</f>
        <v>943.24091721134096</v>
      </c>
      <c r="Z91" s="22">
        <f t="shared" ca="1" si="11"/>
        <v>1.5648021292236081E-4</v>
      </c>
      <c r="AA91" s="21">
        <f ca="1">_xll.meLWOBondDirtyPrice($M91,$C$4,$T91%)</f>
        <v>118.26450273084306</v>
      </c>
      <c r="AB91" s="21">
        <f ca="1">_xll.meLWOBondModifiedDuration($M91,$C$4,$T91%)</f>
        <v>7.975687877180186</v>
      </c>
      <c r="AC91" s="20">
        <f ca="1">_xll.BDP($B91,AC$6,"YLD_YTM_ASK="&amp;$T91,"YAS_YLD_CONV=3")</f>
        <v>7.9756892003178246</v>
      </c>
      <c r="AD91" s="22">
        <f t="shared" ca="1" si="12"/>
        <v>1.3231376385647309E-6</v>
      </c>
      <c r="AE91" s="21">
        <f ca="1">_xll.meLWOBondDV01Numerical($M91,$C$4,$T91%,0.5,"CENTRAL")</f>
        <v>943.24079985312903</v>
      </c>
    </row>
    <row r="92" spans="2:31">
      <c r="B92" s="14" t="s">
        <v>61</v>
      </c>
      <c r="C92" s="14" t="s">
        <v>62</v>
      </c>
      <c r="D92" s="14" t="s">
        <v>62</v>
      </c>
      <c r="E92" s="15">
        <v>36207</v>
      </c>
      <c r="F92" s="18">
        <v>36206</v>
      </c>
      <c r="G92" s="17" t="str">
        <f t="shared" si="9"/>
        <v/>
      </c>
      <c r="H92" s="15">
        <v>36387</v>
      </c>
      <c r="I92" s="15">
        <v>46980</v>
      </c>
      <c r="J92" s="15" t="s">
        <v>292</v>
      </c>
      <c r="K92" s="16">
        <v>5.2499999999999998E-2</v>
      </c>
      <c r="L92" s="15">
        <v>47164</v>
      </c>
      <c r="M92" s="19" t="str">
        <f ca="1">_xll.meLWOBondCreateFromGeneratorLVB(C92,$M$4,_xll.meUtilityLVBFromKeysValues($C$6:$L$6,C92:L92))</f>
        <v>US912810FG86@1349:4</v>
      </c>
      <c r="N92" s="53">
        <f ca="1">_xll.BDP($B92,$N$5)</f>
        <v>3.1174846000000001</v>
      </c>
      <c r="O92" s="52">
        <f ca="1">_xll.meLWOBondCleanPrice($M92,$C$4,$N92%)</f>
        <v>118.57812531829047</v>
      </c>
      <c r="P92" s="52">
        <f ca="1">_xll.meLWOBondDirtyPrice($M92,$C$4,$N92%)</f>
        <v>119.9048916226383</v>
      </c>
      <c r="Q92" s="51">
        <f ca="1">_xll.meLWOBondYield($M92,$C$4,O92)</f>
        <v>3.1174846000000277E-2</v>
      </c>
      <c r="R92" s="52">
        <f ca="1">_xll.meLWOBondModifiedDuration($M92,$C$4,$N92%)</f>
        <v>8.0478522962249777</v>
      </c>
      <c r="S92" s="21">
        <f ca="1">_xll.meLWOBondDV01($M92,$C$4,$N92%)</f>
        <v>964.97685737385666</v>
      </c>
      <c r="T92" s="50">
        <f t="shared" ca="1" si="13"/>
        <v>3.1174846000000001</v>
      </c>
      <c r="U92" s="20">
        <f ca="1">_xll.BDP($B92,U$6, "YAS_BOND_YLD="&amp;$T92,"YAS_YLD_CONV=2")</f>
        <v>118.5781253182905</v>
      </c>
      <c r="V92" s="21">
        <f ca="1">_xll.meLWOBondCleanPrice($M92,$C$4,$T92%)</f>
        <v>118.57812531829047</v>
      </c>
      <c r="W92" s="22">
        <f t="shared" ca="1" si="10"/>
        <v>2.8421709430404007E-14</v>
      </c>
      <c r="X92" s="21">
        <f ca="1">_xll.meLWOBondDV01($M92,$C$4,$T92%)</f>
        <v>964.97685737385666</v>
      </c>
      <c r="Y92" s="20">
        <f ca="1">_xll.BDP($B92,Y$6, "YLD_YTM_ASK="&amp;$T92,"YAS_YLD_CONV=3")*$Y$3*0.0001</f>
        <v>964.97702446150413</v>
      </c>
      <c r="Z92" s="22">
        <f t="shared" ca="1" si="11"/>
        <v>1.6708764746908855E-4</v>
      </c>
      <c r="AA92" s="21">
        <f ca="1">_xll.meLWOBondDirtyPrice($M92,$C$4,$T92%)</f>
        <v>119.9048916226383</v>
      </c>
      <c r="AB92" s="21">
        <f ca="1">_xll.meLWOBondModifiedDuration($M92,$C$4,$T92%)</f>
        <v>8.0478522962249777</v>
      </c>
      <c r="AC92" s="20">
        <f ca="1">_xll.BDP($B92,AC$6,"YLD_YTM_ASK="&amp;$T92,"YAS_YLD_CONV=3")</f>
        <v>8.0478536897264963</v>
      </c>
      <c r="AD92" s="22">
        <f t="shared" ca="1" si="12"/>
        <v>1.3935015186206101E-6</v>
      </c>
      <c r="AE92" s="21">
        <f ca="1">_xll.meLWOBondDV01Numerical($M92,$C$4,$T92%,0.5,"CENTRAL")</f>
        <v>964.97689914770035</v>
      </c>
    </row>
    <row r="93" spans="2:31">
      <c r="B93" s="14" t="s">
        <v>55</v>
      </c>
      <c r="C93" s="14" t="s">
        <v>56</v>
      </c>
      <c r="D93" s="14" t="s">
        <v>56</v>
      </c>
      <c r="E93" s="15">
        <v>36388</v>
      </c>
      <c r="F93" s="18">
        <v>36387</v>
      </c>
      <c r="G93" s="17" t="str">
        <f t="shared" si="9"/>
        <v/>
      </c>
      <c r="H93" s="15">
        <v>36571</v>
      </c>
      <c r="I93" s="15">
        <v>47164</v>
      </c>
      <c r="J93" s="15" t="s">
        <v>292</v>
      </c>
      <c r="K93" s="16">
        <v>6.1249999999999999E-2</v>
      </c>
      <c r="L93" s="15">
        <v>47345</v>
      </c>
      <c r="M93" s="19" t="str">
        <f ca="1">_xll.meLWOBondCreateFromGeneratorLVB(C93,$M$4,_xll.meUtilityLVBFromKeysValues($C$6:$L$6,C93:L93))</f>
        <v>US912810FJ26@1348:4</v>
      </c>
      <c r="N93" s="53">
        <f ca="1">_xll.BDP($B93,$N$5)</f>
        <v>3.1218900999999999</v>
      </c>
      <c r="O93" s="52">
        <f ca="1">_xll.meLWOBondCleanPrice($M93,$C$4,$N93%)</f>
        <v>127.23437534287751</v>
      </c>
      <c r="P93" s="52">
        <f ca="1">_xll.meLWOBondDirtyPrice($M93,$C$4,$N93%)</f>
        <v>128.78226936461664</v>
      </c>
      <c r="Q93" s="51">
        <f ca="1">_xll.meLWOBondYield($M93,$C$4,O93)</f>
        <v>3.1218900999999574E-2</v>
      </c>
      <c r="R93" s="52">
        <f ca="1">_xll.meLWOBondModifiedDuration($M93,$C$4,$N93%)</f>
        <v>8.1542912567093122</v>
      </c>
      <c r="S93" s="21">
        <f ca="1">_xll.meLWOBondDV01($M93,$C$4,$N93%)</f>
        <v>1050.1281330990769</v>
      </c>
      <c r="T93" s="50">
        <f t="shared" ca="1" si="13"/>
        <v>3.1218900999999999</v>
      </c>
      <c r="U93" s="20">
        <f ca="1">_xll.BDP($B93,U$6, "YAS_BOND_YLD="&amp;$T93,"YAS_YLD_CONV=2")</f>
        <v>127.23437534287748</v>
      </c>
      <c r="V93" s="21">
        <f ca="1">_xll.meLWOBondCleanPrice($M93,$C$4,$T93%)</f>
        <v>127.23437534287751</v>
      </c>
      <c r="W93" s="22">
        <f t="shared" ca="1" si="10"/>
        <v>2.8421709430404007E-14</v>
      </c>
      <c r="X93" s="21">
        <f ca="1">_xll.meLWOBondDV01($M93,$C$4,$T93%)</f>
        <v>1050.1281330990769</v>
      </c>
      <c r="Y93" s="20">
        <f ca="1">_xll.BDP($B93,Y$6, "YLD_YTM_ASK="&amp;$T93,"YAS_YLD_CONV=3")*$Y$3*0.0001</f>
        <v>1050.1283274592765</v>
      </c>
      <c r="Z93" s="22">
        <f t="shared" ca="1" si="11"/>
        <v>1.9436019965723972E-4</v>
      </c>
      <c r="AA93" s="21">
        <f ca="1">_xll.meLWOBondDirtyPrice($M93,$C$4,$T93%)</f>
        <v>128.78226936461664</v>
      </c>
      <c r="AB93" s="21">
        <f ca="1">_xll.meLWOBondModifiedDuration($M93,$C$4,$T93%)</f>
        <v>8.1542912567093122</v>
      </c>
      <c r="AC93" s="20">
        <f ca="1">_xll.BDP($B93,AC$6,"YLD_YTM_ASK="&amp;$T93,"YAS_YLD_CONV=3")</f>
        <v>8.1542927659248434</v>
      </c>
      <c r="AD93" s="22">
        <f t="shared" ca="1" si="12"/>
        <v>1.509215531214636E-6</v>
      </c>
      <c r="AE93" s="21">
        <f ca="1">_xll.meLWOBondDV01Numerical($M93,$C$4,$T93%,0.5,"CENTRAL")</f>
        <v>1050.1281816866026</v>
      </c>
    </row>
    <row r="94" spans="2:31">
      <c r="B94" s="14" t="s">
        <v>57</v>
      </c>
      <c r="C94" s="14" t="s">
        <v>58</v>
      </c>
      <c r="D94" s="14" t="s">
        <v>58</v>
      </c>
      <c r="E94" s="15">
        <v>36571</v>
      </c>
      <c r="F94" s="18">
        <v>36479</v>
      </c>
      <c r="G94" s="17" t="str">
        <f t="shared" si="9"/>
        <v/>
      </c>
      <c r="H94" s="15">
        <v>36661</v>
      </c>
      <c r="I94" s="15">
        <v>47437</v>
      </c>
      <c r="J94" s="15" t="s">
        <v>292</v>
      </c>
      <c r="K94" s="16">
        <v>6.25E-2</v>
      </c>
      <c r="L94" s="15">
        <v>47618</v>
      </c>
      <c r="M94" s="19" t="str">
        <f ca="1">_xll.meLWOBondCreateFromGeneratorLVB(C94,$M$4,_xll.meUtilityLVBFromKeysValues($C$6:$L$6,C94:L94))</f>
        <v>US912810FM54@1347:4</v>
      </c>
      <c r="N94" s="53">
        <f ca="1">_xll.BDP($B94,$N$5)</f>
        <v>3.1253541</v>
      </c>
      <c r="O94" s="52">
        <f ca="1">_xll.meLWOBondCleanPrice($M94,$C$4,$N94%)</f>
        <v>129.98437483145258</v>
      </c>
      <c r="P94" s="52">
        <f ca="1">_xll.meLWOBondDirtyPrice($M94,$C$4,$N94%)</f>
        <v>130.00164002482276</v>
      </c>
      <c r="Q94" s="51">
        <f ca="1">_xll.meLWOBondYield($M94,$C$4,O94)</f>
        <v>3.1253540999999274E-2</v>
      </c>
      <c r="R94" s="52">
        <f ca="1">_xll.meLWOBondModifiedDuration($M94,$C$4,$N94%)</f>
        <v>8.6665848678197346</v>
      </c>
      <c r="S94" s="21">
        <f ca="1">_xll.meLWOBondDV01($M94,$C$4,$N94%)</f>
        <v>1126.6702462308774</v>
      </c>
      <c r="T94" s="50">
        <f t="shared" ca="1" si="13"/>
        <v>3.1253541</v>
      </c>
      <c r="U94" s="20">
        <f ca="1">_xll.BDP($B94,U$6, "YAS_BOND_YLD="&amp;$T94,"YAS_YLD_CONV=2")</f>
        <v>129.98437483145247</v>
      </c>
      <c r="V94" s="21">
        <f ca="1">_xll.meLWOBondCleanPrice($M94,$C$4,$T94%)</f>
        <v>129.98437483145258</v>
      </c>
      <c r="W94" s="22">
        <f t="shared" ca="1" si="10"/>
        <v>1.1368683772161603E-13</v>
      </c>
      <c r="X94" s="21">
        <f ca="1">_xll.meLWOBondDV01($M94,$C$4,$T94%)</f>
        <v>1126.6702462308774</v>
      </c>
      <c r="Y94" s="20">
        <f ca="1">_xll.BDP($B94,Y$6, "YLD_YTM_ASK="&amp;$T94,"YAS_YLD_CONV=3")*$Y$3*0.0001</f>
        <v>1126.6704800476646</v>
      </c>
      <c r="Z94" s="22">
        <f t="shared" ca="1" si="11"/>
        <v>2.3381678715850285E-4</v>
      </c>
      <c r="AA94" s="21">
        <f ca="1">_xll.meLWOBondDirtyPrice($M94,$C$4,$T94%)</f>
        <v>130.00164002482276</v>
      </c>
      <c r="AB94" s="21">
        <f ca="1">_xll.meLWOBondModifiedDuration($M94,$C$4,$T94%)</f>
        <v>8.6665848678197346</v>
      </c>
      <c r="AC94" s="20">
        <f ca="1">_xll.BDP($B94,AC$6,"YLD_YTM_ASK="&amp;$T94,"YAS_YLD_CONV=3")</f>
        <v>8.6665866663877384</v>
      </c>
      <c r="AD94" s="22">
        <f t="shared" ca="1" si="12"/>
        <v>1.7985680038634655E-6</v>
      </c>
      <c r="AE94" s="21">
        <f ca="1">_xll.meLWOBondDV01Numerical($M94,$C$4,$T94%,0.5,"CENTRAL")</f>
        <v>1126.6703046882756</v>
      </c>
    </row>
    <row r="95" spans="2:31">
      <c r="B95" s="14" t="s">
        <v>65</v>
      </c>
      <c r="C95" s="14" t="s">
        <v>66</v>
      </c>
      <c r="D95" s="14" t="s">
        <v>66</v>
      </c>
      <c r="E95" s="15">
        <v>36937</v>
      </c>
      <c r="F95" s="18">
        <v>36937</v>
      </c>
      <c r="G95" s="17" t="str">
        <f t="shared" si="9"/>
        <v/>
      </c>
      <c r="H95" s="15">
        <v>37118</v>
      </c>
      <c r="I95" s="15">
        <v>47710</v>
      </c>
      <c r="J95" s="15" t="s">
        <v>292</v>
      </c>
      <c r="K95" s="16">
        <v>5.3749999999999999E-2</v>
      </c>
      <c r="L95" s="15">
        <v>47894</v>
      </c>
      <c r="M95" s="19" t="str">
        <f ca="1">_xll.meLWOBondCreateFromGeneratorLVB(C95,$M$4,_xll.meUtilityLVBFromKeysValues($C$6:$L$6,C95:L95))</f>
        <v>US912810FP85@1346:4</v>
      </c>
      <c r="N95" s="53">
        <f ca="1">_xll.BDP($B95,$N$5)</f>
        <v>3.1382462000000002</v>
      </c>
      <c r="O95" s="52">
        <f ca="1">_xll.meLWOBondCleanPrice($M95,$C$4,$N95%)</f>
        <v>122.59375001132175</v>
      </c>
      <c r="P95" s="52">
        <f ca="1">_xll.meLWOBondDirtyPrice($M95,$C$4,$N95%)</f>
        <v>123.95210598958262</v>
      </c>
      <c r="Q95" s="51">
        <f ca="1">_xll.meLWOBondYield($M95,$C$4,O95)</f>
        <v>3.1382461999999806E-2</v>
      </c>
      <c r="R95" s="52">
        <f ca="1">_xll.meLWOBondModifiedDuration($M95,$C$4,$N95%)</f>
        <v>9.2269535876767481</v>
      </c>
      <c r="S95" s="21">
        <f ca="1">_xll.meLWOBondDV01($M95,$C$4,$N95%)</f>
        <v>1143.7003290606679</v>
      </c>
      <c r="T95" s="50">
        <f t="shared" ca="1" si="13"/>
        <v>3.1382462000000002</v>
      </c>
      <c r="U95" s="20">
        <f ca="1">_xll.BDP($B95,U$6, "YAS_BOND_YLD="&amp;$T95,"YAS_YLD_CONV=2")</f>
        <v>122.59375001132167</v>
      </c>
      <c r="V95" s="21">
        <f ca="1">_xll.meLWOBondCleanPrice($M95,$C$4,$T95%)</f>
        <v>122.59375001132175</v>
      </c>
      <c r="W95" s="22">
        <f t="shared" ca="1" si="10"/>
        <v>7.1054273576010019E-14</v>
      </c>
      <c r="X95" s="21">
        <f ca="1">_xll.meLWOBondDV01($M95,$C$4,$T95%)</f>
        <v>1143.7003290606679</v>
      </c>
      <c r="Y95" s="20">
        <f ca="1">_xll.BDP($B95,Y$6, "YLD_YTM_ASK="&amp;$T95,"YAS_YLD_CONV=3")*$Y$3*0.0001</f>
        <v>1143.700598468982</v>
      </c>
      <c r="Z95" s="22">
        <f t="shared" ca="1" si="11"/>
        <v>2.694083141250303E-4</v>
      </c>
      <c r="AA95" s="21">
        <f ca="1">_xll.meLWOBondDirtyPrice($M95,$C$4,$T95%)</f>
        <v>123.95210598958262</v>
      </c>
      <c r="AB95" s="21">
        <f ca="1">_xll.meLWOBondModifiedDuration($M95,$C$4,$T95%)</f>
        <v>9.2269535876767481</v>
      </c>
      <c r="AC95" s="20">
        <f ca="1">_xll.BDP($B95,AC$6,"YLD_YTM_ASK="&amp;$T95,"YAS_YLD_CONV=3")</f>
        <v>9.2269557611639588</v>
      </c>
      <c r="AD95" s="22">
        <f t="shared" ca="1" si="12"/>
        <v>2.1734872106549119E-6</v>
      </c>
      <c r="AE95" s="21">
        <f ca="1">_xll.meLWOBondDV01Numerical($M95,$C$4,$T95%,0.5,"CENTRAL")</f>
        <v>1143.7003964151415</v>
      </c>
    </row>
    <row r="96" spans="2:31">
      <c r="B96" s="14" t="s">
        <v>77</v>
      </c>
      <c r="C96" s="14" t="s">
        <v>78</v>
      </c>
      <c r="D96" s="14" t="s">
        <v>78</v>
      </c>
      <c r="E96" s="15">
        <v>38763</v>
      </c>
      <c r="F96" s="18">
        <v>38763</v>
      </c>
      <c r="G96" s="17" t="str">
        <f t="shared" si="9"/>
        <v/>
      </c>
      <c r="H96" s="15">
        <v>38944</v>
      </c>
      <c r="I96" s="15">
        <v>49536</v>
      </c>
      <c r="J96" s="15" t="s">
        <v>292</v>
      </c>
      <c r="K96" s="16">
        <v>4.4999999999999998E-2</v>
      </c>
      <c r="L96" s="15">
        <v>49720</v>
      </c>
      <c r="M96" s="19" t="str">
        <f ca="1">_xll.meLWOBondCreateFromGeneratorLVB(C96,$M$4,_xll.meUtilityLVBFromKeysValues($C$6:$L$6,C96:L96))</f>
        <v>US912810FT08@1345:4</v>
      </c>
      <c r="N96" s="53">
        <f ca="1">_xll.BDP($B96,$N$5)</f>
        <v>3.1935095000000002</v>
      </c>
      <c r="O96" s="52">
        <f ca="1">_xll.meLWOBondCleanPrice($M96,$C$4,$N96%)</f>
        <v>117.21874956523634</v>
      </c>
      <c r="P96" s="52">
        <f ca="1">_xll.meLWOBondDirtyPrice($M96,$C$4,$N96%)</f>
        <v>118.3559778261059</v>
      </c>
      <c r="Q96" s="51">
        <f ca="1">_xll.meLWOBondYield($M96,$C$4,O96)</f>
        <v>3.1935095000000323E-2</v>
      </c>
      <c r="R96" s="52">
        <f ca="1">_xll.meLWOBondModifiedDuration($M96,$C$4,$N96%)</f>
        <v>12.298590890518453</v>
      </c>
      <c r="S96" s="21">
        <f ca="1">_xll.meLWOBondDV01($M96,$C$4,$N96%)</f>
        <v>1455.6117507305501</v>
      </c>
      <c r="T96" s="49">
        <f t="shared" ca="1" si="13"/>
        <v>3.1935095000000002</v>
      </c>
      <c r="U96" s="20">
        <f ca="1">_xll.BDP($B96,U$6, "YAS_BOND_YLD="&amp;$T96,"YAS_YLD_CONV=2")</f>
        <v>117.21874956523634</v>
      </c>
      <c r="V96" s="21">
        <f ca="1">_xll.meLWOBondCleanPrice($M96,$C$4,$T96%)</f>
        <v>117.21874956523634</v>
      </c>
      <c r="W96" s="22">
        <f t="shared" ca="1" si="10"/>
        <v>0</v>
      </c>
      <c r="X96" s="21">
        <f ca="1">_xll.meLWOBondDV01($M96,$C$4,$T96%)</f>
        <v>1455.6117507305501</v>
      </c>
      <c r="Y96" s="20">
        <f ca="1">_xll.BDP($B96,Y$6, "YLD_YTM_ASK="&amp;$T96,"YAS_YLD_CONV=3")*$Y$3*0.0001</f>
        <v>1455.612385782814</v>
      </c>
      <c r="Z96" s="22">
        <f t="shared" ca="1" si="11"/>
        <v>6.3505226398774539E-4</v>
      </c>
      <c r="AA96" s="21">
        <f ca="1">_xll.meLWOBondDirtyPrice($M96,$C$4,$T96%)</f>
        <v>118.3559778261059</v>
      </c>
      <c r="AB96" s="21">
        <f ca="1">_xll.meLWOBondModifiedDuration($M96,$C$4,$T96%)</f>
        <v>12.298590890518453</v>
      </c>
      <c r="AC96" s="20">
        <f ca="1">_xll.BDP($B96,AC$6,"YLD_YTM_ASK="&amp;$T96,"YAS_YLD_CONV=3")</f>
        <v>12.298596256130507</v>
      </c>
      <c r="AD96" s="22">
        <f t="shared" ca="1" si="12"/>
        <v>5.365612054220037E-6</v>
      </c>
      <c r="AE96" s="21">
        <f ca="1">_xll.meLWOBondDV01Numerical($M96,$C$4,$T96%,0.5,"CENTRAL")</f>
        <v>1455.6119094966391</v>
      </c>
    </row>
    <row r="97" spans="2:31">
      <c r="B97" s="14" t="s">
        <v>75</v>
      </c>
      <c r="C97" s="14" t="s">
        <v>76</v>
      </c>
      <c r="D97" s="14" t="s">
        <v>76</v>
      </c>
      <c r="E97" s="15">
        <v>39128</v>
      </c>
      <c r="F97" s="18">
        <v>39128</v>
      </c>
      <c r="G97" s="17" t="str">
        <f t="shared" si="9"/>
        <v/>
      </c>
      <c r="H97" s="15">
        <v>39309</v>
      </c>
      <c r="I97" s="15">
        <v>49902</v>
      </c>
      <c r="J97" s="15" t="s">
        <v>292</v>
      </c>
      <c r="K97" s="16">
        <v>4.7500000000000001E-2</v>
      </c>
      <c r="L97" s="15">
        <v>50086</v>
      </c>
      <c r="M97" s="19" t="str">
        <f ca="1">_xll.meLWOBondCreateFromGeneratorLVB(C97,$M$4,_xll.meUtilityLVBFromKeysValues($C$6:$L$6,C97:L97))</f>
        <v>US912810PT97@1344:4</v>
      </c>
      <c r="N97" s="53">
        <f ca="1">_xll.BDP($B97,$N$5)</f>
        <v>3.2068303999999999</v>
      </c>
      <c r="O97" s="52">
        <f ca="1">_xll.meLWOBondCleanPrice($M97,$C$4,$N97%)</f>
        <v>121.18750075025353</v>
      </c>
      <c r="P97" s="52">
        <f ca="1">_xll.meLWOBondDirtyPrice($M97,$C$4,$N97%)</f>
        <v>122.38790835894919</v>
      </c>
      <c r="Q97" s="51">
        <f ca="1">_xll.meLWOBondYield($M97,$C$4,O97)</f>
        <v>3.2068303999999541E-2</v>
      </c>
      <c r="R97" s="52">
        <f ca="1">_xll.meLWOBondModifiedDuration($M97,$C$4,$N97%)</f>
        <v>12.67000808486393</v>
      </c>
      <c r="S97" s="21">
        <f ca="1">_xll.meLWOBondDV01($M97,$C$4,$N97%)</f>
        <v>1550.655788397472</v>
      </c>
      <c r="T97" s="49">
        <f t="shared" ca="1" si="13"/>
        <v>3.2068303999999999</v>
      </c>
      <c r="U97" s="20">
        <f ca="1">_xll.BDP($B97,U$6, "YAS_BOND_YLD="&amp;$T97,"YAS_YLD_CONV=2")</f>
        <v>121.18750075025349</v>
      </c>
      <c r="V97" s="21">
        <f ca="1">_xll.meLWOBondCleanPrice($M97,$C$4,$T97%)</f>
        <v>121.18750075025353</v>
      </c>
      <c r="W97" s="22">
        <f t="shared" ca="1" si="10"/>
        <v>4.2632564145606011E-14</v>
      </c>
      <c r="X97" s="21">
        <f ca="1">_xll.meLWOBondDV01($M97,$C$4,$T97%)</f>
        <v>1550.655788397472</v>
      </c>
      <c r="Y97" s="20">
        <f ca="1">_xll.BDP($B97,Y$6, "YLD_YTM_ASK="&amp;$T97,"YAS_YLD_CONV=3")*$Y$3*0.0001</f>
        <v>1550.6565283617847</v>
      </c>
      <c r="Z97" s="22">
        <f t="shared" ca="1" si="11"/>
        <v>7.3996431274281349E-4</v>
      </c>
      <c r="AA97" s="21">
        <f ca="1">_xll.meLWOBondDirtyPrice($M97,$C$4,$T97%)</f>
        <v>122.38790835894919</v>
      </c>
      <c r="AB97" s="21">
        <f ca="1">_xll.meLWOBondModifiedDuration($M97,$C$4,$T97%)</f>
        <v>12.67000808486393</v>
      </c>
      <c r="AC97" s="20">
        <f ca="1">_xll.BDP($B97,AC$6,"YLD_YTM_ASK="&amp;$T97,"YAS_YLD_CONV=3")</f>
        <v>12.670014130921272</v>
      </c>
      <c r="AD97" s="22">
        <f t="shared" ca="1" si="12"/>
        <v>6.046057341890787E-6</v>
      </c>
      <c r="AE97" s="21">
        <f ca="1">_xll.meLWOBondDV01Numerical($M97,$C$4,$T97%,0.5,"CENTRAL")</f>
        <v>1550.655973384778</v>
      </c>
    </row>
    <row r="98" spans="2:31">
      <c r="B98" s="14" t="s">
        <v>71</v>
      </c>
      <c r="C98" s="14" t="s">
        <v>72</v>
      </c>
      <c r="D98" s="14" t="s">
        <v>72</v>
      </c>
      <c r="E98" s="15">
        <v>39309</v>
      </c>
      <c r="F98" s="18">
        <v>39217</v>
      </c>
      <c r="G98" s="17" t="str">
        <f t="shared" si="9"/>
        <v/>
      </c>
      <c r="H98" s="15">
        <v>39401</v>
      </c>
      <c r="I98" s="15">
        <v>49994</v>
      </c>
      <c r="J98" s="15" t="s">
        <v>292</v>
      </c>
      <c r="K98" s="16">
        <v>0.05</v>
      </c>
      <c r="L98" s="15">
        <v>50175</v>
      </c>
      <c r="M98" s="19" t="str">
        <f ca="1">_xll.meLWOBondCreateFromGeneratorLVB(C98,$M$4,_xll.meUtilityLVBFromKeysValues($C$6:$L$6,C98:L98))</f>
        <v>US912810PU60@1343:4</v>
      </c>
      <c r="N98" s="53">
        <f ca="1">_xll.BDP($B98,$N$5)</f>
        <v>3.2106303999999999</v>
      </c>
      <c r="O98" s="52">
        <f ca="1">_xll.meLWOBondCleanPrice($M98,$C$4,$N98%)</f>
        <v>124.81250056813974</v>
      </c>
      <c r="P98" s="52">
        <f ca="1">_xll.meLWOBondDirtyPrice($M98,$C$4,$N98%)</f>
        <v>124.82631272283587</v>
      </c>
      <c r="Q98" s="51">
        <f ca="1">_xll.meLWOBondYield($M98,$C$4,O98)</f>
        <v>3.2106303999999947E-2</v>
      </c>
      <c r="R98" s="52">
        <f ca="1">_xll.meLWOBondModifiedDuration($M98,$C$4,$N98%)</f>
        <v>12.790561335797619</v>
      </c>
      <c r="S98" s="21">
        <f ca="1">_xll.meLWOBondDV01($M98,$C$4,$N98%)</f>
        <v>1596.5986092028868</v>
      </c>
      <c r="T98" s="49">
        <f t="shared" ca="1" si="13"/>
        <v>3.2106303999999999</v>
      </c>
      <c r="U98" s="20">
        <f ca="1">_xll.BDP($B98,U$6, "YAS_BOND_YLD="&amp;$T98,"YAS_YLD_CONV=2")</f>
        <v>124.81250056813973</v>
      </c>
      <c r="V98" s="21">
        <f ca="1">_xll.meLWOBondCleanPrice($M98,$C$4,$T98%)</f>
        <v>124.81250056813974</v>
      </c>
      <c r="W98" s="22">
        <f t="shared" ca="1" si="10"/>
        <v>1.4210854715202004E-14</v>
      </c>
      <c r="X98" s="21">
        <f ca="1">_xll.meLWOBondDV01($M98,$C$4,$T98%)</f>
        <v>1596.5986092028868</v>
      </c>
      <c r="Y98" s="20">
        <f ca="1">_xll.BDP($B98,Y$6, "YLD_YTM_ASK="&amp;$T98,"YAS_YLD_CONV=3")*$Y$3*0.0001</f>
        <v>1596.5993833346204</v>
      </c>
      <c r="Z98" s="22">
        <f t="shared" ca="1" si="11"/>
        <v>7.7413173357854248E-4</v>
      </c>
      <c r="AA98" s="21">
        <f ca="1">_xll.meLWOBondDirtyPrice($M98,$C$4,$T98%)</f>
        <v>124.82631272283587</v>
      </c>
      <c r="AB98" s="21">
        <f ca="1">_xll.meLWOBondModifiedDuration($M98,$C$4,$T98%)</f>
        <v>12.790561335797619</v>
      </c>
      <c r="AC98" s="20">
        <f ca="1">_xll.BDP($B98,AC$6,"YLD_YTM_ASK="&amp;$T98,"YAS_YLD_CONV=3")</f>
        <v>12.790567537468695</v>
      </c>
      <c r="AD98" s="22">
        <f t="shared" ca="1" si="12"/>
        <v>6.2016710753454163E-6</v>
      </c>
      <c r="AE98" s="21">
        <f ca="1">_xll.meLWOBondDV01Numerical($M98,$C$4,$T98%,0.5,"CENTRAL")</f>
        <v>1596.5988027325295</v>
      </c>
    </row>
    <row r="99" spans="2:31">
      <c r="B99" s="14" t="s">
        <v>83</v>
      </c>
      <c r="C99" s="14" t="s">
        <v>84</v>
      </c>
      <c r="D99" s="14" t="s">
        <v>84</v>
      </c>
      <c r="E99" s="15">
        <v>39493</v>
      </c>
      <c r="F99" s="18">
        <v>39493</v>
      </c>
      <c r="G99" s="17" t="str">
        <f t="shared" si="9"/>
        <v/>
      </c>
      <c r="H99" s="15">
        <v>39675</v>
      </c>
      <c r="I99" s="15">
        <v>50267</v>
      </c>
      <c r="J99" s="15" t="s">
        <v>292</v>
      </c>
      <c r="K99" s="16">
        <v>4.3749999999999997E-2</v>
      </c>
      <c r="L99" s="15">
        <v>50451</v>
      </c>
      <c r="M99" s="19" t="str">
        <f ca="1">_xll.meLWOBondCreateFromGeneratorLVB(C99,$M$4,_xll.meUtilityLVBFromKeysValues($C$6:$L$6,C99:L99))</f>
        <v>US912810PW27@1342:4</v>
      </c>
      <c r="N99" s="53">
        <f ca="1">_xll.BDP($B99,$N$5)</f>
        <v>3.2309869</v>
      </c>
      <c r="O99" s="52">
        <f ca="1">_xll.meLWOBondCleanPrice($M99,$C$4,$N99%)</f>
        <v>116.296874812512</v>
      </c>
      <c r="P99" s="52">
        <f ca="1">_xll.meLWOBondDirtyPrice($M99,$C$4,$N99%)</f>
        <v>117.40251339946852</v>
      </c>
      <c r="Q99" s="51">
        <f ca="1">_xll.meLWOBondYield($M99,$C$4,O99)</f>
        <v>3.2309868999999908E-2</v>
      </c>
      <c r="R99" s="52">
        <f ca="1">_xll.meLWOBondModifiedDuration($M99,$C$4,$N99%)</f>
        <v>13.353072336292993</v>
      </c>
      <c r="S99" s="21">
        <f ca="1">_xll.meLWOBondDV01($M99,$C$4,$N99%)</f>
        <v>1567.6842538857104</v>
      </c>
      <c r="T99" s="49">
        <f t="shared" ca="1" si="13"/>
        <v>3.2309869</v>
      </c>
      <c r="U99" s="20">
        <f ca="1">_xll.BDP($B99,U$6, "YAS_BOND_YLD="&amp;$T99,"YAS_YLD_CONV=2")</f>
        <v>116.29687481251206</v>
      </c>
      <c r="V99" s="21">
        <f ca="1">_xll.meLWOBondCleanPrice($M99,$C$4,$T99%)</f>
        <v>116.296874812512</v>
      </c>
      <c r="W99" s="22">
        <f t="shared" ca="1" si="10"/>
        <v>5.6843418860808015E-14</v>
      </c>
      <c r="X99" s="21">
        <f ca="1">_xll.meLWOBondDV01($M99,$C$4,$T99%)</f>
        <v>1567.6842538857104</v>
      </c>
      <c r="Y99" s="20">
        <f ca="1">_xll.BDP($B99,Y$6, "YLD_YTM_ASK="&amp;$T99,"YAS_YLD_CONV=3")*$Y$3*0.0001</f>
        <v>1567.6850832593204</v>
      </c>
      <c r="Z99" s="22">
        <f t="shared" ca="1" si="11"/>
        <v>8.2937361003132537E-4</v>
      </c>
      <c r="AA99" s="21">
        <f ca="1">_xll.meLWOBondDirtyPrice($M99,$C$4,$T99%)</f>
        <v>117.40251339946852</v>
      </c>
      <c r="AB99" s="21">
        <f ca="1">_xll.meLWOBondModifiedDuration($M99,$C$4,$T99%)</f>
        <v>13.353072336292993</v>
      </c>
      <c r="AC99" s="20">
        <f ca="1">_xll.BDP($B99,AC$6,"YLD_YTM_ASK="&amp;$T99,"YAS_YLD_CONV=3")</f>
        <v>13.353079400652884</v>
      </c>
      <c r="AD99" s="22">
        <f t="shared" ca="1" si="12"/>
        <v>7.0643598917285999E-6</v>
      </c>
      <c r="AE99" s="21">
        <f ca="1">_xll.meLWOBondDV01Numerical($M99,$C$4,$T99%,0.5,"CENTRAL")</f>
        <v>1567.6844612320906</v>
      </c>
    </row>
    <row r="100" spans="2:31">
      <c r="B100" s="14" t="s">
        <v>67</v>
      </c>
      <c r="C100" s="14" t="s">
        <v>68</v>
      </c>
      <c r="D100" s="14" t="s">
        <v>68</v>
      </c>
      <c r="E100" s="15">
        <v>39675</v>
      </c>
      <c r="F100" s="18">
        <v>39583</v>
      </c>
      <c r="G100" s="17" t="str">
        <f t="shared" si="9"/>
        <v/>
      </c>
      <c r="H100" s="15">
        <v>39767</v>
      </c>
      <c r="I100" s="15">
        <v>50359</v>
      </c>
      <c r="J100" s="15" t="s">
        <v>292</v>
      </c>
      <c r="K100" s="16">
        <v>4.4999999999999998E-2</v>
      </c>
      <c r="L100" s="15">
        <v>50540</v>
      </c>
      <c r="M100" s="19" t="str">
        <f ca="1">_xll.meLWOBondCreateFromGeneratorLVB(C100,$M$4,_xll.meUtilityLVBFromKeysValues($C$6:$L$6,C100:L100))</f>
        <v>US912810PX00@1341:4</v>
      </c>
      <c r="N100" s="53">
        <f ca="1">_xll.BDP($B100,$N$5)</f>
        <v>3.2349841000000001</v>
      </c>
      <c r="O100" s="52">
        <f ca="1">_xll.meLWOBondCleanPrice($M100,$C$4,$N100%)</f>
        <v>118.18749981797815</v>
      </c>
      <c r="P100" s="52">
        <f ca="1">_xll.meLWOBondDirtyPrice($M100,$C$4,$N100%)</f>
        <v>118.19993075720467</v>
      </c>
      <c r="Q100" s="51">
        <f ca="1">_xll.meLWOBondYield($M100,$C$4,O100)</f>
        <v>3.2349841000000087E-2</v>
      </c>
      <c r="R100" s="52">
        <f ca="1">_xll.meLWOBondModifiedDuration($M100,$C$4,$N100%)</f>
        <v>13.524800815587056</v>
      </c>
      <c r="S100" s="21">
        <f ca="1">_xll.meLWOBondDV01($M100,$C$4,$N100%)</f>
        <v>1598.6305199073754</v>
      </c>
      <c r="T100" s="49">
        <f t="shared" ca="1" si="13"/>
        <v>3.2349841000000001</v>
      </c>
      <c r="U100" s="20">
        <f ca="1">_xll.BDP($B100,U$6, "YAS_BOND_YLD="&amp;$T100,"YAS_YLD_CONV=2")</f>
        <v>118.18749981797814</v>
      </c>
      <c r="V100" s="21">
        <f ca="1">_xll.meLWOBondCleanPrice($M100,$C$4,$T100%)</f>
        <v>118.18749981797815</v>
      </c>
      <c r="W100" s="22">
        <f t="shared" ca="1" si="10"/>
        <v>1.4210854715202004E-14</v>
      </c>
      <c r="X100" s="21">
        <f ca="1">_xll.meLWOBondDV01($M100,$C$4,$T100%)</f>
        <v>1598.6305199073754</v>
      </c>
      <c r="Y100" s="20">
        <f ca="1">_xll.BDP($B100,Y$6, "YLD_YTM_ASK="&amp;$T100,"YAS_YLD_CONV=3")*$Y$3*0.0001</f>
        <v>1598.63138111632</v>
      </c>
      <c r="Z100" s="22">
        <f t="shared" ca="1" si="11"/>
        <v>8.612089445705351E-4</v>
      </c>
      <c r="AA100" s="21">
        <f ca="1">_xll.meLWOBondDirtyPrice($M100,$C$4,$T100%)</f>
        <v>118.19993075720467</v>
      </c>
      <c r="AB100" s="21">
        <f ca="1">_xll.meLWOBondModifiedDuration($M100,$C$4,$T100%)</f>
        <v>13.524800815587056</v>
      </c>
      <c r="AC100" s="20">
        <f ca="1">_xll.BDP($B100,AC$6,"YLD_YTM_ASK="&amp;$T100,"YAS_YLD_CONV=3")</f>
        <v>13.524808101623046</v>
      </c>
      <c r="AD100" s="22">
        <f t="shared" ca="1" si="12"/>
        <v>7.2860359896509408E-6</v>
      </c>
      <c r="AE100" s="21">
        <f ca="1">_xll.meLWOBondDV01Numerical($M100,$C$4,$T100%,0.5,"CENTRAL")</f>
        <v>1598.6307352129359</v>
      </c>
    </row>
    <row r="101" spans="2:31">
      <c r="B101" s="14" t="s">
        <v>143</v>
      </c>
      <c r="C101" s="14" t="s">
        <v>144</v>
      </c>
      <c r="D101" s="14" t="s">
        <v>144</v>
      </c>
      <c r="E101" s="15">
        <v>39861</v>
      </c>
      <c r="F101" s="18">
        <v>39859</v>
      </c>
      <c r="G101" s="17" t="str">
        <f t="shared" si="9"/>
        <v/>
      </c>
      <c r="H101" s="15">
        <v>40040</v>
      </c>
      <c r="I101" s="15">
        <v>50632</v>
      </c>
      <c r="J101" s="15" t="s">
        <v>292</v>
      </c>
      <c r="K101" s="16">
        <v>3.5000000000000003E-2</v>
      </c>
      <c r="L101" s="15">
        <v>50816</v>
      </c>
      <c r="M101" s="19" t="str">
        <f ca="1">_xll.meLWOBondCreateFromGeneratorLVB(C101,$M$4,_xll.meUtilityLVBFromKeysValues($C$6:$L$6,C101:L101))</f>
        <v>US912810QA97@1340:4</v>
      </c>
      <c r="N101" s="53">
        <f ca="1">_xll.BDP($B101,$N$5)</f>
        <v>3.2590998999999998</v>
      </c>
      <c r="O101" s="52">
        <f ca="1">_xll.meLWOBondCleanPrice($M101,$C$4,$N101%)</f>
        <v>103.54687498353037</v>
      </c>
      <c r="P101" s="52">
        <f ca="1">_xll.meLWOBondDirtyPrice($M101,$C$4,$N101%)</f>
        <v>104.43138585309559</v>
      </c>
      <c r="Q101" s="51">
        <f ca="1">_xll.meLWOBondYield($M101,$C$4,O101)</f>
        <v>3.2590999000022401E-2</v>
      </c>
      <c r="R101" s="52">
        <f ca="1">_xll.meLWOBondModifiedDuration($M101,$C$4,$N101%)</f>
        <v>14.424106422549139</v>
      </c>
      <c r="S101" s="21">
        <f ca="1">_xll.meLWOBondDV01($M101,$C$4,$N101%)</f>
        <v>1506.3294233993433</v>
      </c>
      <c r="T101" s="49">
        <f t="shared" ca="1" si="13"/>
        <v>3.2590998999999998</v>
      </c>
      <c r="U101" s="20">
        <f ca="1">_xll.BDP($B101,U$6, "YAS_BOND_YLD="&amp;$T101,"YAS_YLD_CONV=2")</f>
        <v>103.54687498353037</v>
      </c>
      <c r="V101" s="21">
        <f ca="1">_xll.meLWOBondCleanPrice($M101,$C$4,$T101%)</f>
        <v>103.54687498353037</v>
      </c>
      <c r="W101" s="22">
        <f t="shared" ca="1" si="10"/>
        <v>0</v>
      </c>
      <c r="X101" s="21">
        <f ca="1">_xll.meLWOBondDV01($M101,$C$4,$T101%)</f>
        <v>1506.3294233993433</v>
      </c>
      <c r="Y101" s="20">
        <f ca="1">_xll.BDP($B101,Y$6, "YLD_YTM_ASK="&amp;$T101,"YAS_YLD_CONV=3")*$Y$3*0.0001</f>
        <v>1506.3303200994937</v>
      </c>
      <c r="Z101" s="22">
        <f t="shared" ca="1" si="11"/>
        <v>8.9670015040610451E-4</v>
      </c>
      <c r="AA101" s="21">
        <f ca="1">_xll.meLWOBondDirtyPrice($M101,$C$4,$T101%)</f>
        <v>104.43138585309559</v>
      </c>
      <c r="AB101" s="21">
        <f ca="1">_xll.meLWOBondModifiedDuration($M101,$C$4,$T101%)</f>
        <v>14.424106422549139</v>
      </c>
      <c r="AC101" s="20">
        <f ca="1">_xll.BDP($B101,AC$6,"YLD_YTM_ASK="&amp;$T101,"YAS_YLD_CONV=3")</f>
        <v>14.424115009049682</v>
      </c>
      <c r="AD101" s="22">
        <f t="shared" ca="1" si="12"/>
        <v>8.5865005434726527E-6</v>
      </c>
      <c r="AE101" s="21">
        <f ca="1">_xll.meLWOBondDV01Numerical($M101,$C$4,$T101%,0.5,"CENTRAL")</f>
        <v>1506.3296475706525</v>
      </c>
    </row>
    <row r="102" spans="2:31">
      <c r="B102" s="14" t="s">
        <v>99</v>
      </c>
      <c r="C102" s="14" t="s">
        <v>100</v>
      </c>
      <c r="D102" s="14" t="s">
        <v>100</v>
      </c>
      <c r="E102" s="15">
        <v>39948</v>
      </c>
      <c r="F102" s="18">
        <v>39948</v>
      </c>
      <c r="G102" s="17" t="str">
        <f t="shared" si="9"/>
        <v/>
      </c>
      <c r="H102" s="15">
        <v>40132</v>
      </c>
      <c r="I102" s="15">
        <v>50724</v>
      </c>
      <c r="J102" s="15" t="s">
        <v>292</v>
      </c>
      <c r="K102" s="16">
        <v>4.2500000000000003E-2</v>
      </c>
      <c r="L102" s="15">
        <v>50905</v>
      </c>
      <c r="M102" s="19" t="str">
        <f ca="1">_xll.meLWOBondCreateFromGeneratorLVB(C102,$M$4,_xll.meUtilityLVBFromKeysValues($C$6:$L$6,C102:L102))</f>
        <v>US912810QB70@1339:4</v>
      </c>
      <c r="N102" s="53">
        <f ca="1">_xll.BDP($B102,$N$5)</f>
        <v>3.2666043</v>
      </c>
      <c r="O102" s="52">
        <f ca="1">_xll.meLWOBondCleanPrice($M102,$C$4,$N102%)</f>
        <v>114.60937419903313</v>
      </c>
      <c r="P102" s="52">
        <f ca="1">_xll.meLWOBondDirtyPrice($M102,$C$4,$N102%)</f>
        <v>114.62111453052484</v>
      </c>
      <c r="Q102" s="51">
        <f ca="1">_xll.meLWOBondYield($M102,$C$4,O102)</f>
        <v>3.266604299999986E-2</v>
      </c>
      <c r="R102" s="52">
        <f ca="1">_xll.meLWOBondModifiedDuration($M102,$C$4,$N102%)</f>
        <v>14.136598824442331</v>
      </c>
      <c r="S102" s="21">
        <f ca="1">_xll.meLWOBondDV01($M102,$C$4,$N102%)</f>
        <v>1620.3527129284871</v>
      </c>
      <c r="T102" s="49">
        <f t="shared" ca="1" si="13"/>
        <v>3.2666043</v>
      </c>
      <c r="U102" s="20">
        <f ca="1">_xll.BDP($B102,U$6, "YAS_BOND_YLD="&amp;$T102,"YAS_YLD_CONV=2")</f>
        <v>114.60937419903311</v>
      </c>
      <c r="V102" s="21">
        <f ca="1">_xll.meLWOBondCleanPrice($M102,$C$4,$T102%)</f>
        <v>114.60937419903313</v>
      </c>
      <c r="W102" s="22">
        <f t="shared" ca="1" si="10"/>
        <v>1.4210854715202004E-14</v>
      </c>
      <c r="X102" s="21">
        <f ca="1">_xll.meLWOBondDV01($M102,$C$4,$T102%)</f>
        <v>1620.3527129284871</v>
      </c>
      <c r="Y102" s="20">
        <f ca="1">_xll.BDP($B102,Y$6, "YLD_YTM_ASK="&amp;$T102,"YAS_YLD_CONV=3")*$Y$3*0.0001</f>
        <v>1620.3536714360212</v>
      </c>
      <c r="Z102" s="22">
        <f t="shared" ca="1" si="11"/>
        <v>9.5850753405102296E-4</v>
      </c>
      <c r="AA102" s="21">
        <f ca="1">_xll.meLWOBondDirtyPrice($M102,$C$4,$T102%)</f>
        <v>114.62111453052484</v>
      </c>
      <c r="AB102" s="21">
        <f ca="1">_xll.meLWOBondModifiedDuration($M102,$C$4,$T102%)</f>
        <v>14.136598824442331</v>
      </c>
      <c r="AC102" s="20">
        <f ca="1">_xll.BDP($B102,AC$6,"YLD_YTM_ASK="&amp;$T102,"YAS_YLD_CONV=3")</f>
        <v>14.136607186841717</v>
      </c>
      <c r="AD102" s="22">
        <f t="shared" ca="1" si="12"/>
        <v>8.3623993862858015E-6</v>
      </c>
      <c r="AE102" s="21">
        <f ca="1">_xll.meLWOBondDV01Numerical($M102,$C$4,$T102%,0.5,"CENTRAL")</f>
        <v>1620.3529525583349</v>
      </c>
    </row>
    <row r="103" spans="2:31">
      <c r="B103" s="14" t="s">
        <v>85</v>
      </c>
      <c r="C103" s="14" t="s">
        <v>86</v>
      </c>
      <c r="D103" s="14" t="s">
        <v>86</v>
      </c>
      <c r="E103" s="15">
        <v>40042</v>
      </c>
      <c r="F103" s="18">
        <v>40040</v>
      </c>
      <c r="G103" s="17" t="str">
        <f t="shared" ref="G103:G132" si="14">IF(DAY(L103+1)=1, "EOM","")</f>
        <v/>
      </c>
      <c r="H103" s="15">
        <v>40224</v>
      </c>
      <c r="I103" s="15">
        <v>50816</v>
      </c>
      <c r="J103" s="15" t="s">
        <v>292</v>
      </c>
      <c r="K103" s="16">
        <v>4.4999999999999998E-2</v>
      </c>
      <c r="L103" s="15">
        <v>50997</v>
      </c>
      <c r="M103" s="19" t="str">
        <f ca="1">_xll.meLWOBondCreateFromGeneratorLVB(C103,$M$4,_xll.meUtilityLVBFromKeysValues($C$6:$L$6,C103:L103))</f>
        <v>US912810QC53@1338:4</v>
      </c>
      <c r="N103" s="53">
        <f ca="1">_xll.BDP($B103,$N$5)</f>
        <v>3.2735755000000002</v>
      </c>
      <c r="O103" s="52">
        <f ca="1">_xll.meLWOBondCleanPrice($M103,$C$4,$N103%)</f>
        <v>118.35937568009723</v>
      </c>
      <c r="P103" s="52">
        <f ca="1">_xll.meLWOBondDirtyPrice($M103,$C$4,$N103%)</f>
        <v>119.49660394096679</v>
      </c>
      <c r="Q103" s="51">
        <f ca="1">_xll.meLWOBondYield($M103,$C$4,O103)</f>
        <v>3.2735755000000172E-2</v>
      </c>
      <c r="R103" s="52">
        <f ca="1">_xll.meLWOBondModifiedDuration($M103,$C$4,$N103%)</f>
        <v>13.963319406038384</v>
      </c>
      <c r="S103" s="21">
        <f ca="1">_xll.meLWOBondDV01($M103,$C$4,$N103%)</f>
        <v>1668.5692487645845</v>
      </c>
      <c r="T103" s="49">
        <f t="shared" ca="1" si="13"/>
        <v>3.2735755000000002</v>
      </c>
      <c r="U103" s="20">
        <f ca="1">_xll.BDP($B103,U$6, "YAS_BOND_YLD="&amp;$T103,"YAS_YLD_CONV=2")</f>
        <v>118.35937568009724</v>
      </c>
      <c r="V103" s="21">
        <f ca="1">_xll.meLWOBondCleanPrice($M103,$C$4,$T103%)</f>
        <v>118.35937568009723</v>
      </c>
      <c r="W103" s="22">
        <f t="shared" ref="W103:W132" ca="1" si="15">ABS(V103-U103)</f>
        <v>1.4210854715202004E-14</v>
      </c>
      <c r="X103" s="21">
        <f ca="1">_xll.meLWOBondDV01($M103,$C$4,$T103%)</f>
        <v>1668.5692487645845</v>
      </c>
      <c r="Y103" s="20">
        <f ca="1">_xll.BDP($B103,Y$6, "YLD_YTM_ASK="&amp;$T103,"YAS_YLD_CONV=3")*$Y$3*0.0001</f>
        <v>1668.5702476093668</v>
      </c>
      <c r="Z103" s="22">
        <f t="shared" ref="Z103:Z132" ca="1" si="16">ABS(Y103-X103)</f>
        <v>9.9884478231615503E-4</v>
      </c>
      <c r="AA103" s="21">
        <f ca="1">_xll.meLWOBondDirtyPrice($M103,$C$4,$T103%)</f>
        <v>119.49660394096679</v>
      </c>
      <c r="AB103" s="21">
        <f ca="1">_xll.meLWOBondModifiedDuration($M103,$C$4,$T103%)</f>
        <v>13.963319406038384</v>
      </c>
      <c r="AC103" s="20">
        <f ca="1">_xll.BDP($B103,AC$6,"YLD_YTM_ASK="&amp;$T103,"YAS_YLD_CONV=3")</f>
        <v>13.963327764809662</v>
      </c>
      <c r="AD103" s="22">
        <f t="shared" ref="AD103:AD132" ca="1" si="17">ABS(AC103-AB103)</f>
        <v>8.3587712786936663E-6</v>
      </c>
      <c r="AE103" s="21">
        <f ca="1">_xll.meLWOBondDV01Numerical($M103,$C$4,$T103%,0.5,"CENTRAL")</f>
        <v>1668.5694984721524</v>
      </c>
    </row>
    <row r="104" spans="2:31">
      <c r="B104" s="14" t="s">
        <v>89</v>
      </c>
      <c r="C104" s="14" t="s">
        <v>90</v>
      </c>
      <c r="D104" s="14" t="s">
        <v>90</v>
      </c>
      <c r="E104" s="15">
        <v>40133</v>
      </c>
      <c r="F104" s="18">
        <v>40132</v>
      </c>
      <c r="G104" s="17" t="str">
        <f t="shared" si="14"/>
        <v/>
      </c>
      <c r="H104" s="15">
        <v>40313</v>
      </c>
      <c r="I104" s="15">
        <v>50905</v>
      </c>
      <c r="J104" s="15" t="s">
        <v>292</v>
      </c>
      <c r="K104" s="16">
        <v>4.3749999999999997E-2</v>
      </c>
      <c r="L104" s="15">
        <v>51089</v>
      </c>
      <c r="M104" s="19" t="str">
        <f ca="1">_xll.meLWOBondCreateFromGeneratorLVB(C104,$M$4,_xll.meUtilityLVBFromKeysValues($C$6:$L$6,C104:L104))</f>
        <v>US912810QD37@1337:4</v>
      </c>
      <c r="N104" s="53">
        <f ca="1">_xll.BDP($B104,$N$5)</f>
        <v>3.2823696</v>
      </c>
      <c r="O104" s="52">
        <f ca="1">_xll.meLWOBondCleanPrice($M104,$C$4,$N104%)</f>
        <v>116.48437578187608</v>
      </c>
      <c r="P104" s="52">
        <f ca="1">_xll.meLWOBondDirtyPrice($M104,$C$4,$N104%)</f>
        <v>116.4964614172352</v>
      </c>
      <c r="Q104" s="51">
        <f ca="1">_xll.meLWOBondYield($M104,$C$4,O104)</f>
        <v>3.2823695999999777E-2</v>
      </c>
      <c r="R104" s="52">
        <f ca="1">_xll.meLWOBondModifiedDuration($M104,$C$4,$N104%)</f>
        <v>14.28184290107494</v>
      </c>
      <c r="S104" s="21">
        <f ca="1">_xll.meLWOBondDV01($M104,$C$4,$N104%)</f>
        <v>1663.7841604920911</v>
      </c>
      <c r="T104" s="49">
        <f t="shared" ca="1" si="13"/>
        <v>3.2823696</v>
      </c>
      <c r="U104" s="20">
        <f ca="1">_xll.BDP($B104,U$6, "YAS_BOND_YLD="&amp;$T104,"YAS_YLD_CONV=2")</f>
        <v>116.48437578187612</v>
      </c>
      <c r="V104" s="21">
        <f ca="1">_xll.meLWOBondCleanPrice($M104,$C$4,$T104%)</f>
        <v>116.48437578187608</v>
      </c>
      <c r="W104" s="22">
        <f t="shared" ca="1" si="15"/>
        <v>4.2632564145606011E-14</v>
      </c>
      <c r="X104" s="21">
        <f ca="1">_xll.meLWOBondDV01($M104,$C$4,$T104%)</f>
        <v>1663.7841604920911</v>
      </c>
      <c r="Y104" s="20">
        <f ca="1">_xll.BDP($B104,Y$6, "YLD_YTM_ASK="&amp;$T104,"YAS_YLD_CONV=3")*$Y$3*0.0001</f>
        <v>1663.7851812960491</v>
      </c>
      <c r="Z104" s="22">
        <f t="shared" ca="1" si="16"/>
        <v>1.0208039579993056E-3</v>
      </c>
      <c r="AA104" s="21">
        <f ca="1">_xll.meLWOBondDirtyPrice($M104,$C$4,$T104%)</f>
        <v>116.4964614172352</v>
      </c>
      <c r="AB104" s="21">
        <f ca="1">_xll.meLWOBondModifiedDuration($M104,$C$4,$T104%)</f>
        <v>14.28184290107494</v>
      </c>
      <c r="AC104" s="20">
        <f ca="1">_xll.BDP($B104,AC$6,"YLD_YTM_ASK="&amp;$T104,"YAS_YLD_CONV=3")</f>
        <v>14.281851663606847</v>
      </c>
      <c r="AD104" s="22">
        <f t="shared" ca="1" si="17"/>
        <v>8.7625319071804597E-6</v>
      </c>
      <c r="AE104" s="21">
        <f ca="1">_xll.meLWOBondDV01Numerical($M104,$C$4,$T104%,0.5,"CENTRAL")</f>
        <v>1663.7844156890935</v>
      </c>
    </row>
    <row r="105" spans="2:31">
      <c r="B105" s="14" t="s">
        <v>81</v>
      </c>
      <c r="C105" s="14" t="s">
        <v>82</v>
      </c>
      <c r="D105" s="14" t="s">
        <v>82</v>
      </c>
      <c r="E105" s="15">
        <v>40225</v>
      </c>
      <c r="F105" s="18">
        <v>40224</v>
      </c>
      <c r="G105" s="17" t="str">
        <f t="shared" si="14"/>
        <v/>
      </c>
      <c r="H105" s="15">
        <v>40405</v>
      </c>
      <c r="I105" s="15">
        <v>50997</v>
      </c>
      <c r="J105" s="15" t="s">
        <v>292</v>
      </c>
      <c r="K105" s="16">
        <v>4.6249999999999999E-2</v>
      </c>
      <c r="L105" s="15">
        <v>51181</v>
      </c>
      <c r="M105" s="19" t="str">
        <f ca="1">_xll.meLWOBondCreateFromGeneratorLVB(C105,$M$4,_xll.meUtilityLVBFromKeysValues($C$6:$L$6,C105:L105))</f>
        <v>US912810QE10@1336:4</v>
      </c>
      <c r="N105" s="53">
        <f ca="1">_xll.BDP($B105,$N$5)</f>
        <v>3.2858418</v>
      </c>
      <c r="O105" s="52">
        <f ca="1">_xll.meLWOBondCleanPrice($M105,$C$4,$N105%)</f>
        <v>120.35937500175997</v>
      </c>
      <c r="P105" s="52">
        <f ca="1">_xll.meLWOBondDirtyPrice($M105,$C$4,$N105%)</f>
        <v>121.52819293654258</v>
      </c>
      <c r="Q105" s="51">
        <f ca="1">_xll.meLWOBondYield($M105,$C$4,O105)</f>
        <v>3.2858417999999945E-2</v>
      </c>
      <c r="R105" s="52">
        <f ca="1">_xll.meLWOBondModifiedDuration($M105,$C$4,$N105%)</f>
        <v>14.106197179759731</v>
      </c>
      <c r="S105" s="21">
        <f ca="1">_xll.meLWOBondDV01($M105,$C$4,$N105%)</f>
        <v>1714.3006524627533</v>
      </c>
      <c r="T105" s="49">
        <f t="shared" ca="1" si="13"/>
        <v>3.2858418</v>
      </c>
      <c r="U105" s="20">
        <f ca="1">_xll.BDP($B105,U$6, "YAS_BOND_YLD="&amp;$T105,"YAS_YLD_CONV=2")</f>
        <v>120.35937500175999</v>
      </c>
      <c r="V105" s="21">
        <f ca="1">_xll.meLWOBondCleanPrice($M105,$C$4,$T105%)</f>
        <v>120.35937500175997</v>
      </c>
      <c r="W105" s="22">
        <f t="shared" ca="1" si="15"/>
        <v>1.4210854715202004E-14</v>
      </c>
      <c r="X105" s="21">
        <f ca="1">_xll.meLWOBondDV01($M105,$C$4,$T105%)</f>
        <v>1714.3006524627533</v>
      </c>
      <c r="Y105" s="20">
        <f ca="1">_xll.BDP($B105,Y$6, "YLD_YTM_ASK="&amp;$T105,"YAS_YLD_CONV=3")*$Y$3*0.0001</f>
        <v>1714.3017163391505</v>
      </c>
      <c r="Z105" s="22">
        <f t="shared" ca="1" si="16"/>
        <v>1.063876397211061E-3</v>
      </c>
      <c r="AA105" s="21">
        <f ca="1">_xll.meLWOBondDirtyPrice($M105,$C$4,$T105%)</f>
        <v>121.52819293654258</v>
      </c>
      <c r="AB105" s="21">
        <f ca="1">_xll.meLWOBondModifiedDuration($M105,$C$4,$T105%)</f>
        <v>14.106197179759731</v>
      </c>
      <c r="AC105" s="20">
        <f ca="1">_xll.BDP($B105,AC$6,"YLD_YTM_ASK="&amp;$T105,"YAS_YLD_CONV=3")</f>
        <v>14.106205933912749</v>
      </c>
      <c r="AD105" s="22">
        <f t="shared" ca="1" si="17"/>
        <v>8.7541530184864769E-6</v>
      </c>
      <c r="AE105" s="21">
        <f ca="1">_xll.meLWOBondDV01Numerical($M105,$C$4,$T105%,0.5,"CENTRAL")</f>
        <v>1714.30091842808</v>
      </c>
    </row>
    <row r="106" spans="2:31">
      <c r="B106" s="14" t="s">
        <v>97</v>
      </c>
      <c r="C106" s="14" t="s">
        <v>98</v>
      </c>
      <c r="D106" s="14" t="s">
        <v>98</v>
      </c>
      <c r="E106" s="15">
        <v>40315</v>
      </c>
      <c r="F106" s="18">
        <v>40313</v>
      </c>
      <c r="G106" s="17" t="str">
        <f t="shared" si="14"/>
        <v/>
      </c>
      <c r="H106" s="15">
        <v>40497</v>
      </c>
      <c r="I106" s="15">
        <v>51089</v>
      </c>
      <c r="J106" s="15" t="s">
        <v>292</v>
      </c>
      <c r="K106" s="16">
        <v>4.3749999999999997E-2</v>
      </c>
      <c r="L106" s="15">
        <v>51271</v>
      </c>
      <c r="M106" s="19" t="str">
        <f ca="1">_xll.meLWOBondCreateFromGeneratorLVB(C106,$M$4,_xll.meUtilityLVBFromKeysValues($C$6:$L$6,C106:L106))</f>
        <v>US912810QH41@1335:4</v>
      </c>
      <c r="N106" s="53">
        <f ca="1">_xll.BDP($B106,$N$5)</f>
        <v>3.2937842000000002</v>
      </c>
      <c r="O106" s="52">
        <f ca="1">_xll.meLWOBondCleanPrice($M106,$C$4,$N106%)</f>
        <v>116.56249977671463</v>
      </c>
      <c r="P106" s="52">
        <f ca="1">_xll.meLWOBondDirtyPrice($M106,$C$4,$N106%)</f>
        <v>116.57458541207374</v>
      </c>
      <c r="Q106" s="51">
        <f ca="1">_xll.meLWOBondYield($M106,$C$4,O106)</f>
        <v>3.2937841999999606E-2</v>
      </c>
      <c r="R106" s="52">
        <f ca="1">_xll.meLWOBondModifiedDuration($M106,$C$4,$N106%)</f>
        <v>14.503537378872711</v>
      </c>
      <c r="S106" s="21">
        <f ca="1">_xll.meLWOBondDV01($M106,$C$4,$N106%)</f>
        <v>1690.743856950601</v>
      </c>
      <c r="T106" s="49">
        <f t="shared" ca="1" si="13"/>
        <v>3.2937842000000002</v>
      </c>
      <c r="U106" s="20">
        <f ca="1">_xll.BDP($B106,U$6, "YAS_BOND_YLD="&amp;$T106,"YAS_YLD_CONV=2")</f>
        <v>116.56249977671465</v>
      </c>
      <c r="V106" s="21">
        <f ca="1">_xll.meLWOBondCleanPrice($M106,$C$4,$T106%)</f>
        <v>116.56249977671463</v>
      </c>
      <c r="W106" s="22">
        <f t="shared" ca="1" si="15"/>
        <v>1.4210854715202004E-14</v>
      </c>
      <c r="X106" s="21">
        <f ca="1">_xll.meLWOBondDV01($M106,$C$4,$T106%)</f>
        <v>1690.743856950601</v>
      </c>
      <c r="Y106" s="20">
        <f ca="1">_xll.BDP($B106,Y$6, "YLD_YTM_ASK="&amp;$T106,"YAS_YLD_CONV=3")*$Y$3*0.0001</f>
        <v>1690.7449365039897</v>
      </c>
      <c r="Z106" s="22">
        <f t="shared" ca="1" si="16"/>
        <v>1.0795533887630882E-3</v>
      </c>
      <c r="AA106" s="21">
        <f ca="1">_xll.meLWOBondDirtyPrice($M106,$C$4,$T106%)</f>
        <v>116.57458541207374</v>
      </c>
      <c r="AB106" s="21">
        <f ca="1">_xll.meLWOBondModifiedDuration($M106,$C$4,$T106%)</f>
        <v>14.503537378872711</v>
      </c>
      <c r="AC106" s="20">
        <f ca="1">_xll.BDP($B106,AC$6,"YLD_YTM_ASK="&amp;$T106,"YAS_YLD_CONV=3")</f>
        <v>14.503546639496596</v>
      </c>
      <c r="AD106" s="22">
        <f t="shared" ca="1" si="17"/>
        <v>9.2606238855097445E-6</v>
      </c>
      <c r="AE106" s="21">
        <f ca="1">_xll.meLWOBondDV01Numerical($M106,$C$4,$T106%,0.5,"CENTRAL")</f>
        <v>1690.7441268349999</v>
      </c>
    </row>
    <row r="107" spans="2:31">
      <c r="B107" s="14" t="s">
        <v>123</v>
      </c>
      <c r="C107" s="14" t="s">
        <v>124</v>
      </c>
      <c r="D107" s="14" t="s">
        <v>124</v>
      </c>
      <c r="E107" s="15">
        <v>40406</v>
      </c>
      <c r="F107" s="18">
        <v>40405</v>
      </c>
      <c r="G107" s="17" t="str">
        <f t="shared" si="14"/>
        <v/>
      </c>
      <c r="H107" s="15">
        <v>40589</v>
      </c>
      <c r="I107" s="15">
        <v>51181</v>
      </c>
      <c r="J107" s="15" t="s">
        <v>292</v>
      </c>
      <c r="K107" s="16">
        <v>3.875E-2</v>
      </c>
      <c r="L107" s="15">
        <v>51363</v>
      </c>
      <c r="M107" s="19" t="str">
        <f ca="1">_xll.meLWOBondCreateFromGeneratorLVB(C107,$M$4,_xll.meUtilityLVBFromKeysValues($C$6:$L$6,C107:L107))</f>
        <v>US912810QK79@1334:4</v>
      </c>
      <c r="N107" s="53">
        <f ca="1">_xll.BDP($B107,$N$5)</f>
        <v>3.3025212000000002</v>
      </c>
      <c r="O107" s="52">
        <f ca="1">_xll.meLWOBondCleanPrice($M107,$C$4,$N107%)</f>
        <v>108.82812547692873</v>
      </c>
      <c r="P107" s="52">
        <f ca="1">_xll.meLWOBondDirtyPrice($M107,$C$4,$N107%)</f>
        <v>109.80740536823308</v>
      </c>
      <c r="Q107" s="51">
        <f ca="1">_xll.meLWOBondYield($M107,$C$4,O107)</f>
        <v>3.3025211999999977E-2</v>
      </c>
      <c r="R107" s="52">
        <f ca="1">_xll.meLWOBondModifiedDuration($M107,$C$4,$N107%)</f>
        <v>14.829890065802461</v>
      </c>
      <c r="S107" s="21">
        <f ca="1">_xll.meLWOBondDV01($M107,$C$4,$N107%)</f>
        <v>1628.4317500219036</v>
      </c>
      <c r="T107" s="49">
        <f t="shared" ca="1" si="13"/>
        <v>3.3025212000000002</v>
      </c>
      <c r="U107" s="20">
        <f ca="1">_xll.BDP($B107,U$6, "YAS_BOND_YLD="&amp;$T107,"YAS_YLD_CONV=2")</f>
        <v>108.82812547692873</v>
      </c>
      <c r="V107" s="21">
        <f ca="1">_xll.meLWOBondCleanPrice($M107,$C$4,$T107%)</f>
        <v>108.82812547692873</v>
      </c>
      <c r="W107" s="22">
        <f t="shared" ca="1" si="15"/>
        <v>0</v>
      </c>
      <c r="X107" s="21">
        <f ca="1">_xll.meLWOBondDV01($M107,$C$4,$T107%)</f>
        <v>1628.4317500219036</v>
      </c>
      <c r="Y107" s="20">
        <f ca="1">_xll.BDP($B107,Y$6, "YLD_YTM_ASK="&amp;$T107,"YAS_YLD_CONV=3")*$Y$3*0.0001</f>
        <v>1628.4328299647657</v>
      </c>
      <c r="Z107" s="22">
        <f t="shared" ca="1" si="16"/>
        <v>1.0799428621339757E-3</v>
      </c>
      <c r="AA107" s="21">
        <f ca="1">_xll.meLWOBondDirtyPrice($M107,$C$4,$T107%)</f>
        <v>109.80740536823308</v>
      </c>
      <c r="AB107" s="21">
        <f ca="1">_xll.meLWOBondModifiedDuration($M107,$C$4,$T107%)</f>
        <v>14.829890065802461</v>
      </c>
      <c r="AC107" s="20">
        <f ca="1">_xll.BDP($B107,AC$6,"YLD_YTM_ASK="&amp;$T107,"YAS_YLD_CONV=3")</f>
        <v>14.829899900684326</v>
      </c>
      <c r="AD107" s="22">
        <f t="shared" ca="1" si="17"/>
        <v>9.8348818653448689E-6</v>
      </c>
      <c r="AE107" s="21">
        <f ca="1">_xll.meLWOBondDV01Numerical($M107,$C$4,$T107%,0.5,"CENTRAL")</f>
        <v>1628.432020004027</v>
      </c>
    </row>
    <row r="108" spans="2:31">
      <c r="B108" s="14" t="s">
        <v>105</v>
      </c>
      <c r="C108" s="14" t="s">
        <v>106</v>
      </c>
      <c r="D108" s="14" t="s">
        <v>106</v>
      </c>
      <c r="E108" s="15">
        <v>40497</v>
      </c>
      <c r="F108" s="18">
        <v>40497</v>
      </c>
      <c r="G108" s="17" t="str">
        <f t="shared" si="14"/>
        <v/>
      </c>
      <c r="H108" s="15">
        <v>40678</v>
      </c>
      <c r="I108" s="15">
        <v>51271</v>
      </c>
      <c r="J108" s="15" t="s">
        <v>292</v>
      </c>
      <c r="K108" s="16">
        <v>4.2500000000000003E-2</v>
      </c>
      <c r="L108" s="15">
        <v>51455</v>
      </c>
      <c r="M108" s="19" t="str">
        <f ca="1">_xll.meLWOBondCreateFromGeneratorLVB(C108,$M$4,_xll.meUtilityLVBFromKeysValues($C$6:$L$6,C108:L108))</f>
        <v>US912810QL52@1333:4</v>
      </c>
      <c r="N108" s="53">
        <f ca="1">_xll.BDP($B108,$N$5)</f>
        <v>3.3051509000000001</v>
      </c>
      <c r="O108" s="52">
        <f ca="1">_xll.meLWOBondCleanPrice($M108,$C$4,$N108%)</f>
        <v>114.68750032672177</v>
      </c>
      <c r="P108" s="52">
        <f ca="1">_xll.meLWOBondDirtyPrice($M108,$C$4,$N108%)</f>
        <v>114.69924065821348</v>
      </c>
      <c r="Q108" s="51">
        <f ca="1">_xll.meLWOBondYield($M108,$C$4,O108)</f>
        <v>3.305150899999993E-2</v>
      </c>
      <c r="R108" s="52">
        <f ca="1">_xll.meLWOBondModifiedDuration($M108,$C$4,$N108%)</f>
        <v>14.804783765692626</v>
      </c>
      <c r="S108" s="21">
        <f ca="1">_xll.meLWOBondDV01($M108,$C$4,$N108%)</f>
        <v>1698.0974560339905</v>
      </c>
      <c r="T108" s="49">
        <f t="shared" ca="1" si="13"/>
        <v>3.3051509000000001</v>
      </c>
      <c r="U108" s="20">
        <f ca="1">_xll.BDP($B108,U$6, "YAS_BOND_YLD="&amp;$T108,"YAS_YLD_CONV=2")</f>
        <v>114.68750032672176</v>
      </c>
      <c r="V108" s="21">
        <f ca="1">_xll.meLWOBondCleanPrice($M108,$C$4,$T108%)</f>
        <v>114.68750032672177</v>
      </c>
      <c r="W108" s="22">
        <f t="shared" ca="1" si="15"/>
        <v>1.4210854715202004E-14</v>
      </c>
      <c r="X108" s="21">
        <f ca="1">_xll.meLWOBondDV01($M108,$C$4,$T108%)</f>
        <v>1698.0974560339905</v>
      </c>
      <c r="Y108" s="20">
        <f ca="1">_xll.BDP($B108,Y$6, "YLD_YTM_ASK="&amp;$T108,"YAS_YLD_CONV=3")*$Y$3*0.0001</f>
        <v>1698.0985883721189</v>
      </c>
      <c r="Z108" s="22">
        <f t="shared" ca="1" si="16"/>
        <v>1.1323381284000789E-3</v>
      </c>
      <c r="AA108" s="21">
        <f ca="1">_xll.meLWOBondDirtyPrice($M108,$C$4,$T108%)</f>
        <v>114.69924065821348</v>
      </c>
      <c r="AB108" s="21">
        <f ca="1">_xll.meLWOBondModifiedDuration($M108,$C$4,$T108%)</f>
        <v>14.804783765692626</v>
      </c>
      <c r="AC108" s="20">
        <f ca="1">_xll.BDP($B108,AC$6,"YLD_YTM_ASK="&amp;$T108,"YAS_YLD_CONV=3")</f>
        <v>14.804793637930016</v>
      </c>
      <c r="AD108" s="22">
        <f t="shared" ca="1" si="17"/>
        <v>9.872237390240457E-6</v>
      </c>
      <c r="AE108" s="21">
        <f ca="1">_xll.meLWOBondDV01Numerical($M108,$C$4,$T108%,0.5,"CENTRAL")</f>
        <v>1698.0977391217777</v>
      </c>
    </row>
    <row r="109" spans="2:31">
      <c r="B109" s="14" t="s">
        <v>79</v>
      </c>
      <c r="C109" s="14" t="s">
        <v>80</v>
      </c>
      <c r="D109" s="14" t="s">
        <v>80</v>
      </c>
      <c r="E109" s="15">
        <v>40589</v>
      </c>
      <c r="F109" s="18">
        <v>40589</v>
      </c>
      <c r="G109" s="17" t="str">
        <f t="shared" si="14"/>
        <v/>
      </c>
      <c r="H109" s="15">
        <v>40770</v>
      </c>
      <c r="I109" s="15">
        <v>51363</v>
      </c>
      <c r="J109" s="15" t="s">
        <v>292</v>
      </c>
      <c r="K109" s="16">
        <v>4.7500000000000001E-2</v>
      </c>
      <c r="L109" s="15">
        <v>51547</v>
      </c>
      <c r="M109" s="19" t="str">
        <f ca="1">_xll.meLWOBondCreateFromGeneratorLVB(C109,$M$4,_xll.meUtilityLVBFromKeysValues($C$6:$L$6,C109:L109))</f>
        <v>US912810QN19@1332:4</v>
      </c>
      <c r="N109" s="53">
        <f ca="1">_xll.BDP($B109,$N$5)</f>
        <v>3.3036118999999999</v>
      </c>
      <c r="O109" s="52">
        <f ca="1">_xll.meLWOBondCleanPrice($M109,$C$4,$N109%)</f>
        <v>122.65625063477782</v>
      </c>
      <c r="P109" s="52">
        <f ca="1">_xll.meLWOBondDirtyPrice($M109,$C$4,$N109%)</f>
        <v>123.85665824347348</v>
      </c>
      <c r="Q109" s="51">
        <f ca="1">_xll.meLWOBondYield($M109,$C$4,O109)</f>
        <v>3.3036119000000051E-2</v>
      </c>
      <c r="R109" s="52">
        <f ca="1">_xll.meLWOBondModifiedDuration($M109,$C$4,$N109%)</f>
        <v>14.456924832737727</v>
      </c>
      <c r="S109" s="21">
        <f ca="1">_xll.meLWOBondDV01($M109,$C$4,$N109%)</f>
        <v>1790.5863982599815</v>
      </c>
      <c r="T109" s="49">
        <f t="shared" ca="1" si="13"/>
        <v>3.3036118999999999</v>
      </c>
      <c r="U109" s="20">
        <f ca="1">_xll.BDP($B109,U$6, "YAS_BOND_YLD="&amp;$T109,"YAS_YLD_CONV=2")</f>
        <v>122.65625063477783</v>
      </c>
      <c r="V109" s="21">
        <f ca="1">_xll.meLWOBondCleanPrice($M109,$C$4,$T109%)</f>
        <v>122.65625063477782</v>
      </c>
      <c r="W109" s="22">
        <f t="shared" ca="1" si="15"/>
        <v>1.4210854715202004E-14</v>
      </c>
      <c r="X109" s="21">
        <f ca="1">_xll.meLWOBondDV01($M109,$C$4,$T109%)</f>
        <v>1790.5863982599815</v>
      </c>
      <c r="Y109" s="20">
        <f ca="1">_xll.BDP($B109,Y$6, "YLD_YTM_ASK="&amp;$T109,"YAS_YLD_CONV=3")*$Y$3*0.0001</f>
        <v>1790.5875939550244</v>
      </c>
      <c r="Z109" s="22">
        <f t="shared" ca="1" si="16"/>
        <v>1.1956950429521385E-3</v>
      </c>
      <c r="AA109" s="21">
        <f ca="1">_xll.meLWOBondDirtyPrice($M109,$C$4,$T109%)</f>
        <v>123.85665824347348</v>
      </c>
      <c r="AB109" s="21">
        <f ca="1">_xll.meLWOBondModifiedDuration($M109,$C$4,$T109%)</f>
        <v>14.456924832737727</v>
      </c>
      <c r="AC109" s="20">
        <f ca="1">_xll.BDP($B109,AC$6,"YLD_YTM_ASK="&amp;$T109,"YAS_YLD_CONV=3")</f>
        <v>14.456934486599339</v>
      </c>
      <c r="AD109" s="22">
        <f t="shared" ca="1" si="17"/>
        <v>9.6538616123353904E-6</v>
      </c>
      <c r="AE109" s="21">
        <f ca="1">_xll.meLWOBondDV01Numerical($M109,$C$4,$T109%,0.5,"CENTRAL")</f>
        <v>1790.5866971875639</v>
      </c>
    </row>
    <row r="110" spans="2:31">
      <c r="B110" s="14" t="s">
        <v>103</v>
      </c>
      <c r="C110" s="14" t="s">
        <v>104</v>
      </c>
      <c r="D110" s="14" t="s">
        <v>104</v>
      </c>
      <c r="E110" s="15">
        <v>40679</v>
      </c>
      <c r="F110" s="18">
        <v>40678</v>
      </c>
      <c r="G110" s="17" t="str">
        <f t="shared" si="14"/>
        <v/>
      </c>
      <c r="H110" s="15">
        <v>40862</v>
      </c>
      <c r="I110" s="15">
        <v>51455</v>
      </c>
      <c r="J110" s="15" t="s">
        <v>292</v>
      </c>
      <c r="K110" s="16">
        <v>4.3749999999999997E-2</v>
      </c>
      <c r="L110" s="15">
        <v>51636</v>
      </c>
      <c r="M110" s="19" t="str">
        <f ca="1">_xll.meLWOBondCreateFromGeneratorLVB(C110,$M$4,_xll.meUtilityLVBFromKeysValues($C$6:$L$6,C110:L110))</f>
        <v>US912810QQ40@1331:4</v>
      </c>
      <c r="N110" s="53">
        <f ca="1">_xll.BDP($B110,$N$5)</f>
        <v>3.3120742999999999</v>
      </c>
      <c r="O110" s="52">
        <f ca="1">_xll.meLWOBondCleanPrice($M110,$C$4,$N110%)</f>
        <v>116.76562464446458</v>
      </c>
      <c r="P110" s="52">
        <f ca="1">_xll.meLWOBondDirtyPrice($M110,$C$4,$N110%)</f>
        <v>116.77771027982369</v>
      </c>
      <c r="Q110" s="51">
        <f ca="1">_xll.meLWOBondYield($M110,$C$4,O110)</f>
        <v>3.3120742999999737E-2</v>
      </c>
      <c r="R110" s="52">
        <f ca="1">_xll.meLWOBondModifiedDuration($M110,$C$4,$N110%)</f>
        <v>14.937179813202645</v>
      </c>
      <c r="S110" s="21">
        <f ca="1">_xll.meLWOBondDV01($M110,$C$4,$N110%)</f>
        <v>1744.3296566238096</v>
      </c>
      <c r="T110" s="49">
        <f t="shared" ca="1" si="13"/>
        <v>3.3120742999999999</v>
      </c>
      <c r="U110" s="20">
        <f ca="1">_xll.BDP($B110,U$6, "YAS_BOND_YLD="&amp;$T110,"YAS_YLD_CONV=2")</f>
        <v>116.76562464446457</v>
      </c>
      <c r="V110" s="21">
        <f ca="1">_xll.meLWOBondCleanPrice($M110,$C$4,$T110%)</f>
        <v>116.76562464446458</v>
      </c>
      <c r="W110" s="22">
        <f t="shared" ca="1" si="15"/>
        <v>1.4210854715202004E-14</v>
      </c>
      <c r="X110" s="21">
        <f ca="1">_xll.meLWOBondDV01($M110,$C$4,$T110%)</f>
        <v>1744.3296566238096</v>
      </c>
      <c r="Y110" s="20">
        <f ca="1">_xll.BDP($B110,Y$6, "YLD_YTM_ASK="&amp;$T110,"YAS_YLD_CONV=3")*$Y$3*0.0001</f>
        <v>1744.3308593752251</v>
      </c>
      <c r="Z110" s="22">
        <f t="shared" ca="1" si="16"/>
        <v>1.202751415576131E-3</v>
      </c>
      <c r="AA110" s="21">
        <f ca="1">_xll.meLWOBondDirtyPrice($M110,$C$4,$T110%)</f>
        <v>116.77771027982369</v>
      </c>
      <c r="AB110" s="21">
        <f ca="1">_xll.meLWOBondModifiedDuration($M110,$C$4,$T110%)</f>
        <v>14.937179813202645</v>
      </c>
      <c r="AC110" s="20">
        <f ca="1">_xll.BDP($B110,AC$6,"YLD_YTM_ASK="&amp;$T110,"YAS_YLD_CONV=3")</f>
        <v>14.937190112697408</v>
      </c>
      <c r="AD110" s="22">
        <f t="shared" ca="1" si="17"/>
        <v>1.0299494762833206E-5</v>
      </c>
      <c r="AE110" s="21">
        <f ca="1">_xll.meLWOBondDV01Numerical($M110,$C$4,$T110%,0.5,"CENTRAL")</f>
        <v>1744.3299573078264</v>
      </c>
    </row>
    <row r="111" spans="2:31">
      <c r="B111" s="14" t="s">
        <v>133</v>
      </c>
      <c r="C111" s="14" t="s">
        <v>134</v>
      </c>
      <c r="D111" s="14" t="s">
        <v>134</v>
      </c>
      <c r="E111" s="15">
        <v>40770</v>
      </c>
      <c r="F111" s="18">
        <v>40770</v>
      </c>
      <c r="G111" s="17" t="str">
        <f t="shared" si="14"/>
        <v/>
      </c>
      <c r="H111" s="15">
        <v>40954</v>
      </c>
      <c r="I111" s="15">
        <v>51547</v>
      </c>
      <c r="J111" s="15" t="s">
        <v>292</v>
      </c>
      <c r="K111" s="16">
        <v>3.7499999999999999E-2</v>
      </c>
      <c r="L111" s="15">
        <v>51728</v>
      </c>
      <c r="M111" s="19" t="str">
        <f ca="1">_xll.meLWOBondCreateFromGeneratorLVB(C111,$M$4,_xll.meUtilityLVBFromKeysValues($C$6:$L$6,C111:L111))</f>
        <v>US912810QS06@1330:4</v>
      </c>
      <c r="N111" s="53">
        <f ca="1">_xll.BDP($B111,$N$5)</f>
        <v>3.3178583000000001</v>
      </c>
      <c r="O111" s="52">
        <f ca="1">_xll.meLWOBondCleanPrice($M111,$C$4,$N111%)</f>
        <v>106.85937559154085</v>
      </c>
      <c r="P111" s="52">
        <f ca="1">_xll.meLWOBondDirtyPrice($M111,$C$4,$N111%)</f>
        <v>107.80706580893215</v>
      </c>
      <c r="Q111" s="51">
        <f ca="1">_xll.meLWOBondYield($M111,$C$4,O111)</f>
        <v>3.3178582999999956E-2</v>
      </c>
      <c r="R111" s="52">
        <f ca="1">_xll.meLWOBondModifiedDuration($M111,$C$4,$N111%)</f>
        <v>15.372764817012895</v>
      </c>
      <c r="S111" s="21">
        <f ca="1">_xll.meLWOBondDV01($M111,$C$4,$N111%)</f>
        <v>1657.292668292946</v>
      </c>
      <c r="T111" s="49">
        <f t="shared" ca="1" si="13"/>
        <v>3.3178583000000001</v>
      </c>
      <c r="U111" s="20">
        <f ca="1">_xll.BDP($B111,U$6, "YAS_BOND_YLD="&amp;$T111,"YAS_YLD_CONV=2")</f>
        <v>106.85937559154084</v>
      </c>
      <c r="V111" s="21">
        <f ca="1">_xll.meLWOBondCleanPrice($M111,$C$4,$T111%)</f>
        <v>106.85937559154085</v>
      </c>
      <c r="W111" s="22">
        <f t="shared" ca="1" si="15"/>
        <v>1.4210854715202004E-14</v>
      </c>
      <c r="X111" s="21">
        <f ca="1">_xll.meLWOBondDV01($M111,$C$4,$T111%)</f>
        <v>1657.292668292946</v>
      </c>
      <c r="Y111" s="20">
        <f ca="1">_xll.BDP($B111,Y$6, "YLD_YTM_ASK="&amp;$T111,"YAS_YLD_CONV=3")*$Y$3*0.0001</f>
        <v>1657.2938607919241</v>
      </c>
      <c r="Z111" s="22">
        <f t="shared" ca="1" si="16"/>
        <v>1.1924989780709438E-3</v>
      </c>
      <c r="AA111" s="21">
        <f ca="1">_xll.meLWOBondDirtyPrice($M111,$C$4,$T111%)</f>
        <v>107.80706580893215</v>
      </c>
      <c r="AB111" s="21">
        <f ca="1">_xll.meLWOBondModifiedDuration($M111,$C$4,$T111%)</f>
        <v>15.372764817012895</v>
      </c>
      <c r="AC111" s="20">
        <f ca="1">_xll.BDP($B111,AC$6,"YLD_YTM_ASK="&amp;$T111,"YAS_YLD_CONV=3")</f>
        <v>15.372775878430474</v>
      </c>
      <c r="AD111" s="22">
        <f t="shared" ca="1" si="17"/>
        <v>1.106141757922785E-5</v>
      </c>
      <c r="AE111" s="21">
        <f ca="1">_xll.meLWOBondDV01Numerical($M111,$C$4,$T111%,0.5,"CENTRAL")</f>
        <v>1657.2929664208405</v>
      </c>
    </row>
    <row r="112" spans="2:31">
      <c r="B112" s="14" t="s">
        <v>261</v>
      </c>
      <c r="C112" s="14" t="s">
        <v>262</v>
      </c>
      <c r="D112" s="14" t="s">
        <v>262</v>
      </c>
      <c r="E112" s="15">
        <v>40862</v>
      </c>
      <c r="F112" s="18">
        <v>40862</v>
      </c>
      <c r="G112" s="17" t="str">
        <f t="shared" si="14"/>
        <v/>
      </c>
      <c r="H112" s="15">
        <v>41044</v>
      </c>
      <c r="I112" s="15">
        <v>51636</v>
      </c>
      <c r="J112" s="15" t="s">
        <v>292</v>
      </c>
      <c r="K112" s="16">
        <v>3.125E-2</v>
      </c>
      <c r="L112" s="15">
        <v>51820</v>
      </c>
      <c r="M112" s="19" t="str">
        <f ca="1">_xll.meLWOBondCreateFromGeneratorLVB(C112,$M$4,_xll.meUtilityLVBFromKeysValues($C$6:$L$6,C112:L112))</f>
        <v>US912810QT88@1329:4</v>
      </c>
      <c r="N112" s="53">
        <f ca="1">_xll.BDP($B112,$N$5)</f>
        <v>3.3243621000000001</v>
      </c>
      <c r="O112" s="52">
        <f ca="1">_xll.meLWOBondCleanPrice($M112,$C$4,$N112%)</f>
        <v>96.812499688349334</v>
      </c>
      <c r="P112" s="52">
        <f ca="1">_xll.meLWOBondDirtyPrice($M112,$C$4,$N112%)</f>
        <v>96.821132285034423</v>
      </c>
      <c r="Q112" s="51">
        <f ca="1">_xll.meLWOBondYield($M112,$C$4,O112)</f>
        <v>3.324362100002317E-2</v>
      </c>
      <c r="R112" s="52">
        <f ca="1">_xll.meLWOBondModifiedDuration($M112,$C$4,$N112%)</f>
        <v>16.179230915940597</v>
      </c>
      <c r="S112" s="21">
        <f ca="1">_xll.meLWOBondDV01($M112,$C$4,$N112%)</f>
        <v>1566.4914567824032</v>
      </c>
      <c r="T112" s="49">
        <f t="shared" ca="1" si="13"/>
        <v>3.3243621000000001</v>
      </c>
      <c r="U112" s="20">
        <f ca="1">_xll.BDP($B112,U$6, "YAS_BOND_YLD="&amp;$T112,"YAS_YLD_CONV=2")</f>
        <v>96.81249968834932</v>
      </c>
      <c r="V112" s="21">
        <f ca="1">_xll.meLWOBondCleanPrice($M112,$C$4,$T112%)</f>
        <v>96.812499688349334</v>
      </c>
      <c r="W112" s="22">
        <f t="shared" ca="1" si="15"/>
        <v>1.4210854715202004E-14</v>
      </c>
      <c r="X112" s="21">
        <f ca="1">_xll.meLWOBondDV01($M112,$C$4,$T112%)</f>
        <v>1566.4914567824032</v>
      </c>
      <c r="Y112" s="20">
        <f ca="1">_xll.BDP($B112,Y$6, "YLD_YTM_ASK="&amp;$T112,"YAS_YLD_CONV=3")*$Y$3*0.0001</f>
        <v>1566.4926362146759</v>
      </c>
      <c r="Z112" s="22">
        <f t="shared" ca="1" si="16"/>
        <v>1.179432272692793E-3</v>
      </c>
      <c r="AA112" s="21">
        <f ca="1">_xll.meLWOBondDirtyPrice($M112,$C$4,$T112%)</f>
        <v>96.821132285034423</v>
      </c>
      <c r="AB112" s="21">
        <f ca="1">_xll.meLWOBondModifiedDuration($M112,$C$4,$T112%)</f>
        <v>16.179230915940597</v>
      </c>
      <c r="AC112" s="20">
        <f ca="1">_xll.BDP($B112,AC$6,"YLD_YTM_ASK="&amp;$T112,"YAS_YLD_CONV=3")</f>
        <v>16.179243097498951</v>
      </c>
      <c r="AD112" s="22">
        <f t="shared" ca="1" si="17"/>
        <v>1.2181558354029676E-5</v>
      </c>
      <c r="AE112" s="21">
        <f ca="1">_xll.meLWOBondDV01Numerical($M112,$C$4,$T112%,0.5,"CENTRAL")</f>
        <v>1566.4917516367893</v>
      </c>
    </row>
    <row r="113" spans="1:16384">
      <c r="B113" s="14" t="s">
        <v>239</v>
      </c>
      <c r="C113" s="14" t="s">
        <v>240</v>
      </c>
      <c r="D113" s="14" t="s">
        <v>240</v>
      </c>
      <c r="E113" s="15">
        <v>40954</v>
      </c>
      <c r="F113" s="18">
        <v>40954</v>
      </c>
      <c r="G113" s="17" t="str">
        <f t="shared" si="14"/>
        <v/>
      </c>
      <c r="H113" s="15">
        <v>41136</v>
      </c>
      <c r="I113" s="15">
        <v>51728</v>
      </c>
      <c r="J113" s="15" t="s">
        <v>292</v>
      </c>
      <c r="K113" s="16">
        <v>3.125E-2</v>
      </c>
      <c r="L113" s="15">
        <v>51912</v>
      </c>
      <c r="M113" s="19" t="str">
        <f ca="1">_xll.meLWOBondCreateFromGeneratorLVB(C113,$M$4,_xll.meUtilityLVBFromKeysValues($C$6:$L$6,C113:L113))</f>
        <v>US912810QU51@1328:4</v>
      </c>
      <c r="N113" s="53">
        <f ca="1">_xll.BDP($B113,$N$5)</f>
        <v>3.3286446999999999</v>
      </c>
      <c r="O113" s="52">
        <f ca="1">_xll.meLWOBondCleanPrice($M113,$C$4,$N113%)</f>
        <v>96.718750055725309</v>
      </c>
      <c r="P113" s="52">
        <f ca="1">_xll.meLWOBondDirtyPrice($M113,$C$4,$N113%)</f>
        <v>97.508491903551402</v>
      </c>
      <c r="Q113" s="51">
        <f ca="1">_xll.meLWOBondYield($M113,$C$4,O113)</f>
        <v>3.3286447000022541E-2</v>
      </c>
      <c r="R113" s="52">
        <f ca="1">_xll.meLWOBondModifiedDuration($M113,$C$4,$N113%)</f>
        <v>16.165110598572308</v>
      </c>
      <c r="S113" s="21">
        <f ca="1">_xll.meLWOBondDV01($M113,$C$4,$N113%)</f>
        <v>1576.2355559209009</v>
      </c>
      <c r="T113" s="49">
        <f t="shared" ca="1" si="13"/>
        <v>3.3286446999999999</v>
      </c>
      <c r="U113" s="20">
        <f ca="1">_xll.BDP($B113,U$6, "YAS_BOND_YLD="&amp;$T113,"YAS_YLD_CONV=2")</f>
        <v>96.718750055725295</v>
      </c>
      <c r="V113" s="21">
        <f ca="1">_xll.meLWOBondCleanPrice($M113,$C$4,$T113%)</f>
        <v>96.718750055725309</v>
      </c>
      <c r="W113" s="22">
        <f t="shared" ca="1" si="15"/>
        <v>1.4210854715202004E-14</v>
      </c>
      <c r="X113" s="21">
        <f ca="1">_xll.meLWOBondDV01($M113,$C$4,$T113%)</f>
        <v>1576.2355559209009</v>
      </c>
      <c r="Y113" s="20">
        <f ca="1">_xll.BDP($B113,Y$6, "YLD_YTM_ASK="&amp;$T113,"YAS_YLD_CONV=3")*$Y$3*0.0001</f>
        <v>1576.236764874679</v>
      </c>
      <c r="Z113" s="22">
        <f t="shared" ca="1" si="16"/>
        <v>1.2089537781321269E-3</v>
      </c>
      <c r="AA113" s="21">
        <f ca="1">_xll.meLWOBondDirtyPrice($M113,$C$4,$T113%)</f>
        <v>97.508491903551402</v>
      </c>
      <c r="AB113" s="21">
        <f ca="1">_xll.meLWOBondModifiedDuration($M113,$C$4,$T113%)</f>
        <v>16.165110598572308</v>
      </c>
      <c r="AC113" s="20">
        <f ca="1">_xll.BDP($B113,AC$6,"YLD_YTM_ASK="&amp;$T113,"YAS_YLD_CONV=3")</f>
        <v>16.165122997018365</v>
      </c>
      <c r="AD113" s="22">
        <f t="shared" ca="1" si="17"/>
        <v>1.2398446056494095E-5</v>
      </c>
      <c r="AE113" s="21">
        <f ca="1">_xll.meLWOBondDV01Numerical($M113,$C$4,$T113%,0.5,"CENTRAL")</f>
        <v>1576.2358581557123</v>
      </c>
    </row>
    <row r="114" spans="1:16384">
      <c r="B114" s="14" t="s">
        <v>279</v>
      </c>
      <c r="C114" s="14" t="s">
        <v>280</v>
      </c>
      <c r="D114" s="14" t="s">
        <v>280</v>
      </c>
      <c r="E114" s="15">
        <v>41044</v>
      </c>
      <c r="F114" s="18">
        <v>41044</v>
      </c>
      <c r="G114" s="17" t="str">
        <f t="shared" si="14"/>
        <v/>
      </c>
      <c r="H114" s="15">
        <v>41228</v>
      </c>
      <c r="I114" s="15">
        <v>51820</v>
      </c>
      <c r="J114" s="15" t="s">
        <v>292</v>
      </c>
      <c r="K114" s="16">
        <v>0.03</v>
      </c>
      <c r="L114" s="15">
        <v>52001</v>
      </c>
      <c r="M114" s="19" t="str">
        <f ca="1">_xll.meLWOBondCreateFromGeneratorLVB(C114,$M$4,_xll.meUtilityLVBFromKeysValues($C$6:$L$6,C114:L114))</f>
        <v>US912810QW18@1327:4</v>
      </c>
      <c r="N114" s="53">
        <f ca="1">_xll.BDP($B114,$N$5)</f>
        <v>3.3376494000000001</v>
      </c>
      <c r="O114" s="52">
        <f ca="1">_xll.meLWOBondCleanPrice($M114,$C$4,$N114%)</f>
        <v>94.531250441086698</v>
      </c>
      <c r="P114" s="52">
        <f ca="1">_xll.meLWOBondDirtyPrice($M114,$C$4,$N114%)</f>
        <v>94.539537733904382</v>
      </c>
      <c r="Q114" s="51">
        <f ca="1">_xll.meLWOBondYield($M114,$C$4,O114)</f>
        <v>3.3376493999999937E-2</v>
      </c>
      <c r="R114" s="52">
        <f ca="1">_xll.meLWOBondModifiedDuration($M114,$C$4,$N114%)</f>
        <v>16.534906563377461</v>
      </c>
      <c r="S114" s="21">
        <f ca="1">_xll.meLWOBondDV01($M114,$C$4,$N114%)</f>
        <v>1563.2024229750068</v>
      </c>
      <c r="T114" s="49">
        <f t="shared" ca="1" si="13"/>
        <v>3.3376494000000001</v>
      </c>
      <c r="U114" s="20">
        <f ca="1">_xll.BDP($B114,U$6, "YAS_BOND_YLD="&amp;$T114,"YAS_YLD_CONV=2")</f>
        <v>94.531250441086684</v>
      </c>
      <c r="V114" s="21">
        <f ca="1">_xll.meLWOBondCleanPrice($M114,$C$4,$T114%)</f>
        <v>94.531250441086698</v>
      </c>
      <c r="W114" s="22">
        <f t="shared" ca="1" si="15"/>
        <v>1.4210854715202004E-14</v>
      </c>
      <c r="X114" s="21">
        <f ca="1">_xll.meLWOBondDV01($M114,$C$4,$T114%)</f>
        <v>1563.2024229750068</v>
      </c>
      <c r="Y114" s="20">
        <f ca="1">_xll.BDP($B114,Y$6, "YLD_YTM_ASK="&amp;$T114,"YAS_YLD_CONV=3")*$Y$3*0.0001</f>
        <v>1563.2036511257754</v>
      </c>
      <c r="Z114" s="22">
        <f t="shared" ca="1" si="16"/>
        <v>1.2281507686111581E-3</v>
      </c>
      <c r="AA114" s="21">
        <f ca="1">_xll.meLWOBondDirtyPrice($M114,$C$4,$T114%)</f>
        <v>94.539537733904382</v>
      </c>
      <c r="AB114" s="21">
        <f ca="1">_xll.meLWOBondModifiedDuration($M114,$C$4,$T114%)</f>
        <v>16.534906563377461</v>
      </c>
      <c r="AC114" s="20">
        <f ca="1">_xll.BDP($B114,AC$6,"YLD_YTM_ASK="&amp;$T114,"YAS_YLD_CONV=3")</f>
        <v>16.534919554246638</v>
      </c>
      <c r="AD114" s="22">
        <f t="shared" ca="1" si="17"/>
        <v>1.2990869176832121E-5</v>
      </c>
      <c r="AE114" s="21">
        <f ca="1">_xll.meLWOBondDV01Numerical($M114,$C$4,$T114%,0.5,"CENTRAL")</f>
        <v>1563.2027300090101</v>
      </c>
    </row>
    <row r="115" spans="1:16384">
      <c r="B115" s="14" t="s">
        <v>47</v>
      </c>
      <c r="C115" s="14" t="s">
        <v>48</v>
      </c>
      <c r="D115" s="14" t="s">
        <v>48</v>
      </c>
      <c r="E115" s="15">
        <v>41136</v>
      </c>
      <c r="F115" s="18">
        <v>41136</v>
      </c>
      <c r="G115" s="17" t="str">
        <f t="shared" si="14"/>
        <v/>
      </c>
      <c r="H115" s="15">
        <v>41320</v>
      </c>
      <c r="I115" s="15">
        <v>51912</v>
      </c>
      <c r="J115" s="15" t="s">
        <v>292</v>
      </c>
      <c r="K115" s="16">
        <v>2.75E-2</v>
      </c>
      <c r="L115" s="15">
        <v>52093</v>
      </c>
      <c r="M115" s="19" t="str">
        <f ca="1">_xll.meLWOBondCreateFromGeneratorLVB(C115,$M$4,_xll.meUtilityLVBFromKeysValues($C$6:$L$6,C115:L115))</f>
        <v>US912810QX90@1326:4</v>
      </c>
      <c r="N115" s="53">
        <f ca="1">_xll.BDP($B115,$N$5)</f>
        <v>3.3472650000000002</v>
      </c>
      <c r="O115" s="52">
        <f ca="1">_xll.meLWOBondCleanPrice($M115,$C$4,$N115%)</f>
        <v>90.265625549783636</v>
      </c>
      <c r="P115" s="52">
        <f ca="1">_xll.meLWOBondDirtyPrice($M115,$C$4,$N115%)</f>
        <v>90.960598375870589</v>
      </c>
      <c r="Q115" s="51">
        <f ca="1">_xll.meLWOBondYield($M115,$C$4,O115)</f>
        <v>3.3472650000000374E-2</v>
      </c>
      <c r="R115" s="52">
        <f ca="1">_xll.meLWOBondModifiedDuration($M115,$C$4,$N115%)</f>
        <v>16.800295299806777</v>
      </c>
      <c r="S115" s="21">
        <f ca="1">_xll.meLWOBondDV01($M115,$C$4,$N115%)</f>
        <v>1528.1649133617505</v>
      </c>
      <c r="T115" s="49">
        <f t="shared" ca="1" si="13"/>
        <v>3.3472650000000002</v>
      </c>
      <c r="U115" s="20">
        <f ca="1">_xll.BDP($B115,U$6, "YAS_BOND_YLD="&amp;$T115,"YAS_YLD_CONV=2")</f>
        <v>90.265625549783664</v>
      </c>
      <c r="V115" s="21">
        <f ca="1">_xll.meLWOBondCleanPrice($M115,$C$4,$T115%)</f>
        <v>90.265625549783636</v>
      </c>
      <c r="W115" s="22">
        <f t="shared" ca="1" si="15"/>
        <v>2.8421709430404007E-14</v>
      </c>
      <c r="X115" s="21">
        <f ca="1">_xll.meLWOBondDV01($M115,$C$4,$T115%)</f>
        <v>1528.1649133617505</v>
      </c>
      <c r="Y115" s="20">
        <f ca="1">_xll.BDP($B115,Y$6, "YLD_YTM_ASK="&amp;$T115,"YAS_YLD_CONV=3")*$Y$3*0.0001</f>
        <v>1528.1661505859747</v>
      </c>
      <c r="Z115" s="22">
        <f t="shared" ca="1" si="16"/>
        <v>1.2372242242690845E-3</v>
      </c>
      <c r="AA115" s="21">
        <f ca="1">_xll.meLWOBondDirtyPrice($M115,$C$4,$T115%)</f>
        <v>90.960598375870589</v>
      </c>
      <c r="AB115" s="21">
        <f ca="1">_xll.meLWOBondModifiedDuration($M115,$C$4,$T115%)</f>
        <v>16.800295299806777</v>
      </c>
      <c r="AC115" s="20">
        <f ca="1">_xll.BDP($B115,AC$6,"YLD_YTM_ASK="&amp;$T115,"YAS_YLD_CONV=3")</f>
        <v>16.80030890156667</v>
      </c>
      <c r="AD115" s="22">
        <f t="shared" ca="1" si="17"/>
        <v>1.3601759892623022E-5</v>
      </c>
      <c r="AE115" s="21">
        <f ca="1">_xll.meLWOBondDV01Numerical($M115,$C$4,$T115%,0.5,"CENTRAL")</f>
        <v>1528.1652226708786</v>
      </c>
    </row>
    <row r="116" spans="1:16384">
      <c r="B116" s="14" t="s">
        <v>44</v>
      </c>
      <c r="C116" s="14" t="s">
        <v>45</v>
      </c>
      <c r="D116" s="14" t="s">
        <v>45</v>
      </c>
      <c r="E116" s="15">
        <v>41228</v>
      </c>
      <c r="F116" s="18">
        <v>41228</v>
      </c>
      <c r="G116" s="17" t="str">
        <f t="shared" si="14"/>
        <v/>
      </c>
      <c r="H116" s="15">
        <v>41409</v>
      </c>
      <c r="I116" s="15">
        <v>52001</v>
      </c>
      <c r="J116" s="15" t="s">
        <v>292</v>
      </c>
      <c r="K116" s="16">
        <v>2.75E-2</v>
      </c>
      <c r="L116" s="15">
        <v>52185</v>
      </c>
      <c r="M116" s="19" t="str">
        <f ca="1">_xll.meLWOBondCreateFromGeneratorLVB(C116,$M$4,_xll.meUtilityLVBFromKeysValues($C$6:$L$6,C116:L116))</f>
        <v>US912810QY73@1325:4</v>
      </c>
      <c r="N116" s="53">
        <f ca="1">_xll.BDP($B116,$N$5)</f>
        <v>3.3481681999999999</v>
      </c>
      <c r="O116" s="52">
        <f ca="1">_xll.meLWOBondCleanPrice($M116,$C$4,$N116%)</f>
        <v>90.187499295512993</v>
      </c>
      <c r="P116" s="52">
        <f ca="1">_xll.meLWOBondDirtyPrice($M116,$C$4,$N116%)</f>
        <v>90.195095980595866</v>
      </c>
      <c r="Q116" s="51">
        <f ca="1">_xll.meLWOBondYield($M116,$C$4,O116)</f>
        <v>3.3481682000000339E-2</v>
      </c>
      <c r="R116" s="52">
        <f ca="1">_xll.meLWOBondModifiedDuration($M116,$C$4,$N116%)</f>
        <v>17.045468981814782</v>
      </c>
      <c r="S116" s="21">
        <f ca="1">_xll.meLWOBondDV01($M116,$C$4,$N116%)</f>
        <v>1537.4177108490539</v>
      </c>
      <c r="T116" s="49">
        <f t="shared" ca="1" si="13"/>
        <v>3.3481681999999999</v>
      </c>
      <c r="U116" s="20">
        <f ca="1">_xll.BDP($B116,U$6, "YAS_BOND_YLD="&amp;$T116,"YAS_YLD_CONV=2")</f>
        <v>90.187499295512978</v>
      </c>
      <c r="V116" s="21">
        <f ca="1">_xll.meLWOBondCleanPrice($M116,$C$4,$T116%)</f>
        <v>90.187499295512993</v>
      </c>
      <c r="W116" s="22">
        <f t="shared" ca="1" si="15"/>
        <v>1.4210854715202004E-14</v>
      </c>
      <c r="X116" s="21">
        <f ca="1">_xll.meLWOBondDV01($M116,$C$4,$T116%)</f>
        <v>1537.4177108490539</v>
      </c>
      <c r="Y116" s="20">
        <f ca="1">_xll.BDP($B116,Y$6, "YLD_YTM_ASK="&amp;$T116,"YAS_YLD_CONV=3")*$Y$3*0.0001</f>
        <v>1537.41897845066</v>
      </c>
      <c r="Z116" s="22">
        <f t="shared" ca="1" si="16"/>
        <v>1.267601606059543E-3</v>
      </c>
      <c r="AA116" s="21">
        <f ca="1">_xll.meLWOBondDirtyPrice($M116,$C$4,$T116%)</f>
        <v>90.195095980595866</v>
      </c>
      <c r="AB116" s="21">
        <f ca="1">_xll.meLWOBondModifiedDuration($M116,$C$4,$T116%)</f>
        <v>17.045468981814782</v>
      </c>
      <c r="AC116" s="20">
        <f ca="1">_xll.BDP($B116,AC$6,"YLD_YTM_ASK="&amp;$T116,"YAS_YLD_CONV=3")</f>
        <v>17.045483035811724</v>
      </c>
      <c r="AD116" s="22">
        <f t="shared" ca="1" si="17"/>
        <v>1.4053996942209324E-5</v>
      </c>
      <c r="AE116" s="21">
        <f ca="1">_xll.meLWOBondDV01Numerical($M116,$C$4,$T116%,0.5,"CENTRAL")</f>
        <v>1537.4180277527219</v>
      </c>
    </row>
    <row r="117" spans="1:16384">
      <c r="B117" s="14" t="s">
        <v>247</v>
      </c>
      <c r="C117" s="14" t="s">
        <v>248</v>
      </c>
      <c r="D117" s="14" t="s">
        <v>248</v>
      </c>
      <c r="E117" s="15">
        <v>41320</v>
      </c>
      <c r="F117" s="18">
        <v>41320</v>
      </c>
      <c r="G117" s="17" t="str">
        <f t="shared" si="14"/>
        <v/>
      </c>
      <c r="H117" s="15">
        <v>41501</v>
      </c>
      <c r="I117" s="15">
        <v>52093</v>
      </c>
      <c r="J117" s="15" t="s">
        <v>292</v>
      </c>
      <c r="K117" s="16">
        <v>3.125E-2</v>
      </c>
      <c r="L117" s="15">
        <v>52277</v>
      </c>
      <c r="M117" s="19" t="str">
        <f ca="1">_xll.meLWOBondCreateFromGeneratorLVB(C117,$M$4,_xll.meUtilityLVBFromKeysValues($C$6:$L$6,C117:L117))</f>
        <v>US912810QZ49@1324:4</v>
      </c>
      <c r="N117" s="53">
        <f ca="1">_xll.BDP($B117,$N$5)</f>
        <v>3.3471083999999998</v>
      </c>
      <c r="O117" s="52">
        <f ca="1">_xll.meLWOBondCleanPrice($M117,$C$4,$N117%)</f>
        <v>96.328124577368001</v>
      </c>
      <c r="P117" s="52">
        <f ca="1">_xll.meLWOBondDirtyPrice($M117,$C$4,$N117%)</f>
        <v>97.117866425194094</v>
      </c>
      <c r="Q117" s="51">
        <f ca="1">_xll.meLWOBondYield($M117,$C$4,O117)</f>
        <v>3.3471084000003655E-2</v>
      </c>
      <c r="R117" s="52">
        <f ca="1">_xll.meLWOBondModifiedDuration($M117,$C$4,$N117%)</f>
        <v>16.60851471255712</v>
      </c>
      <c r="S117" s="21">
        <f ca="1">_xll.meLWOBondDV01($M117,$C$4,$N117%)</f>
        <v>1612.9835133749934</v>
      </c>
      <c r="T117" s="49">
        <f t="shared" ca="1" si="13"/>
        <v>3.3471083999999998</v>
      </c>
      <c r="U117" s="20">
        <f ca="1">_xll.BDP($B117,U$6, "YAS_BOND_YLD="&amp;$T117,"YAS_YLD_CONV=2")</f>
        <v>96.328124577367987</v>
      </c>
      <c r="V117" s="21">
        <f ca="1">_xll.meLWOBondCleanPrice($M117,$C$4,$T117%)</f>
        <v>96.328124577368001</v>
      </c>
      <c r="W117" s="22">
        <f t="shared" ca="1" si="15"/>
        <v>1.4210854715202004E-14</v>
      </c>
      <c r="X117" s="21">
        <f ca="1">_xll.meLWOBondDV01($M117,$C$4,$T117%)</f>
        <v>1612.9835133749934</v>
      </c>
      <c r="Y117" s="20">
        <f ca="1">_xll.BDP($B117,Y$6, "YLD_YTM_ASK="&amp;$T117,"YAS_YLD_CONV=3")*$Y$3*0.0001</f>
        <v>1612.984842976033</v>
      </c>
      <c r="Z117" s="22">
        <f t="shared" ca="1" si="16"/>
        <v>1.3296010395151825E-3</v>
      </c>
      <c r="AA117" s="21">
        <f ca="1">_xll.meLWOBondDirtyPrice($M117,$C$4,$T117%)</f>
        <v>97.117866425194094</v>
      </c>
      <c r="AB117" s="21">
        <f ca="1">_xll.meLWOBondModifiedDuration($M117,$C$4,$T117%)</f>
        <v>16.60851471255712</v>
      </c>
      <c r="AC117" s="20">
        <f ca="1">_xll.BDP($B117,AC$6,"YLD_YTM_ASK="&amp;$T117,"YAS_YLD_CONV=3")</f>
        <v>16.608528403148682</v>
      </c>
      <c r="AD117" s="22">
        <f t="shared" ca="1" si="17"/>
        <v>1.3690591561754673E-5</v>
      </c>
      <c r="AE117" s="21">
        <f ca="1">_xll.meLWOBondDV01Numerical($M117,$C$4,$T117%,0.5,"CENTRAL")</f>
        <v>1612.9838457784731</v>
      </c>
    </row>
    <row r="118" spans="1:16384">
      <c r="B118" s="14" t="s">
        <v>49</v>
      </c>
      <c r="C118" s="14" t="s">
        <v>50</v>
      </c>
      <c r="D118" s="14" t="s">
        <v>50</v>
      </c>
      <c r="E118" s="15">
        <v>41409</v>
      </c>
      <c r="F118" s="18">
        <v>41409</v>
      </c>
      <c r="G118" s="17" t="str">
        <f t="shared" si="14"/>
        <v/>
      </c>
      <c r="H118" s="15">
        <v>41593</v>
      </c>
      <c r="I118" s="15">
        <v>52185</v>
      </c>
      <c r="J118" s="15" t="s">
        <v>292</v>
      </c>
      <c r="K118" s="16">
        <v>2.8750000000000001E-2</v>
      </c>
      <c r="L118" s="15">
        <v>52366</v>
      </c>
      <c r="M118" s="19" t="str">
        <f ca="1">_xll.meLWOBondCreateFromGeneratorLVB(C118,$M$4,_xll.meUtilityLVBFromKeysValues($C$6:$L$6,C118:L118))</f>
        <v>US912810RB61@1323:4</v>
      </c>
      <c r="N118" s="53">
        <f ca="1">_xll.BDP($B118,$N$5)</f>
        <v>3.3496731</v>
      </c>
      <c r="O118" s="52">
        <f ca="1">_xll.meLWOBondCleanPrice($M118,$C$4,$N118%)</f>
        <v>92.109375303031698</v>
      </c>
      <c r="P118" s="52">
        <f ca="1">_xll.meLWOBondDirtyPrice($M118,$C$4,$N118%)</f>
        <v>92.117317291981976</v>
      </c>
      <c r="Q118" s="51">
        <f ca="1">_xll.meLWOBondYield($M118,$C$4,O118)</f>
        <v>3.3496730999999988E-2</v>
      </c>
      <c r="R118" s="52">
        <f ca="1">_xll.meLWOBondModifiedDuration($M118,$C$4,$N118%)</f>
        <v>17.1310550395295</v>
      </c>
      <c r="S118" s="21">
        <f ca="1">_xll.meLWOBondDV01($M118,$C$4,$N118%)</f>
        <v>1578.0668326227458</v>
      </c>
      <c r="T118" s="49">
        <f t="shared" ca="1" si="13"/>
        <v>3.3496731</v>
      </c>
      <c r="U118" s="20">
        <f ca="1">_xll.BDP($B118,U$6, "YAS_BOND_YLD="&amp;$T118,"YAS_YLD_CONV=2")</f>
        <v>92.109375303031683</v>
      </c>
      <c r="V118" s="21">
        <f ca="1">_xll.meLWOBondCleanPrice($M118,$C$4,$T118%)</f>
        <v>92.109375303031698</v>
      </c>
      <c r="W118" s="22">
        <f t="shared" ca="1" si="15"/>
        <v>1.4210854715202004E-14</v>
      </c>
      <c r="X118" s="21">
        <f ca="1">_xll.meLWOBondDV01($M118,$C$4,$T118%)</f>
        <v>1578.0668326227458</v>
      </c>
      <c r="Y118" s="20">
        <f ca="1">_xll.BDP($B118,Y$6, "YLD_YTM_ASK="&amp;$T118,"YAS_YLD_CONV=3")*$Y$3*0.0001</f>
        <v>1578.0681726608493</v>
      </c>
      <c r="Z118" s="22">
        <f t="shared" ca="1" si="16"/>
        <v>1.3400381035353348E-3</v>
      </c>
      <c r="AA118" s="21">
        <f ca="1">_xll.meLWOBondDirtyPrice($M118,$C$4,$T118%)</f>
        <v>92.117317291981976</v>
      </c>
      <c r="AB118" s="21">
        <f ca="1">_xll.meLWOBondModifiedDuration($M118,$C$4,$T118%)</f>
        <v>17.1310550395295</v>
      </c>
      <c r="AC118" s="20">
        <f ca="1">_xll.BDP($B118,AC$6,"YLD_YTM_ASK="&amp;$T118,"YAS_YLD_CONV=3")</f>
        <v>17.131069586610785</v>
      </c>
      <c r="AD118" s="22">
        <f t="shared" ca="1" si="17"/>
        <v>1.4547081285343211E-5</v>
      </c>
      <c r="AE118" s="21">
        <f ca="1">_xll.meLWOBondDV01Numerical($M118,$C$4,$T118%,0.5,"CENTRAL")</f>
        <v>1578.0671676286318</v>
      </c>
    </row>
    <row r="119" spans="1:16384">
      <c r="B119" s="14" t="s">
        <v>159</v>
      </c>
      <c r="C119" s="14" t="s">
        <v>160</v>
      </c>
      <c r="D119" s="14" t="s">
        <v>160</v>
      </c>
      <c r="E119" s="15">
        <v>41501</v>
      </c>
      <c r="F119" s="18">
        <v>41501</v>
      </c>
      <c r="G119" s="17" t="str">
        <f t="shared" si="14"/>
        <v/>
      </c>
      <c r="H119" s="15">
        <v>41685</v>
      </c>
      <c r="I119" s="15">
        <v>52277</v>
      </c>
      <c r="J119" s="15" t="s">
        <v>292</v>
      </c>
      <c r="K119" s="16">
        <v>3.6249999999999998E-2</v>
      </c>
      <c r="L119" s="15">
        <v>52458</v>
      </c>
      <c r="M119" s="19" t="str">
        <f ca="1">_xll.meLWOBondCreateFromGeneratorLVB(C119,$M$4,_xll.meUtilityLVBFromKeysValues($C$6:$L$6,C119:L119))</f>
        <v>US912810RC45@1322:4</v>
      </c>
      <c r="N119" s="53">
        <f ca="1">_xll.BDP($B119,$N$5)</f>
        <v>3.3465932999999999</v>
      </c>
      <c r="O119" s="52">
        <f ca="1">_xll.meLWOBondCleanPrice($M119,$C$4,$N119%)</f>
        <v>104.65624983938559</v>
      </c>
      <c r="P119" s="52">
        <f ca="1">_xll.meLWOBondDirtyPrice($M119,$C$4,$N119%)</f>
        <v>105.57235038286386</v>
      </c>
      <c r="Q119" s="51">
        <f ca="1">_xll.meLWOBondYield($M119,$C$4,O119)</f>
        <v>3.3465932999999802E-2</v>
      </c>
      <c r="R119" s="52">
        <f ca="1">_xll.meLWOBondModifiedDuration($M119,$C$4,$N119%)</f>
        <v>16.33106473603199</v>
      </c>
      <c r="S119" s="21">
        <f ca="1">_xll.meLWOBondDV01($M119,$C$4,$N119%)</f>
        <v>1724.1088884376015</v>
      </c>
      <c r="T119" s="49">
        <f t="shared" ca="1" si="13"/>
        <v>3.3465932999999999</v>
      </c>
      <c r="U119" s="20">
        <f ca="1">_xll.BDP($B119,U$6, "YAS_BOND_YLD="&amp;$T119,"YAS_YLD_CONV=2")</f>
        <v>104.65624983938557</v>
      </c>
      <c r="V119" s="21">
        <f ca="1">_xll.meLWOBondCleanPrice($M119,$C$4,$T119%)</f>
        <v>104.65624983938559</v>
      </c>
      <c r="W119" s="22">
        <f t="shared" ca="1" si="15"/>
        <v>2.8421709430404007E-14</v>
      </c>
      <c r="X119" s="21">
        <f ca="1">_xll.meLWOBondDV01($M119,$C$4,$T119%)</f>
        <v>1724.1088884376015</v>
      </c>
      <c r="Y119" s="20">
        <f ca="1">_xll.BDP($B119,Y$6, "YLD_YTM_ASK="&amp;$T119,"YAS_YLD_CONV=3")*$Y$3*0.0001</f>
        <v>1724.1103270977476</v>
      </c>
      <c r="Z119" s="22">
        <f t="shared" ca="1" si="16"/>
        <v>1.438660146050097E-3</v>
      </c>
      <c r="AA119" s="21">
        <f ca="1">_xll.meLWOBondDirtyPrice($M119,$C$4,$T119%)</f>
        <v>105.57235038286386</v>
      </c>
      <c r="AB119" s="21">
        <f ca="1">_xll.meLWOBondModifiedDuration($M119,$C$4,$T119%)</f>
        <v>16.33106473603199</v>
      </c>
      <c r="AC119" s="20">
        <f ca="1">_xll.BDP($B119,AC$6,"YLD_YTM_ASK="&amp;$T119,"YAS_YLD_CONV=3")</f>
        <v>16.331078363275687</v>
      </c>
      <c r="AD119" s="22">
        <f t="shared" ca="1" si="17"/>
        <v>1.3627243696134883E-5</v>
      </c>
      <c r="AE119" s="21">
        <f ca="1">_xll.meLWOBondDV01Numerical($M119,$C$4,$T119%,0.5,"CENTRAL")</f>
        <v>1724.1092480982445</v>
      </c>
    </row>
    <row r="120" spans="1:16384">
      <c r="B120" s="14" t="s">
        <v>149</v>
      </c>
      <c r="C120" s="14" t="s">
        <v>150</v>
      </c>
      <c r="D120" s="14" t="s">
        <v>150</v>
      </c>
      <c r="E120" s="15">
        <v>41593</v>
      </c>
      <c r="F120" s="18">
        <v>41593</v>
      </c>
      <c r="G120" s="17" t="str">
        <f t="shared" si="14"/>
        <v/>
      </c>
      <c r="H120" s="15">
        <v>41774</v>
      </c>
      <c r="I120" s="15">
        <v>52366</v>
      </c>
      <c r="J120" s="15" t="s">
        <v>292</v>
      </c>
      <c r="K120" s="16">
        <v>3.7499999999999999E-2</v>
      </c>
      <c r="L120" s="15">
        <v>52550</v>
      </c>
      <c r="M120" s="19" t="str">
        <f ca="1">_xll.meLWOBondCreateFromGeneratorLVB(C120,$M$4,_xll.meUtilityLVBFromKeysValues($C$6:$L$6,C120:L120))</f>
        <v>US912810RD28@1321:4</v>
      </c>
      <c r="N120" s="53">
        <f ca="1">_xll.BDP($B120,$N$5)</f>
        <v>3.3447664000000001</v>
      </c>
      <c r="O120" s="52">
        <f ca="1">_xll.meLWOBondCleanPrice($M120,$C$4,$N120%)</f>
        <v>106.82812472152408</v>
      </c>
      <c r="P120" s="52">
        <f ca="1">_xll.meLWOBondDirtyPrice($M120,$C$4,$N120%)</f>
        <v>106.83848383754618</v>
      </c>
      <c r="Q120" s="51">
        <f ca="1">_xll.meLWOBondYield($M120,$C$4,O120)</f>
        <v>3.3447664000000182E-2</v>
      </c>
      <c r="R120" s="52">
        <f ca="1">_xll.meLWOBondModifiedDuration($M120,$C$4,$N120%)</f>
        <v>16.465620945785457</v>
      </c>
      <c r="S120" s="21">
        <f ca="1">_xll.meLWOBondDV01($M120,$C$4,$N120%)</f>
        <v>1759.1619772914614</v>
      </c>
      <c r="T120" s="49">
        <f t="shared" ca="1" si="13"/>
        <v>3.3447664000000001</v>
      </c>
      <c r="U120" s="20">
        <f ca="1">_xll.BDP($B120,U$6, "YAS_BOND_YLD="&amp;$T120,"YAS_YLD_CONV=2")</f>
        <v>106.82812472152409</v>
      </c>
      <c r="V120" s="21">
        <f ca="1">_xll.meLWOBondCleanPrice($M120,$C$4,$T120%)</f>
        <v>106.82812472152408</v>
      </c>
      <c r="W120" s="22">
        <f t="shared" ca="1" si="15"/>
        <v>1.4210854715202004E-14</v>
      </c>
      <c r="X120" s="21">
        <f ca="1">_xll.meLWOBondDV01($M120,$C$4,$T120%)</f>
        <v>1759.1619772914614</v>
      </c>
      <c r="Y120" s="20">
        <f ca="1">_xll.BDP($B120,Y$6, "YLD_YTM_ASK="&amp;$T120,"YAS_YLD_CONV=3")*$Y$3*0.0001</f>
        <v>1759.1634625176057</v>
      </c>
      <c r="Z120" s="22">
        <f t="shared" ca="1" si="16"/>
        <v>1.4852261442683812E-3</v>
      </c>
      <c r="AA120" s="21">
        <f ca="1">_xll.meLWOBondDirtyPrice($M120,$C$4,$T120%)</f>
        <v>106.83848383754618</v>
      </c>
      <c r="AB120" s="21">
        <f ca="1">_xll.meLWOBondModifiedDuration($M120,$C$4,$T120%)</f>
        <v>16.465620945785457</v>
      </c>
      <c r="AC120" s="20">
        <f ca="1">_xll.BDP($B120,AC$6,"YLD_YTM_ASK="&amp;$T120,"YAS_YLD_CONV=3")</f>
        <v>16.465634847388028</v>
      </c>
      <c r="AD120" s="22">
        <f t="shared" ca="1" si="17"/>
        <v>1.3901602571309013E-5</v>
      </c>
      <c r="AE120" s="21">
        <f ca="1">_xll.meLWOBondDV01Numerical($M120,$C$4,$T120%,0.5,"CENTRAL")</f>
        <v>1759.1623485937191</v>
      </c>
    </row>
    <row r="121" spans="1:16384">
      <c r="B121" s="14" t="s">
        <v>167</v>
      </c>
      <c r="C121" s="14" t="s">
        <v>168</v>
      </c>
      <c r="D121" s="14" t="s">
        <v>168</v>
      </c>
      <c r="E121" s="15">
        <v>41688</v>
      </c>
      <c r="F121" s="18">
        <v>41685</v>
      </c>
      <c r="G121" s="17" t="str">
        <f t="shared" si="14"/>
        <v/>
      </c>
      <c r="H121" s="15">
        <v>41866</v>
      </c>
      <c r="I121" s="15">
        <v>52458</v>
      </c>
      <c r="J121" s="15" t="s">
        <v>292</v>
      </c>
      <c r="K121" s="16">
        <v>3.6249999999999998E-2</v>
      </c>
      <c r="L121" s="15">
        <v>52642</v>
      </c>
      <c r="M121" s="19" t="str">
        <f ca="1">_xll.meLWOBondCreateFromGeneratorLVB(C121,$M$4,_xll.meUtilityLVBFromKeysValues($C$6:$L$6,C121:L121))</f>
        <v>US912810RE01@1320:4</v>
      </c>
      <c r="N121" s="53">
        <f ca="1">_xll.BDP($B121,$N$5)</f>
        <v>3.3455686</v>
      </c>
      <c r="O121" s="52">
        <f ca="1">_xll.meLWOBondCleanPrice($M121,$C$4,$N121%)</f>
        <v>104.73437565806285</v>
      </c>
      <c r="P121" s="52">
        <f ca="1">_xll.meLWOBondDirtyPrice($M121,$C$4,$N121%)</f>
        <v>105.65047620154111</v>
      </c>
      <c r="Q121" s="51">
        <f ca="1">_xll.meLWOBondYield($M121,$C$4,O121)</f>
        <v>3.345568600000004E-2</v>
      </c>
      <c r="R121" s="52">
        <f ca="1">_xll.meLWOBondModifiedDuration($M121,$C$4,$N121%)</f>
        <v>16.541557031323844</v>
      </c>
      <c r="S121" s="21">
        <f ca="1">_xll.meLWOBondDV01($M121,$C$4,$N121%)</f>
        <v>1747.6233774743148</v>
      </c>
      <c r="T121" s="49">
        <f t="shared" ca="1" si="13"/>
        <v>3.3455686</v>
      </c>
      <c r="U121" s="20">
        <f ca="1">_xll.BDP($B121,U$6, "YAS_BOND_YLD="&amp;$T121,"YAS_YLD_CONV=2")</f>
        <v>104.73437565806287</v>
      </c>
      <c r="V121" s="21">
        <f ca="1">_xll.meLWOBondCleanPrice($M121,$C$4,$T121%)</f>
        <v>104.73437565806285</v>
      </c>
      <c r="W121" s="22">
        <f t="shared" ca="1" si="15"/>
        <v>2.8421709430404007E-14</v>
      </c>
      <c r="X121" s="21">
        <f ca="1">_xll.meLWOBondDV01($M121,$C$4,$T121%)</f>
        <v>1747.6233774743148</v>
      </c>
      <c r="Y121" s="20">
        <f ca="1">_xll.BDP($B121,Y$6, "YLD_YTM_ASK="&amp;$T121,"YAS_YLD_CONV=3")*$Y$3*0.0001</f>
        <v>1747.6248861601107</v>
      </c>
      <c r="Z121" s="22">
        <f t="shared" ca="1" si="16"/>
        <v>1.5086857958976907E-3</v>
      </c>
      <c r="AA121" s="21">
        <f ca="1">_xll.meLWOBondDirtyPrice($M121,$C$4,$T121%)</f>
        <v>105.65047620154111</v>
      </c>
      <c r="AB121" s="21">
        <f ca="1">_xll.meLWOBondModifiedDuration($M121,$C$4,$T121%)</f>
        <v>16.541557031323844</v>
      </c>
      <c r="AC121" s="20">
        <f ca="1">_xll.BDP($B121,AC$6,"YLD_YTM_ASK="&amp;$T121,"YAS_YLD_CONV=3")</f>
        <v>16.541571311295424</v>
      </c>
      <c r="AD121" s="22">
        <f t="shared" ca="1" si="17"/>
        <v>1.4279971580322126E-5</v>
      </c>
      <c r="AE121" s="21">
        <f ca="1">_xll.meLWOBondDV01Numerical($M121,$C$4,$T121%,0.5,"CENTRAL")</f>
        <v>1747.6237546414097</v>
      </c>
    </row>
    <row r="122" spans="1:16384">
      <c r="B122" s="14" t="s">
        <v>199</v>
      </c>
      <c r="C122" s="14" t="s">
        <v>200</v>
      </c>
      <c r="D122" s="14" t="s">
        <v>200</v>
      </c>
      <c r="E122" s="15">
        <v>41774</v>
      </c>
      <c r="F122" s="18">
        <v>41774</v>
      </c>
      <c r="G122" s="17" t="str">
        <f t="shared" si="14"/>
        <v/>
      </c>
      <c r="H122" s="15">
        <v>41958</v>
      </c>
      <c r="I122" s="15">
        <v>52550</v>
      </c>
      <c r="J122" s="15" t="s">
        <v>292</v>
      </c>
      <c r="K122" s="16">
        <v>3.3750000000000002E-2</v>
      </c>
      <c r="L122" s="15">
        <v>52732</v>
      </c>
      <c r="M122" s="19" t="str">
        <f ca="1">_xll.meLWOBondCreateFromGeneratorLVB(C122,$M$4,_xll.meUtilityLVBFromKeysValues($C$6:$L$6,C122:L122))</f>
        <v>US912810RG58@1319:4</v>
      </c>
      <c r="N122" s="53">
        <f ca="1">_xll.BDP($B122,$N$5)</f>
        <v>3.3456922000000002</v>
      </c>
      <c r="O122" s="52">
        <f ca="1">_xll.meLWOBondCleanPrice($M122,$C$4,$N122%)</f>
        <v>100.500000185635</v>
      </c>
      <c r="P122" s="52">
        <f ca="1">_xll.meLWOBondDirtyPrice($M122,$C$4,$N122%)</f>
        <v>100.50932339005489</v>
      </c>
      <c r="Q122" s="51">
        <f ca="1">_xll.meLWOBondYield($M122,$C$4,O122)</f>
        <v>3.3456922000002366E-2</v>
      </c>
      <c r="R122" s="52">
        <f ca="1">_xll.meLWOBondModifiedDuration($M122,$C$4,$N122%)</f>
        <v>17.031405243591518</v>
      </c>
      <c r="S122" s="21">
        <f ca="1">_xll.meLWOBondDV01($M122,$C$4,$N122%)</f>
        <v>1711.8150174152163</v>
      </c>
      <c r="T122" s="49">
        <f t="shared" ca="1" si="13"/>
        <v>3.3456922000000002</v>
      </c>
      <c r="U122" s="20">
        <f ca="1">_xll.BDP($B122,U$6, "YAS_BOND_YLD="&amp;$T122,"YAS_YLD_CONV=2")</f>
        <v>100.50000018563502</v>
      </c>
      <c r="V122" s="21">
        <f ca="1">_xll.meLWOBondCleanPrice($M122,$C$4,$T122%)</f>
        <v>100.500000185635</v>
      </c>
      <c r="W122" s="22">
        <f t="shared" ca="1" si="15"/>
        <v>1.4210854715202004E-14</v>
      </c>
      <c r="X122" s="21">
        <f ca="1">_xll.meLWOBondDV01($M122,$C$4,$T122%)</f>
        <v>1711.8150174152163</v>
      </c>
      <c r="Y122" s="20">
        <f ca="1">_xll.BDP($B122,Y$6, "YLD_YTM_ASK="&amp;$T122,"YAS_YLD_CONV=3")*$Y$3*0.0001</f>
        <v>1711.8165374184714</v>
      </c>
      <c r="Z122" s="22">
        <f t="shared" ca="1" si="16"/>
        <v>1.520003255109259E-3</v>
      </c>
      <c r="AA122" s="21">
        <f ca="1">_xll.meLWOBondDirtyPrice($M122,$C$4,$T122%)</f>
        <v>100.50932339005489</v>
      </c>
      <c r="AB122" s="21">
        <f ca="1">_xll.meLWOBondModifiedDuration($M122,$C$4,$T122%)</f>
        <v>17.031405243591518</v>
      </c>
      <c r="AC122" s="20">
        <f ca="1">_xll.BDP($B122,AC$6,"YLD_YTM_ASK="&amp;$T122,"YAS_YLD_CONV=3")</f>
        <v>17.031420366599033</v>
      </c>
      <c r="AD122" s="22">
        <f t="shared" ca="1" si="17"/>
        <v>1.5123007514716846E-5</v>
      </c>
      <c r="AE122" s="21">
        <f ca="1">_xll.meLWOBondDV01Numerical($M122,$C$4,$T122%,0.5,"CENTRAL")</f>
        <v>1711.8153974119821</v>
      </c>
    </row>
    <row r="123" spans="1:16384">
      <c r="B123" s="14" t="s">
        <v>259</v>
      </c>
      <c r="C123" s="14" t="s">
        <v>260</v>
      </c>
      <c r="D123" s="14" t="s">
        <v>260</v>
      </c>
      <c r="E123" s="15">
        <v>41866</v>
      </c>
      <c r="F123" s="18">
        <v>41866</v>
      </c>
      <c r="G123" s="17" t="str">
        <f t="shared" si="14"/>
        <v/>
      </c>
      <c r="H123" s="15">
        <v>42050</v>
      </c>
      <c r="I123" s="15">
        <v>52642</v>
      </c>
      <c r="J123" s="15" t="s">
        <v>292</v>
      </c>
      <c r="K123" s="16">
        <v>3.125E-2</v>
      </c>
      <c r="L123" s="15">
        <v>52824</v>
      </c>
      <c r="M123" s="19" t="str">
        <f ca="1">_xll.meLWOBondCreateFromGeneratorLVB(C123,$M$4,_xll.meUtilityLVBFromKeysValues($C$6:$L$6,C123:L123))</f>
        <v>US912810RH32@1318:4</v>
      </c>
      <c r="N123" s="53">
        <f ca="1">_xll.BDP($B123,$N$5)</f>
        <v>3.3478327999999999</v>
      </c>
      <c r="O123" s="52">
        <f ca="1">_xll.meLWOBondCleanPrice($M123,$C$4,$N123%)</f>
        <v>96.17187473281669</v>
      </c>
      <c r="P123" s="52">
        <f ca="1">_xll.meLWOBondDirtyPrice($M123,$C$4,$N123%)</f>
        <v>96.961616580642783</v>
      </c>
      <c r="Q123" s="51">
        <f ca="1">_xll.meLWOBondYield($M123,$C$4,O123)</f>
        <v>3.3478327999973037E-2</v>
      </c>
      <c r="R123" s="52">
        <f ca="1">_xll.meLWOBondModifiedDuration($M123,$C$4,$N123%)</f>
        <v>17.264790976827904</v>
      </c>
      <c r="S123" s="21">
        <f ca="1">_xll.meLWOBondDV01($M123,$C$4,$N123%)</f>
        <v>1674.0220430401282</v>
      </c>
      <c r="T123" s="49">
        <f t="shared" ca="1" si="13"/>
        <v>3.3478327999999999</v>
      </c>
      <c r="U123" s="20">
        <f ca="1">_xll.BDP($B123,U$6, "YAS_BOND_YLD="&amp;$T123,"YAS_YLD_CONV=2")</f>
        <v>96.17187473281669</v>
      </c>
      <c r="V123" s="21">
        <f ca="1">_xll.meLWOBondCleanPrice($M123,$C$4,$T123%)</f>
        <v>96.17187473281669</v>
      </c>
      <c r="W123" s="22">
        <f t="shared" ca="1" si="15"/>
        <v>0</v>
      </c>
      <c r="X123" s="21">
        <f ca="1">_xll.meLWOBondDV01($M123,$C$4,$T123%)</f>
        <v>1674.0220430401282</v>
      </c>
      <c r="Y123" s="20">
        <f ca="1">_xll.BDP($B123,Y$6, "YLD_YTM_ASK="&amp;$T123,"YAS_YLD_CONV=3")*$Y$3*0.0001</f>
        <v>1674.0235724380173</v>
      </c>
      <c r="Z123" s="22">
        <f t="shared" ca="1" si="16"/>
        <v>1.5293978890440485E-3</v>
      </c>
      <c r="AA123" s="21">
        <f ca="1">_xll.meLWOBondDirtyPrice($M123,$C$4,$T123%)</f>
        <v>96.961616580642783</v>
      </c>
      <c r="AB123" s="21">
        <f ca="1">_xll.meLWOBondModifiedDuration($M123,$C$4,$T123%)</f>
        <v>17.264790976827904</v>
      </c>
      <c r="AC123" s="20">
        <f ca="1">_xll.BDP($B123,AC$6,"YLD_YTM_ASK="&amp;$T123,"YAS_YLD_CONV=3")</f>
        <v>17.264806750057954</v>
      </c>
      <c r="AD123" s="22">
        <f t="shared" ca="1" si="17"/>
        <v>1.5773230050086795E-5</v>
      </c>
      <c r="AE123" s="21">
        <f ca="1">_xll.meLWOBondDV01Numerical($M123,$C$4,$T123%,0.5,"CENTRAL")</f>
        <v>1674.0224253928207</v>
      </c>
    </row>
    <row r="124" spans="1:16384">
      <c r="B124" s="14" t="s">
        <v>51</v>
      </c>
      <c r="C124" s="14" t="s">
        <v>52</v>
      </c>
      <c r="D124" s="14" t="s">
        <v>52</v>
      </c>
      <c r="E124" s="15">
        <v>41960</v>
      </c>
      <c r="F124" s="18">
        <v>41958</v>
      </c>
      <c r="G124" s="17" t="str">
        <f t="shared" si="14"/>
        <v/>
      </c>
      <c r="H124" s="15">
        <v>42139</v>
      </c>
      <c r="I124" s="15">
        <v>52732</v>
      </c>
      <c r="J124" s="15" t="s">
        <v>292</v>
      </c>
      <c r="K124" s="16">
        <v>0.03</v>
      </c>
      <c r="L124" s="15">
        <v>52916</v>
      </c>
      <c r="M124" s="19" t="str">
        <f ca="1">_xll.meLWOBondCreateFromGeneratorLVB(C124,$M$4,_xll.meUtilityLVBFromKeysValues($C$6:$L$6,C124:L124))</f>
        <v>US912810RJ97@1317:4</v>
      </c>
      <c r="N124" s="53">
        <f ca="1">_xll.BDP($B124,$N$5)</f>
        <v>3.3483478999999998</v>
      </c>
      <c r="O124" s="52">
        <f ca="1">_xll.meLWOBondCleanPrice($M124,$C$4,$N124%)</f>
        <v>93.984375529950341</v>
      </c>
      <c r="P124" s="52">
        <f ca="1">_xll.meLWOBondDirtyPrice($M124,$C$4,$N124%)</f>
        <v>93.992662822768025</v>
      </c>
      <c r="Q124" s="51">
        <f ca="1">_xll.meLWOBondYield($M124,$C$4,O124)</f>
        <v>3.348347899999992E-2</v>
      </c>
      <c r="R124" s="52">
        <f ca="1">_xll.meLWOBondModifiedDuration($M124,$C$4,$N124%)</f>
        <v>17.654827936720018</v>
      </c>
      <c r="S124" s="21">
        <f ca="1">_xll.meLWOBondDV01($M124,$C$4,$N124%)</f>
        <v>1659.4242894501101</v>
      </c>
      <c r="T124" s="49">
        <f t="shared" ca="1" si="13"/>
        <v>3.3483478999999998</v>
      </c>
      <c r="U124" s="20">
        <f ca="1">_xll.BDP($B124,U$6, "YAS_BOND_YLD="&amp;$T124,"YAS_YLD_CONV=2")</f>
        <v>93.984375529950341</v>
      </c>
      <c r="V124" s="21">
        <f ca="1">_xll.meLWOBondCleanPrice($M124,$C$4,$T124%)</f>
        <v>93.984375529950341</v>
      </c>
      <c r="W124" s="22">
        <f t="shared" ca="1" si="15"/>
        <v>0</v>
      </c>
      <c r="X124" s="21">
        <f ca="1">_xll.meLWOBondDV01($M124,$C$4,$T124%)</f>
        <v>1659.4242894501101</v>
      </c>
      <c r="Y124" s="20">
        <f ca="1">_xll.BDP($B124,Y$6, "YLD_YTM_ASK="&amp;$T124,"YAS_YLD_CONV=3")*$Y$3*0.0001</f>
        <v>1659.4258404583684</v>
      </c>
      <c r="Z124" s="22">
        <f t="shared" ca="1" si="16"/>
        <v>1.5510082582750329E-3</v>
      </c>
      <c r="AA124" s="21">
        <f ca="1">_xll.meLWOBondDirtyPrice($M124,$C$4,$T124%)</f>
        <v>93.992662822768025</v>
      </c>
      <c r="AB124" s="21">
        <f ca="1">_xll.meLWOBondModifiedDuration($M124,$C$4,$T124%)</f>
        <v>17.654827936720018</v>
      </c>
      <c r="AC124" s="20">
        <f ca="1">_xll.BDP($B124,AC$6,"YLD_YTM_ASK="&amp;$T124,"YAS_YLD_CONV=3")</f>
        <v>17.654844438095875</v>
      </c>
      <c r="AD124" s="22">
        <f t="shared" ca="1" si="17"/>
        <v>1.6501375856847744E-5</v>
      </c>
      <c r="AE124" s="21">
        <f ca="1">_xll.meLWOBondDV01Numerical($M124,$C$4,$T124%,0.5,"CENTRAL")</f>
        <v>1659.4246771981602</v>
      </c>
    </row>
    <row r="125" spans="1:16384">
      <c r="B125" s="14" t="s">
        <v>177</v>
      </c>
      <c r="C125" s="14" t="s">
        <v>178</v>
      </c>
      <c r="D125" s="14" t="s">
        <v>178</v>
      </c>
      <c r="E125" s="15">
        <v>42052</v>
      </c>
      <c r="F125" s="18">
        <v>42050</v>
      </c>
      <c r="G125" s="17" t="str">
        <f t="shared" si="14"/>
        <v/>
      </c>
      <c r="H125" s="15">
        <v>42231</v>
      </c>
      <c r="I125" s="15">
        <v>52824</v>
      </c>
      <c r="J125" s="15" t="s">
        <v>292</v>
      </c>
      <c r="K125" s="16">
        <v>2.5000000000000001E-2</v>
      </c>
      <c r="L125" s="15">
        <v>53008</v>
      </c>
      <c r="M125" s="19" t="str">
        <f ca="1">_xll.meLWOBondCreateFromGeneratorLVB(C125,$M$4,_xll.meUtilityLVBFromKeysValues($C$6:$L$6,C125:L125))</f>
        <v>US912810RK60@1316:4</v>
      </c>
      <c r="N125" s="53">
        <f ca="1">_xll.BDP($B125,$N$5)</f>
        <v>3.3558954999999999</v>
      </c>
      <c r="O125" s="52">
        <f ca="1">_xll.meLWOBondCleanPrice($M125,$C$4,$N125%)</f>
        <v>85.140625618038484</v>
      </c>
      <c r="P125" s="52">
        <f ca="1">_xll.meLWOBondDirtyPrice($M125,$C$4,$N125%)</f>
        <v>85.772419096299359</v>
      </c>
      <c r="Q125" s="51">
        <f ca="1">_xll.meLWOBondYield($M125,$C$4,O125)</f>
        <v>3.3558955000000015E-2</v>
      </c>
      <c r="R125" s="52">
        <f ca="1">_xll.meLWOBondModifiedDuration($M125,$C$4,$N125%)</f>
        <v>18.281419014934688</v>
      </c>
      <c r="S125" s="21">
        <f ca="1">_xll.meLWOBondDV01($M125,$C$4,$N125%)</f>
        <v>1568.0415334240342</v>
      </c>
      <c r="T125" s="49">
        <f t="shared" ca="1" si="13"/>
        <v>3.3558954999999999</v>
      </c>
      <c r="U125" s="20">
        <f ca="1">_xll.BDP($B125,U$6, "YAS_BOND_YLD="&amp;$T125,"YAS_YLD_CONV=2")</f>
        <v>85.140625618038456</v>
      </c>
      <c r="V125" s="21">
        <f ca="1">_xll.meLWOBondCleanPrice($M125,$C$4,$T125%)</f>
        <v>85.140625618038484</v>
      </c>
      <c r="W125" s="22">
        <f t="shared" ca="1" si="15"/>
        <v>2.8421709430404007E-14</v>
      </c>
      <c r="X125" s="21">
        <f ca="1">_xll.meLWOBondDV01($M125,$C$4,$T125%)</f>
        <v>1568.0415334240342</v>
      </c>
      <c r="Y125" s="20">
        <f ca="1">_xll.BDP($B125,Y$6, "YLD_YTM_ASK="&amp;$T125,"YAS_YLD_CONV=3")*$Y$3*0.0001</f>
        <v>1568.0430631761765</v>
      </c>
      <c r="Z125" s="22">
        <f t="shared" ca="1" si="16"/>
        <v>1.5297521422326099E-3</v>
      </c>
      <c r="AA125" s="21">
        <f ca="1">_xll.meLWOBondDirtyPrice($M125,$C$4,$T125%)</f>
        <v>85.772419096299359</v>
      </c>
      <c r="AB125" s="21">
        <f ca="1">_xll.meLWOBondModifiedDuration($M125,$C$4,$T125%)</f>
        <v>18.281419014934688</v>
      </c>
      <c r="AC125" s="20">
        <f ca="1">_xll.BDP($B125,AC$6,"YLD_YTM_ASK="&amp;$T125,"YAS_YLD_CONV=3")</f>
        <v>18.281436849946864</v>
      </c>
      <c r="AD125" s="22">
        <f t="shared" ca="1" si="17"/>
        <v>1.7835012176448117E-5</v>
      </c>
      <c r="AE125" s="21">
        <f ca="1">_xll.meLWOBondDV01Numerical($M125,$C$4,$T125%,0.5,"CENTRAL")</f>
        <v>1568.0419158650238</v>
      </c>
    </row>
    <row r="126" spans="1:16384" s="27" customFormat="1">
      <c r="A126" s="1"/>
      <c r="B126" s="14" t="s">
        <v>275</v>
      </c>
      <c r="C126" s="14" t="s">
        <v>276</v>
      </c>
      <c r="D126" s="14" t="s">
        <v>276</v>
      </c>
      <c r="E126" s="15">
        <v>42139</v>
      </c>
      <c r="F126" s="18">
        <v>42139</v>
      </c>
      <c r="G126" s="17" t="str">
        <f t="shared" si="14"/>
        <v/>
      </c>
      <c r="H126" s="15">
        <v>42323</v>
      </c>
      <c r="I126" s="15">
        <v>52916</v>
      </c>
      <c r="J126" s="15" t="s">
        <v>292</v>
      </c>
      <c r="K126" s="16">
        <v>0.03</v>
      </c>
      <c r="L126" s="15">
        <v>53097</v>
      </c>
      <c r="M126" s="19" t="str">
        <f ca="1">_xll.meLWOBondCreateFromGeneratorLVB(C126,$M$4,_xll.meUtilityLVBFromKeysValues($C$6:$L$6,C126:L126))</f>
        <v>US912810RM27@1315:4</v>
      </c>
      <c r="N126" s="53">
        <f ca="1">_xll.BDP($B126,$N$5)</f>
        <v>3.3496290000000002</v>
      </c>
      <c r="O126" s="52">
        <f ca="1">_xll.meLWOBondCleanPrice($M126,$C$4,$N126%)</f>
        <v>93.890624791337629</v>
      </c>
      <c r="P126" s="52">
        <f ca="1">_xll.meLWOBondDirtyPrice($M126,$C$4,$N126%)</f>
        <v>93.898912084155313</v>
      </c>
      <c r="Q126" s="51">
        <f ca="1">_xll.meLWOBondYield($M126,$C$4,O126)</f>
        <v>3.3496289999999825E-2</v>
      </c>
      <c r="R126" s="52">
        <f ca="1">_xll.meLWOBondModifiedDuration($M126,$C$4,$N126%)</f>
        <v>17.868022661783279</v>
      </c>
      <c r="S126" s="21">
        <f ca="1">_xll.meLWOBondDV01($M126,$C$4,$N126%)</f>
        <v>1677.7878890364827</v>
      </c>
      <c r="T126" s="49">
        <f t="shared" ca="1" si="13"/>
        <v>3.3496290000000002</v>
      </c>
      <c r="U126" s="20">
        <f ca="1">_xll.BDP($B126,U$6, "YAS_BOND_YLD="&amp;$T126,"YAS_YLD_CONV=2")</f>
        <v>93.890624791337657</v>
      </c>
      <c r="V126" s="21">
        <f ca="1">_xll.meLWOBondCleanPrice($M126,$C$4,$T126%)</f>
        <v>93.890624791337629</v>
      </c>
      <c r="W126" s="22">
        <f t="shared" ca="1" si="15"/>
        <v>2.8421709430404007E-14</v>
      </c>
      <c r="X126" s="21">
        <f ca="1">_xll.meLWOBondDV01($M126,$C$4,$T126%)</f>
        <v>1677.7878890364827</v>
      </c>
      <c r="Y126" s="20">
        <f ca="1">_xll.BDP($B126,Y$6, "YLD_YTM_ASK="&amp;$T126,"YAS_YLD_CONV=3")*$Y$3*0.0001</f>
        <v>1677.7895090091731</v>
      </c>
      <c r="Z126" s="22">
        <f t="shared" ca="1" si="16"/>
        <v>1.6199726903778355E-3</v>
      </c>
      <c r="AA126" s="21">
        <f ca="1">_xll.meLWOBondDirtyPrice($M126,$C$4,$T126%)</f>
        <v>93.898912084155313</v>
      </c>
      <c r="AB126" s="21">
        <f ca="1">_xll.meLWOBondModifiedDuration($M126,$C$4,$T126%)</f>
        <v>17.868022661783279</v>
      </c>
      <c r="AC126" s="20">
        <f ca="1">_xll.BDP($B126,AC$6,"YLD_YTM_ASK="&amp;$T126,"YAS_YLD_CONV=3")</f>
        <v>17.868039914088495</v>
      </c>
      <c r="AD126" s="22">
        <f t="shared" ca="1" si="17"/>
        <v>1.7252305216430841E-5</v>
      </c>
      <c r="AE126" s="21">
        <f ca="1">_xll.meLWOBondDV01Numerical($M126,$C$4,$T126%,0.5,"CENTRAL")</f>
        <v>1677.7882940256463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  <c r="AMK126" s="1"/>
      <c r="AML126" s="1"/>
      <c r="AMM126" s="1"/>
      <c r="AMN126" s="1"/>
      <c r="AMO126" s="1"/>
      <c r="AMP126" s="1"/>
      <c r="AMQ126" s="1"/>
      <c r="AMR126" s="1"/>
      <c r="AMS126" s="1"/>
      <c r="AMT126" s="1"/>
      <c r="AMU126" s="1"/>
      <c r="AMV126" s="1"/>
      <c r="AMW126" s="1"/>
      <c r="AMX126" s="1"/>
      <c r="AMY126" s="1"/>
      <c r="AMZ126" s="1"/>
      <c r="ANA126" s="1"/>
      <c r="ANB126" s="1"/>
      <c r="ANC126" s="1"/>
      <c r="AND126" s="1"/>
      <c r="ANE126" s="1"/>
      <c r="ANF126" s="1"/>
      <c r="ANG126" s="1"/>
      <c r="ANH126" s="1"/>
      <c r="ANI126" s="1"/>
      <c r="ANJ126" s="1"/>
      <c r="ANK126" s="1"/>
      <c r="ANL126" s="1"/>
      <c r="ANM126" s="1"/>
      <c r="ANN126" s="1"/>
      <c r="ANO126" s="1"/>
      <c r="ANP126" s="1"/>
      <c r="ANQ126" s="1"/>
      <c r="ANR126" s="1"/>
      <c r="ANS126" s="1"/>
      <c r="ANT126" s="1"/>
      <c r="ANU126" s="1"/>
      <c r="ANV126" s="1"/>
      <c r="ANW126" s="1"/>
      <c r="ANX126" s="1"/>
      <c r="ANY126" s="1"/>
      <c r="ANZ126" s="1"/>
      <c r="AOA126" s="1"/>
      <c r="AOB126" s="1"/>
      <c r="AOC126" s="1"/>
      <c r="AOD126" s="1"/>
      <c r="AOE126" s="1"/>
      <c r="AOF126" s="1"/>
      <c r="AOG126" s="1"/>
      <c r="AOH126" s="1"/>
      <c r="AOI126" s="1"/>
      <c r="AOJ126" s="1"/>
      <c r="AOK126" s="1"/>
      <c r="AOL126" s="1"/>
      <c r="AOM126" s="1"/>
      <c r="AON126" s="1"/>
      <c r="AOO126" s="1"/>
      <c r="AOP126" s="1"/>
      <c r="AOQ126" s="1"/>
      <c r="AOR126" s="1"/>
      <c r="AOS126" s="1"/>
      <c r="AOT126" s="1"/>
      <c r="AOU126" s="1"/>
      <c r="AOV126" s="1"/>
      <c r="AOW126" s="1"/>
      <c r="AOX126" s="1"/>
      <c r="AOY126" s="1"/>
      <c r="AOZ126" s="1"/>
      <c r="APA126" s="1"/>
      <c r="APB126" s="1"/>
      <c r="APC126" s="1"/>
      <c r="APD126" s="1"/>
      <c r="APE126" s="1"/>
      <c r="APF126" s="1"/>
      <c r="APG126" s="1"/>
      <c r="APH126" s="1"/>
      <c r="API126" s="1"/>
      <c r="APJ126" s="1"/>
      <c r="APK126" s="1"/>
      <c r="APL126" s="1"/>
      <c r="APM126" s="1"/>
      <c r="APN126" s="1"/>
      <c r="APO126" s="1"/>
      <c r="APP126" s="1"/>
      <c r="APQ126" s="1"/>
      <c r="APR126" s="1"/>
      <c r="APS126" s="1"/>
      <c r="APT126" s="1"/>
      <c r="APU126" s="1"/>
      <c r="APV126" s="1"/>
      <c r="APW126" s="1"/>
      <c r="APX126" s="1"/>
      <c r="APY126" s="1"/>
      <c r="APZ126" s="1"/>
      <c r="AQA126" s="1"/>
      <c r="AQB126" s="1"/>
      <c r="AQC126" s="1"/>
      <c r="AQD126" s="1"/>
      <c r="AQE126" s="1"/>
      <c r="AQF126" s="1"/>
      <c r="AQG126" s="1"/>
      <c r="AQH126" s="1"/>
      <c r="AQI126" s="1"/>
      <c r="AQJ126" s="1"/>
      <c r="AQK126" s="1"/>
      <c r="AQL126" s="1"/>
      <c r="AQM126" s="1"/>
      <c r="AQN126" s="1"/>
      <c r="AQO126" s="1"/>
      <c r="AQP126" s="1"/>
      <c r="AQQ126" s="1"/>
      <c r="AQR126" s="1"/>
      <c r="AQS126" s="1"/>
      <c r="AQT126" s="1"/>
      <c r="AQU126" s="1"/>
      <c r="AQV126" s="1"/>
      <c r="AQW126" s="1"/>
      <c r="AQX126" s="1"/>
      <c r="AQY126" s="1"/>
      <c r="AQZ126" s="1"/>
      <c r="ARA126" s="1"/>
      <c r="ARB126" s="1"/>
      <c r="ARC126" s="1"/>
      <c r="ARD126" s="1"/>
      <c r="ARE126" s="1"/>
      <c r="ARF126" s="1"/>
      <c r="ARG126" s="1"/>
      <c r="ARH126" s="1"/>
      <c r="ARI126" s="1"/>
      <c r="ARJ126" s="1"/>
      <c r="ARK126" s="1"/>
      <c r="ARL126" s="1"/>
      <c r="ARM126" s="1"/>
      <c r="ARN126" s="1"/>
      <c r="ARO126" s="1"/>
      <c r="ARP126" s="1"/>
      <c r="ARQ126" s="1"/>
      <c r="ARR126" s="1"/>
      <c r="ARS126" s="1"/>
      <c r="ART126" s="1"/>
      <c r="ARU126" s="1"/>
      <c r="ARV126" s="1"/>
      <c r="ARW126" s="1"/>
      <c r="ARX126" s="1"/>
      <c r="ARY126" s="1"/>
      <c r="ARZ126" s="1"/>
      <c r="ASA126" s="1"/>
      <c r="ASB126" s="1"/>
      <c r="ASC126" s="1"/>
      <c r="ASD126" s="1"/>
      <c r="ASE126" s="1"/>
      <c r="ASF126" s="1"/>
      <c r="ASG126" s="1"/>
      <c r="ASH126" s="1"/>
      <c r="ASI126" s="1"/>
      <c r="ASJ126" s="1"/>
      <c r="ASK126" s="1"/>
      <c r="ASL126" s="1"/>
      <c r="ASM126" s="1"/>
      <c r="ASN126" s="1"/>
      <c r="ASO126" s="1"/>
      <c r="ASP126" s="1"/>
      <c r="ASQ126" s="1"/>
      <c r="ASR126" s="1"/>
      <c r="ASS126" s="1"/>
      <c r="AST126" s="1"/>
      <c r="ASU126" s="1"/>
      <c r="ASV126" s="1"/>
      <c r="ASW126" s="1"/>
      <c r="ASX126" s="1"/>
      <c r="ASY126" s="1"/>
      <c r="ASZ126" s="1"/>
      <c r="ATA126" s="1"/>
      <c r="ATB126" s="1"/>
      <c r="ATC126" s="1"/>
      <c r="ATD126" s="1"/>
      <c r="ATE126" s="1"/>
      <c r="ATF126" s="1"/>
      <c r="ATG126" s="1"/>
      <c r="ATH126" s="1"/>
      <c r="ATI126" s="1"/>
      <c r="ATJ126" s="1"/>
      <c r="ATK126" s="1"/>
      <c r="ATL126" s="1"/>
      <c r="ATM126" s="1"/>
      <c r="ATN126" s="1"/>
      <c r="ATO126" s="1"/>
      <c r="ATP126" s="1"/>
      <c r="ATQ126" s="1"/>
      <c r="ATR126" s="1"/>
      <c r="ATS126" s="1"/>
      <c r="ATT126" s="1"/>
      <c r="ATU126" s="1"/>
      <c r="ATV126" s="1"/>
      <c r="ATW126" s="1"/>
      <c r="ATX126" s="1"/>
      <c r="ATY126" s="1"/>
      <c r="ATZ126" s="1"/>
      <c r="AUA126" s="1"/>
      <c r="AUB126" s="1"/>
      <c r="AUC126" s="1"/>
      <c r="AUD126" s="1"/>
      <c r="AUE126" s="1"/>
      <c r="AUF126" s="1"/>
      <c r="AUG126" s="1"/>
      <c r="AUH126" s="1"/>
      <c r="AUI126" s="1"/>
      <c r="AUJ126" s="1"/>
      <c r="AUK126" s="1"/>
      <c r="AUL126" s="1"/>
      <c r="AUM126" s="1"/>
      <c r="AUN126" s="1"/>
      <c r="AUO126" s="1"/>
      <c r="AUP126" s="1"/>
      <c r="AUQ126" s="1"/>
      <c r="AUR126" s="1"/>
      <c r="AUS126" s="1"/>
      <c r="AUT126" s="1"/>
      <c r="AUU126" s="1"/>
      <c r="AUV126" s="1"/>
      <c r="AUW126" s="1"/>
      <c r="AUX126" s="1"/>
      <c r="AUY126" s="1"/>
      <c r="AUZ126" s="1"/>
      <c r="AVA126" s="1"/>
      <c r="AVB126" s="1"/>
      <c r="AVC126" s="1"/>
      <c r="AVD126" s="1"/>
      <c r="AVE126" s="1"/>
      <c r="AVF126" s="1"/>
      <c r="AVG126" s="1"/>
      <c r="AVH126" s="1"/>
      <c r="AVI126" s="1"/>
      <c r="AVJ126" s="1"/>
      <c r="AVK126" s="1"/>
      <c r="AVL126" s="1"/>
      <c r="AVM126" s="1"/>
      <c r="AVN126" s="1"/>
      <c r="AVO126" s="1"/>
      <c r="AVP126" s="1"/>
      <c r="AVQ126" s="1"/>
      <c r="AVR126" s="1"/>
      <c r="AVS126" s="1"/>
      <c r="AVT126" s="1"/>
      <c r="AVU126" s="1"/>
      <c r="AVV126" s="1"/>
      <c r="AVW126" s="1"/>
      <c r="AVX126" s="1"/>
      <c r="AVY126" s="1"/>
      <c r="AVZ126" s="1"/>
      <c r="AWA126" s="1"/>
      <c r="AWB126" s="1"/>
      <c r="AWC126" s="1"/>
      <c r="AWD126" s="1"/>
      <c r="AWE126" s="1"/>
      <c r="AWF126" s="1"/>
      <c r="AWG126" s="1"/>
      <c r="AWH126" s="1"/>
      <c r="AWI126" s="1"/>
      <c r="AWJ126" s="1"/>
      <c r="AWK126" s="1"/>
      <c r="AWL126" s="1"/>
      <c r="AWM126" s="1"/>
      <c r="AWN126" s="1"/>
      <c r="AWO126" s="1"/>
      <c r="AWP126" s="1"/>
      <c r="AWQ126" s="1"/>
      <c r="AWR126" s="1"/>
      <c r="AWS126" s="1"/>
      <c r="AWT126" s="1"/>
      <c r="AWU126" s="1"/>
      <c r="AWV126" s="1"/>
      <c r="AWW126" s="1"/>
      <c r="AWX126" s="1"/>
      <c r="AWY126" s="1"/>
      <c r="AWZ126" s="1"/>
      <c r="AXA126" s="1"/>
      <c r="AXB126" s="1"/>
      <c r="AXC126" s="1"/>
      <c r="AXD126" s="1"/>
      <c r="AXE126" s="1"/>
      <c r="AXF126" s="1"/>
      <c r="AXG126" s="1"/>
      <c r="AXH126" s="1"/>
      <c r="AXI126" s="1"/>
      <c r="AXJ126" s="1"/>
      <c r="AXK126" s="1"/>
      <c r="AXL126" s="1"/>
      <c r="AXM126" s="1"/>
      <c r="AXN126" s="1"/>
      <c r="AXO126" s="1"/>
      <c r="AXP126" s="1"/>
      <c r="AXQ126" s="1"/>
      <c r="AXR126" s="1"/>
      <c r="AXS126" s="1"/>
      <c r="AXT126" s="1"/>
      <c r="AXU126" s="1"/>
      <c r="AXV126" s="1"/>
      <c r="AXW126" s="1"/>
      <c r="AXX126" s="1"/>
      <c r="AXY126" s="1"/>
      <c r="AXZ126" s="1"/>
      <c r="AYA126" s="1"/>
      <c r="AYB126" s="1"/>
      <c r="AYC126" s="1"/>
      <c r="AYD126" s="1"/>
      <c r="AYE126" s="1"/>
      <c r="AYF126" s="1"/>
      <c r="AYG126" s="1"/>
      <c r="AYH126" s="1"/>
      <c r="AYI126" s="1"/>
      <c r="AYJ126" s="1"/>
      <c r="AYK126" s="1"/>
      <c r="AYL126" s="1"/>
      <c r="AYM126" s="1"/>
      <c r="AYN126" s="1"/>
      <c r="AYO126" s="1"/>
      <c r="AYP126" s="1"/>
      <c r="AYQ126" s="1"/>
      <c r="AYR126" s="1"/>
      <c r="AYS126" s="1"/>
      <c r="AYT126" s="1"/>
      <c r="AYU126" s="1"/>
      <c r="AYV126" s="1"/>
      <c r="AYW126" s="1"/>
      <c r="AYX126" s="1"/>
      <c r="AYY126" s="1"/>
      <c r="AYZ126" s="1"/>
      <c r="AZA126" s="1"/>
      <c r="AZB126" s="1"/>
      <c r="AZC126" s="1"/>
      <c r="AZD126" s="1"/>
      <c r="AZE126" s="1"/>
      <c r="AZF126" s="1"/>
      <c r="AZG126" s="1"/>
      <c r="AZH126" s="1"/>
      <c r="AZI126" s="1"/>
      <c r="AZJ126" s="1"/>
      <c r="AZK126" s="1"/>
      <c r="AZL126" s="1"/>
      <c r="AZM126" s="1"/>
      <c r="AZN126" s="1"/>
      <c r="AZO126" s="1"/>
      <c r="AZP126" s="1"/>
      <c r="AZQ126" s="1"/>
      <c r="AZR126" s="1"/>
      <c r="AZS126" s="1"/>
      <c r="AZT126" s="1"/>
      <c r="AZU126" s="1"/>
      <c r="AZV126" s="1"/>
      <c r="AZW126" s="1"/>
      <c r="AZX126" s="1"/>
      <c r="AZY126" s="1"/>
      <c r="AZZ126" s="1"/>
      <c r="BAA126" s="1"/>
      <c r="BAB126" s="1"/>
      <c r="BAC126" s="1"/>
      <c r="BAD126" s="1"/>
      <c r="BAE126" s="1"/>
      <c r="BAF126" s="1"/>
      <c r="BAG126" s="1"/>
      <c r="BAH126" s="1"/>
      <c r="BAI126" s="1"/>
      <c r="BAJ126" s="1"/>
      <c r="BAK126" s="1"/>
      <c r="BAL126" s="1"/>
      <c r="BAM126" s="1"/>
      <c r="BAN126" s="1"/>
      <c r="BAO126" s="1"/>
      <c r="BAP126" s="1"/>
      <c r="BAQ126" s="1"/>
      <c r="BAR126" s="1"/>
      <c r="BAS126" s="1"/>
      <c r="BAT126" s="1"/>
      <c r="BAU126" s="1"/>
      <c r="BAV126" s="1"/>
      <c r="BAW126" s="1"/>
      <c r="BAX126" s="1"/>
      <c r="BAY126" s="1"/>
      <c r="BAZ126" s="1"/>
      <c r="BBA126" s="1"/>
      <c r="BBB126" s="1"/>
      <c r="BBC126" s="1"/>
      <c r="BBD126" s="1"/>
      <c r="BBE126" s="1"/>
      <c r="BBF126" s="1"/>
      <c r="BBG126" s="1"/>
      <c r="BBH126" s="1"/>
      <c r="BBI126" s="1"/>
      <c r="BBJ126" s="1"/>
      <c r="BBK126" s="1"/>
      <c r="BBL126" s="1"/>
      <c r="BBM126" s="1"/>
      <c r="BBN126" s="1"/>
      <c r="BBO126" s="1"/>
      <c r="BBP126" s="1"/>
      <c r="BBQ126" s="1"/>
      <c r="BBR126" s="1"/>
      <c r="BBS126" s="1"/>
      <c r="BBT126" s="1"/>
      <c r="BBU126" s="1"/>
      <c r="BBV126" s="1"/>
      <c r="BBW126" s="1"/>
      <c r="BBX126" s="1"/>
      <c r="BBY126" s="1"/>
      <c r="BBZ126" s="1"/>
      <c r="BCA126" s="1"/>
      <c r="BCB126" s="1"/>
      <c r="BCC126" s="1"/>
      <c r="BCD126" s="1"/>
      <c r="BCE126" s="1"/>
      <c r="BCF126" s="1"/>
      <c r="BCG126" s="1"/>
      <c r="BCH126" s="1"/>
      <c r="BCI126" s="1"/>
      <c r="BCJ126" s="1"/>
      <c r="BCK126" s="1"/>
      <c r="BCL126" s="1"/>
      <c r="BCM126" s="1"/>
      <c r="BCN126" s="1"/>
      <c r="BCO126" s="1"/>
      <c r="BCP126" s="1"/>
      <c r="BCQ126" s="1"/>
      <c r="BCR126" s="1"/>
      <c r="BCS126" s="1"/>
      <c r="BCT126" s="1"/>
      <c r="BCU126" s="1"/>
      <c r="BCV126" s="1"/>
      <c r="BCW126" s="1"/>
      <c r="BCX126" s="1"/>
      <c r="BCY126" s="1"/>
      <c r="BCZ126" s="1"/>
      <c r="BDA126" s="1"/>
      <c r="BDB126" s="1"/>
      <c r="BDC126" s="1"/>
      <c r="BDD126" s="1"/>
      <c r="BDE126" s="1"/>
      <c r="BDF126" s="1"/>
      <c r="BDG126" s="1"/>
      <c r="BDH126" s="1"/>
      <c r="BDI126" s="1"/>
      <c r="BDJ126" s="1"/>
      <c r="BDK126" s="1"/>
      <c r="BDL126" s="1"/>
      <c r="BDM126" s="1"/>
      <c r="BDN126" s="1"/>
      <c r="BDO126" s="1"/>
      <c r="BDP126" s="1"/>
      <c r="BDQ126" s="1"/>
      <c r="BDR126" s="1"/>
      <c r="BDS126" s="1"/>
      <c r="BDT126" s="1"/>
      <c r="BDU126" s="1"/>
      <c r="BDV126" s="1"/>
      <c r="BDW126" s="1"/>
      <c r="BDX126" s="1"/>
      <c r="BDY126" s="1"/>
      <c r="BDZ126" s="1"/>
      <c r="BEA126" s="1"/>
      <c r="BEB126" s="1"/>
      <c r="BEC126" s="1"/>
      <c r="BED126" s="1"/>
      <c r="BEE126" s="1"/>
      <c r="BEF126" s="1"/>
      <c r="BEG126" s="1"/>
      <c r="BEH126" s="1"/>
      <c r="BEI126" s="1"/>
      <c r="BEJ126" s="1"/>
      <c r="BEK126" s="1"/>
      <c r="BEL126" s="1"/>
      <c r="BEM126" s="1"/>
      <c r="BEN126" s="1"/>
      <c r="BEO126" s="1"/>
      <c r="BEP126" s="1"/>
      <c r="BEQ126" s="1"/>
      <c r="BER126" s="1"/>
      <c r="BES126" s="1"/>
      <c r="BET126" s="1"/>
      <c r="BEU126" s="1"/>
      <c r="BEV126" s="1"/>
      <c r="BEW126" s="1"/>
      <c r="BEX126" s="1"/>
      <c r="BEY126" s="1"/>
      <c r="BEZ126" s="1"/>
      <c r="BFA126" s="1"/>
      <c r="BFB126" s="1"/>
      <c r="BFC126" s="1"/>
      <c r="BFD126" s="1"/>
      <c r="BFE126" s="1"/>
      <c r="BFF126" s="1"/>
      <c r="BFG126" s="1"/>
      <c r="BFH126" s="1"/>
      <c r="BFI126" s="1"/>
      <c r="BFJ126" s="1"/>
      <c r="BFK126" s="1"/>
      <c r="BFL126" s="1"/>
      <c r="BFM126" s="1"/>
      <c r="BFN126" s="1"/>
      <c r="BFO126" s="1"/>
      <c r="BFP126" s="1"/>
      <c r="BFQ126" s="1"/>
      <c r="BFR126" s="1"/>
      <c r="BFS126" s="1"/>
      <c r="BFT126" s="1"/>
      <c r="BFU126" s="1"/>
      <c r="BFV126" s="1"/>
      <c r="BFW126" s="1"/>
      <c r="BFX126" s="1"/>
      <c r="BFY126" s="1"/>
      <c r="BFZ126" s="1"/>
      <c r="BGA126" s="1"/>
      <c r="BGB126" s="1"/>
      <c r="BGC126" s="1"/>
      <c r="BGD126" s="1"/>
      <c r="BGE126" s="1"/>
      <c r="BGF126" s="1"/>
      <c r="BGG126" s="1"/>
      <c r="BGH126" s="1"/>
      <c r="BGI126" s="1"/>
      <c r="BGJ126" s="1"/>
      <c r="BGK126" s="1"/>
      <c r="BGL126" s="1"/>
      <c r="BGM126" s="1"/>
      <c r="BGN126" s="1"/>
      <c r="BGO126" s="1"/>
      <c r="BGP126" s="1"/>
      <c r="BGQ126" s="1"/>
      <c r="BGR126" s="1"/>
      <c r="BGS126" s="1"/>
      <c r="BGT126" s="1"/>
      <c r="BGU126" s="1"/>
      <c r="BGV126" s="1"/>
      <c r="BGW126" s="1"/>
      <c r="BGX126" s="1"/>
      <c r="BGY126" s="1"/>
      <c r="BGZ126" s="1"/>
      <c r="BHA126" s="1"/>
      <c r="BHB126" s="1"/>
      <c r="BHC126" s="1"/>
      <c r="BHD126" s="1"/>
      <c r="BHE126" s="1"/>
      <c r="BHF126" s="1"/>
      <c r="BHG126" s="1"/>
      <c r="BHH126" s="1"/>
      <c r="BHI126" s="1"/>
      <c r="BHJ126" s="1"/>
      <c r="BHK126" s="1"/>
      <c r="BHL126" s="1"/>
      <c r="BHM126" s="1"/>
      <c r="BHN126" s="1"/>
      <c r="BHO126" s="1"/>
      <c r="BHP126" s="1"/>
      <c r="BHQ126" s="1"/>
      <c r="BHR126" s="1"/>
      <c r="BHS126" s="1"/>
      <c r="BHT126" s="1"/>
      <c r="BHU126" s="1"/>
      <c r="BHV126" s="1"/>
      <c r="BHW126" s="1"/>
      <c r="BHX126" s="1"/>
      <c r="BHY126" s="1"/>
      <c r="BHZ126" s="1"/>
      <c r="BIA126" s="1"/>
      <c r="BIB126" s="1"/>
      <c r="BIC126" s="1"/>
      <c r="BID126" s="1"/>
      <c r="BIE126" s="1"/>
      <c r="BIF126" s="1"/>
      <c r="BIG126" s="1"/>
      <c r="BIH126" s="1"/>
      <c r="BII126" s="1"/>
      <c r="BIJ126" s="1"/>
      <c r="BIK126" s="1"/>
      <c r="BIL126" s="1"/>
      <c r="BIM126" s="1"/>
      <c r="BIN126" s="1"/>
      <c r="BIO126" s="1"/>
      <c r="BIP126" s="1"/>
      <c r="BIQ126" s="1"/>
      <c r="BIR126" s="1"/>
      <c r="BIS126" s="1"/>
      <c r="BIT126" s="1"/>
      <c r="BIU126" s="1"/>
      <c r="BIV126" s="1"/>
      <c r="BIW126" s="1"/>
      <c r="BIX126" s="1"/>
      <c r="BIY126" s="1"/>
      <c r="BIZ126" s="1"/>
      <c r="BJA126" s="1"/>
      <c r="BJB126" s="1"/>
      <c r="BJC126" s="1"/>
      <c r="BJD126" s="1"/>
      <c r="BJE126" s="1"/>
      <c r="BJF126" s="1"/>
      <c r="BJG126" s="1"/>
      <c r="BJH126" s="1"/>
      <c r="BJI126" s="1"/>
      <c r="BJJ126" s="1"/>
      <c r="BJK126" s="1"/>
      <c r="BJL126" s="1"/>
      <c r="BJM126" s="1"/>
      <c r="BJN126" s="1"/>
      <c r="BJO126" s="1"/>
      <c r="BJP126" s="1"/>
      <c r="BJQ126" s="1"/>
      <c r="BJR126" s="1"/>
      <c r="BJS126" s="1"/>
      <c r="BJT126" s="1"/>
      <c r="BJU126" s="1"/>
      <c r="BJV126" s="1"/>
      <c r="BJW126" s="1"/>
      <c r="BJX126" s="1"/>
      <c r="BJY126" s="1"/>
      <c r="BJZ126" s="1"/>
      <c r="BKA126" s="1"/>
      <c r="BKB126" s="1"/>
      <c r="BKC126" s="1"/>
      <c r="BKD126" s="1"/>
      <c r="BKE126" s="1"/>
      <c r="BKF126" s="1"/>
      <c r="BKG126" s="1"/>
      <c r="BKH126" s="1"/>
      <c r="BKI126" s="1"/>
      <c r="BKJ126" s="1"/>
      <c r="BKK126" s="1"/>
      <c r="BKL126" s="1"/>
      <c r="BKM126" s="1"/>
      <c r="BKN126" s="1"/>
      <c r="BKO126" s="1"/>
      <c r="BKP126" s="1"/>
      <c r="BKQ126" s="1"/>
      <c r="BKR126" s="1"/>
      <c r="BKS126" s="1"/>
      <c r="BKT126" s="1"/>
      <c r="BKU126" s="1"/>
      <c r="BKV126" s="1"/>
      <c r="BKW126" s="1"/>
      <c r="BKX126" s="1"/>
      <c r="BKY126" s="1"/>
      <c r="BKZ126" s="1"/>
      <c r="BLA126" s="1"/>
      <c r="BLB126" s="1"/>
      <c r="BLC126" s="1"/>
      <c r="BLD126" s="1"/>
      <c r="BLE126" s="1"/>
      <c r="BLF126" s="1"/>
      <c r="BLG126" s="1"/>
      <c r="BLH126" s="1"/>
      <c r="BLI126" s="1"/>
      <c r="BLJ126" s="1"/>
      <c r="BLK126" s="1"/>
      <c r="BLL126" s="1"/>
      <c r="BLM126" s="1"/>
      <c r="BLN126" s="1"/>
      <c r="BLO126" s="1"/>
      <c r="BLP126" s="1"/>
      <c r="BLQ126" s="1"/>
      <c r="BLR126" s="1"/>
      <c r="BLS126" s="1"/>
      <c r="BLT126" s="1"/>
      <c r="BLU126" s="1"/>
      <c r="BLV126" s="1"/>
      <c r="BLW126" s="1"/>
      <c r="BLX126" s="1"/>
      <c r="BLY126" s="1"/>
      <c r="BLZ126" s="1"/>
      <c r="BMA126" s="1"/>
      <c r="BMB126" s="1"/>
      <c r="BMC126" s="1"/>
      <c r="BMD126" s="1"/>
      <c r="BME126" s="1"/>
      <c r="BMF126" s="1"/>
      <c r="BMG126" s="1"/>
      <c r="BMH126" s="1"/>
      <c r="BMI126" s="1"/>
      <c r="BMJ126" s="1"/>
      <c r="BMK126" s="1"/>
      <c r="BML126" s="1"/>
      <c r="BMM126" s="1"/>
      <c r="BMN126" s="1"/>
      <c r="BMO126" s="1"/>
      <c r="BMP126" s="1"/>
      <c r="BMQ126" s="1"/>
      <c r="BMR126" s="1"/>
      <c r="BMS126" s="1"/>
      <c r="BMT126" s="1"/>
      <c r="BMU126" s="1"/>
      <c r="BMV126" s="1"/>
      <c r="BMW126" s="1"/>
      <c r="BMX126" s="1"/>
      <c r="BMY126" s="1"/>
      <c r="BMZ126" s="1"/>
      <c r="BNA126" s="1"/>
      <c r="BNB126" s="1"/>
      <c r="BNC126" s="1"/>
      <c r="BND126" s="1"/>
      <c r="BNE126" s="1"/>
      <c r="BNF126" s="1"/>
      <c r="BNG126" s="1"/>
      <c r="BNH126" s="1"/>
      <c r="BNI126" s="1"/>
      <c r="BNJ126" s="1"/>
      <c r="BNK126" s="1"/>
      <c r="BNL126" s="1"/>
      <c r="BNM126" s="1"/>
      <c r="BNN126" s="1"/>
      <c r="BNO126" s="1"/>
      <c r="BNP126" s="1"/>
      <c r="BNQ126" s="1"/>
      <c r="BNR126" s="1"/>
      <c r="BNS126" s="1"/>
      <c r="BNT126" s="1"/>
      <c r="BNU126" s="1"/>
      <c r="BNV126" s="1"/>
      <c r="BNW126" s="1"/>
      <c r="BNX126" s="1"/>
      <c r="BNY126" s="1"/>
      <c r="BNZ126" s="1"/>
      <c r="BOA126" s="1"/>
      <c r="BOB126" s="1"/>
      <c r="BOC126" s="1"/>
      <c r="BOD126" s="1"/>
      <c r="BOE126" s="1"/>
      <c r="BOF126" s="1"/>
      <c r="BOG126" s="1"/>
      <c r="BOH126" s="1"/>
      <c r="BOI126" s="1"/>
      <c r="BOJ126" s="1"/>
      <c r="BOK126" s="1"/>
      <c r="BOL126" s="1"/>
      <c r="BOM126" s="1"/>
      <c r="BON126" s="1"/>
      <c r="BOO126" s="1"/>
      <c r="BOP126" s="1"/>
      <c r="BOQ126" s="1"/>
      <c r="BOR126" s="1"/>
      <c r="BOS126" s="1"/>
      <c r="BOT126" s="1"/>
      <c r="BOU126" s="1"/>
      <c r="BOV126" s="1"/>
      <c r="BOW126" s="1"/>
      <c r="BOX126" s="1"/>
      <c r="BOY126" s="1"/>
      <c r="BOZ126" s="1"/>
      <c r="BPA126" s="1"/>
      <c r="BPB126" s="1"/>
      <c r="BPC126" s="1"/>
      <c r="BPD126" s="1"/>
      <c r="BPE126" s="1"/>
      <c r="BPF126" s="1"/>
      <c r="BPG126" s="1"/>
      <c r="BPH126" s="1"/>
      <c r="BPI126" s="1"/>
      <c r="BPJ126" s="1"/>
      <c r="BPK126" s="1"/>
      <c r="BPL126" s="1"/>
      <c r="BPM126" s="1"/>
      <c r="BPN126" s="1"/>
      <c r="BPO126" s="1"/>
      <c r="BPP126" s="1"/>
      <c r="BPQ126" s="1"/>
      <c r="BPR126" s="1"/>
      <c r="BPS126" s="1"/>
      <c r="BPT126" s="1"/>
      <c r="BPU126" s="1"/>
      <c r="BPV126" s="1"/>
      <c r="BPW126" s="1"/>
      <c r="BPX126" s="1"/>
      <c r="BPY126" s="1"/>
      <c r="BPZ126" s="1"/>
      <c r="BQA126" s="1"/>
      <c r="BQB126" s="1"/>
      <c r="BQC126" s="1"/>
      <c r="BQD126" s="1"/>
      <c r="BQE126" s="1"/>
      <c r="BQF126" s="1"/>
      <c r="BQG126" s="1"/>
      <c r="BQH126" s="1"/>
      <c r="BQI126" s="1"/>
      <c r="BQJ126" s="1"/>
      <c r="BQK126" s="1"/>
      <c r="BQL126" s="1"/>
      <c r="BQM126" s="1"/>
      <c r="BQN126" s="1"/>
      <c r="BQO126" s="1"/>
      <c r="BQP126" s="1"/>
      <c r="BQQ126" s="1"/>
      <c r="BQR126" s="1"/>
      <c r="BQS126" s="1"/>
      <c r="BQT126" s="1"/>
      <c r="BQU126" s="1"/>
      <c r="BQV126" s="1"/>
      <c r="BQW126" s="1"/>
      <c r="BQX126" s="1"/>
      <c r="BQY126" s="1"/>
      <c r="BQZ126" s="1"/>
      <c r="BRA126" s="1"/>
      <c r="BRB126" s="1"/>
      <c r="BRC126" s="1"/>
      <c r="BRD126" s="1"/>
      <c r="BRE126" s="1"/>
      <c r="BRF126" s="1"/>
      <c r="BRG126" s="1"/>
      <c r="BRH126" s="1"/>
      <c r="BRI126" s="1"/>
      <c r="BRJ126" s="1"/>
      <c r="BRK126" s="1"/>
      <c r="BRL126" s="1"/>
      <c r="BRM126" s="1"/>
      <c r="BRN126" s="1"/>
      <c r="BRO126" s="1"/>
      <c r="BRP126" s="1"/>
      <c r="BRQ126" s="1"/>
      <c r="BRR126" s="1"/>
      <c r="BRS126" s="1"/>
      <c r="BRT126" s="1"/>
      <c r="BRU126" s="1"/>
      <c r="BRV126" s="1"/>
      <c r="BRW126" s="1"/>
      <c r="BRX126" s="1"/>
      <c r="BRY126" s="1"/>
      <c r="BRZ126" s="1"/>
      <c r="BSA126" s="1"/>
      <c r="BSB126" s="1"/>
      <c r="BSC126" s="1"/>
      <c r="BSD126" s="1"/>
      <c r="BSE126" s="1"/>
      <c r="BSF126" s="1"/>
      <c r="BSG126" s="1"/>
      <c r="BSH126" s="1"/>
      <c r="BSI126" s="1"/>
      <c r="BSJ126" s="1"/>
      <c r="BSK126" s="1"/>
      <c r="BSL126" s="1"/>
      <c r="BSM126" s="1"/>
      <c r="BSN126" s="1"/>
      <c r="BSO126" s="1"/>
      <c r="BSP126" s="1"/>
      <c r="BSQ126" s="1"/>
      <c r="BSR126" s="1"/>
      <c r="BSS126" s="1"/>
      <c r="BST126" s="1"/>
      <c r="BSU126" s="1"/>
      <c r="BSV126" s="1"/>
      <c r="BSW126" s="1"/>
      <c r="BSX126" s="1"/>
      <c r="BSY126" s="1"/>
      <c r="BSZ126" s="1"/>
      <c r="BTA126" s="1"/>
      <c r="BTB126" s="1"/>
      <c r="BTC126" s="1"/>
      <c r="BTD126" s="1"/>
      <c r="BTE126" s="1"/>
      <c r="BTF126" s="1"/>
      <c r="BTG126" s="1"/>
      <c r="BTH126" s="1"/>
      <c r="BTI126" s="1"/>
      <c r="BTJ126" s="1"/>
      <c r="BTK126" s="1"/>
      <c r="BTL126" s="1"/>
      <c r="BTM126" s="1"/>
      <c r="BTN126" s="1"/>
      <c r="BTO126" s="1"/>
      <c r="BTP126" s="1"/>
      <c r="BTQ126" s="1"/>
      <c r="BTR126" s="1"/>
      <c r="BTS126" s="1"/>
      <c r="BTT126" s="1"/>
      <c r="BTU126" s="1"/>
      <c r="BTV126" s="1"/>
      <c r="BTW126" s="1"/>
      <c r="BTX126" s="1"/>
      <c r="BTY126" s="1"/>
      <c r="BTZ126" s="1"/>
      <c r="BUA126" s="1"/>
      <c r="BUB126" s="1"/>
      <c r="BUC126" s="1"/>
      <c r="BUD126" s="1"/>
      <c r="BUE126" s="1"/>
      <c r="BUF126" s="1"/>
      <c r="BUG126" s="1"/>
      <c r="BUH126" s="1"/>
      <c r="BUI126" s="1"/>
      <c r="BUJ126" s="1"/>
      <c r="BUK126" s="1"/>
      <c r="BUL126" s="1"/>
      <c r="BUM126" s="1"/>
      <c r="BUN126" s="1"/>
      <c r="BUO126" s="1"/>
      <c r="BUP126" s="1"/>
      <c r="BUQ126" s="1"/>
      <c r="BUR126" s="1"/>
      <c r="BUS126" s="1"/>
      <c r="BUT126" s="1"/>
      <c r="BUU126" s="1"/>
      <c r="BUV126" s="1"/>
      <c r="BUW126" s="1"/>
      <c r="BUX126" s="1"/>
      <c r="BUY126" s="1"/>
      <c r="BUZ126" s="1"/>
      <c r="BVA126" s="1"/>
      <c r="BVB126" s="1"/>
      <c r="BVC126" s="1"/>
      <c r="BVD126" s="1"/>
      <c r="BVE126" s="1"/>
      <c r="BVF126" s="1"/>
      <c r="BVG126" s="1"/>
      <c r="BVH126" s="1"/>
      <c r="BVI126" s="1"/>
      <c r="BVJ126" s="1"/>
      <c r="BVK126" s="1"/>
      <c r="BVL126" s="1"/>
      <c r="BVM126" s="1"/>
      <c r="BVN126" s="1"/>
      <c r="BVO126" s="1"/>
      <c r="BVP126" s="1"/>
      <c r="BVQ126" s="1"/>
      <c r="BVR126" s="1"/>
      <c r="BVS126" s="1"/>
      <c r="BVT126" s="1"/>
      <c r="BVU126" s="1"/>
      <c r="BVV126" s="1"/>
      <c r="BVW126" s="1"/>
      <c r="BVX126" s="1"/>
      <c r="BVY126" s="1"/>
      <c r="BVZ126" s="1"/>
      <c r="BWA126" s="1"/>
      <c r="BWB126" s="1"/>
      <c r="BWC126" s="1"/>
      <c r="BWD126" s="1"/>
      <c r="BWE126" s="1"/>
      <c r="BWF126" s="1"/>
      <c r="BWG126" s="1"/>
      <c r="BWH126" s="1"/>
      <c r="BWI126" s="1"/>
      <c r="BWJ126" s="1"/>
      <c r="BWK126" s="1"/>
      <c r="BWL126" s="1"/>
      <c r="BWM126" s="1"/>
      <c r="BWN126" s="1"/>
      <c r="BWO126" s="1"/>
      <c r="BWP126" s="1"/>
      <c r="BWQ126" s="1"/>
      <c r="BWR126" s="1"/>
      <c r="BWS126" s="1"/>
      <c r="BWT126" s="1"/>
      <c r="BWU126" s="1"/>
      <c r="BWV126" s="1"/>
      <c r="BWW126" s="1"/>
      <c r="BWX126" s="1"/>
      <c r="BWY126" s="1"/>
      <c r="BWZ126" s="1"/>
      <c r="BXA126" s="1"/>
      <c r="BXB126" s="1"/>
      <c r="BXC126" s="1"/>
      <c r="BXD126" s="1"/>
      <c r="BXE126" s="1"/>
      <c r="BXF126" s="1"/>
      <c r="BXG126" s="1"/>
      <c r="BXH126" s="1"/>
      <c r="BXI126" s="1"/>
      <c r="BXJ126" s="1"/>
      <c r="BXK126" s="1"/>
      <c r="BXL126" s="1"/>
      <c r="BXM126" s="1"/>
      <c r="BXN126" s="1"/>
      <c r="BXO126" s="1"/>
      <c r="BXP126" s="1"/>
      <c r="BXQ126" s="1"/>
      <c r="BXR126" s="1"/>
      <c r="BXS126" s="1"/>
      <c r="BXT126" s="1"/>
      <c r="BXU126" s="1"/>
      <c r="BXV126" s="1"/>
      <c r="BXW126" s="1"/>
      <c r="BXX126" s="1"/>
      <c r="BXY126" s="1"/>
      <c r="BXZ126" s="1"/>
      <c r="BYA126" s="1"/>
      <c r="BYB126" s="1"/>
      <c r="BYC126" s="1"/>
      <c r="BYD126" s="1"/>
      <c r="BYE126" s="1"/>
      <c r="BYF126" s="1"/>
      <c r="BYG126" s="1"/>
      <c r="BYH126" s="1"/>
      <c r="BYI126" s="1"/>
      <c r="BYJ126" s="1"/>
      <c r="BYK126" s="1"/>
      <c r="BYL126" s="1"/>
      <c r="BYM126" s="1"/>
      <c r="BYN126" s="1"/>
      <c r="BYO126" s="1"/>
      <c r="BYP126" s="1"/>
      <c r="BYQ126" s="1"/>
      <c r="BYR126" s="1"/>
      <c r="BYS126" s="1"/>
      <c r="BYT126" s="1"/>
      <c r="BYU126" s="1"/>
      <c r="BYV126" s="1"/>
      <c r="BYW126" s="1"/>
      <c r="BYX126" s="1"/>
      <c r="BYY126" s="1"/>
      <c r="BYZ126" s="1"/>
      <c r="BZA126" s="1"/>
      <c r="BZB126" s="1"/>
      <c r="BZC126" s="1"/>
      <c r="BZD126" s="1"/>
      <c r="BZE126" s="1"/>
      <c r="BZF126" s="1"/>
      <c r="BZG126" s="1"/>
      <c r="BZH126" s="1"/>
      <c r="BZI126" s="1"/>
      <c r="BZJ126" s="1"/>
      <c r="BZK126" s="1"/>
      <c r="BZL126" s="1"/>
      <c r="BZM126" s="1"/>
      <c r="BZN126" s="1"/>
      <c r="BZO126" s="1"/>
      <c r="BZP126" s="1"/>
      <c r="BZQ126" s="1"/>
      <c r="BZR126" s="1"/>
      <c r="BZS126" s="1"/>
      <c r="BZT126" s="1"/>
      <c r="BZU126" s="1"/>
      <c r="BZV126" s="1"/>
      <c r="BZW126" s="1"/>
      <c r="BZX126" s="1"/>
      <c r="BZY126" s="1"/>
      <c r="BZZ126" s="1"/>
      <c r="CAA126" s="1"/>
      <c r="CAB126" s="1"/>
      <c r="CAC126" s="1"/>
      <c r="CAD126" s="1"/>
      <c r="CAE126" s="1"/>
      <c r="CAF126" s="1"/>
      <c r="CAG126" s="1"/>
      <c r="CAH126" s="1"/>
      <c r="CAI126" s="1"/>
      <c r="CAJ126" s="1"/>
      <c r="CAK126" s="1"/>
      <c r="CAL126" s="1"/>
      <c r="CAM126" s="1"/>
      <c r="CAN126" s="1"/>
      <c r="CAO126" s="1"/>
      <c r="CAP126" s="1"/>
      <c r="CAQ126" s="1"/>
      <c r="CAR126" s="1"/>
      <c r="CAS126" s="1"/>
      <c r="CAT126" s="1"/>
      <c r="CAU126" s="1"/>
      <c r="CAV126" s="1"/>
      <c r="CAW126" s="1"/>
      <c r="CAX126" s="1"/>
      <c r="CAY126" s="1"/>
      <c r="CAZ126" s="1"/>
      <c r="CBA126" s="1"/>
      <c r="CBB126" s="1"/>
      <c r="CBC126" s="1"/>
      <c r="CBD126" s="1"/>
      <c r="CBE126" s="1"/>
      <c r="CBF126" s="1"/>
      <c r="CBG126" s="1"/>
      <c r="CBH126" s="1"/>
      <c r="CBI126" s="1"/>
      <c r="CBJ126" s="1"/>
      <c r="CBK126" s="1"/>
      <c r="CBL126" s="1"/>
      <c r="CBM126" s="1"/>
      <c r="CBN126" s="1"/>
      <c r="CBO126" s="1"/>
      <c r="CBP126" s="1"/>
      <c r="CBQ126" s="1"/>
      <c r="CBR126" s="1"/>
      <c r="CBS126" s="1"/>
      <c r="CBT126" s="1"/>
      <c r="CBU126" s="1"/>
      <c r="CBV126" s="1"/>
      <c r="CBW126" s="1"/>
      <c r="CBX126" s="1"/>
      <c r="CBY126" s="1"/>
      <c r="CBZ126" s="1"/>
      <c r="CCA126" s="1"/>
      <c r="CCB126" s="1"/>
      <c r="CCC126" s="1"/>
      <c r="CCD126" s="1"/>
      <c r="CCE126" s="1"/>
      <c r="CCF126" s="1"/>
      <c r="CCG126" s="1"/>
      <c r="CCH126" s="1"/>
      <c r="CCI126" s="1"/>
      <c r="CCJ126" s="1"/>
      <c r="CCK126" s="1"/>
      <c r="CCL126" s="1"/>
      <c r="CCM126" s="1"/>
      <c r="CCN126" s="1"/>
      <c r="CCO126" s="1"/>
      <c r="CCP126" s="1"/>
      <c r="CCQ126" s="1"/>
      <c r="CCR126" s="1"/>
      <c r="CCS126" s="1"/>
      <c r="CCT126" s="1"/>
      <c r="CCU126" s="1"/>
      <c r="CCV126" s="1"/>
      <c r="CCW126" s="1"/>
      <c r="CCX126" s="1"/>
      <c r="CCY126" s="1"/>
      <c r="CCZ126" s="1"/>
      <c r="CDA126" s="1"/>
      <c r="CDB126" s="1"/>
      <c r="CDC126" s="1"/>
      <c r="CDD126" s="1"/>
      <c r="CDE126" s="1"/>
      <c r="CDF126" s="1"/>
      <c r="CDG126" s="1"/>
      <c r="CDH126" s="1"/>
      <c r="CDI126" s="1"/>
      <c r="CDJ126" s="1"/>
      <c r="CDK126" s="1"/>
      <c r="CDL126" s="1"/>
      <c r="CDM126" s="1"/>
      <c r="CDN126" s="1"/>
      <c r="CDO126" s="1"/>
      <c r="CDP126" s="1"/>
      <c r="CDQ126" s="1"/>
      <c r="CDR126" s="1"/>
      <c r="CDS126" s="1"/>
      <c r="CDT126" s="1"/>
      <c r="CDU126" s="1"/>
      <c r="CDV126" s="1"/>
      <c r="CDW126" s="1"/>
      <c r="CDX126" s="1"/>
      <c r="CDY126" s="1"/>
      <c r="CDZ126" s="1"/>
      <c r="CEA126" s="1"/>
      <c r="CEB126" s="1"/>
      <c r="CEC126" s="1"/>
      <c r="CED126" s="1"/>
      <c r="CEE126" s="1"/>
      <c r="CEF126" s="1"/>
      <c r="CEG126" s="1"/>
      <c r="CEH126" s="1"/>
      <c r="CEI126" s="1"/>
      <c r="CEJ126" s="1"/>
      <c r="CEK126" s="1"/>
      <c r="CEL126" s="1"/>
      <c r="CEM126" s="1"/>
      <c r="CEN126" s="1"/>
      <c r="CEO126" s="1"/>
      <c r="CEP126" s="1"/>
      <c r="CEQ126" s="1"/>
      <c r="CER126" s="1"/>
      <c r="CES126" s="1"/>
      <c r="CET126" s="1"/>
      <c r="CEU126" s="1"/>
      <c r="CEV126" s="1"/>
      <c r="CEW126" s="1"/>
      <c r="CEX126" s="1"/>
      <c r="CEY126" s="1"/>
      <c r="CEZ126" s="1"/>
      <c r="CFA126" s="1"/>
      <c r="CFB126" s="1"/>
      <c r="CFC126" s="1"/>
      <c r="CFD126" s="1"/>
      <c r="CFE126" s="1"/>
      <c r="CFF126" s="1"/>
      <c r="CFG126" s="1"/>
      <c r="CFH126" s="1"/>
      <c r="CFI126" s="1"/>
      <c r="CFJ126" s="1"/>
      <c r="CFK126" s="1"/>
      <c r="CFL126" s="1"/>
      <c r="CFM126" s="1"/>
      <c r="CFN126" s="1"/>
      <c r="CFO126" s="1"/>
      <c r="CFP126" s="1"/>
      <c r="CFQ126" s="1"/>
      <c r="CFR126" s="1"/>
      <c r="CFS126" s="1"/>
      <c r="CFT126" s="1"/>
      <c r="CFU126" s="1"/>
      <c r="CFV126" s="1"/>
      <c r="CFW126" s="1"/>
      <c r="CFX126" s="1"/>
      <c r="CFY126" s="1"/>
      <c r="CFZ126" s="1"/>
      <c r="CGA126" s="1"/>
      <c r="CGB126" s="1"/>
      <c r="CGC126" s="1"/>
      <c r="CGD126" s="1"/>
      <c r="CGE126" s="1"/>
      <c r="CGF126" s="1"/>
      <c r="CGG126" s="1"/>
      <c r="CGH126" s="1"/>
      <c r="CGI126" s="1"/>
      <c r="CGJ126" s="1"/>
      <c r="CGK126" s="1"/>
      <c r="CGL126" s="1"/>
      <c r="CGM126" s="1"/>
      <c r="CGN126" s="1"/>
      <c r="CGO126" s="1"/>
      <c r="CGP126" s="1"/>
      <c r="CGQ126" s="1"/>
      <c r="CGR126" s="1"/>
      <c r="CGS126" s="1"/>
      <c r="CGT126" s="1"/>
      <c r="CGU126" s="1"/>
      <c r="CGV126" s="1"/>
      <c r="CGW126" s="1"/>
      <c r="CGX126" s="1"/>
      <c r="CGY126" s="1"/>
      <c r="CGZ126" s="1"/>
      <c r="CHA126" s="1"/>
      <c r="CHB126" s="1"/>
      <c r="CHC126" s="1"/>
      <c r="CHD126" s="1"/>
      <c r="CHE126" s="1"/>
      <c r="CHF126" s="1"/>
      <c r="CHG126" s="1"/>
      <c r="CHH126" s="1"/>
      <c r="CHI126" s="1"/>
      <c r="CHJ126" s="1"/>
      <c r="CHK126" s="1"/>
      <c r="CHL126" s="1"/>
      <c r="CHM126" s="1"/>
      <c r="CHN126" s="1"/>
      <c r="CHO126" s="1"/>
      <c r="CHP126" s="1"/>
      <c r="CHQ126" s="1"/>
      <c r="CHR126" s="1"/>
      <c r="CHS126" s="1"/>
      <c r="CHT126" s="1"/>
      <c r="CHU126" s="1"/>
      <c r="CHV126" s="1"/>
      <c r="CHW126" s="1"/>
      <c r="CHX126" s="1"/>
      <c r="CHY126" s="1"/>
      <c r="CHZ126" s="1"/>
      <c r="CIA126" s="1"/>
      <c r="CIB126" s="1"/>
      <c r="CIC126" s="1"/>
      <c r="CID126" s="1"/>
      <c r="CIE126" s="1"/>
      <c r="CIF126" s="1"/>
      <c r="CIG126" s="1"/>
      <c r="CIH126" s="1"/>
      <c r="CII126" s="1"/>
      <c r="CIJ126" s="1"/>
      <c r="CIK126" s="1"/>
      <c r="CIL126" s="1"/>
      <c r="CIM126" s="1"/>
      <c r="CIN126" s="1"/>
      <c r="CIO126" s="1"/>
      <c r="CIP126" s="1"/>
      <c r="CIQ126" s="1"/>
      <c r="CIR126" s="1"/>
      <c r="CIS126" s="1"/>
      <c r="CIT126" s="1"/>
      <c r="CIU126" s="1"/>
      <c r="CIV126" s="1"/>
      <c r="CIW126" s="1"/>
      <c r="CIX126" s="1"/>
      <c r="CIY126" s="1"/>
      <c r="CIZ126" s="1"/>
      <c r="CJA126" s="1"/>
      <c r="CJB126" s="1"/>
      <c r="CJC126" s="1"/>
      <c r="CJD126" s="1"/>
      <c r="CJE126" s="1"/>
      <c r="CJF126" s="1"/>
      <c r="CJG126" s="1"/>
      <c r="CJH126" s="1"/>
      <c r="CJI126" s="1"/>
      <c r="CJJ126" s="1"/>
      <c r="CJK126" s="1"/>
      <c r="CJL126" s="1"/>
      <c r="CJM126" s="1"/>
      <c r="CJN126" s="1"/>
      <c r="CJO126" s="1"/>
      <c r="CJP126" s="1"/>
      <c r="CJQ126" s="1"/>
      <c r="CJR126" s="1"/>
      <c r="CJS126" s="1"/>
      <c r="CJT126" s="1"/>
      <c r="CJU126" s="1"/>
      <c r="CJV126" s="1"/>
      <c r="CJW126" s="1"/>
      <c r="CJX126" s="1"/>
      <c r="CJY126" s="1"/>
      <c r="CJZ126" s="1"/>
      <c r="CKA126" s="1"/>
      <c r="CKB126" s="1"/>
      <c r="CKC126" s="1"/>
      <c r="CKD126" s="1"/>
      <c r="CKE126" s="1"/>
      <c r="CKF126" s="1"/>
      <c r="CKG126" s="1"/>
      <c r="CKH126" s="1"/>
      <c r="CKI126" s="1"/>
      <c r="CKJ126" s="1"/>
      <c r="CKK126" s="1"/>
      <c r="CKL126" s="1"/>
      <c r="CKM126" s="1"/>
      <c r="CKN126" s="1"/>
      <c r="CKO126" s="1"/>
      <c r="CKP126" s="1"/>
      <c r="CKQ126" s="1"/>
      <c r="CKR126" s="1"/>
      <c r="CKS126" s="1"/>
      <c r="CKT126" s="1"/>
      <c r="CKU126" s="1"/>
      <c r="CKV126" s="1"/>
      <c r="CKW126" s="1"/>
      <c r="CKX126" s="1"/>
      <c r="CKY126" s="1"/>
      <c r="CKZ126" s="1"/>
      <c r="CLA126" s="1"/>
      <c r="CLB126" s="1"/>
      <c r="CLC126" s="1"/>
      <c r="CLD126" s="1"/>
      <c r="CLE126" s="1"/>
      <c r="CLF126" s="1"/>
      <c r="CLG126" s="1"/>
      <c r="CLH126" s="1"/>
      <c r="CLI126" s="1"/>
      <c r="CLJ126" s="1"/>
      <c r="CLK126" s="1"/>
      <c r="CLL126" s="1"/>
      <c r="CLM126" s="1"/>
      <c r="CLN126" s="1"/>
      <c r="CLO126" s="1"/>
      <c r="CLP126" s="1"/>
      <c r="CLQ126" s="1"/>
      <c r="CLR126" s="1"/>
      <c r="CLS126" s="1"/>
      <c r="CLT126" s="1"/>
      <c r="CLU126" s="1"/>
      <c r="CLV126" s="1"/>
      <c r="CLW126" s="1"/>
      <c r="CLX126" s="1"/>
      <c r="CLY126" s="1"/>
      <c r="CLZ126" s="1"/>
      <c r="CMA126" s="1"/>
      <c r="CMB126" s="1"/>
      <c r="CMC126" s="1"/>
      <c r="CMD126" s="1"/>
      <c r="CME126" s="1"/>
      <c r="CMF126" s="1"/>
      <c r="CMG126" s="1"/>
      <c r="CMH126" s="1"/>
      <c r="CMI126" s="1"/>
      <c r="CMJ126" s="1"/>
      <c r="CMK126" s="1"/>
      <c r="CML126" s="1"/>
      <c r="CMM126" s="1"/>
      <c r="CMN126" s="1"/>
      <c r="CMO126" s="1"/>
      <c r="CMP126" s="1"/>
      <c r="CMQ126" s="1"/>
      <c r="CMR126" s="1"/>
      <c r="CMS126" s="1"/>
      <c r="CMT126" s="1"/>
      <c r="CMU126" s="1"/>
      <c r="CMV126" s="1"/>
      <c r="CMW126" s="1"/>
      <c r="CMX126" s="1"/>
      <c r="CMY126" s="1"/>
      <c r="CMZ126" s="1"/>
      <c r="CNA126" s="1"/>
      <c r="CNB126" s="1"/>
      <c r="CNC126" s="1"/>
      <c r="CND126" s="1"/>
      <c r="CNE126" s="1"/>
      <c r="CNF126" s="1"/>
      <c r="CNG126" s="1"/>
      <c r="CNH126" s="1"/>
      <c r="CNI126" s="1"/>
      <c r="CNJ126" s="1"/>
      <c r="CNK126" s="1"/>
      <c r="CNL126" s="1"/>
      <c r="CNM126" s="1"/>
      <c r="CNN126" s="1"/>
      <c r="CNO126" s="1"/>
      <c r="CNP126" s="1"/>
      <c r="CNQ126" s="1"/>
      <c r="CNR126" s="1"/>
      <c r="CNS126" s="1"/>
      <c r="CNT126" s="1"/>
      <c r="CNU126" s="1"/>
      <c r="CNV126" s="1"/>
      <c r="CNW126" s="1"/>
      <c r="CNX126" s="1"/>
      <c r="CNY126" s="1"/>
      <c r="CNZ126" s="1"/>
      <c r="COA126" s="1"/>
      <c r="COB126" s="1"/>
      <c r="COC126" s="1"/>
      <c r="COD126" s="1"/>
      <c r="COE126" s="1"/>
      <c r="COF126" s="1"/>
      <c r="COG126" s="1"/>
      <c r="COH126" s="1"/>
      <c r="COI126" s="1"/>
      <c r="COJ126" s="1"/>
      <c r="COK126" s="1"/>
      <c r="COL126" s="1"/>
      <c r="COM126" s="1"/>
      <c r="CON126" s="1"/>
      <c r="COO126" s="1"/>
      <c r="COP126" s="1"/>
      <c r="COQ126" s="1"/>
      <c r="COR126" s="1"/>
      <c r="COS126" s="1"/>
      <c r="COT126" s="1"/>
      <c r="COU126" s="1"/>
      <c r="COV126" s="1"/>
      <c r="COW126" s="1"/>
      <c r="COX126" s="1"/>
      <c r="COY126" s="1"/>
      <c r="COZ126" s="1"/>
      <c r="CPA126" s="1"/>
      <c r="CPB126" s="1"/>
      <c r="CPC126" s="1"/>
      <c r="CPD126" s="1"/>
      <c r="CPE126" s="1"/>
      <c r="CPF126" s="1"/>
      <c r="CPG126" s="1"/>
      <c r="CPH126" s="1"/>
      <c r="CPI126" s="1"/>
      <c r="CPJ126" s="1"/>
      <c r="CPK126" s="1"/>
      <c r="CPL126" s="1"/>
      <c r="CPM126" s="1"/>
      <c r="CPN126" s="1"/>
      <c r="CPO126" s="1"/>
      <c r="CPP126" s="1"/>
      <c r="CPQ126" s="1"/>
      <c r="CPR126" s="1"/>
      <c r="CPS126" s="1"/>
      <c r="CPT126" s="1"/>
      <c r="CPU126" s="1"/>
      <c r="CPV126" s="1"/>
      <c r="CPW126" s="1"/>
      <c r="CPX126" s="1"/>
      <c r="CPY126" s="1"/>
      <c r="CPZ126" s="1"/>
      <c r="CQA126" s="1"/>
      <c r="CQB126" s="1"/>
      <c r="CQC126" s="1"/>
      <c r="CQD126" s="1"/>
      <c r="CQE126" s="1"/>
      <c r="CQF126" s="1"/>
      <c r="CQG126" s="1"/>
      <c r="CQH126" s="1"/>
      <c r="CQI126" s="1"/>
      <c r="CQJ126" s="1"/>
      <c r="CQK126" s="1"/>
      <c r="CQL126" s="1"/>
      <c r="CQM126" s="1"/>
      <c r="CQN126" s="1"/>
      <c r="CQO126" s="1"/>
      <c r="CQP126" s="1"/>
      <c r="CQQ126" s="1"/>
      <c r="CQR126" s="1"/>
      <c r="CQS126" s="1"/>
      <c r="CQT126" s="1"/>
      <c r="CQU126" s="1"/>
      <c r="CQV126" s="1"/>
      <c r="CQW126" s="1"/>
      <c r="CQX126" s="1"/>
      <c r="CQY126" s="1"/>
      <c r="CQZ126" s="1"/>
      <c r="CRA126" s="1"/>
      <c r="CRB126" s="1"/>
      <c r="CRC126" s="1"/>
      <c r="CRD126" s="1"/>
      <c r="CRE126" s="1"/>
      <c r="CRF126" s="1"/>
      <c r="CRG126" s="1"/>
      <c r="CRH126" s="1"/>
      <c r="CRI126" s="1"/>
      <c r="CRJ126" s="1"/>
      <c r="CRK126" s="1"/>
      <c r="CRL126" s="1"/>
      <c r="CRM126" s="1"/>
      <c r="CRN126" s="1"/>
      <c r="CRO126" s="1"/>
      <c r="CRP126" s="1"/>
      <c r="CRQ126" s="1"/>
      <c r="CRR126" s="1"/>
      <c r="CRS126" s="1"/>
      <c r="CRT126" s="1"/>
      <c r="CRU126" s="1"/>
      <c r="CRV126" s="1"/>
      <c r="CRW126" s="1"/>
      <c r="CRX126" s="1"/>
      <c r="CRY126" s="1"/>
      <c r="CRZ126" s="1"/>
      <c r="CSA126" s="1"/>
      <c r="CSB126" s="1"/>
      <c r="CSC126" s="1"/>
      <c r="CSD126" s="1"/>
      <c r="CSE126" s="1"/>
      <c r="CSF126" s="1"/>
      <c r="CSG126" s="1"/>
      <c r="CSH126" s="1"/>
      <c r="CSI126" s="1"/>
      <c r="CSJ126" s="1"/>
      <c r="CSK126" s="1"/>
      <c r="CSL126" s="1"/>
      <c r="CSM126" s="1"/>
      <c r="CSN126" s="1"/>
      <c r="CSO126" s="1"/>
      <c r="CSP126" s="1"/>
      <c r="CSQ126" s="1"/>
      <c r="CSR126" s="1"/>
      <c r="CSS126" s="1"/>
      <c r="CST126" s="1"/>
      <c r="CSU126" s="1"/>
      <c r="CSV126" s="1"/>
      <c r="CSW126" s="1"/>
      <c r="CSX126" s="1"/>
      <c r="CSY126" s="1"/>
      <c r="CSZ126" s="1"/>
      <c r="CTA126" s="1"/>
      <c r="CTB126" s="1"/>
      <c r="CTC126" s="1"/>
      <c r="CTD126" s="1"/>
      <c r="CTE126" s="1"/>
      <c r="CTF126" s="1"/>
      <c r="CTG126" s="1"/>
      <c r="CTH126" s="1"/>
      <c r="CTI126" s="1"/>
      <c r="CTJ126" s="1"/>
      <c r="CTK126" s="1"/>
      <c r="CTL126" s="1"/>
      <c r="CTM126" s="1"/>
      <c r="CTN126" s="1"/>
      <c r="CTO126" s="1"/>
      <c r="CTP126" s="1"/>
      <c r="CTQ126" s="1"/>
      <c r="CTR126" s="1"/>
      <c r="CTS126" s="1"/>
      <c r="CTT126" s="1"/>
      <c r="CTU126" s="1"/>
      <c r="CTV126" s="1"/>
      <c r="CTW126" s="1"/>
      <c r="CTX126" s="1"/>
      <c r="CTY126" s="1"/>
      <c r="CTZ126" s="1"/>
      <c r="CUA126" s="1"/>
      <c r="CUB126" s="1"/>
      <c r="CUC126" s="1"/>
      <c r="CUD126" s="1"/>
      <c r="CUE126" s="1"/>
      <c r="CUF126" s="1"/>
      <c r="CUG126" s="1"/>
      <c r="CUH126" s="1"/>
      <c r="CUI126" s="1"/>
      <c r="CUJ126" s="1"/>
      <c r="CUK126" s="1"/>
      <c r="CUL126" s="1"/>
      <c r="CUM126" s="1"/>
      <c r="CUN126" s="1"/>
      <c r="CUO126" s="1"/>
      <c r="CUP126" s="1"/>
      <c r="CUQ126" s="1"/>
      <c r="CUR126" s="1"/>
      <c r="CUS126" s="1"/>
      <c r="CUT126" s="1"/>
      <c r="CUU126" s="1"/>
      <c r="CUV126" s="1"/>
      <c r="CUW126" s="1"/>
      <c r="CUX126" s="1"/>
      <c r="CUY126" s="1"/>
      <c r="CUZ126" s="1"/>
      <c r="CVA126" s="1"/>
      <c r="CVB126" s="1"/>
      <c r="CVC126" s="1"/>
      <c r="CVD126" s="1"/>
      <c r="CVE126" s="1"/>
      <c r="CVF126" s="1"/>
      <c r="CVG126" s="1"/>
      <c r="CVH126" s="1"/>
      <c r="CVI126" s="1"/>
      <c r="CVJ126" s="1"/>
      <c r="CVK126" s="1"/>
      <c r="CVL126" s="1"/>
      <c r="CVM126" s="1"/>
      <c r="CVN126" s="1"/>
      <c r="CVO126" s="1"/>
      <c r="CVP126" s="1"/>
      <c r="CVQ126" s="1"/>
      <c r="CVR126" s="1"/>
      <c r="CVS126" s="1"/>
      <c r="CVT126" s="1"/>
      <c r="CVU126" s="1"/>
      <c r="CVV126" s="1"/>
      <c r="CVW126" s="1"/>
      <c r="CVX126" s="1"/>
      <c r="CVY126" s="1"/>
      <c r="CVZ126" s="1"/>
      <c r="CWA126" s="1"/>
      <c r="CWB126" s="1"/>
      <c r="CWC126" s="1"/>
      <c r="CWD126" s="1"/>
      <c r="CWE126" s="1"/>
      <c r="CWF126" s="1"/>
      <c r="CWG126" s="1"/>
      <c r="CWH126" s="1"/>
      <c r="CWI126" s="1"/>
      <c r="CWJ126" s="1"/>
      <c r="CWK126" s="1"/>
      <c r="CWL126" s="1"/>
      <c r="CWM126" s="1"/>
      <c r="CWN126" s="1"/>
      <c r="CWO126" s="1"/>
      <c r="CWP126" s="1"/>
      <c r="CWQ126" s="1"/>
      <c r="CWR126" s="1"/>
      <c r="CWS126" s="1"/>
      <c r="CWT126" s="1"/>
      <c r="CWU126" s="1"/>
      <c r="CWV126" s="1"/>
      <c r="CWW126" s="1"/>
      <c r="CWX126" s="1"/>
      <c r="CWY126" s="1"/>
      <c r="CWZ126" s="1"/>
      <c r="CXA126" s="1"/>
      <c r="CXB126" s="1"/>
      <c r="CXC126" s="1"/>
      <c r="CXD126" s="1"/>
      <c r="CXE126" s="1"/>
      <c r="CXF126" s="1"/>
      <c r="CXG126" s="1"/>
      <c r="CXH126" s="1"/>
      <c r="CXI126" s="1"/>
      <c r="CXJ126" s="1"/>
      <c r="CXK126" s="1"/>
      <c r="CXL126" s="1"/>
      <c r="CXM126" s="1"/>
      <c r="CXN126" s="1"/>
      <c r="CXO126" s="1"/>
      <c r="CXP126" s="1"/>
      <c r="CXQ126" s="1"/>
      <c r="CXR126" s="1"/>
      <c r="CXS126" s="1"/>
      <c r="CXT126" s="1"/>
      <c r="CXU126" s="1"/>
      <c r="CXV126" s="1"/>
      <c r="CXW126" s="1"/>
      <c r="CXX126" s="1"/>
      <c r="CXY126" s="1"/>
      <c r="CXZ126" s="1"/>
      <c r="CYA126" s="1"/>
      <c r="CYB126" s="1"/>
      <c r="CYC126" s="1"/>
      <c r="CYD126" s="1"/>
      <c r="CYE126" s="1"/>
      <c r="CYF126" s="1"/>
      <c r="CYG126" s="1"/>
      <c r="CYH126" s="1"/>
      <c r="CYI126" s="1"/>
      <c r="CYJ126" s="1"/>
      <c r="CYK126" s="1"/>
      <c r="CYL126" s="1"/>
      <c r="CYM126" s="1"/>
      <c r="CYN126" s="1"/>
      <c r="CYO126" s="1"/>
      <c r="CYP126" s="1"/>
      <c r="CYQ126" s="1"/>
      <c r="CYR126" s="1"/>
      <c r="CYS126" s="1"/>
      <c r="CYT126" s="1"/>
      <c r="CYU126" s="1"/>
      <c r="CYV126" s="1"/>
      <c r="CYW126" s="1"/>
      <c r="CYX126" s="1"/>
      <c r="CYY126" s="1"/>
      <c r="CYZ126" s="1"/>
      <c r="CZA126" s="1"/>
      <c r="CZB126" s="1"/>
      <c r="CZC126" s="1"/>
      <c r="CZD126" s="1"/>
      <c r="CZE126" s="1"/>
      <c r="CZF126" s="1"/>
      <c r="CZG126" s="1"/>
      <c r="CZH126" s="1"/>
      <c r="CZI126" s="1"/>
      <c r="CZJ126" s="1"/>
      <c r="CZK126" s="1"/>
      <c r="CZL126" s="1"/>
      <c r="CZM126" s="1"/>
      <c r="CZN126" s="1"/>
      <c r="CZO126" s="1"/>
      <c r="CZP126" s="1"/>
      <c r="CZQ126" s="1"/>
      <c r="CZR126" s="1"/>
      <c r="CZS126" s="1"/>
      <c r="CZT126" s="1"/>
      <c r="CZU126" s="1"/>
      <c r="CZV126" s="1"/>
      <c r="CZW126" s="1"/>
      <c r="CZX126" s="1"/>
      <c r="CZY126" s="1"/>
      <c r="CZZ126" s="1"/>
      <c r="DAA126" s="1"/>
      <c r="DAB126" s="1"/>
      <c r="DAC126" s="1"/>
      <c r="DAD126" s="1"/>
      <c r="DAE126" s="1"/>
      <c r="DAF126" s="1"/>
      <c r="DAG126" s="1"/>
      <c r="DAH126" s="1"/>
      <c r="DAI126" s="1"/>
      <c r="DAJ126" s="1"/>
      <c r="DAK126" s="1"/>
      <c r="DAL126" s="1"/>
      <c r="DAM126" s="1"/>
      <c r="DAN126" s="1"/>
      <c r="DAO126" s="1"/>
      <c r="DAP126" s="1"/>
      <c r="DAQ126" s="1"/>
      <c r="DAR126" s="1"/>
      <c r="DAS126" s="1"/>
      <c r="DAT126" s="1"/>
      <c r="DAU126" s="1"/>
      <c r="DAV126" s="1"/>
      <c r="DAW126" s="1"/>
      <c r="DAX126" s="1"/>
      <c r="DAY126" s="1"/>
      <c r="DAZ126" s="1"/>
      <c r="DBA126" s="1"/>
      <c r="DBB126" s="1"/>
      <c r="DBC126" s="1"/>
      <c r="DBD126" s="1"/>
      <c r="DBE126" s="1"/>
      <c r="DBF126" s="1"/>
      <c r="DBG126" s="1"/>
      <c r="DBH126" s="1"/>
      <c r="DBI126" s="1"/>
      <c r="DBJ126" s="1"/>
      <c r="DBK126" s="1"/>
      <c r="DBL126" s="1"/>
      <c r="DBM126" s="1"/>
      <c r="DBN126" s="1"/>
      <c r="DBO126" s="1"/>
      <c r="DBP126" s="1"/>
      <c r="DBQ126" s="1"/>
      <c r="DBR126" s="1"/>
      <c r="DBS126" s="1"/>
      <c r="DBT126" s="1"/>
      <c r="DBU126" s="1"/>
      <c r="DBV126" s="1"/>
      <c r="DBW126" s="1"/>
      <c r="DBX126" s="1"/>
      <c r="DBY126" s="1"/>
      <c r="DBZ126" s="1"/>
      <c r="DCA126" s="1"/>
      <c r="DCB126" s="1"/>
      <c r="DCC126" s="1"/>
      <c r="DCD126" s="1"/>
      <c r="DCE126" s="1"/>
      <c r="DCF126" s="1"/>
      <c r="DCG126" s="1"/>
      <c r="DCH126" s="1"/>
      <c r="DCI126" s="1"/>
      <c r="DCJ126" s="1"/>
      <c r="DCK126" s="1"/>
      <c r="DCL126" s="1"/>
      <c r="DCM126" s="1"/>
      <c r="DCN126" s="1"/>
      <c r="DCO126" s="1"/>
      <c r="DCP126" s="1"/>
      <c r="DCQ126" s="1"/>
      <c r="DCR126" s="1"/>
      <c r="DCS126" s="1"/>
      <c r="DCT126" s="1"/>
      <c r="DCU126" s="1"/>
      <c r="DCV126" s="1"/>
      <c r="DCW126" s="1"/>
      <c r="DCX126" s="1"/>
      <c r="DCY126" s="1"/>
      <c r="DCZ126" s="1"/>
      <c r="DDA126" s="1"/>
      <c r="DDB126" s="1"/>
      <c r="DDC126" s="1"/>
      <c r="DDD126" s="1"/>
      <c r="DDE126" s="1"/>
      <c r="DDF126" s="1"/>
      <c r="DDG126" s="1"/>
      <c r="DDH126" s="1"/>
      <c r="DDI126" s="1"/>
      <c r="DDJ126" s="1"/>
      <c r="DDK126" s="1"/>
      <c r="DDL126" s="1"/>
      <c r="DDM126" s="1"/>
      <c r="DDN126" s="1"/>
      <c r="DDO126" s="1"/>
      <c r="DDP126" s="1"/>
      <c r="DDQ126" s="1"/>
      <c r="DDR126" s="1"/>
      <c r="DDS126" s="1"/>
      <c r="DDT126" s="1"/>
      <c r="DDU126" s="1"/>
      <c r="DDV126" s="1"/>
      <c r="DDW126" s="1"/>
      <c r="DDX126" s="1"/>
      <c r="DDY126" s="1"/>
      <c r="DDZ126" s="1"/>
      <c r="DEA126" s="1"/>
      <c r="DEB126" s="1"/>
      <c r="DEC126" s="1"/>
      <c r="DED126" s="1"/>
      <c r="DEE126" s="1"/>
      <c r="DEF126" s="1"/>
      <c r="DEG126" s="1"/>
      <c r="DEH126" s="1"/>
      <c r="DEI126" s="1"/>
      <c r="DEJ126" s="1"/>
      <c r="DEK126" s="1"/>
      <c r="DEL126" s="1"/>
      <c r="DEM126" s="1"/>
      <c r="DEN126" s="1"/>
      <c r="DEO126" s="1"/>
      <c r="DEP126" s="1"/>
      <c r="DEQ126" s="1"/>
      <c r="DER126" s="1"/>
      <c r="DES126" s="1"/>
      <c r="DET126" s="1"/>
      <c r="DEU126" s="1"/>
      <c r="DEV126" s="1"/>
      <c r="DEW126" s="1"/>
      <c r="DEX126" s="1"/>
      <c r="DEY126" s="1"/>
      <c r="DEZ126" s="1"/>
      <c r="DFA126" s="1"/>
      <c r="DFB126" s="1"/>
      <c r="DFC126" s="1"/>
      <c r="DFD126" s="1"/>
      <c r="DFE126" s="1"/>
      <c r="DFF126" s="1"/>
      <c r="DFG126" s="1"/>
      <c r="DFH126" s="1"/>
      <c r="DFI126" s="1"/>
      <c r="DFJ126" s="1"/>
      <c r="DFK126" s="1"/>
      <c r="DFL126" s="1"/>
      <c r="DFM126" s="1"/>
      <c r="DFN126" s="1"/>
      <c r="DFO126" s="1"/>
      <c r="DFP126" s="1"/>
      <c r="DFQ126" s="1"/>
      <c r="DFR126" s="1"/>
      <c r="DFS126" s="1"/>
      <c r="DFT126" s="1"/>
      <c r="DFU126" s="1"/>
      <c r="DFV126" s="1"/>
      <c r="DFW126" s="1"/>
      <c r="DFX126" s="1"/>
      <c r="DFY126" s="1"/>
      <c r="DFZ126" s="1"/>
      <c r="DGA126" s="1"/>
      <c r="DGB126" s="1"/>
      <c r="DGC126" s="1"/>
      <c r="DGD126" s="1"/>
      <c r="DGE126" s="1"/>
      <c r="DGF126" s="1"/>
      <c r="DGG126" s="1"/>
      <c r="DGH126" s="1"/>
      <c r="DGI126" s="1"/>
      <c r="DGJ126" s="1"/>
      <c r="DGK126" s="1"/>
      <c r="DGL126" s="1"/>
      <c r="DGM126" s="1"/>
      <c r="DGN126" s="1"/>
      <c r="DGO126" s="1"/>
      <c r="DGP126" s="1"/>
      <c r="DGQ126" s="1"/>
      <c r="DGR126" s="1"/>
      <c r="DGS126" s="1"/>
      <c r="DGT126" s="1"/>
      <c r="DGU126" s="1"/>
      <c r="DGV126" s="1"/>
      <c r="DGW126" s="1"/>
      <c r="DGX126" s="1"/>
      <c r="DGY126" s="1"/>
      <c r="DGZ126" s="1"/>
      <c r="DHA126" s="1"/>
      <c r="DHB126" s="1"/>
      <c r="DHC126" s="1"/>
      <c r="DHD126" s="1"/>
      <c r="DHE126" s="1"/>
      <c r="DHF126" s="1"/>
      <c r="DHG126" s="1"/>
      <c r="DHH126" s="1"/>
      <c r="DHI126" s="1"/>
      <c r="DHJ126" s="1"/>
      <c r="DHK126" s="1"/>
      <c r="DHL126" s="1"/>
      <c r="DHM126" s="1"/>
      <c r="DHN126" s="1"/>
      <c r="DHO126" s="1"/>
      <c r="DHP126" s="1"/>
      <c r="DHQ126" s="1"/>
      <c r="DHR126" s="1"/>
      <c r="DHS126" s="1"/>
      <c r="DHT126" s="1"/>
      <c r="DHU126" s="1"/>
      <c r="DHV126" s="1"/>
      <c r="DHW126" s="1"/>
      <c r="DHX126" s="1"/>
      <c r="DHY126" s="1"/>
      <c r="DHZ126" s="1"/>
      <c r="DIA126" s="1"/>
      <c r="DIB126" s="1"/>
      <c r="DIC126" s="1"/>
      <c r="DID126" s="1"/>
      <c r="DIE126" s="1"/>
      <c r="DIF126" s="1"/>
      <c r="DIG126" s="1"/>
      <c r="DIH126" s="1"/>
      <c r="DII126" s="1"/>
      <c r="DIJ126" s="1"/>
      <c r="DIK126" s="1"/>
      <c r="DIL126" s="1"/>
      <c r="DIM126" s="1"/>
      <c r="DIN126" s="1"/>
      <c r="DIO126" s="1"/>
      <c r="DIP126" s="1"/>
      <c r="DIQ126" s="1"/>
      <c r="DIR126" s="1"/>
      <c r="DIS126" s="1"/>
      <c r="DIT126" s="1"/>
      <c r="DIU126" s="1"/>
      <c r="DIV126" s="1"/>
      <c r="DIW126" s="1"/>
      <c r="DIX126" s="1"/>
      <c r="DIY126" s="1"/>
      <c r="DIZ126" s="1"/>
      <c r="DJA126" s="1"/>
      <c r="DJB126" s="1"/>
      <c r="DJC126" s="1"/>
      <c r="DJD126" s="1"/>
      <c r="DJE126" s="1"/>
      <c r="DJF126" s="1"/>
      <c r="DJG126" s="1"/>
      <c r="DJH126" s="1"/>
      <c r="DJI126" s="1"/>
      <c r="DJJ126" s="1"/>
      <c r="DJK126" s="1"/>
      <c r="DJL126" s="1"/>
      <c r="DJM126" s="1"/>
      <c r="DJN126" s="1"/>
      <c r="DJO126" s="1"/>
      <c r="DJP126" s="1"/>
      <c r="DJQ126" s="1"/>
      <c r="DJR126" s="1"/>
      <c r="DJS126" s="1"/>
      <c r="DJT126" s="1"/>
      <c r="DJU126" s="1"/>
      <c r="DJV126" s="1"/>
      <c r="DJW126" s="1"/>
      <c r="DJX126" s="1"/>
      <c r="DJY126" s="1"/>
      <c r="DJZ126" s="1"/>
      <c r="DKA126" s="1"/>
      <c r="DKB126" s="1"/>
      <c r="DKC126" s="1"/>
      <c r="DKD126" s="1"/>
      <c r="DKE126" s="1"/>
      <c r="DKF126" s="1"/>
      <c r="DKG126" s="1"/>
      <c r="DKH126" s="1"/>
      <c r="DKI126" s="1"/>
      <c r="DKJ126" s="1"/>
      <c r="DKK126" s="1"/>
      <c r="DKL126" s="1"/>
      <c r="DKM126" s="1"/>
      <c r="DKN126" s="1"/>
      <c r="DKO126" s="1"/>
      <c r="DKP126" s="1"/>
      <c r="DKQ126" s="1"/>
      <c r="DKR126" s="1"/>
      <c r="DKS126" s="1"/>
      <c r="DKT126" s="1"/>
      <c r="DKU126" s="1"/>
      <c r="DKV126" s="1"/>
      <c r="DKW126" s="1"/>
      <c r="DKX126" s="1"/>
      <c r="DKY126" s="1"/>
      <c r="DKZ126" s="1"/>
      <c r="DLA126" s="1"/>
      <c r="DLB126" s="1"/>
      <c r="DLC126" s="1"/>
      <c r="DLD126" s="1"/>
      <c r="DLE126" s="1"/>
      <c r="DLF126" s="1"/>
      <c r="DLG126" s="1"/>
      <c r="DLH126" s="1"/>
      <c r="DLI126" s="1"/>
      <c r="DLJ126" s="1"/>
      <c r="DLK126" s="1"/>
      <c r="DLL126" s="1"/>
      <c r="DLM126" s="1"/>
      <c r="DLN126" s="1"/>
      <c r="DLO126" s="1"/>
      <c r="DLP126" s="1"/>
      <c r="DLQ126" s="1"/>
      <c r="DLR126" s="1"/>
      <c r="DLS126" s="1"/>
      <c r="DLT126" s="1"/>
      <c r="DLU126" s="1"/>
      <c r="DLV126" s="1"/>
      <c r="DLW126" s="1"/>
      <c r="DLX126" s="1"/>
      <c r="DLY126" s="1"/>
      <c r="DLZ126" s="1"/>
      <c r="DMA126" s="1"/>
      <c r="DMB126" s="1"/>
      <c r="DMC126" s="1"/>
      <c r="DMD126" s="1"/>
      <c r="DME126" s="1"/>
      <c r="DMF126" s="1"/>
      <c r="DMG126" s="1"/>
      <c r="DMH126" s="1"/>
      <c r="DMI126" s="1"/>
      <c r="DMJ126" s="1"/>
      <c r="DMK126" s="1"/>
      <c r="DML126" s="1"/>
      <c r="DMM126" s="1"/>
      <c r="DMN126" s="1"/>
      <c r="DMO126" s="1"/>
      <c r="DMP126" s="1"/>
      <c r="DMQ126" s="1"/>
      <c r="DMR126" s="1"/>
      <c r="DMS126" s="1"/>
      <c r="DMT126" s="1"/>
      <c r="DMU126" s="1"/>
      <c r="DMV126" s="1"/>
      <c r="DMW126" s="1"/>
      <c r="DMX126" s="1"/>
      <c r="DMY126" s="1"/>
      <c r="DMZ126" s="1"/>
      <c r="DNA126" s="1"/>
      <c r="DNB126" s="1"/>
      <c r="DNC126" s="1"/>
      <c r="DND126" s="1"/>
      <c r="DNE126" s="1"/>
      <c r="DNF126" s="1"/>
      <c r="DNG126" s="1"/>
      <c r="DNH126" s="1"/>
      <c r="DNI126" s="1"/>
      <c r="DNJ126" s="1"/>
      <c r="DNK126" s="1"/>
      <c r="DNL126" s="1"/>
      <c r="DNM126" s="1"/>
      <c r="DNN126" s="1"/>
      <c r="DNO126" s="1"/>
      <c r="DNP126" s="1"/>
      <c r="DNQ126" s="1"/>
      <c r="DNR126" s="1"/>
      <c r="DNS126" s="1"/>
      <c r="DNT126" s="1"/>
      <c r="DNU126" s="1"/>
      <c r="DNV126" s="1"/>
      <c r="DNW126" s="1"/>
      <c r="DNX126" s="1"/>
      <c r="DNY126" s="1"/>
      <c r="DNZ126" s="1"/>
      <c r="DOA126" s="1"/>
      <c r="DOB126" s="1"/>
      <c r="DOC126" s="1"/>
      <c r="DOD126" s="1"/>
      <c r="DOE126" s="1"/>
      <c r="DOF126" s="1"/>
      <c r="DOG126" s="1"/>
      <c r="DOH126" s="1"/>
      <c r="DOI126" s="1"/>
      <c r="DOJ126" s="1"/>
      <c r="DOK126" s="1"/>
      <c r="DOL126" s="1"/>
      <c r="DOM126" s="1"/>
      <c r="DON126" s="1"/>
      <c r="DOO126" s="1"/>
      <c r="DOP126" s="1"/>
      <c r="DOQ126" s="1"/>
      <c r="DOR126" s="1"/>
      <c r="DOS126" s="1"/>
      <c r="DOT126" s="1"/>
      <c r="DOU126" s="1"/>
      <c r="DOV126" s="1"/>
      <c r="DOW126" s="1"/>
      <c r="DOX126" s="1"/>
      <c r="DOY126" s="1"/>
      <c r="DOZ126" s="1"/>
      <c r="DPA126" s="1"/>
      <c r="DPB126" s="1"/>
      <c r="DPC126" s="1"/>
      <c r="DPD126" s="1"/>
      <c r="DPE126" s="1"/>
      <c r="DPF126" s="1"/>
      <c r="DPG126" s="1"/>
      <c r="DPH126" s="1"/>
      <c r="DPI126" s="1"/>
      <c r="DPJ126" s="1"/>
      <c r="DPK126" s="1"/>
      <c r="DPL126" s="1"/>
      <c r="DPM126" s="1"/>
      <c r="DPN126" s="1"/>
      <c r="DPO126" s="1"/>
      <c r="DPP126" s="1"/>
      <c r="DPQ126" s="1"/>
      <c r="DPR126" s="1"/>
      <c r="DPS126" s="1"/>
      <c r="DPT126" s="1"/>
      <c r="DPU126" s="1"/>
      <c r="DPV126" s="1"/>
      <c r="DPW126" s="1"/>
      <c r="DPX126" s="1"/>
      <c r="DPY126" s="1"/>
      <c r="DPZ126" s="1"/>
      <c r="DQA126" s="1"/>
      <c r="DQB126" s="1"/>
      <c r="DQC126" s="1"/>
      <c r="DQD126" s="1"/>
      <c r="DQE126" s="1"/>
      <c r="DQF126" s="1"/>
      <c r="DQG126" s="1"/>
      <c r="DQH126" s="1"/>
      <c r="DQI126" s="1"/>
      <c r="DQJ126" s="1"/>
      <c r="DQK126" s="1"/>
      <c r="DQL126" s="1"/>
      <c r="DQM126" s="1"/>
      <c r="DQN126" s="1"/>
      <c r="DQO126" s="1"/>
      <c r="DQP126" s="1"/>
      <c r="DQQ126" s="1"/>
      <c r="DQR126" s="1"/>
      <c r="DQS126" s="1"/>
      <c r="DQT126" s="1"/>
      <c r="DQU126" s="1"/>
      <c r="DQV126" s="1"/>
      <c r="DQW126" s="1"/>
      <c r="DQX126" s="1"/>
      <c r="DQY126" s="1"/>
      <c r="DQZ126" s="1"/>
      <c r="DRA126" s="1"/>
      <c r="DRB126" s="1"/>
      <c r="DRC126" s="1"/>
      <c r="DRD126" s="1"/>
      <c r="DRE126" s="1"/>
      <c r="DRF126" s="1"/>
      <c r="DRG126" s="1"/>
      <c r="DRH126" s="1"/>
      <c r="DRI126" s="1"/>
      <c r="DRJ126" s="1"/>
      <c r="DRK126" s="1"/>
      <c r="DRL126" s="1"/>
      <c r="DRM126" s="1"/>
      <c r="DRN126" s="1"/>
      <c r="DRO126" s="1"/>
      <c r="DRP126" s="1"/>
      <c r="DRQ126" s="1"/>
      <c r="DRR126" s="1"/>
      <c r="DRS126" s="1"/>
      <c r="DRT126" s="1"/>
      <c r="DRU126" s="1"/>
      <c r="DRV126" s="1"/>
      <c r="DRW126" s="1"/>
      <c r="DRX126" s="1"/>
      <c r="DRY126" s="1"/>
      <c r="DRZ126" s="1"/>
      <c r="DSA126" s="1"/>
      <c r="DSB126" s="1"/>
      <c r="DSC126" s="1"/>
      <c r="DSD126" s="1"/>
      <c r="DSE126" s="1"/>
      <c r="DSF126" s="1"/>
      <c r="DSG126" s="1"/>
      <c r="DSH126" s="1"/>
      <c r="DSI126" s="1"/>
      <c r="DSJ126" s="1"/>
      <c r="DSK126" s="1"/>
      <c r="DSL126" s="1"/>
      <c r="DSM126" s="1"/>
      <c r="DSN126" s="1"/>
      <c r="DSO126" s="1"/>
      <c r="DSP126" s="1"/>
      <c r="DSQ126" s="1"/>
      <c r="DSR126" s="1"/>
      <c r="DSS126" s="1"/>
      <c r="DST126" s="1"/>
      <c r="DSU126" s="1"/>
      <c r="DSV126" s="1"/>
      <c r="DSW126" s="1"/>
      <c r="DSX126" s="1"/>
      <c r="DSY126" s="1"/>
      <c r="DSZ126" s="1"/>
      <c r="DTA126" s="1"/>
      <c r="DTB126" s="1"/>
      <c r="DTC126" s="1"/>
      <c r="DTD126" s="1"/>
      <c r="DTE126" s="1"/>
      <c r="DTF126" s="1"/>
      <c r="DTG126" s="1"/>
      <c r="DTH126" s="1"/>
      <c r="DTI126" s="1"/>
      <c r="DTJ126" s="1"/>
      <c r="DTK126" s="1"/>
      <c r="DTL126" s="1"/>
      <c r="DTM126" s="1"/>
      <c r="DTN126" s="1"/>
      <c r="DTO126" s="1"/>
      <c r="DTP126" s="1"/>
      <c r="DTQ126" s="1"/>
      <c r="DTR126" s="1"/>
      <c r="DTS126" s="1"/>
      <c r="DTT126" s="1"/>
      <c r="DTU126" s="1"/>
      <c r="DTV126" s="1"/>
      <c r="DTW126" s="1"/>
      <c r="DTX126" s="1"/>
      <c r="DTY126" s="1"/>
      <c r="DTZ126" s="1"/>
      <c r="DUA126" s="1"/>
      <c r="DUB126" s="1"/>
      <c r="DUC126" s="1"/>
      <c r="DUD126" s="1"/>
      <c r="DUE126" s="1"/>
      <c r="DUF126" s="1"/>
      <c r="DUG126" s="1"/>
      <c r="DUH126" s="1"/>
      <c r="DUI126" s="1"/>
      <c r="DUJ126" s="1"/>
      <c r="DUK126" s="1"/>
      <c r="DUL126" s="1"/>
      <c r="DUM126" s="1"/>
      <c r="DUN126" s="1"/>
      <c r="DUO126" s="1"/>
      <c r="DUP126" s="1"/>
      <c r="DUQ126" s="1"/>
      <c r="DUR126" s="1"/>
      <c r="DUS126" s="1"/>
      <c r="DUT126" s="1"/>
      <c r="DUU126" s="1"/>
      <c r="DUV126" s="1"/>
      <c r="DUW126" s="1"/>
      <c r="DUX126" s="1"/>
      <c r="DUY126" s="1"/>
      <c r="DUZ126" s="1"/>
      <c r="DVA126" s="1"/>
      <c r="DVB126" s="1"/>
      <c r="DVC126" s="1"/>
      <c r="DVD126" s="1"/>
      <c r="DVE126" s="1"/>
      <c r="DVF126" s="1"/>
      <c r="DVG126" s="1"/>
      <c r="DVH126" s="1"/>
      <c r="DVI126" s="1"/>
      <c r="DVJ126" s="1"/>
      <c r="DVK126" s="1"/>
      <c r="DVL126" s="1"/>
      <c r="DVM126" s="1"/>
      <c r="DVN126" s="1"/>
      <c r="DVO126" s="1"/>
      <c r="DVP126" s="1"/>
      <c r="DVQ126" s="1"/>
      <c r="DVR126" s="1"/>
      <c r="DVS126" s="1"/>
      <c r="DVT126" s="1"/>
      <c r="DVU126" s="1"/>
      <c r="DVV126" s="1"/>
      <c r="DVW126" s="1"/>
      <c r="DVX126" s="1"/>
      <c r="DVY126" s="1"/>
      <c r="DVZ126" s="1"/>
      <c r="DWA126" s="1"/>
      <c r="DWB126" s="1"/>
      <c r="DWC126" s="1"/>
      <c r="DWD126" s="1"/>
      <c r="DWE126" s="1"/>
      <c r="DWF126" s="1"/>
      <c r="DWG126" s="1"/>
      <c r="DWH126" s="1"/>
      <c r="DWI126" s="1"/>
      <c r="DWJ126" s="1"/>
      <c r="DWK126" s="1"/>
      <c r="DWL126" s="1"/>
      <c r="DWM126" s="1"/>
      <c r="DWN126" s="1"/>
      <c r="DWO126" s="1"/>
      <c r="DWP126" s="1"/>
      <c r="DWQ126" s="1"/>
      <c r="DWR126" s="1"/>
      <c r="DWS126" s="1"/>
      <c r="DWT126" s="1"/>
      <c r="DWU126" s="1"/>
      <c r="DWV126" s="1"/>
      <c r="DWW126" s="1"/>
      <c r="DWX126" s="1"/>
      <c r="DWY126" s="1"/>
      <c r="DWZ126" s="1"/>
      <c r="DXA126" s="1"/>
      <c r="DXB126" s="1"/>
      <c r="DXC126" s="1"/>
      <c r="DXD126" s="1"/>
      <c r="DXE126" s="1"/>
      <c r="DXF126" s="1"/>
      <c r="DXG126" s="1"/>
      <c r="DXH126" s="1"/>
      <c r="DXI126" s="1"/>
      <c r="DXJ126" s="1"/>
      <c r="DXK126" s="1"/>
      <c r="DXL126" s="1"/>
      <c r="DXM126" s="1"/>
      <c r="DXN126" s="1"/>
      <c r="DXO126" s="1"/>
      <c r="DXP126" s="1"/>
      <c r="DXQ126" s="1"/>
      <c r="DXR126" s="1"/>
      <c r="DXS126" s="1"/>
      <c r="DXT126" s="1"/>
      <c r="DXU126" s="1"/>
      <c r="DXV126" s="1"/>
      <c r="DXW126" s="1"/>
      <c r="DXX126" s="1"/>
      <c r="DXY126" s="1"/>
      <c r="DXZ126" s="1"/>
      <c r="DYA126" s="1"/>
      <c r="DYB126" s="1"/>
      <c r="DYC126" s="1"/>
      <c r="DYD126" s="1"/>
      <c r="DYE126" s="1"/>
      <c r="DYF126" s="1"/>
      <c r="DYG126" s="1"/>
      <c r="DYH126" s="1"/>
      <c r="DYI126" s="1"/>
      <c r="DYJ126" s="1"/>
      <c r="DYK126" s="1"/>
      <c r="DYL126" s="1"/>
      <c r="DYM126" s="1"/>
      <c r="DYN126" s="1"/>
      <c r="DYO126" s="1"/>
      <c r="DYP126" s="1"/>
      <c r="DYQ126" s="1"/>
      <c r="DYR126" s="1"/>
      <c r="DYS126" s="1"/>
      <c r="DYT126" s="1"/>
      <c r="DYU126" s="1"/>
      <c r="DYV126" s="1"/>
      <c r="DYW126" s="1"/>
      <c r="DYX126" s="1"/>
      <c r="DYY126" s="1"/>
      <c r="DYZ126" s="1"/>
      <c r="DZA126" s="1"/>
      <c r="DZB126" s="1"/>
      <c r="DZC126" s="1"/>
      <c r="DZD126" s="1"/>
      <c r="DZE126" s="1"/>
      <c r="DZF126" s="1"/>
      <c r="DZG126" s="1"/>
      <c r="DZH126" s="1"/>
      <c r="DZI126" s="1"/>
      <c r="DZJ126" s="1"/>
      <c r="DZK126" s="1"/>
      <c r="DZL126" s="1"/>
      <c r="DZM126" s="1"/>
      <c r="DZN126" s="1"/>
      <c r="DZO126" s="1"/>
      <c r="DZP126" s="1"/>
      <c r="DZQ126" s="1"/>
      <c r="DZR126" s="1"/>
      <c r="DZS126" s="1"/>
      <c r="DZT126" s="1"/>
      <c r="DZU126" s="1"/>
      <c r="DZV126" s="1"/>
      <c r="DZW126" s="1"/>
      <c r="DZX126" s="1"/>
      <c r="DZY126" s="1"/>
      <c r="DZZ126" s="1"/>
      <c r="EAA126" s="1"/>
      <c r="EAB126" s="1"/>
      <c r="EAC126" s="1"/>
      <c r="EAD126" s="1"/>
      <c r="EAE126" s="1"/>
      <c r="EAF126" s="1"/>
      <c r="EAG126" s="1"/>
      <c r="EAH126" s="1"/>
      <c r="EAI126" s="1"/>
      <c r="EAJ126" s="1"/>
      <c r="EAK126" s="1"/>
      <c r="EAL126" s="1"/>
      <c r="EAM126" s="1"/>
      <c r="EAN126" s="1"/>
      <c r="EAO126" s="1"/>
      <c r="EAP126" s="1"/>
      <c r="EAQ126" s="1"/>
      <c r="EAR126" s="1"/>
      <c r="EAS126" s="1"/>
      <c r="EAT126" s="1"/>
      <c r="EAU126" s="1"/>
      <c r="EAV126" s="1"/>
      <c r="EAW126" s="1"/>
      <c r="EAX126" s="1"/>
      <c r="EAY126" s="1"/>
      <c r="EAZ126" s="1"/>
      <c r="EBA126" s="1"/>
      <c r="EBB126" s="1"/>
      <c r="EBC126" s="1"/>
      <c r="EBD126" s="1"/>
      <c r="EBE126" s="1"/>
      <c r="EBF126" s="1"/>
      <c r="EBG126" s="1"/>
      <c r="EBH126" s="1"/>
      <c r="EBI126" s="1"/>
      <c r="EBJ126" s="1"/>
      <c r="EBK126" s="1"/>
      <c r="EBL126" s="1"/>
      <c r="EBM126" s="1"/>
      <c r="EBN126" s="1"/>
      <c r="EBO126" s="1"/>
      <c r="EBP126" s="1"/>
      <c r="EBQ126" s="1"/>
      <c r="EBR126" s="1"/>
      <c r="EBS126" s="1"/>
      <c r="EBT126" s="1"/>
      <c r="EBU126" s="1"/>
      <c r="EBV126" s="1"/>
      <c r="EBW126" s="1"/>
      <c r="EBX126" s="1"/>
      <c r="EBY126" s="1"/>
      <c r="EBZ126" s="1"/>
      <c r="ECA126" s="1"/>
      <c r="ECB126" s="1"/>
      <c r="ECC126" s="1"/>
      <c r="ECD126" s="1"/>
      <c r="ECE126" s="1"/>
      <c r="ECF126" s="1"/>
      <c r="ECG126" s="1"/>
      <c r="ECH126" s="1"/>
      <c r="ECI126" s="1"/>
      <c r="ECJ126" s="1"/>
      <c r="ECK126" s="1"/>
      <c r="ECL126" s="1"/>
      <c r="ECM126" s="1"/>
      <c r="ECN126" s="1"/>
      <c r="ECO126" s="1"/>
      <c r="ECP126" s="1"/>
      <c r="ECQ126" s="1"/>
      <c r="ECR126" s="1"/>
      <c r="ECS126" s="1"/>
      <c r="ECT126" s="1"/>
      <c r="ECU126" s="1"/>
      <c r="ECV126" s="1"/>
      <c r="ECW126" s="1"/>
      <c r="ECX126" s="1"/>
      <c r="ECY126" s="1"/>
      <c r="ECZ126" s="1"/>
      <c r="EDA126" s="1"/>
      <c r="EDB126" s="1"/>
      <c r="EDC126" s="1"/>
      <c r="EDD126" s="1"/>
      <c r="EDE126" s="1"/>
      <c r="EDF126" s="1"/>
      <c r="EDG126" s="1"/>
      <c r="EDH126" s="1"/>
      <c r="EDI126" s="1"/>
      <c r="EDJ126" s="1"/>
      <c r="EDK126" s="1"/>
      <c r="EDL126" s="1"/>
      <c r="EDM126" s="1"/>
      <c r="EDN126" s="1"/>
      <c r="EDO126" s="1"/>
      <c r="EDP126" s="1"/>
      <c r="EDQ126" s="1"/>
      <c r="EDR126" s="1"/>
      <c r="EDS126" s="1"/>
      <c r="EDT126" s="1"/>
      <c r="EDU126" s="1"/>
      <c r="EDV126" s="1"/>
      <c r="EDW126" s="1"/>
      <c r="EDX126" s="1"/>
      <c r="EDY126" s="1"/>
      <c r="EDZ126" s="1"/>
      <c r="EEA126" s="1"/>
      <c r="EEB126" s="1"/>
      <c r="EEC126" s="1"/>
      <c r="EED126" s="1"/>
      <c r="EEE126" s="1"/>
      <c r="EEF126" s="1"/>
      <c r="EEG126" s="1"/>
      <c r="EEH126" s="1"/>
      <c r="EEI126" s="1"/>
      <c r="EEJ126" s="1"/>
      <c r="EEK126" s="1"/>
      <c r="EEL126" s="1"/>
      <c r="EEM126" s="1"/>
      <c r="EEN126" s="1"/>
      <c r="EEO126" s="1"/>
      <c r="EEP126" s="1"/>
      <c r="EEQ126" s="1"/>
      <c r="EER126" s="1"/>
      <c r="EES126" s="1"/>
      <c r="EET126" s="1"/>
      <c r="EEU126" s="1"/>
      <c r="EEV126" s="1"/>
      <c r="EEW126" s="1"/>
      <c r="EEX126" s="1"/>
      <c r="EEY126" s="1"/>
      <c r="EEZ126" s="1"/>
      <c r="EFA126" s="1"/>
      <c r="EFB126" s="1"/>
      <c r="EFC126" s="1"/>
      <c r="EFD126" s="1"/>
      <c r="EFE126" s="1"/>
      <c r="EFF126" s="1"/>
      <c r="EFG126" s="1"/>
      <c r="EFH126" s="1"/>
      <c r="EFI126" s="1"/>
      <c r="EFJ126" s="1"/>
      <c r="EFK126" s="1"/>
      <c r="EFL126" s="1"/>
      <c r="EFM126" s="1"/>
      <c r="EFN126" s="1"/>
      <c r="EFO126" s="1"/>
      <c r="EFP126" s="1"/>
      <c r="EFQ126" s="1"/>
      <c r="EFR126" s="1"/>
      <c r="EFS126" s="1"/>
      <c r="EFT126" s="1"/>
      <c r="EFU126" s="1"/>
      <c r="EFV126" s="1"/>
      <c r="EFW126" s="1"/>
      <c r="EFX126" s="1"/>
      <c r="EFY126" s="1"/>
      <c r="EFZ126" s="1"/>
      <c r="EGA126" s="1"/>
      <c r="EGB126" s="1"/>
      <c r="EGC126" s="1"/>
      <c r="EGD126" s="1"/>
      <c r="EGE126" s="1"/>
      <c r="EGF126" s="1"/>
      <c r="EGG126" s="1"/>
      <c r="EGH126" s="1"/>
      <c r="EGI126" s="1"/>
      <c r="EGJ126" s="1"/>
      <c r="EGK126" s="1"/>
      <c r="EGL126" s="1"/>
      <c r="EGM126" s="1"/>
      <c r="EGN126" s="1"/>
      <c r="EGO126" s="1"/>
      <c r="EGP126" s="1"/>
      <c r="EGQ126" s="1"/>
      <c r="EGR126" s="1"/>
      <c r="EGS126" s="1"/>
      <c r="EGT126" s="1"/>
      <c r="EGU126" s="1"/>
      <c r="EGV126" s="1"/>
      <c r="EGW126" s="1"/>
      <c r="EGX126" s="1"/>
      <c r="EGY126" s="1"/>
      <c r="EGZ126" s="1"/>
      <c r="EHA126" s="1"/>
      <c r="EHB126" s="1"/>
      <c r="EHC126" s="1"/>
      <c r="EHD126" s="1"/>
      <c r="EHE126" s="1"/>
      <c r="EHF126" s="1"/>
      <c r="EHG126" s="1"/>
      <c r="EHH126" s="1"/>
      <c r="EHI126" s="1"/>
      <c r="EHJ126" s="1"/>
      <c r="EHK126" s="1"/>
      <c r="EHL126" s="1"/>
      <c r="EHM126" s="1"/>
      <c r="EHN126" s="1"/>
      <c r="EHO126" s="1"/>
      <c r="EHP126" s="1"/>
      <c r="EHQ126" s="1"/>
      <c r="EHR126" s="1"/>
      <c r="EHS126" s="1"/>
      <c r="EHT126" s="1"/>
      <c r="EHU126" s="1"/>
      <c r="EHV126" s="1"/>
      <c r="EHW126" s="1"/>
      <c r="EHX126" s="1"/>
      <c r="EHY126" s="1"/>
      <c r="EHZ126" s="1"/>
      <c r="EIA126" s="1"/>
      <c r="EIB126" s="1"/>
      <c r="EIC126" s="1"/>
      <c r="EID126" s="1"/>
      <c r="EIE126" s="1"/>
      <c r="EIF126" s="1"/>
      <c r="EIG126" s="1"/>
      <c r="EIH126" s="1"/>
      <c r="EII126" s="1"/>
      <c r="EIJ126" s="1"/>
      <c r="EIK126" s="1"/>
      <c r="EIL126" s="1"/>
      <c r="EIM126" s="1"/>
      <c r="EIN126" s="1"/>
      <c r="EIO126" s="1"/>
      <c r="EIP126" s="1"/>
      <c r="EIQ126" s="1"/>
      <c r="EIR126" s="1"/>
      <c r="EIS126" s="1"/>
      <c r="EIT126" s="1"/>
      <c r="EIU126" s="1"/>
      <c r="EIV126" s="1"/>
      <c r="EIW126" s="1"/>
      <c r="EIX126" s="1"/>
      <c r="EIY126" s="1"/>
      <c r="EIZ126" s="1"/>
      <c r="EJA126" s="1"/>
      <c r="EJB126" s="1"/>
      <c r="EJC126" s="1"/>
      <c r="EJD126" s="1"/>
      <c r="EJE126" s="1"/>
      <c r="EJF126" s="1"/>
      <c r="EJG126" s="1"/>
      <c r="EJH126" s="1"/>
      <c r="EJI126" s="1"/>
      <c r="EJJ126" s="1"/>
      <c r="EJK126" s="1"/>
      <c r="EJL126" s="1"/>
      <c r="EJM126" s="1"/>
      <c r="EJN126" s="1"/>
      <c r="EJO126" s="1"/>
      <c r="EJP126" s="1"/>
      <c r="EJQ126" s="1"/>
      <c r="EJR126" s="1"/>
      <c r="EJS126" s="1"/>
      <c r="EJT126" s="1"/>
      <c r="EJU126" s="1"/>
      <c r="EJV126" s="1"/>
      <c r="EJW126" s="1"/>
      <c r="EJX126" s="1"/>
      <c r="EJY126" s="1"/>
      <c r="EJZ126" s="1"/>
      <c r="EKA126" s="1"/>
      <c r="EKB126" s="1"/>
      <c r="EKC126" s="1"/>
      <c r="EKD126" s="1"/>
      <c r="EKE126" s="1"/>
      <c r="EKF126" s="1"/>
      <c r="EKG126" s="1"/>
      <c r="EKH126" s="1"/>
      <c r="EKI126" s="1"/>
      <c r="EKJ126" s="1"/>
      <c r="EKK126" s="1"/>
      <c r="EKL126" s="1"/>
      <c r="EKM126" s="1"/>
      <c r="EKN126" s="1"/>
      <c r="EKO126" s="1"/>
      <c r="EKP126" s="1"/>
      <c r="EKQ126" s="1"/>
      <c r="EKR126" s="1"/>
      <c r="EKS126" s="1"/>
      <c r="EKT126" s="1"/>
      <c r="EKU126" s="1"/>
      <c r="EKV126" s="1"/>
      <c r="EKW126" s="1"/>
      <c r="EKX126" s="1"/>
      <c r="EKY126" s="1"/>
      <c r="EKZ126" s="1"/>
      <c r="ELA126" s="1"/>
      <c r="ELB126" s="1"/>
      <c r="ELC126" s="1"/>
      <c r="ELD126" s="1"/>
      <c r="ELE126" s="1"/>
      <c r="ELF126" s="1"/>
      <c r="ELG126" s="1"/>
      <c r="ELH126" s="1"/>
      <c r="ELI126" s="1"/>
      <c r="ELJ126" s="1"/>
      <c r="ELK126" s="1"/>
      <c r="ELL126" s="1"/>
      <c r="ELM126" s="1"/>
      <c r="ELN126" s="1"/>
      <c r="ELO126" s="1"/>
      <c r="ELP126" s="1"/>
      <c r="ELQ126" s="1"/>
      <c r="ELR126" s="1"/>
      <c r="ELS126" s="1"/>
      <c r="ELT126" s="1"/>
      <c r="ELU126" s="1"/>
      <c r="ELV126" s="1"/>
      <c r="ELW126" s="1"/>
      <c r="ELX126" s="1"/>
      <c r="ELY126" s="1"/>
      <c r="ELZ126" s="1"/>
      <c r="EMA126" s="1"/>
      <c r="EMB126" s="1"/>
      <c r="EMC126" s="1"/>
      <c r="EMD126" s="1"/>
      <c r="EME126" s="1"/>
      <c r="EMF126" s="1"/>
      <c r="EMG126" s="1"/>
      <c r="EMH126" s="1"/>
      <c r="EMI126" s="1"/>
      <c r="EMJ126" s="1"/>
      <c r="EMK126" s="1"/>
      <c r="EML126" s="1"/>
      <c r="EMM126" s="1"/>
      <c r="EMN126" s="1"/>
      <c r="EMO126" s="1"/>
      <c r="EMP126" s="1"/>
      <c r="EMQ126" s="1"/>
      <c r="EMR126" s="1"/>
      <c r="EMS126" s="1"/>
      <c r="EMT126" s="1"/>
      <c r="EMU126" s="1"/>
      <c r="EMV126" s="1"/>
      <c r="EMW126" s="1"/>
      <c r="EMX126" s="1"/>
      <c r="EMY126" s="1"/>
      <c r="EMZ126" s="1"/>
      <c r="ENA126" s="1"/>
      <c r="ENB126" s="1"/>
      <c r="ENC126" s="1"/>
      <c r="END126" s="1"/>
      <c r="ENE126" s="1"/>
      <c r="ENF126" s="1"/>
      <c r="ENG126" s="1"/>
      <c r="ENH126" s="1"/>
      <c r="ENI126" s="1"/>
      <c r="ENJ126" s="1"/>
      <c r="ENK126" s="1"/>
      <c r="ENL126" s="1"/>
      <c r="ENM126" s="1"/>
      <c r="ENN126" s="1"/>
      <c r="ENO126" s="1"/>
      <c r="ENP126" s="1"/>
      <c r="ENQ126" s="1"/>
      <c r="ENR126" s="1"/>
      <c r="ENS126" s="1"/>
      <c r="ENT126" s="1"/>
      <c r="ENU126" s="1"/>
      <c r="ENV126" s="1"/>
      <c r="ENW126" s="1"/>
      <c r="ENX126" s="1"/>
      <c r="ENY126" s="1"/>
      <c r="ENZ126" s="1"/>
      <c r="EOA126" s="1"/>
      <c r="EOB126" s="1"/>
      <c r="EOC126" s="1"/>
      <c r="EOD126" s="1"/>
      <c r="EOE126" s="1"/>
      <c r="EOF126" s="1"/>
      <c r="EOG126" s="1"/>
      <c r="EOH126" s="1"/>
      <c r="EOI126" s="1"/>
      <c r="EOJ126" s="1"/>
      <c r="EOK126" s="1"/>
      <c r="EOL126" s="1"/>
      <c r="EOM126" s="1"/>
      <c r="EON126" s="1"/>
      <c r="EOO126" s="1"/>
      <c r="EOP126" s="1"/>
      <c r="EOQ126" s="1"/>
      <c r="EOR126" s="1"/>
      <c r="EOS126" s="1"/>
      <c r="EOT126" s="1"/>
      <c r="EOU126" s="1"/>
      <c r="EOV126" s="1"/>
      <c r="EOW126" s="1"/>
      <c r="EOX126" s="1"/>
      <c r="EOY126" s="1"/>
      <c r="EOZ126" s="1"/>
      <c r="EPA126" s="1"/>
      <c r="EPB126" s="1"/>
      <c r="EPC126" s="1"/>
      <c r="EPD126" s="1"/>
      <c r="EPE126" s="1"/>
      <c r="EPF126" s="1"/>
      <c r="EPG126" s="1"/>
      <c r="EPH126" s="1"/>
      <c r="EPI126" s="1"/>
      <c r="EPJ126" s="1"/>
      <c r="EPK126" s="1"/>
      <c r="EPL126" s="1"/>
      <c r="EPM126" s="1"/>
      <c r="EPN126" s="1"/>
      <c r="EPO126" s="1"/>
      <c r="EPP126" s="1"/>
      <c r="EPQ126" s="1"/>
      <c r="EPR126" s="1"/>
      <c r="EPS126" s="1"/>
      <c r="EPT126" s="1"/>
      <c r="EPU126" s="1"/>
      <c r="EPV126" s="1"/>
      <c r="EPW126" s="1"/>
      <c r="EPX126" s="1"/>
      <c r="EPY126" s="1"/>
      <c r="EPZ126" s="1"/>
      <c r="EQA126" s="1"/>
      <c r="EQB126" s="1"/>
      <c r="EQC126" s="1"/>
      <c r="EQD126" s="1"/>
      <c r="EQE126" s="1"/>
      <c r="EQF126" s="1"/>
      <c r="EQG126" s="1"/>
      <c r="EQH126" s="1"/>
      <c r="EQI126" s="1"/>
      <c r="EQJ126" s="1"/>
      <c r="EQK126" s="1"/>
      <c r="EQL126" s="1"/>
      <c r="EQM126" s="1"/>
      <c r="EQN126" s="1"/>
      <c r="EQO126" s="1"/>
      <c r="EQP126" s="1"/>
      <c r="EQQ126" s="1"/>
      <c r="EQR126" s="1"/>
      <c r="EQS126" s="1"/>
      <c r="EQT126" s="1"/>
      <c r="EQU126" s="1"/>
      <c r="EQV126" s="1"/>
      <c r="EQW126" s="1"/>
      <c r="EQX126" s="1"/>
      <c r="EQY126" s="1"/>
      <c r="EQZ126" s="1"/>
      <c r="ERA126" s="1"/>
      <c r="ERB126" s="1"/>
      <c r="ERC126" s="1"/>
      <c r="ERD126" s="1"/>
      <c r="ERE126" s="1"/>
      <c r="ERF126" s="1"/>
      <c r="ERG126" s="1"/>
      <c r="ERH126" s="1"/>
      <c r="ERI126" s="1"/>
      <c r="ERJ126" s="1"/>
      <c r="ERK126" s="1"/>
      <c r="ERL126" s="1"/>
      <c r="ERM126" s="1"/>
      <c r="ERN126" s="1"/>
      <c r="ERO126" s="1"/>
      <c r="ERP126" s="1"/>
      <c r="ERQ126" s="1"/>
      <c r="ERR126" s="1"/>
      <c r="ERS126" s="1"/>
      <c r="ERT126" s="1"/>
      <c r="ERU126" s="1"/>
      <c r="ERV126" s="1"/>
      <c r="ERW126" s="1"/>
      <c r="ERX126" s="1"/>
      <c r="ERY126" s="1"/>
      <c r="ERZ126" s="1"/>
      <c r="ESA126" s="1"/>
      <c r="ESB126" s="1"/>
      <c r="ESC126" s="1"/>
      <c r="ESD126" s="1"/>
      <c r="ESE126" s="1"/>
      <c r="ESF126" s="1"/>
      <c r="ESG126" s="1"/>
      <c r="ESH126" s="1"/>
      <c r="ESI126" s="1"/>
      <c r="ESJ126" s="1"/>
      <c r="ESK126" s="1"/>
      <c r="ESL126" s="1"/>
      <c r="ESM126" s="1"/>
      <c r="ESN126" s="1"/>
      <c r="ESO126" s="1"/>
      <c r="ESP126" s="1"/>
      <c r="ESQ126" s="1"/>
      <c r="ESR126" s="1"/>
      <c r="ESS126" s="1"/>
      <c r="EST126" s="1"/>
      <c r="ESU126" s="1"/>
      <c r="ESV126" s="1"/>
      <c r="ESW126" s="1"/>
      <c r="ESX126" s="1"/>
      <c r="ESY126" s="1"/>
      <c r="ESZ126" s="1"/>
      <c r="ETA126" s="1"/>
      <c r="ETB126" s="1"/>
      <c r="ETC126" s="1"/>
      <c r="ETD126" s="1"/>
      <c r="ETE126" s="1"/>
      <c r="ETF126" s="1"/>
      <c r="ETG126" s="1"/>
      <c r="ETH126" s="1"/>
      <c r="ETI126" s="1"/>
      <c r="ETJ126" s="1"/>
      <c r="ETK126" s="1"/>
      <c r="ETL126" s="1"/>
      <c r="ETM126" s="1"/>
      <c r="ETN126" s="1"/>
      <c r="ETO126" s="1"/>
      <c r="ETP126" s="1"/>
      <c r="ETQ126" s="1"/>
      <c r="ETR126" s="1"/>
      <c r="ETS126" s="1"/>
      <c r="ETT126" s="1"/>
      <c r="ETU126" s="1"/>
      <c r="ETV126" s="1"/>
      <c r="ETW126" s="1"/>
      <c r="ETX126" s="1"/>
      <c r="ETY126" s="1"/>
      <c r="ETZ126" s="1"/>
      <c r="EUA126" s="1"/>
      <c r="EUB126" s="1"/>
      <c r="EUC126" s="1"/>
      <c r="EUD126" s="1"/>
      <c r="EUE126" s="1"/>
      <c r="EUF126" s="1"/>
      <c r="EUG126" s="1"/>
      <c r="EUH126" s="1"/>
      <c r="EUI126" s="1"/>
      <c r="EUJ126" s="1"/>
      <c r="EUK126" s="1"/>
      <c r="EUL126" s="1"/>
      <c r="EUM126" s="1"/>
      <c r="EUN126" s="1"/>
      <c r="EUO126" s="1"/>
      <c r="EUP126" s="1"/>
      <c r="EUQ126" s="1"/>
      <c r="EUR126" s="1"/>
      <c r="EUS126" s="1"/>
      <c r="EUT126" s="1"/>
      <c r="EUU126" s="1"/>
      <c r="EUV126" s="1"/>
      <c r="EUW126" s="1"/>
      <c r="EUX126" s="1"/>
      <c r="EUY126" s="1"/>
      <c r="EUZ126" s="1"/>
      <c r="EVA126" s="1"/>
      <c r="EVB126" s="1"/>
      <c r="EVC126" s="1"/>
      <c r="EVD126" s="1"/>
      <c r="EVE126" s="1"/>
      <c r="EVF126" s="1"/>
      <c r="EVG126" s="1"/>
      <c r="EVH126" s="1"/>
      <c r="EVI126" s="1"/>
      <c r="EVJ126" s="1"/>
      <c r="EVK126" s="1"/>
      <c r="EVL126" s="1"/>
      <c r="EVM126" s="1"/>
      <c r="EVN126" s="1"/>
      <c r="EVO126" s="1"/>
      <c r="EVP126" s="1"/>
      <c r="EVQ126" s="1"/>
      <c r="EVR126" s="1"/>
      <c r="EVS126" s="1"/>
      <c r="EVT126" s="1"/>
      <c r="EVU126" s="1"/>
      <c r="EVV126" s="1"/>
      <c r="EVW126" s="1"/>
      <c r="EVX126" s="1"/>
      <c r="EVY126" s="1"/>
      <c r="EVZ126" s="1"/>
      <c r="EWA126" s="1"/>
      <c r="EWB126" s="1"/>
      <c r="EWC126" s="1"/>
      <c r="EWD126" s="1"/>
      <c r="EWE126" s="1"/>
      <c r="EWF126" s="1"/>
      <c r="EWG126" s="1"/>
      <c r="EWH126" s="1"/>
      <c r="EWI126" s="1"/>
      <c r="EWJ126" s="1"/>
      <c r="EWK126" s="1"/>
      <c r="EWL126" s="1"/>
      <c r="EWM126" s="1"/>
      <c r="EWN126" s="1"/>
      <c r="EWO126" s="1"/>
      <c r="EWP126" s="1"/>
      <c r="EWQ126" s="1"/>
      <c r="EWR126" s="1"/>
      <c r="EWS126" s="1"/>
      <c r="EWT126" s="1"/>
      <c r="EWU126" s="1"/>
      <c r="EWV126" s="1"/>
      <c r="EWW126" s="1"/>
      <c r="EWX126" s="1"/>
      <c r="EWY126" s="1"/>
      <c r="EWZ126" s="1"/>
      <c r="EXA126" s="1"/>
      <c r="EXB126" s="1"/>
      <c r="EXC126" s="1"/>
      <c r="EXD126" s="1"/>
      <c r="EXE126" s="1"/>
      <c r="EXF126" s="1"/>
      <c r="EXG126" s="1"/>
      <c r="EXH126" s="1"/>
      <c r="EXI126" s="1"/>
      <c r="EXJ126" s="1"/>
      <c r="EXK126" s="1"/>
      <c r="EXL126" s="1"/>
      <c r="EXM126" s="1"/>
      <c r="EXN126" s="1"/>
      <c r="EXO126" s="1"/>
      <c r="EXP126" s="1"/>
      <c r="EXQ126" s="1"/>
      <c r="EXR126" s="1"/>
      <c r="EXS126" s="1"/>
      <c r="EXT126" s="1"/>
      <c r="EXU126" s="1"/>
      <c r="EXV126" s="1"/>
      <c r="EXW126" s="1"/>
      <c r="EXX126" s="1"/>
      <c r="EXY126" s="1"/>
      <c r="EXZ126" s="1"/>
      <c r="EYA126" s="1"/>
      <c r="EYB126" s="1"/>
      <c r="EYC126" s="1"/>
      <c r="EYD126" s="1"/>
      <c r="EYE126" s="1"/>
      <c r="EYF126" s="1"/>
      <c r="EYG126" s="1"/>
      <c r="EYH126" s="1"/>
      <c r="EYI126" s="1"/>
      <c r="EYJ126" s="1"/>
      <c r="EYK126" s="1"/>
      <c r="EYL126" s="1"/>
      <c r="EYM126" s="1"/>
      <c r="EYN126" s="1"/>
      <c r="EYO126" s="1"/>
      <c r="EYP126" s="1"/>
      <c r="EYQ126" s="1"/>
      <c r="EYR126" s="1"/>
      <c r="EYS126" s="1"/>
      <c r="EYT126" s="1"/>
      <c r="EYU126" s="1"/>
      <c r="EYV126" s="1"/>
      <c r="EYW126" s="1"/>
      <c r="EYX126" s="1"/>
      <c r="EYY126" s="1"/>
      <c r="EYZ126" s="1"/>
      <c r="EZA126" s="1"/>
      <c r="EZB126" s="1"/>
      <c r="EZC126" s="1"/>
      <c r="EZD126" s="1"/>
      <c r="EZE126" s="1"/>
      <c r="EZF126" s="1"/>
      <c r="EZG126" s="1"/>
      <c r="EZH126" s="1"/>
      <c r="EZI126" s="1"/>
      <c r="EZJ126" s="1"/>
      <c r="EZK126" s="1"/>
      <c r="EZL126" s="1"/>
      <c r="EZM126" s="1"/>
      <c r="EZN126" s="1"/>
      <c r="EZO126" s="1"/>
      <c r="EZP126" s="1"/>
      <c r="EZQ126" s="1"/>
      <c r="EZR126" s="1"/>
      <c r="EZS126" s="1"/>
      <c r="EZT126" s="1"/>
      <c r="EZU126" s="1"/>
      <c r="EZV126" s="1"/>
      <c r="EZW126" s="1"/>
      <c r="EZX126" s="1"/>
      <c r="EZY126" s="1"/>
      <c r="EZZ126" s="1"/>
      <c r="FAA126" s="1"/>
      <c r="FAB126" s="1"/>
      <c r="FAC126" s="1"/>
      <c r="FAD126" s="1"/>
      <c r="FAE126" s="1"/>
      <c r="FAF126" s="1"/>
      <c r="FAG126" s="1"/>
      <c r="FAH126" s="1"/>
      <c r="FAI126" s="1"/>
      <c r="FAJ126" s="1"/>
      <c r="FAK126" s="1"/>
      <c r="FAL126" s="1"/>
      <c r="FAM126" s="1"/>
      <c r="FAN126" s="1"/>
      <c r="FAO126" s="1"/>
      <c r="FAP126" s="1"/>
      <c r="FAQ126" s="1"/>
      <c r="FAR126" s="1"/>
      <c r="FAS126" s="1"/>
      <c r="FAT126" s="1"/>
      <c r="FAU126" s="1"/>
      <c r="FAV126" s="1"/>
      <c r="FAW126" s="1"/>
      <c r="FAX126" s="1"/>
      <c r="FAY126" s="1"/>
      <c r="FAZ126" s="1"/>
      <c r="FBA126" s="1"/>
      <c r="FBB126" s="1"/>
      <c r="FBC126" s="1"/>
      <c r="FBD126" s="1"/>
      <c r="FBE126" s="1"/>
      <c r="FBF126" s="1"/>
      <c r="FBG126" s="1"/>
      <c r="FBH126" s="1"/>
      <c r="FBI126" s="1"/>
      <c r="FBJ126" s="1"/>
      <c r="FBK126" s="1"/>
      <c r="FBL126" s="1"/>
      <c r="FBM126" s="1"/>
      <c r="FBN126" s="1"/>
      <c r="FBO126" s="1"/>
      <c r="FBP126" s="1"/>
      <c r="FBQ126" s="1"/>
      <c r="FBR126" s="1"/>
      <c r="FBS126" s="1"/>
      <c r="FBT126" s="1"/>
      <c r="FBU126" s="1"/>
      <c r="FBV126" s="1"/>
      <c r="FBW126" s="1"/>
      <c r="FBX126" s="1"/>
      <c r="FBY126" s="1"/>
      <c r="FBZ126" s="1"/>
      <c r="FCA126" s="1"/>
      <c r="FCB126" s="1"/>
      <c r="FCC126" s="1"/>
      <c r="FCD126" s="1"/>
      <c r="FCE126" s="1"/>
      <c r="FCF126" s="1"/>
      <c r="FCG126" s="1"/>
      <c r="FCH126" s="1"/>
      <c r="FCI126" s="1"/>
      <c r="FCJ126" s="1"/>
      <c r="FCK126" s="1"/>
      <c r="FCL126" s="1"/>
      <c r="FCM126" s="1"/>
      <c r="FCN126" s="1"/>
      <c r="FCO126" s="1"/>
      <c r="FCP126" s="1"/>
      <c r="FCQ126" s="1"/>
      <c r="FCR126" s="1"/>
      <c r="FCS126" s="1"/>
      <c r="FCT126" s="1"/>
      <c r="FCU126" s="1"/>
      <c r="FCV126" s="1"/>
      <c r="FCW126" s="1"/>
      <c r="FCX126" s="1"/>
      <c r="FCY126" s="1"/>
      <c r="FCZ126" s="1"/>
      <c r="FDA126" s="1"/>
      <c r="FDB126" s="1"/>
      <c r="FDC126" s="1"/>
      <c r="FDD126" s="1"/>
      <c r="FDE126" s="1"/>
      <c r="FDF126" s="1"/>
      <c r="FDG126" s="1"/>
      <c r="FDH126" s="1"/>
      <c r="FDI126" s="1"/>
      <c r="FDJ126" s="1"/>
      <c r="FDK126" s="1"/>
      <c r="FDL126" s="1"/>
      <c r="FDM126" s="1"/>
      <c r="FDN126" s="1"/>
      <c r="FDO126" s="1"/>
      <c r="FDP126" s="1"/>
      <c r="FDQ126" s="1"/>
      <c r="FDR126" s="1"/>
      <c r="FDS126" s="1"/>
      <c r="FDT126" s="1"/>
      <c r="FDU126" s="1"/>
      <c r="FDV126" s="1"/>
      <c r="FDW126" s="1"/>
      <c r="FDX126" s="1"/>
      <c r="FDY126" s="1"/>
      <c r="FDZ126" s="1"/>
      <c r="FEA126" s="1"/>
      <c r="FEB126" s="1"/>
      <c r="FEC126" s="1"/>
      <c r="FED126" s="1"/>
      <c r="FEE126" s="1"/>
      <c r="FEF126" s="1"/>
      <c r="FEG126" s="1"/>
      <c r="FEH126" s="1"/>
      <c r="FEI126" s="1"/>
      <c r="FEJ126" s="1"/>
      <c r="FEK126" s="1"/>
      <c r="FEL126" s="1"/>
      <c r="FEM126" s="1"/>
      <c r="FEN126" s="1"/>
      <c r="FEO126" s="1"/>
      <c r="FEP126" s="1"/>
      <c r="FEQ126" s="1"/>
      <c r="FER126" s="1"/>
      <c r="FES126" s="1"/>
      <c r="FET126" s="1"/>
      <c r="FEU126" s="1"/>
      <c r="FEV126" s="1"/>
      <c r="FEW126" s="1"/>
      <c r="FEX126" s="1"/>
      <c r="FEY126" s="1"/>
      <c r="FEZ126" s="1"/>
      <c r="FFA126" s="1"/>
      <c r="FFB126" s="1"/>
      <c r="FFC126" s="1"/>
      <c r="FFD126" s="1"/>
      <c r="FFE126" s="1"/>
      <c r="FFF126" s="1"/>
      <c r="FFG126" s="1"/>
      <c r="FFH126" s="1"/>
      <c r="FFI126" s="1"/>
      <c r="FFJ126" s="1"/>
      <c r="FFK126" s="1"/>
      <c r="FFL126" s="1"/>
      <c r="FFM126" s="1"/>
      <c r="FFN126" s="1"/>
      <c r="FFO126" s="1"/>
      <c r="FFP126" s="1"/>
      <c r="FFQ126" s="1"/>
      <c r="FFR126" s="1"/>
      <c r="FFS126" s="1"/>
      <c r="FFT126" s="1"/>
      <c r="FFU126" s="1"/>
      <c r="FFV126" s="1"/>
      <c r="FFW126" s="1"/>
      <c r="FFX126" s="1"/>
      <c r="FFY126" s="1"/>
      <c r="FFZ126" s="1"/>
      <c r="FGA126" s="1"/>
      <c r="FGB126" s="1"/>
      <c r="FGC126" s="1"/>
      <c r="FGD126" s="1"/>
      <c r="FGE126" s="1"/>
      <c r="FGF126" s="1"/>
      <c r="FGG126" s="1"/>
      <c r="FGH126" s="1"/>
      <c r="FGI126" s="1"/>
      <c r="FGJ126" s="1"/>
      <c r="FGK126" s="1"/>
      <c r="FGL126" s="1"/>
      <c r="FGM126" s="1"/>
      <c r="FGN126" s="1"/>
      <c r="FGO126" s="1"/>
      <c r="FGP126" s="1"/>
      <c r="FGQ126" s="1"/>
      <c r="FGR126" s="1"/>
      <c r="FGS126" s="1"/>
      <c r="FGT126" s="1"/>
      <c r="FGU126" s="1"/>
      <c r="FGV126" s="1"/>
      <c r="FGW126" s="1"/>
      <c r="FGX126" s="1"/>
      <c r="FGY126" s="1"/>
      <c r="FGZ126" s="1"/>
      <c r="FHA126" s="1"/>
      <c r="FHB126" s="1"/>
      <c r="FHC126" s="1"/>
      <c r="FHD126" s="1"/>
      <c r="FHE126" s="1"/>
      <c r="FHF126" s="1"/>
      <c r="FHG126" s="1"/>
      <c r="FHH126" s="1"/>
      <c r="FHI126" s="1"/>
      <c r="FHJ126" s="1"/>
      <c r="FHK126" s="1"/>
      <c r="FHL126" s="1"/>
      <c r="FHM126" s="1"/>
      <c r="FHN126" s="1"/>
      <c r="FHO126" s="1"/>
      <c r="FHP126" s="1"/>
      <c r="FHQ126" s="1"/>
      <c r="FHR126" s="1"/>
      <c r="FHS126" s="1"/>
      <c r="FHT126" s="1"/>
      <c r="FHU126" s="1"/>
      <c r="FHV126" s="1"/>
      <c r="FHW126" s="1"/>
      <c r="FHX126" s="1"/>
      <c r="FHY126" s="1"/>
      <c r="FHZ126" s="1"/>
      <c r="FIA126" s="1"/>
      <c r="FIB126" s="1"/>
      <c r="FIC126" s="1"/>
      <c r="FID126" s="1"/>
      <c r="FIE126" s="1"/>
      <c r="FIF126" s="1"/>
      <c r="FIG126" s="1"/>
      <c r="FIH126" s="1"/>
      <c r="FII126" s="1"/>
      <c r="FIJ126" s="1"/>
      <c r="FIK126" s="1"/>
      <c r="FIL126" s="1"/>
      <c r="FIM126" s="1"/>
      <c r="FIN126" s="1"/>
      <c r="FIO126" s="1"/>
      <c r="FIP126" s="1"/>
      <c r="FIQ126" s="1"/>
      <c r="FIR126" s="1"/>
      <c r="FIS126" s="1"/>
      <c r="FIT126" s="1"/>
      <c r="FIU126" s="1"/>
      <c r="FIV126" s="1"/>
      <c r="FIW126" s="1"/>
      <c r="FIX126" s="1"/>
      <c r="FIY126" s="1"/>
      <c r="FIZ126" s="1"/>
      <c r="FJA126" s="1"/>
      <c r="FJB126" s="1"/>
      <c r="FJC126" s="1"/>
      <c r="FJD126" s="1"/>
      <c r="FJE126" s="1"/>
      <c r="FJF126" s="1"/>
      <c r="FJG126" s="1"/>
      <c r="FJH126" s="1"/>
      <c r="FJI126" s="1"/>
      <c r="FJJ126" s="1"/>
      <c r="FJK126" s="1"/>
      <c r="FJL126" s="1"/>
      <c r="FJM126" s="1"/>
      <c r="FJN126" s="1"/>
      <c r="FJO126" s="1"/>
      <c r="FJP126" s="1"/>
      <c r="FJQ126" s="1"/>
      <c r="FJR126" s="1"/>
      <c r="FJS126" s="1"/>
      <c r="FJT126" s="1"/>
      <c r="FJU126" s="1"/>
      <c r="FJV126" s="1"/>
      <c r="FJW126" s="1"/>
      <c r="FJX126" s="1"/>
      <c r="FJY126" s="1"/>
      <c r="FJZ126" s="1"/>
      <c r="FKA126" s="1"/>
      <c r="FKB126" s="1"/>
      <c r="FKC126" s="1"/>
      <c r="FKD126" s="1"/>
      <c r="FKE126" s="1"/>
      <c r="FKF126" s="1"/>
      <c r="FKG126" s="1"/>
      <c r="FKH126" s="1"/>
      <c r="FKI126" s="1"/>
      <c r="FKJ126" s="1"/>
      <c r="FKK126" s="1"/>
      <c r="FKL126" s="1"/>
      <c r="FKM126" s="1"/>
      <c r="FKN126" s="1"/>
      <c r="FKO126" s="1"/>
      <c r="FKP126" s="1"/>
      <c r="FKQ126" s="1"/>
      <c r="FKR126" s="1"/>
      <c r="FKS126" s="1"/>
      <c r="FKT126" s="1"/>
      <c r="FKU126" s="1"/>
      <c r="FKV126" s="1"/>
      <c r="FKW126" s="1"/>
      <c r="FKX126" s="1"/>
      <c r="FKY126" s="1"/>
      <c r="FKZ126" s="1"/>
      <c r="FLA126" s="1"/>
      <c r="FLB126" s="1"/>
      <c r="FLC126" s="1"/>
      <c r="FLD126" s="1"/>
      <c r="FLE126" s="1"/>
      <c r="FLF126" s="1"/>
      <c r="FLG126" s="1"/>
      <c r="FLH126" s="1"/>
      <c r="FLI126" s="1"/>
      <c r="FLJ126" s="1"/>
      <c r="FLK126" s="1"/>
      <c r="FLL126" s="1"/>
      <c r="FLM126" s="1"/>
      <c r="FLN126" s="1"/>
      <c r="FLO126" s="1"/>
      <c r="FLP126" s="1"/>
      <c r="FLQ126" s="1"/>
      <c r="FLR126" s="1"/>
      <c r="FLS126" s="1"/>
      <c r="FLT126" s="1"/>
      <c r="FLU126" s="1"/>
      <c r="FLV126" s="1"/>
      <c r="FLW126" s="1"/>
      <c r="FLX126" s="1"/>
      <c r="FLY126" s="1"/>
      <c r="FLZ126" s="1"/>
      <c r="FMA126" s="1"/>
      <c r="FMB126" s="1"/>
      <c r="FMC126" s="1"/>
      <c r="FMD126" s="1"/>
      <c r="FME126" s="1"/>
      <c r="FMF126" s="1"/>
      <c r="FMG126" s="1"/>
      <c r="FMH126" s="1"/>
      <c r="FMI126" s="1"/>
      <c r="FMJ126" s="1"/>
      <c r="FMK126" s="1"/>
      <c r="FML126" s="1"/>
      <c r="FMM126" s="1"/>
      <c r="FMN126" s="1"/>
      <c r="FMO126" s="1"/>
      <c r="FMP126" s="1"/>
      <c r="FMQ126" s="1"/>
      <c r="FMR126" s="1"/>
      <c r="FMS126" s="1"/>
      <c r="FMT126" s="1"/>
      <c r="FMU126" s="1"/>
      <c r="FMV126" s="1"/>
      <c r="FMW126" s="1"/>
      <c r="FMX126" s="1"/>
      <c r="FMY126" s="1"/>
      <c r="FMZ126" s="1"/>
      <c r="FNA126" s="1"/>
      <c r="FNB126" s="1"/>
      <c r="FNC126" s="1"/>
      <c r="FND126" s="1"/>
      <c r="FNE126" s="1"/>
      <c r="FNF126" s="1"/>
      <c r="FNG126" s="1"/>
      <c r="FNH126" s="1"/>
      <c r="FNI126" s="1"/>
      <c r="FNJ126" s="1"/>
      <c r="FNK126" s="1"/>
      <c r="FNL126" s="1"/>
      <c r="FNM126" s="1"/>
      <c r="FNN126" s="1"/>
      <c r="FNO126" s="1"/>
      <c r="FNP126" s="1"/>
      <c r="FNQ126" s="1"/>
      <c r="FNR126" s="1"/>
      <c r="FNS126" s="1"/>
      <c r="FNT126" s="1"/>
      <c r="FNU126" s="1"/>
      <c r="FNV126" s="1"/>
      <c r="FNW126" s="1"/>
      <c r="FNX126" s="1"/>
      <c r="FNY126" s="1"/>
      <c r="FNZ126" s="1"/>
      <c r="FOA126" s="1"/>
      <c r="FOB126" s="1"/>
      <c r="FOC126" s="1"/>
      <c r="FOD126" s="1"/>
      <c r="FOE126" s="1"/>
      <c r="FOF126" s="1"/>
      <c r="FOG126" s="1"/>
      <c r="FOH126" s="1"/>
      <c r="FOI126" s="1"/>
      <c r="FOJ126" s="1"/>
      <c r="FOK126" s="1"/>
      <c r="FOL126" s="1"/>
      <c r="FOM126" s="1"/>
      <c r="FON126" s="1"/>
      <c r="FOO126" s="1"/>
      <c r="FOP126" s="1"/>
      <c r="FOQ126" s="1"/>
      <c r="FOR126" s="1"/>
      <c r="FOS126" s="1"/>
      <c r="FOT126" s="1"/>
      <c r="FOU126" s="1"/>
      <c r="FOV126" s="1"/>
      <c r="FOW126" s="1"/>
      <c r="FOX126" s="1"/>
      <c r="FOY126" s="1"/>
      <c r="FOZ126" s="1"/>
      <c r="FPA126" s="1"/>
      <c r="FPB126" s="1"/>
      <c r="FPC126" s="1"/>
      <c r="FPD126" s="1"/>
      <c r="FPE126" s="1"/>
      <c r="FPF126" s="1"/>
      <c r="FPG126" s="1"/>
      <c r="FPH126" s="1"/>
      <c r="FPI126" s="1"/>
      <c r="FPJ126" s="1"/>
      <c r="FPK126" s="1"/>
      <c r="FPL126" s="1"/>
      <c r="FPM126" s="1"/>
      <c r="FPN126" s="1"/>
      <c r="FPO126" s="1"/>
      <c r="FPP126" s="1"/>
      <c r="FPQ126" s="1"/>
      <c r="FPR126" s="1"/>
      <c r="FPS126" s="1"/>
      <c r="FPT126" s="1"/>
      <c r="FPU126" s="1"/>
      <c r="FPV126" s="1"/>
      <c r="FPW126" s="1"/>
      <c r="FPX126" s="1"/>
      <c r="FPY126" s="1"/>
      <c r="FPZ126" s="1"/>
      <c r="FQA126" s="1"/>
      <c r="FQB126" s="1"/>
      <c r="FQC126" s="1"/>
      <c r="FQD126" s="1"/>
      <c r="FQE126" s="1"/>
      <c r="FQF126" s="1"/>
      <c r="FQG126" s="1"/>
      <c r="FQH126" s="1"/>
      <c r="FQI126" s="1"/>
      <c r="FQJ126" s="1"/>
      <c r="FQK126" s="1"/>
      <c r="FQL126" s="1"/>
      <c r="FQM126" s="1"/>
      <c r="FQN126" s="1"/>
      <c r="FQO126" s="1"/>
      <c r="FQP126" s="1"/>
      <c r="FQQ126" s="1"/>
      <c r="FQR126" s="1"/>
      <c r="FQS126" s="1"/>
      <c r="FQT126" s="1"/>
      <c r="FQU126" s="1"/>
      <c r="FQV126" s="1"/>
      <c r="FQW126" s="1"/>
      <c r="FQX126" s="1"/>
      <c r="FQY126" s="1"/>
      <c r="FQZ126" s="1"/>
      <c r="FRA126" s="1"/>
      <c r="FRB126" s="1"/>
      <c r="FRC126" s="1"/>
      <c r="FRD126" s="1"/>
      <c r="FRE126" s="1"/>
      <c r="FRF126" s="1"/>
      <c r="FRG126" s="1"/>
      <c r="FRH126" s="1"/>
      <c r="FRI126" s="1"/>
      <c r="FRJ126" s="1"/>
      <c r="FRK126" s="1"/>
      <c r="FRL126" s="1"/>
      <c r="FRM126" s="1"/>
      <c r="FRN126" s="1"/>
      <c r="FRO126" s="1"/>
      <c r="FRP126" s="1"/>
      <c r="FRQ126" s="1"/>
      <c r="FRR126" s="1"/>
      <c r="FRS126" s="1"/>
      <c r="FRT126" s="1"/>
      <c r="FRU126" s="1"/>
      <c r="FRV126" s="1"/>
      <c r="FRW126" s="1"/>
      <c r="FRX126" s="1"/>
      <c r="FRY126" s="1"/>
      <c r="FRZ126" s="1"/>
      <c r="FSA126" s="1"/>
      <c r="FSB126" s="1"/>
      <c r="FSC126" s="1"/>
      <c r="FSD126" s="1"/>
      <c r="FSE126" s="1"/>
      <c r="FSF126" s="1"/>
      <c r="FSG126" s="1"/>
      <c r="FSH126" s="1"/>
      <c r="FSI126" s="1"/>
      <c r="FSJ126" s="1"/>
      <c r="FSK126" s="1"/>
      <c r="FSL126" s="1"/>
      <c r="FSM126" s="1"/>
      <c r="FSN126" s="1"/>
      <c r="FSO126" s="1"/>
      <c r="FSP126" s="1"/>
      <c r="FSQ126" s="1"/>
      <c r="FSR126" s="1"/>
      <c r="FSS126" s="1"/>
      <c r="FST126" s="1"/>
      <c r="FSU126" s="1"/>
      <c r="FSV126" s="1"/>
      <c r="FSW126" s="1"/>
      <c r="FSX126" s="1"/>
      <c r="FSY126" s="1"/>
      <c r="FSZ126" s="1"/>
      <c r="FTA126" s="1"/>
      <c r="FTB126" s="1"/>
      <c r="FTC126" s="1"/>
      <c r="FTD126" s="1"/>
      <c r="FTE126" s="1"/>
      <c r="FTF126" s="1"/>
      <c r="FTG126" s="1"/>
      <c r="FTH126" s="1"/>
      <c r="FTI126" s="1"/>
      <c r="FTJ126" s="1"/>
      <c r="FTK126" s="1"/>
      <c r="FTL126" s="1"/>
      <c r="FTM126" s="1"/>
      <c r="FTN126" s="1"/>
      <c r="FTO126" s="1"/>
      <c r="FTP126" s="1"/>
      <c r="FTQ126" s="1"/>
      <c r="FTR126" s="1"/>
      <c r="FTS126" s="1"/>
      <c r="FTT126" s="1"/>
      <c r="FTU126" s="1"/>
      <c r="FTV126" s="1"/>
      <c r="FTW126" s="1"/>
      <c r="FTX126" s="1"/>
      <c r="FTY126" s="1"/>
      <c r="FTZ126" s="1"/>
      <c r="FUA126" s="1"/>
      <c r="FUB126" s="1"/>
      <c r="FUC126" s="1"/>
      <c r="FUD126" s="1"/>
      <c r="FUE126" s="1"/>
      <c r="FUF126" s="1"/>
      <c r="FUG126" s="1"/>
      <c r="FUH126" s="1"/>
      <c r="FUI126" s="1"/>
      <c r="FUJ126" s="1"/>
      <c r="FUK126" s="1"/>
      <c r="FUL126" s="1"/>
      <c r="FUM126" s="1"/>
      <c r="FUN126" s="1"/>
      <c r="FUO126" s="1"/>
      <c r="FUP126" s="1"/>
      <c r="FUQ126" s="1"/>
      <c r="FUR126" s="1"/>
      <c r="FUS126" s="1"/>
      <c r="FUT126" s="1"/>
      <c r="FUU126" s="1"/>
      <c r="FUV126" s="1"/>
      <c r="FUW126" s="1"/>
      <c r="FUX126" s="1"/>
      <c r="FUY126" s="1"/>
      <c r="FUZ126" s="1"/>
      <c r="FVA126" s="1"/>
      <c r="FVB126" s="1"/>
      <c r="FVC126" s="1"/>
      <c r="FVD126" s="1"/>
      <c r="FVE126" s="1"/>
      <c r="FVF126" s="1"/>
      <c r="FVG126" s="1"/>
      <c r="FVH126" s="1"/>
      <c r="FVI126" s="1"/>
      <c r="FVJ126" s="1"/>
      <c r="FVK126" s="1"/>
      <c r="FVL126" s="1"/>
      <c r="FVM126" s="1"/>
      <c r="FVN126" s="1"/>
      <c r="FVO126" s="1"/>
      <c r="FVP126" s="1"/>
      <c r="FVQ126" s="1"/>
      <c r="FVR126" s="1"/>
      <c r="FVS126" s="1"/>
      <c r="FVT126" s="1"/>
      <c r="FVU126" s="1"/>
      <c r="FVV126" s="1"/>
      <c r="FVW126" s="1"/>
      <c r="FVX126" s="1"/>
      <c r="FVY126" s="1"/>
      <c r="FVZ126" s="1"/>
      <c r="FWA126" s="1"/>
      <c r="FWB126" s="1"/>
      <c r="FWC126" s="1"/>
      <c r="FWD126" s="1"/>
      <c r="FWE126" s="1"/>
      <c r="FWF126" s="1"/>
      <c r="FWG126" s="1"/>
      <c r="FWH126" s="1"/>
      <c r="FWI126" s="1"/>
      <c r="FWJ126" s="1"/>
      <c r="FWK126" s="1"/>
      <c r="FWL126" s="1"/>
      <c r="FWM126" s="1"/>
      <c r="FWN126" s="1"/>
      <c r="FWO126" s="1"/>
      <c r="FWP126" s="1"/>
      <c r="FWQ126" s="1"/>
      <c r="FWR126" s="1"/>
      <c r="FWS126" s="1"/>
      <c r="FWT126" s="1"/>
      <c r="FWU126" s="1"/>
      <c r="FWV126" s="1"/>
      <c r="FWW126" s="1"/>
      <c r="FWX126" s="1"/>
      <c r="FWY126" s="1"/>
      <c r="FWZ126" s="1"/>
      <c r="FXA126" s="1"/>
      <c r="FXB126" s="1"/>
      <c r="FXC126" s="1"/>
      <c r="FXD126" s="1"/>
      <c r="FXE126" s="1"/>
      <c r="FXF126" s="1"/>
      <c r="FXG126" s="1"/>
      <c r="FXH126" s="1"/>
      <c r="FXI126" s="1"/>
      <c r="FXJ126" s="1"/>
      <c r="FXK126" s="1"/>
      <c r="FXL126" s="1"/>
      <c r="FXM126" s="1"/>
      <c r="FXN126" s="1"/>
      <c r="FXO126" s="1"/>
      <c r="FXP126" s="1"/>
      <c r="FXQ126" s="1"/>
      <c r="FXR126" s="1"/>
      <c r="FXS126" s="1"/>
      <c r="FXT126" s="1"/>
      <c r="FXU126" s="1"/>
      <c r="FXV126" s="1"/>
      <c r="FXW126" s="1"/>
      <c r="FXX126" s="1"/>
      <c r="FXY126" s="1"/>
      <c r="FXZ126" s="1"/>
      <c r="FYA126" s="1"/>
      <c r="FYB126" s="1"/>
      <c r="FYC126" s="1"/>
      <c r="FYD126" s="1"/>
      <c r="FYE126" s="1"/>
      <c r="FYF126" s="1"/>
      <c r="FYG126" s="1"/>
      <c r="FYH126" s="1"/>
      <c r="FYI126" s="1"/>
      <c r="FYJ126" s="1"/>
      <c r="FYK126" s="1"/>
      <c r="FYL126" s="1"/>
      <c r="FYM126" s="1"/>
      <c r="FYN126" s="1"/>
      <c r="FYO126" s="1"/>
      <c r="FYP126" s="1"/>
      <c r="FYQ126" s="1"/>
      <c r="FYR126" s="1"/>
      <c r="FYS126" s="1"/>
      <c r="FYT126" s="1"/>
      <c r="FYU126" s="1"/>
      <c r="FYV126" s="1"/>
      <c r="FYW126" s="1"/>
      <c r="FYX126" s="1"/>
      <c r="FYY126" s="1"/>
      <c r="FYZ126" s="1"/>
      <c r="FZA126" s="1"/>
      <c r="FZB126" s="1"/>
      <c r="FZC126" s="1"/>
      <c r="FZD126" s="1"/>
      <c r="FZE126" s="1"/>
      <c r="FZF126" s="1"/>
      <c r="FZG126" s="1"/>
      <c r="FZH126" s="1"/>
      <c r="FZI126" s="1"/>
      <c r="FZJ126" s="1"/>
      <c r="FZK126" s="1"/>
      <c r="FZL126" s="1"/>
      <c r="FZM126" s="1"/>
      <c r="FZN126" s="1"/>
      <c r="FZO126" s="1"/>
      <c r="FZP126" s="1"/>
      <c r="FZQ126" s="1"/>
      <c r="FZR126" s="1"/>
      <c r="FZS126" s="1"/>
      <c r="FZT126" s="1"/>
      <c r="FZU126" s="1"/>
      <c r="FZV126" s="1"/>
      <c r="FZW126" s="1"/>
      <c r="FZX126" s="1"/>
      <c r="FZY126" s="1"/>
      <c r="FZZ126" s="1"/>
      <c r="GAA126" s="1"/>
      <c r="GAB126" s="1"/>
      <c r="GAC126" s="1"/>
      <c r="GAD126" s="1"/>
      <c r="GAE126" s="1"/>
      <c r="GAF126" s="1"/>
      <c r="GAG126" s="1"/>
      <c r="GAH126" s="1"/>
      <c r="GAI126" s="1"/>
      <c r="GAJ126" s="1"/>
      <c r="GAK126" s="1"/>
      <c r="GAL126" s="1"/>
      <c r="GAM126" s="1"/>
      <c r="GAN126" s="1"/>
      <c r="GAO126" s="1"/>
      <c r="GAP126" s="1"/>
      <c r="GAQ126" s="1"/>
      <c r="GAR126" s="1"/>
      <c r="GAS126" s="1"/>
      <c r="GAT126" s="1"/>
      <c r="GAU126" s="1"/>
      <c r="GAV126" s="1"/>
      <c r="GAW126" s="1"/>
      <c r="GAX126" s="1"/>
      <c r="GAY126" s="1"/>
      <c r="GAZ126" s="1"/>
      <c r="GBA126" s="1"/>
      <c r="GBB126" s="1"/>
      <c r="GBC126" s="1"/>
      <c r="GBD126" s="1"/>
      <c r="GBE126" s="1"/>
      <c r="GBF126" s="1"/>
      <c r="GBG126" s="1"/>
      <c r="GBH126" s="1"/>
      <c r="GBI126" s="1"/>
      <c r="GBJ126" s="1"/>
      <c r="GBK126" s="1"/>
      <c r="GBL126" s="1"/>
      <c r="GBM126" s="1"/>
      <c r="GBN126" s="1"/>
      <c r="GBO126" s="1"/>
      <c r="GBP126" s="1"/>
      <c r="GBQ126" s="1"/>
      <c r="GBR126" s="1"/>
      <c r="GBS126" s="1"/>
      <c r="GBT126" s="1"/>
      <c r="GBU126" s="1"/>
      <c r="GBV126" s="1"/>
      <c r="GBW126" s="1"/>
      <c r="GBX126" s="1"/>
      <c r="GBY126" s="1"/>
      <c r="GBZ126" s="1"/>
      <c r="GCA126" s="1"/>
      <c r="GCB126" s="1"/>
      <c r="GCC126" s="1"/>
      <c r="GCD126" s="1"/>
      <c r="GCE126" s="1"/>
      <c r="GCF126" s="1"/>
      <c r="GCG126" s="1"/>
      <c r="GCH126" s="1"/>
      <c r="GCI126" s="1"/>
      <c r="GCJ126" s="1"/>
      <c r="GCK126" s="1"/>
      <c r="GCL126" s="1"/>
      <c r="GCM126" s="1"/>
      <c r="GCN126" s="1"/>
      <c r="GCO126" s="1"/>
      <c r="GCP126" s="1"/>
      <c r="GCQ126" s="1"/>
      <c r="GCR126" s="1"/>
      <c r="GCS126" s="1"/>
      <c r="GCT126" s="1"/>
      <c r="GCU126" s="1"/>
      <c r="GCV126" s="1"/>
      <c r="GCW126" s="1"/>
      <c r="GCX126" s="1"/>
      <c r="GCY126" s="1"/>
      <c r="GCZ126" s="1"/>
      <c r="GDA126" s="1"/>
      <c r="GDB126" s="1"/>
      <c r="GDC126" s="1"/>
      <c r="GDD126" s="1"/>
      <c r="GDE126" s="1"/>
      <c r="GDF126" s="1"/>
      <c r="GDG126" s="1"/>
      <c r="GDH126" s="1"/>
      <c r="GDI126" s="1"/>
      <c r="GDJ126" s="1"/>
      <c r="GDK126" s="1"/>
      <c r="GDL126" s="1"/>
      <c r="GDM126" s="1"/>
      <c r="GDN126" s="1"/>
      <c r="GDO126" s="1"/>
      <c r="GDP126" s="1"/>
      <c r="GDQ126" s="1"/>
      <c r="GDR126" s="1"/>
      <c r="GDS126" s="1"/>
      <c r="GDT126" s="1"/>
      <c r="GDU126" s="1"/>
      <c r="GDV126" s="1"/>
      <c r="GDW126" s="1"/>
      <c r="GDX126" s="1"/>
      <c r="GDY126" s="1"/>
      <c r="GDZ126" s="1"/>
      <c r="GEA126" s="1"/>
      <c r="GEB126" s="1"/>
      <c r="GEC126" s="1"/>
      <c r="GED126" s="1"/>
      <c r="GEE126" s="1"/>
      <c r="GEF126" s="1"/>
      <c r="GEG126" s="1"/>
      <c r="GEH126" s="1"/>
      <c r="GEI126" s="1"/>
      <c r="GEJ126" s="1"/>
      <c r="GEK126" s="1"/>
      <c r="GEL126" s="1"/>
      <c r="GEM126" s="1"/>
      <c r="GEN126" s="1"/>
      <c r="GEO126" s="1"/>
      <c r="GEP126" s="1"/>
      <c r="GEQ126" s="1"/>
      <c r="GER126" s="1"/>
      <c r="GES126" s="1"/>
      <c r="GET126" s="1"/>
      <c r="GEU126" s="1"/>
      <c r="GEV126" s="1"/>
      <c r="GEW126" s="1"/>
      <c r="GEX126" s="1"/>
      <c r="GEY126" s="1"/>
      <c r="GEZ126" s="1"/>
      <c r="GFA126" s="1"/>
      <c r="GFB126" s="1"/>
      <c r="GFC126" s="1"/>
      <c r="GFD126" s="1"/>
      <c r="GFE126" s="1"/>
      <c r="GFF126" s="1"/>
      <c r="GFG126" s="1"/>
      <c r="GFH126" s="1"/>
      <c r="GFI126" s="1"/>
      <c r="GFJ126" s="1"/>
      <c r="GFK126" s="1"/>
      <c r="GFL126" s="1"/>
      <c r="GFM126" s="1"/>
      <c r="GFN126" s="1"/>
      <c r="GFO126" s="1"/>
      <c r="GFP126" s="1"/>
      <c r="GFQ126" s="1"/>
      <c r="GFR126" s="1"/>
      <c r="GFS126" s="1"/>
      <c r="GFT126" s="1"/>
      <c r="GFU126" s="1"/>
      <c r="GFV126" s="1"/>
      <c r="GFW126" s="1"/>
      <c r="GFX126" s="1"/>
      <c r="GFY126" s="1"/>
      <c r="GFZ126" s="1"/>
      <c r="GGA126" s="1"/>
      <c r="GGB126" s="1"/>
      <c r="GGC126" s="1"/>
      <c r="GGD126" s="1"/>
      <c r="GGE126" s="1"/>
      <c r="GGF126" s="1"/>
      <c r="GGG126" s="1"/>
      <c r="GGH126" s="1"/>
      <c r="GGI126" s="1"/>
      <c r="GGJ126" s="1"/>
      <c r="GGK126" s="1"/>
      <c r="GGL126" s="1"/>
      <c r="GGM126" s="1"/>
      <c r="GGN126" s="1"/>
      <c r="GGO126" s="1"/>
      <c r="GGP126" s="1"/>
      <c r="GGQ126" s="1"/>
      <c r="GGR126" s="1"/>
      <c r="GGS126" s="1"/>
      <c r="GGT126" s="1"/>
      <c r="GGU126" s="1"/>
      <c r="GGV126" s="1"/>
      <c r="GGW126" s="1"/>
      <c r="GGX126" s="1"/>
      <c r="GGY126" s="1"/>
      <c r="GGZ126" s="1"/>
      <c r="GHA126" s="1"/>
      <c r="GHB126" s="1"/>
      <c r="GHC126" s="1"/>
      <c r="GHD126" s="1"/>
      <c r="GHE126" s="1"/>
      <c r="GHF126" s="1"/>
      <c r="GHG126" s="1"/>
      <c r="GHH126" s="1"/>
      <c r="GHI126" s="1"/>
      <c r="GHJ126" s="1"/>
      <c r="GHK126" s="1"/>
      <c r="GHL126" s="1"/>
      <c r="GHM126" s="1"/>
      <c r="GHN126" s="1"/>
      <c r="GHO126" s="1"/>
      <c r="GHP126" s="1"/>
      <c r="GHQ126" s="1"/>
      <c r="GHR126" s="1"/>
      <c r="GHS126" s="1"/>
      <c r="GHT126" s="1"/>
      <c r="GHU126" s="1"/>
      <c r="GHV126" s="1"/>
      <c r="GHW126" s="1"/>
      <c r="GHX126" s="1"/>
      <c r="GHY126" s="1"/>
      <c r="GHZ126" s="1"/>
      <c r="GIA126" s="1"/>
      <c r="GIB126" s="1"/>
      <c r="GIC126" s="1"/>
      <c r="GID126" s="1"/>
      <c r="GIE126" s="1"/>
      <c r="GIF126" s="1"/>
      <c r="GIG126" s="1"/>
      <c r="GIH126" s="1"/>
      <c r="GII126" s="1"/>
      <c r="GIJ126" s="1"/>
      <c r="GIK126" s="1"/>
      <c r="GIL126" s="1"/>
      <c r="GIM126" s="1"/>
      <c r="GIN126" s="1"/>
      <c r="GIO126" s="1"/>
      <c r="GIP126" s="1"/>
      <c r="GIQ126" s="1"/>
      <c r="GIR126" s="1"/>
      <c r="GIS126" s="1"/>
      <c r="GIT126" s="1"/>
      <c r="GIU126" s="1"/>
      <c r="GIV126" s="1"/>
      <c r="GIW126" s="1"/>
      <c r="GIX126" s="1"/>
      <c r="GIY126" s="1"/>
      <c r="GIZ126" s="1"/>
      <c r="GJA126" s="1"/>
      <c r="GJB126" s="1"/>
      <c r="GJC126" s="1"/>
      <c r="GJD126" s="1"/>
      <c r="GJE126" s="1"/>
      <c r="GJF126" s="1"/>
      <c r="GJG126" s="1"/>
      <c r="GJH126" s="1"/>
      <c r="GJI126" s="1"/>
      <c r="GJJ126" s="1"/>
      <c r="GJK126" s="1"/>
      <c r="GJL126" s="1"/>
      <c r="GJM126" s="1"/>
      <c r="GJN126" s="1"/>
      <c r="GJO126" s="1"/>
      <c r="GJP126" s="1"/>
      <c r="GJQ126" s="1"/>
      <c r="GJR126" s="1"/>
      <c r="GJS126" s="1"/>
      <c r="GJT126" s="1"/>
      <c r="GJU126" s="1"/>
      <c r="GJV126" s="1"/>
      <c r="GJW126" s="1"/>
      <c r="GJX126" s="1"/>
      <c r="GJY126" s="1"/>
      <c r="GJZ126" s="1"/>
      <c r="GKA126" s="1"/>
      <c r="GKB126" s="1"/>
      <c r="GKC126" s="1"/>
      <c r="GKD126" s="1"/>
      <c r="GKE126" s="1"/>
      <c r="GKF126" s="1"/>
      <c r="GKG126" s="1"/>
      <c r="GKH126" s="1"/>
      <c r="GKI126" s="1"/>
      <c r="GKJ126" s="1"/>
      <c r="GKK126" s="1"/>
      <c r="GKL126" s="1"/>
      <c r="GKM126" s="1"/>
      <c r="GKN126" s="1"/>
      <c r="GKO126" s="1"/>
      <c r="GKP126" s="1"/>
      <c r="GKQ126" s="1"/>
      <c r="GKR126" s="1"/>
      <c r="GKS126" s="1"/>
      <c r="GKT126" s="1"/>
      <c r="GKU126" s="1"/>
      <c r="GKV126" s="1"/>
      <c r="GKW126" s="1"/>
      <c r="GKX126" s="1"/>
      <c r="GKY126" s="1"/>
      <c r="GKZ126" s="1"/>
      <c r="GLA126" s="1"/>
      <c r="GLB126" s="1"/>
      <c r="GLC126" s="1"/>
      <c r="GLD126" s="1"/>
      <c r="GLE126" s="1"/>
      <c r="GLF126" s="1"/>
      <c r="GLG126" s="1"/>
      <c r="GLH126" s="1"/>
      <c r="GLI126" s="1"/>
      <c r="GLJ126" s="1"/>
      <c r="GLK126" s="1"/>
      <c r="GLL126" s="1"/>
      <c r="GLM126" s="1"/>
      <c r="GLN126" s="1"/>
      <c r="GLO126" s="1"/>
      <c r="GLP126" s="1"/>
      <c r="GLQ126" s="1"/>
      <c r="GLR126" s="1"/>
      <c r="GLS126" s="1"/>
      <c r="GLT126" s="1"/>
      <c r="GLU126" s="1"/>
      <c r="GLV126" s="1"/>
      <c r="GLW126" s="1"/>
      <c r="GLX126" s="1"/>
      <c r="GLY126" s="1"/>
      <c r="GLZ126" s="1"/>
      <c r="GMA126" s="1"/>
      <c r="GMB126" s="1"/>
      <c r="GMC126" s="1"/>
      <c r="GMD126" s="1"/>
      <c r="GME126" s="1"/>
      <c r="GMF126" s="1"/>
      <c r="GMG126" s="1"/>
      <c r="GMH126" s="1"/>
      <c r="GMI126" s="1"/>
      <c r="GMJ126" s="1"/>
      <c r="GMK126" s="1"/>
      <c r="GML126" s="1"/>
      <c r="GMM126" s="1"/>
      <c r="GMN126" s="1"/>
      <c r="GMO126" s="1"/>
      <c r="GMP126" s="1"/>
      <c r="GMQ126" s="1"/>
      <c r="GMR126" s="1"/>
      <c r="GMS126" s="1"/>
      <c r="GMT126" s="1"/>
      <c r="GMU126" s="1"/>
      <c r="GMV126" s="1"/>
      <c r="GMW126" s="1"/>
      <c r="GMX126" s="1"/>
      <c r="GMY126" s="1"/>
      <c r="GMZ126" s="1"/>
      <c r="GNA126" s="1"/>
      <c r="GNB126" s="1"/>
      <c r="GNC126" s="1"/>
      <c r="GND126" s="1"/>
      <c r="GNE126" s="1"/>
      <c r="GNF126" s="1"/>
      <c r="GNG126" s="1"/>
      <c r="GNH126" s="1"/>
      <c r="GNI126" s="1"/>
      <c r="GNJ126" s="1"/>
      <c r="GNK126" s="1"/>
      <c r="GNL126" s="1"/>
      <c r="GNM126" s="1"/>
      <c r="GNN126" s="1"/>
      <c r="GNO126" s="1"/>
      <c r="GNP126" s="1"/>
      <c r="GNQ126" s="1"/>
      <c r="GNR126" s="1"/>
      <c r="GNS126" s="1"/>
      <c r="GNT126" s="1"/>
      <c r="GNU126" s="1"/>
      <c r="GNV126" s="1"/>
      <c r="GNW126" s="1"/>
      <c r="GNX126" s="1"/>
      <c r="GNY126" s="1"/>
      <c r="GNZ126" s="1"/>
      <c r="GOA126" s="1"/>
      <c r="GOB126" s="1"/>
      <c r="GOC126" s="1"/>
      <c r="GOD126" s="1"/>
      <c r="GOE126" s="1"/>
      <c r="GOF126" s="1"/>
      <c r="GOG126" s="1"/>
      <c r="GOH126" s="1"/>
      <c r="GOI126" s="1"/>
      <c r="GOJ126" s="1"/>
      <c r="GOK126" s="1"/>
      <c r="GOL126" s="1"/>
      <c r="GOM126" s="1"/>
      <c r="GON126" s="1"/>
      <c r="GOO126" s="1"/>
      <c r="GOP126" s="1"/>
      <c r="GOQ126" s="1"/>
      <c r="GOR126" s="1"/>
      <c r="GOS126" s="1"/>
      <c r="GOT126" s="1"/>
      <c r="GOU126" s="1"/>
      <c r="GOV126" s="1"/>
      <c r="GOW126" s="1"/>
      <c r="GOX126" s="1"/>
      <c r="GOY126" s="1"/>
      <c r="GOZ126" s="1"/>
      <c r="GPA126" s="1"/>
      <c r="GPB126" s="1"/>
      <c r="GPC126" s="1"/>
      <c r="GPD126" s="1"/>
      <c r="GPE126" s="1"/>
      <c r="GPF126" s="1"/>
      <c r="GPG126" s="1"/>
      <c r="GPH126" s="1"/>
      <c r="GPI126" s="1"/>
      <c r="GPJ126" s="1"/>
      <c r="GPK126" s="1"/>
      <c r="GPL126" s="1"/>
      <c r="GPM126" s="1"/>
      <c r="GPN126" s="1"/>
      <c r="GPO126" s="1"/>
      <c r="GPP126" s="1"/>
      <c r="GPQ126" s="1"/>
      <c r="GPR126" s="1"/>
      <c r="GPS126" s="1"/>
      <c r="GPT126" s="1"/>
      <c r="GPU126" s="1"/>
      <c r="GPV126" s="1"/>
      <c r="GPW126" s="1"/>
      <c r="GPX126" s="1"/>
      <c r="GPY126" s="1"/>
      <c r="GPZ126" s="1"/>
      <c r="GQA126" s="1"/>
      <c r="GQB126" s="1"/>
      <c r="GQC126" s="1"/>
      <c r="GQD126" s="1"/>
      <c r="GQE126" s="1"/>
      <c r="GQF126" s="1"/>
      <c r="GQG126" s="1"/>
      <c r="GQH126" s="1"/>
      <c r="GQI126" s="1"/>
      <c r="GQJ126" s="1"/>
      <c r="GQK126" s="1"/>
      <c r="GQL126" s="1"/>
      <c r="GQM126" s="1"/>
      <c r="GQN126" s="1"/>
      <c r="GQO126" s="1"/>
      <c r="GQP126" s="1"/>
      <c r="GQQ126" s="1"/>
      <c r="GQR126" s="1"/>
      <c r="GQS126" s="1"/>
      <c r="GQT126" s="1"/>
      <c r="GQU126" s="1"/>
      <c r="GQV126" s="1"/>
      <c r="GQW126" s="1"/>
      <c r="GQX126" s="1"/>
      <c r="GQY126" s="1"/>
      <c r="GQZ126" s="1"/>
      <c r="GRA126" s="1"/>
      <c r="GRB126" s="1"/>
      <c r="GRC126" s="1"/>
      <c r="GRD126" s="1"/>
      <c r="GRE126" s="1"/>
      <c r="GRF126" s="1"/>
      <c r="GRG126" s="1"/>
      <c r="GRH126" s="1"/>
      <c r="GRI126" s="1"/>
      <c r="GRJ126" s="1"/>
      <c r="GRK126" s="1"/>
      <c r="GRL126" s="1"/>
      <c r="GRM126" s="1"/>
      <c r="GRN126" s="1"/>
      <c r="GRO126" s="1"/>
      <c r="GRP126" s="1"/>
      <c r="GRQ126" s="1"/>
      <c r="GRR126" s="1"/>
      <c r="GRS126" s="1"/>
      <c r="GRT126" s="1"/>
      <c r="GRU126" s="1"/>
      <c r="GRV126" s="1"/>
      <c r="GRW126" s="1"/>
      <c r="GRX126" s="1"/>
      <c r="GRY126" s="1"/>
      <c r="GRZ126" s="1"/>
      <c r="GSA126" s="1"/>
      <c r="GSB126" s="1"/>
      <c r="GSC126" s="1"/>
      <c r="GSD126" s="1"/>
      <c r="GSE126" s="1"/>
      <c r="GSF126" s="1"/>
      <c r="GSG126" s="1"/>
      <c r="GSH126" s="1"/>
      <c r="GSI126" s="1"/>
      <c r="GSJ126" s="1"/>
      <c r="GSK126" s="1"/>
      <c r="GSL126" s="1"/>
      <c r="GSM126" s="1"/>
      <c r="GSN126" s="1"/>
      <c r="GSO126" s="1"/>
      <c r="GSP126" s="1"/>
      <c r="GSQ126" s="1"/>
      <c r="GSR126" s="1"/>
      <c r="GSS126" s="1"/>
      <c r="GST126" s="1"/>
      <c r="GSU126" s="1"/>
      <c r="GSV126" s="1"/>
      <c r="GSW126" s="1"/>
      <c r="GSX126" s="1"/>
      <c r="GSY126" s="1"/>
      <c r="GSZ126" s="1"/>
      <c r="GTA126" s="1"/>
      <c r="GTB126" s="1"/>
      <c r="GTC126" s="1"/>
      <c r="GTD126" s="1"/>
      <c r="GTE126" s="1"/>
      <c r="GTF126" s="1"/>
      <c r="GTG126" s="1"/>
      <c r="GTH126" s="1"/>
      <c r="GTI126" s="1"/>
      <c r="GTJ126" s="1"/>
      <c r="GTK126" s="1"/>
      <c r="GTL126" s="1"/>
      <c r="GTM126" s="1"/>
      <c r="GTN126" s="1"/>
      <c r="GTO126" s="1"/>
      <c r="GTP126" s="1"/>
      <c r="GTQ126" s="1"/>
      <c r="GTR126" s="1"/>
      <c r="GTS126" s="1"/>
      <c r="GTT126" s="1"/>
      <c r="GTU126" s="1"/>
      <c r="GTV126" s="1"/>
      <c r="GTW126" s="1"/>
      <c r="GTX126" s="1"/>
      <c r="GTY126" s="1"/>
      <c r="GTZ126" s="1"/>
      <c r="GUA126" s="1"/>
      <c r="GUB126" s="1"/>
      <c r="GUC126" s="1"/>
      <c r="GUD126" s="1"/>
      <c r="GUE126" s="1"/>
      <c r="GUF126" s="1"/>
      <c r="GUG126" s="1"/>
      <c r="GUH126" s="1"/>
      <c r="GUI126" s="1"/>
      <c r="GUJ126" s="1"/>
      <c r="GUK126" s="1"/>
      <c r="GUL126" s="1"/>
      <c r="GUM126" s="1"/>
      <c r="GUN126" s="1"/>
      <c r="GUO126" s="1"/>
      <c r="GUP126" s="1"/>
      <c r="GUQ126" s="1"/>
      <c r="GUR126" s="1"/>
      <c r="GUS126" s="1"/>
      <c r="GUT126" s="1"/>
      <c r="GUU126" s="1"/>
      <c r="GUV126" s="1"/>
      <c r="GUW126" s="1"/>
      <c r="GUX126" s="1"/>
      <c r="GUY126" s="1"/>
      <c r="GUZ126" s="1"/>
      <c r="GVA126" s="1"/>
      <c r="GVB126" s="1"/>
      <c r="GVC126" s="1"/>
      <c r="GVD126" s="1"/>
      <c r="GVE126" s="1"/>
      <c r="GVF126" s="1"/>
      <c r="GVG126" s="1"/>
      <c r="GVH126" s="1"/>
      <c r="GVI126" s="1"/>
      <c r="GVJ126" s="1"/>
      <c r="GVK126" s="1"/>
      <c r="GVL126" s="1"/>
      <c r="GVM126" s="1"/>
      <c r="GVN126" s="1"/>
      <c r="GVO126" s="1"/>
      <c r="GVP126" s="1"/>
      <c r="GVQ126" s="1"/>
      <c r="GVR126" s="1"/>
      <c r="GVS126" s="1"/>
      <c r="GVT126" s="1"/>
      <c r="GVU126" s="1"/>
      <c r="GVV126" s="1"/>
      <c r="GVW126" s="1"/>
      <c r="GVX126" s="1"/>
      <c r="GVY126" s="1"/>
      <c r="GVZ126" s="1"/>
      <c r="GWA126" s="1"/>
      <c r="GWB126" s="1"/>
      <c r="GWC126" s="1"/>
      <c r="GWD126" s="1"/>
      <c r="GWE126" s="1"/>
      <c r="GWF126" s="1"/>
      <c r="GWG126" s="1"/>
      <c r="GWH126" s="1"/>
      <c r="GWI126" s="1"/>
      <c r="GWJ126" s="1"/>
      <c r="GWK126" s="1"/>
      <c r="GWL126" s="1"/>
      <c r="GWM126" s="1"/>
      <c r="GWN126" s="1"/>
      <c r="GWO126" s="1"/>
      <c r="GWP126" s="1"/>
      <c r="GWQ126" s="1"/>
      <c r="GWR126" s="1"/>
      <c r="GWS126" s="1"/>
      <c r="GWT126" s="1"/>
      <c r="GWU126" s="1"/>
      <c r="GWV126" s="1"/>
      <c r="GWW126" s="1"/>
      <c r="GWX126" s="1"/>
      <c r="GWY126" s="1"/>
      <c r="GWZ126" s="1"/>
      <c r="GXA126" s="1"/>
      <c r="GXB126" s="1"/>
      <c r="GXC126" s="1"/>
      <c r="GXD126" s="1"/>
      <c r="GXE126" s="1"/>
      <c r="GXF126" s="1"/>
      <c r="GXG126" s="1"/>
      <c r="GXH126" s="1"/>
      <c r="GXI126" s="1"/>
      <c r="GXJ126" s="1"/>
      <c r="GXK126" s="1"/>
      <c r="GXL126" s="1"/>
      <c r="GXM126" s="1"/>
      <c r="GXN126" s="1"/>
      <c r="GXO126" s="1"/>
      <c r="GXP126" s="1"/>
      <c r="GXQ126" s="1"/>
      <c r="GXR126" s="1"/>
      <c r="GXS126" s="1"/>
      <c r="GXT126" s="1"/>
      <c r="GXU126" s="1"/>
      <c r="GXV126" s="1"/>
      <c r="GXW126" s="1"/>
      <c r="GXX126" s="1"/>
      <c r="GXY126" s="1"/>
      <c r="GXZ126" s="1"/>
      <c r="GYA126" s="1"/>
      <c r="GYB126" s="1"/>
      <c r="GYC126" s="1"/>
      <c r="GYD126" s="1"/>
      <c r="GYE126" s="1"/>
      <c r="GYF126" s="1"/>
      <c r="GYG126" s="1"/>
      <c r="GYH126" s="1"/>
      <c r="GYI126" s="1"/>
      <c r="GYJ126" s="1"/>
      <c r="GYK126" s="1"/>
      <c r="GYL126" s="1"/>
      <c r="GYM126" s="1"/>
      <c r="GYN126" s="1"/>
      <c r="GYO126" s="1"/>
      <c r="GYP126" s="1"/>
      <c r="GYQ126" s="1"/>
      <c r="GYR126" s="1"/>
      <c r="GYS126" s="1"/>
      <c r="GYT126" s="1"/>
      <c r="GYU126" s="1"/>
      <c r="GYV126" s="1"/>
      <c r="GYW126" s="1"/>
      <c r="GYX126" s="1"/>
      <c r="GYY126" s="1"/>
      <c r="GYZ126" s="1"/>
      <c r="GZA126" s="1"/>
      <c r="GZB126" s="1"/>
      <c r="GZC126" s="1"/>
      <c r="GZD126" s="1"/>
      <c r="GZE126" s="1"/>
      <c r="GZF126" s="1"/>
      <c r="GZG126" s="1"/>
      <c r="GZH126" s="1"/>
      <c r="GZI126" s="1"/>
      <c r="GZJ126" s="1"/>
      <c r="GZK126" s="1"/>
      <c r="GZL126" s="1"/>
      <c r="GZM126" s="1"/>
      <c r="GZN126" s="1"/>
      <c r="GZO126" s="1"/>
      <c r="GZP126" s="1"/>
      <c r="GZQ126" s="1"/>
      <c r="GZR126" s="1"/>
      <c r="GZS126" s="1"/>
      <c r="GZT126" s="1"/>
      <c r="GZU126" s="1"/>
      <c r="GZV126" s="1"/>
      <c r="GZW126" s="1"/>
      <c r="GZX126" s="1"/>
      <c r="GZY126" s="1"/>
      <c r="GZZ126" s="1"/>
      <c r="HAA126" s="1"/>
      <c r="HAB126" s="1"/>
      <c r="HAC126" s="1"/>
      <c r="HAD126" s="1"/>
      <c r="HAE126" s="1"/>
      <c r="HAF126" s="1"/>
      <c r="HAG126" s="1"/>
      <c r="HAH126" s="1"/>
      <c r="HAI126" s="1"/>
      <c r="HAJ126" s="1"/>
      <c r="HAK126" s="1"/>
      <c r="HAL126" s="1"/>
      <c r="HAM126" s="1"/>
      <c r="HAN126" s="1"/>
      <c r="HAO126" s="1"/>
      <c r="HAP126" s="1"/>
      <c r="HAQ126" s="1"/>
      <c r="HAR126" s="1"/>
      <c r="HAS126" s="1"/>
      <c r="HAT126" s="1"/>
      <c r="HAU126" s="1"/>
      <c r="HAV126" s="1"/>
      <c r="HAW126" s="1"/>
      <c r="HAX126" s="1"/>
      <c r="HAY126" s="1"/>
      <c r="HAZ126" s="1"/>
      <c r="HBA126" s="1"/>
      <c r="HBB126" s="1"/>
      <c r="HBC126" s="1"/>
      <c r="HBD126" s="1"/>
      <c r="HBE126" s="1"/>
      <c r="HBF126" s="1"/>
      <c r="HBG126" s="1"/>
      <c r="HBH126" s="1"/>
      <c r="HBI126" s="1"/>
      <c r="HBJ126" s="1"/>
      <c r="HBK126" s="1"/>
      <c r="HBL126" s="1"/>
      <c r="HBM126" s="1"/>
      <c r="HBN126" s="1"/>
      <c r="HBO126" s="1"/>
      <c r="HBP126" s="1"/>
      <c r="HBQ126" s="1"/>
      <c r="HBR126" s="1"/>
      <c r="HBS126" s="1"/>
      <c r="HBT126" s="1"/>
      <c r="HBU126" s="1"/>
      <c r="HBV126" s="1"/>
      <c r="HBW126" s="1"/>
      <c r="HBX126" s="1"/>
      <c r="HBY126" s="1"/>
      <c r="HBZ126" s="1"/>
      <c r="HCA126" s="1"/>
      <c r="HCB126" s="1"/>
      <c r="HCC126" s="1"/>
      <c r="HCD126" s="1"/>
      <c r="HCE126" s="1"/>
      <c r="HCF126" s="1"/>
      <c r="HCG126" s="1"/>
      <c r="HCH126" s="1"/>
      <c r="HCI126" s="1"/>
      <c r="HCJ126" s="1"/>
      <c r="HCK126" s="1"/>
      <c r="HCL126" s="1"/>
      <c r="HCM126" s="1"/>
      <c r="HCN126" s="1"/>
      <c r="HCO126" s="1"/>
      <c r="HCP126" s="1"/>
      <c r="HCQ126" s="1"/>
      <c r="HCR126" s="1"/>
      <c r="HCS126" s="1"/>
      <c r="HCT126" s="1"/>
      <c r="HCU126" s="1"/>
      <c r="HCV126" s="1"/>
      <c r="HCW126" s="1"/>
      <c r="HCX126" s="1"/>
      <c r="HCY126" s="1"/>
      <c r="HCZ126" s="1"/>
      <c r="HDA126" s="1"/>
      <c r="HDB126" s="1"/>
      <c r="HDC126" s="1"/>
      <c r="HDD126" s="1"/>
      <c r="HDE126" s="1"/>
      <c r="HDF126" s="1"/>
      <c r="HDG126" s="1"/>
      <c r="HDH126" s="1"/>
      <c r="HDI126" s="1"/>
      <c r="HDJ126" s="1"/>
      <c r="HDK126" s="1"/>
      <c r="HDL126" s="1"/>
      <c r="HDM126" s="1"/>
      <c r="HDN126" s="1"/>
      <c r="HDO126" s="1"/>
      <c r="HDP126" s="1"/>
      <c r="HDQ126" s="1"/>
      <c r="HDR126" s="1"/>
      <c r="HDS126" s="1"/>
      <c r="HDT126" s="1"/>
      <c r="HDU126" s="1"/>
      <c r="HDV126" s="1"/>
      <c r="HDW126" s="1"/>
      <c r="HDX126" s="1"/>
      <c r="HDY126" s="1"/>
      <c r="HDZ126" s="1"/>
      <c r="HEA126" s="1"/>
      <c r="HEB126" s="1"/>
      <c r="HEC126" s="1"/>
      <c r="HED126" s="1"/>
      <c r="HEE126" s="1"/>
      <c r="HEF126" s="1"/>
      <c r="HEG126" s="1"/>
      <c r="HEH126" s="1"/>
      <c r="HEI126" s="1"/>
      <c r="HEJ126" s="1"/>
      <c r="HEK126" s="1"/>
      <c r="HEL126" s="1"/>
      <c r="HEM126" s="1"/>
      <c r="HEN126" s="1"/>
      <c r="HEO126" s="1"/>
      <c r="HEP126" s="1"/>
      <c r="HEQ126" s="1"/>
      <c r="HER126" s="1"/>
      <c r="HES126" s="1"/>
      <c r="HET126" s="1"/>
      <c r="HEU126" s="1"/>
      <c r="HEV126" s="1"/>
      <c r="HEW126" s="1"/>
      <c r="HEX126" s="1"/>
      <c r="HEY126" s="1"/>
      <c r="HEZ126" s="1"/>
      <c r="HFA126" s="1"/>
      <c r="HFB126" s="1"/>
      <c r="HFC126" s="1"/>
      <c r="HFD126" s="1"/>
      <c r="HFE126" s="1"/>
      <c r="HFF126" s="1"/>
      <c r="HFG126" s="1"/>
      <c r="HFH126" s="1"/>
      <c r="HFI126" s="1"/>
      <c r="HFJ126" s="1"/>
      <c r="HFK126" s="1"/>
      <c r="HFL126" s="1"/>
      <c r="HFM126" s="1"/>
      <c r="HFN126" s="1"/>
      <c r="HFO126" s="1"/>
      <c r="HFP126" s="1"/>
      <c r="HFQ126" s="1"/>
      <c r="HFR126" s="1"/>
      <c r="HFS126" s="1"/>
      <c r="HFT126" s="1"/>
      <c r="HFU126" s="1"/>
      <c r="HFV126" s="1"/>
      <c r="HFW126" s="1"/>
      <c r="HFX126" s="1"/>
      <c r="HFY126" s="1"/>
      <c r="HFZ126" s="1"/>
      <c r="HGA126" s="1"/>
      <c r="HGB126" s="1"/>
      <c r="HGC126" s="1"/>
      <c r="HGD126" s="1"/>
      <c r="HGE126" s="1"/>
      <c r="HGF126" s="1"/>
      <c r="HGG126" s="1"/>
      <c r="HGH126" s="1"/>
      <c r="HGI126" s="1"/>
      <c r="HGJ126" s="1"/>
      <c r="HGK126" s="1"/>
      <c r="HGL126" s="1"/>
      <c r="HGM126" s="1"/>
      <c r="HGN126" s="1"/>
      <c r="HGO126" s="1"/>
      <c r="HGP126" s="1"/>
      <c r="HGQ126" s="1"/>
      <c r="HGR126" s="1"/>
      <c r="HGS126" s="1"/>
      <c r="HGT126" s="1"/>
      <c r="HGU126" s="1"/>
      <c r="HGV126" s="1"/>
      <c r="HGW126" s="1"/>
      <c r="HGX126" s="1"/>
      <c r="HGY126" s="1"/>
      <c r="HGZ126" s="1"/>
      <c r="HHA126" s="1"/>
      <c r="HHB126" s="1"/>
      <c r="HHC126" s="1"/>
      <c r="HHD126" s="1"/>
      <c r="HHE126" s="1"/>
      <c r="HHF126" s="1"/>
      <c r="HHG126" s="1"/>
      <c r="HHH126" s="1"/>
      <c r="HHI126" s="1"/>
      <c r="HHJ126" s="1"/>
      <c r="HHK126" s="1"/>
      <c r="HHL126" s="1"/>
      <c r="HHM126" s="1"/>
      <c r="HHN126" s="1"/>
      <c r="HHO126" s="1"/>
      <c r="HHP126" s="1"/>
      <c r="HHQ126" s="1"/>
      <c r="HHR126" s="1"/>
      <c r="HHS126" s="1"/>
      <c r="HHT126" s="1"/>
      <c r="HHU126" s="1"/>
      <c r="HHV126" s="1"/>
      <c r="HHW126" s="1"/>
      <c r="HHX126" s="1"/>
      <c r="HHY126" s="1"/>
      <c r="HHZ126" s="1"/>
      <c r="HIA126" s="1"/>
      <c r="HIB126" s="1"/>
      <c r="HIC126" s="1"/>
      <c r="HID126" s="1"/>
      <c r="HIE126" s="1"/>
      <c r="HIF126" s="1"/>
      <c r="HIG126" s="1"/>
      <c r="HIH126" s="1"/>
      <c r="HII126" s="1"/>
      <c r="HIJ126" s="1"/>
      <c r="HIK126" s="1"/>
      <c r="HIL126" s="1"/>
      <c r="HIM126" s="1"/>
      <c r="HIN126" s="1"/>
      <c r="HIO126" s="1"/>
      <c r="HIP126" s="1"/>
      <c r="HIQ126" s="1"/>
      <c r="HIR126" s="1"/>
      <c r="HIS126" s="1"/>
      <c r="HIT126" s="1"/>
      <c r="HIU126" s="1"/>
      <c r="HIV126" s="1"/>
      <c r="HIW126" s="1"/>
      <c r="HIX126" s="1"/>
      <c r="HIY126" s="1"/>
      <c r="HIZ126" s="1"/>
      <c r="HJA126" s="1"/>
      <c r="HJB126" s="1"/>
      <c r="HJC126" s="1"/>
      <c r="HJD126" s="1"/>
      <c r="HJE126" s="1"/>
      <c r="HJF126" s="1"/>
      <c r="HJG126" s="1"/>
      <c r="HJH126" s="1"/>
      <c r="HJI126" s="1"/>
      <c r="HJJ126" s="1"/>
      <c r="HJK126" s="1"/>
      <c r="HJL126" s="1"/>
      <c r="HJM126" s="1"/>
      <c r="HJN126" s="1"/>
      <c r="HJO126" s="1"/>
      <c r="HJP126" s="1"/>
      <c r="HJQ126" s="1"/>
      <c r="HJR126" s="1"/>
      <c r="HJS126" s="1"/>
      <c r="HJT126" s="1"/>
      <c r="HJU126" s="1"/>
      <c r="HJV126" s="1"/>
      <c r="HJW126" s="1"/>
      <c r="HJX126" s="1"/>
      <c r="HJY126" s="1"/>
      <c r="HJZ126" s="1"/>
      <c r="HKA126" s="1"/>
      <c r="HKB126" s="1"/>
      <c r="HKC126" s="1"/>
      <c r="HKD126" s="1"/>
      <c r="HKE126" s="1"/>
      <c r="HKF126" s="1"/>
      <c r="HKG126" s="1"/>
      <c r="HKH126" s="1"/>
      <c r="HKI126" s="1"/>
      <c r="HKJ126" s="1"/>
      <c r="HKK126" s="1"/>
      <c r="HKL126" s="1"/>
      <c r="HKM126" s="1"/>
      <c r="HKN126" s="1"/>
      <c r="HKO126" s="1"/>
      <c r="HKP126" s="1"/>
      <c r="HKQ126" s="1"/>
      <c r="HKR126" s="1"/>
      <c r="HKS126" s="1"/>
      <c r="HKT126" s="1"/>
      <c r="HKU126" s="1"/>
      <c r="HKV126" s="1"/>
      <c r="HKW126" s="1"/>
      <c r="HKX126" s="1"/>
      <c r="HKY126" s="1"/>
      <c r="HKZ126" s="1"/>
      <c r="HLA126" s="1"/>
      <c r="HLB126" s="1"/>
      <c r="HLC126" s="1"/>
      <c r="HLD126" s="1"/>
      <c r="HLE126" s="1"/>
      <c r="HLF126" s="1"/>
      <c r="HLG126" s="1"/>
      <c r="HLH126" s="1"/>
      <c r="HLI126" s="1"/>
      <c r="HLJ126" s="1"/>
      <c r="HLK126" s="1"/>
      <c r="HLL126" s="1"/>
      <c r="HLM126" s="1"/>
      <c r="HLN126" s="1"/>
      <c r="HLO126" s="1"/>
      <c r="HLP126" s="1"/>
      <c r="HLQ126" s="1"/>
      <c r="HLR126" s="1"/>
      <c r="HLS126" s="1"/>
      <c r="HLT126" s="1"/>
      <c r="HLU126" s="1"/>
      <c r="HLV126" s="1"/>
      <c r="HLW126" s="1"/>
      <c r="HLX126" s="1"/>
      <c r="HLY126" s="1"/>
      <c r="HLZ126" s="1"/>
      <c r="HMA126" s="1"/>
      <c r="HMB126" s="1"/>
      <c r="HMC126" s="1"/>
      <c r="HMD126" s="1"/>
      <c r="HME126" s="1"/>
      <c r="HMF126" s="1"/>
      <c r="HMG126" s="1"/>
      <c r="HMH126" s="1"/>
      <c r="HMI126" s="1"/>
      <c r="HMJ126" s="1"/>
      <c r="HMK126" s="1"/>
      <c r="HML126" s="1"/>
      <c r="HMM126" s="1"/>
      <c r="HMN126" s="1"/>
      <c r="HMO126" s="1"/>
      <c r="HMP126" s="1"/>
      <c r="HMQ126" s="1"/>
      <c r="HMR126" s="1"/>
      <c r="HMS126" s="1"/>
      <c r="HMT126" s="1"/>
      <c r="HMU126" s="1"/>
      <c r="HMV126" s="1"/>
      <c r="HMW126" s="1"/>
      <c r="HMX126" s="1"/>
      <c r="HMY126" s="1"/>
      <c r="HMZ126" s="1"/>
      <c r="HNA126" s="1"/>
      <c r="HNB126" s="1"/>
      <c r="HNC126" s="1"/>
      <c r="HND126" s="1"/>
      <c r="HNE126" s="1"/>
      <c r="HNF126" s="1"/>
      <c r="HNG126" s="1"/>
      <c r="HNH126" s="1"/>
      <c r="HNI126" s="1"/>
      <c r="HNJ126" s="1"/>
      <c r="HNK126" s="1"/>
      <c r="HNL126" s="1"/>
      <c r="HNM126" s="1"/>
      <c r="HNN126" s="1"/>
      <c r="HNO126" s="1"/>
      <c r="HNP126" s="1"/>
      <c r="HNQ126" s="1"/>
      <c r="HNR126" s="1"/>
      <c r="HNS126" s="1"/>
      <c r="HNT126" s="1"/>
      <c r="HNU126" s="1"/>
      <c r="HNV126" s="1"/>
      <c r="HNW126" s="1"/>
      <c r="HNX126" s="1"/>
      <c r="HNY126" s="1"/>
      <c r="HNZ126" s="1"/>
      <c r="HOA126" s="1"/>
      <c r="HOB126" s="1"/>
      <c r="HOC126" s="1"/>
      <c r="HOD126" s="1"/>
      <c r="HOE126" s="1"/>
      <c r="HOF126" s="1"/>
      <c r="HOG126" s="1"/>
      <c r="HOH126" s="1"/>
      <c r="HOI126" s="1"/>
      <c r="HOJ126" s="1"/>
      <c r="HOK126" s="1"/>
      <c r="HOL126" s="1"/>
      <c r="HOM126" s="1"/>
      <c r="HON126" s="1"/>
      <c r="HOO126" s="1"/>
      <c r="HOP126" s="1"/>
      <c r="HOQ126" s="1"/>
      <c r="HOR126" s="1"/>
      <c r="HOS126" s="1"/>
      <c r="HOT126" s="1"/>
      <c r="HOU126" s="1"/>
      <c r="HOV126" s="1"/>
      <c r="HOW126" s="1"/>
      <c r="HOX126" s="1"/>
      <c r="HOY126" s="1"/>
      <c r="HOZ126" s="1"/>
      <c r="HPA126" s="1"/>
      <c r="HPB126" s="1"/>
      <c r="HPC126" s="1"/>
      <c r="HPD126" s="1"/>
      <c r="HPE126" s="1"/>
      <c r="HPF126" s="1"/>
      <c r="HPG126" s="1"/>
      <c r="HPH126" s="1"/>
      <c r="HPI126" s="1"/>
      <c r="HPJ126" s="1"/>
      <c r="HPK126" s="1"/>
      <c r="HPL126" s="1"/>
      <c r="HPM126" s="1"/>
      <c r="HPN126" s="1"/>
      <c r="HPO126" s="1"/>
      <c r="HPP126" s="1"/>
      <c r="HPQ126" s="1"/>
      <c r="HPR126" s="1"/>
      <c r="HPS126" s="1"/>
      <c r="HPT126" s="1"/>
      <c r="HPU126" s="1"/>
      <c r="HPV126" s="1"/>
      <c r="HPW126" s="1"/>
      <c r="HPX126" s="1"/>
      <c r="HPY126" s="1"/>
      <c r="HPZ126" s="1"/>
      <c r="HQA126" s="1"/>
      <c r="HQB126" s="1"/>
      <c r="HQC126" s="1"/>
      <c r="HQD126" s="1"/>
      <c r="HQE126" s="1"/>
      <c r="HQF126" s="1"/>
      <c r="HQG126" s="1"/>
      <c r="HQH126" s="1"/>
      <c r="HQI126" s="1"/>
      <c r="HQJ126" s="1"/>
      <c r="HQK126" s="1"/>
      <c r="HQL126" s="1"/>
      <c r="HQM126" s="1"/>
      <c r="HQN126" s="1"/>
      <c r="HQO126" s="1"/>
      <c r="HQP126" s="1"/>
      <c r="HQQ126" s="1"/>
      <c r="HQR126" s="1"/>
      <c r="HQS126" s="1"/>
      <c r="HQT126" s="1"/>
      <c r="HQU126" s="1"/>
      <c r="HQV126" s="1"/>
      <c r="HQW126" s="1"/>
      <c r="HQX126" s="1"/>
      <c r="HQY126" s="1"/>
      <c r="HQZ126" s="1"/>
      <c r="HRA126" s="1"/>
      <c r="HRB126" s="1"/>
      <c r="HRC126" s="1"/>
      <c r="HRD126" s="1"/>
      <c r="HRE126" s="1"/>
      <c r="HRF126" s="1"/>
      <c r="HRG126" s="1"/>
      <c r="HRH126" s="1"/>
      <c r="HRI126" s="1"/>
      <c r="HRJ126" s="1"/>
      <c r="HRK126" s="1"/>
      <c r="HRL126" s="1"/>
      <c r="HRM126" s="1"/>
      <c r="HRN126" s="1"/>
      <c r="HRO126" s="1"/>
      <c r="HRP126" s="1"/>
      <c r="HRQ126" s="1"/>
      <c r="HRR126" s="1"/>
      <c r="HRS126" s="1"/>
      <c r="HRT126" s="1"/>
      <c r="HRU126" s="1"/>
      <c r="HRV126" s="1"/>
      <c r="HRW126" s="1"/>
      <c r="HRX126" s="1"/>
      <c r="HRY126" s="1"/>
      <c r="HRZ126" s="1"/>
      <c r="HSA126" s="1"/>
      <c r="HSB126" s="1"/>
      <c r="HSC126" s="1"/>
      <c r="HSD126" s="1"/>
      <c r="HSE126" s="1"/>
      <c r="HSF126" s="1"/>
      <c r="HSG126" s="1"/>
      <c r="HSH126" s="1"/>
      <c r="HSI126" s="1"/>
      <c r="HSJ126" s="1"/>
      <c r="HSK126" s="1"/>
      <c r="HSL126" s="1"/>
      <c r="HSM126" s="1"/>
      <c r="HSN126" s="1"/>
      <c r="HSO126" s="1"/>
      <c r="HSP126" s="1"/>
      <c r="HSQ126" s="1"/>
      <c r="HSR126" s="1"/>
      <c r="HSS126" s="1"/>
      <c r="HST126" s="1"/>
      <c r="HSU126" s="1"/>
      <c r="HSV126" s="1"/>
      <c r="HSW126" s="1"/>
      <c r="HSX126" s="1"/>
      <c r="HSY126" s="1"/>
      <c r="HSZ126" s="1"/>
      <c r="HTA126" s="1"/>
      <c r="HTB126" s="1"/>
      <c r="HTC126" s="1"/>
      <c r="HTD126" s="1"/>
      <c r="HTE126" s="1"/>
      <c r="HTF126" s="1"/>
      <c r="HTG126" s="1"/>
      <c r="HTH126" s="1"/>
      <c r="HTI126" s="1"/>
      <c r="HTJ126" s="1"/>
      <c r="HTK126" s="1"/>
      <c r="HTL126" s="1"/>
      <c r="HTM126" s="1"/>
      <c r="HTN126" s="1"/>
      <c r="HTO126" s="1"/>
      <c r="HTP126" s="1"/>
      <c r="HTQ126" s="1"/>
      <c r="HTR126" s="1"/>
      <c r="HTS126" s="1"/>
      <c r="HTT126" s="1"/>
      <c r="HTU126" s="1"/>
      <c r="HTV126" s="1"/>
      <c r="HTW126" s="1"/>
      <c r="HTX126" s="1"/>
      <c r="HTY126" s="1"/>
      <c r="HTZ126" s="1"/>
      <c r="HUA126" s="1"/>
      <c r="HUB126" s="1"/>
      <c r="HUC126" s="1"/>
      <c r="HUD126" s="1"/>
      <c r="HUE126" s="1"/>
      <c r="HUF126" s="1"/>
      <c r="HUG126" s="1"/>
      <c r="HUH126" s="1"/>
      <c r="HUI126" s="1"/>
      <c r="HUJ126" s="1"/>
      <c r="HUK126" s="1"/>
      <c r="HUL126" s="1"/>
      <c r="HUM126" s="1"/>
      <c r="HUN126" s="1"/>
      <c r="HUO126" s="1"/>
      <c r="HUP126" s="1"/>
      <c r="HUQ126" s="1"/>
      <c r="HUR126" s="1"/>
      <c r="HUS126" s="1"/>
      <c r="HUT126" s="1"/>
      <c r="HUU126" s="1"/>
      <c r="HUV126" s="1"/>
      <c r="HUW126" s="1"/>
      <c r="HUX126" s="1"/>
      <c r="HUY126" s="1"/>
      <c r="HUZ126" s="1"/>
      <c r="HVA126" s="1"/>
      <c r="HVB126" s="1"/>
      <c r="HVC126" s="1"/>
      <c r="HVD126" s="1"/>
      <c r="HVE126" s="1"/>
      <c r="HVF126" s="1"/>
      <c r="HVG126" s="1"/>
      <c r="HVH126" s="1"/>
      <c r="HVI126" s="1"/>
      <c r="HVJ126" s="1"/>
      <c r="HVK126" s="1"/>
      <c r="HVL126" s="1"/>
      <c r="HVM126" s="1"/>
      <c r="HVN126" s="1"/>
      <c r="HVO126" s="1"/>
      <c r="HVP126" s="1"/>
      <c r="HVQ126" s="1"/>
      <c r="HVR126" s="1"/>
      <c r="HVS126" s="1"/>
      <c r="HVT126" s="1"/>
      <c r="HVU126" s="1"/>
      <c r="HVV126" s="1"/>
      <c r="HVW126" s="1"/>
      <c r="HVX126" s="1"/>
      <c r="HVY126" s="1"/>
      <c r="HVZ126" s="1"/>
      <c r="HWA126" s="1"/>
      <c r="HWB126" s="1"/>
      <c r="HWC126" s="1"/>
      <c r="HWD126" s="1"/>
      <c r="HWE126" s="1"/>
      <c r="HWF126" s="1"/>
      <c r="HWG126" s="1"/>
      <c r="HWH126" s="1"/>
      <c r="HWI126" s="1"/>
      <c r="HWJ126" s="1"/>
      <c r="HWK126" s="1"/>
      <c r="HWL126" s="1"/>
      <c r="HWM126" s="1"/>
      <c r="HWN126" s="1"/>
      <c r="HWO126" s="1"/>
      <c r="HWP126" s="1"/>
      <c r="HWQ126" s="1"/>
      <c r="HWR126" s="1"/>
      <c r="HWS126" s="1"/>
      <c r="HWT126" s="1"/>
      <c r="HWU126" s="1"/>
      <c r="HWV126" s="1"/>
      <c r="HWW126" s="1"/>
      <c r="HWX126" s="1"/>
      <c r="HWY126" s="1"/>
      <c r="HWZ126" s="1"/>
      <c r="HXA126" s="1"/>
      <c r="HXB126" s="1"/>
      <c r="HXC126" s="1"/>
      <c r="HXD126" s="1"/>
      <c r="HXE126" s="1"/>
      <c r="HXF126" s="1"/>
      <c r="HXG126" s="1"/>
      <c r="HXH126" s="1"/>
      <c r="HXI126" s="1"/>
      <c r="HXJ126" s="1"/>
      <c r="HXK126" s="1"/>
      <c r="HXL126" s="1"/>
      <c r="HXM126" s="1"/>
      <c r="HXN126" s="1"/>
      <c r="HXO126" s="1"/>
      <c r="HXP126" s="1"/>
      <c r="HXQ126" s="1"/>
      <c r="HXR126" s="1"/>
      <c r="HXS126" s="1"/>
      <c r="HXT126" s="1"/>
      <c r="HXU126" s="1"/>
      <c r="HXV126" s="1"/>
      <c r="HXW126" s="1"/>
      <c r="HXX126" s="1"/>
      <c r="HXY126" s="1"/>
      <c r="HXZ126" s="1"/>
      <c r="HYA126" s="1"/>
      <c r="HYB126" s="1"/>
      <c r="HYC126" s="1"/>
      <c r="HYD126" s="1"/>
      <c r="HYE126" s="1"/>
      <c r="HYF126" s="1"/>
      <c r="HYG126" s="1"/>
      <c r="HYH126" s="1"/>
      <c r="HYI126" s="1"/>
      <c r="HYJ126" s="1"/>
      <c r="HYK126" s="1"/>
      <c r="HYL126" s="1"/>
      <c r="HYM126" s="1"/>
      <c r="HYN126" s="1"/>
      <c r="HYO126" s="1"/>
      <c r="HYP126" s="1"/>
      <c r="HYQ126" s="1"/>
      <c r="HYR126" s="1"/>
      <c r="HYS126" s="1"/>
      <c r="HYT126" s="1"/>
      <c r="HYU126" s="1"/>
      <c r="HYV126" s="1"/>
      <c r="HYW126" s="1"/>
      <c r="HYX126" s="1"/>
      <c r="HYY126" s="1"/>
      <c r="HYZ126" s="1"/>
      <c r="HZA126" s="1"/>
      <c r="HZB126" s="1"/>
      <c r="HZC126" s="1"/>
      <c r="HZD126" s="1"/>
      <c r="HZE126" s="1"/>
      <c r="HZF126" s="1"/>
      <c r="HZG126" s="1"/>
      <c r="HZH126" s="1"/>
      <c r="HZI126" s="1"/>
      <c r="HZJ126" s="1"/>
      <c r="HZK126" s="1"/>
      <c r="HZL126" s="1"/>
      <c r="HZM126" s="1"/>
      <c r="HZN126" s="1"/>
      <c r="HZO126" s="1"/>
      <c r="HZP126" s="1"/>
      <c r="HZQ126" s="1"/>
      <c r="HZR126" s="1"/>
      <c r="HZS126" s="1"/>
      <c r="HZT126" s="1"/>
      <c r="HZU126" s="1"/>
      <c r="HZV126" s="1"/>
      <c r="HZW126" s="1"/>
      <c r="HZX126" s="1"/>
      <c r="HZY126" s="1"/>
      <c r="HZZ126" s="1"/>
      <c r="IAA126" s="1"/>
      <c r="IAB126" s="1"/>
      <c r="IAC126" s="1"/>
      <c r="IAD126" s="1"/>
      <c r="IAE126" s="1"/>
      <c r="IAF126" s="1"/>
      <c r="IAG126" s="1"/>
      <c r="IAH126" s="1"/>
      <c r="IAI126" s="1"/>
      <c r="IAJ126" s="1"/>
      <c r="IAK126" s="1"/>
      <c r="IAL126" s="1"/>
      <c r="IAM126" s="1"/>
      <c r="IAN126" s="1"/>
      <c r="IAO126" s="1"/>
      <c r="IAP126" s="1"/>
      <c r="IAQ126" s="1"/>
      <c r="IAR126" s="1"/>
      <c r="IAS126" s="1"/>
      <c r="IAT126" s="1"/>
      <c r="IAU126" s="1"/>
      <c r="IAV126" s="1"/>
      <c r="IAW126" s="1"/>
      <c r="IAX126" s="1"/>
      <c r="IAY126" s="1"/>
      <c r="IAZ126" s="1"/>
      <c r="IBA126" s="1"/>
      <c r="IBB126" s="1"/>
      <c r="IBC126" s="1"/>
      <c r="IBD126" s="1"/>
      <c r="IBE126" s="1"/>
      <c r="IBF126" s="1"/>
      <c r="IBG126" s="1"/>
      <c r="IBH126" s="1"/>
      <c r="IBI126" s="1"/>
      <c r="IBJ126" s="1"/>
      <c r="IBK126" s="1"/>
      <c r="IBL126" s="1"/>
      <c r="IBM126" s="1"/>
      <c r="IBN126" s="1"/>
      <c r="IBO126" s="1"/>
      <c r="IBP126" s="1"/>
      <c r="IBQ126" s="1"/>
      <c r="IBR126" s="1"/>
      <c r="IBS126" s="1"/>
      <c r="IBT126" s="1"/>
      <c r="IBU126" s="1"/>
      <c r="IBV126" s="1"/>
      <c r="IBW126" s="1"/>
      <c r="IBX126" s="1"/>
      <c r="IBY126" s="1"/>
      <c r="IBZ126" s="1"/>
      <c r="ICA126" s="1"/>
      <c r="ICB126" s="1"/>
      <c r="ICC126" s="1"/>
      <c r="ICD126" s="1"/>
      <c r="ICE126" s="1"/>
      <c r="ICF126" s="1"/>
      <c r="ICG126" s="1"/>
      <c r="ICH126" s="1"/>
      <c r="ICI126" s="1"/>
      <c r="ICJ126" s="1"/>
      <c r="ICK126" s="1"/>
      <c r="ICL126" s="1"/>
      <c r="ICM126" s="1"/>
      <c r="ICN126" s="1"/>
      <c r="ICO126" s="1"/>
      <c r="ICP126" s="1"/>
      <c r="ICQ126" s="1"/>
      <c r="ICR126" s="1"/>
      <c r="ICS126" s="1"/>
      <c r="ICT126" s="1"/>
      <c r="ICU126" s="1"/>
      <c r="ICV126" s="1"/>
      <c r="ICW126" s="1"/>
      <c r="ICX126" s="1"/>
      <c r="ICY126" s="1"/>
      <c r="ICZ126" s="1"/>
      <c r="IDA126" s="1"/>
      <c r="IDB126" s="1"/>
      <c r="IDC126" s="1"/>
      <c r="IDD126" s="1"/>
      <c r="IDE126" s="1"/>
      <c r="IDF126" s="1"/>
      <c r="IDG126" s="1"/>
      <c r="IDH126" s="1"/>
      <c r="IDI126" s="1"/>
      <c r="IDJ126" s="1"/>
      <c r="IDK126" s="1"/>
      <c r="IDL126" s="1"/>
      <c r="IDM126" s="1"/>
      <c r="IDN126" s="1"/>
      <c r="IDO126" s="1"/>
      <c r="IDP126" s="1"/>
      <c r="IDQ126" s="1"/>
      <c r="IDR126" s="1"/>
      <c r="IDS126" s="1"/>
      <c r="IDT126" s="1"/>
      <c r="IDU126" s="1"/>
      <c r="IDV126" s="1"/>
      <c r="IDW126" s="1"/>
      <c r="IDX126" s="1"/>
      <c r="IDY126" s="1"/>
      <c r="IDZ126" s="1"/>
      <c r="IEA126" s="1"/>
      <c r="IEB126" s="1"/>
      <c r="IEC126" s="1"/>
      <c r="IED126" s="1"/>
      <c r="IEE126" s="1"/>
      <c r="IEF126" s="1"/>
      <c r="IEG126" s="1"/>
      <c r="IEH126" s="1"/>
      <c r="IEI126" s="1"/>
      <c r="IEJ126" s="1"/>
      <c r="IEK126" s="1"/>
      <c r="IEL126" s="1"/>
      <c r="IEM126" s="1"/>
      <c r="IEN126" s="1"/>
      <c r="IEO126" s="1"/>
      <c r="IEP126" s="1"/>
      <c r="IEQ126" s="1"/>
      <c r="IER126" s="1"/>
      <c r="IES126" s="1"/>
      <c r="IET126" s="1"/>
      <c r="IEU126" s="1"/>
      <c r="IEV126" s="1"/>
      <c r="IEW126" s="1"/>
      <c r="IEX126" s="1"/>
      <c r="IEY126" s="1"/>
      <c r="IEZ126" s="1"/>
      <c r="IFA126" s="1"/>
      <c r="IFB126" s="1"/>
      <c r="IFC126" s="1"/>
      <c r="IFD126" s="1"/>
      <c r="IFE126" s="1"/>
      <c r="IFF126" s="1"/>
      <c r="IFG126" s="1"/>
      <c r="IFH126" s="1"/>
      <c r="IFI126" s="1"/>
      <c r="IFJ126" s="1"/>
      <c r="IFK126" s="1"/>
      <c r="IFL126" s="1"/>
      <c r="IFM126" s="1"/>
      <c r="IFN126" s="1"/>
      <c r="IFO126" s="1"/>
      <c r="IFP126" s="1"/>
      <c r="IFQ126" s="1"/>
      <c r="IFR126" s="1"/>
      <c r="IFS126" s="1"/>
      <c r="IFT126" s="1"/>
      <c r="IFU126" s="1"/>
      <c r="IFV126" s="1"/>
      <c r="IFW126" s="1"/>
      <c r="IFX126" s="1"/>
      <c r="IFY126" s="1"/>
      <c r="IFZ126" s="1"/>
      <c r="IGA126" s="1"/>
      <c r="IGB126" s="1"/>
      <c r="IGC126" s="1"/>
      <c r="IGD126" s="1"/>
      <c r="IGE126" s="1"/>
      <c r="IGF126" s="1"/>
      <c r="IGG126" s="1"/>
      <c r="IGH126" s="1"/>
      <c r="IGI126" s="1"/>
      <c r="IGJ126" s="1"/>
      <c r="IGK126" s="1"/>
      <c r="IGL126" s="1"/>
      <c r="IGM126" s="1"/>
      <c r="IGN126" s="1"/>
      <c r="IGO126" s="1"/>
      <c r="IGP126" s="1"/>
      <c r="IGQ126" s="1"/>
      <c r="IGR126" s="1"/>
      <c r="IGS126" s="1"/>
      <c r="IGT126" s="1"/>
      <c r="IGU126" s="1"/>
      <c r="IGV126" s="1"/>
      <c r="IGW126" s="1"/>
      <c r="IGX126" s="1"/>
      <c r="IGY126" s="1"/>
      <c r="IGZ126" s="1"/>
      <c r="IHA126" s="1"/>
      <c r="IHB126" s="1"/>
      <c r="IHC126" s="1"/>
      <c r="IHD126" s="1"/>
      <c r="IHE126" s="1"/>
      <c r="IHF126" s="1"/>
      <c r="IHG126" s="1"/>
      <c r="IHH126" s="1"/>
      <c r="IHI126" s="1"/>
      <c r="IHJ126" s="1"/>
      <c r="IHK126" s="1"/>
      <c r="IHL126" s="1"/>
      <c r="IHM126" s="1"/>
      <c r="IHN126" s="1"/>
      <c r="IHO126" s="1"/>
      <c r="IHP126" s="1"/>
      <c r="IHQ126" s="1"/>
      <c r="IHR126" s="1"/>
      <c r="IHS126" s="1"/>
      <c r="IHT126" s="1"/>
      <c r="IHU126" s="1"/>
      <c r="IHV126" s="1"/>
      <c r="IHW126" s="1"/>
      <c r="IHX126" s="1"/>
      <c r="IHY126" s="1"/>
      <c r="IHZ126" s="1"/>
      <c r="IIA126" s="1"/>
      <c r="IIB126" s="1"/>
      <c r="IIC126" s="1"/>
      <c r="IID126" s="1"/>
      <c r="IIE126" s="1"/>
      <c r="IIF126" s="1"/>
      <c r="IIG126" s="1"/>
      <c r="IIH126" s="1"/>
      <c r="III126" s="1"/>
      <c r="IIJ126" s="1"/>
      <c r="IIK126" s="1"/>
      <c r="IIL126" s="1"/>
      <c r="IIM126" s="1"/>
      <c r="IIN126" s="1"/>
      <c r="IIO126" s="1"/>
      <c r="IIP126" s="1"/>
      <c r="IIQ126" s="1"/>
      <c r="IIR126" s="1"/>
      <c r="IIS126" s="1"/>
      <c r="IIT126" s="1"/>
      <c r="IIU126" s="1"/>
      <c r="IIV126" s="1"/>
      <c r="IIW126" s="1"/>
      <c r="IIX126" s="1"/>
      <c r="IIY126" s="1"/>
      <c r="IIZ126" s="1"/>
      <c r="IJA126" s="1"/>
      <c r="IJB126" s="1"/>
      <c r="IJC126" s="1"/>
      <c r="IJD126" s="1"/>
      <c r="IJE126" s="1"/>
      <c r="IJF126" s="1"/>
      <c r="IJG126" s="1"/>
      <c r="IJH126" s="1"/>
      <c r="IJI126" s="1"/>
      <c r="IJJ126" s="1"/>
      <c r="IJK126" s="1"/>
      <c r="IJL126" s="1"/>
      <c r="IJM126" s="1"/>
      <c r="IJN126" s="1"/>
      <c r="IJO126" s="1"/>
      <c r="IJP126" s="1"/>
      <c r="IJQ126" s="1"/>
      <c r="IJR126" s="1"/>
      <c r="IJS126" s="1"/>
      <c r="IJT126" s="1"/>
      <c r="IJU126" s="1"/>
      <c r="IJV126" s="1"/>
      <c r="IJW126" s="1"/>
      <c r="IJX126" s="1"/>
      <c r="IJY126" s="1"/>
      <c r="IJZ126" s="1"/>
      <c r="IKA126" s="1"/>
      <c r="IKB126" s="1"/>
      <c r="IKC126" s="1"/>
      <c r="IKD126" s="1"/>
      <c r="IKE126" s="1"/>
      <c r="IKF126" s="1"/>
      <c r="IKG126" s="1"/>
      <c r="IKH126" s="1"/>
      <c r="IKI126" s="1"/>
      <c r="IKJ126" s="1"/>
      <c r="IKK126" s="1"/>
      <c r="IKL126" s="1"/>
      <c r="IKM126" s="1"/>
      <c r="IKN126" s="1"/>
      <c r="IKO126" s="1"/>
      <c r="IKP126" s="1"/>
      <c r="IKQ126" s="1"/>
      <c r="IKR126" s="1"/>
      <c r="IKS126" s="1"/>
      <c r="IKT126" s="1"/>
      <c r="IKU126" s="1"/>
      <c r="IKV126" s="1"/>
      <c r="IKW126" s="1"/>
      <c r="IKX126" s="1"/>
      <c r="IKY126" s="1"/>
      <c r="IKZ126" s="1"/>
      <c r="ILA126" s="1"/>
      <c r="ILB126" s="1"/>
      <c r="ILC126" s="1"/>
      <c r="ILD126" s="1"/>
      <c r="ILE126" s="1"/>
      <c r="ILF126" s="1"/>
      <c r="ILG126" s="1"/>
      <c r="ILH126" s="1"/>
      <c r="ILI126" s="1"/>
      <c r="ILJ126" s="1"/>
      <c r="ILK126" s="1"/>
      <c r="ILL126" s="1"/>
      <c r="ILM126" s="1"/>
      <c r="ILN126" s="1"/>
      <c r="ILO126" s="1"/>
      <c r="ILP126" s="1"/>
      <c r="ILQ126" s="1"/>
      <c r="ILR126" s="1"/>
      <c r="ILS126" s="1"/>
      <c r="ILT126" s="1"/>
      <c r="ILU126" s="1"/>
      <c r="ILV126" s="1"/>
      <c r="ILW126" s="1"/>
      <c r="ILX126" s="1"/>
      <c r="ILY126" s="1"/>
      <c r="ILZ126" s="1"/>
      <c r="IMA126" s="1"/>
      <c r="IMB126" s="1"/>
      <c r="IMC126" s="1"/>
      <c r="IMD126" s="1"/>
      <c r="IME126" s="1"/>
      <c r="IMF126" s="1"/>
      <c r="IMG126" s="1"/>
      <c r="IMH126" s="1"/>
      <c r="IMI126" s="1"/>
      <c r="IMJ126" s="1"/>
      <c r="IMK126" s="1"/>
      <c r="IML126" s="1"/>
      <c r="IMM126" s="1"/>
      <c r="IMN126" s="1"/>
      <c r="IMO126" s="1"/>
      <c r="IMP126" s="1"/>
      <c r="IMQ126" s="1"/>
      <c r="IMR126" s="1"/>
      <c r="IMS126" s="1"/>
      <c r="IMT126" s="1"/>
      <c r="IMU126" s="1"/>
      <c r="IMV126" s="1"/>
      <c r="IMW126" s="1"/>
      <c r="IMX126" s="1"/>
      <c r="IMY126" s="1"/>
      <c r="IMZ126" s="1"/>
      <c r="INA126" s="1"/>
      <c r="INB126" s="1"/>
      <c r="INC126" s="1"/>
      <c r="IND126" s="1"/>
      <c r="INE126" s="1"/>
      <c r="INF126" s="1"/>
      <c r="ING126" s="1"/>
      <c r="INH126" s="1"/>
      <c r="INI126" s="1"/>
      <c r="INJ126" s="1"/>
      <c r="INK126" s="1"/>
      <c r="INL126" s="1"/>
      <c r="INM126" s="1"/>
      <c r="INN126" s="1"/>
      <c r="INO126" s="1"/>
      <c r="INP126" s="1"/>
      <c r="INQ126" s="1"/>
      <c r="INR126" s="1"/>
      <c r="INS126" s="1"/>
      <c r="INT126" s="1"/>
      <c r="INU126" s="1"/>
      <c r="INV126" s="1"/>
      <c r="INW126" s="1"/>
      <c r="INX126" s="1"/>
      <c r="INY126" s="1"/>
      <c r="INZ126" s="1"/>
      <c r="IOA126" s="1"/>
      <c r="IOB126" s="1"/>
      <c r="IOC126" s="1"/>
      <c r="IOD126" s="1"/>
      <c r="IOE126" s="1"/>
      <c r="IOF126" s="1"/>
      <c r="IOG126" s="1"/>
      <c r="IOH126" s="1"/>
      <c r="IOI126" s="1"/>
      <c r="IOJ126" s="1"/>
      <c r="IOK126" s="1"/>
      <c r="IOL126" s="1"/>
      <c r="IOM126" s="1"/>
      <c r="ION126" s="1"/>
      <c r="IOO126" s="1"/>
      <c r="IOP126" s="1"/>
      <c r="IOQ126" s="1"/>
      <c r="IOR126" s="1"/>
      <c r="IOS126" s="1"/>
      <c r="IOT126" s="1"/>
      <c r="IOU126" s="1"/>
      <c r="IOV126" s="1"/>
      <c r="IOW126" s="1"/>
      <c r="IOX126" s="1"/>
      <c r="IOY126" s="1"/>
      <c r="IOZ126" s="1"/>
      <c r="IPA126" s="1"/>
      <c r="IPB126" s="1"/>
      <c r="IPC126" s="1"/>
      <c r="IPD126" s="1"/>
      <c r="IPE126" s="1"/>
      <c r="IPF126" s="1"/>
      <c r="IPG126" s="1"/>
      <c r="IPH126" s="1"/>
      <c r="IPI126" s="1"/>
      <c r="IPJ126" s="1"/>
      <c r="IPK126" s="1"/>
      <c r="IPL126" s="1"/>
      <c r="IPM126" s="1"/>
      <c r="IPN126" s="1"/>
      <c r="IPO126" s="1"/>
      <c r="IPP126" s="1"/>
      <c r="IPQ126" s="1"/>
      <c r="IPR126" s="1"/>
      <c r="IPS126" s="1"/>
      <c r="IPT126" s="1"/>
      <c r="IPU126" s="1"/>
      <c r="IPV126" s="1"/>
      <c r="IPW126" s="1"/>
      <c r="IPX126" s="1"/>
      <c r="IPY126" s="1"/>
      <c r="IPZ126" s="1"/>
      <c r="IQA126" s="1"/>
      <c r="IQB126" s="1"/>
      <c r="IQC126" s="1"/>
      <c r="IQD126" s="1"/>
      <c r="IQE126" s="1"/>
      <c r="IQF126" s="1"/>
      <c r="IQG126" s="1"/>
      <c r="IQH126" s="1"/>
      <c r="IQI126" s="1"/>
      <c r="IQJ126" s="1"/>
      <c r="IQK126" s="1"/>
      <c r="IQL126" s="1"/>
      <c r="IQM126" s="1"/>
      <c r="IQN126" s="1"/>
      <c r="IQO126" s="1"/>
      <c r="IQP126" s="1"/>
      <c r="IQQ126" s="1"/>
      <c r="IQR126" s="1"/>
      <c r="IQS126" s="1"/>
      <c r="IQT126" s="1"/>
      <c r="IQU126" s="1"/>
      <c r="IQV126" s="1"/>
      <c r="IQW126" s="1"/>
      <c r="IQX126" s="1"/>
      <c r="IQY126" s="1"/>
      <c r="IQZ126" s="1"/>
      <c r="IRA126" s="1"/>
      <c r="IRB126" s="1"/>
      <c r="IRC126" s="1"/>
      <c r="IRD126" s="1"/>
      <c r="IRE126" s="1"/>
      <c r="IRF126" s="1"/>
      <c r="IRG126" s="1"/>
      <c r="IRH126" s="1"/>
      <c r="IRI126" s="1"/>
      <c r="IRJ126" s="1"/>
      <c r="IRK126" s="1"/>
      <c r="IRL126" s="1"/>
      <c r="IRM126" s="1"/>
      <c r="IRN126" s="1"/>
      <c r="IRO126" s="1"/>
      <c r="IRP126" s="1"/>
      <c r="IRQ126" s="1"/>
      <c r="IRR126" s="1"/>
      <c r="IRS126" s="1"/>
      <c r="IRT126" s="1"/>
      <c r="IRU126" s="1"/>
      <c r="IRV126" s="1"/>
      <c r="IRW126" s="1"/>
      <c r="IRX126" s="1"/>
      <c r="IRY126" s="1"/>
      <c r="IRZ126" s="1"/>
      <c r="ISA126" s="1"/>
      <c r="ISB126" s="1"/>
      <c r="ISC126" s="1"/>
      <c r="ISD126" s="1"/>
      <c r="ISE126" s="1"/>
      <c r="ISF126" s="1"/>
      <c r="ISG126" s="1"/>
      <c r="ISH126" s="1"/>
      <c r="ISI126" s="1"/>
      <c r="ISJ126" s="1"/>
      <c r="ISK126" s="1"/>
      <c r="ISL126" s="1"/>
      <c r="ISM126" s="1"/>
      <c r="ISN126" s="1"/>
      <c r="ISO126" s="1"/>
      <c r="ISP126" s="1"/>
      <c r="ISQ126" s="1"/>
      <c r="ISR126" s="1"/>
      <c r="ISS126" s="1"/>
      <c r="IST126" s="1"/>
      <c r="ISU126" s="1"/>
      <c r="ISV126" s="1"/>
      <c r="ISW126" s="1"/>
      <c r="ISX126" s="1"/>
      <c r="ISY126" s="1"/>
      <c r="ISZ126" s="1"/>
      <c r="ITA126" s="1"/>
      <c r="ITB126" s="1"/>
      <c r="ITC126" s="1"/>
      <c r="ITD126" s="1"/>
      <c r="ITE126" s="1"/>
      <c r="ITF126" s="1"/>
      <c r="ITG126" s="1"/>
      <c r="ITH126" s="1"/>
      <c r="ITI126" s="1"/>
      <c r="ITJ126" s="1"/>
      <c r="ITK126" s="1"/>
      <c r="ITL126" s="1"/>
      <c r="ITM126" s="1"/>
      <c r="ITN126" s="1"/>
      <c r="ITO126" s="1"/>
      <c r="ITP126" s="1"/>
      <c r="ITQ126" s="1"/>
      <c r="ITR126" s="1"/>
      <c r="ITS126" s="1"/>
      <c r="ITT126" s="1"/>
      <c r="ITU126" s="1"/>
      <c r="ITV126" s="1"/>
      <c r="ITW126" s="1"/>
      <c r="ITX126" s="1"/>
      <c r="ITY126" s="1"/>
      <c r="ITZ126" s="1"/>
      <c r="IUA126" s="1"/>
      <c r="IUB126" s="1"/>
      <c r="IUC126" s="1"/>
      <c r="IUD126" s="1"/>
      <c r="IUE126" s="1"/>
      <c r="IUF126" s="1"/>
      <c r="IUG126" s="1"/>
      <c r="IUH126" s="1"/>
      <c r="IUI126" s="1"/>
      <c r="IUJ126" s="1"/>
      <c r="IUK126" s="1"/>
      <c r="IUL126" s="1"/>
      <c r="IUM126" s="1"/>
      <c r="IUN126" s="1"/>
      <c r="IUO126" s="1"/>
      <c r="IUP126" s="1"/>
      <c r="IUQ126" s="1"/>
      <c r="IUR126" s="1"/>
      <c r="IUS126" s="1"/>
      <c r="IUT126" s="1"/>
      <c r="IUU126" s="1"/>
      <c r="IUV126" s="1"/>
      <c r="IUW126" s="1"/>
      <c r="IUX126" s="1"/>
      <c r="IUY126" s="1"/>
      <c r="IUZ126" s="1"/>
      <c r="IVA126" s="1"/>
      <c r="IVB126" s="1"/>
      <c r="IVC126" s="1"/>
      <c r="IVD126" s="1"/>
      <c r="IVE126" s="1"/>
      <c r="IVF126" s="1"/>
      <c r="IVG126" s="1"/>
      <c r="IVH126" s="1"/>
      <c r="IVI126" s="1"/>
      <c r="IVJ126" s="1"/>
      <c r="IVK126" s="1"/>
      <c r="IVL126" s="1"/>
      <c r="IVM126" s="1"/>
      <c r="IVN126" s="1"/>
      <c r="IVO126" s="1"/>
      <c r="IVP126" s="1"/>
      <c r="IVQ126" s="1"/>
      <c r="IVR126" s="1"/>
      <c r="IVS126" s="1"/>
      <c r="IVT126" s="1"/>
      <c r="IVU126" s="1"/>
      <c r="IVV126" s="1"/>
      <c r="IVW126" s="1"/>
      <c r="IVX126" s="1"/>
      <c r="IVY126" s="1"/>
      <c r="IVZ126" s="1"/>
      <c r="IWA126" s="1"/>
      <c r="IWB126" s="1"/>
      <c r="IWC126" s="1"/>
      <c r="IWD126" s="1"/>
      <c r="IWE126" s="1"/>
      <c r="IWF126" s="1"/>
      <c r="IWG126" s="1"/>
      <c r="IWH126" s="1"/>
      <c r="IWI126" s="1"/>
      <c r="IWJ126" s="1"/>
      <c r="IWK126" s="1"/>
      <c r="IWL126" s="1"/>
      <c r="IWM126" s="1"/>
      <c r="IWN126" s="1"/>
      <c r="IWO126" s="1"/>
      <c r="IWP126" s="1"/>
      <c r="IWQ126" s="1"/>
      <c r="IWR126" s="1"/>
      <c r="IWS126" s="1"/>
      <c r="IWT126" s="1"/>
      <c r="IWU126" s="1"/>
      <c r="IWV126" s="1"/>
      <c r="IWW126" s="1"/>
      <c r="IWX126" s="1"/>
      <c r="IWY126" s="1"/>
      <c r="IWZ126" s="1"/>
      <c r="IXA126" s="1"/>
      <c r="IXB126" s="1"/>
      <c r="IXC126" s="1"/>
      <c r="IXD126" s="1"/>
      <c r="IXE126" s="1"/>
      <c r="IXF126" s="1"/>
      <c r="IXG126" s="1"/>
      <c r="IXH126" s="1"/>
      <c r="IXI126" s="1"/>
      <c r="IXJ126" s="1"/>
      <c r="IXK126" s="1"/>
      <c r="IXL126" s="1"/>
      <c r="IXM126" s="1"/>
      <c r="IXN126" s="1"/>
      <c r="IXO126" s="1"/>
      <c r="IXP126" s="1"/>
      <c r="IXQ126" s="1"/>
      <c r="IXR126" s="1"/>
      <c r="IXS126" s="1"/>
      <c r="IXT126" s="1"/>
      <c r="IXU126" s="1"/>
      <c r="IXV126" s="1"/>
      <c r="IXW126" s="1"/>
      <c r="IXX126" s="1"/>
      <c r="IXY126" s="1"/>
      <c r="IXZ126" s="1"/>
      <c r="IYA126" s="1"/>
      <c r="IYB126" s="1"/>
      <c r="IYC126" s="1"/>
      <c r="IYD126" s="1"/>
      <c r="IYE126" s="1"/>
      <c r="IYF126" s="1"/>
      <c r="IYG126" s="1"/>
      <c r="IYH126" s="1"/>
      <c r="IYI126" s="1"/>
      <c r="IYJ126" s="1"/>
      <c r="IYK126" s="1"/>
      <c r="IYL126" s="1"/>
      <c r="IYM126" s="1"/>
      <c r="IYN126" s="1"/>
      <c r="IYO126" s="1"/>
      <c r="IYP126" s="1"/>
      <c r="IYQ126" s="1"/>
      <c r="IYR126" s="1"/>
      <c r="IYS126" s="1"/>
      <c r="IYT126" s="1"/>
      <c r="IYU126" s="1"/>
      <c r="IYV126" s="1"/>
      <c r="IYW126" s="1"/>
      <c r="IYX126" s="1"/>
      <c r="IYY126" s="1"/>
      <c r="IYZ126" s="1"/>
      <c r="IZA126" s="1"/>
      <c r="IZB126" s="1"/>
      <c r="IZC126" s="1"/>
      <c r="IZD126" s="1"/>
      <c r="IZE126" s="1"/>
      <c r="IZF126" s="1"/>
      <c r="IZG126" s="1"/>
      <c r="IZH126" s="1"/>
      <c r="IZI126" s="1"/>
      <c r="IZJ126" s="1"/>
      <c r="IZK126" s="1"/>
      <c r="IZL126" s="1"/>
      <c r="IZM126" s="1"/>
      <c r="IZN126" s="1"/>
      <c r="IZO126" s="1"/>
      <c r="IZP126" s="1"/>
      <c r="IZQ126" s="1"/>
      <c r="IZR126" s="1"/>
      <c r="IZS126" s="1"/>
      <c r="IZT126" s="1"/>
      <c r="IZU126" s="1"/>
      <c r="IZV126" s="1"/>
      <c r="IZW126" s="1"/>
      <c r="IZX126" s="1"/>
      <c r="IZY126" s="1"/>
      <c r="IZZ126" s="1"/>
      <c r="JAA126" s="1"/>
      <c r="JAB126" s="1"/>
      <c r="JAC126" s="1"/>
      <c r="JAD126" s="1"/>
      <c r="JAE126" s="1"/>
      <c r="JAF126" s="1"/>
      <c r="JAG126" s="1"/>
      <c r="JAH126" s="1"/>
      <c r="JAI126" s="1"/>
      <c r="JAJ126" s="1"/>
      <c r="JAK126" s="1"/>
      <c r="JAL126" s="1"/>
      <c r="JAM126" s="1"/>
      <c r="JAN126" s="1"/>
      <c r="JAO126" s="1"/>
      <c r="JAP126" s="1"/>
      <c r="JAQ126" s="1"/>
      <c r="JAR126" s="1"/>
      <c r="JAS126" s="1"/>
      <c r="JAT126" s="1"/>
      <c r="JAU126" s="1"/>
      <c r="JAV126" s="1"/>
      <c r="JAW126" s="1"/>
      <c r="JAX126" s="1"/>
      <c r="JAY126" s="1"/>
      <c r="JAZ126" s="1"/>
      <c r="JBA126" s="1"/>
      <c r="JBB126" s="1"/>
      <c r="JBC126" s="1"/>
      <c r="JBD126" s="1"/>
      <c r="JBE126" s="1"/>
      <c r="JBF126" s="1"/>
      <c r="JBG126" s="1"/>
      <c r="JBH126" s="1"/>
      <c r="JBI126" s="1"/>
      <c r="JBJ126" s="1"/>
      <c r="JBK126" s="1"/>
      <c r="JBL126" s="1"/>
      <c r="JBM126" s="1"/>
      <c r="JBN126" s="1"/>
      <c r="JBO126" s="1"/>
      <c r="JBP126" s="1"/>
      <c r="JBQ126" s="1"/>
      <c r="JBR126" s="1"/>
      <c r="JBS126" s="1"/>
      <c r="JBT126" s="1"/>
      <c r="JBU126" s="1"/>
      <c r="JBV126" s="1"/>
      <c r="JBW126" s="1"/>
      <c r="JBX126" s="1"/>
      <c r="JBY126" s="1"/>
      <c r="JBZ126" s="1"/>
      <c r="JCA126" s="1"/>
      <c r="JCB126" s="1"/>
      <c r="JCC126" s="1"/>
      <c r="JCD126" s="1"/>
      <c r="JCE126" s="1"/>
      <c r="JCF126" s="1"/>
      <c r="JCG126" s="1"/>
      <c r="JCH126" s="1"/>
      <c r="JCI126" s="1"/>
      <c r="JCJ126" s="1"/>
      <c r="JCK126" s="1"/>
      <c r="JCL126" s="1"/>
      <c r="JCM126" s="1"/>
      <c r="JCN126" s="1"/>
      <c r="JCO126" s="1"/>
      <c r="JCP126" s="1"/>
      <c r="JCQ126" s="1"/>
      <c r="JCR126" s="1"/>
      <c r="JCS126" s="1"/>
      <c r="JCT126" s="1"/>
      <c r="JCU126" s="1"/>
      <c r="JCV126" s="1"/>
      <c r="JCW126" s="1"/>
      <c r="JCX126" s="1"/>
      <c r="JCY126" s="1"/>
      <c r="JCZ126" s="1"/>
      <c r="JDA126" s="1"/>
      <c r="JDB126" s="1"/>
      <c r="JDC126" s="1"/>
      <c r="JDD126" s="1"/>
      <c r="JDE126" s="1"/>
      <c r="JDF126" s="1"/>
      <c r="JDG126" s="1"/>
      <c r="JDH126" s="1"/>
      <c r="JDI126" s="1"/>
      <c r="JDJ126" s="1"/>
      <c r="JDK126" s="1"/>
      <c r="JDL126" s="1"/>
      <c r="JDM126" s="1"/>
      <c r="JDN126" s="1"/>
      <c r="JDO126" s="1"/>
      <c r="JDP126" s="1"/>
      <c r="JDQ126" s="1"/>
      <c r="JDR126" s="1"/>
      <c r="JDS126" s="1"/>
      <c r="JDT126" s="1"/>
      <c r="JDU126" s="1"/>
      <c r="JDV126" s="1"/>
      <c r="JDW126" s="1"/>
      <c r="JDX126" s="1"/>
      <c r="JDY126" s="1"/>
      <c r="JDZ126" s="1"/>
      <c r="JEA126" s="1"/>
      <c r="JEB126" s="1"/>
      <c r="JEC126" s="1"/>
      <c r="JED126" s="1"/>
      <c r="JEE126" s="1"/>
      <c r="JEF126" s="1"/>
      <c r="JEG126" s="1"/>
      <c r="JEH126" s="1"/>
      <c r="JEI126" s="1"/>
      <c r="JEJ126" s="1"/>
      <c r="JEK126" s="1"/>
      <c r="JEL126" s="1"/>
      <c r="JEM126" s="1"/>
      <c r="JEN126" s="1"/>
      <c r="JEO126" s="1"/>
      <c r="JEP126" s="1"/>
      <c r="JEQ126" s="1"/>
      <c r="JER126" s="1"/>
      <c r="JES126" s="1"/>
      <c r="JET126" s="1"/>
      <c r="JEU126" s="1"/>
      <c r="JEV126" s="1"/>
      <c r="JEW126" s="1"/>
      <c r="JEX126" s="1"/>
      <c r="JEY126" s="1"/>
      <c r="JEZ126" s="1"/>
      <c r="JFA126" s="1"/>
      <c r="JFB126" s="1"/>
      <c r="JFC126" s="1"/>
      <c r="JFD126" s="1"/>
      <c r="JFE126" s="1"/>
      <c r="JFF126" s="1"/>
      <c r="JFG126" s="1"/>
      <c r="JFH126" s="1"/>
      <c r="JFI126" s="1"/>
      <c r="JFJ126" s="1"/>
      <c r="JFK126" s="1"/>
      <c r="JFL126" s="1"/>
      <c r="JFM126" s="1"/>
      <c r="JFN126" s="1"/>
      <c r="JFO126" s="1"/>
      <c r="JFP126" s="1"/>
      <c r="JFQ126" s="1"/>
      <c r="JFR126" s="1"/>
      <c r="JFS126" s="1"/>
      <c r="JFT126" s="1"/>
      <c r="JFU126" s="1"/>
      <c r="JFV126" s="1"/>
      <c r="JFW126" s="1"/>
      <c r="JFX126" s="1"/>
      <c r="JFY126" s="1"/>
      <c r="JFZ126" s="1"/>
      <c r="JGA126" s="1"/>
      <c r="JGB126" s="1"/>
      <c r="JGC126" s="1"/>
      <c r="JGD126" s="1"/>
      <c r="JGE126" s="1"/>
      <c r="JGF126" s="1"/>
      <c r="JGG126" s="1"/>
      <c r="JGH126" s="1"/>
      <c r="JGI126" s="1"/>
      <c r="JGJ126" s="1"/>
      <c r="JGK126" s="1"/>
      <c r="JGL126" s="1"/>
      <c r="JGM126" s="1"/>
      <c r="JGN126" s="1"/>
      <c r="JGO126" s="1"/>
      <c r="JGP126" s="1"/>
      <c r="JGQ126" s="1"/>
      <c r="JGR126" s="1"/>
      <c r="JGS126" s="1"/>
      <c r="JGT126" s="1"/>
      <c r="JGU126" s="1"/>
      <c r="JGV126" s="1"/>
      <c r="JGW126" s="1"/>
      <c r="JGX126" s="1"/>
      <c r="JGY126" s="1"/>
      <c r="JGZ126" s="1"/>
      <c r="JHA126" s="1"/>
      <c r="JHB126" s="1"/>
      <c r="JHC126" s="1"/>
      <c r="JHD126" s="1"/>
      <c r="JHE126" s="1"/>
      <c r="JHF126" s="1"/>
      <c r="JHG126" s="1"/>
      <c r="JHH126" s="1"/>
      <c r="JHI126" s="1"/>
      <c r="JHJ126" s="1"/>
      <c r="JHK126" s="1"/>
      <c r="JHL126" s="1"/>
      <c r="JHM126" s="1"/>
      <c r="JHN126" s="1"/>
      <c r="JHO126" s="1"/>
      <c r="JHP126" s="1"/>
      <c r="JHQ126" s="1"/>
      <c r="JHR126" s="1"/>
      <c r="JHS126" s="1"/>
      <c r="JHT126" s="1"/>
      <c r="JHU126" s="1"/>
      <c r="JHV126" s="1"/>
      <c r="JHW126" s="1"/>
      <c r="JHX126" s="1"/>
      <c r="JHY126" s="1"/>
      <c r="JHZ126" s="1"/>
      <c r="JIA126" s="1"/>
      <c r="JIB126" s="1"/>
      <c r="JIC126" s="1"/>
      <c r="JID126" s="1"/>
      <c r="JIE126" s="1"/>
      <c r="JIF126" s="1"/>
      <c r="JIG126" s="1"/>
      <c r="JIH126" s="1"/>
      <c r="JII126" s="1"/>
      <c r="JIJ126" s="1"/>
      <c r="JIK126" s="1"/>
      <c r="JIL126" s="1"/>
      <c r="JIM126" s="1"/>
      <c r="JIN126" s="1"/>
      <c r="JIO126" s="1"/>
      <c r="JIP126" s="1"/>
      <c r="JIQ126" s="1"/>
      <c r="JIR126" s="1"/>
      <c r="JIS126" s="1"/>
      <c r="JIT126" s="1"/>
      <c r="JIU126" s="1"/>
      <c r="JIV126" s="1"/>
      <c r="JIW126" s="1"/>
      <c r="JIX126" s="1"/>
      <c r="JIY126" s="1"/>
      <c r="JIZ126" s="1"/>
      <c r="JJA126" s="1"/>
      <c r="JJB126" s="1"/>
      <c r="JJC126" s="1"/>
      <c r="JJD126" s="1"/>
      <c r="JJE126" s="1"/>
      <c r="JJF126" s="1"/>
      <c r="JJG126" s="1"/>
      <c r="JJH126" s="1"/>
      <c r="JJI126" s="1"/>
      <c r="JJJ126" s="1"/>
      <c r="JJK126" s="1"/>
      <c r="JJL126" s="1"/>
      <c r="JJM126" s="1"/>
      <c r="JJN126" s="1"/>
      <c r="JJO126" s="1"/>
      <c r="JJP126" s="1"/>
      <c r="JJQ126" s="1"/>
      <c r="JJR126" s="1"/>
      <c r="JJS126" s="1"/>
      <c r="JJT126" s="1"/>
      <c r="JJU126" s="1"/>
      <c r="JJV126" s="1"/>
      <c r="JJW126" s="1"/>
      <c r="JJX126" s="1"/>
      <c r="JJY126" s="1"/>
      <c r="JJZ126" s="1"/>
      <c r="JKA126" s="1"/>
      <c r="JKB126" s="1"/>
      <c r="JKC126" s="1"/>
      <c r="JKD126" s="1"/>
      <c r="JKE126" s="1"/>
      <c r="JKF126" s="1"/>
      <c r="JKG126" s="1"/>
      <c r="JKH126" s="1"/>
      <c r="JKI126" s="1"/>
      <c r="JKJ126" s="1"/>
      <c r="JKK126" s="1"/>
      <c r="JKL126" s="1"/>
      <c r="JKM126" s="1"/>
      <c r="JKN126" s="1"/>
      <c r="JKO126" s="1"/>
      <c r="JKP126" s="1"/>
      <c r="JKQ126" s="1"/>
      <c r="JKR126" s="1"/>
      <c r="JKS126" s="1"/>
      <c r="JKT126" s="1"/>
      <c r="JKU126" s="1"/>
      <c r="JKV126" s="1"/>
      <c r="JKW126" s="1"/>
      <c r="JKX126" s="1"/>
      <c r="JKY126" s="1"/>
      <c r="JKZ126" s="1"/>
      <c r="JLA126" s="1"/>
      <c r="JLB126" s="1"/>
      <c r="JLC126" s="1"/>
      <c r="JLD126" s="1"/>
      <c r="JLE126" s="1"/>
      <c r="JLF126" s="1"/>
      <c r="JLG126" s="1"/>
      <c r="JLH126" s="1"/>
      <c r="JLI126" s="1"/>
      <c r="JLJ126" s="1"/>
      <c r="JLK126" s="1"/>
      <c r="JLL126" s="1"/>
      <c r="JLM126" s="1"/>
      <c r="JLN126" s="1"/>
      <c r="JLO126" s="1"/>
      <c r="JLP126" s="1"/>
      <c r="JLQ126" s="1"/>
      <c r="JLR126" s="1"/>
      <c r="JLS126" s="1"/>
      <c r="JLT126" s="1"/>
      <c r="JLU126" s="1"/>
      <c r="JLV126" s="1"/>
      <c r="JLW126" s="1"/>
      <c r="JLX126" s="1"/>
      <c r="JLY126" s="1"/>
      <c r="JLZ126" s="1"/>
      <c r="JMA126" s="1"/>
      <c r="JMB126" s="1"/>
      <c r="JMC126" s="1"/>
      <c r="JMD126" s="1"/>
      <c r="JME126" s="1"/>
      <c r="JMF126" s="1"/>
      <c r="JMG126" s="1"/>
      <c r="JMH126" s="1"/>
      <c r="JMI126" s="1"/>
      <c r="JMJ126" s="1"/>
      <c r="JMK126" s="1"/>
      <c r="JML126" s="1"/>
      <c r="JMM126" s="1"/>
      <c r="JMN126" s="1"/>
      <c r="JMO126" s="1"/>
      <c r="JMP126" s="1"/>
      <c r="JMQ126" s="1"/>
      <c r="JMR126" s="1"/>
      <c r="JMS126" s="1"/>
      <c r="JMT126" s="1"/>
      <c r="JMU126" s="1"/>
      <c r="JMV126" s="1"/>
      <c r="JMW126" s="1"/>
      <c r="JMX126" s="1"/>
      <c r="JMY126" s="1"/>
      <c r="JMZ126" s="1"/>
      <c r="JNA126" s="1"/>
      <c r="JNB126" s="1"/>
      <c r="JNC126" s="1"/>
      <c r="JND126" s="1"/>
      <c r="JNE126" s="1"/>
      <c r="JNF126" s="1"/>
      <c r="JNG126" s="1"/>
      <c r="JNH126" s="1"/>
      <c r="JNI126" s="1"/>
      <c r="JNJ126" s="1"/>
      <c r="JNK126" s="1"/>
      <c r="JNL126" s="1"/>
      <c r="JNM126" s="1"/>
      <c r="JNN126" s="1"/>
      <c r="JNO126" s="1"/>
      <c r="JNP126" s="1"/>
      <c r="JNQ126" s="1"/>
      <c r="JNR126" s="1"/>
      <c r="JNS126" s="1"/>
      <c r="JNT126" s="1"/>
      <c r="JNU126" s="1"/>
      <c r="JNV126" s="1"/>
      <c r="JNW126" s="1"/>
      <c r="JNX126" s="1"/>
      <c r="JNY126" s="1"/>
      <c r="JNZ126" s="1"/>
      <c r="JOA126" s="1"/>
      <c r="JOB126" s="1"/>
      <c r="JOC126" s="1"/>
      <c r="JOD126" s="1"/>
      <c r="JOE126" s="1"/>
      <c r="JOF126" s="1"/>
      <c r="JOG126" s="1"/>
      <c r="JOH126" s="1"/>
      <c r="JOI126" s="1"/>
      <c r="JOJ126" s="1"/>
      <c r="JOK126" s="1"/>
      <c r="JOL126" s="1"/>
      <c r="JOM126" s="1"/>
      <c r="JON126" s="1"/>
      <c r="JOO126" s="1"/>
      <c r="JOP126" s="1"/>
      <c r="JOQ126" s="1"/>
      <c r="JOR126" s="1"/>
      <c r="JOS126" s="1"/>
      <c r="JOT126" s="1"/>
      <c r="JOU126" s="1"/>
      <c r="JOV126" s="1"/>
      <c r="JOW126" s="1"/>
      <c r="JOX126" s="1"/>
      <c r="JOY126" s="1"/>
      <c r="JOZ126" s="1"/>
      <c r="JPA126" s="1"/>
      <c r="JPB126" s="1"/>
      <c r="JPC126" s="1"/>
      <c r="JPD126" s="1"/>
      <c r="JPE126" s="1"/>
      <c r="JPF126" s="1"/>
      <c r="JPG126" s="1"/>
      <c r="JPH126" s="1"/>
      <c r="JPI126" s="1"/>
      <c r="JPJ126" s="1"/>
      <c r="JPK126" s="1"/>
      <c r="JPL126" s="1"/>
      <c r="JPM126" s="1"/>
      <c r="JPN126" s="1"/>
      <c r="JPO126" s="1"/>
      <c r="JPP126" s="1"/>
      <c r="JPQ126" s="1"/>
      <c r="JPR126" s="1"/>
      <c r="JPS126" s="1"/>
      <c r="JPT126" s="1"/>
      <c r="JPU126" s="1"/>
      <c r="JPV126" s="1"/>
      <c r="JPW126" s="1"/>
      <c r="JPX126" s="1"/>
      <c r="JPY126" s="1"/>
      <c r="JPZ126" s="1"/>
      <c r="JQA126" s="1"/>
      <c r="JQB126" s="1"/>
      <c r="JQC126" s="1"/>
      <c r="JQD126" s="1"/>
      <c r="JQE126" s="1"/>
      <c r="JQF126" s="1"/>
      <c r="JQG126" s="1"/>
      <c r="JQH126" s="1"/>
      <c r="JQI126" s="1"/>
      <c r="JQJ126" s="1"/>
      <c r="JQK126" s="1"/>
      <c r="JQL126" s="1"/>
      <c r="JQM126" s="1"/>
      <c r="JQN126" s="1"/>
      <c r="JQO126" s="1"/>
      <c r="JQP126" s="1"/>
      <c r="JQQ126" s="1"/>
      <c r="JQR126" s="1"/>
      <c r="JQS126" s="1"/>
      <c r="JQT126" s="1"/>
      <c r="JQU126" s="1"/>
      <c r="JQV126" s="1"/>
      <c r="JQW126" s="1"/>
      <c r="JQX126" s="1"/>
      <c r="JQY126" s="1"/>
      <c r="JQZ126" s="1"/>
      <c r="JRA126" s="1"/>
      <c r="JRB126" s="1"/>
      <c r="JRC126" s="1"/>
      <c r="JRD126" s="1"/>
      <c r="JRE126" s="1"/>
      <c r="JRF126" s="1"/>
      <c r="JRG126" s="1"/>
      <c r="JRH126" s="1"/>
      <c r="JRI126" s="1"/>
      <c r="JRJ126" s="1"/>
      <c r="JRK126" s="1"/>
      <c r="JRL126" s="1"/>
      <c r="JRM126" s="1"/>
      <c r="JRN126" s="1"/>
      <c r="JRO126" s="1"/>
      <c r="JRP126" s="1"/>
      <c r="JRQ126" s="1"/>
      <c r="JRR126" s="1"/>
      <c r="JRS126" s="1"/>
      <c r="JRT126" s="1"/>
      <c r="JRU126" s="1"/>
      <c r="JRV126" s="1"/>
      <c r="JRW126" s="1"/>
      <c r="JRX126" s="1"/>
      <c r="JRY126" s="1"/>
      <c r="JRZ126" s="1"/>
      <c r="JSA126" s="1"/>
      <c r="JSB126" s="1"/>
      <c r="JSC126" s="1"/>
      <c r="JSD126" s="1"/>
      <c r="JSE126" s="1"/>
      <c r="JSF126" s="1"/>
      <c r="JSG126" s="1"/>
      <c r="JSH126" s="1"/>
      <c r="JSI126" s="1"/>
      <c r="JSJ126" s="1"/>
      <c r="JSK126" s="1"/>
      <c r="JSL126" s="1"/>
      <c r="JSM126" s="1"/>
      <c r="JSN126" s="1"/>
      <c r="JSO126" s="1"/>
      <c r="JSP126" s="1"/>
      <c r="JSQ126" s="1"/>
      <c r="JSR126" s="1"/>
      <c r="JSS126" s="1"/>
      <c r="JST126" s="1"/>
      <c r="JSU126" s="1"/>
      <c r="JSV126" s="1"/>
      <c r="JSW126" s="1"/>
      <c r="JSX126" s="1"/>
      <c r="JSY126" s="1"/>
      <c r="JSZ126" s="1"/>
      <c r="JTA126" s="1"/>
      <c r="JTB126" s="1"/>
      <c r="JTC126" s="1"/>
      <c r="JTD126" s="1"/>
      <c r="JTE126" s="1"/>
      <c r="JTF126" s="1"/>
      <c r="JTG126" s="1"/>
      <c r="JTH126" s="1"/>
      <c r="JTI126" s="1"/>
      <c r="JTJ126" s="1"/>
      <c r="JTK126" s="1"/>
      <c r="JTL126" s="1"/>
      <c r="JTM126" s="1"/>
      <c r="JTN126" s="1"/>
      <c r="JTO126" s="1"/>
      <c r="JTP126" s="1"/>
      <c r="JTQ126" s="1"/>
      <c r="JTR126" s="1"/>
      <c r="JTS126" s="1"/>
      <c r="JTT126" s="1"/>
      <c r="JTU126" s="1"/>
      <c r="JTV126" s="1"/>
      <c r="JTW126" s="1"/>
      <c r="JTX126" s="1"/>
      <c r="JTY126" s="1"/>
      <c r="JTZ126" s="1"/>
      <c r="JUA126" s="1"/>
      <c r="JUB126" s="1"/>
      <c r="JUC126" s="1"/>
      <c r="JUD126" s="1"/>
      <c r="JUE126" s="1"/>
      <c r="JUF126" s="1"/>
      <c r="JUG126" s="1"/>
      <c r="JUH126" s="1"/>
      <c r="JUI126" s="1"/>
      <c r="JUJ126" s="1"/>
      <c r="JUK126" s="1"/>
      <c r="JUL126" s="1"/>
      <c r="JUM126" s="1"/>
      <c r="JUN126" s="1"/>
      <c r="JUO126" s="1"/>
      <c r="JUP126" s="1"/>
      <c r="JUQ126" s="1"/>
      <c r="JUR126" s="1"/>
      <c r="JUS126" s="1"/>
      <c r="JUT126" s="1"/>
      <c r="JUU126" s="1"/>
      <c r="JUV126" s="1"/>
      <c r="JUW126" s="1"/>
      <c r="JUX126" s="1"/>
      <c r="JUY126" s="1"/>
      <c r="JUZ126" s="1"/>
      <c r="JVA126" s="1"/>
      <c r="JVB126" s="1"/>
      <c r="JVC126" s="1"/>
      <c r="JVD126" s="1"/>
      <c r="JVE126" s="1"/>
      <c r="JVF126" s="1"/>
      <c r="JVG126" s="1"/>
      <c r="JVH126" s="1"/>
      <c r="JVI126" s="1"/>
      <c r="JVJ126" s="1"/>
      <c r="JVK126" s="1"/>
      <c r="JVL126" s="1"/>
      <c r="JVM126" s="1"/>
      <c r="JVN126" s="1"/>
      <c r="JVO126" s="1"/>
      <c r="JVP126" s="1"/>
      <c r="JVQ126" s="1"/>
      <c r="JVR126" s="1"/>
      <c r="JVS126" s="1"/>
      <c r="JVT126" s="1"/>
      <c r="JVU126" s="1"/>
      <c r="JVV126" s="1"/>
      <c r="JVW126" s="1"/>
      <c r="JVX126" s="1"/>
      <c r="JVY126" s="1"/>
      <c r="JVZ126" s="1"/>
      <c r="JWA126" s="1"/>
      <c r="JWB126" s="1"/>
      <c r="JWC126" s="1"/>
      <c r="JWD126" s="1"/>
      <c r="JWE126" s="1"/>
      <c r="JWF126" s="1"/>
      <c r="JWG126" s="1"/>
      <c r="JWH126" s="1"/>
      <c r="JWI126" s="1"/>
      <c r="JWJ126" s="1"/>
      <c r="JWK126" s="1"/>
      <c r="JWL126" s="1"/>
      <c r="JWM126" s="1"/>
      <c r="JWN126" s="1"/>
      <c r="JWO126" s="1"/>
      <c r="JWP126" s="1"/>
      <c r="JWQ126" s="1"/>
      <c r="JWR126" s="1"/>
      <c r="JWS126" s="1"/>
      <c r="JWT126" s="1"/>
      <c r="JWU126" s="1"/>
      <c r="JWV126" s="1"/>
      <c r="JWW126" s="1"/>
      <c r="JWX126" s="1"/>
      <c r="JWY126" s="1"/>
      <c r="JWZ126" s="1"/>
      <c r="JXA126" s="1"/>
      <c r="JXB126" s="1"/>
      <c r="JXC126" s="1"/>
      <c r="JXD126" s="1"/>
      <c r="JXE126" s="1"/>
      <c r="JXF126" s="1"/>
      <c r="JXG126" s="1"/>
      <c r="JXH126" s="1"/>
      <c r="JXI126" s="1"/>
      <c r="JXJ126" s="1"/>
      <c r="JXK126" s="1"/>
      <c r="JXL126" s="1"/>
      <c r="JXM126" s="1"/>
      <c r="JXN126" s="1"/>
      <c r="JXO126" s="1"/>
      <c r="JXP126" s="1"/>
      <c r="JXQ126" s="1"/>
      <c r="JXR126" s="1"/>
      <c r="JXS126" s="1"/>
      <c r="JXT126" s="1"/>
      <c r="JXU126" s="1"/>
      <c r="JXV126" s="1"/>
      <c r="JXW126" s="1"/>
      <c r="JXX126" s="1"/>
      <c r="JXY126" s="1"/>
      <c r="JXZ126" s="1"/>
      <c r="JYA126" s="1"/>
      <c r="JYB126" s="1"/>
      <c r="JYC126" s="1"/>
      <c r="JYD126" s="1"/>
      <c r="JYE126" s="1"/>
      <c r="JYF126" s="1"/>
      <c r="JYG126" s="1"/>
      <c r="JYH126" s="1"/>
      <c r="JYI126" s="1"/>
      <c r="JYJ126" s="1"/>
      <c r="JYK126" s="1"/>
      <c r="JYL126" s="1"/>
      <c r="JYM126" s="1"/>
      <c r="JYN126" s="1"/>
      <c r="JYO126" s="1"/>
      <c r="JYP126" s="1"/>
      <c r="JYQ126" s="1"/>
      <c r="JYR126" s="1"/>
      <c r="JYS126" s="1"/>
      <c r="JYT126" s="1"/>
      <c r="JYU126" s="1"/>
      <c r="JYV126" s="1"/>
      <c r="JYW126" s="1"/>
      <c r="JYX126" s="1"/>
      <c r="JYY126" s="1"/>
      <c r="JYZ126" s="1"/>
      <c r="JZA126" s="1"/>
      <c r="JZB126" s="1"/>
      <c r="JZC126" s="1"/>
      <c r="JZD126" s="1"/>
      <c r="JZE126" s="1"/>
      <c r="JZF126" s="1"/>
      <c r="JZG126" s="1"/>
      <c r="JZH126" s="1"/>
      <c r="JZI126" s="1"/>
      <c r="JZJ126" s="1"/>
      <c r="JZK126" s="1"/>
      <c r="JZL126" s="1"/>
      <c r="JZM126" s="1"/>
      <c r="JZN126" s="1"/>
      <c r="JZO126" s="1"/>
      <c r="JZP126" s="1"/>
      <c r="JZQ126" s="1"/>
      <c r="JZR126" s="1"/>
      <c r="JZS126" s="1"/>
      <c r="JZT126" s="1"/>
      <c r="JZU126" s="1"/>
      <c r="JZV126" s="1"/>
      <c r="JZW126" s="1"/>
      <c r="JZX126" s="1"/>
      <c r="JZY126" s="1"/>
      <c r="JZZ126" s="1"/>
      <c r="KAA126" s="1"/>
      <c r="KAB126" s="1"/>
      <c r="KAC126" s="1"/>
      <c r="KAD126" s="1"/>
      <c r="KAE126" s="1"/>
      <c r="KAF126" s="1"/>
      <c r="KAG126" s="1"/>
      <c r="KAH126" s="1"/>
      <c r="KAI126" s="1"/>
      <c r="KAJ126" s="1"/>
      <c r="KAK126" s="1"/>
      <c r="KAL126" s="1"/>
      <c r="KAM126" s="1"/>
      <c r="KAN126" s="1"/>
      <c r="KAO126" s="1"/>
      <c r="KAP126" s="1"/>
      <c r="KAQ126" s="1"/>
      <c r="KAR126" s="1"/>
      <c r="KAS126" s="1"/>
      <c r="KAT126" s="1"/>
      <c r="KAU126" s="1"/>
      <c r="KAV126" s="1"/>
      <c r="KAW126" s="1"/>
      <c r="KAX126" s="1"/>
      <c r="KAY126" s="1"/>
      <c r="KAZ126" s="1"/>
      <c r="KBA126" s="1"/>
      <c r="KBB126" s="1"/>
      <c r="KBC126" s="1"/>
      <c r="KBD126" s="1"/>
      <c r="KBE126" s="1"/>
      <c r="KBF126" s="1"/>
      <c r="KBG126" s="1"/>
      <c r="KBH126" s="1"/>
      <c r="KBI126" s="1"/>
      <c r="KBJ126" s="1"/>
      <c r="KBK126" s="1"/>
      <c r="KBL126" s="1"/>
      <c r="KBM126" s="1"/>
      <c r="KBN126" s="1"/>
      <c r="KBO126" s="1"/>
      <c r="KBP126" s="1"/>
      <c r="KBQ126" s="1"/>
      <c r="KBR126" s="1"/>
      <c r="KBS126" s="1"/>
      <c r="KBT126" s="1"/>
      <c r="KBU126" s="1"/>
      <c r="KBV126" s="1"/>
      <c r="KBW126" s="1"/>
      <c r="KBX126" s="1"/>
      <c r="KBY126" s="1"/>
      <c r="KBZ126" s="1"/>
      <c r="KCA126" s="1"/>
      <c r="KCB126" s="1"/>
      <c r="KCC126" s="1"/>
      <c r="KCD126" s="1"/>
      <c r="KCE126" s="1"/>
      <c r="KCF126" s="1"/>
      <c r="KCG126" s="1"/>
      <c r="KCH126" s="1"/>
      <c r="KCI126" s="1"/>
      <c r="KCJ126" s="1"/>
      <c r="KCK126" s="1"/>
      <c r="KCL126" s="1"/>
      <c r="KCM126" s="1"/>
      <c r="KCN126" s="1"/>
      <c r="KCO126" s="1"/>
      <c r="KCP126" s="1"/>
      <c r="KCQ126" s="1"/>
      <c r="KCR126" s="1"/>
      <c r="KCS126" s="1"/>
      <c r="KCT126" s="1"/>
      <c r="KCU126" s="1"/>
      <c r="KCV126" s="1"/>
      <c r="KCW126" s="1"/>
      <c r="KCX126" s="1"/>
      <c r="KCY126" s="1"/>
      <c r="KCZ126" s="1"/>
      <c r="KDA126" s="1"/>
      <c r="KDB126" s="1"/>
      <c r="KDC126" s="1"/>
      <c r="KDD126" s="1"/>
      <c r="KDE126" s="1"/>
      <c r="KDF126" s="1"/>
      <c r="KDG126" s="1"/>
      <c r="KDH126" s="1"/>
      <c r="KDI126" s="1"/>
      <c r="KDJ126" s="1"/>
      <c r="KDK126" s="1"/>
      <c r="KDL126" s="1"/>
      <c r="KDM126" s="1"/>
      <c r="KDN126" s="1"/>
      <c r="KDO126" s="1"/>
      <c r="KDP126" s="1"/>
      <c r="KDQ126" s="1"/>
      <c r="KDR126" s="1"/>
      <c r="KDS126" s="1"/>
      <c r="KDT126" s="1"/>
      <c r="KDU126" s="1"/>
      <c r="KDV126" s="1"/>
      <c r="KDW126" s="1"/>
      <c r="KDX126" s="1"/>
      <c r="KDY126" s="1"/>
      <c r="KDZ126" s="1"/>
      <c r="KEA126" s="1"/>
      <c r="KEB126" s="1"/>
      <c r="KEC126" s="1"/>
      <c r="KED126" s="1"/>
      <c r="KEE126" s="1"/>
      <c r="KEF126" s="1"/>
      <c r="KEG126" s="1"/>
      <c r="KEH126" s="1"/>
      <c r="KEI126" s="1"/>
      <c r="KEJ126" s="1"/>
      <c r="KEK126" s="1"/>
      <c r="KEL126" s="1"/>
      <c r="KEM126" s="1"/>
      <c r="KEN126" s="1"/>
      <c r="KEO126" s="1"/>
      <c r="KEP126" s="1"/>
      <c r="KEQ126" s="1"/>
      <c r="KER126" s="1"/>
      <c r="KES126" s="1"/>
      <c r="KET126" s="1"/>
      <c r="KEU126" s="1"/>
      <c r="KEV126" s="1"/>
      <c r="KEW126" s="1"/>
      <c r="KEX126" s="1"/>
      <c r="KEY126" s="1"/>
      <c r="KEZ126" s="1"/>
      <c r="KFA126" s="1"/>
      <c r="KFB126" s="1"/>
      <c r="KFC126" s="1"/>
      <c r="KFD126" s="1"/>
      <c r="KFE126" s="1"/>
      <c r="KFF126" s="1"/>
      <c r="KFG126" s="1"/>
      <c r="KFH126" s="1"/>
      <c r="KFI126" s="1"/>
      <c r="KFJ126" s="1"/>
      <c r="KFK126" s="1"/>
      <c r="KFL126" s="1"/>
      <c r="KFM126" s="1"/>
      <c r="KFN126" s="1"/>
      <c r="KFO126" s="1"/>
      <c r="KFP126" s="1"/>
      <c r="KFQ126" s="1"/>
      <c r="KFR126" s="1"/>
      <c r="KFS126" s="1"/>
      <c r="KFT126" s="1"/>
      <c r="KFU126" s="1"/>
      <c r="KFV126" s="1"/>
      <c r="KFW126" s="1"/>
      <c r="KFX126" s="1"/>
      <c r="KFY126" s="1"/>
      <c r="KFZ126" s="1"/>
      <c r="KGA126" s="1"/>
      <c r="KGB126" s="1"/>
      <c r="KGC126" s="1"/>
      <c r="KGD126" s="1"/>
      <c r="KGE126" s="1"/>
      <c r="KGF126" s="1"/>
      <c r="KGG126" s="1"/>
      <c r="KGH126" s="1"/>
      <c r="KGI126" s="1"/>
      <c r="KGJ126" s="1"/>
      <c r="KGK126" s="1"/>
      <c r="KGL126" s="1"/>
      <c r="KGM126" s="1"/>
      <c r="KGN126" s="1"/>
      <c r="KGO126" s="1"/>
      <c r="KGP126" s="1"/>
      <c r="KGQ126" s="1"/>
      <c r="KGR126" s="1"/>
      <c r="KGS126" s="1"/>
      <c r="KGT126" s="1"/>
      <c r="KGU126" s="1"/>
      <c r="KGV126" s="1"/>
      <c r="KGW126" s="1"/>
      <c r="KGX126" s="1"/>
      <c r="KGY126" s="1"/>
      <c r="KGZ126" s="1"/>
      <c r="KHA126" s="1"/>
      <c r="KHB126" s="1"/>
      <c r="KHC126" s="1"/>
      <c r="KHD126" s="1"/>
      <c r="KHE126" s="1"/>
      <c r="KHF126" s="1"/>
      <c r="KHG126" s="1"/>
      <c r="KHH126" s="1"/>
      <c r="KHI126" s="1"/>
      <c r="KHJ126" s="1"/>
      <c r="KHK126" s="1"/>
      <c r="KHL126" s="1"/>
      <c r="KHM126" s="1"/>
      <c r="KHN126" s="1"/>
      <c r="KHO126" s="1"/>
      <c r="KHP126" s="1"/>
      <c r="KHQ126" s="1"/>
      <c r="KHR126" s="1"/>
      <c r="KHS126" s="1"/>
      <c r="KHT126" s="1"/>
      <c r="KHU126" s="1"/>
      <c r="KHV126" s="1"/>
      <c r="KHW126" s="1"/>
      <c r="KHX126" s="1"/>
      <c r="KHY126" s="1"/>
      <c r="KHZ126" s="1"/>
      <c r="KIA126" s="1"/>
      <c r="KIB126" s="1"/>
      <c r="KIC126" s="1"/>
      <c r="KID126" s="1"/>
      <c r="KIE126" s="1"/>
      <c r="KIF126" s="1"/>
      <c r="KIG126" s="1"/>
      <c r="KIH126" s="1"/>
      <c r="KII126" s="1"/>
      <c r="KIJ126" s="1"/>
      <c r="KIK126" s="1"/>
      <c r="KIL126" s="1"/>
      <c r="KIM126" s="1"/>
      <c r="KIN126" s="1"/>
      <c r="KIO126" s="1"/>
      <c r="KIP126" s="1"/>
      <c r="KIQ126" s="1"/>
      <c r="KIR126" s="1"/>
      <c r="KIS126" s="1"/>
      <c r="KIT126" s="1"/>
      <c r="KIU126" s="1"/>
      <c r="KIV126" s="1"/>
      <c r="KIW126" s="1"/>
      <c r="KIX126" s="1"/>
      <c r="KIY126" s="1"/>
      <c r="KIZ126" s="1"/>
      <c r="KJA126" s="1"/>
      <c r="KJB126" s="1"/>
      <c r="KJC126" s="1"/>
      <c r="KJD126" s="1"/>
      <c r="KJE126" s="1"/>
      <c r="KJF126" s="1"/>
      <c r="KJG126" s="1"/>
      <c r="KJH126" s="1"/>
      <c r="KJI126" s="1"/>
      <c r="KJJ126" s="1"/>
      <c r="KJK126" s="1"/>
      <c r="KJL126" s="1"/>
      <c r="KJM126" s="1"/>
      <c r="KJN126" s="1"/>
      <c r="KJO126" s="1"/>
      <c r="KJP126" s="1"/>
      <c r="KJQ126" s="1"/>
      <c r="KJR126" s="1"/>
      <c r="KJS126" s="1"/>
      <c r="KJT126" s="1"/>
      <c r="KJU126" s="1"/>
      <c r="KJV126" s="1"/>
      <c r="KJW126" s="1"/>
      <c r="KJX126" s="1"/>
      <c r="KJY126" s="1"/>
      <c r="KJZ126" s="1"/>
      <c r="KKA126" s="1"/>
      <c r="KKB126" s="1"/>
      <c r="KKC126" s="1"/>
      <c r="KKD126" s="1"/>
      <c r="KKE126" s="1"/>
      <c r="KKF126" s="1"/>
      <c r="KKG126" s="1"/>
      <c r="KKH126" s="1"/>
      <c r="KKI126" s="1"/>
      <c r="KKJ126" s="1"/>
      <c r="KKK126" s="1"/>
      <c r="KKL126" s="1"/>
      <c r="KKM126" s="1"/>
      <c r="KKN126" s="1"/>
      <c r="KKO126" s="1"/>
      <c r="KKP126" s="1"/>
      <c r="KKQ126" s="1"/>
      <c r="KKR126" s="1"/>
      <c r="KKS126" s="1"/>
      <c r="KKT126" s="1"/>
      <c r="KKU126" s="1"/>
      <c r="KKV126" s="1"/>
      <c r="KKW126" s="1"/>
      <c r="KKX126" s="1"/>
      <c r="KKY126" s="1"/>
      <c r="KKZ126" s="1"/>
      <c r="KLA126" s="1"/>
      <c r="KLB126" s="1"/>
      <c r="KLC126" s="1"/>
      <c r="KLD126" s="1"/>
      <c r="KLE126" s="1"/>
      <c r="KLF126" s="1"/>
      <c r="KLG126" s="1"/>
      <c r="KLH126" s="1"/>
      <c r="KLI126" s="1"/>
      <c r="KLJ126" s="1"/>
      <c r="KLK126" s="1"/>
      <c r="KLL126" s="1"/>
      <c r="KLM126" s="1"/>
      <c r="KLN126" s="1"/>
      <c r="KLO126" s="1"/>
      <c r="KLP126" s="1"/>
      <c r="KLQ126" s="1"/>
      <c r="KLR126" s="1"/>
      <c r="KLS126" s="1"/>
      <c r="KLT126" s="1"/>
      <c r="KLU126" s="1"/>
      <c r="KLV126" s="1"/>
      <c r="KLW126" s="1"/>
      <c r="KLX126" s="1"/>
      <c r="KLY126" s="1"/>
      <c r="KLZ126" s="1"/>
      <c r="KMA126" s="1"/>
      <c r="KMB126" s="1"/>
      <c r="KMC126" s="1"/>
      <c r="KMD126" s="1"/>
      <c r="KME126" s="1"/>
      <c r="KMF126" s="1"/>
      <c r="KMG126" s="1"/>
      <c r="KMH126" s="1"/>
      <c r="KMI126" s="1"/>
      <c r="KMJ126" s="1"/>
      <c r="KMK126" s="1"/>
      <c r="KML126" s="1"/>
      <c r="KMM126" s="1"/>
      <c r="KMN126" s="1"/>
      <c r="KMO126" s="1"/>
      <c r="KMP126" s="1"/>
      <c r="KMQ126" s="1"/>
      <c r="KMR126" s="1"/>
      <c r="KMS126" s="1"/>
      <c r="KMT126" s="1"/>
      <c r="KMU126" s="1"/>
      <c r="KMV126" s="1"/>
      <c r="KMW126" s="1"/>
      <c r="KMX126" s="1"/>
      <c r="KMY126" s="1"/>
      <c r="KMZ126" s="1"/>
      <c r="KNA126" s="1"/>
      <c r="KNB126" s="1"/>
      <c r="KNC126" s="1"/>
      <c r="KND126" s="1"/>
      <c r="KNE126" s="1"/>
      <c r="KNF126" s="1"/>
      <c r="KNG126" s="1"/>
      <c r="KNH126" s="1"/>
      <c r="KNI126" s="1"/>
      <c r="KNJ126" s="1"/>
      <c r="KNK126" s="1"/>
      <c r="KNL126" s="1"/>
      <c r="KNM126" s="1"/>
      <c r="KNN126" s="1"/>
      <c r="KNO126" s="1"/>
      <c r="KNP126" s="1"/>
      <c r="KNQ126" s="1"/>
      <c r="KNR126" s="1"/>
      <c r="KNS126" s="1"/>
      <c r="KNT126" s="1"/>
      <c r="KNU126" s="1"/>
      <c r="KNV126" s="1"/>
      <c r="KNW126" s="1"/>
      <c r="KNX126" s="1"/>
      <c r="KNY126" s="1"/>
      <c r="KNZ126" s="1"/>
      <c r="KOA126" s="1"/>
      <c r="KOB126" s="1"/>
      <c r="KOC126" s="1"/>
      <c r="KOD126" s="1"/>
      <c r="KOE126" s="1"/>
      <c r="KOF126" s="1"/>
      <c r="KOG126" s="1"/>
      <c r="KOH126" s="1"/>
      <c r="KOI126" s="1"/>
      <c r="KOJ126" s="1"/>
      <c r="KOK126" s="1"/>
      <c r="KOL126" s="1"/>
      <c r="KOM126" s="1"/>
      <c r="KON126" s="1"/>
      <c r="KOO126" s="1"/>
      <c r="KOP126" s="1"/>
      <c r="KOQ126" s="1"/>
      <c r="KOR126" s="1"/>
      <c r="KOS126" s="1"/>
      <c r="KOT126" s="1"/>
      <c r="KOU126" s="1"/>
      <c r="KOV126" s="1"/>
      <c r="KOW126" s="1"/>
      <c r="KOX126" s="1"/>
      <c r="KOY126" s="1"/>
      <c r="KOZ126" s="1"/>
      <c r="KPA126" s="1"/>
      <c r="KPB126" s="1"/>
      <c r="KPC126" s="1"/>
      <c r="KPD126" s="1"/>
      <c r="KPE126" s="1"/>
      <c r="KPF126" s="1"/>
      <c r="KPG126" s="1"/>
      <c r="KPH126" s="1"/>
      <c r="KPI126" s="1"/>
      <c r="KPJ126" s="1"/>
      <c r="KPK126" s="1"/>
      <c r="KPL126" s="1"/>
      <c r="KPM126" s="1"/>
      <c r="KPN126" s="1"/>
      <c r="KPO126" s="1"/>
      <c r="KPP126" s="1"/>
      <c r="KPQ126" s="1"/>
      <c r="KPR126" s="1"/>
      <c r="KPS126" s="1"/>
      <c r="KPT126" s="1"/>
      <c r="KPU126" s="1"/>
      <c r="KPV126" s="1"/>
      <c r="KPW126" s="1"/>
      <c r="KPX126" s="1"/>
      <c r="KPY126" s="1"/>
      <c r="KPZ126" s="1"/>
      <c r="KQA126" s="1"/>
      <c r="KQB126" s="1"/>
      <c r="KQC126" s="1"/>
      <c r="KQD126" s="1"/>
      <c r="KQE126" s="1"/>
      <c r="KQF126" s="1"/>
      <c r="KQG126" s="1"/>
      <c r="KQH126" s="1"/>
      <c r="KQI126" s="1"/>
      <c r="KQJ126" s="1"/>
      <c r="KQK126" s="1"/>
      <c r="KQL126" s="1"/>
      <c r="KQM126" s="1"/>
      <c r="KQN126" s="1"/>
      <c r="KQO126" s="1"/>
      <c r="KQP126" s="1"/>
      <c r="KQQ126" s="1"/>
      <c r="KQR126" s="1"/>
      <c r="KQS126" s="1"/>
      <c r="KQT126" s="1"/>
      <c r="KQU126" s="1"/>
      <c r="KQV126" s="1"/>
      <c r="KQW126" s="1"/>
      <c r="KQX126" s="1"/>
      <c r="KQY126" s="1"/>
      <c r="KQZ126" s="1"/>
      <c r="KRA126" s="1"/>
      <c r="KRB126" s="1"/>
      <c r="KRC126" s="1"/>
      <c r="KRD126" s="1"/>
      <c r="KRE126" s="1"/>
      <c r="KRF126" s="1"/>
      <c r="KRG126" s="1"/>
      <c r="KRH126" s="1"/>
      <c r="KRI126" s="1"/>
      <c r="KRJ126" s="1"/>
      <c r="KRK126" s="1"/>
      <c r="KRL126" s="1"/>
      <c r="KRM126" s="1"/>
      <c r="KRN126" s="1"/>
      <c r="KRO126" s="1"/>
      <c r="KRP126" s="1"/>
      <c r="KRQ126" s="1"/>
      <c r="KRR126" s="1"/>
      <c r="KRS126" s="1"/>
      <c r="KRT126" s="1"/>
      <c r="KRU126" s="1"/>
      <c r="KRV126" s="1"/>
      <c r="KRW126" s="1"/>
      <c r="KRX126" s="1"/>
      <c r="KRY126" s="1"/>
      <c r="KRZ126" s="1"/>
      <c r="KSA126" s="1"/>
      <c r="KSB126" s="1"/>
      <c r="KSC126" s="1"/>
      <c r="KSD126" s="1"/>
      <c r="KSE126" s="1"/>
      <c r="KSF126" s="1"/>
      <c r="KSG126" s="1"/>
      <c r="KSH126" s="1"/>
      <c r="KSI126" s="1"/>
      <c r="KSJ126" s="1"/>
      <c r="KSK126" s="1"/>
      <c r="KSL126" s="1"/>
      <c r="KSM126" s="1"/>
      <c r="KSN126" s="1"/>
      <c r="KSO126" s="1"/>
      <c r="KSP126" s="1"/>
      <c r="KSQ126" s="1"/>
      <c r="KSR126" s="1"/>
      <c r="KSS126" s="1"/>
      <c r="KST126" s="1"/>
      <c r="KSU126" s="1"/>
      <c r="KSV126" s="1"/>
      <c r="KSW126" s="1"/>
      <c r="KSX126" s="1"/>
      <c r="KSY126" s="1"/>
      <c r="KSZ126" s="1"/>
      <c r="KTA126" s="1"/>
      <c r="KTB126" s="1"/>
      <c r="KTC126" s="1"/>
      <c r="KTD126" s="1"/>
      <c r="KTE126" s="1"/>
      <c r="KTF126" s="1"/>
      <c r="KTG126" s="1"/>
      <c r="KTH126" s="1"/>
      <c r="KTI126" s="1"/>
      <c r="KTJ126" s="1"/>
      <c r="KTK126" s="1"/>
      <c r="KTL126" s="1"/>
      <c r="KTM126" s="1"/>
      <c r="KTN126" s="1"/>
      <c r="KTO126" s="1"/>
      <c r="KTP126" s="1"/>
      <c r="KTQ126" s="1"/>
      <c r="KTR126" s="1"/>
      <c r="KTS126" s="1"/>
      <c r="KTT126" s="1"/>
      <c r="KTU126" s="1"/>
      <c r="KTV126" s="1"/>
      <c r="KTW126" s="1"/>
      <c r="KTX126" s="1"/>
      <c r="KTY126" s="1"/>
      <c r="KTZ126" s="1"/>
      <c r="KUA126" s="1"/>
      <c r="KUB126" s="1"/>
      <c r="KUC126" s="1"/>
      <c r="KUD126" s="1"/>
      <c r="KUE126" s="1"/>
      <c r="KUF126" s="1"/>
      <c r="KUG126" s="1"/>
      <c r="KUH126" s="1"/>
      <c r="KUI126" s="1"/>
      <c r="KUJ126" s="1"/>
      <c r="KUK126" s="1"/>
      <c r="KUL126" s="1"/>
      <c r="KUM126" s="1"/>
      <c r="KUN126" s="1"/>
      <c r="KUO126" s="1"/>
      <c r="KUP126" s="1"/>
      <c r="KUQ126" s="1"/>
      <c r="KUR126" s="1"/>
      <c r="KUS126" s="1"/>
      <c r="KUT126" s="1"/>
      <c r="KUU126" s="1"/>
      <c r="KUV126" s="1"/>
      <c r="KUW126" s="1"/>
      <c r="KUX126" s="1"/>
      <c r="KUY126" s="1"/>
      <c r="KUZ126" s="1"/>
      <c r="KVA126" s="1"/>
      <c r="KVB126" s="1"/>
      <c r="KVC126" s="1"/>
      <c r="KVD126" s="1"/>
      <c r="KVE126" s="1"/>
      <c r="KVF126" s="1"/>
      <c r="KVG126" s="1"/>
      <c r="KVH126" s="1"/>
      <c r="KVI126" s="1"/>
      <c r="KVJ126" s="1"/>
      <c r="KVK126" s="1"/>
      <c r="KVL126" s="1"/>
      <c r="KVM126" s="1"/>
      <c r="KVN126" s="1"/>
      <c r="KVO126" s="1"/>
      <c r="KVP126" s="1"/>
      <c r="KVQ126" s="1"/>
      <c r="KVR126" s="1"/>
      <c r="KVS126" s="1"/>
      <c r="KVT126" s="1"/>
      <c r="KVU126" s="1"/>
      <c r="KVV126" s="1"/>
      <c r="KVW126" s="1"/>
      <c r="KVX126" s="1"/>
      <c r="KVY126" s="1"/>
      <c r="KVZ126" s="1"/>
      <c r="KWA126" s="1"/>
      <c r="KWB126" s="1"/>
      <c r="KWC126" s="1"/>
      <c r="KWD126" s="1"/>
      <c r="KWE126" s="1"/>
      <c r="KWF126" s="1"/>
      <c r="KWG126" s="1"/>
      <c r="KWH126" s="1"/>
      <c r="KWI126" s="1"/>
      <c r="KWJ126" s="1"/>
      <c r="KWK126" s="1"/>
      <c r="KWL126" s="1"/>
      <c r="KWM126" s="1"/>
      <c r="KWN126" s="1"/>
      <c r="KWO126" s="1"/>
      <c r="KWP126" s="1"/>
      <c r="KWQ126" s="1"/>
      <c r="KWR126" s="1"/>
      <c r="KWS126" s="1"/>
      <c r="KWT126" s="1"/>
      <c r="KWU126" s="1"/>
      <c r="KWV126" s="1"/>
      <c r="KWW126" s="1"/>
      <c r="KWX126" s="1"/>
      <c r="KWY126" s="1"/>
      <c r="KWZ126" s="1"/>
      <c r="KXA126" s="1"/>
      <c r="KXB126" s="1"/>
      <c r="KXC126" s="1"/>
      <c r="KXD126" s="1"/>
      <c r="KXE126" s="1"/>
      <c r="KXF126" s="1"/>
      <c r="KXG126" s="1"/>
      <c r="KXH126" s="1"/>
      <c r="KXI126" s="1"/>
      <c r="KXJ126" s="1"/>
      <c r="KXK126" s="1"/>
      <c r="KXL126" s="1"/>
      <c r="KXM126" s="1"/>
      <c r="KXN126" s="1"/>
      <c r="KXO126" s="1"/>
      <c r="KXP126" s="1"/>
      <c r="KXQ126" s="1"/>
      <c r="KXR126" s="1"/>
      <c r="KXS126" s="1"/>
      <c r="KXT126" s="1"/>
      <c r="KXU126" s="1"/>
      <c r="KXV126" s="1"/>
      <c r="KXW126" s="1"/>
      <c r="KXX126" s="1"/>
      <c r="KXY126" s="1"/>
      <c r="KXZ126" s="1"/>
      <c r="KYA126" s="1"/>
      <c r="KYB126" s="1"/>
      <c r="KYC126" s="1"/>
      <c r="KYD126" s="1"/>
      <c r="KYE126" s="1"/>
      <c r="KYF126" s="1"/>
      <c r="KYG126" s="1"/>
      <c r="KYH126" s="1"/>
      <c r="KYI126" s="1"/>
      <c r="KYJ126" s="1"/>
      <c r="KYK126" s="1"/>
      <c r="KYL126" s="1"/>
      <c r="KYM126" s="1"/>
      <c r="KYN126" s="1"/>
      <c r="KYO126" s="1"/>
      <c r="KYP126" s="1"/>
      <c r="KYQ126" s="1"/>
      <c r="KYR126" s="1"/>
      <c r="KYS126" s="1"/>
      <c r="KYT126" s="1"/>
      <c r="KYU126" s="1"/>
      <c r="KYV126" s="1"/>
      <c r="KYW126" s="1"/>
      <c r="KYX126" s="1"/>
      <c r="KYY126" s="1"/>
      <c r="KYZ126" s="1"/>
      <c r="KZA126" s="1"/>
      <c r="KZB126" s="1"/>
      <c r="KZC126" s="1"/>
      <c r="KZD126" s="1"/>
      <c r="KZE126" s="1"/>
      <c r="KZF126" s="1"/>
      <c r="KZG126" s="1"/>
      <c r="KZH126" s="1"/>
      <c r="KZI126" s="1"/>
      <c r="KZJ126" s="1"/>
      <c r="KZK126" s="1"/>
      <c r="KZL126" s="1"/>
      <c r="KZM126" s="1"/>
      <c r="KZN126" s="1"/>
      <c r="KZO126" s="1"/>
      <c r="KZP126" s="1"/>
      <c r="KZQ126" s="1"/>
      <c r="KZR126" s="1"/>
      <c r="KZS126" s="1"/>
      <c r="KZT126" s="1"/>
      <c r="KZU126" s="1"/>
      <c r="KZV126" s="1"/>
      <c r="KZW126" s="1"/>
      <c r="KZX126" s="1"/>
      <c r="KZY126" s="1"/>
      <c r="KZZ126" s="1"/>
      <c r="LAA126" s="1"/>
      <c r="LAB126" s="1"/>
      <c r="LAC126" s="1"/>
      <c r="LAD126" s="1"/>
      <c r="LAE126" s="1"/>
      <c r="LAF126" s="1"/>
      <c r="LAG126" s="1"/>
      <c r="LAH126" s="1"/>
      <c r="LAI126" s="1"/>
      <c r="LAJ126" s="1"/>
      <c r="LAK126" s="1"/>
      <c r="LAL126" s="1"/>
      <c r="LAM126" s="1"/>
      <c r="LAN126" s="1"/>
      <c r="LAO126" s="1"/>
      <c r="LAP126" s="1"/>
      <c r="LAQ126" s="1"/>
      <c r="LAR126" s="1"/>
      <c r="LAS126" s="1"/>
      <c r="LAT126" s="1"/>
      <c r="LAU126" s="1"/>
      <c r="LAV126" s="1"/>
      <c r="LAW126" s="1"/>
      <c r="LAX126" s="1"/>
      <c r="LAY126" s="1"/>
      <c r="LAZ126" s="1"/>
      <c r="LBA126" s="1"/>
      <c r="LBB126" s="1"/>
      <c r="LBC126" s="1"/>
      <c r="LBD126" s="1"/>
      <c r="LBE126" s="1"/>
      <c r="LBF126" s="1"/>
      <c r="LBG126" s="1"/>
      <c r="LBH126" s="1"/>
      <c r="LBI126" s="1"/>
      <c r="LBJ126" s="1"/>
      <c r="LBK126" s="1"/>
      <c r="LBL126" s="1"/>
      <c r="LBM126" s="1"/>
      <c r="LBN126" s="1"/>
      <c r="LBO126" s="1"/>
      <c r="LBP126" s="1"/>
      <c r="LBQ126" s="1"/>
      <c r="LBR126" s="1"/>
      <c r="LBS126" s="1"/>
      <c r="LBT126" s="1"/>
      <c r="LBU126" s="1"/>
      <c r="LBV126" s="1"/>
      <c r="LBW126" s="1"/>
      <c r="LBX126" s="1"/>
      <c r="LBY126" s="1"/>
      <c r="LBZ126" s="1"/>
      <c r="LCA126" s="1"/>
      <c r="LCB126" s="1"/>
      <c r="LCC126" s="1"/>
      <c r="LCD126" s="1"/>
      <c r="LCE126" s="1"/>
      <c r="LCF126" s="1"/>
      <c r="LCG126" s="1"/>
      <c r="LCH126" s="1"/>
      <c r="LCI126" s="1"/>
      <c r="LCJ126" s="1"/>
      <c r="LCK126" s="1"/>
      <c r="LCL126" s="1"/>
      <c r="LCM126" s="1"/>
      <c r="LCN126" s="1"/>
      <c r="LCO126" s="1"/>
      <c r="LCP126" s="1"/>
      <c r="LCQ126" s="1"/>
      <c r="LCR126" s="1"/>
      <c r="LCS126" s="1"/>
      <c r="LCT126" s="1"/>
      <c r="LCU126" s="1"/>
      <c r="LCV126" s="1"/>
      <c r="LCW126" s="1"/>
      <c r="LCX126" s="1"/>
      <c r="LCY126" s="1"/>
      <c r="LCZ126" s="1"/>
      <c r="LDA126" s="1"/>
      <c r="LDB126" s="1"/>
      <c r="LDC126" s="1"/>
      <c r="LDD126" s="1"/>
      <c r="LDE126" s="1"/>
      <c r="LDF126" s="1"/>
      <c r="LDG126" s="1"/>
      <c r="LDH126" s="1"/>
      <c r="LDI126" s="1"/>
      <c r="LDJ126" s="1"/>
      <c r="LDK126" s="1"/>
      <c r="LDL126" s="1"/>
      <c r="LDM126" s="1"/>
      <c r="LDN126" s="1"/>
      <c r="LDO126" s="1"/>
      <c r="LDP126" s="1"/>
      <c r="LDQ126" s="1"/>
      <c r="LDR126" s="1"/>
      <c r="LDS126" s="1"/>
      <c r="LDT126" s="1"/>
      <c r="LDU126" s="1"/>
      <c r="LDV126" s="1"/>
      <c r="LDW126" s="1"/>
      <c r="LDX126" s="1"/>
      <c r="LDY126" s="1"/>
      <c r="LDZ126" s="1"/>
      <c r="LEA126" s="1"/>
      <c r="LEB126" s="1"/>
      <c r="LEC126" s="1"/>
      <c r="LED126" s="1"/>
      <c r="LEE126" s="1"/>
      <c r="LEF126" s="1"/>
      <c r="LEG126" s="1"/>
      <c r="LEH126" s="1"/>
      <c r="LEI126" s="1"/>
      <c r="LEJ126" s="1"/>
      <c r="LEK126" s="1"/>
      <c r="LEL126" s="1"/>
      <c r="LEM126" s="1"/>
      <c r="LEN126" s="1"/>
      <c r="LEO126" s="1"/>
      <c r="LEP126" s="1"/>
      <c r="LEQ126" s="1"/>
      <c r="LER126" s="1"/>
      <c r="LES126" s="1"/>
      <c r="LET126" s="1"/>
      <c r="LEU126" s="1"/>
      <c r="LEV126" s="1"/>
      <c r="LEW126" s="1"/>
      <c r="LEX126" s="1"/>
      <c r="LEY126" s="1"/>
      <c r="LEZ126" s="1"/>
      <c r="LFA126" s="1"/>
      <c r="LFB126" s="1"/>
      <c r="LFC126" s="1"/>
      <c r="LFD126" s="1"/>
      <c r="LFE126" s="1"/>
      <c r="LFF126" s="1"/>
      <c r="LFG126" s="1"/>
      <c r="LFH126" s="1"/>
      <c r="LFI126" s="1"/>
      <c r="LFJ126" s="1"/>
      <c r="LFK126" s="1"/>
      <c r="LFL126" s="1"/>
      <c r="LFM126" s="1"/>
      <c r="LFN126" s="1"/>
      <c r="LFO126" s="1"/>
      <c r="LFP126" s="1"/>
      <c r="LFQ126" s="1"/>
      <c r="LFR126" s="1"/>
      <c r="LFS126" s="1"/>
      <c r="LFT126" s="1"/>
      <c r="LFU126" s="1"/>
      <c r="LFV126" s="1"/>
      <c r="LFW126" s="1"/>
      <c r="LFX126" s="1"/>
      <c r="LFY126" s="1"/>
      <c r="LFZ126" s="1"/>
      <c r="LGA126" s="1"/>
      <c r="LGB126" s="1"/>
      <c r="LGC126" s="1"/>
      <c r="LGD126" s="1"/>
      <c r="LGE126" s="1"/>
      <c r="LGF126" s="1"/>
      <c r="LGG126" s="1"/>
      <c r="LGH126" s="1"/>
      <c r="LGI126" s="1"/>
      <c r="LGJ126" s="1"/>
      <c r="LGK126" s="1"/>
      <c r="LGL126" s="1"/>
      <c r="LGM126" s="1"/>
      <c r="LGN126" s="1"/>
      <c r="LGO126" s="1"/>
      <c r="LGP126" s="1"/>
      <c r="LGQ126" s="1"/>
      <c r="LGR126" s="1"/>
      <c r="LGS126" s="1"/>
      <c r="LGT126" s="1"/>
      <c r="LGU126" s="1"/>
      <c r="LGV126" s="1"/>
      <c r="LGW126" s="1"/>
      <c r="LGX126" s="1"/>
      <c r="LGY126" s="1"/>
      <c r="LGZ126" s="1"/>
      <c r="LHA126" s="1"/>
      <c r="LHB126" s="1"/>
      <c r="LHC126" s="1"/>
      <c r="LHD126" s="1"/>
      <c r="LHE126" s="1"/>
      <c r="LHF126" s="1"/>
      <c r="LHG126" s="1"/>
      <c r="LHH126" s="1"/>
      <c r="LHI126" s="1"/>
      <c r="LHJ126" s="1"/>
      <c r="LHK126" s="1"/>
      <c r="LHL126" s="1"/>
      <c r="LHM126" s="1"/>
      <c r="LHN126" s="1"/>
      <c r="LHO126" s="1"/>
      <c r="LHP126" s="1"/>
      <c r="LHQ126" s="1"/>
      <c r="LHR126" s="1"/>
      <c r="LHS126" s="1"/>
      <c r="LHT126" s="1"/>
      <c r="LHU126" s="1"/>
      <c r="LHV126" s="1"/>
      <c r="LHW126" s="1"/>
      <c r="LHX126" s="1"/>
      <c r="LHY126" s="1"/>
      <c r="LHZ126" s="1"/>
      <c r="LIA126" s="1"/>
      <c r="LIB126" s="1"/>
      <c r="LIC126" s="1"/>
      <c r="LID126" s="1"/>
      <c r="LIE126" s="1"/>
      <c r="LIF126" s="1"/>
      <c r="LIG126" s="1"/>
      <c r="LIH126" s="1"/>
      <c r="LII126" s="1"/>
      <c r="LIJ126" s="1"/>
      <c r="LIK126" s="1"/>
      <c r="LIL126" s="1"/>
      <c r="LIM126" s="1"/>
      <c r="LIN126" s="1"/>
      <c r="LIO126" s="1"/>
      <c r="LIP126" s="1"/>
      <c r="LIQ126" s="1"/>
      <c r="LIR126" s="1"/>
      <c r="LIS126" s="1"/>
      <c r="LIT126" s="1"/>
      <c r="LIU126" s="1"/>
      <c r="LIV126" s="1"/>
      <c r="LIW126" s="1"/>
      <c r="LIX126" s="1"/>
      <c r="LIY126" s="1"/>
      <c r="LIZ126" s="1"/>
      <c r="LJA126" s="1"/>
      <c r="LJB126" s="1"/>
      <c r="LJC126" s="1"/>
      <c r="LJD126" s="1"/>
      <c r="LJE126" s="1"/>
      <c r="LJF126" s="1"/>
      <c r="LJG126" s="1"/>
      <c r="LJH126" s="1"/>
      <c r="LJI126" s="1"/>
      <c r="LJJ126" s="1"/>
      <c r="LJK126" s="1"/>
      <c r="LJL126" s="1"/>
      <c r="LJM126" s="1"/>
      <c r="LJN126" s="1"/>
      <c r="LJO126" s="1"/>
      <c r="LJP126" s="1"/>
      <c r="LJQ126" s="1"/>
      <c r="LJR126" s="1"/>
      <c r="LJS126" s="1"/>
      <c r="LJT126" s="1"/>
      <c r="LJU126" s="1"/>
      <c r="LJV126" s="1"/>
      <c r="LJW126" s="1"/>
      <c r="LJX126" s="1"/>
      <c r="LJY126" s="1"/>
      <c r="LJZ126" s="1"/>
      <c r="LKA126" s="1"/>
      <c r="LKB126" s="1"/>
      <c r="LKC126" s="1"/>
      <c r="LKD126" s="1"/>
      <c r="LKE126" s="1"/>
      <c r="LKF126" s="1"/>
      <c r="LKG126" s="1"/>
      <c r="LKH126" s="1"/>
      <c r="LKI126" s="1"/>
      <c r="LKJ126" s="1"/>
      <c r="LKK126" s="1"/>
      <c r="LKL126" s="1"/>
      <c r="LKM126" s="1"/>
      <c r="LKN126" s="1"/>
      <c r="LKO126" s="1"/>
      <c r="LKP126" s="1"/>
      <c r="LKQ126" s="1"/>
      <c r="LKR126" s="1"/>
      <c r="LKS126" s="1"/>
      <c r="LKT126" s="1"/>
      <c r="LKU126" s="1"/>
      <c r="LKV126" s="1"/>
      <c r="LKW126" s="1"/>
      <c r="LKX126" s="1"/>
      <c r="LKY126" s="1"/>
      <c r="LKZ126" s="1"/>
      <c r="LLA126" s="1"/>
      <c r="LLB126" s="1"/>
      <c r="LLC126" s="1"/>
      <c r="LLD126" s="1"/>
      <c r="LLE126" s="1"/>
      <c r="LLF126" s="1"/>
      <c r="LLG126" s="1"/>
      <c r="LLH126" s="1"/>
      <c r="LLI126" s="1"/>
      <c r="LLJ126" s="1"/>
      <c r="LLK126" s="1"/>
      <c r="LLL126" s="1"/>
      <c r="LLM126" s="1"/>
      <c r="LLN126" s="1"/>
      <c r="LLO126" s="1"/>
      <c r="LLP126" s="1"/>
      <c r="LLQ126" s="1"/>
      <c r="LLR126" s="1"/>
      <c r="LLS126" s="1"/>
      <c r="LLT126" s="1"/>
      <c r="LLU126" s="1"/>
      <c r="LLV126" s="1"/>
      <c r="LLW126" s="1"/>
      <c r="LLX126" s="1"/>
      <c r="LLY126" s="1"/>
      <c r="LLZ126" s="1"/>
      <c r="LMA126" s="1"/>
      <c r="LMB126" s="1"/>
      <c r="LMC126" s="1"/>
      <c r="LMD126" s="1"/>
      <c r="LME126" s="1"/>
      <c r="LMF126" s="1"/>
      <c r="LMG126" s="1"/>
      <c r="LMH126" s="1"/>
      <c r="LMI126" s="1"/>
      <c r="LMJ126" s="1"/>
      <c r="LMK126" s="1"/>
      <c r="LML126" s="1"/>
      <c r="LMM126" s="1"/>
      <c r="LMN126" s="1"/>
      <c r="LMO126" s="1"/>
      <c r="LMP126" s="1"/>
      <c r="LMQ126" s="1"/>
      <c r="LMR126" s="1"/>
      <c r="LMS126" s="1"/>
      <c r="LMT126" s="1"/>
      <c r="LMU126" s="1"/>
      <c r="LMV126" s="1"/>
      <c r="LMW126" s="1"/>
      <c r="LMX126" s="1"/>
      <c r="LMY126" s="1"/>
      <c r="LMZ126" s="1"/>
      <c r="LNA126" s="1"/>
      <c r="LNB126" s="1"/>
      <c r="LNC126" s="1"/>
      <c r="LND126" s="1"/>
      <c r="LNE126" s="1"/>
      <c r="LNF126" s="1"/>
      <c r="LNG126" s="1"/>
      <c r="LNH126" s="1"/>
      <c r="LNI126" s="1"/>
      <c r="LNJ126" s="1"/>
      <c r="LNK126" s="1"/>
      <c r="LNL126" s="1"/>
      <c r="LNM126" s="1"/>
      <c r="LNN126" s="1"/>
      <c r="LNO126" s="1"/>
      <c r="LNP126" s="1"/>
      <c r="LNQ126" s="1"/>
      <c r="LNR126" s="1"/>
      <c r="LNS126" s="1"/>
      <c r="LNT126" s="1"/>
      <c r="LNU126" s="1"/>
      <c r="LNV126" s="1"/>
      <c r="LNW126" s="1"/>
      <c r="LNX126" s="1"/>
      <c r="LNY126" s="1"/>
      <c r="LNZ126" s="1"/>
      <c r="LOA126" s="1"/>
      <c r="LOB126" s="1"/>
      <c r="LOC126" s="1"/>
      <c r="LOD126" s="1"/>
      <c r="LOE126" s="1"/>
      <c r="LOF126" s="1"/>
      <c r="LOG126" s="1"/>
      <c r="LOH126" s="1"/>
      <c r="LOI126" s="1"/>
      <c r="LOJ126" s="1"/>
      <c r="LOK126" s="1"/>
      <c r="LOL126" s="1"/>
      <c r="LOM126" s="1"/>
      <c r="LON126" s="1"/>
      <c r="LOO126" s="1"/>
      <c r="LOP126" s="1"/>
      <c r="LOQ126" s="1"/>
      <c r="LOR126" s="1"/>
      <c r="LOS126" s="1"/>
      <c r="LOT126" s="1"/>
      <c r="LOU126" s="1"/>
      <c r="LOV126" s="1"/>
      <c r="LOW126" s="1"/>
      <c r="LOX126" s="1"/>
      <c r="LOY126" s="1"/>
      <c r="LOZ126" s="1"/>
      <c r="LPA126" s="1"/>
      <c r="LPB126" s="1"/>
      <c r="LPC126" s="1"/>
      <c r="LPD126" s="1"/>
      <c r="LPE126" s="1"/>
      <c r="LPF126" s="1"/>
      <c r="LPG126" s="1"/>
      <c r="LPH126" s="1"/>
      <c r="LPI126" s="1"/>
      <c r="LPJ126" s="1"/>
      <c r="LPK126" s="1"/>
      <c r="LPL126" s="1"/>
      <c r="LPM126" s="1"/>
      <c r="LPN126" s="1"/>
      <c r="LPO126" s="1"/>
      <c r="LPP126" s="1"/>
      <c r="LPQ126" s="1"/>
      <c r="LPR126" s="1"/>
      <c r="LPS126" s="1"/>
      <c r="LPT126" s="1"/>
      <c r="LPU126" s="1"/>
      <c r="LPV126" s="1"/>
      <c r="LPW126" s="1"/>
      <c r="LPX126" s="1"/>
      <c r="LPY126" s="1"/>
      <c r="LPZ126" s="1"/>
      <c r="LQA126" s="1"/>
      <c r="LQB126" s="1"/>
      <c r="LQC126" s="1"/>
      <c r="LQD126" s="1"/>
      <c r="LQE126" s="1"/>
      <c r="LQF126" s="1"/>
      <c r="LQG126" s="1"/>
      <c r="LQH126" s="1"/>
      <c r="LQI126" s="1"/>
      <c r="LQJ126" s="1"/>
      <c r="LQK126" s="1"/>
      <c r="LQL126" s="1"/>
      <c r="LQM126" s="1"/>
      <c r="LQN126" s="1"/>
      <c r="LQO126" s="1"/>
      <c r="LQP126" s="1"/>
      <c r="LQQ126" s="1"/>
      <c r="LQR126" s="1"/>
      <c r="LQS126" s="1"/>
      <c r="LQT126" s="1"/>
      <c r="LQU126" s="1"/>
      <c r="LQV126" s="1"/>
      <c r="LQW126" s="1"/>
      <c r="LQX126" s="1"/>
      <c r="LQY126" s="1"/>
      <c r="LQZ126" s="1"/>
      <c r="LRA126" s="1"/>
      <c r="LRB126" s="1"/>
      <c r="LRC126" s="1"/>
      <c r="LRD126" s="1"/>
      <c r="LRE126" s="1"/>
      <c r="LRF126" s="1"/>
      <c r="LRG126" s="1"/>
      <c r="LRH126" s="1"/>
      <c r="LRI126" s="1"/>
      <c r="LRJ126" s="1"/>
      <c r="LRK126" s="1"/>
      <c r="LRL126" s="1"/>
      <c r="LRM126" s="1"/>
      <c r="LRN126" s="1"/>
      <c r="LRO126" s="1"/>
      <c r="LRP126" s="1"/>
      <c r="LRQ126" s="1"/>
      <c r="LRR126" s="1"/>
      <c r="LRS126" s="1"/>
      <c r="LRT126" s="1"/>
      <c r="LRU126" s="1"/>
      <c r="LRV126" s="1"/>
      <c r="LRW126" s="1"/>
      <c r="LRX126" s="1"/>
      <c r="LRY126" s="1"/>
      <c r="LRZ126" s="1"/>
      <c r="LSA126" s="1"/>
      <c r="LSB126" s="1"/>
      <c r="LSC126" s="1"/>
      <c r="LSD126" s="1"/>
      <c r="LSE126" s="1"/>
      <c r="LSF126" s="1"/>
      <c r="LSG126" s="1"/>
      <c r="LSH126" s="1"/>
      <c r="LSI126" s="1"/>
      <c r="LSJ126" s="1"/>
      <c r="LSK126" s="1"/>
      <c r="LSL126" s="1"/>
      <c r="LSM126" s="1"/>
      <c r="LSN126" s="1"/>
      <c r="LSO126" s="1"/>
      <c r="LSP126" s="1"/>
      <c r="LSQ126" s="1"/>
      <c r="LSR126" s="1"/>
      <c r="LSS126" s="1"/>
      <c r="LST126" s="1"/>
      <c r="LSU126" s="1"/>
      <c r="LSV126" s="1"/>
      <c r="LSW126" s="1"/>
      <c r="LSX126" s="1"/>
      <c r="LSY126" s="1"/>
      <c r="LSZ126" s="1"/>
      <c r="LTA126" s="1"/>
      <c r="LTB126" s="1"/>
      <c r="LTC126" s="1"/>
      <c r="LTD126" s="1"/>
      <c r="LTE126" s="1"/>
      <c r="LTF126" s="1"/>
      <c r="LTG126" s="1"/>
      <c r="LTH126" s="1"/>
      <c r="LTI126" s="1"/>
      <c r="LTJ126" s="1"/>
      <c r="LTK126" s="1"/>
      <c r="LTL126" s="1"/>
      <c r="LTM126" s="1"/>
      <c r="LTN126" s="1"/>
      <c r="LTO126" s="1"/>
      <c r="LTP126" s="1"/>
      <c r="LTQ126" s="1"/>
      <c r="LTR126" s="1"/>
      <c r="LTS126" s="1"/>
      <c r="LTT126" s="1"/>
      <c r="LTU126" s="1"/>
      <c r="LTV126" s="1"/>
      <c r="LTW126" s="1"/>
      <c r="LTX126" s="1"/>
      <c r="LTY126" s="1"/>
      <c r="LTZ126" s="1"/>
      <c r="LUA126" s="1"/>
      <c r="LUB126" s="1"/>
      <c r="LUC126" s="1"/>
      <c r="LUD126" s="1"/>
      <c r="LUE126" s="1"/>
      <c r="LUF126" s="1"/>
      <c r="LUG126" s="1"/>
      <c r="LUH126" s="1"/>
      <c r="LUI126" s="1"/>
      <c r="LUJ126" s="1"/>
      <c r="LUK126" s="1"/>
      <c r="LUL126" s="1"/>
      <c r="LUM126" s="1"/>
      <c r="LUN126" s="1"/>
      <c r="LUO126" s="1"/>
      <c r="LUP126" s="1"/>
      <c r="LUQ126" s="1"/>
      <c r="LUR126" s="1"/>
      <c r="LUS126" s="1"/>
      <c r="LUT126" s="1"/>
      <c r="LUU126" s="1"/>
      <c r="LUV126" s="1"/>
      <c r="LUW126" s="1"/>
      <c r="LUX126" s="1"/>
      <c r="LUY126" s="1"/>
      <c r="LUZ126" s="1"/>
      <c r="LVA126" s="1"/>
      <c r="LVB126" s="1"/>
      <c r="LVC126" s="1"/>
      <c r="LVD126" s="1"/>
      <c r="LVE126" s="1"/>
      <c r="LVF126" s="1"/>
      <c r="LVG126" s="1"/>
      <c r="LVH126" s="1"/>
      <c r="LVI126" s="1"/>
      <c r="LVJ126" s="1"/>
      <c r="LVK126" s="1"/>
      <c r="LVL126" s="1"/>
      <c r="LVM126" s="1"/>
      <c r="LVN126" s="1"/>
      <c r="LVO126" s="1"/>
      <c r="LVP126" s="1"/>
      <c r="LVQ126" s="1"/>
      <c r="LVR126" s="1"/>
      <c r="LVS126" s="1"/>
      <c r="LVT126" s="1"/>
      <c r="LVU126" s="1"/>
      <c r="LVV126" s="1"/>
      <c r="LVW126" s="1"/>
      <c r="LVX126" s="1"/>
      <c r="LVY126" s="1"/>
      <c r="LVZ126" s="1"/>
      <c r="LWA126" s="1"/>
      <c r="LWB126" s="1"/>
      <c r="LWC126" s="1"/>
      <c r="LWD126" s="1"/>
      <c r="LWE126" s="1"/>
      <c r="LWF126" s="1"/>
      <c r="LWG126" s="1"/>
      <c r="LWH126" s="1"/>
      <c r="LWI126" s="1"/>
      <c r="LWJ126" s="1"/>
      <c r="LWK126" s="1"/>
      <c r="LWL126" s="1"/>
      <c r="LWM126" s="1"/>
      <c r="LWN126" s="1"/>
      <c r="LWO126" s="1"/>
      <c r="LWP126" s="1"/>
      <c r="LWQ126" s="1"/>
      <c r="LWR126" s="1"/>
      <c r="LWS126" s="1"/>
      <c r="LWT126" s="1"/>
      <c r="LWU126" s="1"/>
      <c r="LWV126" s="1"/>
      <c r="LWW126" s="1"/>
      <c r="LWX126" s="1"/>
      <c r="LWY126" s="1"/>
      <c r="LWZ126" s="1"/>
      <c r="LXA126" s="1"/>
      <c r="LXB126" s="1"/>
      <c r="LXC126" s="1"/>
      <c r="LXD126" s="1"/>
      <c r="LXE126" s="1"/>
      <c r="LXF126" s="1"/>
      <c r="LXG126" s="1"/>
      <c r="LXH126" s="1"/>
      <c r="LXI126" s="1"/>
      <c r="LXJ126" s="1"/>
      <c r="LXK126" s="1"/>
      <c r="LXL126" s="1"/>
      <c r="LXM126" s="1"/>
      <c r="LXN126" s="1"/>
      <c r="LXO126" s="1"/>
      <c r="LXP126" s="1"/>
      <c r="LXQ126" s="1"/>
      <c r="LXR126" s="1"/>
      <c r="LXS126" s="1"/>
      <c r="LXT126" s="1"/>
      <c r="LXU126" s="1"/>
      <c r="LXV126" s="1"/>
      <c r="LXW126" s="1"/>
      <c r="LXX126" s="1"/>
      <c r="LXY126" s="1"/>
      <c r="LXZ126" s="1"/>
      <c r="LYA126" s="1"/>
      <c r="LYB126" s="1"/>
      <c r="LYC126" s="1"/>
      <c r="LYD126" s="1"/>
      <c r="LYE126" s="1"/>
      <c r="LYF126" s="1"/>
      <c r="LYG126" s="1"/>
      <c r="LYH126" s="1"/>
      <c r="LYI126" s="1"/>
      <c r="LYJ126" s="1"/>
      <c r="LYK126" s="1"/>
      <c r="LYL126" s="1"/>
      <c r="LYM126" s="1"/>
      <c r="LYN126" s="1"/>
      <c r="LYO126" s="1"/>
      <c r="LYP126" s="1"/>
      <c r="LYQ126" s="1"/>
      <c r="LYR126" s="1"/>
      <c r="LYS126" s="1"/>
      <c r="LYT126" s="1"/>
      <c r="LYU126" s="1"/>
      <c r="LYV126" s="1"/>
      <c r="LYW126" s="1"/>
      <c r="LYX126" s="1"/>
      <c r="LYY126" s="1"/>
      <c r="LYZ126" s="1"/>
      <c r="LZA126" s="1"/>
      <c r="LZB126" s="1"/>
      <c r="LZC126" s="1"/>
      <c r="LZD126" s="1"/>
      <c r="LZE126" s="1"/>
      <c r="LZF126" s="1"/>
      <c r="LZG126" s="1"/>
      <c r="LZH126" s="1"/>
      <c r="LZI126" s="1"/>
      <c r="LZJ126" s="1"/>
      <c r="LZK126" s="1"/>
      <c r="LZL126" s="1"/>
      <c r="LZM126" s="1"/>
      <c r="LZN126" s="1"/>
      <c r="LZO126" s="1"/>
      <c r="LZP126" s="1"/>
      <c r="LZQ126" s="1"/>
      <c r="LZR126" s="1"/>
      <c r="LZS126" s="1"/>
      <c r="LZT126" s="1"/>
      <c r="LZU126" s="1"/>
      <c r="LZV126" s="1"/>
      <c r="LZW126" s="1"/>
      <c r="LZX126" s="1"/>
      <c r="LZY126" s="1"/>
      <c r="LZZ126" s="1"/>
      <c r="MAA126" s="1"/>
      <c r="MAB126" s="1"/>
      <c r="MAC126" s="1"/>
      <c r="MAD126" s="1"/>
      <c r="MAE126" s="1"/>
      <c r="MAF126" s="1"/>
      <c r="MAG126" s="1"/>
      <c r="MAH126" s="1"/>
      <c r="MAI126" s="1"/>
      <c r="MAJ126" s="1"/>
      <c r="MAK126" s="1"/>
      <c r="MAL126" s="1"/>
      <c r="MAM126" s="1"/>
      <c r="MAN126" s="1"/>
      <c r="MAO126" s="1"/>
      <c r="MAP126" s="1"/>
      <c r="MAQ126" s="1"/>
      <c r="MAR126" s="1"/>
      <c r="MAS126" s="1"/>
      <c r="MAT126" s="1"/>
      <c r="MAU126" s="1"/>
      <c r="MAV126" s="1"/>
      <c r="MAW126" s="1"/>
      <c r="MAX126" s="1"/>
      <c r="MAY126" s="1"/>
      <c r="MAZ126" s="1"/>
      <c r="MBA126" s="1"/>
      <c r="MBB126" s="1"/>
      <c r="MBC126" s="1"/>
      <c r="MBD126" s="1"/>
      <c r="MBE126" s="1"/>
      <c r="MBF126" s="1"/>
      <c r="MBG126" s="1"/>
      <c r="MBH126" s="1"/>
      <c r="MBI126" s="1"/>
      <c r="MBJ126" s="1"/>
      <c r="MBK126" s="1"/>
      <c r="MBL126" s="1"/>
      <c r="MBM126" s="1"/>
      <c r="MBN126" s="1"/>
      <c r="MBO126" s="1"/>
      <c r="MBP126" s="1"/>
      <c r="MBQ126" s="1"/>
      <c r="MBR126" s="1"/>
      <c r="MBS126" s="1"/>
      <c r="MBT126" s="1"/>
      <c r="MBU126" s="1"/>
      <c r="MBV126" s="1"/>
      <c r="MBW126" s="1"/>
      <c r="MBX126" s="1"/>
      <c r="MBY126" s="1"/>
      <c r="MBZ126" s="1"/>
      <c r="MCA126" s="1"/>
      <c r="MCB126" s="1"/>
      <c r="MCC126" s="1"/>
      <c r="MCD126" s="1"/>
      <c r="MCE126" s="1"/>
      <c r="MCF126" s="1"/>
      <c r="MCG126" s="1"/>
      <c r="MCH126" s="1"/>
      <c r="MCI126" s="1"/>
      <c r="MCJ126" s="1"/>
      <c r="MCK126" s="1"/>
      <c r="MCL126" s="1"/>
      <c r="MCM126" s="1"/>
      <c r="MCN126" s="1"/>
      <c r="MCO126" s="1"/>
      <c r="MCP126" s="1"/>
      <c r="MCQ126" s="1"/>
      <c r="MCR126" s="1"/>
      <c r="MCS126" s="1"/>
      <c r="MCT126" s="1"/>
      <c r="MCU126" s="1"/>
      <c r="MCV126" s="1"/>
      <c r="MCW126" s="1"/>
      <c r="MCX126" s="1"/>
      <c r="MCY126" s="1"/>
      <c r="MCZ126" s="1"/>
      <c r="MDA126" s="1"/>
      <c r="MDB126" s="1"/>
      <c r="MDC126" s="1"/>
      <c r="MDD126" s="1"/>
      <c r="MDE126" s="1"/>
      <c r="MDF126" s="1"/>
      <c r="MDG126" s="1"/>
      <c r="MDH126" s="1"/>
      <c r="MDI126" s="1"/>
      <c r="MDJ126" s="1"/>
      <c r="MDK126" s="1"/>
      <c r="MDL126" s="1"/>
      <c r="MDM126" s="1"/>
      <c r="MDN126" s="1"/>
      <c r="MDO126" s="1"/>
      <c r="MDP126" s="1"/>
      <c r="MDQ126" s="1"/>
      <c r="MDR126" s="1"/>
      <c r="MDS126" s="1"/>
      <c r="MDT126" s="1"/>
      <c r="MDU126" s="1"/>
      <c r="MDV126" s="1"/>
      <c r="MDW126" s="1"/>
      <c r="MDX126" s="1"/>
      <c r="MDY126" s="1"/>
      <c r="MDZ126" s="1"/>
      <c r="MEA126" s="1"/>
      <c r="MEB126" s="1"/>
      <c r="MEC126" s="1"/>
      <c r="MED126" s="1"/>
      <c r="MEE126" s="1"/>
      <c r="MEF126" s="1"/>
      <c r="MEG126" s="1"/>
      <c r="MEH126" s="1"/>
      <c r="MEI126" s="1"/>
      <c r="MEJ126" s="1"/>
      <c r="MEK126" s="1"/>
      <c r="MEL126" s="1"/>
      <c r="MEM126" s="1"/>
      <c r="MEN126" s="1"/>
      <c r="MEO126" s="1"/>
      <c r="MEP126" s="1"/>
      <c r="MEQ126" s="1"/>
      <c r="MER126" s="1"/>
      <c r="MES126" s="1"/>
      <c r="MET126" s="1"/>
      <c r="MEU126" s="1"/>
      <c r="MEV126" s="1"/>
      <c r="MEW126" s="1"/>
      <c r="MEX126" s="1"/>
      <c r="MEY126" s="1"/>
      <c r="MEZ126" s="1"/>
      <c r="MFA126" s="1"/>
      <c r="MFB126" s="1"/>
      <c r="MFC126" s="1"/>
      <c r="MFD126" s="1"/>
      <c r="MFE126" s="1"/>
      <c r="MFF126" s="1"/>
      <c r="MFG126" s="1"/>
      <c r="MFH126" s="1"/>
      <c r="MFI126" s="1"/>
      <c r="MFJ126" s="1"/>
      <c r="MFK126" s="1"/>
      <c r="MFL126" s="1"/>
      <c r="MFM126" s="1"/>
      <c r="MFN126" s="1"/>
      <c r="MFO126" s="1"/>
      <c r="MFP126" s="1"/>
      <c r="MFQ126" s="1"/>
      <c r="MFR126" s="1"/>
      <c r="MFS126" s="1"/>
      <c r="MFT126" s="1"/>
      <c r="MFU126" s="1"/>
      <c r="MFV126" s="1"/>
      <c r="MFW126" s="1"/>
      <c r="MFX126" s="1"/>
      <c r="MFY126" s="1"/>
      <c r="MFZ126" s="1"/>
      <c r="MGA126" s="1"/>
      <c r="MGB126" s="1"/>
      <c r="MGC126" s="1"/>
      <c r="MGD126" s="1"/>
      <c r="MGE126" s="1"/>
      <c r="MGF126" s="1"/>
      <c r="MGG126" s="1"/>
      <c r="MGH126" s="1"/>
      <c r="MGI126" s="1"/>
      <c r="MGJ126" s="1"/>
      <c r="MGK126" s="1"/>
      <c r="MGL126" s="1"/>
      <c r="MGM126" s="1"/>
      <c r="MGN126" s="1"/>
      <c r="MGO126" s="1"/>
      <c r="MGP126" s="1"/>
      <c r="MGQ126" s="1"/>
      <c r="MGR126" s="1"/>
      <c r="MGS126" s="1"/>
      <c r="MGT126" s="1"/>
      <c r="MGU126" s="1"/>
      <c r="MGV126" s="1"/>
      <c r="MGW126" s="1"/>
      <c r="MGX126" s="1"/>
      <c r="MGY126" s="1"/>
      <c r="MGZ126" s="1"/>
      <c r="MHA126" s="1"/>
      <c r="MHB126" s="1"/>
      <c r="MHC126" s="1"/>
      <c r="MHD126" s="1"/>
      <c r="MHE126" s="1"/>
      <c r="MHF126" s="1"/>
      <c r="MHG126" s="1"/>
      <c r="MHH126" s="1"/>
      <c r="MHI126" s="1"/>
      <c r="MHJ126" s="1"/>
      <c r="MHK126" s="1"/>
      <c r="MHL126" s="1"/>
      <c r="MHM126" s="1"/>
      <c r="MHN126" s="1"/>
      <c r="MHO126" s="1"/>
      <c r="MHP126" s="1"/>
      <c r="MHQ126" s="1"/>
      <c r="MHR126" s="1"/>
      <c r="MHS126" s="1"/>
      <c r="MHT126" s="1"/>
      <c r="MHU126" s="1"/>
      <c r="MHV126" s="1"/>
      <c r="MHW126" s="1"/>
      <c r="MHX126" s="1"/>
      <c r="MHY126" s="1"/>
      <c r="MHZ126" s="1"/>
      <c r="MIA126" s="1"/>
      <c r="MIB126" s="1"/>
      <c r="MIC126" s="1"/>
      <c r="MID126" s="1"/>
      <c r="MIE126" s="1"/>
      <c r="MIF126" s="1"/>
      <c r="MIG126" s="1"/>
      <c r="MIH126" s="1"/>
      <c r="MII126" s="1"/>
      <c r="MIJ126" s="1"/>
      <c r="MIK126" s="1"/>
      <c r="MIL126" s="1"/>
      <c r="MIM126" s="1"/>
      <c r="MIN126" s="1"/>
      <c r="MIO126" s="1"/>
      <c r="MIP126" s="1"/>
      <c r="MIQ126" s="1"/>
      <c r="MIR126" s="1"/>
      <c r="MIS126" s="1"/>
      <c r="MIT126" s="1"/>
      <c r="MIU126" s="1"/>
      <c r="MIV126" s="1"/>
      <c r="MIW126" s="1"/>
      <c r="MIX126" s="1"/>
      <c r="MIY126" s="1"/>
      <c r="MIZ126" s="1"/>
      <c r="MJA126" s="1"/>
      <c r="MJB126" s="1"/>
      <c r="MJC126" s="1"/>
      <c r="MJD126" s="1"/>
      <c r="MJE126" s="1"/>
      <c r="MJF126" s="1"/>
      <c r="MJG126" s="1"/>
      <c r="MJH126" s="1"/>
      <c r="MJI126" s="1"/>
      <c r="MJJ126" s="1"/>
      <c r="MJK126" s="1"/>
      <c r="MJL126" s="1"/>
      <c r="MJM126" s="1"/>
      <c r="MJN126" s="1"/>
      <c r="MJO126" s="1"/>
      <c r="MJP126" s="1"/>
      <c r="MJQ126" s="1"/>
      <c r="MJR126" s="1"/>
      <c r="MJS126" s="1"/>
      <c r="MJT126" s="1"/>
      <c r="MJU126" s="1"/>
      <c r="MJV126" s="1"/>
      <c r="MJW126" s="1"/>
      <c r="MJX126" s="1"/>
      <c r="MJY126" s="1"/>
      <c r="MJZ126" s="1"/>
      <c r="MKA126" s="1"/>
      <c r="MKB126" s="1"/>
      <c r="MKC126" s="1"/>
      <c r="MKD126" s="1"/>
      <c r="MKE126" s="1"/>
      <c r="MKF126" s="1"/>
      <c r="MKG126" s="1"/>
      <c r="MKH126" s="1"/>
      <c r="MKI126" s="1"/>
      <c r="MKJ126" s="1"/>
      <c r="MKK126" s="1"/>
      <c r="MKL126" s="1"/>
      <c r="MKM126" s="1"/>
      <c r="MKN126" s="1"/>
      <c r="MKO126" s="1"/>
      <c r="MKP126" s="1"/>
      <c r="MKQ126" s="1"/>
      <c r="MKR126" s="1"/>
      <c r="MKS126" s="1"/>
      <c r="MKT126" s="1"/>
      <c r="MKU126" s="1"/>
      <c r="MKV126" s="1"/>
      <c r="MKW126" s="1"/>
      <c r="MKX126" s="1"/>
      <c r="MKY126" s="1"/>
      <c r="MKZ126" s="1"/>
      <c r="MLA126" s="1"/>
      <c r="MLB126" s="1"/>
      <c r="MLC126" s="1"/>
      <c r="MLD126" s="1"/>
      <c r="MLE126" s="1"/>
      <c r="MLF126" s="1"/>
      <c r="MLG126" s="1"/>
      <c r="MLH126" s="1"/>
      <c r="MLI126" s="1"/>
      <c r="MLJ126" s="1"/>
      <c r="MLK126" s="1"/>
      <c r="MLL126" s="1"/>
      <c r="MLM126" s="1"/>
      <c r="MLN126" s="1"/>
      <c r="MLO126" s="1"/>
      <c r="MLP126" s="1"/>
      <c r="MLQ126" s="1"/>
      <c r="MLR126" s="1"/>
      <c r="MLS126" s="1"/>
      <c r="MLT126" s="1"/>
      <c r="MLU126" s="1"/>
      <c r="MLV126" s="1"/>
      <c r="MLW126" s="1"/>
      <c r="MLX126" s="1"/>
      <c r="MLY126" s="1"/>
      <c r="MLZ126" s="1"/>
      <c r="MMA126" s="1"/>
      <c r="MMB126" s="1"/>
      <c r="MMC126" s="1"/>
      <c r="MMD126" s="1"/>
      <c r="MME126" s="1"/>
      <c r="MMF126" s="1"/>
      <c r="MMG126" s="1"/>
      <c r="MMH126" s="1"/>
      <c r="MMI126" s="1"/>
      <c r="MMJ126" s="1"/>
      <c r="MMK126" s="1"/>
      <c r="MML126" s="1"/>
      <c r="MMM126" s="1"/>
      <c r="MMN126" s="1"/>
      <c r="MMO126" s="1"/>
      <c r="MMP126" s="1"/>
      <c r="MMQ126" s="1"/>
      <c r="MMR126" s="1"/>
      <c r="MMS126" s="1"/>
      <c r="MMT126" s="1"/>
      <c r="MMU126" s="1"/>
      <c r="MMV126" s="1"/>
      <c r="MMW126" s="1"/>
      <c r="MMX126" s="1"/>
      <c r="MMY126" s="1"/>
      <c r="MMZ126" s="1"/>
      <c r="MNA126" s="1"/>
      <c r="MNB126" s="1"/>
      <c r="MNC126" s="1"/>
      <c r="MND126" s="1"/>
      <c r="MNE126" s="1"/>
      <c r="MNF126" s="1"/>
      <c r="MNG126" s="1"/>
      <c r="MNH126" s="1"/>
      <c r="MNI126" s="1"/>
      <c r="MNJ126" s="1"/>
      <c r="MNK126" s="1"/>
      <c r="MNL126" s="1"/>
      <c r="MNM126" s="1"/>
      <c r="MNN126" s="1"/>
      <c r="MNO126" s="1"/>
      <c r="MNP126" s="1"/>
      <c r="MNQ126" s="1"/>
      <c r="MNR126" s="1"/>
      <c r="MNS126" s="1"/>
      <c r="MNT126" s="1"/>
      <c r="MNU126" s="1"/>
      <c r="MNV126" s="1"/>
      <c r="MNW126" s="1"/>
      <c r="MNX126" s="1"/>
      <c r="MNY126" s="1"/>
      <c r="MNZ126" s="1"/>
      <c r="MOA126" s="1"/>
      <c r="MOB126" s="1"/>
      <c r="MOC126" s="1"/>
      <c r="MOD126" s="1"/>
      <c r="MOE126" s="1"/>
      <c r="MOF126" s="1"/>
      <c r="MOG126" s="1"/>
      <c r="MOH126" s="1"/>
      <c r="MOI126" s="1"/>
      <c r="MOJ126" s="1"/>
      <c r="MOK126" s="1"/>
      <c r="MOL126" s="1"/>
      <c r="MOM126" s="1"/>
      <c r="MON126" s="1"/>
      <c r="MOO126" s="1"/>
      <c r="MOP126" s="1"/>
      <c r="MOQ126" s="1"/>
      <c r="MOR126" s="1"/>
      <c r="MOS126" s="1"/>
      <c r="MOT126" s="1"/>
      <c r="MOU126" s="1"/>
      <c r="MOV126" s="1"/>
      <c r="MOW126" s="1"/>
      <c r="MOX126" s="1"/>
      <c r="MOY126" s="1"/>
      <c r="MOZ126" s="1"/>
      <c r="MPA126" s="1"/>
      <c r="MPB126" s="1"/>
      <c r="MPC126" s="1"/>
      <c r="MPD126" s="1"/>
      <c r="MPE126" s="1"/>
      <c r="MPF126" s="1"/>
      <c r="MPG126" s="1"/>
      <c r="MPH126" s="1"/>
      <c r="MPI126" s="1"/>
      <c r="MPJ126" s="1"/>
      <c r="MPK126" s="1"/>
      <c r="MPL126" s="1"/>
      <c r="MPM126" s="1"/>
      <c r="MPN126" s="1"/>
      <c r="MPO126" s="1"/>
      <c r="MPP126" s="1"/>
      <c r="MPQ126" s="1"/>
      <c r="MPR126" s="1"/>
      <c r="MPS126" s="1"/>
      <c r="MPT126" s="1"/>
      <c r="MPU126" s="1"/>
      <c r="MPV126" s="1"/>
      <c r="MPW126" s="1"/>
      <c r="MPX126" s="1"/>
      <c r="MPY126" s="1"/>
      <c r="MPZ126" s="1"/>
      <c r="MQA126" s="1"/>
      <c r="MQB126" s="1"/>
      <c r="MQC126" s="1"/>
      <c r="MQD126" s="1"/>
      <c r="MQE126" s="1"/>
      <c r="MQF126" s="1"/>
      <c r="MQG126" s="1"/>
      <c r="MQH126" s="1"/>
      <c r="MQI126" s="1"/>
      <c r="MQJ126" s="1"/>
      <c r="MQK126" s="1"/>
      <c r="MQL126" s="1"/>
      <c r="MQM126" s="1"/>
      <c r="MQN126" s="1"/>
      <c r="MQO126" s="1"/>
      <c r="MQP126" s="1"/>
      <c r="MQQ126" s="1"/>
      <c r="MQR126" s="1"/>
      <c r="MQS126" s="1"/>
      <c r="MQT126" s="1"/>
      <c r="MQU126" s="1"/>
      <c r="MQV126" s="1"/>
      <c r="MQW126" s="1"/>
      <c r="MQX126" s="1"/>
      <c r="MQY126" s="1"/>
      <c r="MQZ126" s="1"/>
      <c r="MRA126" s="1"/>
      <c r="MRB126" s="1"/>
      <c r="MRC126" s="1"/>
      <c r="MRD126" s="1"/>
      <c r="MRE126" s="1"/>
      <c r="MRF126" s="1"/>
      <c r="MRG126" s="1"/>
      <c r="MRH126" s="1"/>
      <c r="MRI126" s="1"/>
      <c r="MRJ126" s="1"/>
      <c r="MRK126" s="1"/>
      <c r="MRL126" s="1"/>
      <c r="MRM126" s="1"/>
      <c r="MRN126" s="1"/>
      <c r="MRO126" s="1"/>
      <c r="MRP126" s="1"/>
      <c r="MRQ126" s="1"/>
      <c r="MRR126" s="1"/>
      <c r="MRS126" s="1"/>
      <c r="MRT126" s="1"/>
      <c r="MRU126" s="1"/>
      <c r="MRV126" s="1"/>
      <c r="MRW126" s="1"/>
      <c r="MRX126" s="1"/>
      <c r="MRY126" s="1"/>
      <c r="MRZ126" s="1"/>
      <c r="MSA126" s="1"/>
      <c r="MSB126" s="1"/>
      <c r="MSC126" s="1"/>
      <c r="MSD126" s="1"/>
      <c r="MSE126" s="1"/>
      <c r="MSF126" s="1"/>
      <c r="MSG126" s="1"/>
      <c r="MSH126" s="1"/>
      <c r="MSI126" s="1"/>
      <c r="MSJ126" s="1"/>
      <c r="MSK126" s="1"/>
      <c r="MSL126" s="1"/>
      <c r="MSM126" s="1"/>
      <c r="MSN126" s="1"/>
      <c r="MSO126" s="1"/>
      <c r="MSP126" s="1"/>
      <c r="MSQ126" s="1"/>
      <c r="MSR126" s="1"/>
      <c r="MSS126" s="1"/>
      <c r="MST126" s="1"/>
      <c r="MSU126" s="1"/>
      <c r="MSV126" s="1"/>
      <c r="MSW126" s="1"/>
      <c r="MSX126" s="1"/>
      <c r="MSY126" s="1"/>
      <c r="MSZ126" s="1"/>
      <c r="MTA126" s="1"/>
      <c r="MTB126" s="1"/>
      <c r="MTC126" s="1"/>
      <c r="MTD126" s="1"/>
      <c r="MTE126" s="1"/>
      <c r="MTF126" s="1"/>
      <c r="MTG126" s="1"/>
      <c r="MTH126" s="1"/>
      <c r="MTI126" s="1"/>
      <c r="MTJ126" s="1"/>
      <c r="MTK126" s="1"/>
      <c r="MTL126" s="1"/>
      <c r="MTM126" s="1"/>
      <c r="MTN126" s="1"/>
      <c r="MTO126" s="1"/>
      <c r="MTP126" s="1"/>
      <c r="MTQ126" s="1"/>
      <c r="MTR126" s="1"/>
      <c r="MTS126" s="1"/>
      <c r="MTT126" s="1"/>
      <c r="MTU126" s="1"/>
      <c r="MTV126" s="1"/>
      <c r="MTW126" s="1"/>
      <c r="MTX126" s="1"/>
      <c r="MTY126" s="1"/>
      <c r="MTZ126" s="1"/>
      <c r="MUA126" s="1"/>
      <c r="MUB126" s="1"/>
      <c r="MUC126" s="1"/>
      <c r="MUD126" s="1"/>
      <c r="MUE126" s="1"/>
      <c r="MUF126" s="1"/>
      <c r="MUG126" s="1"/>
      <c r="MUH126" s="1"/>
      <c r="MUI126" s="1"/>
      <c r="MUJ126" s="1"/>
      <c r="MUK126" s="1"/>
      <c r="MUL126" s="1"/>
      <c r="MUM126" s="1"/>
      <c r="MUN126" s="1"/>
      <c r="MUO126" s="1"/>
      <c r="MUP126" s="1"/>
      <c r="MUQ126" s="1"/>
      <c r="MUR126" s="1"/>
      <c r="MUS126" s="1"/>
      <c r="MUT126" s="1"/>
      <c r="MUU126" s="1"/>
      <c r="MUV126" s="1"/>
      <c r="MUW126" s="1"/>
      <c r="MUX126" s="1"/>
      <c r="MUY126" s="1"/>
      <c r="MUZ126" s="1"/>
      <c r="MVA126" s="1"/>
      <c r="MVB126" s="1"/>
      <c r="MVC126" s="1"/>
      <c r="MVD126" s="1"/>
      <c r="MVE126" s="1"/>
      <c r="MVF126" s="1"/>
      <c r="MVG126" s="1"/>
      <c r="MVH126" s="1"/>
      <c r="MVI126" s="1"/>
      <c r="MVJ126" s="1"/>
      <c r="MVK126" s="1"/>
      <c r="MVL126" s="1"/>
      <c r="MVM126" s="1"/>
      <c r="MVN126" s="1"/>
      <c r="MVO126" s="1"/>
      <c r="MVP126" s="1"/>
      <c r="MVQ126" s="1"/>
      <c r="MVR126" s="1"/>
      <c r="MVS126" s="1"/>
      <c r="MVT126" s="1"/>
      <c r="MVU126" s="1"/>
      <c r="MVV126" s="1"/>
      <c r="MVW126" s="1"/>
      <c r="MVX126" s="1"/>
      <c r="MVY126" s="1"/>
      <c r="MVZ126" s="1"/>
      <c r="MWA126" s="1"/>
      <c r="MWB126" s="1"/>
      <c r="MWC126" s="1"/>
      <c r="MWD126" s="1"/>
      <c r="MWE126" s="1"/>
      <c r="MWF126" s="1"/>
      <c r="MWG126" s="1"/>
      <c r="MWH126" s="1"/>
      <c r="MWI126" s="1"/>
      <c r="MWJ126" s="1"/>
      <c r="MWK126" s="1"/>
      <c r="MWL126" s="1"/>
      <c r="MWM126" s="1"/>
      <c r="MWN126" s="1"/>
      <c r="MWO126" s="1"/>
      <c r="MWP126" s="1"/>
      <c r="MWQ126" s="1"/>
      <c r="MWR126" s="1"/>
      <c r="MWS126" s="1"/>
      <c r="MWT126" s="1"/>
      <c r="MWU126" s="1"/>
      <c r="MWV126" s="1"/>
      <c r="MWW126" s="1"/>
      <c r="MWX126" s="1"/>
      <c r="MWY126" s="1"/>
      <c r="MWZ126" s="1"/>
      <c r="MXA126" s="1"/>
      <c r="MXB126" s="1"/>
      <c r="MXC126" s="1"/>
      <c r="MXD126" s="1"/>
      <c r="MXE126" s="1"/>
      <c r="MXF126" s="1"/>
      <c r="MXG126" s="1"/>
      <c r="MXH126" s="1"/>
      <c r="MXI126" s="1"/>
      <c r="MXJ126" s="1"/>
      <c r="MXK126" s="1"/>
      <c r="MXL126" s="1"/>
      <c r="MXM126" s="1"/>
      <c r="MXN126" s="1"/>
      <c r="MXO126" s="1"/>
      <c r="MXP126" s="1"/>
      <c r="MXQ126" s="1"/>
      <c r="MXR126" s="1"/>
      <c r="MXS126" s="1"/>
      <c r="MXT126" s="1"/>
      <c r="MXU126" s="1"/>
      <c r="MXV126" s="1"/>
      <c r="MXW126" s="1"/>
      <c r="MXX126" s="1"/>
      <c r="MXY126" s="1"/>
      <c r="MXZ126" s="1"/>
      <c r="MYA126" s="1"/>
      <c r="MYB126" s="1"/>
      <c r="MYC126" s="1"/>
      <c r="MYD126" s="1"/>
      <c r="MYE126" s="1"/>
      <c r="MYF126" s="1"/>
      <c r="MYG126" s="1"/>
      <c r="MYH126" s="1"/>
      <c r="MYI126" s="1"/>
      <c r="MYJ126" s="1"/>
      <c r="MYK126" s="1"/>
      <c r="MYL126" s="1"/>
      <c r="MYM126" s="1"/>
      <c r="MYN126" s="1"/>
      <c r="MYO126" s="1"/>
      <c r="MYP126" s="1"/>
      <c r="MYQ126" s="1"/>
      <c r="MYR126" s="1"/>
      <c r="MYS126" s="1"/>
      <c r="MYT126" s="1"/>
      <c r="MYU126" s="1"/>
      <c r="MYV126" s="1"/>
      <c r="MYW126" s="1"/>
      <c r="MYX126" s="1"/>
      <c r="MYY126" s="1"/>
      <c r="MYZ126" s="1"/>
      <c r="MZA126" s="1"/>
      <c r="MZB126" s="1"/>
      <c r="MZC126" s="1"/>
      <c r="MZD126" s="1"/>
      <c r="MZE126" s="1"/>
      <c r="MZF126" s="1"/>
      <c r="MZG126" s="1"/>
      <c r="MZH126" s="1"/>
      <c r="MZI126" s="1"/>
      <c r="MZJ126" s="1"/>
      <c r="MZK126" s="1"/>
      <c r="MZL126" s="1"/>
      <c r="MZM126" s="1"/>
      <c r="MZN126" s="1"/>
      <c r="MZO126" s="1"/>
      <c r="MZP126" s="1"/>
      <c r="MZQ126" s="1"/>
      <c r="MZR126" s="1"/>
      <c r="MZS126" s="1"/>
      <c r="MZT126" s="1"/>
      <c r="MZU126" s="1"/>
      <c r="MZV126" s="1"/>
      <c r="MZW126" s="1"/>
      <c r="MZX126" s="1"/>
      <c r="MZY126" s="1"/>
      <c r="MZZ126" s="1"/>
      <c r="NAA126" s="1"/>
      <c r="NAB126" s="1"/>
      <c r="NAC126" s="1"/>
      <c r="NAD126" s="1"/>
      <c r="NAE126" s="1"/>
      <c r="NAF126" s="1"/>
      <c r="NAG126" s="1"/>
      <c r="NAH126" s="1"/>
      <c r="NAI126" s="1"/>
      <c r="NAJ126" s="1"/>
      <c r="NAK126" s="1"/>
      <c r="NAL126" s="1"/>
      <c r="NAM126" s="1"/>
      <c r="NAN126" s="1"/>
      <c r="NAO126" s="1"/>
      <c r="NAP126" s="1"/>
      <c r="NAQ126" s="1"/>
      <c r="NAR126" s="1"/>
      <c r="NAS126" s="1"/>
      <c r="NAT126" s="1"/>
      <c r="NAU126" s="1"/>
      <c r="NAV126" s="1"/>
      <c r="NAW126" s="1"/>
      <c r="NAX126" s="1"/>
      <c r="NAY126" s="1"/>
      <c r="NAZ126" s="1"/>
      <c r="NBA126" s="1"/>
      <c r="NBB126" s="1"/>
      <c r="NBC126" s="1"/>
      <c r="NBD126" s="1"/>
      <c r="NBE126" s="1"/>
      <c r="NBF126" s="1"/>
      <c r="NBG126" s="1"/>
      <c r="NBH126" s="1"/>
      <c r="NBI126" s="1"/>
      <c r="NBJ126" s="1"/>
      <c r="NBK126" s="1"/>
      <c r="NBL126" s="1"/>
      <c r="NBM126" s="1"/>
      <c r="NBN126" s="1"/>
      <c r="NBO126" s="1"/>
      <c r="NBP126" s="1"/>
      <c r="NBQ126" s="1"/>
      <c r="NBR126" s="1"/>
      <c r="NBS126" s="1"/>
      <c r="NBT126" s="1"/>
      <c r="NBU126" s="1"/>
      <c r="NBV126" s="1"/>
      <c r="NBW126" s="1"/>
      <c r="NBX126" s="1"/>
      <c r="NBY126" s="1"/>
      <c r="NBZ126" s="1"/>
      <c r="NCA126" s="1"/>
      <c r="NCB126" s="1"/>
      <c r="NCC126" s="1"/>
      <c r="NCD126" s="1"/>
      <c r="NCE126" s="1"/>
      <c r="NCF126" s="1"/>
      <c r="NCG126" s="1"/>
      <c r="NCH126" s="1"/>
      <c r="NCI126" s="1"/>
      <c r="NCJ126" s="1"/>
      <c r="NCK126" s="1"/>
      <c r="NCL126" s="1"/>
      <c r="NCM126" s="1"/>
      <c r="NCN126" s="1"/>
      <c r="NCO126" s="1"/>
      <c r="NCP126" s="1"/>
      <c r="NCQ126" s="1"/>
      <c r="NCR126" s="1"/>
      <c r="NCS126" s="1"/>
      <c r="NCT126" s="1"/>
      <c r="NCU126" s="1"/>
      <c r="NCV126" s="1"/>
      <c r="NCW126" s="1"/>
      <c r="NCX126" s="1"/>
      <c r="NCY126" s="1"/>
      <c r="NCZ126" s="1"/>
      <c r="NDA126" s="1"/>
      <c r="NDB126" s="1"/>
      <c r="NDC126" s="1"/>
      <c r="NDD126" s="1"/>
      <c r="NDE126" s="1"/>
      <c r="NDF126" s="1"/>
      <c r="NDG126" s="1"/>
      <c r="NDH126" s="1"/>
      <c r="NDI126" s="1"/>
      <c r="NDJ126" s="1"/>
      <c r="NDK126" s="1"/>
      <c r="NDL126" s="1"/>
      <c r="NDM126" s="1"/>
      <c r="NDN126" s="1"/>
      <c r="NDO126" s="1"/>
      <c r="NDP126" s="1"/>
      <c r="NDQ126" s="1"/>
      <c r="NDR126" s="1"/>
      <c r="NDS126" s="1"/>
      <c r="NDT126" s="1"/>
      <c r="NDU126" s="1"/>
      <c r="NDV126" s="1"/>
      <c r="NDW126" s="1"/>
      <c r="NDX126" s="1"/>
      <c r="NDY126" s="1"/>
      <c r="NDZ126" s="1"/>
      <c r="NEA126" s="1"/>
      <c r="NEB126" s="1"/>
      <c r="NEC126" s="1"/>
      <c r="NED126" s="1"/>
      <c r="NEE126" s="1"/>
      <c r="NEF126" s="1"/>
      <c r="NEG126" s="1"/>
      <c r="NEH126" s="1"/>
      <c r="NEI126" s="1"/>
      <c r="NEJ126" s="1"/>
      <c r="NEK126" s="1"/>
      <c r="NEL126" s="1"/>
      <c r="NEM126" s="1"/>
      <c r="NEN126" s="1"/>
      <c r="NEO126" s="1"/>
      <c r="NEP126" s="1"/>
      <c r="NEQ126" s="1"/>
      <c r="NER126" s="1"/>
      <c r="NES126" s="1"/>
      <c r="NET126" s="1"/>
      <c r="NEU126" s="1"/>
      <c r="NEV126" s="1"/>
      <c r="NEW126" s="1"/>
      <c r="NEX126" s="1"/>
      <c r="NEY126" s="1"/>
      <c r="NEZ126" s="1"/>
      <c r="NFA126" s="1"/>
      <c r="NFB126" s="1"/>
      <c r="NFC126" s="1"/>
      <c r="NFD126" s="1"/>
      <c r="NFE126" s="1"/>
      <c r="NFF126" s="1"/>
      <c r="NFG126" s="1"/>
      <c r="NFH126" s="1"/>
      <c r="NFI126" s="1"/>
      <c r="NFJ126" s="1"/>
      <c r="NFK126" s="1"/>
      <c r="NFL126" s="1"/>
      <c r="NFM126" s="1"/>
      <c r="NFN126" s="1"/>
      <c r="NFO126" s="1"/>
      <c r="NFP126" s="1"/>
      <c r="NFQ126" s="1"/>
      <c r="NFR126" s="1"/>
      <c r="NFS126" s="1"/>
      <c r="NFT126" s="1"/>
      <c r="NFU126" s="1"/>
      <c r="NFV126" s="1"/>
      <c r="NFW126" s="1"/>
      <c r="NFX126" s="1"/>
      <c r="NFY126" s="1"/>
      <c r="NFZ126" s="1"/>
      <c r="NGA126" s="1"/>
      <c r="NGB126" s="1"/>
      <c r="NGC126" s="1"/>
      <c r="NGD126" s="1"/>
      <c r="NGE126" s="1"/>
      <c r="NGF126" s="1"/>
      <c r="NGG126" s="1"/>
      <c r="NGH126" s="1"/>
      <c r="NGI126" s="1"/>
      <c r="NGJ126" s="1"/>
      <c r="NGK126" s="1"/>
      <c r="NGL126" s="1"/>
      <c r="NGM126" s="1"/>
      <c r="NGN126" s="1"/>
      <c r="NGO126" s="1"/>
      <c r="NGP126" s="1"/>
      <c r="NGQ126" s="1"/>
      <c r="NGR126" s="1"/>
      <c r="NGS126" s="1"/>
      <c r="NGT126" s="1"/>
      <c r="NGU126" s="1"/>
      <c r="NGV126" s="1"/>
      <c r="NGW126" s="1"/>
      <c r="NGX126" s="1"/>
      <c r="NGY126" s="1"/>
      <c r="NGZ126" s="1"/>
      <c r="NHA126" s="1"/>
      <c r="NHB126" s="1"/>
      <c r="NHC126" s="1"/>
      <c r="NHD126" s="1"/>
      <c r="NHE126" s="1"/>
      <c r="NHF126" s="1"/>
      <c r="NHG126" s="1"/>
      <c r="NHH126" s="1"/>
      <c r="NHI126" s="1"/>
      <c r="NHJ126" s="1"/>
      <c r="NHK126" s="1"/>
      <c r="NHL126" s="1"/>
      <c r="NHM126" s="1"/>
      <c r="NHN126" s="1"/>
      <c r="NHO126" s="1"/>
      <c r="NHP126" s="1"/>
      <c r="NHQ126" s="1"/>
      <c r="NHR126" s="1"/>
      <c r="NHS126" s="1"/>
      <c r="NHT126" s="1"/>
      <c r="NHU126" s="1"/>
      <c r="NHV126" s="1"/>
      <c r="NHW126" s="1"/>
      <c r="NHX126" s="1"/>
      <c r="NHY126" s="1"/>
      <c r="NHZ126" s="1"/>
      <c r="NIA126" s="1"/>
      <c r="NIB126" s="1"/>
      <c r="NIC126" s="1"/>
      <c r="NID126" s="1"/>
      <c r="NIE126" s="1"/>
      <c r="NIF126" s="1"/>
      <c r="NIG126" s="1"/>
      <c r="NIH126" s="1"/>
      <c r="NII126" s="1"/>
      <c r="NIJ126" s="1"/>
      <c r="NIK126" s="1"/>
      <c r="NIL126" s="1"/>
      <c r="NIM126" s="1"/>
      <c r="NIN126" s="1"/>
      <c r="NIO126" s="1"/>
      <c r="NIP126" s="1"/>
      <c r="NIQ126" s="1"/>
      <c r="NIR126" s="1"/>
      <c r="NIS126" s="1"/>
      <c r="NIT126" s="1"/>
      <c r="NIU126" s="1"/>
      <c r="NIV126" s="1"/>
      <c r="NIW126" s="1"/>
      <c r="NIX126" s="1"/>
      <c r="NIY126" s="1"/>
      <c r="NIZ126" s="1"/>
      <c r="NJA126" s="1"/>
      <c r="NJB126" s="1"/>
      <c r="NJC126" s="1"/>
      <c r="NJD126" s="1"/>
      <c r="NJE126" s="1"/>
      <c r="NJF126" s="1"/>
      <c r="NJG126" s="1"/>
      <c r="NJH126" s="1"/>
      <c r="NJI126" s="1"/>
      <c r="NJJ126" s="1"/>
      <c r="NJK126" s="1"/>
      <c r="NJL126" s="1"/>
      <c r="NJM126" s="1"/>
      <c r="NJN126" s="1"/>
      <c r="NJO126" s="1"/>
      <c r="NJP126" s="1"/>
      <c r="NJQ126" s="1"/>
      <c r="NJR126" s="1"/>
      <c r="NJS126" s="1"/>
      <c r="NJT126" s="1"/>
      <c r="NJU126" s="1"/>
      <c r="NJV126" s="1"/>
      <c r="NJW126" s="1"/>
      <c r="NJX126" s="1"/>
      <c r="NJY126" s="1"/>
      <c r="NJZ126" s="1"/>
      <c r="NKA126" s="1"/>
      <c r="NKB126" s="1"/>
      <c r="NKC126" s="1"/>
      <c r="NKD126" s="1"/>
      <c r="NKE126" s="1"/>
      <c r="NKF126" s="1"/>
      <c r="NKG126" s="1"/>
      <c r="NKH126" s="1"/>
      <c r="NKI126" s="1"/>
      <c r="NKJ126" s="1"/>
      <c r="NKK126" s="1"/>
      <c r="NKL126" s="1"/>
      <c r="NKM126" s="1"/>
      <c r="NKN126" s="1"/>
      <c r="NKO126" s="1"/>
      <c r="NKP126" s="1"/>
      <c r="NKQ126" s="1"/>
      <c r="NKR126" s="1"/>
      <c r="NKS126" s="1"/>
      <c r="NKT126" s="1"/>
      <c r="NKU126" s="1"/>
      <c r="NKV126" s="1"/>
      <c r="NKW126" s="1"/>
      <c r="NKX126" s="1"/>
      <c r="NKY126" s="1"/>
      <c r="NKZ126" s="1"/>
      <c r="NLA126" s="1"/>
      <c r="NLB126" s="1"/>
      <c r="NLC126" s="1"/>
      <c r="NLD126" s="1"/>
      <c r="NLE126" s="1"/>
      <c r="NLF126" s="1"/>
      <c r="NLG126" s="1"/>
      <c r="NLH126" s="1"/>
      <c r="NLI126" s="1"/>
      <c r="NLJ126" s="1"/>
      <c r="NLK126" s="1"/>
      <c r="NLL126" s="1"/>
      <c r="NLM126" s="1"/>
      <c r="NLN126" s="1"/>
      <c r="NLO126" s="1"/>
      <c r="NLP126" s="1"/>
      <c r="NLQ126" s="1"/>
      <c r="NLR126" s="1"/>
      <c r="NLS126" s="1"/>
      <c r="NLT126" s="1"/>
      <c r="NLU126" s="1"/>
      <c r="NLV126" s="1"/>
      <c r="NLW126" s="1"/>
      <c r="NLX126" s="1"/>
      <c r="NLY126" s="1"/>
      <c r="NLZ126" s="1"/>
      <c r="NMA126" s="1"/>
      <c r="NMB126" s="1"/>
      <c r="NMC126" s="1"/>
      <c r="NMD126" s="1"/>
      <c r="NME126" s="1"/>
      <c r="NMF126" s="1"/>
      <c r="NMG126" s="1"/>
      <c r="NMH126" s="1"/>
      <c r="NMI126" s="1"/>
      <c r="NMJ126" s="1"/>
      <c r="NMK126" s="1"/>
      <c r="NML126" s="1"/>
      <c r="NMM126" s="1"/>
      <c r="NMN126" s="1"/>
      <c r="NMO126" s="1"/>
      <c r="NMP126" s="1"/>
      <c r="NMQ126" s="1"/>
      <c r="NMR126" s="1"/>
      <c r="NMS126" s="1"/>
      <c r="NMT126" s="1"/>
      <c r="NMU126" s="1"/>
      <c r="NMV126" s="1"/>
      <c r="NMW126" s="1"/>
      <c r="NMX126" s="1"/>
      <c r="NMY126" s="1"/>
      <c r="NMZ126" s="1"/>
      <c r="NNA126" s="1"/>
      <c r="NNB126" s="1"/>
      <c r="NNC126" s="1"/>
      <c r="NND126" s="1"/>
      <c r="NNE126" s="1"/>
      <c r="NNF126" s="1"/>
      <c r="NNG126" s="1"/>
      <c r="NNH126" s="1"/>
      <c r="NNI126" s="1"/>
      <c r="NNJ126" s="1"/>
      <c r="NNK126" s="1"/>
      <c r="NNL126" s="1"/>
      <c r="NNM126" s="1"/>
      <c r="NNN126" s="1"/>
      <c r="NNO126" s="1"/>
      <c r="NNP126" s="1"/>
      <c r="NNQ126" s="1"/>
      <c r="NNR126" s="1"/>
      <c r="NNS126" s="1"/>
      <c r="NNT126" s="1"/>
      <c r="NNU126" s="1"/>
      <c r="NNV126" s="1"/>
      <c r="NNW126" s="1"/>
      <c r="NNX126" s="1"/>
      <c r="NNY126" s="1"/>
      <c r="NNZ126" s="1"/>
      <c r="NOA126" s="1"/>
      <c r="NOB126" s="1"/>
      <c r="NOC126" s="1"/>
      <c r="NOD126" s="1"/>
      <c r="NOE126" s="1"/>
      <c r="NOF126" s="1"/>
      <c r="NOG126" s="1"/>
      <c r="NOH126" s="1"/>
      <c r="NOI126" s="1"/>
      <c r="NOJ126" s="1"/>
      <c r="NOK126" s="1"/>
      <c r="NOL126" s="1"/>
      <c r="NOM126" s="1"/>
      <c r="NON126" s="1"/>
      <c r="NOO126" s="1"/>
      <c r="NOP126" s="1"/>
      <c r="NOQ126" s="1"/>
      <c r="NOR126" s="1"/>
      <c r="NOS126" s="1"/>
      <c r="NOT126" s="1"/>
      <c r="NOU126" s="1"/>
      <c r="NOV126" s="1"/>
      <c r="NOW126" s="1"/>
      <c r="NOX126" s="1"/>
      <c r="NOY126" s="1"/>
      <c r="NOZ126" s="1"/>
      <c r="NPA126" s="1"/>
      <c r="NPB126" s="1"/>
      <c r="NPC126" s="1"/>
      <c r="NPD126" s="1"/>
      <c r="NPE126" s="1"/>
      <c r="NPF126" s="1"/>
      <c r="NPG126" s="1"/>
      <c r="NPH126" s="1"/>
      <c r="NPI126" s="1"/>
      <c r="NPJ126" s="1"/>
      <c r="NPK126" s="1"/>
      <c r="NPL126" s="1"/>
      <c r="NPM126" s="1"/>
      <c r="NPN126" s="1"/>
      <c r="NPO126" s="1"/>
      <c r="NPP126" s="1"/>
      <c r="NPQ126" s="1"/>
      <c r="NPR126" s="1"/>
      <c r="NPS126" s="1"/>
      <c r="NPT126" s="1"/>
      <c r="NPU126" s="1"/>
      <c r="NPV126" s="1"/>
      <c r="NPW126" s="1"/>
      <c r="NPX126" s="1"/>
      <c r="NPY126" s="1"/>
      <c r="NPZ126" s="1"/>
      <c r="NQA126" s="1"/>
      <c r="NQB126" s="1"/>
      <c r="NQC126" s="1"/>
      <c r="NQD126" s="1"/>
      <c r="NQE126" s="1"/>
      <c r="NQF126" s="1"/>
      <c r="NQG126" s="1"/>
      <c r="NQH126" s="1"/>
      <c r="NQI126" s="1"/>
      <c r="NQJ126" s="1"/>
      <c r="NQK126" s="1"/>
      <c r="NQL126" s="1"/>
      <c r="NQM126" s="1"/>
      <c r="NQN126" s="1"/>
      <c r="NQO126" s="1"/>
      <c r="NQP126" s="1"/>
      <c r="NQQ126" s="1"/>
      <c r="NQR126" s="1"/>
      <c r="NQS126" s="1"/>
      <c r="NQT126" s="1"/>
      <c r="NQU126" s="1"/>
      <c r="NQV126" s="1"/>
      <c r="NQW126" s="1"/>
      <c r="NQX126" s="1"/>
      <c r="NQY126" s="1"/>
      <c r="NQZ126" s="1"/>
      <c r="NRA126" s="1"/>
      <c r="NRB126" s="1"/>
      <c r="NRC126" s="1"/>
      <c r="NRD126" s="1"/>
      <c r="NRE126" s="1"/>
      <c r="NRF126" s="1"/>
      <c r="NRG126" s="1"/>
      <c r="NRH126" s="1"/>
      <c r="NRI126" s="1"/>
      <c r="NRJ126" s="1"/>
      <c r="NRK126" s="1"/>
      <c r="NRL126" s="1"/>
      <c r="NRM126" s="1"/>
      <c r="NRN126" s="1"/>
      <c r="NRO126" s="1"/>
      <c r="NRP126" s="1"/>
      <c r="NRQ126" s="1"/>
      <c r="NRR126" s="1"/>
      <c r="NRS126" s="1"/>
      <c r="NRT126" s="1"/>
      <c r="NRU126" s="1"/>
      <c r="NRV126" s="1"/>
      <c r="NRW126" s="1"/>
      <c r="NRX126" s="1"/>
      <c r="NRY126" s="1"/>
      <c r="NRZ126" s="1"/>
      <c r="NSA126" s="1"/>
      <c r="NSB126" s="1"/>
      <c r="NSC126" s="1"/>
      <c r="NSD126" s="1"/>
      <c r="NSE126" s="1"/>
      <c r="NSF126" s="1"/>
      <c r="NSG126" s="1"/>
      <c r="NSH126" s="1"/>
      <c r="NSI126" s="1"/>
      <c r="NSJ126" s="1"/>
      <c r="NSK126" s="1"/>
      <c r="NSL126" s="1"/>
      <c r="NSM126" s="1"/>
      <c r="NSN126" s="1"/>
      <c r="NSO126" s="1"/>
      <c r="NSP126" s="1"/>
      <c r="NSQ126" s="1"/>
      <c r="NSR126" s="1"/>
      <c r="NSS126" s="1"/>
      <c r="NST126" s="1"/>
      <c r="NSU126" s="1"/>
      <c r="NSV126" s="1"/>
      <c r="NSW126" s="1"/>
      <c r="NSX126" s="1"/>
      <c r="NSY126" s="1"/>
      <c r="NSZ126" s="1"/>
      <c r="NTA126" s="1"/>
      <c r="NTB126" s="1"/>
      <c r="NTC126" s="1"/>
      <c r="NTD126" s="1"/>
      <c r="NTE126" s="1"/>
      <c r="NTF126" s="1"/>
      <c r="NTG126" s="1"/>
      <c r="NTH126" s="1"/>
      <c r="NTI126" s="1"/>
      <c r="NTJ126" s="1"/>
      <c r="NTK126" s="1"/>
      <c r="NTL126" s="1"/>
      <c r="NTM126" s="1"/>
      <c r="NTN126" s="1"/>
      <c r="NTO126" s="1"/>
      <c r="NTP126" s="1"/>
      <c r="NTQ126" s="1"/>
      <c r="NTR126" s="1"/>
      <c r="NTS126" s="1"/>
      <c r="NTT126" s="1"/>
      <c r="NTU126" s="1"/>
      <c r="NTV126" s="1"/>
      <c r="NTW126" s="1"/>
      <c r="NTX126" s="1"/>
      <c r="NTY126" s="1"/>
      <c r="NTZ126" s="1"/>
      <c r="NUA126" s="1"/>
      <c r="NUB126" s="1"/>
      <c r="NUC126" s="1"/>
      <c r="NUD126" s="1"/>
      <c r="NUE126" s="1"/>
      <c r="NUF126" s="1"/>
      <c r="NUG126" s="1"/>
      <c r="NUH126" s="1"/>
      <c r="NUI126" s="1"/>
      <c r="NUJ126" s="1"/>
      <c r="NUK126" s="1"/>
      <c r="NUL126" s="1"/>
      <c r="NUM126" s="1"/>
      <c r="NUN126" s="1"/>
      <c r="NUO126" s="1"/>
      <c r="NUP126" s="1"/>
      <c r="NUQ126" s="1"/>
      <c r="NUR126" s="1"/>
      <c r="NUS126" s="1"/>
      <c r="NUT126" s="1"/>
      <c r="NUU126" s="1"/>
      <c r="NUV126" s="1"/>
      <c r="NUW126" s="1"/>
      <c r="NUX126" s="1"/>
      <c r="NUY126" s="1"/>
      <c r="NUZ126" s="1"/>
      <c r="NVA126" s="1"/>
      <c r="NVB126" s="1"/>
      <c r="NVC126" s="1"/>
      <c r="NVD126" s="1"/>
      <c r="NVE126" s="1"/>
      <c r="NVF126" s="1"/>
      <c r="NVG126" s="1"/>
      <c r="NVH126" s="1"/>
      <c r="NVI126" s="1"/>
      <c r="NVJ126" s="1"/>
      <c r="NVK126" s="1"/>
      <c r="NVL126" s="1"/>
      <c r="NVM126" s="1"/>
      <c r="NVN126" s="1"/>
      <c r="NVO126" s="1"/>
      <c r="NVP126" s="1"/>
      <c r="NVQ126" s="1"/>
      <c r="NVR126" s="1"/>
      <c r="NVS126" s="1"/>
      <c r="NVT126" s="1"/>
      <c r="NVU126" s="1"/>
      <c r="NVV126" s="1"/>
      <c r="NVW126" s="1"/>
      <c r="NVX126" s="1"/>
      <c r="NVY126" s="1"/>
      <c r="NVZ126" s="1"/>
      <c r="NWA126" s="1"/>
      <c r="NWB126" s="1"/>
      <c r="NWC126" s="1"/>
      <c r="NWD126" s="1"/>
      <c r="NWE126" s="1"/>
      <c r="NWF126" s="1"/>
      <c r="NWG126" s="1"/>
      <c r="NWH126" s="1"/>
      <c r="NWI126" s="1"/>
      <c r="NWJ126" s="1"/>
      <c r="NWK126" s="1"/>
      <c r="NWL126" s="1"/>
      <c r="NWM126" s="1"/>
      <c r="NWN126" s="1"/>
      <c r="NWO126" s="1"/>
      <c r="NWP126" s="1"/>
      <c r="NWQ126" s="1"/>
      <c r="NWR126" s="1"/>
      <c r="NWS126" s="1"/>
      <c r="NWT126" s="1"/>
      <c r="NWU126" s="1"/>
      <c r="NWV126" s="1"/>
      <c r="NWW126" s="1"/>
      <c r="NWX126" s="1"/>
      <c r="NWY126" s="1"/>
      <c r="NWZ126" s="1"/>
      <c r="NXA126" s="1"/>
      <c r="NXB126" s="1"/>
      <c r="NXC126" s="1"/>
      <c r="NXD126" s="1"/>
      <c r="NXE126" s="1"/>
      <c r="NXF126" s="1"/>
      <c r="NXG126" s="1"/>
      <c r="NXH126" s="1"/>
      <c r="NXI126" s="1"/>
      <c r="NXJ126" s="1"/>
      <c r="NXK126" s="1"/>
      <c r="NXL126" s="1"/>
      <c r="NXM126" s="1"/>
      <c r="NXN126" s="1"/>
      <c r="NXO126" s="1"/>
      <c r="NXP126" s="1"/>
      <c r="NXQ126" s="1"/>
      <c r="NXR126" s="1"/>
      <c r="NXS126" s="1"/>
      <c r="NXT126" s="1"/>
      <c r="NXU126" s="1"/>
      <c r="NXV126" s="1"/>
      <c r="NXW126" s="1"/>
      <c r="NXX126" s="1"/>
      <c r="NXY126" s="1"/>
      <c r="NXZ126" s="1"/>
      <c r="NYA126" s="1"/>
      <c r="NYB126" s="1"/>
      <c r="NYC126" s="1"/>
      <c r="NYD126" s="1"/>
      <c r="NYE126" s="1"/>
      <c r="NYF126" s="1"/>
      <c r="NYG126" s="1"/>
      <c r="NYH126" s="1"/>
      <c r="NYI126" s="1"/>
      <c r="NYJ126" s="1"/>
      <c r="NYK126" s="1"/>
      <c r="NYL126" s="1"/>
      <c r="NYM126" s="1"/>
      <c r="NYN126" s="1"/>
      <c r="NYO126" s="1"/>
      <c r="NYP126" s="1"/>
      <c r="NYQ126" s="1"/>
      <c r="NYR126" s="1"/>
      <c r="NYS126" s="1"/>
      <c r="NYT126" s="1"/>
      <c r="NYU126" s="1"/>
      <c r="NYV126" s="1"/>
      <c r="NYW126" s="1"/>
      <c r="NYX126" s="1"/>
      <c r="NYY126" s="1"/>
      <c r="NYZ126" s="1"/>
      <c r="NZA126" s="1"/>
      <c r="NZB126" s="1"/>
      <c r="NZC126" s="1"/>
      <c r="NZD126" s="1"/>
      <c r="NZE126" s="1"/>
      <c r="NZF126" s="1"/>
      <c r="NZG126" s="1"/>
      <c r="NZH126" s="1"/>
      <c r="NZI126" s="1"/>
      <c r="NZJ126" s="1"/>
      <c r="NZK126" s="1"/>
      <c r="NZL126" s="1"/>
      <c r="NZM126" s="1"/>
      <c r="NZN126" s="1"/>
      <c r="NZO126" s="1"/>
      <c r="NZP126" s="1"/>
      <c r="NZQ126" s="1"/>
      <c r="NZR126" s="1"/>
      <c r="NZS126" s="1"/>
      <c r="NZT126" s="1"/>
      <c r="NZU126" s="1"/>
      <c r="NZV126" s="1"/>
      <c r="NZW126" s="1"/>
      <c r="NZX126" s="1"/>
      <c r="NZY126" s="1"/>
      <c r="NZZ126" s="1"/>
      <c r="OAA126" s="1"/>
      <c r="OAB126" s="1"/>
      <c r="OAC126" s="1"/>
      <c r="OAD126" s="1"/>
      <c r="OAE126" s="1"/>
      <c r="OAF126" s="1"/>
      <c r="OAG126" s="1"/>
      <c r="OAH126" s="1"/>
      <c r="OAI126" s="1"/>
      <c r="OAJ126" s="1"/>
      <c r="OAK126" s="1"/>
      <c r="OAL126" s="1"/>
      <c r="OAM126" s="1"/>
      <c r="OAN126" s="1"/>
      <c r="OAO126" s="1"/>
      <c r="OAP126" s="1"/>
      <c r="OAQ126" s="1"/>
      <c r="OAR126" s="1"/>
      <c r="OAS126" s="1"/>
      <c r="OAT126" s="1"/>
      <c r="OAU126" s="1"/>
      <c r="OAV126" s="1"/>
      <c r="OAW126" s="1"/>
      <c r="OAX126" s="1"/>
      <c r="OAY126" s="1"/>
      <c r="OAZ126" s="1"/>
      <c r="OBA126" s="1"/>
      <c r="OBB126" s="1"/>
      <c r="OBC126" s="1"/>
      <c r="OBD126" s="1"/>
      <c r="OBE126" s="1"/>
      <c r="OBF126" s="1"/>
      <c r="OBG126" s="1"/>
      <c r="OBH126" s="1"/>
      <c r="OBI126" s="1"/>
      <c r="OBJ126" s="1"/>
      <c r="OBK126" s="1"/>
      <c r="OBL126" s="1"/>
      <c r="OBM126" s="1"/>
      <c r="OBN126" s="1"/>
      <c r="OBO126" s="1"/>
      <c r="OBP126" s="1"/>
      <c r="OBQ126" s="1"/>
      <c r="OBR126" s="1"/>
      <c r="OBS126" s="1"/>
      <c r="OBT126" s="1"/>
      <c r="OBU126" s="1"/>
      <c r="OBV126" s="1"/>
      <c r="OBW126" s="1"/>
      <c r="OBX126" s="1"/>
      <c r="OBY126" s="1"/>
      <c r="OBZ126" s="1"/>
      <c r="OCA126" s="1"/>
      <c r="OCB126" s="1"/>
      <c r="OCC126" s="1"/>
      <c r="OCD126" s="1"/>
      <c r="OCE126" s="1"/>
      <c r="OCF126" s="1"/>
      <c r="OCG126" s="1"/>
      <c r="OCH126" s="1"/>
      <c r="OCI126" s="1"/>
      <c r="OCJ126" s="1"/>
      <c r="OCK126" s="1"/>
      <c r="OCL126" s="1"/>
      <c r="OCM126" s="1"/>
      <c r="OCN126" s="1"/>
      <c r="OCO126" s="1"/>
      <c r="OCP126" s="1"/>
      <c r="OCQ126" s="1"/>
      <c r="OCR126" s="1"/>
      <c r="OCS126" s="1"/>
      <c r="OCT126" s="1"/>
      <c r="OCU126" s="1"/>
      <c r="OCV126" s="1"/>
      <c r="OCW126" s="1"/>
      <c r="OCX126" s="1"/>
      <c r="OCY126" s="1"/>
      <c r="OCZ126" s="1"/>
      <c r="ODA126" s="1"/>
      <c r="ODB126" s="1"/>
      <c r="ODC126" s="1"/>
      <c r="ODD126" s="1"/>
      <c r="ODE126" s="1"/>
      <c r="ODF126" s="1"/>
      <c r="ODG126" s="1"/>
      <c r="ODH126" s="1"/>
      <c r="ODI126" s="1"/>
      <c r="ODJ126" s="1"/>
      <c r="ODK126" s="1"/>
      <c r="ODL126" s="1"/>
      <c r="ODM126" s="1"/>
      <c r="ODN126" s="1"/>
      <c r="ODO126" s="1"/>
      <c r="ODP126" s="1"/>
      <c r="ODQ126" s="1"/>
      <c r="ODR126" s="1"/>
      <c r="ODS126" s="1"/>
      <c r="ODT126" s="1"/>
      <c r="ODU126" s="1"/>
      <c r="ODV126" s="1"/>
      <c r="ODW126" s="1"/>
      <c r="ODX126" s="1"/>
      <c r="ODY126" s="1"/>
      <c r="ODZ126" s="1"/>
      <c r="OEA126" s="1"/>
      <c r="OEB126" s="1"/>
      <c r="OEC126" s="1"/>
      <c r="OED126" s="1"/>
      <c r="OEE126" s="1"/>
      <c r="OEF126" s="1"/>
      <c r="OEG126" s="1"/>
      <c r="OEH126" s="1"/>
      <c r="OEI126" s="1"/>
      <c r="OEJ126" s="1"/>
      <c r="OEK126" s="1"/>
      <c r="OEL126" s="1"/>
      <c r="OEM126" s="1"/>
      <c r="OEN126" s="1"/>
      <c r="OEO126" s="1"/>
      <c r="OEP126" s="1"/>
      <c r="OEQ126" s="1"/>
      <c r="OER126" s="1"/>
      <c r="OES126" s="1"/>
      <c r="OET126" s="1"/>
      <c r="OEU126" s="1"/>
      <c r="OEV126" s="1"/>
      <c r="OEW126" s="1"/>
      <c r="OEX126" s="1"/>
      <c r="OEY126" s="1"/>
      <c r="OEZ126" s="1"/>
      <c r="OFA126" s="1"/>
      <c r="OFB126" s="1"/>
      <c r="OFC126" s="1"/>
      <c r="OFD126" s="1"/>
      <c r="OFE126" s="1"/>
      <c r="OFF126" s="1"/>
      <c r="OFG126" s="1"/>
      <c r="OFH126" s="1"/>
      <c r="OFI126" s="1"/>
      <c r="OFJ126" s="1"/>
      <c r="OFK126" s="1"/>
      <c r="OFL126" s="1"/>
      <c r="OFM126" s="1"/>
      <c r="OFN126" s="1"/>
      <c r="OFO126" s="1"/>
      <c r="OFP126" s="1"/>
      <c r="OFQ126" s="1"/>
      <c r="OFR126" s="1"/>
      <c r="OFS126" s="1"/>
      <c r="OFT126" s="1"/>
      <c r="OFU126" s="1"/>
      <c r="OFV126" s="1"/>
      <c r="OFW126" s="1"/>
      <c r="OFX126" s="1"/>
      <c r="OFY126" s="1"/>
      <c r="OFZ126" s="1"/>
      <c r="OGA126" s="1"/>
      <c r="OGB126" s="1"/>
      <c r="OGC126" s="1"/>
      <c r="OGD126" s="1"/>
      <c r="OGE126" s="1"/>
      <c r="OGF126" s="1"/>
      <c r="OGG126" s="1"/>
      <c r="OGH126" s="1"/>
      <c r="OGI126" s="1"/>
      <c r="OGJ126" s="1"/>
      <c r="OGK126" s="1"/>
      <c r="OGL126" s="1"/>
      <c r="OGM126" s="1"/>
      <c r="OGN126" s="1"/>
      <c r="OGO126" s="1"/>
      <c r="OGP126" s="1"/>
      <c r="OGQ126" s="1"/>
      <c r="OGR126" s="1"/>
      <c r="OGS126" s="1"/>
      <c r="OGT126" s="1"/>
      <c r="OGU126" s="1"/>
      <c r="OGV126" s="1"/>
      <c r="OGW126" s="1"/>
      <c r="OGX126" s="1"/>
      <c r="OGY126" s="1"/>
      <c r="OGZ126" s="1"/>
      <c r="OHA126" s="1"/>
      <c r="OHB126" s="1"/>
      <c r="OHC126" s="1"/>
      <c r="OHD126" s="1"/>
      <c r="OHE126" s="1"/>
      <c r="OHF126" s="1"/>
      <c r="OHG126" s="1"/>
      <c r="OHH126" s="1"/>
      <c r="OHI126" s="1"/>
      <c r="OHJ126" s="1"/>
      <c r="OHK126" s="1"/>
      <c r="OHL126" s="1"/>
      <c r="OHM126" s="1"/>
      <c r="OHN126" s="1"/>
      <c r="OHO126" s="1"/>
      <c r="OHP126" s="1"/>
      <c r="OHQ126" s="1"/>
      <c r="OHR126" s="1"/>
      <c r="OHS126" s="1"/>
      <c r="OHT126" s="1"/>
      <c r="OHU126" s="1"/>
      <c r="OHV126" s="1"/>
      <c r="OHW126" s="1"/>
      <c r="OHX126" s="1"/>
      <c r="OHY126" s="1"/>
      <c r="OHZ126" s="1"/>
      <c r="OIA126" s="1"/>
      <c r="OIB126" s="1"/>
      <c r="OIC126" s="1"/>
      <c r="OID126" s="1"/>
      <c r="OIE126" s="1"/>
      <c r="OIF126" s="1"/>
      <c r="OIG126" s="1"/>
      <c r="OIH126" s="1"/>
      <c r="OII126" s="1"/>
      <c r="OIJ126" s="1"/>
      <c r="OIK126" s="1"/>
      <c r="OIL126" s="1"/>
      <c r="OIM126" s="1"/>
      <c r="OIN126" s="1"/>
      <c r="OIO126" s="1"/>
      <c r="OIP126" s="1"/>
      <c r="OIQ126" s="1"/>
      <c r="OIR126" s="1"/>
      <c r="OIS126" s="1"/>
      <c r="OIT126" s="1"/>
      <c r="OIU126" s="1"/>
      <c r="OIV126" s="1"/>
      <c r="OIW126" s="1"/>
      <c r="OIX126" s="1"/>
      <c r="OIY126" s="1"/>
      <c r="OIZ126" s="1"/>
      <c r="OJA126" s="1"/>
      <c r="OJB126" s="1"/>
      <c r="OJC126" s="1"/>
      <c r="OJD126" s="1"/>
      <c r="OJE126" s="1"/>
      <c r="OJF126" s="1"/>
      <c r="OJG126" s="1"/>
      <c r="OJH126" s="1"/>
      <c r="OJI126" s="1"/>
      <c r="OJJ126" s="1"/>
      <c r="OJK126" s="1"/>
      <c r="OJL126" s="1"/>
      <c r="OJM126" s="1"/>
      <c r="OJN126" s="1"/>
      <c r="OJO126" s="1"/>
      <c r="OJP126" s="1"/>
      <c r="OJQ126" s="1"/>
      <c r="OJR126" s="1"/>
      <c r="OJS126" s="1"/>
      <c r="OJT126" s="1"/>
      <c r="OJU126" s="1"/>
      <c r="OJV126" s="1"/>
      <c r="OJW126" s="1"/>
      <c r="OJX126" s="1"/>
      <c r="OJY126" s="1"/>
      <c r="OJZ126" s="1"/>
      <c r="OKA126" s="1"/>
      <c r="OKB126" s="1"/>
      <c r="OKC126" s="1"/>
      <c r="OKD126" s="1"/>
      <c r="OKE126" s="1"/>
      <c r="OKF126" s="1"/>
      <c r="OKG126" s="1"/>
      <c r="OKH126" s="1"/>
      <c r="OKI126" s="1"/>
      <c r="OKJ126" s="1"/>
      <c r="OKK126" s="1"/>
      <c r="OKL126" s="1"/>
      <c r="OKM126" s="1"/>
      <c r="OKN126" s="1"/>
      <c r="OKO126" s="1"/>
      <c r="OKP126" s="1"/>
      <c r="OKQ126" s="1"/>
      <c r="OKR126" s="1"/>
      <c r="OKS126" s="1"/>
      <c r="OKT126" s="1"/>
      <c r="OKU126" s="1"/>
      <c r="OKV126" s="1"/>
      <c r="OKW126" s="1"/>
      <c r="OKX126" s="1"/>
      <c r="OKY126" s="1"/>
      <c r="OKZ126" s="1"/>
      <c r="OLA126" s="1"/>
      <c r="OLB126" s="1"/>
      <c r="OLC126" s="1"/>
      <c r="OLD126" s="1"/>
      <c r="OLE126" s="1"/>
      <c r="OLF126" s="1"/>
      <c r="OLG126" s="1"/>
      <c r="OLH126" s="1"/>
      <c r="OLI126" s="1"/>
      <c r="OLJ126" s="1"/>
      <c r="OLK126" s="1"/>
      <c r="OLL126" s="1"/>
      <c r="OLM126" s="1"/>
      <c r="OLN126" s="1"/>
      <c r="OLO126" s="1"/>
      <c r="OLP126" s="1"/>
      <c r="OLQ126" s="1"/>
      <c r="OLR126" s="1"/>
      <c r="OLS126" s="1"/>
      <c r="OLT126" s="1"/>
      <c r="OLU126" s="1"/>
      <c r="OLV126" s="1"/>
      <c r="OLW126" s="1"/>
      <c r="OLX126" s="1"/>
      <c r="OLY126" s="1"/>
      <c r="OLZ126" s="1"/>
      <c r="OMA126" s="1"/>
      <c r="OMB126" s="1"/>
      <c r="OMC126" s="1"/>
      <c r="OMD126" s="1"/>
      <c r="OME126" s="1"/>
      <c r="OMF126" s="1"/>
      <c r="OMG126" s="1"/>
      <c r="OMH126" s="1"/>
      <c r="OMI126" s="1"/>
      <c r="OMJ126" s="1"/>
      <c r="OMK126" s="1"/>
      <c r="OML126" s="1"/>
      <c r="OMM126" s="1"/>
      <c r="OMN126" s="1"/>
      <c r="OMO126" s="1"/>
      <c r="OMP126" s="1"/>
      <c r="OMQ126" s="1"/>
      <c r="OMR126" s="1"/>
      <c r="OMS126" s="1"/>
      <c r="OMT126" s="1"/>
      <c r="OMU126" s="1"/>
      <c r="OMV126" s="1"/>
      <c r="OMW126" s="1"/>
      <c r="OMX126" s="1"/>
      <c r="OMY126" s="1"/>
      <c r="OMZ126" s="1"/>
      <c r="ONA126" s="1"/>
      <c r="ONB126" s="1"/>
      <c r="ONC126" s="1"/>
      <c r="OND126" s="1"/>
      <c r="ONE126" s="1"/>
      <c r="ONF126" s="1"/>
      <c r="ONG126" s="1"/>
      <c r="ONH126" s="1"/>
      <c r="ONI126" s="1"/>
      <c r="ONJ126" s="1"/>
      <c r="ONK126" s="1"/>
      <c r="ONL126" s="1"/>
      <c r="ONM126" s="1"/>
      <c r="ONN126" s="1"/>
      <c r="ONO126" s="1"/>
      <c r="ONP126" s="1"/>
      <c r="ONQ126" s="1"/>
      <c r="ONR126" s="1"/>
      <c r="ONS126" s="1"/>
      <c r="ONT126" s="1"/>
      <c r="ONU126" s="1"/>
      <c r="ONV126" s="1"/>
      <c r="ONW126" s="1"/>
      <c r="ONX126" s="1"/>
      <c r="ONY126" s="1"/>
      <c r="ONZ126" s="1"/>
      <c r="OOA126" s="1"/>
      <c r="OOB126" s="1"/>
      <c r="OOC126" s="1"/>
      <c r="OOD126" s="1"/>
      <c r="OOE126" s="1"/>
      <c r="OOF126" s="1"/>
      <c r="OOG126" s="1"/>
      <c r="OOH126" s="1"/>
      <c r="OOI126" s="1"/>
      <c r="OOJ126" s="1"/>
      <c r="OOK126" s="1"/>
      <c r="OOL126" s="1"/>
      <c r="OOM126" s="1"/>
      <c r="OON126" s="1"/>
      <c r="OOO126" s="1"/>
      <c r="OOP126" s="1"/>
      <c r="OOQ126" s="1"/>
      <c r="OOR126" s="1"/>
      <c r="OOS126" s="1"/>
      <c r="OOT126" s="1"/>
      <c r="OOU126" s="1"/>
      <c r="OOV126" s="1"/>
      <c r="OOW126" s="1"/>
      <c r="OOX126" s="1"/>
      <c r="OOY126" s="1"/>
      <c r="OOZ126" s="1"/>
      <c r="OPA126" s="1"/>
      <c r="OPB126" s="1"/>
      <c r="OPC126" s="1"/>
      <c r="OPD126" s="1"/>
      <c r="OPE126" s="1"/>
      <c r="OPF126" s="1"/>
      <c r="OPG126" s="1"/>
      <c r="OPH126" s="1"/>
      <c r="OPI126" s="1"/>
      <c r="OPJ126" s="1"/>
      <c r="OPK126" s="1"/>
      <c r="OPL126" s="1"/>
      <c r="OPM126" s="1"/>
      <c r="OPN126" s="1"/>
      <c r="OPO126" s="1"/>
      <c r="OPP126" s="1"/>
      <c r="OPQ126" s="1"/>
      <c r="OPR126" s="1"/>
      <c r="OPS126" s="1"/>
      <c r="OPT126" s="1"/>
      <c r="OPU126" s="1"/>
      <c r="OPV126" s="1"/>
      <c r="OPW126" s="1"/>
      <c r="OPX126" s="1"/>
      <c r="OPY126" s="1"/>
      <c r="OPZ126" s="1"/>
      <c r="OQA126" s="1"/>
      <c r="OQB126" s="1"/>
      <c r="OQC126" s="1"/>
      <c r="OQD126" s="1"/>
      <c r="OQE126" s="1"/>
      <c r="OQF126" s="1"/>
      <c r="OQG126" s="1"/>
      <c r="OQH126" s="1"/>
      <c r="OQI126" s="1"/>
      <c r="OQJ126" s="1"/>
      <c r="OQK126" s="1"/>
      <c r="OQL126" s="1"/>
      <c r="OQM126" s="1"/>
      <c r="OQN126" s="1"/>
      <c r="OQO126" s="1"/>
      <c r="OQP126" s="1"/>
      <c r="OQQ126" s="1"/>
      <c r="OQR126" s="1"/>
      <c r="OQS126" s="1"/>
      <c r="OQT126" s="1"/>
      <c r="OQU126" s="1"/>
      <c r="OQV126" s="1"/>
      <c r="OQW126" s="1"/>
      <c r="OQX126" s="1"/>
      <c r="OQY126" s="1"/>
      <c r="OQZ126" s="1"/>
      <c r="ORA126" s="1"/>
      <c r="ORB126" s="1"/>
      <c r="ORC126" s="1"/>
      <c r="ORD126" s="1"/>
      <c r="ORE126" s="1"/>
      <c r="ORF126" s="1"/>
      <c r="ORG126" s="1"/>
      <c r="ORH126" s="1"/>
      <c r="ORI126" s="1"/>
      <c r="ORJ126" s="1"/>
      <c r="ORK126" s="1"/>
      <c r="ORL126" s="1"/>
      <c r="ORM126" s="1"/>
      <c r="ORN126" s="1"/>
      <c r="ORO126" s="1"/>
      <c r="ORP126" s="1"/>
      <c r="ORQ126" s="1"/>
      <c r="ORR126" s="1"/>
      <c r="ORS126" s="1"/>
      <c r="ORT126" s="1"/>
      <c r="ORU126" s="1"/>
      <c r="ORV126" s="1"/>
      <c r="ORW126" s="1"/>
      <c r="ORX126" s="1"/>
      <c r="ORY126" s="1"/>
      <c r="ORZ126" s="1"/>
      <c r="OSA126" s="1"/>
      <c r="OSB126" s="1"/>
      <c r="OSC126" s="1"/>
      <c r="OSD126" s="1"/>
      <c r="OSE126" s="1"/>
      <c r="OSF126" s="1"/>
      <c r="OSG126" s="1"/>
      <c r="OSH126" s="1"/>
      <c r="OSI126" s="1"/>
      <c r="OSJ126" s="1"/>
      <c r="OSK126" s="1"/>
      <c r="OSL126" s="1"/>
      <c r="OSM126" s="1"/>
      <c r="OSN126" s="1"/>
      <c r="OSO126" s="1"/>
      <c r="OSP126" s="1"/>
      <c r="OSQ126" s="1"/>
      <c r="OSR126" s="1"/>
      <c r="OSS126" s="1"/>
      <c r="OST126" s="1"/>
      <c r="OSU126" s="1"/>
      <c r="OSV126" s="1"/>
      <c r="OSW126" s="1"/>
      <c r="OSX126" s="1"/>
      <c r="OSY126" s="1"/>
      <c r="OSZ126" s="1"/>
      <c r="OTA126" s="1"/>
      <c r="OTB126" s="1"/>
      <c r="OTC126" s="1"/>
      <c r="OTD126" s="1"/>
      <c r="OTE126" s="1"/>
      <c r="OTF126" s="1"/>
      <c r="OTG126" s="1"/>
      <c r="OTH126" s="1"/>
      <c r="OTI126" s="1"/>
      <c r="OTJ126" s="1"/>
      <c r="OTK126" s="1"/>
      <c r="OTL126" s="1"/>
      <c r="OTM126" s="1"/>
      <c r="OTN126" s="1"/>
      <c r="OTO126" s="1"/>
      <c r="OTP126" s="1"/>
      <c r="OTQ126" s="1"/>
      <c r="OTR126" s="1"/>
      <c r="OTS126" s="1"/>
      <c r="OTT126" s="1"/>
      <c r="OTU126" s="1"/>
      <c r="OTV126" s="1"/>
      <c r="OTW126" s="1"/>
      <c r="OTX126" s="1"/>
      <c r="OTY126" s="1"/>
      <c r="OTZ126" s="1"/>
      <c r="OUA126" s="1"/>
      <c r="OUB126" s="1"/>
      <c r="OUC126" s="1"/>
      <c r="OUD126" s="1"/>
      <c r="OUE126" s="1"/>
      <c r="OUF126" s="1"/>
      <c r="OUG126" s="1"/>
      <c r="OUH126" s="1"/>
      <c r="OUI126" s="1"/>
      <c r="OUJ126" s="1"/>
      <c r="OUK126" s="1"/>
      <c r="OUL126" s="1"/>
      <c r="OUM126" s="1"/>
      <c r="OUN126" s="1"/>
      <c r="OUO126" s="1"/>
      <c r="OUP126" s="1"/>
      <c r="OUQ126" s="1"/>
      <c r="OUR126" s="1"/>
      <c r="OUS126" s="1"/>
      <c r="OUT126" s="1"/>
      <c r="OUU126" s="1"/>
      <c r="OUV126" s="1"/>
      <c r="OUW126" s="1"/>
      <c r="OUX126" s="1"/>
      <c r="OUY126" s="1"/>
      <c r="OUZ126" s="1"/>
      <c r="OVA126" s="1"/>
      <c r="OVB126" s="1"/>
      <c r="OVC126" s="1"/>
      <c r="OVD126" s="1"/>
      <c r="OVE126" s="1"/>
      <c r="OVF126" s="1"/>
      <c r="OVG126" s="1"/>
      <c r="OVH126" s="1"/>
      <c r="OVI126" s="1"/>
      <c r="OVJ126" s="1"/>
      <c r="OVK126" s="1"/>
      <c r="OVL126" s="1"/>
      <c r="OVM126" s="1"/>
      <c r="OVN126" s="1"/>
      <c r="OVO126" s="1"/>
      <c r="OVP126" s="1"/>
      <c r="OVQ126" s="1"/>
      <c r="OVR126" s="1"/>
      <c r="OVS126" s="1"/>
      <c r="OVT126" s="1"/>
      <c r="OVU126" s="1"/>
      <c r="OVV126" s="1"/>
      <c r="OVW126" s="1"/>
      <c r="OVX126" s="1"/>
      <c r="OVY126" s="1"/>
      <c r="OVZ126" s="1"/>
      <c r="OWA126" s="1"/>
      <c r="OWB126" s="1"/>
      <c r="OWC126" s="1"/>
      <c r="OWD126" s="1"/>
      <c r="OWE126" s="1"/>
      <c r="OWF126" s="1"/>
      <c r="OWG126" s="1"/>
      <c r="OWH126" s="1"/>
      <c r="OWI126" s="1"/>
      <c r="OWJ126" s="1"/>
      <c r="OWK126" s="1"/>
      <c r="OWL126" s="1"/>
      <c r="OWM126" s="1"/>
      <c r="OWN126" s="1"/>
      <c r="OWO126" s="1"/>
      <c r="OWP126" s="1"/>
      <c r="OWQ126" s="1"/>
      <c r="OWR126" s="1"/>
      <c r="OWS126" s="1"/>
      <c r="OWT126" s="1"/>
      <c r="OWU126" s="1"/>
      <c r="OWV126" s="1"/>
      <c r="OWW126" s="1"/>
      <c r="OWX126" s="1"/>
      <c r="OWY126" s="1"/>
      <c r="OWZ126" s="1"/>
      <c r="OXA126" s="1"/>
      <c r="OXB126" s="1"/>
      <c r="OXC126" s="1"/>
      <c r="OXD126" s="1"/>
      <c r="OXE126" s="1"/>
      <c r="OXF126" s="1"/>
      <c r="OXG126" s="1"/>
      <c r="OXH126" s="1"/>
      <c r="OXI126" s="1"/>
      <c r="OXJ126" s="1"/>
      <c r="OXK126" s="1"/>
      <c r="OXL126" s="1"/>
      <c r="OXM126" s="1"/>
      <c r="OXN126" s="1"/>
      <c r="OXO126" s="1"/>
      <c r="OXP126" s="1"/>
      <c r="OXQ126" s="1"/>
      <c r="OXR126" s="1"/>
      <c r="OXS126" s="1"/>
      <c r="OXT126" s="1"/>
      <c r="OXU126" s="1"/>
      <c r="OXV126" s="1"/>
      <c r="OXW126" s="1"/>
      <c r="OXX126" s="1"/>
      <c r="OXY126" s="1"/>
      <c r="OXZ126" s="1"/>
      <c r="OYA126" s="1"/>
      <c r="OYB126" s="1"/>
      <c r="OYC126" s="1"/>
      <c r="OYD126" s="1"/>
      <c r="OYE126" s="1"/>
      <c r="OYF126" s="1"/>
      <c r="OYG126" s="1"/>
      <c r="OYH126" s="1"/>
      <c r="OYI126" s="1"/>
      <c r="OYJ126" s="1"/>
      <c r="OYK126" s="1"/>
      <c r="OYL126" s="1"/>
      <c r="OYM126" s="1"/>
      <c r="OYN126" s="1"/>
      <c r="OYO126" s="1"/>
      <c r="OYP126" s="1"/>
      <c r="OYQ126" s="1"/>
      <c r="OYR126" s="1"/>
      <c r="OYS126" s="1"/>
      <c r="OYT126" s="1"/>
      <c r="OYU126" s="1"/>
      <c r="OYV126" s="1"/>
      <c r="OYW126" s="1"/>
      <c r="OYX126" s="1"/>
      <c r="OYY126" s="1"/>
      <c r="OYZ126" s="1"/>
      <c r="OZA126" s="1"/>
      <c r="OZB126" s="1"/>
      <c r="OZC126" s="1"/>
      <c r="OZD126" s="1"/>
      <c r="OZE126" s="1"/>
      <c r="OZF126" s="1"/>
      <c r="OZG126" s="1"/>
      <c r="OZH126" s="1"/>
      <c r="OZI126" s="1"/>
      <c r="OZJ126" s="1"/>
      <c r="OZK126" s="1"/>
      <c r="OZL126" s="1"/>
      <c r="OZM126" s="1"/>
      <c r="OZN126" s="1"/>
      <c r="OZO126" s="1"/>
      <c r="OZP126" s="1"/>
      <c r="OZQ126" s="1"/>
      <c r="OZR126" s="1"/>
      <c r="OZS126" s="1"/>
      <c r="OZT126" s="1"/>
      <c r="OZU126" s="1"/>
      <c r="OZV126" s="1"/>
      <c r="OZW126" s="1"/>
      <c r="OZX126" s="1"/>
      <c r="OZY126" s="1"/>
      <c r="OZZ126" s="1"/>
      <c r="PAA126" s="1"/>
      <c r="PAB126" s="1"/>
      <c r="PAC126" s="1"/>
      <c r="PAD126" s="1"/>
      <c r="PAE126" s="1"/>
      <c r="PAF126" s="1"/>
      <c r="PAG126" s="1"/>
      <c r="PAH126" s="1"/>
      <c r="PAI126" s="1"/>
      <c r="PAJ126" s="1"/>
      <c r="PAK126" s="1"/>
      <c r="PAL126" s="1"/>
      <c r="PAM126" s="1"/>
      <c r="PAN126" s="1"/>
      <c r="PAO126" s="1"/>
      <c r="PAP126" s="1"/>
      <c r="PAQ126" s="1"/>
      <c r="PAR126" s="1"/>
      <c r="PAS126" s="1"/>
      <c r="PAT126" s="1"/>
      <c r="PAU126" s="1"/>
      <c r="PAV126" s="1"/>
      <c r="PAW126" s="1"/>
      <c r="PAX126" s="1"/>
      <c r="PAY126" s="1"/>
      <c r="PAZ126" s="1"/>
      <c r="PBA126" s="1"/>
      <c r="PBB126" s="1"/>
      <c r="PBC126" s="1"/>
      <c r="PBD126" s="1"/>
      <c r="PBE126" s="1"/>
      <c r="PBF126" s="1"/>
      <c r="PBG126" s="1"/>
      <c r="PBH126" s="1"/>
      <c r="PBI126" s="1"/>
      <c r="PBJ126" s="1"/>
      <c r="PBK126" s="1"/>
      <c r="PBL126" s="1"/>
      <c r="PBM126" s="1"/>
      <c r="PBN126" s="1"/>
      <c r="PBO126" s="1"/>
      <c r="PBP126" s="1"/>
      <c r="PBQ126" s="1"/>
      <c r="PBR126" s="1"/>
      <c r="PBS126" s="1"/>
      <c r="PBT126" s="1"/>
      <c r="PBU126" s="1"/>
      <c r="PBV126" s="1"/>
      <c r="PBW126" s="1"/>
      <c r="PBX126" s="1"/>
      <c r="PBY126" s="1"/>
      <c r="PBZ126" s="1"/>
      <c r="PCA126" s="1"/>
      <c r="PCB126" s="1"/>
      <c r="PCC126" s="1"/>
      <c r="PCD126" s="1"/>
      <c r="PCE126" s="1"/>
      <c r="PCF126" s="1"/>
      <c r="PCG126" s="1"/>
      <c r="PCH126" s="1"/>
      <c r="PCI126" s="1"/>
      <c r="PCJ126" s="1"/>
      <c r="PCK126" s="1"/>
      <c r="PCL126" s="1"/>
      <c r="PCM126" s="1"/>
      <c r="PCN126" s="1"/>
      <c r="PCO126" s="1"/>
      <c r="PCP126" s="1"/>
      <c r="PCQ126" s="1"/>
      <c r="PCR126" s="1"/>
      <c r="PCS126" s="1"/>
      <c r="PCT126" s="1"/>
      <c r="PCU126" s="1"/>
      <c r="PCV126" s="1"/>
      <c r="PCW126" s="1"/>
      <c r="PCX126" s="1"/>
      <c r="PCY126" s="1"/>
      <c r="PCZ126" s="1"/>
      <c r="PDA126" s="1"/>
      <c r="PDB126" s="1"/>
      <c r="PDC126" s="1"/>
      <c r="PDD126" s="1"/>
      <c r="PDE126" s="1"/>
      <c r="PDF126" s="1"/>
      <c r="PDG126" s="1"/>
      <c r="PDH126" s="1"/>
      <c r="PDI126" s="1"/>
      <c r="PDJ126" s="1"/>
      <c r="PDK126" s="1"/>
      <c r="PDL126" s="1"/>
      <c r="PDM126" s="1"/>
      <c r="PDN126" s="1"/>
      <c r="PDO126" s="1"/>
      <c r="PDP126" s="1"/>
      <c r="PDQ126" s="1"/>
      <c r="PDR126" s="1"/>
      <c r="PDS126" s="1"/>
      <c r="PDT126" s="1"/>
      <c r="PDU126" s="1"/>
      <c r="PDV126" s="1"/>
      <c r="PDW126" s="1"/>
      <c r="PDX126" s="1"/>
      <c r="PDY126" s="1"/>
      <c r="PDZ126" s="1"/>
      <c r="PEA126" s="1"/>
      <c r="PEB126" s="1"/>
      <c r="PEC126" s="1"/>
      <c r="PED126" s="1"/>
      <c r="PEE126" s="1"/>
      <c r="PEF126" s="1"/>
      <c r="PEG126" s="1"/>
      <c r="PEH126" s="1"/>
      <c r="PEI126" s="1"/>
      <c r="PEJ126" s="1"/>
      <c r="PEK126" s="1"/>
      <c r="PEL126" s="1"/>
      <c r="PEM126" s="1"/>
      <c r="PEN126" s="1"/>
      <c r="PEO126" s="1"/>
      <c r="PEP126" s="1"/>
      <c r="PEQ126" s="1"/>
      <c r="PER126" s="1"/>
      <c r="PES126" s="1"/>
      <c r="PET126" s="1"/>
      <c r="PEU126" s="1"/>
      <c r="PEV126" s="1"/>
      <c r="PEW126" s="1"/>
      <c r="PEX126" s="1"/>
      <c r="PEY126" s="1"/>
      <c r="PEZ126" s="1"/>
      <c r="PFA126" s="1"/>
      <c r="PFB126" s="1"/>
      <c r="PFC126" s="1"/>
      <c r="PFD126" s="1"/>
      <c r="PFE126" s="1"/>
      <c r="PFF126" s="1"/>
      <c r="PFG126" s="1"/>
      <c r="PFH126" s="1"/>
      <c r="PFI126" s="1"/>
      <c r="PFJ126" s="1"/>
      <c r="PFK126" s="1"/>
      <c r="PFL126" s="1"/>
      <c r="PFM126" s="1"/>
      <c r="PFN126" s="1"/>
      <c r="PFO126" s="1"/>
      <c r="PFP126" s="1"/>
      <c r="PFQ126" s="1"/>
      <c r="PFR126" s="1"/>
      <c r="PFS126" s="1"/>
      <c r="PFT126" s="1"/>
      <c r="PFU126" s="1"/>
      <c r="PFV126" s="1"/>
      <c r="PFW126" s="1"/>
      <c r="PFX126" s="1"/>
      <c r="PFY126" s="1"/>
      <c r="PFZ126" s="1"/>
      <c r="PGA126" s="1"/>
      <c r="PGB126" s="1"/>
      <c r="PGC126" s="1"/>
      <c r="PGD126" s="1"/>
      <c r="PGE126" s="1"/>
      <c r="PGF126" s="1"/>
      <c r="PGG126" s="1"/>
      <c r="PGH126" s="1"/>
      <c r="PGI126" s="1"/>
      <c r="PGJ126" s="1"/>
      <c r="PGK126" s="1"/>
      <c r="PGL126" s="1"/>
      <c r="PGM126" s="1"/>
      <c r="PGN126" s="1"/>
      <c r="PGO126" s="1"/>
      <c r="PGP126" s="1"/>
      <c r="PGQ126" s="1"/>
      <c r="PGR126" s="1"/>
      <c r="PGS126" s="1"/>
      <c r="PGT126" s="1"/>
      <c r="PGU126" s="1"/>
      <c r="PGV126" s="1"/>
      <c r="PGW126" s="1"/>
      <c r="PGX126" s="1"/>
      <c r="PGY126" s="1"/>
      <c r="PGZ126" s="1"/>
      <c r="PHA126" s="1"/>
      <c r="PHB126" s="1"/>
      <c r="PHC126" s="1"/>
      <c r="PHD126" s="1"/>
      <c r="PHE126" s="1"/>
      <c r="PHF126" s="1"/>
      <c r="PHG126" s="1"/>
      <c r="PHH126" s="1"/>
      <c r="PHI126" s="1"/>
      <c r="PHJ126" s="1"/>
      <c r="PHK126" s="1"/>
      <c r="PHL126" s="1"/>
      <c r="PHM126" s="1"/>
      <c r="PHN126" s="1"/>
      <c r="PHO126" s="1"/>
      <c r="PHP126" s="1"/>
      <c r="PHQ126" s="1"/>
      <c r="PHR126" s="1"/>
      <c r="PHS126" s="1"/>
      <c r="PHT126" s="1"/>
      <c r="PHU126" s="1"/>
      <c r="PHV126" s="1"/>
      <c r="PHW126" s="1"/>
      <c r="PHX126" s="1"/>
      <c r="PHY126" s="1"/>
      <c r="PHZ126" s="1"/>
      <c r="PIA126" s="1"/>
      <c r="PIB126" s="1"/>
      <c r="PIC126" s="1"/>
      <c r="PID126" s="1"/>
      <c r="PIE126" s="1"/>
      <c r="PIF126" s="1"/>
      <c r="PIG126" s="1"/>
      <c r="PIH126" s="1"/>
      <c r="PII126" s="1"/>
      <c r="PIJ126" s="1"/>
      <c r="PIK126" s="1"/>
      <c r="PIL126" s="1"/>
      <c r="PIM126" s="1"/>
      <c r="PIN126" s="1"/>
      <c r="PIO126" s="1"/>
      <c r="PIP126" s="1"/>
      <c r="PIQ126" s="1"/>
      <c r="PIR126" s="1"/>
      <c r="PIS126" s="1"/>
      <c r="PIT126" s="1"/>
      <c r="PIU126" s="1"/>
      <c r="PIV126" s="1"/>
      <c r="PIW126" s="1"/>
      <c r="PIX126" s="1"/>
      <c r="PIY126" s="1"/>
      <c r="PIZ126" s="1"/>
      <c r="PJA126" s="1"/>
      <c r="PJB126" s="1"/>
      <c r="PJC126" s="1"/>
      <c r="PJD126" s="1"/>
      <c r="PJE126" s="1"/>
      <c r="PJF126" s="1"/>
      <c r="PJG126" s="1"/>
      <c r="PJH126" s="1"/>
      <c r="PJI126" s="1"/>
      <c r="PJJ126" s="1"/>
      <c r="PJK126" s="1"/>
      <c r="PJL126" s="1"/>
      <c r="PJM126" s="1"/>
      <c r="PJN126" s="1"/>
      <c r="PJO126" s="1"/>
      <c r="PJP126" s="1"/>
      <c r="PJQ126" s="1"/>
      <c r="PJR126" s="1"/>
      <c r="PJS126" s="1"/>
      <c r="PJT126" s="1"/>
      <c r="PJU126" s="1"/>
      <c r="PJV126" s="1"/>
      <c r="PJW126" s="1"/>
      <c r="PJX126" s="1"/>
      <c r="PJY126" s="1"/>
      <c r="PJZ126" s="1"/>
      <c r="PKA126" s="1"/>
      <c r="PKB126" s="1"/>
      <c r="PKC126" s="1"/>
      <c r="PKD126" s="1"/>
      <c r="PKE126" s="1"/>
      <c r="PKF126" s="1"/>
      <c r="PKG126" s="1"/>
      <c r="PKH126" s="1"/>
      <c r="PKI126" s="1"/>
      <c r="PKJ126" s="1"/>
      <c r="PKK126" s="1"/>
      <c r="PKL126" s="1"/>
      <c r="PKM126" s="1"/>
      <c r="PKN126" s="1"/>
      <c r="PKO126" s="1"/>
      <c r="PKP126" s="1"/>
      <c r="PKQ126" s="1"/>
      <c r="PKR126" s="1"/>
      <c r="PKS126" s="1"/>
      <c r="PKT126" s="1"/>
      <c r="PKU126" s="1"/>
      <c r="PKV126" s="1"/>
      <c r="PKW126" s="1"/>
      <c r="PKX126" s="1"/>
      <c r="PKY126" s="1"/>
      <c r="PKZ126" s="1"/>
      <c r="PLA126" s="1"/>
      <c r="PLB126" s="1"/>
      <c r="PLC126" s="1"/>
      <c r="PLD126" s="1"/>
      <c r="PLE126" s="1"/>
      <c r="PLF126" s="1"/>
      <c r="PLG126" s="1"/>
      <c r="PLH126" s="1"/>
      <c r="PLI126" s="1"/>
      <c r="PLJ126" s="1"/>
      <c r="PLK126" s="1"/>
      <c r="PLL126" s="1"/>
      <c r="PLM126" s="1"/>
      <c r="PLN126" s="1"/>
      <c r="PLO126" s="1"/>
      <c r="PLP126" s="1"/>
      <c r="PLQ126" s="1"/>
      <c r="PLR126" s="1"/>
      <c r="PLS126" s="1"/>
      <c r="PLT126" s="1"/>
      <c r="PLU126" s="1"/>
      <c r="PLV126" s="1"/>
      <c r="PLW126" s="1"/>
      <c r="PLX126" s="1"/>
      <c r="PLY126" s="1"/>
      <c r="PLZ126" s="1"/>
      <c r="PMA126" s="1"/>
      <c r="PMB126" s="1"/>
      <c r="PMC126" s="1"/>
      <c r="PMD126" s="1"/>
      <c r="PME126" s="1"/>
      <c r="PMF126" s="1"/>
      <c r="PMG126" s="1"/>
      <c r="PMH126" s="1"/>
      <c r="PMI126" s="1"/>
      <c r="PMJ126" s="1"/>
      <c r="PMK126" s="1"/>
      <c r="PML126" s="1"/>
      <c r="PMM126" s="1"/>
      <c r="PMN126" s="1"/>
      <c r="PMO126" s="1"/>
      <c r="PMP126" s="1"/>
      <c r="PMQ126" s="1"/>
      <c r="PMR126" s="1"/>
      <c r="PMS126" s="1"/>
      <c r="PMT126" s="1"/>
      <c r="PMU126" s="1"/>
      <c r="PMV126" s="1"/>
      <c r="PMW126" s="1"/>
      <c r="PMX126" s="1"/>
      <c r="PMY126" s="1"/>
      <c r="PMZ126" s="1"/>
      <c r="PNA126" s="1"/>
      <c r="PNB126" s="1"/>
      <c r="PNC126" s="1"/>
      <c r="PND126" s="1"/>
      <c r="PNE126" s="1"/>
      <c r="PNF126" s="1"/>
      <c r="PNG126" s="1"/>
      <c r="PNH126" s="1"/>
      <c r="PNI126" s="1"/>
      <c r="PNJ126" s="1"/>
      <c r="PNK126" s="1"/>
      <c r="PNL126" s="1"/>
      <c r="PNM126" s="1"/>
      <c r="PNN126" s="1"/>
      <c r="PNO126" s="1"/>
      <c r="PNP126" s="1"/>
      <c r="PNQ126" s="1"/>
      <c r="PNR126" s="1"/>
      <c r="PNS126" s="1"/>
      <c r="PNT126" s="1"/>
      <c r="PNU126" s="1"/>
      <c r="PNV126" s="1"/>
      <c r="PNW126" s="1"/>
      <c r="PNX126" s="1"/>
      <c r="PNY126" s="1"/>
      <c r="PNZ126" s="1"/>
      <c r="POA126" s="1"/>
      <c r="POB126" s="1"/>
      <c r="POC126" s="1"/>
      <c r="POD126" s="1"/>
      <c r="POE126" s="1"/>
      <c r="POF126" s="1"/>
      <c r="POG126" s="1"/>
      <c r="POH126" s="1"/>
      <c r="POI126" s="1"/>
      <c r="POJ126" s="1"/>
      <c r="POK126" s="1"/>
      <c r="POL126" s="1"/>
      <c r="POM126" s="1"/>
      <c r="PON126" s="1"/>
      <c r="POO126" s="1"/>
      <c r="POP126" s="1"/>
      <c r="POQ126" s="1"/>
      <c r="POR126" s="1"/>
      <c r="POS126" s="1"/>
      <c r="POT126" s="1"/>
      <c r="POU126" s="1"/>
      <c r="POV126" s="1"/>
      <c r="POW126" s="1"/>
      <c r="POX126" s="1"/>
      <c r="POY126" s="1"/>
      <c r="POZ126" s="1"/>
      <c r="PPA126" s="1"/>
      <c r="PPB126" s="1"/>
      <c r="PPC126" s="1"/>
      <c r="PPD126" s="1"/>
      <c r="PPE126" s="1"/>
      <c r="PPF126" s="1"/>
      <c r="PPG126" s="1"/>
      <c r="PPH126" s="1"/>
      <c r="PPI126" s="1"/>
      <c r="PPJ126" s="1"/>
      <c r="PPK126" s="1"/>
      <c r="PPL126" s="1"/>
      <c r="PPM126" s="1"/>
      <c r="PPN126" s="1"/>
      <c r="PPO126" s="1"/>
      <c r="PPP126" s="1"/>
      <c r="PPQ126" s="1"/>
      <c r="PPR126" s="1"/>
      <c r="PPS126" s="1"/>
      <c r="PPT126" s="1"/>
      <c r="PPU126" s="1"/>
      <c r="PPV126" s="1"/>
      <c r="PPW126" s="1"/>
      <c r="PPX126" s="1"/>
      <c r="PPY126" s="1"/>
      <c r="PPZ126" s="1"/>
      <c r="PQA126" s="1"/>
      <c r="PQB126" s="1"/>
      <c r="PQC126" s="1"/>
      <c r="PQD126" s="1"/>
      <c r="PQE126" s="1"/>
      <c r="PQF126" s="1"/>
      <c r="PQG126" s="1"/>
      <c r="PQH126" s="1"/>
      <c r="PQI126" s="1"/>
      <c r="PQJ126" s="1"/>
      <c r="PQK126" s="1"/>
      <c r="PQL126" s="1"/>
      <c r="PQM126" s="1"/>
      <c r="PQN126" s="1"/>
      <c r="PQO126" s="1"/>
      <c r="PQP126" s="1"/>
      <c r="PQQ126" s="1"/>
      <c r="PQR126" s="1"/>
      <c r="PQS126" s="1"/>
      <c r="PQT126" s="1"/>
      <c r="PQU126" s="1"/>
      <c r="PQV126" s="1"/>
      <c r="PQW126" s="1"/>
      <c r="PQX126" s="1"/>
      <c r="PQY126" s="1"/>
      <c r="PQZ126" s="1"/>
      <c r="PRA126" s="1"/>
      <c r="PRB126" s="1"/>
      <c r="PRC126" s="1"/>
      <c r="PRD126" s="1"/>
      <c r="PRE126" s="1"/>
      <c r="PRF126" s="1"/>
      <c r="PRG126" s="1"/>
      <c r="PRH126" s="1"/>
      <c r="PRI126" s="1"/>
      <c r="PRJ126" s="1"/>
      <c r="PRK126" s="1"/>
      <c r="PRL126" s="1"/>
      <c r="PRM126" s="1"/>
      <c r="PRN126" s="1"/>
      <c r="PRO126" s="1"/>
      <c r="PRP126" s="1"/>
      <c r="PRQ126" s="1"/>
      <c r="PRR126" s="1"/>
      <c r="PRS126" s="1"/>
      <c r="PRT126" s="1"/>
      <c r="PRU126" s="1"/>
      <c r="PRV126" s="1"/>
      <c r="PRW126" s="1"/>
      <c r="PRX126" s="1"/>
      <c r="PRY126" s="1"/>
      <c r="PRZ126" s="1"/>
      <c r="PSA126" s="1"/>
      <c r="PSB126" s="1"/>
      <c r="PSC126" s="1"/>
      <c r="PSD126" s="1"/>
      <c r="PSE126" s="1"/>
      <c r="PSF126" s="1"/>
      <c r="PSG126" s="1"/>
      <c r="PSH126" s="1"/>
      <c r="PSI126" s="1"/>
      <c r="PSJ126" s="1"/>
      <c r="PSK126" s="1"/>
      <c r="PSL126" s="1"/>
      <c r="PSM126" s="1"/>
      <c r="PSN126" s="1"/>
      <c r="PSO126" s="1"/>
      <c r="PSP126" s="1"/>
      <c r="PSQ126" s="1"/>
      <c r="PSR126" s="1"/>
      <c r="PSS126" s="1"/>
      <c r="PST126" s="1"/>
      <c r="PSU126" s="1"/>
      <c r="PSV126" s="1"/>
      <c r="PSW126" s="1"/>
      <c r="PSX126" s="1"/>
      <c r="PSY126" s="1"/>
      <c r="PSZ126" s="1"/>
      <c r="PTA126" s="1"/>
      <c r="PTB126" s="1"/>
      <c r="PTC126" s="1"/>
      <c r="PTD126" s="1"/>
      <c r="PTE126" s="1"/>
      <c r="PTF126" s="1"/>
      <c r="PTG126" s="1"/>
      <c r="PTH126" s="1"/>
      <c r="PTI126" s="1"/>
      <c r="PTJ126" s="1"/>
      <c r="PTK126" s="1"/>
      <c r="PTL126" s="1"/>
      <c r="PTM126" s="1"/>
      <c r="PTN126" s="1"/>
      <c r="PTO126" s="1"/>
      <c r="PTP126" s="1"/>
      <c r="PTQ126" s="1"/>
      <c r="PTR126" s="1"/>
      <c r="PTS126" s="1"/>
      <c r="PTT126" s="1"/>
      <c r="PTU126" s="1"/>
      <c r="PTV126" s="1"/>
      <c r="PTW126" s="1"/>
      <c r="PTX126" s="1"/>
      <c r="PTY126" s="1"/>
      <c r="PTZ126" s="1"/>
      <c r="PUA126" s="1"/>
      <c r="PUB126" s="1"/>
      <c r="PUC126" s="1"/>
      <c r="PUD126" s="1"/>
      <c r="PUE126" s="1"/>
      <c r="PUF126" s="1"/>
      <c r="PUG126" s="1"/>
      <c r="PUH126" s="1"/>
      <c r="PUI126" s="1"/>
      <c r="PUJ126" s="1"/>
      <c r="PUK126" s="1"/>
      <c r="PUL126" s="1"/>
      <c r="PUM126" s="1"/>
      <c r="PUN126" s="1"/>
      <c r="PUO126" s="1"/>
      <c r="PUP126" s="1"/>
      <c r="PUQ126" s="1"/>
      <c r="PUR126" s="1"/>
      <c r="PUS126" s="1"/>
      <c r="PUT126" s="1"/>
      <c r="PUU126" s="1"/>
      <c r="PUV126" s="1"/>
      <c r="PUW126" s="1"/>
      <c r="PUX126" s="1"/>
      <c r="PUY126" s="1"/>
      <c r="PUZ126" s="1"/>
      <c r="PVA126" s="1"/>
      <c r="PVB126" s="1"/>
      <c r="PVC126" s="1"/>
      <c r="PVD126" s="1"/>
      <c r="PVE126" s="1"/>
      <c r="PVF126" s="1"/>
      <c r="PVG126" s="1"/>
      <c r="PVH126" s="1"/>
      <c r="PVI126" s="1"/>
      <c r="PVJ126" s="1"/>
      <c r="PVK126" s="1"/>
      <c r="PVL126" s="1"/>
      <c r="PVM126" s="1"/>
      <c r="PVN126" s="1"/>
      <c r="PVO126" s="1"/>
      <c r="PVP126" s="1"/>
      <c r="PVQ126" s="1"/>
      <c r="PVR126" s="1"/>
      <c r="PVS126" s="1"/>
      <c r="PVT126" s="1"/>
      <c r="PVU126" s="1"/>
      <c r="PVV126" s="1"/>
      <c r="PVW126" s="1"/>
      <c r="PVX126" s="1"/>
      <c r="PVY126" s="1"/>
      <c r="PVZ126" s="1"/>
      <c r="PWA126" s="1"/>
      <c r="PWB126" s="1"/>
      <c r="PWC126" s="1"/>
      <c r="PWD126" s="1"/>
      <c r="PWE126" s="1"/>
      <c r="PWF126" s="1"/>
      <c r="PWG126" s="1"/>
      <c r="PWH126" s="1"/>
      <c r="PWI126" s="1"/>
      <c r="PWJ126" s="1"/>
      <c r="PWK126" s="1"/>
      <c r="PWL126" s="1"/>
      <c r="PWM126" s="1"/>
      <c r="PWN126" s="1"/>
      <c r="PWO126" s="1"/>
      <c r="PWP126" s="1"/>
      <c r="PWQ126" s="1"/>
      <c r="PWR126" s="1"/>
      <c r="PWS126" s="1"/>
      <c r="PWT126" s="1"/>
      <c r="PWU126" s="1"/>
      <c r="PWV126" s="1"/>
      <c r="PWW126" s="1"/>
      <c r="PWX126" s="1"/>
      <c r="PWY126" s="1"/>
      <c r="PWZ126" s="1"/>
      <c r="PXA126" s="1"/>
      <c r="PXB126" s="1"/>
      <c r="PXC126" s="1"/>
      <c r="PXD126" s="1"/>
      <c r="PXE126" s="1"/>
      <c r="PXF126" s="1"/>
      <c r="PXG126" s="1"/>
      <c r="PXH126" s="1"/>
      <c r="PXI126" s="1"/>
      <c r="PXJ126" s="1"/>
      <c r="PXK126" s="1"/>
      <c r="PXL126" s="1"/>
      <c r="PXM126" s="1"/>
      <c r="PXN126" s="1"/>
      <c r="PXO126" s="1"/>
      <c r="PXP126" s="1"/>
      <c r="PXQ126" s="1"/>
      <c r="PXR126" s="1"/>
      <c r="PXS126" s="1"/>
      <c r="PXT126" s="1"/>
      <c r="PXU126" s="1"/>
      <c r="PXV126" s="1"/>
      <c r="PXW126" s="1"/>
      <c r="PXX126" s="1"/>
      <c r="PXY126" s="1"/>
      <c r="PXZ126" s="1"/>
      <c r="PYA126" s="1"/>
      <c r="PYB126" s="1"/>
      <c r="PYC126" s="1"/>
      <c r="PYD126" s="1"/>
      <c r="PYE126" s="1"/>
      <c r="PYF126" s="1"/>
      <c r="PYG126" s="1"/>
      <c r="PYH126" s="1"/>
      <c r="PYI126" s="1"/>
      <c r="PYJ126" s="1"/>
      <c r="PYK126" s="1"/>
      <c r="PYL126" s="1"/>
      <c r="PYM126" s="1"/>
      <c r="PYN126" s="1"/>
      <c r="PYO126" s="1"/>
      <c r="PYP126" s="1"/>
      <c r="PYQ126" s="1"/>
      <c r="PYR126" s="1"/>
      <c r="PYS126" s="1"/>
      <c r="PYT126" s="1"/>
      <c r="PYU126" s="1"/>
      <c r="PYV126" s="1"/>
      <c r="PYW126" s="1"/>
      <c r="PYX126" s="1"/>
      <c r="PYY126" s="1"/>
      <c r="PYZ126" s="1"/>
      <c r="PZA126" s="1"/>
      <c r="PZB126" s="1"/>
      <c r="PZC126" s="1"/>
      <c r="PZD126" s="1"/>
      <c r="PZE126" s="1"/>
      <c r="PZF126" s="1"/>
      <c r="PZG126" s="1"/>
      <c r="PZH126" s="1"/>
      <c r="PZI126" s="1"/>
      <c r="PZJ126" s="1"/>
      <c r="PZK126" s="1"/>
      <c r="PZL126" s="1"/>
      <c r="PZM126" s="1"/>
      <c r="PZN126" s="1"/>
      <c r="PZO126" s="1"/>
      <c r="PZP126" s="1"/>
      <c r="PZQ126" s="1"/>
      <c r="PZR126" s="1"/>
      <c r="PZS126" s="1"/>
      <c r="PZT126" s="1"/>
      <c r="PZU126" s="1"/>
      <c r="PZV126" s="1"/>
      <c r="PZW126" s="1"/>
      <c r="PZX126" s="1"/>
      <c r="PZY126" s="1"/>
      <c r="PZZ126" s="1"/>
      <c r="QAA126" s="1"/>
      <c r="QAB126" s="1"/>
      <c r="QAC126" s="1"/>
      <c r="QAD126" s="1"/>
      <c r="QAE126" s="1"/>
      <c r="QAF126" s="1"/>
      <c r="QAG126" s="1"/>
      <c r="QAH126" s="1"/>
      <c r="QAI126" s="1"/>
      <c r="QAJ126" s="1"/>
      <c r="QAK126" s="1"/>
      <c r="QAL126" s="1"/>
      <c r="QAM126" s="1"/>
      <c r="QAN126" s="1"/>
      <c r="QAO126" s="1"/>
      <c r="QAP126" s="1"/>
      <c r="QAQ126" s="1"/>
      <c r="QAR126" s="1"/>
      <c r="QAS126" s="1"/>
      <c r="QAT126" s="1"/>
      <c r="QAU126" s="1"/>
      <c r="QAV126" s="1"/>
      <c r="QAW126" s="1"/>
      <c r="QAX126" s="1"/>
      <c r="QAY126" s="1"/>
      <c r="QAZ126" s="1"/>
      <c r="QBA126" s="1"/>
      <c r="QBB126" s="1"/>
      <c r="QBC126" s="1"/>
      <c r="QBD126" s="1"/>
      <c r="QBE126" s="1"/>
      <c r="QBF126" s="1"/>
      <c r="QBG126" s="1"/>
      <c r="QBH126" s="1"/>
      <c r="QBI126" s="1"/>
      <c r="QBJ126" s="1"/>
      <c r="QBK126" s="1"/>
      <c r="QBL126" s="1"/>
      <c r="QBM126" s="1"/>
      <c r="QBN126" s="1"/>
      <c r="QBO126" s="1"/>
      <c r="QBP126" s="1"/>
      <c r="QBQ126" s="1"/>
      <c r="QBR126" s="1"/>
      <c r="QBS126" s="1"/>
      <c r="QBT126" s="1"/>
      <c r="QBU126" s="1"/>
      <c r="QBV126" s="1"/>
      <c r="QBW126" s="1"/>
      <c r="QBX126" s="1"/>
      <c r="QBY126" s="1"/>
      <c r="QBZ126" s="1"/>
      <c r="QCA126" s="1"/>
      <c r="QCB126" s="1"/>
      <c r="QCC126" s="1"/>
      <c r="QCD126" s="1"/>
      <c r="QCE126" s="1"/>
      <c r="QCF126" s="1"/>
      <c r="QCG126" s="1"/>
      <c r="QCH126" s="1"/>
      <c r="QCI126" s="1"/>
      <c r="QCJ126" s="1"/>
      <c r="QCK126" s="1"/>
      <c r="QCL126" s="1"/>
      <c r="QCM126" s="1"/>
      <c r="QCN126" s="1"/>
      <c r="QCO126" s="1"/>
      <c r="QCP126" s="1"/>
      <c r="QCQ126" s="1"/>
      <c r="QCR126" s="1"/>
      <c r="QCS126" s="1"/>
      <c r="QCT126" s="1"/>
      <c r="QCU126" s="1"/>
      <c r="QCV126" s="1"/>
      <c r="QCW126" s="1"/>
      <c r="QCX126" s="1"/>
      <c r="QCY126" s="1"/>
      <c r="QCZ126" s="1"/>
      <c r="QDA126" s="1"/>
      <c r="QDB126" s="1"/>
      <c r="QDC126" s="1"/>
      <c r="QDD126" s="1"/>
      <c r="QDE126" s="1"/>
      <c r="QDF126" s="1"/>
      <c r="QDG126" s="1"/>
      <c r="QDH126" s="1"/>
      <c r="QDI126" s="1"/>
      <c r="QDJ126" s="1"/>
      <c r="QDK126" s="1"/>
      <c r="QDL126" s="1"/>
      <c r="QDM126" s="1"/>
      <c r="QDN126" s="1"/>
      <c r="QDO126" s="1"/>
      <c r="QDP126" s="1"/>
      <c r="QDQ126" s="1"/>
      <c r="QDR126" s="1"/>
      <c r="QDS126" s="1"/>
      <c r="QDT126" s="1"/>
      <c r="QDU126" s="1"/>
      <c r="QDV126" s="1"/>
      <c r="QDW126" s="1"/>
      <c r="QDX126" s="1"/>
      <c r="QDY126" s="1"/>
      <c r="QDZ126" s="1"/>
      <c r="QEA126" s="1"/>
      <c r="QEB126" s="1"/>
      <c r="QEC126" s="1"/>
      <c r="QED126" s="1"/>
      <c r="QEE126" s="1"/>
      <c r="QEF126" s="1"/>
      <c r="QEG126" s="1"/>
      <c r="QEH126" s="1"/>
      <c r="QEI126" s="1"/>
      <c r="QEJ126" s="1"/>
      <c r="QEK126" s="1"/>
      <c r="QEL126" s="1"/>
      <c r="QEM126" s="1"/>
      <c r="QEN126" s="1"/>
      <c r="QEO126" s="1"/>
      <c r="QEP126" s="1"/>
      <c r="QEQ126" s="1"/>
      <c r="QER126" s="1"/>
      <c r="QES126" s="1"/>
      <c r="QET126" s="1"/>
      <c r="QEU126" s="1"/>
      <c r="QEV126" s="1"/>
      <c r="QEW126" s="1"/>
      <c r="QEX126" s="1"/>
      <c r="QEY126" s="1"/>
      <c r="QEZ126" s="1"/>
      <c r="QFA126" s="1"/>
      <c r="QFB126" s="1"/>
      <c r="QFC126" s="1"/>
      <c r="QFD126" s="1"/>
      <c r="QFE126" s="1"/>
      <c r="QFF126" s="1"/>
      <c r="QFG126" s="1"/>
      <c r="QFH126" s="1"/>
      <c r="QFI126" s="1"/>
      <c r="QFJ126" s="1"/>
      <c r="QFK126" s="1"/>
      <c r="QFL126" s="1"/>
      <c r="QFM126" s="1"/>
      <c r="QFN126" s="1"/>
      <c r="QFO126" s="1"/>
      <c r="QFP126" s="1"/>
      <c r="QFQ126" s="1"/>
      <c r="QFR126" s="1"/>
      <c r="QFS126" s="1"/>
      <c r="QFT126" s="1"/>
      <c r="QFU126" s="1"/>
      <c r="QFV126" s="1"/>
      <c r="QFW126" s="1"/>
      <c r="QFX126" s="1"/>
      <c r="QFY126" s="1"/>
      <c r="QFZ126" s="1"/>
      <c r="QGA126" s="1"/>
      <c r="QGB126" s="1"/>
      <c r="QGC126" s="1"/>
      <c r="QGD126" s="1"/>
      <c r="QGE126" s="1"/>
      <c r="QGF126" s="1"/>
      <c r="QGG126" s="1"/>
      <c r="QGH126" s="1"/>
      <c r="QGI126" s="1"/>
      <c r="QGJ126" s="1"/>
      <c r="QGK126" s="1"/>
      <c r="QGL126" s="1"/>
      <c r="QGM126" s="1"/>
      <c r="QGN126" s="1"/>
      <c r="QGO126" s="1"/>
      <c r="QGP126" s="1"/>
      <c r="QGQ126" s="1"/>
      <c r="QGR126" s="1"/>
      <c r="QGS126" s="1"/>
      <c r="QGT126" s="1"/>
      <c r="QGU126" s="1"/>
      <c r="QGV126" s="1"/>
      <c r="QGW126" s="1"/>
      <c r="QGX126" s="1"/>
      <c r="QGY126" s="1"/>
      <c r="QGZ126" s="1"/>
      <c r="QHA126" s="1"/>
      <c r="QHB126" s="1"/>
      <c r="QHC126" s="1"/>
      <c r="QHD126" s="1"/>
      <c r="QHE126" s="1"/>
      <c r="QHF126" s="1"/>
      <c r="QHG126" s="1"/>
      <c r="QHH126" s="1"/>
      <c r="QHI126" s="1"/>
      <c r="QHJ126" s="1"/>
      <c r="QHK126" s="1"/>
      <c r="QHL126" s="1"/>
      <c r="QHM126" s="1"/>
      <c r="QHN126" s="1"/>
      <c r="QHO126" s="1"/>
      <c r="QHP126" s="1"/>
      <c r="QHQ126" s="1"/>
      <c r="QHR126" s="1"/>
      <c r="QHS126" s="1"/>
      <c r="QHT126" s="1"/>
      <c r="QHU126" s="1"/>
      <c r="QHV126" s="1"/>
      <c r="QHW126" s="1"/>
      <c r="QHX126" s="1"/>
      <c r="QHY126" s="1"/>
      <c r="QHZ126" s="1"/>
      <c r="QIA126" s="1"/>
      <c r="QIB126" s="1"/>
      <c r="QIC126" s="1"/>
      <c r="QID126" s="1"/>
      <c r="QIE126" s="1"/>
      <c r="QIF126" s="1"/>
      <c r="QIG126" s="1"/>
      <c r="QIH126" s="1"/>
      <c r="QII126" s="1"/>
      <c r="QIJ126" s="1"/>
      <c r="QIK126" s="1"/>
      <c r="QIL126" s="1"/>
      <c r="QIM126" s="1"/>
      <c r="QIN126" s="1"/>
      <c r="QIO126" s="1"/>
      <c r="QIP126" s="1"/>
      <c r="QIQ126" s="1"/>
      <c r="QIR126" s="1"/>
      <c r="QIS126" s="1"/>
      <c r="QIT126" s="1"/>
      <c r="QIU126" s="1"/>
      <c r="QIV126" s="1"/>
      <c r="QIW126" s="1"/>
      <c r="QIX126" s="1"/>
      <c r="QIY126" s="1"/>
      <c r="QIZ126" s="1"/>
      <c r="QJA126" s="1"/>
      <c r="QJB126" s="1"/>
      <c r="QJC126" s="1"/>
      <c r="QJD126" s="1"/>
      <c r="QJE126" s="1"/>
      <c r="QJF126" s="1"/>
      <c r="QJG126" s="1"/>
      <c r="QJH126" s="1"/>
      <c r="QJI126" s="1"/>
      <c r="QJJ126" s="1"/>
      <c r="QJK126" s="1"/>
      <c r="QJL126" s="1"/>
      <c r="QJM126" s="1"/>
      <c r="QJN126" s="1"/>
      <c r="QJO126" s="1"/>
      <c r="QJP126" s="1"/>
      <c r="QJQ126" s="1"/>
      <c r="QJR126" s="1"/>
      <c r="QJS126" s="1"/>
      <c r="QJT126" s="1"/>
      <c r="QJU126" s="1"/>
      <c r="QJV126" s="1"/>
      <c r="QJW126" s="1"/>
      <c r="QJX126" s="1"/>
      <c r="QJY126" s="1"/>
      <c r="QJZ126" s="1"/>
      <c r="QKA126" s="1"/>
      <c r="QKB126" s="1"/>
      <c r="QKC126" s="1"/>
      <c r="QKD126" s="1"/>
      <c r="QKE126" s="1"/>
      <c r="QKF126" s="1"/>
      <c r="QKG126" s="1"/>
      <c r="QKH126" s="1"/>
      <c r="QKI126" s="1"/>
      <c r="QKJ126" s="1"/>
      <c r="QKK126" s="1"/>
      <c r="QKL126" s="1"/>
      <c r="QKM126" s="1"/>
      <c r="QKN126" s="1"/>
      <c r="QKO126" s="1"/>
      <c r="QKP126" s="1"/>
      <c r="QKQ126" s="1"/>
      <c r="QKR126" s="1"/>
      <c r="QKS126" s="1"/>
      <c r="QKT126" s="1"/>
      <c r="QKU126" s="1"/>
      <c r="QKV126" s="1"/>
      <c r="QKW126" s="1"/>
      <c r="QKX126" s="1"/>
      <c r="QKY126" s="1"/>
      <c r="QKZ126" s="1"/>
      <c r="QLA126" s="1"/>
      <c r="QLB126" s="1"/>
      <c r="QLC126" s="1"/>
      <c r="QLD126" s="1"/>
      <c r="QLE126" s="1"/>
      <c r="QLF126" s="1"/>
      <c r="QLG126" s="1"/>
      <c r="QLH126" s="1"/>
      <c r="QLI126" s="1"/>
      <c r="QLJ126" s="1"/>
      <c r="QLK126" s="1"/>
      <c r="QLL126" s="1"/>
      <c r="QLM126" s="1"/>
      <c r="QLN126" s="1"/>
      <c r="QLO126" s="1"/>
      <c r="QLP126" s="1"/>
      <c r="QLQ126" s="1"/>
      <c r="QLR126" s="1"/>
      <c r="QLS126" s="1"/>
      <c r="QLT126" s="1"/>
      <c r="QLU126" s="1"/>
      <c r="QLV126" s="1"/>
      <c r="QLW126" s="1"/>
      <c r="QLX126" s="1"/>
      <c r="QLY126" s="1"/>
      <c r="QLZ126" s="1"/>
      <c r="QMA126" s="1"/>
      <c r="QMB126" s="1"/>
      <c r="QMC126" s="1"/>
      <c r="QMD126" s="1"/>
      <c r="QME126" s="1"/>
      <c r="QMF126" s="1"/>
      <c r="QMG126" s="1"/>
      <c r="QMH126" s="1"/>
      <c r="QMI126" s="1"/>
      <c r="QMJ126" s="1"/>
      <c r="QMK126" s="1"/>
      <c r="QML126" s="1"/>
      <c r="QMM126" s="1"/>
      <c r="QMN126" s="1"/>
      <c r="QMO126" s="1"/>
      <c r="QMP126" s="1"/>
      <c r="QMQ126" s="1"/>
      <c r="QMR126" s="1"/>
      <c r="QMS126" s="1"/>
      <c r="QMT126" s="1"/>
      <c r="QMU126" s="1"/>
      <c r="QMV126" s="1"/>
      <c r="QMW126" s="1"/>
      <c r="QMX126" s="1"/>
      <c r="QMY126" s="1"/>
      <c r="QMZ126" s="1"/>
      <c r="QNA126" s="1"/>
      <c r="QNB126" s="1"/>
      <c r="QNC126" s="1"/>
      <c r="QND126" s="1"/>
      <c r="QNE126" s="1"/>
      <c r="QNF126" s="1"/>
      <c r="QNG126" s="1"/>
      <c r="QNH126" s="1"/>
      <c r="QNI126" s="1"/>
      <c r="QNJ126" s="1"/>
      <c r="QNK126" s="1"/>
      <c r="QNL126" s="1"/>
      <c r="QNM126" s="1"/>
      <c r="QNN126" s="1"/>
      <c r="QNO126" s="1"/>
      <c r="QNP126" s="1"/>
      <c r="QNQ126" s="1"/>
      <c r="QNR126" s="1"/>
      <c r="QNS126" s="1"/>
      <c r="QNT126" s="1"/>
      <c r="QNU126" s="1"/>
      <c r="QNV126" s="1"/>
      <c r="QNW126" s="1"/>
      <c r="QNX126" s="1"/>
      <c r="QNY126" s="1"/>
      <c r="QNZ126" s="1"/>
      <c r="QOA126" s="1"/>
      <c r="QOB126" s="1"/>
      <c r="QOC126" s="1"/>
      <c r="QOD126" s="1"/>
      <c r="QOE126" s="1"/>
      <c r="QOF126" s="1"/>
      <c r="QOG126" s="1"/>
      <c r="QOH126" s="1"/>
      <c r="QOI126" s="1"/>
      <c r="QOJ126" s="1"/>
      <c r="QOK126" s="1"/>
      <c r="QOL126" s="1"/>
      <c r="QOM126" s="1"/>
      <c r="QON126" s="1"/>
      <c r="QOO126" s="1"/>
      <c r="QOP126" s="1"/>
      <c r="QOQ126" s="1"/>
      <c r="QOR126" s="1"/>
      <c r="QOS126" s="1"/>
      <c r="QOT126" s="1"/>
      <c r="QOU126" s="1"/>
      <c r="QOV126" s="1"/>
      <c r="QOW126" s="1"/>
      <c r="QOX126" s="1"/>
      <c r="QOY126" s="1"/>
      <c r="QOZ126" s="1"/>
      <c r="QPA126" s="1"/>
      <c r="QPB126" s="1"/>
      <c r="QPC126" s="1"/>
      <c r="QPD126" s="1"/>
      <c r="QPE126" s="1"/>
      <c r="QPF126" s="1"/>
      <c r="QPG126" s="1"/>
      <c r="QPH126" s="1"/>
      <c r="QPI126" s="1"/>
      <c r="QPJ126" s="1"/>
      <c r="QPK126" s="1"/>
      <c r="QPL126" s="1"/>
      <c r="QPM126" s="1"/>
      <c r="QPN126" s="1"/>
      <c r="QPO126" s="1"/>
      <c r="QPP126" s="1"/>
      <c r="QPQ126" s="1"/>
      <c r="QPR126" s="1"/>
      <c r="QPS126" s="1"/>
      <c r="QPT126" s="1"/>
      <c r="QPU126" s="1"/>
      <c r="QPV126" s="1"/>
      <c r="QPW126" s="1"/>
      <c r="QPX126" s="1"/>
      <c r="QPY126" s="1"/>
      <c r="QPZ126" s="1"/>
      <c r="QQA126" s="1"/>
      <c r="QQB126" s="1"/>
      <c r="QQC126" s="1"/>
      <c r="QQD126" s="1"/>
      <c r="QQE126" s="1"/>
      <c r="QQF126" s="1"/>
      <c r="QQG126" s="1"/>
      <c r="QQH126" s="1"/>
      <c r="QQI126" s="1"/>
      <c r="QQJ126" s="1"/>
      <c r="QQK126" s="1"/>
      <c r="QQL126" s="1"/>
      <c r="QQM126" s="1"/>
      <c r="QQN126" s="1"/>
      <c r="QQO126" s="1"/>
      <c r="QQP126" s="1"/>
      <c r="QQQ126" s="1"/>
      <c r="QQR126" s="1"/>
      <c r="QQS126" s="1"/>
      <c r="QQT126" s="1"/>
      <c r="QQU126" s="1"/>
      <c r="QQV126" s="1"/>
      <c r="QQW126" s="1"/>
      <c r="QQX126" s="1"/>
      <c r="QQY126" s="1"/>
      <c r="QQZ126" s="1"/>
      <c r="QRA126" s="1"/>
      <c r="QRB126" s="1"/>
      <c r="QRC126" s="1"/>
      <c r="QRD126" s="1"/>
      <c r="QRE126" s="1"/>
      <c r="QRF126" s="1"/>
      <c r="QRG126" s="1"/>
      <c r="QRH126" s="1"/>
      <c r="QRI126" s="1"/>
      <c r="QRJ126" s="1"/>
      <c r="QRK126" s="1"/>
      <c r="QRL126" s="1"/>
      <c r="QRM126" s="1"/>
      <c r="QRN126" s="1"/>
      <c r="QRO126" s="1"/>
      <c r="QRP126" s="1"/>
      <c r="QRQ126" s="1"/>
      <c r="QRR126" s="1"/>
      <c r="QRS126" s="1"/>
      <c r="QRT126" s="1"/>
      <c r="QRU126" s="1"/>
      <c r="QRV126" s="1"/>
      <c r="QRW126" s="1"/>
      <c r="QRX126" s="1"/>
      <c r="QRY126" s="1"/>
      <c r="QRZ126" s="1"/>
      <c r="QSA126" s="1"/>
      <c r="QSB126" s="1"/>
      <c r="QSC126" s="1"/>
      <c r="QSD126" s="1"/>
      <c r="QSE126" s="1"/>
      <c r="QSF126" s="1"/>
      <c r="QSG126" s="1"/>
      <c r="QSH126" s="1"/>
      <c r="QSI126" s="1"/>
      <c r="QSJ126" s="1"/>
      <c r="QSK126" s="1"/>
      <c r="QSL126" s="1"/>
      <c r="QSM126" s="1"/>
      <c r="QSN126" s="1"/>
      <c r="QSO126" s="1"/>
      <c r="QSP126" s="1"/>
      <c r="QSQ126" s="1"/>
      <c r="QSR126" s="1"/>
      <c r="QSS126" s="1"/>
      <c r="QST126" s="1"/>
      <c r="QSU126" s="1"/>
      <c r="QSV126" s="1"/>
      <c r="QSW126" s="1"/>
      <c r="QSX126" s="1"/>
      <c r="QSY126" s="1"/>
      <c r="QSZ126" s="1"/>
      <c r="QTA126" s="1"/>
      <c r="QTB126" s="1"/>
      <c r="QTC126" s="1"/>
      <c r="QTD126" s="1"/>
      <c r="QTE126" s="1"/>
      <c r="QTF126" s="1"/>
      <c r="QTG126" s="1"/>
      <c r="QTH126" s="1"/>
      <c r="QTI126" s="1"/>
      <c r="QTJ126" s="1"/>
      <c r="QTK126" s="1"/>
      <c r="QTL126" s="1"/>
      <c r="QTM126" s="1"/>
      <c r="QTN126" s="1"/>
      <c r="QTO126" s="1"/>
      <c r="QTP126" s="1"/>
      <c r="QTQ126" s="1"/>
      <c r="QTR126" s="1"/>
      <c r="QTS126" s="1"/>
      <c r="QTT126" s="1"/>
      <c r="QTU126" s="1"/>
      <c r="QTV126" s="1"/>
      <c r="QTW126" s="1"/>
      <c r="QTX126" s="1"/>
      <c r="QTY126" s="1"/>
      <c r="QTZ126" s="1"/>
      <c r="QUA126" s="1"/>
      <c r="QUB126" s="1"/>
      <c r="QUC126" s="1"/>
      <c r="QUD126" s="1"/>
      <c r="QUE126" s="1"/>
      <c r="QUF126" s="1"/>
      <c r="QUG126" s="1"/>
      <c r="QUH126" s="1"/>
      <c r="QUI126" s="1"/>
      <c r="QUJ126" s="1"/>
      <c r="QUK126" s="1"/>
      <c r="QUL126" s="1"/>
      <c r="QUM126" s="1"/>
      <c r="QUN126" s="1"/>
      <c r="QUO126" s="1"/>
      <c r="QUP126" s="1"/>
      <c r="QUQ126" s="1"/>
      <c r="QUR126" s="1"/>
      <c r="QUS126" s="1"/>
      <c r="QUT126" s="1"/>
      <c r="QUU126" s="1"/>
      <c r="QUV126" s="1"/>
      <c r="QUW126" s="1"/>
      <c r="QUX126" s="1"/>
      <c r="QUY126" s="1"/>
      <c r="QUZ126" s="1"/>
      <c r="QVA126" s="1"/>
      <c r="QVB126" s="1"/>
      <c r="QVC126" s="1"/>
      <c r="QVD126" s="1"/>
      <c r="QVE126" s="1"/>
      <c r="QVF126" s="1"/>
      <c r="QVG126" s="1"/>
      <c r="QVH126" s="1"/>
      <c r="QVI126" s="1"/>
      <c r="QVJ126" s="1"/>
      <c r="QVK126" s="1"/>
      <c r="QVL126" s="1"/>
      <c r="QVM126" s="1"/>
      <c r="QVN126" s="1"/>
      <c r="QVO126" s="1"/>
      <c r="QVP126" s="1"/>
      <c r="QVQ126" s="1"/>
      <c r="QVR126" s="1"/>
      <c r="QVS126" s="1"/>
      <c r="QVT126" s="1"/>
      <c r="QVU126" s="1"/>
      <c r="QVV126" s="1"/>
      <c r="QVW126" s="1"/>
      <c r="QVX126" s="1"/>
      <c r="QVY126" s="1"/>
      <c r="QVZ126" s="1"/>
      <c r="QWA126" s="1"/>
      <c r="QWB126" s="1"/>
      <c r="QWC126" s="1"/>
      <c r="QWD126" s="1"/>
      <c r="QWE126" s="1"/>
      <c r="QWF126" s="1"/>
      <c r="QWG126" s="1"/>
      <c r="QWH126" s="1"/>
      <c r="QWI126" s="1"/>
      <c r="QWJ126" s="1"/>
      <c r="QWK126" s="1"/>
      <c r="QWL126" s="1"/>
      <c r="QWM126" s="1"/>
      <c r="QWN126" s="1"/>
      <c r="QWO126" s="1"/>
      <c r="QWP126" s="1"/>
      <c r="QWQ126" s="1"/>
      <c r="QWR126" s="1"/>
      <c r="QWS126" s="1"/>
      <c r="QWT126" s="1"/>
      <c r="QWU126" s="1"/>
      <c r="QWV126" s="1"/>
      <c r="QWW126" s="1"/>
      <c r="QWX126" s="1"/>
      <c r="QWY126" s="1"/>
      <c r="QWZ126" s="1"/>
      <c r="QXA126" s="1"/>
      <c r="QXB126" s="1"/>
      <c r="QXC126" s="1"/>
      <c r="QXD126" s="1"/>
      <c r="QXE126" s="1"/>
      <c r="QXF126" s="1"/>
      <c r="QXG126" s="1"/>
      <c r="QXH126" s="1"/>
      <c r="QXI126" s="1"/>
      <c r="QXJ126" s="1"/>
      <c r="QXK126" s="1"/>
      <c r="QXL126" s="1"/>
      <c r="QXM126" s="1"/>
      <c r="QXN126" s="1"/>
      <c r="QXO126" s="1"/>
      <c r="QXP126" s="1"/>
      <c r="QXQ126" s="1"/>
      <c r="QXR126" s="1"/>
      <c r="QXS126" s="1"/>
      <c r="QXT126" s="1"/>
      <c r="QXU126" s="1"/>
      <c r="QXV126" s="1"/>
      <c r="QXW126" s="1"/>
      <c r="QXX126" s="1"/>
      <c r="QXY126" s="1"/>
      <c r="QXZ126" s="1"/>
      <c r="QYA126" s="1"/>
      <c r="QYB126" s="1"/>
      <c r="QYC126" s="1"/>
      <c r="QYD126" s="1"/>
      <c r="QYE126" s="1"/>
      <c r="QYF126" s="1"/>
      <c r="QYG126" s="1"/>
      <c r="QYH126" s="1"/>
      <c r="QYI126" s="1"/>
      <c r="QYJ126" s="1"/>
      <c r="QYK126" s="1"/>
      <c r="QYL126" s="1"/>
      <c r="QYM126" s="1"/>
      <c r="QYN126" s="1"/>
      <c r="QYO126" s="1"/>
      <c r="QYP126" s="1"/>
      <c r="QYQ126" s="1"/>
      <c r="QYR126" s="1"/>
      <c r="QYS126" s="1"/>
      <c r="QYT126" s="1"/>
      <c r="QYU126" s="1"/>
      <c r="QYV126" s="1"/>
      <c r="QYW126" s="1"/>
      <c r="QYX126" s="1"/>
      <c r="QYY126" s="1"/>
      <c r="QYZ126" s="1"/>
      <c r="QZA126" s="1"/>
      <c r="QZB126" s="1"/>
      <c r="QZC126" s="1"/>
      <c r="QZD126" s="1"/>
      <c r="QZE126" s="1"/>
      <c r="QZF126" s="1"/>
      <c r="QZG126" s="1"/>
      <c r="QZH126" s="1"/>
      <c r="QZI126" s="1"/>
      <c r="QZJ126" s="1"/>
      <c r="QZK126" s="1"/>
      <c r="QZL126" s="1"/>
      <c r="QZM126" s="1"/>
      <c r="QZN126" s="1"/>
      <c r="QZO126" s="1"/>
      <c r="QZP126" s="1"/>
      <c r="QZQ126" s="1"/>
      <c r="QZR126" s="1"/>
      <c r="QZS126" s="1"/>
      <c r="QZT126" s="1"/>
      <c r="QZU126" s="1"/>
      <c r="QZV126" s="1"/>
      <c r="QZW126" s="1"/>
      <c r="QZX126" s="1"/>
      <c r="QZY126" s="1"/>
      <c r="QZZ126" s="1"/>
      <c r="RAA126" s="1"/>
      <c r="RAB126" s="1"/>
      <c r="RAC126" s="1"/>
      <c r="RAD126" s="1"/>
      <c r="RAE126" s="1"/>
      <c r="RAF126" s="1"/>
      <c r="RAG126" s="1"/>
      <c r="RAH126" s="1"/>
      <c r="RAI126" s="1"/>
      <c r="RAJ126" s="1"/>
      <c r="RAK126" s="1"/>
      <c r="RAL126" s="1"/>
      <c r="RAM126" s="1"/>
      <c r="RAN126" s="1"/>
      <c r="RAO126" s="1"/>
      <c r="RAP126" s="1"/>
      <c r="RAQ126" s="1"/>
      <c r="RAR126" s="1"/>
      <c r="RAS126" s="1"/>
      <c r="RAT126" s="1"/>
      <c r="RAU126" s="1"/>
      <c r="RAV126" s="1"/>
      <c r="RAW126" s="1"/>
      <c r="RAX126" s="1"/>
      <c r="RAY126" s="1"/>
      <c r="RAZ126" s="1"/>
      <c r="RBA126" s="1"/>
      <c r="RBB126" s="1"/>
      <c r="RBC126" s="1"/>
      <c r="RBD126" s="1"/>
      <c r="RBE126" s="1"/>
      <c r="RBF126" s="1"/>
      <c r="RBG126" s="1"/>
      <c r="RBH126" s="1"/>
      <c r="RBI126" s="1"/>
      <c r="RBJ126" s="1"/>
      <c r="RBK126" s="1"/>
      <c r="RBL126" s="1"/>
      <c r="RBM126" s="1"/>
      <c r="RBN126" s="1"/>
      <c r="RBO126" s="1"/>
      <c r="RBP126" s="1"/>
      <c r="RBQ126" s="1"/>
      <c r="RBR126" s="1"/>
      <c r="RBS126" s="1"/>
      <c r="RBT126" s="1"/>
      <c r="RBU126" s="1"/>
      <c r="RBV126" s="1"/>
      <c r="RBW126" s="1"/>
      <c r="RBX126" s="1"/>
      <c r="RBY126" s="1"/>
      <c r="RBZ126" s="1"/>
      <c r="RCA126" s="1"/>
      <c r="RCB126" s="1"/>
      <c r="RCC126" s="1"/>
      <c r="RCD126" s="1"/>
      <c r="RCE126" s="1"/>
      <c r="RCF126" s="1"/>
      <c r="RCG126" s="1"/>
      <c r="RCH126" s="1"/>
      <c r="RCI126" s="1"/>
      <c r="RCJ126" s="1"/>
      <c r="RCK126" s="1"/>
      <c r="RCL126" s="1"/>
      <c r="RCM126" s="1"/>
      <c r="RCN126" s="1"/>
      <c r="RCO126" s="1"/>
      <c r="RCP126" s="1"/>
      <c r="RCQ126" s="1"/>
      <c r="RCR126" s="1"/>
      <c r="RCS126" s="1"/>
      <c r="RCT126" s="1"/>
      <c r="RCU126" s="1"/>
      <c r="RCV126" s="1"/>
      <c r="RCW126" s="1"/>
      <c r="RCX126" s="1"/>
      <c r="RCY126" s="1"/>
      <c r="RCZ126" s="1"/>
      <c r="RDA126" s="1"/>
      <c r="RDB126" s="1"/>
      <c r="RDC126" s="1"/>
      <c r="RDD126" s="1"/>
      <c r="RDE126" s="1"/>
      <c r="RDF126" s="1"/>
      <c r="RDG126" s="1"/>
      <c r="RDH126" s="1"/>
      <c r="RDI126" s="1"/>
      <c r="RDJ126" s="1"/>
      <c r="RDK126" s="1"/>
      <c r="RDL126" s="1"/>
      <c r="RDM126" s="1"/>
      <c r="RDN126" s="1"/>
      <c r="RDO126" s="1"/>
      <c r="RDP126" s="1"/>
      <c r="RDQ126" s="1"/>
      <c r="RDR126" s="1"/>
      <c r="RDS126" s="1"/>
      <c r="RDT126" s="1"/>
      <c r="RDU126" s="1"/>
      <c r="RDV126" s="1"/>
      <c r="RDW126" s="1"/>
      <c r="RDX126" s="1"/>
      <c r="RDY126" s="1"/>
      <c r="RDZ126" s="1"/>
      <c r="REA126" s="1"/>
      <c r="REB126" s="1"/>
      <c r="REC126" s="1"/>
      <c r="RED126" s="1"/>
      <c r="REE126" s="1"/>
      <c r="REF126" s="1"/>
      <c r="REG126" s="1"/>
      <c r="REH126" s="1"/>
      <c r="REI126" s="1"/>
      <c r="REJ126" s="1"/>
      <c r="REK126" s="1"/>
      <c r="REL126" s="1"/>
      <c r="REM126" s="1"/>
      <c r="REN126" s="1"/>
      <c r="REO126" s="1"/>
      <c r="REP126" s="1"/>
      <c r="REQ126" s="1"/>
      <c r="RER126" s="1"/>
      <c r="RES126" s="1"/>
      <c r="RET126" s="1"/>
      <c r="REU126" s="1"/>
      <c r="REV126" s="1"/>
      <c r="REW126" s="1"/>
      <c r="REX126" s="1"/>
      <c r="REY126" s="1"/>
      <c r="REZ126" s="1"/>
      <c r="RFA126" s="1"/>
      <c r="RFB126" s="1"/>
      <c r="RFC126" s="1"/>
      <c r="RFD126" s="1"/>
      <c r="RFE126" s="1"/>
      <c r="RFF126" s="1"/>
      <c r="RFG126" s="1"/>
      <c r="RFH126" s="1"/>
      <c r="RFI126" s="1"/>
      <c r="RFJ126" s="1"/>
      <c r="RFK126" s="1"/>
      <c r="RFL126" s="1"/>
      <c r="RFM126" s="1"/>
      <c r="RFN126" s="1"/>
      <c r="RFO126" s="1"/>
      <c r="RFP126" s="1"/>
      <c r="RFQ126" s="1"/>
      <c r="RFR126" s="1"/>
      <c r="RFS126" s="1"/>
      <c r="RFT126" s="1"/>
      <c r="RFU126" s="1"/>
      <c r="RFV126" s="1"/>
      <c r="RFW126" s="1"/>
      <c r="RFX126" s="1"/>
      <c r="RFY126" s="1"/>
      <c r="RFZ126" s="1"/>
      <c r="RGA126" s="1"/>
      <c r="RGB126" s="1"/>
      <c r="RGC126" s="1"/>
      <c r="RGD126" s="1"/>
      <c r="RGE126" s="1"/>
      <c r="RGF126" s="1"/>
      <c r="RGG126" s="1"/>
      <c r="RGH126" s="1"/>
      <c r="RGI126" s="1"/>
      <c r="RGJ126" s="1"/>
      <c r="RGK126" s="1"/>
      <c r="RGL126" s="1"/>
      <c r="RGM126" s="1"/>
      <c r="RGN126" s="1"/>
      <c r="RGO126" s="1"/>
      <c r="RGP126" s="1"/>
      <c r="RGQ126" s="1"/>
      <c r="RGR126" s="1"/>
      <c r="RGS126" s="1"/>
      <c r="RGT126" s="1"/>
      <c r="RGU126" s="1"/>
      <c r="RGV126" s="1"/>
      <c r="RGW126" s="1"/>
      <c r="RGX126" s="1"/>
      <c r="RGY126" s="1"/>
      <c r="RGZ126" s="1"/>
      <c r="RHA126" s="1"/>
      <c r="RHB126" s="1"/>
      <c r="RHC126" s="1"/>
      <c r="RHD126" s="1"/>
      <c r="RHE126" s="1"/>
      <c r="RHF126" s="1"/>
      <c r="RHG126" s="1"/>
      <c r="RHH126" s="1"/>
      <c r="RHI126" s="1"/>
      <c r="RHJ126" s="1"/>
      <c r="RHK126" s="1"/>
      <c r="RHL126" s="1"/>
      <c r="RHM126" s="1"/>
      <c r="RHN126" s="1"/>
      <c r="RHO126" s="1"/>
      <c r="RHP126" s="1"/>
      <c r="RHQ126" s="1"/>
      <c r="RHR126" s="1"/>
      <c r="RHS126" s="1"/>
      <c r="RHT126" s="1"/>
      <c r="RHU126" s="1"/>
      <c r="RHV126" s="1"/>
      <c r="RHW126" s="1"/>
      <c r="RHX126" s="1"/>
      <c r="RHY126" s="1"/>
      <c r="RHZ126" s="1"/>
      <c r="RIA126" s="1"/>
      <c r="RIB126" s="1"/>
      <c r="RIC126" s="1"/>
      <c r="RID126" s="1"/>
      <c r="RIE126" s="1"/>
      <c r="RIF126" s="1"/>
      <c r="RIG126" s="1"/>
      <c r="RIH126" s="1"/>
      <c r="RII126" s="1"/>
      <c r="RIJ126" s="1"/>
      <c r="RIK126" s="1"/>
      <c r="RIL126" s="1"/>
      <c r="RIM126" s="1"/>
      <c r="RIN126" s="1"/>
      <c r="RIO126" s="1"/>
      <c r="RIP126" s="1"/>
      <c r="RIQ126" s="1"/>
      <c r="RIR126" s="1"/>
      <c r="RIS126" s="1"/>
      <c r="RIT126" s="1"/>
      <c r="RIU126" s="1"/>
      <c r="RIV126" s="1"/>
      <c r="RIW126" s="1"/>
      <c r="RIX126" s="1"/>
      <c r="RIY126" s="1"/>
      <c r="RIZ126" s="1"/>
      <c r="RJA126" s="1"/>
      <c r="RJB126" s="1"/>
      <c r="RJC126" s="1"/>
      <c r="RJD126" s="1"/>
      <c r="RJE126" s="1"/>
      <c r="RJF126" s="1"/>
      <c r="RJG126" s="1"/>
      <c r="RJH126" s="1"/>
      <c r="RJI126" s="1"/>
      <c r="RJJ126" s="1"/>
      <c r="RJK126" s="1"/>
      <c r="RJL126" s="1"/>
      <c r="RJM126" s="1"/>
      <c r="RJN126" s="1"/>
      <c r="RJO126" s="1"/>
      <c r="RJP126" s="1"/>
      <c r="RJQ126" s="1"/>
      <c r="RJR126" s="1"/>
      <c r="RJS126" s="1"/>
      <c r="RJT126" s="1"/>
      <c r="RJU126" s="1"/>
      <c r="RJV126" s="1"/>
      <c r="RJW126" s="1"/>
      <c r="RJX126" s="1"/>
      <c r="RJY126" s="1"/>
      <c r="RJZ126" s="1"/>
      <c r="RKA126" s="1"/>
      <c r="RKB126" s="1"/>
      <c r="RKC126" s="1"/>
      <c r="RKD126" s="1"/>
      <c r="RKE126" s="1"/>
      <c r="RKF126" s="1"/>
      <c r="RKG126" s="1"/>
      <c r="RKH126" s="1"/>
      <c r="RKI126" s="1"/>
      <c r="RKJ126" s="1"/>
      <c r="RKK126" s="1"/>
      <c r="RKL126" s="1"/>
      <c r="RKM126" s="1"/>
      <c r="RKN126" s="1"/>
      <c r="RKO126" s="1"/>
      <c r="RKP126" s="1"/>
      <c r="RKQ126" s="1"/>
      <c r="RKR126" s="1"/>
      <c r="RKS126" s="1"/>
      <c r="RKT126" s="1"/>
      <c r="RKU126" s="1"/>
      <c r="RKV126" s="1"/>
      <c r="RKW126" s="1"/>
      <c r="RKX126" s="1"/>
      <c r="RKY126" s="1"/>
      <c r="RKZ126" s="1"/>
      <c r="RLA126" s="1"/>
      <c r="RLB126" s="1"/>
      <c r="RLC126" s="1"/>
      <c r="RLD126" s="1"/>
      <c r="RLE126" s="1"/>
      <c r="RLF126" s="1"/>
      <c r="RLG126" s="1"/>
      <c r="RLH126" s="1"/>
      <c r="RLI126" s="1"/>
      <c r="RLJ126" s="1"/>
      <c r="RLK126" s="1"/>
      <c r="RLL126" s="1"/>
      <c r="RLM126" s="1"/>
      <c r="RLN126" s="1"/>
      <c r="RLO126" s="1"/>
      <c r="RLP126" s="1"/>
      <c r="RLQ126" s="1"/>
      <c r="RLR126" s="1"/>
      <c r="RLS126" s="1"/>
      <c r="RLT126" s="1"/>
      <c r="RLU126" s="1"/>
      <c r="RLV126" s="1"/>
      <c r="RLW126" s="1"/>
      <c r="RLX126" s="1"/>
      <c r="RLY126" s="1"/>
      <c r="RLZ126" s="1"/>
      <c r="RMA126" s="1"/>
      <c r="RMB126" s="1"/>
      <c r="RMC126" s="1"/>
      <c r="RMD126" s="1"/>
      <c r="RME126" s="1"/>
      <c r="RMF126" s="1"/>
      <c r="RMG126" s="1"/>
      <c r="RMH126" s="1"/>
      <c r="RMI126" s="1"/>
      <c r="RMJ126" s="1"/>
      <c r="RMK126" s="1"/>
      <c r="RML126" s="1"/>
      <c r="RMM126" s="1"/>
      <c r="RMN126" s="1"/>
      <c r="RMO126" s="1"/>
      <c r="RMP126" s="1"/>
      <c r="RMQ126" s="1"/>
      <c r="RMR126" s="1"/>
      <c r="RMS126" s="1"/>
      <c r="RMT126" s="1"/>
      <c r="RMU126" s="1"/>
      <c r="RMV126" s="1"/>
      <c r="RMW126" s="1"/>
      <c r="RMX126" s="1"/>
      <c r="RMY126" s="1"/>
      <c r="RMZ126" s="1"/>
      <c r="RNA126" s="1"/>
      <c r="RNB126" s="1"/>
      <c r="RNC126" s="1"/>
      <c r="RND126" s="1"/>
      <c r="RNE126" s="1"/>
      <c r="RNF126" s="1"/>
      <c r="RNG126" s="1"/>
      <c r="RNH126" s="1"/>
      <c r="RNI126" s="1"/>
      <c r="RNJ126" s="1"/>
      <c r="RNK126" s="1"/>
      <c r="RNL126" s="1"/>
      <c r="RNM126" s="1"/>
      <c r="RNN126" s="1"/>
      <c r="RNO126" s="1"/>
      <c r="RNP126" s="1"/>
      <c r="RNQ126" s="1"/>
      <c r="RNR126" s="1"/>
      <c r="RNS126" s="1"/>
      <c r="RNT126" s="1"/>
      <c r="RNU126" s="1"/>
      <c r="RNV126" s="1"/>
      <c r="RNW126" s="1"/>
      <c r="RNX126" s="1"/>
      <c r="RNY126" s="1"/>
      <c r="RNZ126" s="1"/>
      <c r="ROA126" s="1"/>
      <c r="ROB126" s="1"/>
      <c r="ROC126" s="1"/>
      <c r="ROD126" s="1"/>
      <c r="ROE126" s="1"/>
      <c r="ROF126" s="1"/>
      <c r="ROG126" s="1"/>
      <c r="ROH126" s="1"/>
      <c r="ROI126" s="1"/>
      <c r="ROJ126" s="1"/>
      <c r="ROK126" s="1"/>
      <c r="ROL126" s="1"/>
      <c r="ROM126" s="1"/>
      <c r="RON126" s="1"/>
      <c r="ROO126" s="1"/>
      <c r="ROP126" s="1"/>
      <c r="ROQ126" s="1"/>
      <c r="ROR126" s="1"/>
      <c r="ROS126" s="1"/>
      <c r="ROT126" s="1"/>
      <c r="ROU126" s="1"/>
      <c r="ROV126" s="1"/>
      <c r="ROW126" s="1"/>
      <c r="ROX126" s="1"/>
      <c r="ROY126" s="1"/>
      <c r="ROZ126" s="1"/>
      <c r="RPA126" s="1"/>
      <c r="RPB126" s="1"/>
      <c r="RPC126" s="1"/>
      <c r="RPD126" s="1"/>
      <c r="RPE126" s="1"/>
      <c r="RPF126" s="1"/>
      <c r="RPG126" s="1"/>
      <c r="RPH126" s="1"/>
      <c r="RPI126" s="1"/>
      <c r="RPJ126" s="1"/>
      <c r="RPK126" s="1"/>
      <c r="RPL126" s="1"/>
      <c r="RPM126" s="1"/>
      <c r="RPN126" s="1"/>
      <c r="RPO126" s="1"/>
      <c r="RPP126" s="1"/>
      <c r="RPQ126" s="1"/>
      <c r="RPR126" s="1"/>
      <c r="RPS126" s="1"/>
      <c r="RPT126" s="1"/>
      <c r="RPU126" s="1"/>
      <c r="RPV126" s="1"/>
      <c r="RPW126" s="1"/>
      <c r="RPX126" s="1"/>
      <c r="RPY126" s="1"/>
      <c r="RPZ126" s="1"/>
      <c r="RQA126" s="1"/>
      <c r="RQB126" s="1"/>
      <c r="RQC126" s="1"/>
      <c r="RQD126" s="1"/>
      <c r="RQE126" s="1"/>
      <c r="RQF126" s="1"/>
      <c r="RQG126" s="1"/>
      <c r="RQH126" s="1"/>
      <c r="RQI126" s="1"/>
      <c r="RQJ126" s="1"/>
      <c r="RQK126" s="1"/>
      <c r="RQL126" s="1"/>
      <c r="RQM126" s="1"/>
      <c r="RQN126" s="1"/>
      <c r="RQO126" s="1"/>
      <c r="RQP126" s="1"/>
      <c r="RQQ126" s="1"/>
      <c r="RQR126" s="1"/>
      <c r="RQS126" s="1"/>
      <c r="RQT126" s="1"/>
      <c r="RQU126" s="1"/>
      <c r="RQV126" s="1"/>
      <c r="RQW126" s="1"/>
      <c r="RQX126" s="1"/>
      <c r="RQY126" s="1"/>
      <c r="RQZ126" s="1"/>
      <c r="RRA126" s="1"/>
      <c r="RRB126" s="1"/>
      <c r="RRC126" s="1"/>
      <c r="RRD126" s="1"/>
      <c r="RRE126" s="1"/>
      <c r="RRF126" s="1"/>
      <c r="RRG126" s="1"/>
      <c r="RRH126" s="1"/>
      <c r="RRI126" s="1"/>
      <c r="RRJ126" s="1"/>
      <c r="RRK126" s="1"/>
      <c r="RRL126" s="1"/>
      <c r="RRM126" s="1"/>
      <c r="RRN126" s="1"/>
      <c r="RRO126" s="1"/>
      <c r="RRP126" s="1"/>
      <c r="RRQ126" s="1"/>
      <c r="RRR126" s="1"/>
      <c r="RRS126" s="1"/>
      <c r="RRT126" s="1"/>
      <c r="RRU126" s="1"/>
      <c r="RRV126" s="1"/>
      <c r="RRW126" s="1"/>
      <c r="RRX126" s="1"/>
      <c r="RRY126" s="1"/>
      <c r="RRZ126" s="1"/>
      <c r="RSA126" s="1"/>
      <c r="RSB126" s="1"/>
      <c r="RSC126" s="1"/>
      <c r="RSD126" s="1"/>
      <c r="RSE126" s="1"/>
      <c r="RSF126" s="1"/>
      <c r="RSG126" s="1"/>
      <c r="RSH126" s="1"/>
      <c r="RSI126" s="1"/>
      <c r="RSJ126" s="1"/>
      <c r="RSK126" s="1"/>
      <c r="RSL126" s="1"/>
      <c r="RSM126" s="1"/>
      <c r="RSN126" s="1"/>
      <c r="RSO126" s="1"/>
      <c r="RSP126" s="1"/>
      <c r="RSQ126" s="1"/>
      <c r="RSR126" s="1"/>
      <c r="RSS126" s="1"/>
      <c r="RST126" s="1"/>
      <c r="RSU126" s="1"/>
      <c r="RSV126" s="1"/>
      <c r="RSW126" s="1"/>
      <c r="RSX126" s="1"/>
      <c r="RSY126" s="1"/>
      <c r="RSZ126" s="1"/>
      <c r="RTA126" s="1"/>
      <c r="RTB126" s="1"/>
      <c r="RTC126" s="1"/>
      <c r="RTD126" s="1"/>
      <c r="RTE126" s="1"/>
      <c r="RTF126" s="1"/>
      <c r="RTG126" s="1"/>
      <c r="RTH126" s="1"/>
      <c r="RTI126" s="1"/>
      <c r="RTJ126" s="1"/>
      <c r="RTK126" s="1"/>
      <c r="RTL126" s="1"/>
      <c r="RTM126" s="1"/>
      <c r="RTN126" s="1"/>
      <c r="RTO126" s="1"/>
      <c r="RTP126" s="1"/>
      <c r="RTQ126" s="1"/>
      <c r="RTR126" s="1"/>
      <c r="RTS126" s="1"/>
      <c r="RTT126" s="1"/>
      <c r="RTU126" s="1"/>
      <c r="RTV126" s="1"/>
      <c r="RTW126" s="1"/>
      <c r="RTX126" s="1"/>
      <c r="RTY126" s="1"/>
      <c r="RTZ126" s="1"/>
      <c r="RUA126" s="1"/>
      <c r="RUB126" s="1"/>
      <c r="RUC126" s="1"/>
      <c r="RUD126" s="1"/>
      <c r="RUE126" s="1"/>
      <c r="RUF126" s="1"/>
      <c r="RUG126" s="1"/>
      <c r="RUH126" s="1"/>
      <c r="RUI126" s="1"/>
      <c r="RUJ126" s="1"/>
      <c r="RUK126" s="1"/>
      <c r="RUL126" s="1"/>
      <c r="RUM126" s="1"/>
      <c r="RUN126" s="1"/>
      <c r="RUO126" s="1"/>
      <c r="RUP126" s="1"/>
      <c r="RUQ126" s="1"/>
      <c r="RUR126" s="1"/>
      <c r="RUS126" s="1"/>
      <c r="RUT126" s="1"/>
      <c r="RUU126" s="1"/>
      <c r="RUV126" s="1"/>
      <c r="RUW126" s="1"/>
      <c r="RUX126" s="1"/>
      <c r="RUY126" s="1"/>
      <c r="RUZ126" s="1"/>
      <c r="RVA126" s="1"/>
      <c r="RVB126" s="1"/>
      <c r="RVC126" s="1"/>
      <c r="RVD126" s="1"/>
      <c r="RVE126" s="1"/>
      <c r="RVF126" s="1"/>
      <c r="RVG126" s="1"/>
      <c r="RVH126" s="1"/>
      <c r="RVI126" s="1"/>
      <c r="RVJ126" s="1"/>
      <c r="RVK126" s="1"/>
      <c r="RVL126" s="1"/>
      <c r="RVM126" s="1"/>
      <c r="RVN126" s="1"/>
      <c r="RVO126" s="1"/>
      <c r="RVP126" s="1"/>
      <c r="RVQ126" s="1"/>
      <c r="RVR126" s="1"/>
      <c r="RVS126" s="1"/>
      <c r="RVT126" s="1"/>
      <c r="RVU126" s="1"/>
      <c r="RVV126" s="1"/>
      <c r="RVW126" s="1"/>
      <c r="RVX126" s="1"/>
      <c r="RVY126" s="1"/>
      <c r="RVZ126" s="1"/>
      <c r="RWA126" s="1"/>
      <c r="RWB126" s="1"/>
      <c r="RWC126" s="1"/>
      <c r="RWD126" s="1"/>
      <c r="RWE126" s="1"/>
      <c r="RWF126" s="1"/>
      <c r="RWG126" s="1"/>
      <c r="RWH126" s="1"/>
      <c r="RWI126" s="1"/>
      <c r="RWJ126" s="1"/>
      <c r="RWK126" s="1"/>
      <c r="RWL126" s="1"/>
      <c r="RWM126" s="1"/>
      <c r="RWN126" s="1"/>
      <c r="RWO126" s="1"/>
      <c r="RWP126" s="1"/>
      <c r="RWQ126" s="1"/>
      <c r="RWR126" s="1"/>
      <c r="RWS126" s="1"/>
      <c r="RWT126" s="1"/>
      <c r="RWU126" s="1"/>
      <c r="RWV126" s="1"/>
      <c r="RWW126" s="1"/>
      <c r="RWX126" s="1"/>
      <c r="RWY126" s="1"/>
      <c r="RWZ126" s="1"/>
      <c r="RXA126" s="1"/>
      <c r="RXB126" s="1"/>
      <c r="RXC126" s="1"/>
      <c r="RXD126" s="1"/>
      <c r="RXE126" s="1"/>
      <c r="RXF126" s="1"/>
      <c r="RXG126" s="1"/>
      <c r="RXH126" s="1"/>
      <c r="RXI126" s="1"/>
      <c r="RXJ126" s="1"/>
      <c r="RXK126" s="1"/>
      <c r="RXL126" s="1"/>
      <c r="RXM126" s="1"/>
      <c r="RXN126" s="1"/>
      <c r="RXO126" s="1"/>
      <c r="RXP126" s="1"/>
      <c r="RXQ126" s="1"/>
      <c r="RXR126" s="1"/>
      <c r="RXS126" s="1"/>
      <c r="RXT126" s="1"/>
      <c r="RXU126" s="1"/>
      <c r="RXV126" s="1"/>
      <c r="RXW126" s="1"/>
      <c r="RXX126" s="1"/>
      <c r="RXY126" s="1"/>
      <c r="RXZ126" s="1"/>
      <c r="RYA126" s="1"/>
      <c r="RYB126" s="1"/>
      <c r="RYC126" s="1"/>
      <c r="RYD126" s="1"/>
      <c r="RYE126" s="1"/>
      <c r="RYF126" s="1"/>
      <c r="RYG126" s="1"/>
      <c r="RYH126" s="1"/>
      <c r="RYI126" s="1"/>
      <c r="RYJ126" s="1"/>
      <c r="RYK126" s="1"/>
      <c r="RYL126" s="1"/>
      <c r="RYM126" s="1"/>
      <c r="RYN126" s="1"/>
      <c r="RYO126" s="1"/>
      <c r="RYP126" s="1"/>
      <c r="RYQ126" s="1"/>
      <c r="RYR126" s="1"/>
      <c r="RYS126" s="1"/>
      <c r="RYT126" s="1"/>
      <c r="RYU126" s="1"/>
      <c r="RYV126" s="1"/>
      <c r="RYW126" s="1"/>
      <c r="RYX126" s="1"/>
      <c r="RYY126" s="1"/>
      <c r="RYZ126" s="1"/>
      <c r="RZA126" s="1"/>
      <c r="RZB126" s="1"/>
      <c r="RZC126" s="1"/>
      <c r="RZD126" s="1"/>
      <c r="RZE126" s="1"/>
      <c r="RZF126" s="1"/>
      <c r="RZG126" s="1"/>
      <c r="RZH126" s="1"/>
      <c r="RZI126" s="1"/>
      <c r="RZJ126" s="1"/>
      <c r="RZK126" s="1"/>
      <c r="RZL126" s="1"/>
      <c r="RZM126" s="1"/>
      <c r="RZN126" s="1"/>
      <c r="RZO126" s="1"/>
      <c r="RZP126" s="1"/>
      <c r="RZQ126" s="1"/>
      <c r="RZR126" s="1"/>
      <c r="RZS126" s="1"/>
      <c r="RZT126" s="1"/>
      <c r="RZU126" s="1"/>
      <c r="RZV126" s="1"/>
      <c r="RZW126" s="1"/>
      <c r="RZX126" s="1"/>
      <c r="RZY126" s="1"/>
      <c r="RZZ126" s="1"/>
      <c r="SAA126" s="1"/>
      <c r="SAB126" s="1"/>
      <c r="SAC126" s="1"/>
      <c r="SAD126" s="1"/>
      <c r="SAE126" s="1"/>
      <c r="SAF126" s="1"/>
      <c r="SAG126" s="1"/>
      <c r="SAH126" s="1"/>
      <c r="SAI126" s="1"/>
      <c r="SAJ126" s="1"/>
      <c r="SAK126" s="1"/>
      <c r="SAL126" s="1"/>
      <c r="SAM126" s="1"/>
      <c r="SAN126" s="1"/>
      <c r="SAO126" s="1"/>
      <c r="SAP126" s="1"/>
      <c r="SAQ126" s="1"/>
      <c r="SAR126" s="1"/>
      <c r="SAS126" s="1"/>
      <c r="SAT126" s="1"/>
      <c r="SAU126" s="1"/>
      <c r="SAV126" s="1"/>
      <c r="SAW126" s="1"/>
      <c r="SAX126" s="1"/>
      <c r="SAY126" s="1"/>
      <c r="SAZ126" s="1"/>
      <c r="SBA126" s="1"/>
      <c r="SBB126" s="1"/>
      <c r="SBC126" s="1"/>
      <c r="SBD126" s="1"/>
      <c r="SBE126" s="1"/>
      <c r="SBF126" s="1"/>
      <c r="SBG126" s="1"/>
      <c r="SBH126" s="1"/>
      <c r="SBI126" s="1"/>
      <c r="SBJ126" s="1"/>
      <c r="SBK126" s="1"/>
      <c r="SBL126" s="1"/>
      <c r="SBM126" s="1"/>
      <c r="SBN126" s="1"/>
      <c r="SBO126" s="1"/>
      <c r="SBP126" s="1"/>
      <c r="SBQ126" s="1"/>
      <c r="SBR126" s="1"/>
      <c r="SBS126" s="1"/>
      <c r="SBT126" s="1"/>
      <c r="SBU126" s="1"/>
      <c r="SBV126" s="1"/>
      <c r="SBW126" s="1"/>
      <c r="SBX126" s="1"/>
      <c r="SBY126" s="1"/>
      <c r="SBZ126" s="1"/>
      <c r="SCA126" s="1"/>
      <c r="SCB126" s="1"/>
      <c r="SCC126" s="1"/>
      <c r="SCD126" s="1"/>
      <c r="SCE126" s="1"/>
      <c r="SCF126" s="1"/>
      <c r="SCG126" s="1"/>
      <c r="SCH126" s="1"/>
      <c r="SCI126" s="1"/>
      <c r="SCJ126" s="1"/>
      <c r="SCK126" s="1"/>
      <c r="SCL126" s="1"/>
      <c r="SCM126" s="1"/>
      <c r="SCN126" s="1"/>
      <c r="SCO126" s="1"/>
      <c r="SCP126" s="1"/>
      <c r="SCQ126" s="1"/>
      <c r="SCR126" s="1"/>
      <c r="SCS126" s="1"/>
      <c r="SCT126" s="1"/>
      <c r="SCU126" s="1"/>
      <c r="SCV126" s="1"/>
      <c r="SCW126" s="1"/>
      <c r="SCX126" s="1"/>
      <c r="SCY126" s="1"/>
      <c r="SCZ126" s="1"/>
      <c r="SDA126" s="1"/>
      <c r="SDB126" s="1"/>
      <c r="SDC126" s="1"/>
      <c r="SDD126" s="1"/>
      <c r="SDE126" s="1"/>
      <c r="SDF126" s="1"/>
      <c r="SDG126" s="1"/>
      <c r="SDH126" s="1"/>
      <c r="SDI126" s="1"/>
      <c r="SDJ126" s="1"/>
      <c r="SDK126" s="1"/>
      <c r="SDL126" s="1"/>
      <c r="SDM126" s="1"/>
      <c r="SDN126" s="1"/>
      <c r="SDO126" s="1"/>
      <c r="SDP126" s="1"/>
      <c r="SDQ126" s="1"/>
      <c r="SDR126" s="1"/>
      <c r="SDS126" s="1"/>
      <c r="SDT126" s="1"/>
      <c r="SDU126" s="1"/>
      <c r="SDV126" s="1"/>
      <c r="SDW126" s="1"/>
      <c r="SDX126" s="1"/>
      <c r="SDY126" s="1"/>
      <c r="SDZ126" s="1"/>
      <c r="SEA126" s="1"/>
      <c r="SEB126" s="1"/>
      <c r="SEC126" s="1"/>
      <c r="SED126" s="1"/>
      <c r="SEE126" s="1"/>
      <c r="SEF126" s="1"/>
      <c r="SEG126" s="1"/>
      <c r="SEH126" s="1"/>
      <c r="SEI126" s="1"/>
      <c r="SEJ126" s="1"/>
      <c r="SEK126" s="1"/>
      <c r="SEL126" s="1"/>
      <c r="SEM126" s="1"/>
      <c r="SEN126" s="1"/>
      <c r="SEO126" s="1"/>
      <c r="SEP126" s="1"/>
      <c r="SEQ126" s="1"/>
      <c r="SER126" s="1"/>
      <c r="SES126" s="1"/>
      <c r="SET126" s="1"/>
      <c r="SEU126" s="1"/>
      <c r="SEV126" s="1"/>
      <c r="SEW126" s="1"/>
      <c r="SEX126" s="1"/>
      <c r="SEY126" s="1"/>
      <c r="SEZ126" s="1"/>
      <c r="SFA126" s="1"/>
      <c r="SFB126" s="1"/>
      <c r="SFC126" s="1"/>
      <c r="SFD126" s="1"/>
      <c r="SFE126" s="1"/>
      <c r="SFF126" s="1"/>
      <c r="SFG126" s="1"/>
      <c r="SFH126" s="1"/>
      <c r="SFI126" s="1"/>
      <c r="SFJ126" s="1"/>
      <c r="SFK126" s="1"/>
      <c r="SFL126" s="1"/>
      <c r="SFM126" s="1"/>
      <c r="SFN126" s="1"/>
      <c r="SFO126" s="1"/>
      <c r="SFP126" s="1"/>
      <c r="SFQ126" s="1"/>
      <c r="SFR126" s="1"/>
      <c r="SFS126" s="1"/>
      <c r="SFT126" s="1"/>
      <c r="SFU126" s="1"/>
      <c r="SFV126" s="1"/>
      <c r="SFW126" s="1"/>
      <c r="SFX126" s="1"/>
      <c r="SFY126" s="1"/>
      <c r="SFZ126" s="1"/>
      <c r="SGA126" s="1"/>
      <c r="SGB126" s="1"/>
      <c r="SGC126" s="1"/>
      <c r="SGD126" s="1"/>
      <c r="SGE126" s="1"/>
      <c r="SGF126" s="1"/>
      <c r="SGG126" s="1"/>
      <c r="SGH126" s="1"/>
      <c r="SGI126" s="1"/>
      <c r="SGJ126" s="1"/>
      <c r="SGK126" s="1"/>
      <c r="SGL126" s="1"/>
      <c r="SGM126" s="1"/>
      <c r="SGN126" s="1"/>
      <c r="SGO126" s="1"/>
      <c r="SGP126" s="1"/>
      <c r="SGQ126" s="1"/>
      <c r="SGR126" s="1"/>
      <c r="SGS126" s="1"/>
      <c r="SGT126" s="1"/>
      <c r="SGU126" s="1"/>
      <c r="SGV126" s="1"/>
      <c r="SGW126" s="1"/>
      <c r="SGX126" s="1"/>
      <c r="SGY126" s="1"/>
      <c r="SGZ126" s="1"/>
      <c r="SHA126" s="1"/>
      <c r="SHB126" s="1"/>
      <c r="SHC126" s="1"/>
      <c r="SHD126" s="1"/>
      <c r="SHE126" s="1"/>
      <c r="SHF126" s="1"/>
      <c r="SHG126" s="1"/>
      <c r="SHH126" s="1"/>
      <c r="SHI126" s="1"/>
      <c r="SHJ126" s="1"/>
      <c r="SHK126" s="1"/>
      <c r="SHL126" s="1"/>
      <c r="SHM126" s="1"/>
      <c r="SHN126" s="1"/>
      <c r="SHO126" s="1"/>
      <c r="SHP126" s="1"/>
      <c r="SHQ126" s="1"/>
      <c r="SHR126" s="1"/>
      <c r="SHS126" s="1"/>
      <c r="SHT126" s="1"/>
      <c r="SHU126" s="1"/>
      <c r="SHV126" s="1"/>
      <c r="SHW126" s="1"/>
      <c r="SHX126" s="1"/>
      <c r="SHY126" s="1"/>
      <c r="SHZ126" s="1"/>
      <c r="SIA126" s="1"/>
      <c r="SIB126" s="1"/>
      <c r="SIC126" s="1"/>
      <c r="SID126" s="1"/>
      <c r="SIE126" s="1"/>
      <c r="SIF126" s="1"/>
      <c r="SIG126" s="1"/>
      <c r="SIH126" s="1"/>
      <c r="SII126" s="1"/>
      <c r="SIJ126" s="1"/>
      <c r="SIK126" s="1"/>
      <c r="SIL126" s="1"/>
      <c r="SIM126" s="1"/>
      <c r="SIN126" s="1"/>
      <c r="SIO126" s="1"/>
      <c r="SIP126" s="1"/>
      <c r="SIQ126" s="1"/>
      <c r="SIR126" s="1"/>
      <c r="SIS126" s="1"/>
      <c r="SIT126" s="1"/>
      <c r="SIU126" s="1"/>
      <c r="SIV126" s="1"/>
      <c r="SIW126" s="1"/>
      <c r="SIX126" s="1"/>
      <c r="SIY126" s="1"/>
      <c r="SIZ126" s="1"/>
      <c r="SJA126" s="1"/>
      <c r="SJB126" s="1"/>
      <c r="SJC126" s="1"/>
      <c r="SJD126" s="1"/>
      <c r="SJE126" s="1"/>
      <c r="SJF126" s="1"/>
      <c r="SJG126" s="1"/>
      <c r="SJH126" s="1"/>
      <c r="SJI126" s="1"/>
      <c r="SJJ126" s="1"/>
      <c r="SJK126" s="1"/>
      <c r="SJL126" s="1"/>
      <c r="SJM126" s="1"/>
      <c r="SJN126" s="1"/>
      <c r="SJO126" s="1"/>
      <c r="SJP126" s="1"/>
      <c r="SJQ126" s="1"/>
      <c r="SJR126" s="1"/>
      <c r="SJS126" s="1"/>
      <c r="SJT126" s="1"/>
      <c r="SJU126" s="1"/>
      <c r="SJV126" s="1"/>
      <c r="SJW126" s="1"/>
      <c r="SJX126" s="1"/>
      <c r="SJY126" s="1"/>
      <c r="SJZ126" s="1"/>
      <c r="SKA126" s="1"/>
      <c r="SKB126" s="1"/>
      <c r="SKC126" s="1"/>
      <c r="SKD126" s="1"/>
      <c r="SKE126" s="1"/>
      <c r="SKF126" s="1"/>
      <c r="SKG126" s="1"/>
      <c r="SKH126" s="1"/>
      <c r="SKI126" s="1"/>
      <c r="SKJ126" s="1"/>
      <c r="SKK126" s="1"/>
      <c r="SKL126" s="1"/>
      <c r="SKM126" s="1"/>
      <c r="SKN126" s="1"/>
      <c r="SKO126" s="1"/>
      <c r="SKP126" s="1"/>
      <c r="SKQ126" s="1"/>
      <c r="SKR126" s="1"/>
      <c r="SKS126" s="1"/>
      <c r="SKT126" s="1"/>
      <c r="SKU126" s="1"/>
      <c r="SKV126" s="1"/>
      <c r="SKW126" s="1"/>
      <c r="SKX126" s="1"/>
      <c r="SKY126" s="1"/>
      <c r="SKZ126" s="1"/>
      <c r="SLA126" s="1"/>
      <c r="SLB126" s="1"/>
      <c r="SLC126" s="1"/>
      <c r="SLD126" s="1"/>
      <c r="SLE126" s="1"/>
      <c r="SLF126" s="1"/>
      <c r="SLG126" s="1"/>
      <c r="SLH126" s="1"/>
      <c r="SLI126" s="1"/>
      <c r="SLJ126" s="1"/>
      <c r="SLK126" s="1"/>
      <c r="SLL126" s="1"/>
      <c r="SLM126" s="1"/>
      <c r="SLN126" s="1"/>
      <c r="SLO126" s="1"/>
      <c r="SLP126" s="1"/>
      <c r="SLQ126" s="1"/>
      <c r="SLR126" s="1"/>
      <c r="SLS126" s="1"/>
      <c r="SLT126" s="1"/>
      <c r="SLU126" s="1"/>
      <c r="SLV126" s="1"/>
      <c r="SLW126" s="1"/>
      <c r="SLX126" s="1"/>
      <c r="SLY126" s="1"/>
      <c r="SLZ126" s="1"/>
      <c r="SMA126" s="1"/>
      <c r="SMB126" s="1"/>
      <c r="SMC126" s="1"/>
      <c r="SMD126" s="1"/>
      <c r="SME126" s="1"/>
      <c r="SMF126" s="1"/>
      <c r="SMG126" s="1"/>
      <c r="SMH126" s="1"/>
      <c r="SMI126" s="1"/>
      <c r="SMJ126" s="1"/>
      <c r="SMK126" s="1"/>
      <c r="SML126" s="1"/>
      <c r="SMM126" s="1"/>
      <c r="SMN126" s="1"/>
      <c r="SMO126" s="1"/>
      <c r="SMP126" s="1"/>
      <c r="SMQ126" s="1"/>
      <c r="SMR126" s="1"/>
      <c r="SMS126" s="1"/>
      <c r="SMT126" s="1"/>
      <c r="SMU126" s="1"/>
      <c r="SMV126" s="1"/>
      <c r="SMW126" s="1"/>
      <c r="SMX126" s="1"/>
      <c r="SMY126" s="1"/>
      <c r="SMZ126" s="1"/>
      <c r="SNA126" s="1"/>
      <c r="SNB126" s="1"/>
      <c r="SNC126" s="1"/>
      <c r="SND126" s="1"/>
      <c r="SNE126" s="1"/>
      <c r="SNF126" s="1"/>
      <c r="SNG126" s="1"/>
      <c r="SNH126" s="1"/>
      <c r="SNI126" s="1"/>
      <c r="SNJ126" s="1"/>
      <c r="SNK126" s="1"/>
      <c r="SNL126" s="1"/>
      <c r="SNM126" s="1"/>
      <c r="SNN126" s="1"/>
      <c r="SNO126" s="1"/>
      <c r="SNP126" s="1"/>
      <c r="SNQ126" s="1"/>
      <c r="SNR126" s="1"/>
      <c r="SNS126" s="1"/>
      <c r="SNT126" s="1"/>
      <c r="SNU126" s="1"/>
      <c r="SNV126" s="1"/>
      <c r="SNW126" s="1"/>
      <c r="SNX126" s="1"/>
      <c r="SNY126" s="1"/>
      <c r="SNZ126" s="1"/>
      <c r="SOA126" s="1"/>
      <c r="SOB126" s="1"/>
      <c r="SOC126" s="1"/>
      <c r="SOD126" s="1"/>
      <c r="SOE126" s="1"/>
      <c r="SOF126" s="1"/>
      <c r="SOG126" s="1"/>
      <c r="SOH126" s="1"/>
      <c r="SOI126" s="1"/>
      <c r="SOJ126" s="1"/>
      <c r="SOK126" s="1"/>
      <c r="SOL126" s="1"/>
      <c r="SOM126" s="1"/>
      <c r="SON126" s="1"/>
      <c r="SOO126" s="1"/>
      <c r="SOP126" s="1"/>
      <c r="SOQ126" s="1"/>
      <c r="SOR126" s="1"/>
      <c r="SOS126" s="1"/>
      <c r="SOT126" s="1"/>
      <c r="SOU126" s="1"/>
      <c r="SOV126" s="1"/>
      <c r="SOW126" s="1"/>
      <c r="SOX126" s="1"/>
      <c r="SOY126" s="1"/>
      <c r="SOZ126" s="1"/>
      <c r="SPA126" s="1"/>
      <c r="SPB126" s="1"/>
      <c r="SPC126" s="1"/>
      <c r="SPD126" s="1"/>
      <c r="SPE126" s="1"/>
      <c r="SPF126" s="1"/>
      <c r="SPG126" s="1"/>
      <c r="SPH126" s="1"/>
      <c r="SPI126" s="1"/>
      <c r="SPJ126" s="1"/>
      <c r="SPK126" s="1"/>
      <c r="SPL126" s="1"/>
      <c r="SPM126" s="1"/>
      <c r="SPN126" s="1"/>
      <c r="SPO126" s="1"/>
      <c r="SPP126" s="1"/>
      <c r="SPQ126" s="1"/>
      <c r="SPR126" s="1"/>
      <c r="SPS126" s="1"/>
      <c r="SPT126" s="1"/>
      <c r="SPU126" s="1"/>
      <c r="SPV126" s="1"/>
      <c r="SPW126" s="1"/>
      <c r="SPX126" s="1"/>
      <c r="SPY126" s="1"/>
      <c r="SPZ126" s="1"/>
      <c r="SQA126" s="1"/>
      <c r="SQB126" s="1"/>
      <c r="SQC126" s="1"/>
      <c r="SQD126" s="1"/>
      <c r="SQE126" s="1"/>
      <c r="SQF126" s="1"/>
      <c r="SQG126" s="1"/>
      <c r="SQH126" s="1"/>
      <c r="SQI126" s="1"/>
      <c r="SQJ126" s="1"/>
      <c r="SQK126" s="1"/>
      <c r="SQL126" s="1"/>
      <c r="SQM126" s="1"/>
      <c r="SQN126" s="1"/>
      <c r="SQO126" s="1"/>
      <c r="SQP126" s="1"/>
      <c r="SQQ126" s="1"/>
      <c r="SQR126" s="1"/>
      <c r="SQS126" s="1"/>
      <c r="SQT126" s="1"/>
      <c r="SQU126" s="1"/>
      <c r="SQV126" s="1"/>
      <c r="SQW126" s="1"/>
      <c r="SQX126" s="1"/>
      <c r="SQY126" s="1"/>
      <c r="SQZ126" s="1"/>
      <c r="SRA126" s="1"/>
      <c r="SRB126" s="1"/>
      <c r="SRC126" s="1"/>
      <c r="SRD126" s="1"/>
      <c r="SRE126" s="1"/>
      <c r="SRF126" s="1"/>
      <c r="SRG126" s="1"/>
      <c r="SRH126" s="1"/>
      <c r="SRI126" s="1"/>
      <c r="SRJ126" s="1"/>
      <c r="SRK126" s="1"/>
      <c r="SRL126" s="1"/>
      <c r="SRM126" s="1"/>
      <c r="SRN126" s="1"/>
      <c r="SRO126" s="1"/>
      <c r="SRP126" s="1"/>
      <c r="SRQ126" s="1"/>
      <c r="SRR126" s="1"/>
      <c r="SRS126" s="1"/>
      <c r="SRT126" s="1"/>
      <c r="SRU126" s="1"/>
      <c r="SRV126" s="1"/>
      <c r="SRW126" s="1"/>
      <c r="SRX126" s="1"/>
      <c r="SRY126" s="1"/>
      <c r="SRZ126" s="1"/>
      <c r="SSA126" s="1"/>
      <c r="SSB126" s="1"/>
      <c r="SSC126" s="1"/>
      <c r="SSD126" s="1"/>
      <c r="SSE126" s="1"/>
      <c r="SSF126" s="1"/>
      <c r="SSG126" s="1"/>
      <c r="SSH126" s="1"/>
      <c r="SSI126" s="1"/>
      <c r="SSJ126" s="1"/>
      <c r="SSK126" s="1"/>
      <c r="SSL126" s="1"/>
      <c r="SSM126" s="1"/>
      <c r="SSN126" s="1"/>
      <c r="SSO126" s="1"/>
      <c r="SSP126" s="1"/>
      <c r="SSQ126" s="1"/>
      <c r="SSR126" s="1"/>
      <c r="SSS126" s="1"/>
      <c r="SST126" s="1"/>
      <c r="SSU126" s="1"/>
      <c r="SSV126" s="1"/>
      <c r="SSW126" s="1"/>
      <c r="SSX126" s="1"/>
      <c r="SSY126" s="1"/>
      <c r="SSZ126" s="1"/>
      <c r="STA126" s="1"/>
      <c r="STB126" s="1"/>
      <c r="STC126" s="1"/>
      <c r="STD126" s="1"/>
      <c r="STE126" s="1"/>
      <c r="STF126" s="1"/>
      <c r="STG126" s="1"/>
      <c r="STH126" s="1"/>
      <c r="STI126" s="1"/>
      <c r="STJ126" s="1"/>
      <c r="STK126" s="1"/>
      <c r="STL126" s="1"/>
      <c r="STM126" s="1"/>
      <c r="STN126" s="1"/>
      <c r="STO126" s="1"/>
      <c r="STP126" s="1"/>
      <c r="STQ126" s="1"/>
      <c r="STR126" s="1"/>
      <c r="STS126" s="1"/>
      <c r="STT126" s="1"/>
      <c r="STU126" s="1"/>
      <c r="STV126" s="1"/>
      <c r="STW126" s="1"/>
      <c r="STX126" s="1"/>
      <c r="STY126" s="1"/>
      <c r="STZ126" s="1"/>
      <c r="SUA126" s="1"/>
      <c r="SUB126" s="1"/>
      <c r="SUC126" s="1"/>
      <c r="SUD126" s="1"/>
      <c r="SUE126" s="1"/>
      <c r="SUF126" s="1"/>
      <c r="SUG126" s="1"/>
      <c r="SUH126" s="1"/>
      <c r="SUI126" s="1"/>
      <c r="SUJ126" s="1"/>
      <c r="SUK126" s="1"/>
      <c r="SUL126" s="1"/>
      <c r="SUM126" s="1"/>
      <c r="SUN126" s="1"/>
      <c r="SUO126" s="1"/>
      <c r="SUP126" s="1"/>
      <c r="SUQ126" s="1"/>
      <c r="SUR126" s="1"/>
      <c r="SUS126" s="1"/>
      <c r="SUT126" s="1"/>
      <c r="SUU126" s="1"/>
      <c r="SUV126" s="1"/>
      <c r="SUW126" s="1"/>
      <c r="SUX126" s="1"/>
      <c r="SUY126" s="1"/>
      <c r="SUZ126" s="1"/>
      <c r="SVA126" s="1"/>
      <c r="SVB126" s="1"/>
      <c r="SVC126" s="1"/>
      <c r="SVD126" s="1"/>
      <c r="SVE126" s="1"/>
      <c r="SVF126" s="1"/>
      <c r="SVG126" s="1"/>
      <c r="SVH126" s="1"/>
      <c r="SVI126" s="1"/>
      <c r="SVJ126" s="1"/>
      <c r="SVK126" s="1"/>
      <c r="SVL126" s="1"/>
      <c r="SVM126" s="1"/>
      <c r="SVN126" s="1"/>
      <c r="SVO126" s="1"/>
      <c r="SVP126" s="1"/>
      <c r="SVQ126" s="1"/>
      <c r="SVR126" s="1"/>
      <c r="SVS126" s="1"/>
      <c r="SVT126" s="1"/>
      <c r="SVU126" s="1"/>
      <c r="SVV126" s="1"/>
      <c r="SVW126" s="1"/>
      <c r="SVX126" s="1"/>
      <c r="SVY126" s="1"/>
      <c r="SVZ126" s="1"/>
      <c r="SWA126" s="1"/>
      <c r="SWB126" s="1"/>
      <c r="SWC126" s="1"/>
      <c r="SWD126" s="1"/>
      <c r="SWE126" s="1"/>
      <c r="SWF126" s="1"/>
      <c r="SWG126" s="1"/>
      <c r="SWH126" s="1"/>
      <c r="SWI126" s="1"/>
      <c r="SWJ126" s="1"/>
      <c r="SWK126" s="1"/>
      <c r="SWL126" s="1"/>
      <c r="SWM126" s="1"/>
      <c r="SWN126" s="1"/>
      <c r="SWO126" s="1"/>
      <c r="SWP126" s="1"/>
      <c r="SWQ126" s="1"/>
      <c r="SWR126" s="1"/>
      <c r="SWS126" s="1"/>
      <c r="SWT126" s="1"/>
      <c r="SWU126" s="1"/>
      <c r="SWV126" s="1"/>
      <c r="SWW126" s="1"/>
      <c r="SWX126" s="1"/>
      <c r="SWY126" s="1"/>
      <c r="SWZ126" s="1"/>
      <c r="SXA126" s="1"/>
      <c r="SXB126" s="1"/>
      <c r="SXC126" s="1"/>
      <c r="SXD126" s="1"/>
      <c r="SXE126" s="1"/>
      <c r="SXF126" s="1"/>
      <c r="SXG126" s="1"/>
      <c r="SXH126" s="1"/>
      <c r="SXI126" s="1"/>
      <c r="SXJ126" s="1"/>
      <c r="SXK126" s="1"/>
      <c r="SXL126" s="1"/>
      <c r="SXM126" s="1"/>
      <c r="SXN126" s="1"/>
      <c r="SXO126" s="1"/>
      <c r="SXP126" s="1"/>
      <c r="SXQ126" s="1"/>
      <c r="SXR126" s="1"/>
      <c r="SXS126" s="1"/>
      <c r="SXT126" s="1"/>
      <c r="SXU126" s="1"/>
      <c r="SXV126" s="1"/>
      <c r="SXW126" s="1"/>
      <c r="SXX126" s="1"/>
      <c r="SXY126" s="1"/>
      <c r="SXZ126" s="1"/>
      <c r="SYA126" s="1"/>
      <c r="SYB126" s="1"/>
      <c r="SYC126" s="1"/>
      <c r="SYD126" s="1"/>
      <c r="SYE126" s="1"/>
      <c r="SYF126" s="1"/>
      <c r="SYG126" s="1"/>
      <c r="SYH126" s="1"/>
      <c r="SYI126" s="1"/>
      <c r="SYJ126" s="1"/>
      <c r="SYK126" s="1"/>
      <c r="SYL126" s="1"/>
      <c r="SYM126" s="1"/>
      <c r="SYN126" s="1"/>
      <c r="SYO126" s="1"/>
      <c r="SYP126" s="1"/>
      <c r="SYQ126" s="1"/>
      <c r="SYR126" s="1"/>
      <c r="SYS126" s="1"/>
      <c r="SYT126" s="1"/>
      <c r="SYU126" s="1"/>
      <c r="SYV126" s="1"/>
      <c r="SYW126" s="1"/>
      <c r="SYX126" s="1"/>
      <c r="SYY126" s="1"/>
      <c r="SYZ126" s="1"/>
      <c r="SZA126" s="1"/>
      <c r="SZB126" s="1"/>
      <c r="SZC126" s="1"/>
      <c r="SZD126" s="1"/>
      <c r="SZE126" s="1"/>
      <c r="SZF126" s="1"/>
      <c r="SZG126" s="1"/>
      <c r="SZH126" s="1"/>
      <c r="SZI126" s="1"/>
      <c r="SZJ126" s="1"/>
      <c r="SZK126" s="1"/>
      <c r="SZL126" s="1"/>
      <c r="SZM126" s="1"/>
      <c r="SZN126" s="1"/>
      <c r="SZO126" s="1"/>
      <c r="SZP126" s="1"/>
      <c r="SZQ126" s="1"/>
      <c r="SZR126" s="1"/>
      <c r="SZS126" s="1"/>
      <c r="SZT126" s="1"/>
      <c r="SZU126" s="1"/>
      <c r="SZV126" s="1"/>
      <c r="SZW126" s="1"/>
      <c r="SZX126" s="1"/>
      <c r="SZY126" s="1"/>
      <c r="SZZ126" s="1"/>
      <c r="TAA126" s="1"/>
      <c r="TAB126" s="1"/>
      <c r="TAC126" s="1"/>
      <c r="TAD126" s="1"/>
      <c r="TAE126" s="1"/>
      <c r="TAF126" s="1"/>
      <c r="TAG126" s="1"/>
      <c r="TAH126" s="1"/>
      <c r="TAI126" s="1"/>
      <c r="TAJ126" s="1"/>
      <c r="TAK126" s="1"/>
      <c r="TAL126" s="1"/>
      <c r="TAM126" s="1"/>
      <c r="TAN126" s="1"/>
      <c r="TAO126" s="1"/>
      <c r="TAP126" s="1"/>
      <c r="TAQ126" s="1"/>
      <c r="TAR126" s="1"/>
      <c r="TAS126" s="1"/>
      <c r="TAT126" s="1"/>
      <c r="TAU126" s="1"/>
      <c r="TAV126" s="1"/>
      <c r="TAW126" s="1"/>
      <c r="TAX126" s="1"/>
      <c r="TAY126" s="1"/>
      <c r="TAZ126" s="1"/>
      <c r="TBA126" s="1"/>
      <c r="TBB126" s="1"/>
      <c r="TBC126" s="1"/>
      <c r="TBD126" s="1"/>
      <c r="TBE126" s="1"/>
      <c r="TBF126" s="1"/>
      <c r="TBG126" s="1"/>
      <c r="TBH126" s="1"/>
      <c r="TBI126" s="1"/>
      <c r="TBJ126" s="1"/>
      <c r="TBK126" s="1"/>
      <c r="TBL126" s="1"/>
      <c r="TBM126" s="1"/>
      <c r="TBN126" s="1"/>
      <c r="TBO126" s="1"/>
      <c r="TBP126" s="1"/>
      <c r="TBQ126" s="1"/>
      <c r="TBR126" s="1"/>
      <c r="TBS126" s="1"/>
      <c r="TBT126" s="1"/>
      <c r="TBU126" s="1"/>
      <c r="TBV126" s="1"/>
      <c r="TBW126" s="1"/>
      <c r="TBX126" s="1"/>
      <c r="TBY126" s="1"/>
      <c r="TBZ126" s="1"/>
      <c r="TCA126" s="1"/>
      <c r="TCB126" s="1"/>
      <c r="TCC126" s="1"/>
      <c r="TCD126" s="1"/>
      <c r="TCE126" s="1"/>
      <c r="TCF126" s="1"/>
      <c r="TCG126" s="1"/>
      <c r="TCH126" s="1"/>
      <c r="TCI126" s="1"/>
      <c r="TCJ126" s="1"/>
      <c r="TCK126" s="1"/>
      <c r="TCL126" s="1"/>
      <c r="TCM126" s="1"/>
      <c r="TCN126" s="1"/>
      <c r="TCO126" s="1"/>
      <c r="TCP126" s="1"/>
      <c r="TCQ126" s="1"/>
      <c r="TCR126" s="1"/>
      <c r="TCS126" s="1"/>
      <c r="TCT126" s="1"/>
      <c r="TCU126" s="1"/>
      <c r="TCV126" s="1"/>
      <c r="TCW126" s="1"/>
      <c r="TCX126" s="1"/>
      <c r="TCY126" s="1"/>
      <c r="TCZ126" s="1"/>
      <c r="TDA126" s="1"/>
      <c r="TDB126" s="1"/>
      <c r="TDC126" s="1"/>
      <c r="TDD126" s="1"/>
      <c r="TDE126" s="1"/>
      <c r="TDF126" s="1"/>
      <c r="TDG126" s="1"/>
      <c r="TDH126" s="1"/>
      <c r="TDI126" s="1"/>
      <c r="TDJ126" s="1"/>
      <c r="TDK126" s="1"/>
      <c r="TDL126" s="1"/>
      <c r="TDM126" s="1"/>
      <c r="TDN126" s="1"/>
      <c r="TDO126" s="1"/>
      <c r="TDP126" s="1"/>
      <c r="TDQ126" s="1"/>
      <c r="TDR126" s="1"/>
      <c r="TDS126" s="1"/>
      <c r="TDT126" s="1"/>
      <c r="TDU126" s="1"/>
      <c r="TDV126" s="1"/>
      <c r="TDW126" s="1"/>
      <c r="TDX126" s="1"/>
      <c r="TDY126" s="1"/>
      <c r="TDZ126" s="1"/>
      <c r="TEA126" s="1"/>
      <c r="TEB126" s="1"/>
      <c r="TEC126" s="1"/>
      <c r="TED126" s="1"/>
      <c r="TEE126" s="1"/>
      <c r="TEF126" s="1"/>
      <c r="TEG126" s="1"/>
      <c r="TEH126" s="1"/>
      <c r="TEI126" s="1"/>
      <c r="TEJ126" s="1"/>
      <c r="TEK126" s="1"/>
      <c r="TEL126" s="1"/>
      <c r="TEM126" s="1"/>
      <c r="TEN126" s="1"/>
      <c r="TEO126" s="1"/>
      <c r="TEP126" s="1"/>
      <c r="TEQ126" s="1"/>
      <c r="TER126" s="1"/>
      <c r="TES126" s="1"/>
      <c r="TET126" s="1"/>
      <c r="TEU126" s="1"/>
      <c r="TEV126" s="1"/>
      <c r="TEW126" s="1"/>
      <c r="TEX126" s="1"/>
      <c r="TEY126" s="1"/>
      <c r="TEZ126" s="1"/>
      <c r="TFA126" s="1"/>
      <c r="TFB126" s="1"/>
      <c r="TFC126" s="1"/>
      <c r="TFD126" s="1"/>
      <c r="TFE126" s="1"/>
      <c r="TFF126" s="1"/>
      <c r="TFG126" s="1"/>
      <c r="TFH126" s="1"/>
      <c r="TFI126" s="1"/>
      <c r="TFJ126" s="1"/>
      <c r="TFK126" s="1"/>
      <c r="TFL126" s="1"/>
      <c r="TFM126" s="1"/>
      <c r="TFN126" s="1"/>
      <c r="TFO126" s="1"/>
      <c r="TFP126" s="1"/>
      <c r="TFQ126" s="1"/>
      <c r="TFR126" s="1"/>
      <c r="TFS126" s="1"/>
      <c r="TFT126" s="1"/>
      <c r="TFU126" s="1"/>
      <c r="TFV126" s="1"/>
      <c r="TFW126" s="1"/>
      <c r="TFX126" s="1"/>
      <c r="TFY126" s="1"/>
      <c r="TFZ126" s="1"/>
      <c r="TGA126" s="1"/>
      <c r="TGB126" s="1"/>
      <c r="TGC126" s="1"/>
      <c r="TGD126" s="1"/>
      <c r="TGE126" s="1"/>
      <c r="TGF126" s="1"/>
      <c r="TGG126" s="1"/>
      <c r="TGH126" s="1"/>
      <c r="TGI126" s="1"/>
      <c r="TGJ126" s="1"/>
      <c r="TGK126" s="1"/>
      <c r="TGL126" s="1"/>
      <c r="TGM126" s="1"/>
      <c r="TGN126" s="1"/>
      <c r="TGO126" s="1"/>
      <c r="TGP126" s="1"/>
      <c r="TGQ126" s="1"/>
      <c r="TGR126" s="1"/>
      <c r="TGS126" s="1"/>
      <c r="TGT126" s="1"/>
      <c r="TGU126" s="1"/>
      <c r="TGV126" s="1"/>
      <c r="TGW126" s="1"/>
      <c r="TGX126" s="1"/>
      <c r="TGY126" s="1"/>
      <c r="TGZ126" s="1"/>
      <c r="THA126" s="1"/>
      <c r="THB126" s="1"/>
      <c r="THC126" s="1"/>
      <c r="THD126" s="1"/>
      <c r="THE126" s="1"/>
      <c r="THF126" s="1"/>
      <c r="THG126" s="1"/>
      <c r="THH126" s="1"/>
      <c r="THI126" s="1"/>
      <c r="THJ126" s="1"/>
      <c r="THK126" s="1"/>
      <c r="THL126" s="1"/>
      <c r="THM126" s="1"/>
      <c r="THN126" s="1"/>
      <c r="THO126" s="1"/>
      <c r="THP126" s="1"/>
      <c r="THQ126" s="1"/>
      <c r="THR126" s="1"/>
      <c r="THS126" s="1"/>
      <c r="THT126" s="1"/>
      <c r="THU126" s="1"/>
      <c r="THV126" s="1"/>
      <c r="THW126" s="1"/>
      <c r="THX126" s="1"/>
      <c r="THY126" s="1"/>
      <c r="THZ126" s="1"/>
      <c r="TIA126" s="1"/>
      <c r="TIB126" s="1"/>
      <c r="TIC126" s="1"/>
      <c r="TID126" s="1"/>
      <c r="TIE126" s="1"/>
      <c r="TIF126" s="1"/>
      <c r="TIG126" s="1"/>
      <c r="TIH126" s="1"/>
      <c r="TII126" s="1"/>
      <c r="TIJ126" s="1"/>
      <c r="TIK126" s="1"/>
      <c r="TIL126" s="1"/>
      <c r="TIM126" s="1"/>
      <c r="TIN126" s="1"/>
      <c r="TIO126" s="1"/>
      <c r="TIP126" s="1"/>
      <c r="TIQ126" s="1"/>
      <c r="TIR126" s="1"/>
      <c r="TIS126" s="1"/>
      <c r="TIT126" s="1"/>
      <c r="TIU126" s="1"/>
      <c r="TIV126" s="1"/>
      <c r="TIW126" s="1"/>
      <c r="TIX126" s="1"/>
      <c r="TIY126" s="1"/>
      <c r="TIZ126" s="1"/>
      <c r="TJA126" s="1"/>
      <c r="TJB126" s="1"/>
      <c r="TJC126" s="1"/>
      <c r="TJD126" s="1"/>
      <c r="TJE126" s="1"/>
      <c r="TJF126" s="1"/>
      <c r="TJG126" s="1"/>
      <c r="TJH126" s="1"/>
      <c r="TJI126" s="1"/>
      <c r="TJJ126" s="1"/>
      <c r="TJK126" s="1"/>
      <c r="TJL126" s="1"/>
      <c r="TJM126" s="1"/>
      <c r="TJN126" s="1"/>
      <c r="TJO126" s="1"/>
      <c r="TJP126" s="1"/>
      <c r="TJQ126" s="1"/>
      <c r="TJR126" s="1"/>
      <c r="TJS126" s="1"/>
      <c r="TJT126" s="1"/>
      <c r="TJU126" s="1"/>
      <c r="TJV126" s="1"/>
      <c r="TJW126" s="1"/>
      <c r="TJX126" s="1"/>
      <c r="TJY126" s="1"/>
      <c r="TJZ126" s="1"/>
      <c r="TKA126" s="1"/>
      <c r="TKB126" s="1"/>
      <c r="TKC126" s="1"/>
      <c r="TKD126" s="1"/>
      <c r="TKE126" s="1"/>
      <c r="TKF126" s="1"/>
      <c r="TKG126" s="1"/>
      <c r="TKH126" s="1"/>
      <c r="TKI126" s="1"/>
      <c r="TKJ126" s="1"/>
      <c r="TKK126" s="1"/>
      <c r="TKL126" s="1"/>
      <c r="TKM126" s="1"/>
      <c r="TKN126" s="1"/>
      <c r="TKO126" s="1"/>
      <c r="TKP126" s="1"/>
      <c r="TKQ126" s="1"/>
      <c r="TKR126" s="1"/>
      <c r="TKS126" s="1"/>
      <c r="TKT126" s="1"/>
      <c r="TKU126" s="1"/>
      <c r="TKV126" s="1"/>
      <c r="TKW126" s="1"/>
      <c r="TKX126" s="1"/>
      <c r="TKY126" s="1"/>
      <c r="TKZ126" s="1"/>
      <c r="TLA126" s="1"/>
      <c r="TLB126" s="1"/>
      <c r="TLC126" s="1"/>
      <c r="TLD126" s="1"/>
      <c r="TLE126" s="1"/>
      <c r="TLF126" s="1"/>
      <c r="TLG126" s="1"/>
      <c r="TLH126" s="1"/>
      <c r="TLI126" s="1"/>
      <c r="TLJ126" s="1"/>
      <c r="TLK126" s="1"/>
      <c r="TLL126" s="1"/>
      <c r="TLM126" s="1"/>
      <c r="TLN126" s="1"/>
      <c r="TLO126" s="1"/>
      <c r="TLP126" s="1"/>
      <c r="TLQ126" s="1"/>
      <c r="TLR126" s="1"/>
      <c r="TLS126" s="1"/>
      <c r="TLT126" s="1"/>
      <c r="TLU126" s="1"/>
      <c r="TLV126" s="1"/>
      <c r="TLW126" s="1"/>
      <c r="TLX126" s="1"/>
      <c r="TLY126" s="1"/>
      <c r="TLZ126" s="1"/>
      <c r="TMA126" s="1"/>
      <c r="TMB126" s="1"/>
      <c r="TMC126" s="1"/>
      <c r="TMD126" s="1"/>
      <c r="TME126" s="1"/>
      <c r="TMF126" s="1"/>
      <c r="TMG126" s="1"/>
      <c r="TMH126" s="1"/>
      <c r="TMI126" s="1"/>
      <c r="TMJ126" s="1"/>
      <c r="TMK126" s="1"/>
      <c r="TML126" s="1"/>
      <c r="TMM126" s="1"/>
      <c r="TMN126" s="1"/>
      <c r="TMO126" s="1"/>
      <c r="TMP126" s="1"/>
      <c r="TMQ126" s="1"/>
      <c r="TMR126" s="1"/>
      <c r="TMS126" s="1"/>
      <c r="TMT126" s="1"/>
      <c r="TMU126" s="1"/>
      <c r="TMV126" s="1"/>
      <c r="TMW126" s="1"/>
      <c r="TMX126" s="1"/>
      <c r="TMY126" s="1"/>
      <c r="TMZ126" s="1"/>
      <c r="TNA126" s="1"/>
      <c r="TNB126" s="1"/>
      <c r="TNC126" s="1"/>
      <c r="TND126" s="1"/>
      <c r="TNE126" s="1"/>
      <c r="TNF126" s="1"/>
      <c r="TNG126" s="1"/>
      <c r="TNH126" s="1"/>
      <c r="TNI126" s="1"/>
      <c r="TNJ126" s="1"/>
      <c r="TNK126" s="1"/>
      <c r="TNL126" s="1"/>
      <c r="TNM126" s="1"/>
      <c r="TNN126" s="1"/>
      <c r="TNO126" s="1"/>
      <c r="TNP126" s="1"/>
      <c r="TNQ126" s="1"/>
      <c r="TNR126" s="1"/>
      <c r="TNS126" s="1"/>
      <c r="TNT126" s="1"/>
      <c r="TNU126" s="1"/>
      <c r="TNV126" s="1"/>
      <c r="TNW126" s="1"/>
      <c r="TNX126" s="1"/>
      <c r="TNY126" s="1"/>
      <c r="TNZ126" s="1"/>
      <c r="TOA126" s="1"/>
      <c r="TOB126" s="1"/>
      <c r="TOC126" s="1"/>
      <c r="TOD126" s="1"/>
      <c r="TOE126" s="1"/>
      <c r="TOF126" s="1"/>
      <c r="TOG126" s="1"/>
      <c r="TOH126" s="1"/>
      <c r="TOI126" s="1"/>
      <c r="TOJ126" s="1"/>
      <c r="TOK126" s="1"/>
      <c r="TOL126" s="1"/>
      <c r="TOM126" s="1"/>
      <c r="TON126" s="1"/>
      <c r="TOO126" s="1"/>
      <c r="TOP126" s="1"/>
      <c r="TOQ126" s="1"/>
      <c r="TOR126" s="1"/>
      <c r="TOS126" s="1"/>
      <c r="TOT126" s="1"/>
      <c r="TOU126" s="1"/>
      <c r="TOV126" s="1"/>
      <c r="TOW126" s="1"/>
      <c r="TOX126" s="1"/>
      <c r="TOY126" s="1"/>
      <c r="TOZ126" s="1"/>
      <c r="TPA126" s="1"/>
      <c r="TPB126" s="1"/>
      <c r="TPC126" s="1"/>
      <c r="TPD126" s="1"/>
      <c r="TPE126" s="1"/>
      <c r="TPF126" s="1"/>
      <c r="TPG126" s="1"/>
      <c r="TPH126" s="1"/>
      <c r="TPI126" s="1"/>
      <c r="TPJ126" s="1"/>
      <c r="TPK126" s="1"/>
      <c r="TPL126" s="1"/>
      <c r="TPM126" s="1"/>
      <c r="TPN126" s="1"/>
      <c r="TPO126" s="1"/>
      <c r="TPP126" s="1"/>
      <c r="TPQ126" s="1"/>
      <c r="TPR126" s="1"/>
      <c r="TPS126" s="1"/>
      <c r="TPT126" s="1"/>
      <c r="TPU126" s="1"/>
      <c r="TPV126" s="1"/>
      <c r="TPW126" s="1"/>
      <c r="TPX126" s="1"/>
      <c r="TPY126" s="1"/>
      <c r="TPZ126" s="1"/>
      <c r="TQA126" s="1"/>
      <c r="TQB126" s="1"/>
      <c r="TQC126" s="1"/>
      <c r="TQD126" s="1"/>
      <c r="TQE126" s="1"/>
      <c r="TQF126" s="1"/>
      <c r="TQG126" s="1"/>
      <c r="TQH126" s="1"/>
      <c r="TQI126" s="1"/>
      <c r="TQJ126" s="1"/>
      <c r="TQK126" s="1"/>
      <c r="TQL126" s="1"/>
      <c r="TQM126" s="1"/>
      <c r="TQN126" s="1"/>
      <c r="TQO126" s="1"/>
      <c r="TQP126" s="1"/>
      <c r="TQQ126" s="1"/>
      <c r="TQR126" s="1"/>
      <c r="TQS126" s="1"/>
      <c r="TQT126" s="1"/>
      <c r="TQU126" s="1"/>
      <c r="TQV126" s="1"/>
      <c r="TQW126" s="1"/>
      <c r="TQX126" s="1"/>
      <c r="TQY126" s="1"/>
      <c r="TQZ126" s="1"/>
      <c r="TRA126" s="1"/>
      <c r="TRB126" s="1"/>
      <c r="TRC126" s="1"/>
      <c r="TRD126" s="1"/>
      <c r="TRE126" s="1"/>
      <c r="TRF126" s="1"/>
      <c r="TRG126" s="1"/>
      <c r="TRH126" s="1"/>
      <c r="TRI126" s="1"/>
      <c r="TRJ126" s="1"/>
      <c r="TRK126" s="1"/>
      <c r="TRL126" s="1"/>
      <c r="TRM126" s="1"/>
      <c r="TRN126" s="1"/>
      <c r="TRO126" s="1"/>
      <c r="TRP126" s="1"/>
      <c r="TRQ126" s="1"/>
      <c r="TRR126" s="1"/>
      <c r="TRS126" s="1"/>
      <c r="TRT126" s="1"/>
      <c r="TRU126" s="1"/>
      <c r="TRV126" s="1"/>
      <c r="TRW126" s="1"/>
      <c r="TRX126" s="1"/>
      <c r="TRY126" s="1"/>
      <c r="TRZ126" s="1"/>
      <c r="TSA126" s="1"/>
      <c r="TSB126" s="1"/>
      <c r="TSC126" s="1"/>
      <c r="TSD126" s="1"/>
      <c r="TSE126" s="1"/>
      <c r="TSF126" s="1"/>
      <c r="TSG126" s="1"/>
      <c r="TSH126" s="1"/>
      <c r="TSI126" s="1"/>
      <c r="TSJ126" s="1"/>
      <c r="TSK126" s="1"/>
      <c r="TSL126" s="1"/>
      <c r="TSM126" s="1"/>
      <c r="TSN126" s="1"/>
      <c r="TSO126" s="1"/>
      <c r="TSP126" s="1"/>
      <c r="TSQ126" s="1"/>
      <c r="TSR126" s="1"/>
      <c r="TSS126" s="1"/>
      <c r="TST126" s="1"/>
      <c r="TSU126" s="1"/>
      <c r="TSV126" s="1"/>
      <c r="TSW126" s="1"/>
      <c r="TSX126" s="1"/>
      <c r="TSY126" s="1"/>
      <c r="TSZ126" s="1"/>
      <c r="TTA126" s="1"/>
      <c r="TTB126" s="1"/>
      <c r="TTC126" s="1"/>
      <c r="TTD126" s="1"/>
      <c r="TTE126" s="1"/>
      <c r="TTF126" s="1"/>
      <c r="TTG126" s="1"/>
      <c r="TTH126" s="1"/>
      <c r="TTI126" s="1"/>
      <c r="TTJ126" s="1"/>
      <c r="TTK126" s="1"/>
      <c r="TTL126" s="1"/>
      <c r="TTM126" s="1"/>
      <c r="TTN126" s="1"/>
      <c r="TTO126" s="1"/>
      <c r="TTP126" s="1"/>
      <c r="TTQ126" s="1"/>
      <c r="TTR126" s="1"/>
      <c r="TTS126" s="1"/>
      <c r="TTT126" s="1"/>
      <c r="TTU126" s="1"/>
      <c r="TTV126" s="1"/>
      <c r="TTW126" s="1"/>
      <c r="TTX126" s="1"/>
      <c r="TTY126" s="1"/>
      <c r="TTZ126" s="1"/>
      <c r="TUA126" s="1"/>
      <c r="TUB126" s="1"/>
      <c r="TUC126" s="1"/>
      <c r="TUD126" s="1"/>
      <c r="TUE126" s="1"/>
      <c r="TUF126" s="1"/>
      <c r="TUG126" s="1"/>
      <c r="TUH126" s="1"/>
      <c r="TUI126" s="1"/>
      <c r="TUJ126" s="1"/>
      <c r="TUK126" s="1"/>
      <c r="TUL126" s="1"/>
      <c r="TUM126" s="1"/>
      <c r="TUN126" s="1"/>
      <c r="TUO126" s="1"/>
      <c r="TUP126" s="1"/>
      <c r="TUQ126" s="1"/>
      <c r="TUR126" s="1"/>
      <c r="TUS126" s="1"/>
      <c r="TUT126" s="1"/>
      <c r="TUU126" s="1"/>
      <c r="TUV126" s="1"/>
      <c r="TUW126" s="1"/>
      <c r="TUX126" s="1"/>
      <c r="TUY126" s="1"/>
      <c r="TUZ126" s="1"/>
      <c r="TVA126" s="1"/>
      <c r="TVB126" s="1"/>
      <c r="TVC126" s="1"/>
      <c r="TVD126" s="1"/>
      <c r="TVE126" s="1"/>
      <c r="TVF126" s="1"/>
      <c r="TVG126" s="1"/>
      <c r="TVH126" s="1"/>
      <c r="TVI126" s="1"/>
      <c r="TVJ126" s="1"/>
      <c r="TVK126" s="1"/>
      <c r="TVL126" s="1"/>
      <c r="TVM126" s="1"/>
      <c r="TVN126" s="1"/>
      <c r="TVO126" s="1"/>
      <c r="TVP126" s="1"/>
      <c r="TVQ126" s="1"/>
      <c r="TVR126" s="1"/>
      <c r="TVS126" s="1"/>
      <c r="TVT126" s="1"/>
      <c r="TVU126" s="1"/>
      <c r="TVV126" s="1"/>
      <c r="TVW126" s="1"/>
      <c r="TVX126" s="1"/>
      <c r="TVY126" s="1"/>
      <c r="TVZ126" s="1"/>
      <c r="TWA126" s="1"/>
      <c r="TWB126" s="1"/>
      <c r="TWC126" s="1"/>
      <c r="TWD126" s="1"/>
      <c r="TWE126" s="1"/>
      <c r="TWF126" s="1"/>
      <c r="TWG126" s="1"/>
      <c r="TWH126" s="1"/>
      <c r="TWI126" s="1"/>
      <c r="TWJ126" s="1"/>
      <c r="TWK126" s="1"/>
      <c r="TWL126" s="1"/>
      <c r="TWM126" s="1"/>
      <c r="TWN126" s="1"/>
      <c r="TWO126" s="1"/>
      <c r="TWP126" s="1"/>
      <c r="TWQ126" s="1"/>
      <c r="TWR126" s="1"/>
      <c r="TWS126" s="1"/>
      <c r="TWT126" s="1"/>
      <c r="TWU126" s="1"/>
      <c r="TWV126" s="1"/>
      <c r="TWW126" s="1"/>
      <c r="TWX126" s="1"/>
      <c r="TWY126" s="1"/>
      <c r="TWZ126" s="1"/>
      <c r="TXA126" s="1"/>
      <c r="TXB126" s="1"/>
      <c r="TXC126" s="1"/>
      <c r="TXD126" s="1"/>
      <c r="TXE126" s="1"/>
      <c r="TXF126" s="1"/>
      <c r="TXG126" s="1"/>
      <c r="TXH126" s="1"/>
      <c r="TXI126" s="1"/>
      <c r="TXJ126" s="1"/>
      <c r="TXK126" s="1"/>
      <c r="TXL126" s="1"/>
      <c r="TXM126" s="1"/>
      <c r="TXN126" s="1"/>
      <c r="TXO126" s="1"/>
      <c r="TXP126" s="1"/>
      <c r="TXQ126" s="1"/>
      <c r="TXR126" s="1"/>
      <c r="TXS126" s="1"/>
      <c r="TXT126" s="1"/>
      <c r="TXU126" s="1"/>
      <c r="TXV126" s="1"/>
      <c r="TXW126" s="1"/>
      <c r="TXX126" s="1"/>
      <c r="TXY126" s="1"/>
      <c r="TXZ126" s="1"/>
      <c r="TYA126" s="1"/>
      <c r="TYB126" s="1"/>
      <c r="TYC126" s="1"/>
      <c r="TYD126" s="1"/>
      <c r="TYE126" s="1"/>
      <c r="TYF126" s="1"/>
      <c r="TYG126" s="1"/>
      <c r="TYH126" s="1"/>
      <c r="TYI126" s="1"/>
      <c r="TYJ126" s="1"/>
      <c r="TYK126" s="1"/>
      <c r="TYL126" s="1"/>
      <c r="TYM126" s="1"/>
      <c r="TYN126" s="1"/>
      <c r="TYO126" s="1"/>
      <c r="TYP126" s="1"/>
      <c r="TYQ126" s="1"/>
      <c r="TYR126" s="1"/>
      <c r="TYS126" s="1"/>
      <c r="TYT126" s="1"/>
      <c r="TYU126" s="1"/>
      <c r="TYV126" s="1"/>
      <c r="TYW126" s="1"/>
      <c r="TYX126" s="1"/>
      <c r="TYY126" s="1"/>
      <c r="TYZ126" s="1"/>
      <c r="TZA126" s="1"/>
      <c r="TZB126" s="1"/>
      <c r="TZC126" s="1"/>
      <c r="TZD126" s="1"/>
      <c r="TZE126" s="1"/>
      <c r="TZF126" s="1"/>
      <c r="TZG126" s="1"/>
      <c r="TZH126" s="1"/>
      <c r="TZI126" s="1"/>
      <c r="TZJ126" s="1"/>
      <c r="TZK126" s="1"/>
      <c r="TZL126" s="1"/>
      <c r="TZM126" s="1"/>
      <c r="TZN126" s="1"/>
      <c r="TZO126" s="1"/>
      <c r="TZP126" s="1"/>
      <c r="TZQ126" s="1"/>
      <c r="TZR126" s="1"/>
      <c r="TZS126" s="1"/>
      <c r="TZT126" s="1"/>
      <c r="TZU126" s="1"/>
      <c r="TZV126" s="1"/>
      <c r="TZW126" s="1"/>
      <c r="TZX126" s="1"/>
      <c r="TZY126" s="1"/>
      <c r="TZZ126" s="1"/>
      <c r="UAA126" s="1"/>
      <c r="UAB126" s="1"/>
      <c r="UAC126" s="1"/>
      <c r="UAD126" s="1"/>
      <c r="UAE126" s="1"/>
      <c r="UAF126" s="1"/>
      <c r="UAG126" s="1"/>
      <c r="UAH126" s="1"/>
      <c r="UAI126" s="1"/>
      <c r="UAJ126" s="1"/>
      <c r="UAK126" s="1"/>
      <c r="UAL126" s="1"/>
      <c r="UAM126" s="1"/>
      <c r="UAN126" s="1"/>
      <c r="UAO126" s="1"/>
      <c r="UAP126" s="1"/>
      <c r="UAQ126" s="1"/>
      <c r="UAR126" s="1"/>
      <c r="UAS126" s="1"/>
      <c r="UAT126" s="1"/>
      <c r="UAU126" s="1"/>
      <c r="UAV126" s="1"/>
      <c r="UAW126" s="1"/>
      <c r="UAX126" s="1"/>
      <c r="UAY126" s="1"/>
      <c r="UAZ126" s="1"/>
      <c r="UBA126" s="1"/>
      <c r="UBB126" s="1"/>
      <c r="UBC126" s="1"/>
      <c r="UBD126" s="1"/>
      <c r="UBE126" s="1"/>
      <c r="UBF126" s="1"/>
      <c r="UBG126" s="1"/>
      <c r="UBH126" s="1"/>
      <c r="UBI126" s="1"/>
      <c r="UBJ126" s="1"/>
      <c r="UBK126" s="1"/>
      <c r="UBL126" s="1"/>
      <c r="UBM126" s="1"/>
      <c r="UBN126" s="1"/>
      <c r="UBO126" s="1"/>
      <c r="UBP126" s="1"/>
      <c r="UBQ126" s="1"/>
      <c r="UBR126" s="1"/>
      <c r="UBS126" s="1"/>
      <c r="UBT126" s="1"/>
      <c r="UBU126" s="1"/>
      <c r="UBV126" s="1"/>
      <c r="UBW126" s="1"/>
      <c r="UBX126" s="1"/>
      <c r="UBY126" s="1"/>
      <c r="UBZ126" s="1"/>
      <c r="UCA126" s="1"/>
      <c r="UCB126" s="1"/>
      <c r="UCC126" s="1"/>
      <c r="UCD126" s="1"/>
      <c r="UCE126" s="1"/>
      <c r="UCF126" s="1"/>
      <c r="UCG126" s="1"/>
      <c r="UCH126" s="1"/>
      <c r="UCI126" s="1"/>
      <c r="UCJ126" s="1"/>
      <c r="UCK126" s="1"/>
      <c r="UCL126" s="1"/>
      <c r="UCM126" s="1"/>
      <c r="UCN126" s="1"/>
      <c r="UCO126" s="1"/>
      <c r="UCP126" s="1"/>
      <c r="UCQ126" s="1"/>
      <c r="UCR126" s="1"/>
      <c r="UCS126" s="1"/>
      <c r="UCT126" s="1"/>
      <c r="UCU126" s="1"/>
      <c r="UCV126" s="1"/>
      <c r="UCW126" s="1"/>
      <c r="UCX126" s="1"/>
      <c r="UCY126" s="1"/>
      <c r="UCZ126" s="1"/>
      <c r="UDA126" s="1"/>
      <c r="UDB126" s="1"/>
      <c r="UDC126" s="1"/>
      <c r="UDD126" s="1"/>
      <c r="UDE126" s="1"/>
      <c r="UDF126" s="1"/>
      <c r="UDG126" s="1"/>
      <c r="UDH126" s="1"/>
      <c r="UDI126" s="1"/>
      <c r="UDJ126" s="1"/>
      <c r="UDK126" s="1"/>
      <c r="UDL126" s="1"/>
      <c r="UDM126" s="1"/>
      <c r="UDN126" s="1"/>
      <c r="UDO126" s="1"/>
      <c r="UDP126" s="1"/>
      <c r="UDQ126" s="1"/>
      <c r="UDR126" s="1"/>
      <c r="UDS126" s="1"/>
      <c r="UDT126" s="1"/>
      <c r="UDU126" s="1"/>
      <c r="UDV126" s="1"/>
      <c r="UDW126" s="1"/>
      <c r="UDX126" s="1"/>
      <c r="UDY126" s="1"/>
      <c r="UDZ126" s="1"/>
      <c r="UEA126" s="1"/>
      <c r="UEB126" s="1"/>
      <c r="UEC126" s="1"/>
      <c r="UED126" s="1"/>
      <c r="UEE126" s="1"/>
      <c r="UEF126" s="1"/>
      <c r="UEG126" s="1"/>
      <c r="UEH126" s="1"/>
      <c r="UEI126" s="1"/>
      <c r="UEJ126" s="1"/>
      <c r="UEK126" s="1"/>
      <c r="UEL126" s="1"/>
      <c r="UEM126" s="1"/>
      <c r="UEN126" s="1"/>
      <c r="UEO126" s="1"/>
      <c r="UEP126" s="1"/>
      <c r="UEQ126" s="1"/>
      <c r="UER126" s="1"/>
      <c r="UES126" s="1"/>
      <c r="UET126" s="1"/>
      <c r="UEU126" s="1"/>
      <c r="UEV126" s="1"/>
      <c r="UEW126" s="1"/>
      <c r="UEX126" s="1"/>
      <c r="UEY126" s="1"/>
      <c r="UEZ126" s="1"/>
      <c r="UFA126" s="1"/>
      <c r="UFB126" s="1"/>
      <c r="UFC126" s="1"/>
      <c r="UFD126" s="1"/>
      <c r="UFE126" s="1"/>
      <c r="UFF126" s="1"/>
      <c r="UFG126" s="1"/>
      <c r="UFH126" s="1"/>
      <c r="UFI126" s="1"/>
      <c r="UFJ126" s="1"/>
      <c r="UFK126" s="1"/>
      <c r="UFL126" s="1"/>
      <c r="UFM126" s="1"/>
      <c r="UFN126" s="1"/>
      <c r="UFO126" s="1"/>
      <c r="UFP126" s="1"/>
      <c r="UFQ126" s="1"/>
      <c r="UFR126" s="1"/>
      <c r="UFS126" s="1"/>
      <c r="UFT126" s="1"/>
      <c r="UFU126" s="1"/>
      <c r="UFV126" s="1"/>
      <c r="UFW126" s="1"/>
      <c r="UFX126" s="1"/>
      <c r="UFY126" s="1"/>
      <c r="UFZ126" s="1"/>
      <c r="UGA126" s="1"/>
      <c r="UGB126" s="1"/>
      <c r="UGC126" s="1"/>
      <c r="UGD126" s="1"/>
      <c r="UGE126" s="1"/>
      <c r="UGF126" s="1"/>
      <c r="UGG126" s="1"/>
      <c r="UGH126" s="1"/>
      <c r="UGI126" s="1"/>
      <c r="UGJ126" s="1"/>
      <c r="UGK126" s="1"/>
      <c r="UGL126" s="1"/>
      <c r="UGM126" s="1"/>
      <c r="UGN126" s="1"/>
      <c r="UGO126" s="1"/>
      <c r="UGP126" s="1"/>
      <c r="UGQ126" s="1"/>
      <c r="UGR126" s="1"/>
      <c r="UGS126" s="1"/>
      <c r="UGT126" s="1"/>
      <c r="UGU126" s="1"/>
      <c r="UGV126" s="1"/>
      <c r="UGW126" s="1"/>
      <c r="UGX126" s="1"/>
      <c r="UGY126" s="1"/>
      <c r="UGZ126" s="1"/>
      <c r="UHA126" s="1"/>
      <c r="UHB126" s="1"/>
      <c r="UHC126" s="1"/>
      <c r="UHD126" s="1"/>
      <c r="UHE126" s="1"/>
      <c r="UHF126" s="1"/>
      <c r="UHG126" s="1"/>
      <c r="UHH126" s="1"/>
      <c r="UHI126" s="1"/>
      <c r="UHJ126" s="1"/>
      <c r="UHK126" s="1"/>
      <c r="UHL126" s="1"/>
      <c r="UHM126" s="1"/>
      <c r="UHN126" s="1"/>
      <c r="UHO126" s="1"/>
      <c r="UHP126" s="1"/>
      <c r="UHQ126" s="1"/>
      <c r="UHR126" s="1"/>
      <c r="UHS126" s="1"/>
      <c r="UHT126" s="1"/>
      <c r="UHU126" s="1"/>
      <c r="UHV126" s="1"/>
      <c r="UHW126" s="1"/>
      <c r="UHX126" s="1"/>
      <c r="UHY126" s="1"/>
      <c r="UHZ126" s="1"/>
      <c r="UIA126" s="1"/>
      <c r="UIB126" s="1"/>
      <c r="UIC126" s="1"/>
      <c r="UID126" s="1"/>
      <c r="UIE126" s="1"/>
      <c r="UIF126" s="1"/>
      <c r="UIG126" s="1"/>
      <c r="UIH126" s="1"/>
      <c r="UII126" s="1"/>
      <c r="UIJ126" s="1"/>
      <c r="UIK126" s="1"/>
      <c r="UIL126" s="1"/>
      <c r="UIM126" s="1"/>
      <c r="UIN126" s="1"/>
      <c r="UIO126" s="1"/>
      <c r="UIP126" s="1"/>
      <c r="UIQ126" s="1"/>
      <c r="UIR126" s="1"/>
      <c r="UIS126" s="1"/>
      <c r="UIT126" s="1"/>
      <c r="UIU126" s="1"/>
      <c r="UIV126" s="1"/>
      <c r="UIW126" s="1"/>
      <c r="UIX126" s="1"/>
      <c r="UIY126" s="1"/>
      <c r="UIZ126" s="1"/>
      <c r="UJA126" s="1"/>
      <c r="UJB126" s="1"/>
      <c r="UJC126" s="1"/>
      <c r="UJD126" s="1"/>
      <c r="UJE126" s="1"/>
      <c r="UJF126" s="1"/>
      <c r="UJG126" s="1"/>
      <c r="UJH126" s="1"/>
      <c r="UJI126" s="1"/>
      <c r="UJJ126" s="1"/>
      <c r="UJK126" s="1"/>
      <c r="UJL126" s="1"/>
      <c r="UJM126" s="1"/>
      <c r="UJN126" s="1"/>
      <c r="UJO126" s="1"/>
      <c r="UJP126" s="1"/>
      <c r="UJQ126" s="1"/>
      <c r="UJR126" s="1"/>
      <c r="UJS126" s="1"/>
      <c r="UJT126" s="1"/>
      <c r="UJU126" s="1"/>
      <c r="UJV126" s="1"/>
      <c r="UJW126" s="1"/>
      <c r="UJX126" s="1"/>
      <c r="UJY126" s="1"/>
      <c r="UJZ126" s="1"/>
      <c r="UKA126" s="1"/>
      <c r="UKB126" s="1"/>
      <c r="UKC126" s="1"/>
      <c r="UKD126" s="1"/>
      <c r="UKE126" s="1"/>
      <c r="UKF126" s="1"/>
      <c r="UKG126" s="1"/>
      <c r="UKH126" s="1"/>
      <c r="UKI126" s="1"/>
      <c r="UKJ126" s="1"/>
      <c r="UKK126" s="1"/>
      <c r="UKL126" s="1"/>
      <c r="UKM126" s="1"/>
      <c r="UKN126" s="1"/>
      <c r="UKO126" s="1"/>
      <c r="UKP126" s="1"/>
      <c r="UKQ126" s="1"/>
      <c r="UKR126" s="1"/>
      <c r="UKS126" s="1"/>
      <c r="UKT126" s="1"/>
      <c r="UKU126" s="1"/>
      <c r="UKV126" s="1"/>
      <c r="UKW126" s="1"/>
      <c r="UKX126" s="1"/>
      <c r="UKY126" s="1"/>
      <c r="UKZ126" s="1"/>
      <c r="ULA126" s="1"/>
      <c r="ULB126" s="1"/>
      <c r="ULC126" s="1"/>
      <c r="ULD126" s="1"/>
      <c r="ULE126" s="1"/>
      <c r="ULF126" s="1"/>
      <c r="ULG126" s="1"/>
      <c r="ULH126" s="1"/>
      <c r="ULI126" s="1"/>
      <c r="ULJ126" s="1"/>
      <c r="ULK126" s="1"/>
      <c r="ULL126" s="1"/>
      <c r="ULM126" s="1"/>
      <c r="ULN126" s="1"/>
      <c r="ULO126" s="1"/>
      <c r="ULP126" s="1"/>
      <c r="ULQ126" s="1"/>
      <c r="ULR126" s="1"/>
      <c r="ULS126" s="1"/>
      <c r="ULT126" s="1"/>
      <c r="ULU126" s="1"/>
      <c r="ULV126" s="1"/>
      <c r="ULW126" s="1"/>
      <c r="ULX126" s="1"/>
      <c r="ULY126" s="1"/>
      <c r="ULZ126" s="1"/>
      <c r="UMA126" s="1"/>
      <c r="UMB126" s="1"/>
      <c r="UMC126" s="1"/>
      <c r="UMD126" s="1"/>
      <c r="UME126" s="1"/>
      <c r="UMF126" s="1"/>
      <c r="UMG126" s="1"/>
      <c r="UMH126" s="1"/>
      <c r="UMI126" s="1"/>
      <c r="UMJ126" s="1"/>
      <c r="UMK126" s="1"/>
      <c r="UML126" s="1"/>
      <c r="UMM126" s="1"/>
      <c r="UMN126" s="1"/>
      <c r="UMO126" s="1"/>
      <c r="UMP126" s="1"/>
      <c r="UMQ126" s="1"/>
      <c r="UMR126" s="1"/>
      <c r="UMS126" s="1"/>
      <c r="UMT126" s="1"/>
      <c r="UMU126" s="1"/>
      <c r="UMV126" s="1"/>
      <c r="UMW126" s="1"/>
      <c r="UMX126" s="1"/>
      <c r="UMY126" s="1"/>
      <c r="UMZ126" s="1"/>
      <c r="UNA126" s="1"/>
      <c r="UNB126" s="1"/>
      <c r="UNC126" s="1"/>
      <c r="UND126" s="1"/>
      <c r="UNE126" s="1"/>
      <c r="UNF126" s="1"/>
      <c r="UNG126" s="1"/>
      <c r="UNH126" s="1"/>
      <c r="UNI126" s="1"/>
      <c r="UNJ126" s="1"/>
      <c r="UNK126" s="1"/>
      <c r="UNL126" s="1"/>
      <c r="UNM126" s="1"/>
      <c r="UNN126" s="1"/>
      <c r="UNO126" s="1"/>
      <c r="UNP126" s="1"/>
      <c r="UNQ126" s="1"/>
      <c r="UNR126" s="1"/>
      <c r="UNS126" s="1"/>
      <c r="UNT126" s="1"/>
      <c r="UNU126" s="1"/>
      <c r="UNV126" s="1"/>
      <c r="UNW126" s="1"/>
      <c r="UNX126" s="1"/>
      <c r="UNY126" s="1"/>
      <c r="UNZ126" s="1"/>
      <c r="UOA126" s="1"/>
      <c r="UOB126" s="1"/>
      <c r="UOC126" s="1"/>
      <c r="UOD126" s="1"/>
      <c r="UOE126" s="1"/>
      <c r="UOF126" s="1"/>
      <c r="UOG126" s="1"/>
      <c r="UOH126" s="1"/>
      <c r="UOI126" s="1"/>
      <c r="UOJ126" s="1"/>
      <c r="UOK126" s="1"/>
      <c r="UOL126" s="1"/>
      <c r="UOM126" s="1"/>
      <c r="UON126" s="1"/>
      <c r="UOO126" s="1"/>
      <c r="UOP126" s="1"/>
      <c r="UOQ126" s="1"/>
      <c r="UOR126" s="1"/>
      <c r="UOS126" s="1"/>
      <c r="UOT126" s="1"/>
      <c r="UOU126" s="1"/>
      <c r="UOV126" s="1"/>
      <c r="UOW126" s="1"/>
      <c r="UOX126" s="1"/>
      <c r="UOY126" s="1"/>
      <c r="UOZ126" s="1"/>
      <c r="UPA126" s="1"/>
      <c r="UPB126" s="1"/>
      <c r="UPC126" s="1"/>
      <c r="UPD126" s="1"/>
      <c r="UPE126" s="1"/>
      <c r="UPF126" s="1"/>
      <c r="UPG126" s="1"/>
      <c r="UPH126" s="1"/>
      <c r="UPI126" s="1"/>
      <c r="UPJ126" s="1"/>
      <c r="UPK126" s="1"/>
      <c r="UPL126" s="1"/>
      <c r="UPM126" s="1"/>
      <c r="UPN126" s="1"/>
      <c r="UPO126" s="1"/>
      <c r="UPP126" s="1"/>
      <c r="UPQ126" s="1"/>
      <c r="UPR126" s="1"/>
      <c r="UPS126" s="1"/>
      <c r="UPT126" s="1"/>
      <c r="UPU126" s="1"/>
      <c r="UPV126" s="1"/>
      <c r="UPW126" s="1"/>
      <c r="UPX126" s="1"/>
      <c r="UPY126" s="1"/>
      <c r="UPZ126" s="1"/>
      <c r="UQA126" s="1"/>
      <c r="UQB126" s="1"/>
      <c r="UQC126" s="1"/>
      <c r="UQD126" s="1"/>
      <c r="UQE126" s="1"/>
      <c r="UQF126" s="1"/>
      <c r="UQG126" s="1"/>
      <c r="UQH126" s="1"/>
      <c r="UQI126" s="1"/>
      <c r="UQJ126" s="1"/>
      <c r="UQK126" s="1"/>
      <c r="UQL126" s="1"/>
      <c r="UQM126" s="1"/>
      <c r="UQN126" s="1"/>
      <c r="UQO126" s="1"/>
      <c r="UQP126" s="1"/>
      <c r="UQQ126" s="1"/>
      <c r="UQR126" s="1"/>
      <c r="UQS126" s="1"/>
      <c r="UQT126" s="1"/>
      <c r="UQU126" s="1"/>
      <c r="UQV126" s="1"/>
      <c r="UQW126" s="1"/>
      <c r="UQX126" s="1"/>
      <c r="UQY126" s="1"/>
      <c r="UQZ126" s="1"/>
      <c r="URA126" s="1"/>
      <c r="URB126" s="1"/>
      <c r="URC126" s="1"/>
      <c r="URD126" s="1"/>
      <c r="URE126" s="1"/>
      <c r="URF126" s="1"/>
      <c r="URG126" s="1"/>
      <c r="URH126" s="1"/>
      <c r="URI126" s="1"/>
      <c r="URJ126" s="1"/>
      <c r="URK126" s="1"/>
      <c r="URL126" s="1"/>
      <c r="URM126" s="1"/>
      <c r="URN126" s="1"/>
      <c r="URO126" s="1"/>
      <c r="URP126" s="1"/>
      <c r="URQ126" s="1"/>
      <c r="URR126" s="1"/>
      <c r="URS126" s="1"/>
      <c r="URT126" s="1"/>
      <c r="URU126" s="1"/>
      <c r="URV126" s="1"/>
      <c r="URW126" s="1"/>
      <c r="URX126" s="1"/>
      <c r="URY126" s="1"/>
      <c r="URZ126" s="1"/>
      <c r="USA126" s="1"/>
      <c r="USB126" s="1"/>
      <c r="USC126" s="1"/>
      <c r="USD126" s="1"/>
      <c r="USE126" s="1"/>
      <c r="USF126" s="1"/>
      <c r="USG126" s="1"/>
      <c r="USH126" s="1"/>
      <c r="USI126" s="1"/>
      <c r="USJ126" s="1"/>
      <c r="USK126" s="1"/>
      <c r="USL126" s="1"/>
      <c r="USM126" s="1"/>
      <c r="USN126" s="1"/>
      <c r="USO126" s="1"/>
      <c r="USP126" s="1"/>
      <c r="USQ126" s="1"/>
      <c r="USR126" s="1"/>
      <c r="USS126" s="1"/>
      <c r="UST126" s="1"/>
      <c r="USU126" s="1"/>
      <c r="USV126" s="1"/>
      <c r="USW126" s="1"/>
      <c r="USX126" s="1"/>
      <c r="USY126" s="1"/>
      <c r="USZ126" s="1"/>
      <c r="UTA126" s="1"/>
      <c r="UTB126" s="1"/>
      <c r="UTC126" s="1"/>
      <c r="UTD126" s="1"/>
      <c r="UTE126" s="1"/>
      <c r="UTF126" s="1"/>
      <c r="UTG126" s="1"/>
      <c r="UTH126" s="1"/>
      <c r="UTI126" s="1"/>
      <c r="UTJ126" s="1"/>
      <c r="UTK126" s="1"/>
      <c r="UTL126" s="1"/>
      <c r="UTM126" s="1"/>
      <c r="UTN126" s="1"/>
      <c r="UTO126" s="1"/>
      <c r="UTP126" s="1"/>
      <c r="UTQ126" s="1"/>
      <c r="UTR126" s="1"/>
      <c r="UTS126" s="1"/>
      <c r="UTT126" s="1"/>
      <c r="UTU126" s="1"/>
      <c r="UTV126" s="1"/>
      <c r="UTW126" s="1"/>
      <c r="UTX126" s="1"/>
      <c r="UTY126" s="1"/>
      <c r="UTZ126" s="1"/>
      <c r="UUA126" s="1"/>
      <c r="UUB126" s="1"/>
      <c r="UUC126" s="1"/>
      <c r="UUD126" s="1"/>
      <c r="UUE126" s="1"/>
      <c r="UUF126" s="1"/>
      <c r="UUG126" s="1"/>
      <c r="UUH126" s="1"/>
      <c r="UUI126" s="1"/>
      <c r="UUJ126" s="1"/>
      <c r="UUK126" s="1"/>
      <c r="UUL126" s="1"/>
      <c r="UUM126" s="1"/>
      <c r="UUN126" s="1"/>
      <c r="UUO126" s="1"/>
      <c r="UUP126" s="1"/>
      <c r="UUQ126" s="1"/>
      <c r="UUR126" s="1"/>
      <c r="UUS126" s="1"/>
      <c r="UUT126" s="1"/>
      <c r="UUU126" s="1"/>
      <c r="UUV126" s="1"/>
      <c r="UUW126" s="1"/>
      <c r="UUX126" s="1"/>
      <c r="UUY126" s="1"/>
      <c r="UUZ126" s="1"/>
      <c r="UVA126" s="1"/>
      <c r="UVB126" s="1"/>
      <c r="UVC126" s="1"/>
      <c r="UVD126" s="1"/>
      <c r="UVE126" s="1"/>
      <c r="UVF126" s="1"/>
      <c r="UVG126" s="1"/>
      <c r="UVH126" s="1"/>
      <c r="UVI126" s="1"/>
      <c r="UVJ126" s="1"/>
      <c r="UVK126" s="1"/>
      <c r="UVL126" s="1"/>
      <c r="UVM126" s="1"/>
      <c r="UVN126" s="1"/>
      <c r="UVO126" s="1"/>
      <c r="UVP126" s="1"/>
      <c r="UVQ126" s="1"/>
      <c r="UVR126" s="1"/>
      <c r="UVS126" s="1"/>
      <c r="UVT126" s="1"/>
      <c r="UVU126" s="1"/>
      <c r="UVV126" s="1"/>
      <c r="UVW126" s="1"/>
      <c r="UVX126" s="1"/>
      <c r="UVY126" s="1"/>
      <c r="UVZ126" s="1"/>
      <c r="UWA126" s="1"/>
      <c r="UWB126" s="1"/>
      <c r="UWC126" s="1"/>
      <c r="UWD126" s="1"/>
      <c r="UWE126" s="1"/>
      <c r="UWF126" s="1"/>
      <c r="UWG126" s="1"/>
      <c r="UWH126" s="1"/>
      <c r="UWI126" s="1"/>
      <c r="UWJ126" s="1"/>
      <c r="UWK126" s="1"/>
      <c r="UWL126" s="1"/>
      <c r="UWM126" s="1"/>
      <c r="UWN126" s="1"/>
      <c r="UWO126" s="1"/>
      <c r="UWP126" s="1"/>
      <c r="UWQ126" s="1"/>
      <c r="UWR126" s="1"/>
      <c r="UWS126" s="1"/>
      <c r="UWT126" s="1"/>
      <c r="UWU126" s="1"/>
      <c r="UWV126" s="1"/>
      <c r="UWW126" s="1"/>
      <c r="UWX126" s="1"/>
      <c r="UWY126" s="1"/>
      <c r="UWZ126" s="1"/>
      <c r="UXA126" s="1"/>
      <c r="UXB126" s="1"/>
      <c r="UXC126" s="1"/>
      <c r="UXD126" s="1"/>
      <c r="UXE126" s="1"/>
      <c r="UXF126" s="1"/>
      <c r="UXG126" s="1"/>
      <c r="UXH126" s="1"/>
      <c r="UXI126" s="1"/>
      <c r="UXJ126" s="1"/>
      <c r="UXK126" s="1"/>
      <c r="UXL126" s="1"/>
      <c r="UXM126" s="1"/>
      <c r="UXN126" s="1"/>
      <c r="UXO126" s="1"/>
      <c r="UXP126" s="1"/>
      <c r="UXQ126" s="1"/>
      <c r="UXR126" s="1"/>
      <c r="UXS126" s="1"/>
      <c r="UXT126" s="1"/>
      <c r="UXU126" s="1"/>
      <c r="UXV126" s="1"/>
      <c r="UXW126" s="1"/>
      <c r="UXX126" s="1"/>
      <c r="UXY126" s="1"/>
      <c r="UXZ126" s="1"/>
      <c r="UYA126" s="1"/>
      <c r="UYB126" s="1"/>
      <c r="UYC126" s="1"/>
      <c r="UYD126" s="1"/>
      <c r="UYE126" s="1"/>
      <c r="UYF126" s="1"/>
      <c r="UYG126" s="1"/>
      <c r="UYH126" s="1"/>
      <c r="UYI126" s="1"/>
      <c r="UYJ126" s="1"/>
      <c r="UYK126" s="1"/>
      <c r="UYL126" s="1"/>
      <c r="UYM126" s="1"/>
      <c r="UYN126" s="1"/>
      <c r="UYO126" s="1"/>
      <c r="UYP126" s="1"/>
      <c r="UYQ126" s="1"/>
      <c r="UYR126" s="1"/>
      <c r="UYS126" s="1"/>
      <c r="UYT126" s="1"/>
      <c r="UYU126" s="1"/>
      <c r="UYV126" s="1"/>
      <c r="UYW126" s="1"/>
      <c r="UYX126" s="1"/>
      <c r="UYY126" s="1"/>
      <c r="UYZ126" s="1"/>
      <c r="UZA126" s="1"/>
      <c r="UZB126" s="1"/>
      <c r="UZC126" s="1"/>
      <c r="UZD126" s="1"/>
      <c r="UZE126" s="1"/>
      <c r="UZF126" s="1"/>
      <c r="UZG126" s="1"/>
      <c r="UZH126" s="1"/>
      <c r="UZI126" s="1"/>
      <c r="UZJ126" s="1"/>
      <c r="UZK126" s="1"/>
      <c r="UZL126" s="1"/>
      <c r="UZM126" s="1"/>
      <c r="UZN126" s="1"/>
      <c r="UZO126" s="1"/>
      <c r="UZP126" s="1"/>
      <c r="UZQ126" s="1"/>
      <c r="UZR126" s="1"/>
      <c r="UZS126" s="1"/>
      <c r="UZT126" s="1"/>
      <c r="UZU126" s="1"/>
      <c r="UZV126" s="1"/>
      <c r="UZW126" s="1"/>
      <c r="UZX126" s="1"/>
      <c r="UZY126" s="1"/>
      <c r="UZZ126" s="1"/>
      <c r="VAA126" s="1"/>
      <c r="VAB126" s="1"/>
      <c r="VAC126" s="1"/>
      <c r="VAD126" s="1"/>
      <c r="VAE126" s="1"/>
      <c r="VAF126" s="1"/>
      <c r="VAG126" s="1"/>
      <c r="VAH126" s="1"/>
      <c r="VAI126" s="1"/>
      <c r="VAJ126" s="1"/>
      <c r="VAK126" s="1"/>
      <c r="VAL126" s="1"/>
      <c r="VAM126" s="1"/>
      <c r="VAN126" s="1"/>
      <c r="VAO126" s="1"/>
      <c r="VAP126" s="1"/>
      <c r="VAQ126" s="1"/>
      <c r="VAR126" s="1"/>
      <c r="VAS126" s="1"/>
      <c r="VAT126" s="1"/>
      <c r="VAU126" s="1"/>
      <c r="VAV126" s="1"/>
      <c r="VAW126" s="1"/>
      <c r="VAX126" s="1"/>
      <c r="VAY126" s="1"/>
      <c r="VAZ126" s="1"/>
      <c r="VBA126" s="1"/>
      <c r="VBB126" s="1"/>
      <c r="VBC126" s="1"/>
      <c r="VBD126" s="1"/>
      <c r="VBE126" s="1"/>
      <c r="VBF126" s="1"/>
      <c r="VBG126" s="1"/>
      <c r="VBH126" s="1"/>
      <c r="VBI126" s="1"/>
      <c r="VBJ126" s="1"/>
      <c r="VBK126" s="1"/>
      <c r="VBL126" s="1"/>
      <c r="VBM126" s="1"/>
      <c r="VBN126" s="1"/>
      <c r="VBO126" s="1"/>
      <c r="VBP126" s="1"/>
      <c r="VBQ126" s="1"/>
      <c r="VBR126" s="1"/>
      <c r="VBS126" s="1"/>
      <c r="VBT126" s="1"/>
      <c r="VBU126" s="1"/>
      <c r="VBV126" s="1"/>
      <c r="VBW126" s="1"/>
      <c r="VBX126" s="1"/>
      <c r="VBY126" s="1"/>
      <c r="VBZ126" s="1"/>
      <c r="VCA126" s="1"/>
      <c r="VCB126" s="1"/>
      <c r="VCC126" s="1"/>
      <c r="VCD126" s="1"/>
      <c r="VCE126" s="1"/>
      <c r="VCF126" s="1"/>
      <c r="VCG126" s="1"/>
      <c r="VCH126" s="1"/>
      <c r="VCI126" s="1"/>
      <c r="VCJ126" s="1"/>
      <c r="VCK126" s="1"/>
      <c r="VCL126" s="1"/>
      <c r="VCM126" s="1"/>
      <c r="VCN126" s="1"/>
      <c r="VCO126" s="1"/>
      <c r="VCP126" s="1"/>
      <c r="VCQ126" s="1"/>
      <c r="VCR126" s="1"/>
      <c r="VCS126" s="1"/>
      <c r="VCT126" s="1"/>
      <c r="VCU126" s="1"/>
      <c r="VCV126" s="1"/>
      <c r="VCW126" s="1"/>
      <c r="VCX126" s="1"/>
      <c r="VCY126" s="1"/>
      <c r="VCZ126" s="1"/>
      <c r="VDA126" s="1"/>
      <c r="VDB126" s="1"/>
      <c r="VDC126" s="1"/>
      <c r="VDD126" s="1"/>
      <c r="VDE126" s="1"/>
      <c r="VDF126" s="1"/>
      <c r="VDG126" s="1"/>
      <c r="VDH126" s="1"/>
      <c r="VDI126" s="1"/>
      <c r="VDJ126" s="1"/>
      <c r="VDK126" s="1"/>
      <c r="VDL126" s="1"/>
      <c r="VDM126" s="1"/>
      <c r="VDN126" s="1"/>
      <c r="VDO126" s="1"/>
      <c r="VDP126" s="1"/>
      <c r="VDQ126" s="1"/>
      <c r="VDR126" s="1"/>
      <c r="VDS126" s="1"/>
      <c r="VDT126" s="1"/>
      <c r="VDU126" s="1"/>
      <c r="VDV126" s="1"/>
      <c r="VDW126" s="1"/>
      <c r="VDX126" s="1"/>
      <c r="VDY126" s="1"/>
      <c r="VDZ126" s="1"/>
      <c r="VEA126" s="1"/>
      <c r="VEB126" s="1"/>
      <c r="VEC126" s="1"/>
      <c r="VED126" s="1"/>
      <c r="VEE126" s="1"/>
      <c r="VEF126" s="1"/>
      <c r="VEG126" s="1"/>
      <c r="VEH126" s="1"/>
      <c r="VEI126" s="1"/>
      <c r="VEJ126" s="1"/>
      <c r="VEK126" s="1"/>
      <c r="VEL126" s="1"/>
      <c r="VEM126" s="1"/>
      <c r="VEN126" s="1"/>
      <c r="VEO126" s="1"/>
      <c r="VEP126" s="1"/>
      <c r="VEQ126" s="1"/>
      <c r="VER126" s="1"/>
      <c r="VES126" s="1"/>
      <c r="VET126" s="1"/>
      <c r="VEU126" s="1"/>
      <c r="VEV126" s="1"/>
      <c r="VEW126" s="1"/>
      <c r="VEX126" s="1"/>
      <c r="VEY126" s="1"/>
      <c r="VEZ126" s="1"/>
      <c r="VFA126" s="1"/>
      <c r="VFB126" s="1"/>
      <c r="VFC126" s="1"/>
      <c r="VFD126" s="1"/>
      <c r="VFE126" s="1"/>
      <c r="VFF126" s="1"/>
      <c r="VFG126" s="1"/>
      <c r="VFH126" s="1"/>
      <c r="VFI126" s="1"/>
      <c r="VFJ126" s="1"/>
      <c r="VFK126" s="1"/>
      <c r="VFL126" s="1"/>
      <c r="VFM126" s="1"/>
      <c r="VFN126" s="1"/>
      <c r="VFO126" s="1"/>
      <c r="VFP126" s="1"/>
      <c r="VFQ126" s="1"/>
      <c r="VFR126" s="1"/>
      <c r="VFS126" s="1"/>
      <c r="VFT126" s="1"/>
      <c r="VFU126" s="1"/>
      <c r="VFV126" s="1"/>
      <c r="VFW126" s="1"/>
      <c r="VFX126" s="1"/>
      <c r="VFY126" s="1"/>
      <c r="VFZ126" s="1"/>
      <c r="VGA126" s="1"/>
      <c r="VGB126" s="1"/>
      <c r="VGC126" s="1"/>
      <c r="VGD126" s="1"/>
      <c r="VGE126" s="1"/>
      <c r="VGF126" s="1"/>
      <c r="VGG126" s="1"/>
      <c r="VGH126" s="1"/>
      <c r="VGI126" s="1"/>
      <c r="VGJ126" s="1"/>
      <c r="VGK126" s="1"/>
      <c r="VGL126" s="1"/>
      <c r="VGM126" s="1"/>
      <c r="VGN126" s="1"/>
      <c r="VGO126" s="1"/>
      <c r="VGP126" s="1"/>
      <c r="VGQ126" s="1"/>
      <c r="VGR126" s="1"/>
      <c r="VGS126" s="1"/>
      <c r="VGT126" s="1"/>
      <c r="VGU126" s="1"/>
      <c r="VGV126" s="1"/>
      <c r="VGW126" s="1"/>
      <c r="VGX126" s="1"/>
      <c r="VGY126" s="1"/>
      <c r="VGZ126" s="1"/>
      <c r="VHA126" s="1"/>
      <c r="VHB126" s="1"/>
      <c r="VHC126" s="1"/>
      <c r="VHD126" s="1"/>
      <c r="VHE126" s="1"/>
      <c r="VHF126" s="1"/>
      <c r="VHG126" s="1"/>
      <c r="VHH126" s="1"/>
      <c r="VHI126" s="1"/>
      <c r="VHJ126" s="1"/>
      <c r="VHK126" s="1"/>
      <c r="VHL126" s="1"/>
      <c r="VHM126" s="1"/>
      <c r="VHN126" s="1"/>
      <c r="VHO126" s="1"/>
      <c r="VHP126" s="1"/>
      <c r="VHQ126" s="1"/>
      <c r="VHR126" s="1"/>
      <c r="VHS126" s="1"/>
      <c r="VHT126" s="1"/>
      <c r="VHU126" s="1"/>
      <c r="VHV126" s="1"/>
      <c r="VHW126" s="1"/>
      <c r="VHX126" s="1"/>
      <c r="VHY126" s="1"/>
      <c r="VHZ126" s="1"/>
      <c r="VIA126" s="1"/>
      <c r="VIB126" s="1"/>
      <c r="VIC126" s="1"/>
      <c r="VID126" s="1"/>
      <c r="VIE126" s="1"/>
      <c r="VIF126" s="1"/>
      <c r="VIG126" s="1"/>
      <c r="VIH126" s="1"/>
      <c r="VII126" s="1"/>
      <c r="VIJ126" s="1"/>
      <c r="VIK126" s="1"/>
      <c r="VIL126" s="1"/>
      <c r="VIM126" s="1"/>
      <c r="VIN126" s="1"/>
      <c r="VIO126" s="1"/>
      <c r="VIP126" s="1"/>
      <c r="VIQ126" s="1"/>
      <c r="VIR126" s="1"/>
      <c r="VIS126" s="1"/>
      <c r="VIT126" s="1"/>
      <c r="VIU126" s="1"/>
      <c r="VIV126" s="1"/>
      <c r="VIW126" s="1"/>
      <c r="VIX126" s="1"/>
      <c r="VIY126" s="1"/>
      <c r="VIZ126" s="1"/>
      <c r="VJA126" s="1"/>
      <c r="VJB126" s="1"/>
      <c r="VJC126" s="1"/>
      <c r="VJD126" s="1"/>
      <c r="VJE126" s="1"/>
      <c r="VJF126" s="1"/>
      <c r="VJG126" s="1"/>
      <c r="VJH126" s="1"/>
      <c r="VJI126" s="1"/>
      <c r="VJJ126" s="1"/>
      <c r="VJK126" s="1"/>
      <c r="VJL126" s="1"/>
      <c r="VJM126" s="1"/>
      <c r="VJN126" s="1"/>
      <c r="VJO126" s="1"/>
      <c r="VJP126" s="1"/>
      <c r="VJQ126" s="1"/>
      <c r="VJR126" s="1"/>
      <c r="VJS126" s="1"/>
      <c r="VJT126" s="1"/>
      <c r="VJU126" s="1"/>
      <c r="VJV126" s="1"/>
      <c r="VJW126" s="1"/>
      <c r="VJX126" s="1"/>
      <c r="VJY126" s="1"/>
      <c r="VJZ126" s="1"/>
      <c r="VKA126" s="1"/>
      <c r="VKB126" s="1"/>
      <c r="VKC126" s="1"/>
      <c r="VKD126" s="1"/>
      <c r="VKE126" s="1"/>
      <c r="VKF126" s="1"/>
      <c r="VKG126" s="1"/>
      <c r="VKH126" s="1"/>
      <c r="VKI126" s="1"/>
      <c r="VKJ126" s="1"/>
      <c r="VKK126" s="1"/>
      <c r="VKL126" s="1"/>
      <c r="VKM126" s="1"/>
      <c r="VKN126" s="1"/>
      <c r="VKO126" s="1"/>
      <c r="VKP126" s="1"/>
      <c r="VKQ126" s="1"/>
      <c r="VKR126" s="1"/>
      <c r="VKS126" s="1"/>
      <c r="VKT126" s="1"/>
      <c r="VKU126" s="1"/>
      <c r="VKV126" s="1"/>
      <c r="VKW126" s="1"/>
      <c r="VKX126" s="1"/>
      <c r="VKY126" s="1"/>
      <c r="VKZ126" s="1"/>
      <c r="VLA126" s="1"/>
      <c r="VLB126" s="1"/>
      <c r="VLC126" s="1"/>
      <c r="VLD126" s="1"/>
      <c r="VLE126" s="1"/>
      <c r="VLF126" s="1"/>
      <c r="VLG126" s="1"/>
      <c r="VLH126" s="1"/>
      <c r="VLI126" s="1"/>
      <c r="VLJ126" s="1"/>
      <c r="VLK126" s="1"/>
      <c r="VLL126" s="1"/>
      <c r="VLM126" s="1"/>
      <c r="VLN126" s="1"/>
      <c r="VLO126" s="1"/>
      <c r="VLP126" s="1"/>
      <c r="VLQ126" s="1"/>
      <c r="VLR126" s="1"/>
      <c r="VLS126" s="1"/>
      <c r="VLT126" s="1"/>
      <c r="VLU126" s="1"/>
      <c r="VLV126" s="1"/>
      <c r="VLW126" s="1"/>
      <c r="VLX126" s="1"/>
      <c r="VLY126" s="1"/>
      <c r="VLZ126" s="1"/>
      <c r="VMA126" s="1"/>
      <c r="VMB126" s="1"/>
      <c r="VMC126" s="1"/>
      <c r="VMD126" s="1"/>
      <c r="VME126" s="1"/>
      <c r="VMF126" s="1"/>
      <c r="VMG126" s="1"/>
      <c r="VMH126" s="1"/>
      <c r="VMI126" s="1"/>
      <c r="VMJ126" s="1"/>
      <c r="VMK126" s="1"/>
      <c r="VML126" s="1"/>
      <c r="VMM126" s="1"/>
      <c r="VMN126" s="1"/>
      <c r="VMO126" s="1"/>
      <c r="VMP126" s="1"/>
      <c r="VMQ126" s="1"/>
      <c r="VMR126" s="1"/>
      <c r="VMS126" s="1"/>
      <c r="VMT126" s="1"/>
      <c r="VMU126" s="1"/>
      <c r="VMV126" s="1"/>
      <c r="VMW126" s="1"/>
      <c r="VMX126" s="1"/>
      <c r="VMY126" s="1"/>
      <c r="VMZ126" s="1"/>
      <c r="VNA126" s="1"/>
      <c r="VNB126" s="1"/>
      <c r="VNC126" s="1"/>
      <c r="VND126" s="1"/>
      <c r="VNE126" s="1"/>
      <c r="VNF126" s="1"/>
      <c r="VNG126" s="1"/>
      <c r="VNH126" s="1"/>
      <c r="VNI126" s="1"/>
      <c r="VNJ126" s="1"/>
      <c r="VNK126" s="1"/>
      <c r="VNL126" s="1"/>
      <c r="VNM126" s="1"/>
      <c r="VNN126" s="1"/>
      <c r="VNO126" s="1"/>
      <c r="VNP126" s="1"/>
      <c r="VNQ126" s="1"/>
      <c r="VNR126" s="1"/>
      <c r="VNS126" s="1"/>
      <c r="VNT126" s="1"/>
      <c r="VNU126" s="1"/>
      <c r="VNV126" s="1"/>
      <c r="VNW126" s="1"/>
      <c r="VNX126" s="1"/>
      <c r="VNY126" s="1"/>
      <c r="VNZ126" s="1"/>
      <c r="VOA126" s="1"/>
      <c r="VOB126" s="1"/>
      <c r="VOC126" s="1"/>
      <c r="VOD126" s="1"/>
      <c r="VOE126" s="1"/>
      <c r="VOF126" s="1"/>
      <c r="VOG126" s="1"/>
      <c r="VOH126" s="1"/>
      <c r="VOI126" s="1"/>
      <c r="VOJ126" s="1"/>
      <c r="VOK126" s="1"/>
      <c r="VOL126" s="1"/>
      <c r="VOM126" s="1"/>
      <c r="VON126" s="1"/>
      <c r="VOO126" s="1"/>
      <c r="VOP126" s="1"/>
      <c r="VOQ126" s="1"/>
      <c r="VOR126" s="1"/>
      <c r="VOS126" s="1"/>
      <c r="VOT126" s="1"/>
      <c r="VOU126" s="1"/>
      <c r="VOV126" s="1"/>
      <c r="VOW126" s="1"/>
      <c r="VOX126" s="1"/>
      <c r="VOY126" s="1"/>
      <c r="VOZ126" s="1"/>
      <c r="VPA126" s="1"/>
      <c r="VPB126" s="1"/>
      <c r="VPC126" s="1"/>
      <c r="VPD126" s="1"/>
      <c r="VPE126" s="1"/>
      <c r="VPF126" s="1"/>
      <c r="VPG126" s="1"/>
      <c r="VPH126" s="1"/>
      <c r="VPI126" s="1"/>
      <c r="VPJ126" s="1"/>
      <c r="VPK126" s="1"/>
      <c r="VPL126" s="1"/>
      <c r="VPM126" s="1"/>
      <c r="VPN126" s="1"/>
      <c r="VPO126" s="1"/>
      <c r="VPP126" s="1"/>
      <c r="VPQ126" s="1"/>
      <c r="VPR126" s="1"/>
      <c r="VPS126" s="1"/>
      <c r="VPT126" s="1"/>
      <c r="VPU126" s="1"/>
      <c r="VPV126" s="1"/>
      <c r="VPW126" s="1"/>
      <c r="VPX126" s="1"/>
      <c r="VPY126" s="1"/>
      <c r="VPZ126" s="1"/>
      <c r="VQA126" s="1"/>
      <c r="VQB126" s="1"/>
      <c r="VQC126" s="1"/>
      <c r="VQD126" s="1"/>
      <c r="VQE126" s="1"/>
      <c r="VQF126" s="1"/>
      <c r="VQG126" s="1"/>
      <c r="VQH126" s="1"/>
      <c r="VQI126" s="1"/>
      <c r="VQJ126" s="1"/>
      <c r="VQK126" s="1"/>
      <c r="VQL126" s="1"/>
      <c r="VQM126" s="1"/>
      <c r="VQN126" s="1"/>
      <c r="VQO126" s="1"/>
      <c r="VQP126" s="1"/>
      <c r="VQQ126" s="1"/>
      <c r="VQR126" s="1"/>
      <c r="VQS126" s="1"/>
      <c r="VQT126" s="1"/>
      <c r="VQU126" s="1"/>
      <c r="VQV126" s="1"/>
      <c r="VQW126" s="1"/>
      <c r="VQX126" s="1"/>
      <c r="VQY126" s="1"/>
      <c r="VQZ126" s="1"/>
      <c r="VRA126" s="1"/>
      <c r="VRB126" s="1"/>
      <c r="VRC126" s="1"/>
      <c r="VRD126" s="1"/>
      <c r="VRE126" s="1"/>
      <c r="VRF126" s="1"/>
      <c r="VRG126" s="1"/>
      <c r="VRH126" s="1"/>
      <c r="VRI126" s="1"/>
      <c r="VRJ126" s="1"/>
      <c r="VRK126" s="1"/>
      <c r="VRL126" s="1"/>
      <c r="VRM126" s="1"/>
      <c r="VRN126" s="1"/>
      <c r="VRO126" s="1"/>
      <c r="VRP126" s="1"/>
      <c r="VRQ126" s="1"/>
      <c r="VRR126" s="1"/>
      <c r="VRS126" s="1"/>
      <c r="VRT126" s="1"/>
      <c r="VRU126" s="1"/>
      <c r="VRV126" s="1"/>
      <c r="VRW126" s="1"/>
      <c r="VRX126" s="1"/>
      <c r="VRY126" s="1"/>
      <c r="VRZ126" s="1"/>
      <c r="VSA126" s="1"/>
      <c r="VSB126" s="1"/>
      <c r="VSC126" s="1"/>
      <c r="VSD126" s="1"/>
      <c r="VSE126" s="1"/>
      <c r="VSF126" s="1"/>
      <c r="VSG126" s="1"/>
      <c r="VSH126" s="1"/>
      <c r="VSI126" s="1"/>
      <c r="VSJ126" s="1"/>
      <c r="VSK126" s="1"/>
      <c r="VSL126" s="1"/>
      <c r="VSM126" s="1"/>
      <c r="VSN126" s="1"/>
      <c r="VSO126" s="1"/>
      <c r="VSP126" s="1"/>
      <c r="VSQ126" s="1"/>
      <c r="VSR126" s="1"/>
      <c r="VSS126" s="1"/>
      <c r="VST126" s="1"/>
      <c r="VSU126" s="1"/>
      <c r="VSV126" s="1"/>
      <c r="VSW126" s="1"/>
      <c r="VSX126" s="1"/>
      <c r="VSY126" s="1"/>
      <c r="VSZ126" s="1"/>
      <c r="VTA126" s="1"/>
      <c r="VTB126" s="1"/>
      <c r="VTC126" s="1"/>
      <c r="VTD126" s="1"/>
      <c r="VTE126" s="1"/>
      <c r="VTF126" s="1"/>
      <c r="VTG126" s="1"/>
      <c r="VTH126" s="1"/>
      <c r="VTI126" s="1"/>
      <c r="VTJ126" s="1"/>
      <c r="VTK126" s="1"/>
      <c r="VTL126" s="1"/>
      <c r="VTM126" s="1"/>
      <c r="VTN126" s="1"/>
      <c r="VTO126" s="1"/>
      <c r="VTP126" s="1"/>
      <c r="VTQ126" s="1"/>
      <c r="VTR126" s="1"/>
      <c r="VTS126" s="1"/>
      <c r="VTT126" s="1"/>
      <c r="VTU126" s="1"/>
      <c r="VTV126" s="1"/>
      <c r="VTW126" s="1"/>
      <c r="VTX126" s="1"/>
      <c r="VTY126" s="1"/>
      <c r="VTZ126" s="1"/>
      <c r="VUA126" s="1"/>
      <c r="VUB126" s="1"/>
      <c r="VUC126" s="1"/>
      <c r="VUD126" s="1"/>
      <c r="VUE126" s="1"/>
      <c r="VUF126" s="1"/>
      <c r="VUG126" s="1"/>
      <c r="VUH126" s="1"/>
      <c r="VUI126" s="1"/>
      <c r="VUJ126" s="1"/>
      <c r="VUK126" s="1"/>
      <c r="VUL126" s="1"/>
      <c r="VUM126" s="1"/>
      <c r="VUN126" s="1"/>
      <c r="VUO126" s="1"/>
      <c r="VUP126" s="1"/>
      <c r="VUQ126" s="1"/>
      <c r="VUR126" s="1"/>
      <c r="VUS126" s="1"/>
      <c r="VUT126" s="1"/>
      <c r="VUU126" s="1"/>
      <c r="VUV126" s="1"/>
      <c r="VUW126" s="1"/>
      <c r="VUX126" s="1"/>
      <c r="VUY126" s="1"/>
      <c r="VUZ126" s="1"/>
      <c r="VVA126" s="1"/>
      <c r="VVB126" s="1"/>
      <c r="VVC126" s="1"/>
      <c r="VVD126" s="1"/>
      <c r="VVE126" s="1"/>
      <c r="VVF126" s="1"/>
      <c r="VVG126" s="1"/>
      <c r="VVH126" s="1"/>
      <c r="VVI126" s="1"/>
      <c r="VVJ126" s="1"/>
      <c r="VVK126" s="1"/>
      <c r="VVL126" s="1"/>
      <c r="VVM126" s="1"/>
      <c r="VVN126" s="1"/>
      <c r="VVO126" s="1"/>
      <c r="VVP126" s="1"/>
      <c r="VVQ126" s="1"/>
      <c r="VVR126" s="1"/>
      <c r="VVS126" s="1"/>
      <c r="VVT126" s="1"/>
      <c r="VVU126" s="1"/>
      <c r="VVV126" s="1"/>
      <c r="VVW126" s="1"/>
      <c r="VVX126" s="1"/>
      <c r="VVY126" s="1"/>
      <c r="VVZ126" s="1"/>
      <c r="VWA126" s="1"/>
      <c r="VWB126" s="1"/>
      <c r="VWC126" s="1"/>
      <c r="VWD126" s="1"/>
      <c r="VWE126" s="1"/>
      <c r="VWF126" s="1"/>
      <c r="VWG126" s="1"/>
      <c r="VWH126" s="1"/>
      <c r="VWI126" s="1"/>
      <c r="VWJ126" s="1"/>
      <c r="VWK126" s="1"/>
      <c r="VWL126" s="1"/>
      <c r="VWM126" s="1"/>
      <c r="VWN126" s="1"/>
      <c r="VWO126" s="1"/>
      <c r="VWP126" s="1"/>
      <c r="VWQ126" s="1"/>
      <c r="VWR126" s="1"/>
      <c r="VWS126" s="1"/>
      <c r="VWT126" s="1"/>
      <c r="VWU126" s="1"/>
      <c r="VWV126" s="1"/>
      <c r="VWW126" s="1"/>
      <c r="VWX126" s="1"/>
      <c r="VWY126" s="1"/>
      <c r="VWZ126" s="1"/>
      <c r="VXA126" s="1"/>
      <c r="VXB126" s="1"/>
      <c r="VXC126" s="1"/>
      <c r="VXD126" s="1"/>
      <c r="VXE126" s="1"/>
      <c r="VXF126" s="1"/>
      <c r="VXG126" s="1"/>
      <c r="VXH126" s="1"/>
      <c r="VXI126" s="1"/>
      <c r="VXJ126" s="1"/>
      <c r="VXK126" s="1"/>
      <c r="VXL126" s="1"/>
      <c r="VXM126" s="1"/>
      <c r="VXN126" s="1"/>
      <c r="VXO126" s="1"/>
      <c r="VXP126" s="1"/>
      <c r="VXQ126" s="1"/>
      <c r="VXR126" s="1"/>
      <c r="VXS126" s="1"/>
      <c r="VXT126" s="1"/>
      <c r="VXU126" s="1"/>
      <c r="VXV126" s="1"/>
      <c r="VXW126" s="1"/>
      <c r="VXX126" s="1"/>
      <c r="VXY126" s="1"/>
      <c r="VXZ126" s="1"/>
      <c r="VYA126" s="1"/>
      <c r="VYB126" s="1"/>
      <c r="VYC126" s="1"/>
      <c r="VYD126" s="1"/>
      <c r="VYE126" s="1"/>
      <c r="VYF126" s="1"/>
      <c r="VYG126" s="1"/>
      <c r="VYH126" s="1"/>
      <c r="VYI126" s="1"/>
      <c r="VYJ126" s="1"/>
      <c r="VYK126" s="1"/>
      <c r="VYL126" s="1"/>
      <c r="VYM126" s="1"/>
      <c r="VYN126" s="1"/>
      <c r="VYO126" s="1"/>
      <c r="VYP126" s="1"/>
      <c r="VYQ126" s="1"/>
      <c r="VYR126" s="1"/>
      <c r="VYS126" s="1"/>
      <c r="VYT126" s="1"/>
      <c r="VYU126" s="1"/>
      <c r="VYV126" s="1"/>
      <c r="VYW126" s="1"/>
      <c r="VYX126" s="1"/>
      <c r="VYY126" s="1"/>
      <c r="VYZ126" s="1"/>
      <c r="VZA126" s="1"/>
      <c r="VZB126" s="1"/>
      <c r="VZC126" s="1"/>
      <c r="VZD126" s="1"/>
      <c r="VZE126" s="1"/>
      <c r="VZF126" s="1"/>
      <c r="VZG126" s="1"/>
      <c r="VZH126" s="1"/>
      <c r="VZI126" s="1"/>
      <c r="VZJ126" s="1"/>
      <c r="VZK126" s="1"/>
      <c r="VZL126" s="1"/>
      <c r="VZM126" s="1"/>
      <c r="VZN126" s="1"/>
      <c r="VZO126" s="1"/>
      <c r="VZP126" s="1"/>
      <c r="VZQ126" s="1"/>
      <c r="VZR126" s="1"/>
      <c r="VZS126" s="1"/>
      <c r="VZT126" s="1"/>
      <c r="VZU126" s="1"/>
      <c r="VZV126" s="1"/>
      <c r="VZW126" s="1"/>
      <c r="VZX126" s="1"/>
      <c r="VZY126" s="1"/>
      <c r="VZZ126" s="1"/>
      <c r="WAA126" s="1"/>
      <c r="WAB126" s="1"/>
      <c r="WAC126" s="1"/>
      <c r="WAD126" s="1"/>
      <c r="WAE126" s="1"/>
      <c r="WAF126" s="1"/>
      <c r="WAG126" s="1"/>
      <c r="WAH126" s="1"/>
      <c r="WAI126" s="1"/>
      <c r="WAJ126" s="1"/>
      <c r="WAK126" s="1"/>
      <c r="WAL126" s="1"/>
      <c r="WAM126" s="1"/>
      <c r="WAN126" s="1"/>
      <c r="WAO126" s="1"/>
      <c r="WAP126" s="1"/>
      <c r="WAQ126" s="1"/>
      <c r="WAR126" s="1"/>
      <c r="WAS126" s="1"/>
      <c r="WAT126" s="1"/>
      <c r="WAU126" s="1"/>
      <c r="WAV126" s="1"/>
      <c r="WAW126" s="1"/>
      <c r="WAX126" s="1"/>
      <c r="WAY126" s="1"/>
      <c r="WAZ126" s="1"/>
      <c r="WBA126" s="1"/>
      <c r="WBB126" s="1"/>
      <c r="WBC126" s="1"/>
      <c r="WBD126" s="1"/>
      <c r="WBE126" s="1"/>
      <c r="WBF126" s="1"/>
      <c r="WBG126" s="1"/>
      <c r="WBH126" s="1"/>
      <c r="WBI126" s="1"/>
      <c r="WBJ126" s="1"/>
      <c r="WBK126" s="1"/>
      <c r="WBL126" s="1"/>
      <c r="WBM126" s="1"/>
      <c r="WBN126" s="1"/>
      <c r="WBO126" s="1"/>
      <c r="WBP126" s="1"/>
      <c r="WBQ126" s="1"/>
      <c r="WBR126" s="1"/>
      <c r="WBS126" s="1"/>
      <c r="WBT126" s="1"/>
      <c r="WBU126" s="1"/>
      <c r="WBV126" s="1"/>
      <c r="WBW126" s="1"/>
      <c r="WBX126" s="1"/>
      <c r="WBY126" s="1"/>
      <c r="WBZ126" s="1"/>
      <c r="WCA126" s="1"/>
      <c r="WCB126" s="1"/>
      <c r="WCC126" s="1"/>
      <c r="WCD126" s="1"/>
      <c r="WCE126" s="1"/>
      <c r="WCF126" s="1"/>
      <c r="WCG126" s="1"/>
      <c r="WCH126" s="1"/>
      <c r="WCI126" s="1"/>
      <c r="WCJ126" s="1"/>
      <c r="WCK126" s="1"/>
      <c r="WCL126" s="1"/>
      <c r="WCM126" s="1"/>
      <c r="WCN126" s="1"/>
      <c r="WCO126" s="1"/>
      <c r="WCP126" s="1"/>
      <c r="WCQ126" s="1"/>
      <c r="WCR126" s="1"/>
      <c r="WCS126" s="1"/>
      <c r="WCT126" s="1"/>
      <c r="WCU126" s="1"/>
      <c r="WCV126" s="1"/>
      <c r="WCW126" s="1"/>
      <c r="WCX126" s="1"/>
      <c r="WCY126" s="1"/>
      <c r="WCZ126" s="1"/>
      <c r="WDA126" s="1"/>
      <c r="WDB126" s="1"/>
      <c r="WDC126" s="1"/>
      <c r="WDD126" s="1"/>
      <c r="WDE126" s="1"/>
      <c r="WDF126" s="1"/>
      <c r="WDG126" s="1"/>
      <c r="WDH126" s="1"/>
      <c r="WDI126" s="1"/>
      <c r="WDJ126" s="1"/>
      <c r="WDK126" s="1"/>
      <c r="WDL126" s="1"/>
      <c r="WDM126" s="1"/>
      <c r="WDN126" s="1"/>
      <c r="WDO126" s="1"/>
      <c r="WDP126" s="1"/>
      <c r="WDQ126" s="1"/>
      <c r="WDR126" s="1"/>
      <c r="WDS126" s="1"/>
      <c r="WDT126" s="1"/>
      <c r="WDU126" s="1"/>
      <c r="WDV126" s="1"/>
      <c r="WDW126" s="1"/>
      <c r="WDX126" s="1"/>
      <c r="WDY126" s="1"/>
      <c r="WDZ126" s="1"/>
      <c r="WEA126" s="1"/>
      <c r="WEB126" s="1"/>
      <c r="WEC126" s="1"/>
      <c r="WED126" s="1"/>
      <c r="WEE126" s="1"/>
      <c r="WEF126" s="1"/>
      <c r="WEG126" s="1"/>
      <c r="WEH126" s="1"/>
      <c r="WEI126" s="1"/>
      <c r="WEJ126" s="1"/>
      <c r="WEK126" s="1"/>
      <c r="WEL126" s="1"/>
      <c r="WEM126" s="1"/>
      <c r="WEN126" s="1"/>
      <c r="WEO126" s="1"/>
      <c r="WEP126" s="1"/>
      <c r="WEQ126" s="1"/>
      <c r="WER126" s="1"/>
      <c r="WES126" s="1"/>
      <c r="WET126" s="1"/>
      <c r="WEU126" s="1"/>
      <c r="WEV126" s="1"/>
      <c r="WEW126" s="1"/>
      <c r="WEX126" s="1"/>
      <c r="WEY126" s="1"/>
      <c r="WEZ126" s="1"/>
      <c r="WFA126" s="1"/>
      <c r="WFB126" s="1"/>
      <c r="WFC126" s="1"/>
      <c r="WFD126" s="1"/>
      <c r="WFE126" s="1"/>
      <c r="WFF126" s="1"/>
      <c r="WFG126" s="1"/>
      <c r="WFH126" s="1"/>
      <c r="WFI126" s="1"/>
      <c r="WFJ126" s="1"/>
      <c r="WFK126" s="1"/>
      <c r="WFL126" s="1"/>
      <c r="WFM126" s="1"/>
      <c r="WFN126" s="1"/>
      <c r="WFO126" s="1"/>
      <c r="WFP126" s="1"/>
      <c r="WFQ126" s="1"/>
      <c r="WFR126" s="1"/>
      <c r="WFS126" s="1"/>
      <c r="WFT126" s="1"/>
      <c r="WFU126" s="1"/>
      <c r="WFV126" s="1"/>
      <c r="WFW126" s="1"/>
      <c r="WFX126" s="1"/>
      <c r="WFY126" s="1"/>
      <c r="WFZ126" s="1"/>
      <c r="WGA126" s="1"/>
      <c r="WGB126" s="1"/>
      <c r="WGC126" s="1"/>
      <c r="WGD126" s="1"/>
      <c r="WGE126" s="1"/>
      <c r="WGF126" s="1"/>
      <c r="WGG126" s="1"/>
      <c r="WGH126" s="1"/>
      <c r="WGI126" s="1"/>
      <c r="WGJ126" s="1"/>
      <c r="WGK126" s="1"/>
      <c r="WGL126" s="1"/>
      <c r="WGM126" s="1"/>
      <c r="WGN126" s="1"/>
      <c r="WGO126" s="1"/>
      <c r="WGP126" s="1"/>
      <c r="WGQ126" s="1"/>
      <c r="WGR126" s="1"/>
      <c r="WGS126" s="1"/>
      <c r="WGT126" s="1"/>
      <c r="WGU126" s="1"/>
      <c r="WGV126" s="1"/>
      <c r="WGW126" s="1"/>
      <c r="WGX126" s="1"/>
      <c r="WGY126" s="1"/>
      <c r="WGZ126" s="1"/>
      <c r="WHA126" s="1"/>
      <c r="WHB126" s="1"/>
      <c r="WHC126" s="1"/>
      <c r="WHD126" s="1"/>
      <c r="WHE126" s="1"/>
      <c r="WHF126" s="1"/>
      <c r="WHG126" s="1"/>
      <c r="WHH126" s="1"/>
      <c r="WHI126" s="1"/>
      <c r="WHJ126" s="1"/>
      <c r="WHK126" s="1"/>
      <c r="WHL126" s="1"/>
      <c r="WHM126" s="1"/>
      <c r="WHN126" s="1"/>
      <c r="WHO126" s="1"/>
      <c r="WHP126" s="1"/>
      <c r="WHQ126" s="1"/>
      <c r="WHR126" s="1"/>
      <c r="WHS126" s="1"/>
      <c r="WHT126" s="1"/>
      <c r="WHU126" s="1"/>
      <c r="WHV126" s="1"/>
      <c r="WHW126" s="1"/>
      <c r="WHX126" s="1"/>
      <c r="WHY126" s="1"/>
      <c r="WHZ126" s="1"/>
      <c r="WIA126" s="1"/>
      <c r="WIB126" s="1"/>
      <c r="WIC126" s="1"/>
      <c r="WID126" s="1"/>
      <c r="WIE126" s="1"/>
      <c r="WIF126" s="1"/>
      <c r="WIG126" s="1"/>
      <c r="WIH126" s="1"/>
      <c r="WII126" s="1"/>
      <c r="WIJ126" s="1"/>
      <c r="WIK126" s="1"/>
      <c r="WIL126" s="1"/>
      <c r="WIM126" s="1"/>
      <c r="WIN126" s="1"/>
      <c r="WIO126" s="1"/>
      <c r="WIP126" s="1"/>
      <c r="WIQ126" s="1"/>
      <c r="WIR126" s="1"/>
      <c r="WIS126" s="1"/>
      <c r="WIT126" s="1"/>
      <c r="WIU126" s="1"/>
      <c r="WIV126" s="1"/>
      <c r="WIW126" s="1"/>
      <c r="WIX126" s="1"/>
      <c r="WIY126" s="1"/>
      <c r="WIZ126" s="1"/>
      <c r="WJA126" s="1"/>
      <c r="WJB126" s="1"/>
      <c r="WJC126" s="1"/>
      <c r="WJD126" s="1"/>
      <c r="WJE126" s="1"/>
      <c r="WJF126" s="1"/>
      <c r="WJG126" s="1"/>
      <c r="WJH126" s="1"/>
      <c r="WJI126" s="1"/>
      <c r="WJJ126" s="1"/>
      <c r="WJK126" s="1"/>
      <c r="WJL126" s="1"/>
      <c r="WJM126" s="1"/>
      <c r="WJN126" s="1"/>
      <c r="WJO126" s="1"/>
      <c r="WJP126" s="1"/>
      <c r="WJQ126" s="1"/>
      <c r="WJR126" s="1"/>
      <c r="WJS126" s="1"/>
      <c r="WJT126" s="1"/>
      <c r="WJU126" s="1"/>
      <c r="WJV126" s="1"/>
      <c r="WJW126" s="1"/>
      <c r="WJX126" s="1"/>
      <c r="WJY126" s="1"/>
      <c r="WJZ126" s="1"/>
      <c r="WKA126" s="1"/>
      <c r="WKB126" s="1"/>
      <c r="WKC126" s="1"/>
      <c r="WKD126" s="1"/>
      <c r="WKE126" s="1"/>
      <c r="WKF126" s="1"/>
      <c r="WKG126" s="1"/>
      <c r="WKH126" s="1"/>
      <c r="WKI126" s="1"/>
      <c r="WKJ126" s="1"/>
      <c r="WKK126" s="1"/>
      <c r="WKL126" s="1"/>
      <c r="WKM126" s="1"/>
      <c r="WKN126" s="1"/>
      <c r="WKO126" s="1"/>
      <c r="WKP126" s="1"/>
      <c r="WKQ126" s="1"/>
      <c r="WKR126" s="1"/>
      <c r="WKS126" s="1"/>
      <c r="WKT126" s="1"/>
      <c r="WKU126" s="1"/>
      <c r="WKV126" s="1"/>
      <c r="WKW126" s="1"/>
      <c r="WKX126" s="1"/>
      <c r="WKY126" s="1"/>
      <c r="WKZ126" s="1"/>
      <c r="WLA126" s="1"/>
      <c r="WLB126" s="1"/>
      <c r="WLC126" s="1"/>
      <c r="WLD126" s="1"/>
      <c r="WLE126" s="1"/>
      <c r="WLF126" s="1"/>
      <c r="WLG126" s="1"/>
      <c r="WLH126" s="1"/>
      <c r="WLI126" s="1"/>
      <c r="WLJ126" s="1"/>
      <c r="WLK126" s="1"/>
      <c r="WLL126" s="1"/>
      <c r="WLM126" s="1"/>
      <c r="WLN126" s="1"/>
      <c r="WLO126" s="1"/>
      <c r="WLP126" s="1"/>
      <c r="WLQ126" s="1"/>
      <c r="WLR126" s="1"/>
      <c r="WLS126" s="1"/>
      <c r="WLT126" s="1"/>
      <c r="WLU126" s="1"/>
      <c r="WLV126" s="1"/>
      <c r="WLW126" s="1"/>
      <c r="WLX126" s="1"/>
      <c r="WLY126" s="1"/>
      <c r="WLZ126" s="1"/>
      <c r="WMA126" s="1"/>
      <c r="WMB126" s="1"/>
      <c r="WMC126" s="1"/>
      <c r="WMD126" s="1"/>
      <c r="WME126" s="1"/>
      <c r="WMF126" s="1"/>
      <c r="WMG126" s="1"/>
      <c r="WMH126" s="1"/>
      <c r="WMI126" s="1"/>
      <c r="WMJ126" s="1"/>
      <c r="WMK126" s="1"/>
      <c r="WML126" s="1"/>
      <c r="WMM126" s="1"/>
      <c r="WMN126" s="1"/>
      <c r="WMO126" s="1"/>
      <c r="WMP126" s="1"/>
      <c r="WMQ126" s="1"/>
      <c r="WMR126" s="1"/>
      <c r="WMS126" s="1"/>
      <c r="WMT126" s="1"/>
      <c r="WMU126" s="1"/>
      <c r="WMV126" s="1"/>
      <c r="WMW126" s="1"/>
      <c r="WMX126" s="1"/>
      <c r="WMY126" s="1"/>
      <c r="WMZ126" s="1"/>
      <c r="WNA126" s="1"/>
      <c r="WNB126" s="1"/>
      <c r="WNC126" s="1"/>
      <c r="WND126" s="1"/>
      <c r="WNE126" s="1"/>
      <c r="WNF126" s="1"/>
      <c r="WNG126" s="1"/>
      <c r="WNH126" s="1"/>
      <c r="WNI126" s="1"/>
      <c r="WNJ126" s="1"/>
      <c r="WNK126" s="1"/>
      <c r="WNL126" s="1"/>
      <c r="WNM126" s="1"/>
      <c r="WNN126" s="1"/>
      <c r="WNO126" s="1"/>
      <c r="WNP126" s="1"/>
      <c r="WNQ126" s="1"/>
      <c r="WNR126" s="1"/>
      <c r="WNS126" s="1"/>
      <c r="WNT126" s="1"/>
      <c r="WNU126" s="1"/>
      <c r="WNV126" s="1"/>
      <c r="WNW126" s="1"/>
      <c r="WNX126" s="1"/>
      <c r="WNY126" s="1"/>
      <c r="WNZ126" s="1"/>
      <c r="WOA126" s="1"/>
      <c r="WOB126" s="1"/>
      <c r="WOC126" s="1"/>
      <c r="WOD126" s="1"/>
      <c r="WOE126" s="1"/>
      <c r="WOF126" s="1"/>
      <c r="WOG126" s="1"/>
      <c r="WOH126" s="1"/>
      <c r="WOI126" s="1"/>
      <c r="WOJ126" s="1"/>
      <c r="WOK126" s="1"/>
      <c r="WOL126" s="1"/>
      <c r="WOM126" s="1"/>
      <c r="WON126" s="1"/>
      <c r="WOO126" s="1"/>
      <c r="WOP126" s="1"/>
      <c r="WOQ126" s="1"/>
      <c r="WOR126" s="1"/>
      <c r="WOS126" s="1"/>
      <c r="WOT126" s="1"/>
      <c r="WOU126" s="1"/>
      <c r="WOV126" s="1"/>
      <c r="WOW126" s="1"/>
      <c r="WOX126" s="1"/>
      <c r="WOY126" s="1"/>
      <c r="WOZ126" s="1"/>
      <c r="WPA126" s="1"/>
      <c r="WPB126" s="1"/>
      <c r="WPC126" s="1"/>
      <c r="WPD126" s="1"/>
      <c r="WPE126" s="1"/>
      <c r="WPF126" s="1"/>
      <c r="WPG126" s="1"/>
      <c r="WPH126" s="1"/>
      <c r="WPI126" s="1"/>
      <c r="WPJ126" s="1"/>
      <c r="WPK126" s="1"/>
      <c r="WPL126" s="1"/>
      <c r="WPM126" s="1"/>
      <c r="WPN126" s="1"/>
      <c r="WPO126" s="1"/>
      <c r="WPP126" s="1"/>
      <c r="WPQ126" s="1"/>
      <c r="WPR126" s="1"/>
      <c r="WPS126" s="1"/>
      <c r="WPT126" s="1"/>
      <c r="WPU126" s="1"/>
      <c r="WPV126" s="1"/>
      <c r="WPW126" s="1"/>
      <c r="WPX126" s="1"/>
      <c r="WPY126" s="1"/>
      <c r="WPZ126" s="1"/>
      <c r="WQA126" s="1"/>
      <c r="WQB126" s="1"/>
      <c r="WQC126" s="1"/>
      <c r="WQD126" s="1"/>
      <c r="WQE126" s="1"/>
      <c r="WQF126" s="1"/>
      <c r="WQG126" s="1"/>
      <c r="WQH126" s="1"/>
      <c r="WQI126" s="1"/>
      <c r="WQJ126" s="1"/>
      <c r="WQK126" s="1"/>
      <c r="WQL126" s="1"/>
      <c r="WQM126" s="1"/>
      <c r="WQN126" s="1"/>
      <c r="WQO126" s="1"/>
      <c r="WQP126" s="1"/>
      <c r="WQQ126" s="1"/>
      <c r="WQR126" s="1"/>
      <c r="WQS126" s="1"/>
      <c r="WQT126" s="1"/>
      <c r="WQU126" s="1"/>
      <c r="WQV126" s="1"/>
      <c r="WQW126" s="1"/>
      <c r="WQX126" s="1"/>
      <c r="WQY126" s="1"/>
      <c r="WQZ126" s="1"/>
      <c r="WRA126" s="1"/>
      <c r="WRB126" s="1"/>
      <c r="WRC126" s="1"/>
      <c r="WRD126" s="1"/>
      <c r="WRE126" s="1"/>
      <c r="WRF126" s="1"/>
      <c r="WRG126" s="1"/>
      <c r="WRH126" s="1"/>
      <c r="WRI126" s="1"/>
      <c r="WRJ126" s="1"/>
      <c r="WRK126" s="1"/>
      <c r="WRL126" s="1"/>
      <c r="WRM126" s="1"/>
      <c r="WRN126" s="1"/>
      <c r="WRO126" s="1"/>
      <c r="WRP126" s="1"/>
      <c r="WRQ126" s="1"/>
      <c r="WRR126" s="1"/>
      <c r="WRS126" s="1"/>
      <c r="WRT126" s="1"/>
      <c r="WRU126" s="1"/>
      <c r="WRV126" s="1"/>
      <c r="WRW126" s="1"/>
      <c r="WRX126" s="1"/>
      <c r="WRY126" s="1"/>
      <c r="WRZ126" s="1"/>
      <c r="WSA126" s="1"/>
      <c r="WSB126" s="1"/>
      <c r="WSC126" s="1"/>
      <c r="WSD126" s="1"/>
      <c r="WSE126" s="1"/>
      <c r="WSF126" s="1"/>
      <c r="WSG126" s="1"/>
      <c r="WSH126" s="1"/>
      <c r="WSI126" s="1"/>
      <c r="WSJ126" s="1"/>
      <c r="WSK126" s="1"/>
      <c r="WSL126" s="1"/>
      <c r="WSM126" s="1"/>
      <c r="WSN126" s="1"/>
      <c r="WSO126" s="1"/>
      <c r="WSP126" s="1"/>
      <c r="WSQ126" s="1"/>
      <c r="WSR126" s="1"/>
      <c r="WSS126" s="1"/>
      <c r="WST126" s="1"/>
      <c r="WSU126" s="1"/>
      <c r="WSV126" s="1"/>
      <c r="WSW126" s="1"/>
      <c r="WSX126" s="1"/>
      <c r="WSY126" s="1"/>
      <c r="WSZ126" s="1"/>
      <c r="WTA126" s="1"/>
      <c r="WTB126" s="1"/>
      <c r="WTC126" s="1"/>
      <c r="WTD126" s="1"/>
      <c r="WTE126" s="1"/>
      <c r="WTF126" s="1"/>
      <c r="WTG126" s="1"/>
      <c r="WTH126" s="1"/>
      <c r="WTI126" s="1"/>
      <c r="WTJ126" s="1"/>
      <c r="WTK126" s="1"/>
      <c r="WTL126" s="1"/>
      <c r="WTM126" s="1"/>
      <c r="WTN126" s="1"/>
      <c r="WTO126" s="1"/>
      <c r="WTP126" s="1"/>
      <c r="WTQ126" s="1"/>
      <c r="WTR126" s="1"/>
      <c r="WTS126" s="1"/>
      <c r="WTT126" s="1"/>
      <c r="WTU126" s="1"/>
      <c r="WTV126" s="1"/>
      <c r="WTW126" s="1"/>
      <c r="WTX126" s="1"/>
      <c r="WTY126" s="1"/>
      <c r="WTZ126" s="1"/>
      <c r="WUA126" s="1"/>
      <c r="WUB126" s="1"/>
      <c r="WUC126" s="1"/>
      <c r="WUD126" s="1"/>
      <c r="WUE126" s="1"/>
      <c r="WUF126" s="1"/>
      <c r="WUG126" s="1"/>
      <c r="WUH126" s="1"/>
      <c r="WUI126" s="1"/>
      <c r="WUJ126" s="1"/>
      <c r="WUK126" s="1"/>
      <c r="WUL126" s="1"/>
      <c r="WUM126" s="1"/>
      <c r="WUN126" s="1"/>
      <c r="WUO126" s="1"/>
      <c r="WUP126" s="1"/>
      <c r="WUQ126" s="1"/>
      <c r="WUR126" s="1"/>
      <c r="WUS126" s="1"/>
      <c r="WUT126" s="1"/>
      <c r="WUU126" s="1"/>
      <c r="WUV126" s="1"/>
      <c r="WUW126" s="1"/>
      <c r="WUX126" s="1"/>
      <c r="WUY126" s="1"/>
      <c r="WUZ126" s="1"/>
      <c r="WVA126" s="1"/>
      <c r="WVB126" s="1"/>
      <c r="WVC126" s="1"/>
      <c r="WVD126" s="1"/>
      <c r="WVE126" s="1"/>
      <c r="WVF126" s="1"/>
      <c r="WVG126" s="1"/>
      <c r="WVH126" s="1"/>
      <c r="WVI126" s="1"/>
      <c r="WVJ126" s="1"/>
      <c r="WVK126" s="1"/>
      <c r="WVL126" s="1"/>
      <c r="WVM126" s="1"/>
      <c r="WVN126" s="1"/>
      <c r="WVO126" s="1"/>
      <c r="WVP126" s="1"/>
      <c r="WVQ126" s="1"/>
      <c r="WVR126" s="1"/>
      <c r="WVS126" s="1"/>
      <c r="WVT126" s="1"/>
      <c r="WVU126" s="1"/>
      <c r="WVV126" s="1"/>
      <c r="WVW126" s="1"/>
      <c r="WVX126" s="1"/>
      <c r="WVY126" s="1"/>
      <c r="WVZ126" s="1"/>
      <c r="WWA126" s="1"/>
      <c r="WWB126" s="1"/>
      <c r="WWC126" s="1"/>
      <c r="WWD126" s="1"/>
      <c r="WWE126" s="1"/>
      <c r="WWF126" s="1"/>
      <c r="WWG126" s="1"/>
      <c r="WWH126" s="1"/>
      <c r="WWI126" s="1"/>
      <c r="WWJ126" s="1"/>
      <c r="WWK126" s="1"/>
      <c r="WWL126" s="1"/>
      <c r="WWM126" s="1"/>
      <c r="WWN126" s="1"/>
      <c r="WWO126" s="1"/>
      <c r="WWP126" s="1"/>
      <c r="WWQ126" s="1"/>
      <c r="WWR126" s="1"/>
      <c r="WWS126" s="1"/>
      <c r="WWT126" s="1"/>
      <c r="WWU126" s="1"/>
      <c r="WWV126" s="1"/>
      <c r="WWW126" s="1"/>
      <c r="WWX126" s="1"/>
      <c r="WWY126" s="1"/>
      <c r="WWZ126" s="1"/>
      <c r="WXA126" s="1"/>
      <c r="WXB126" s="1"/>
      <c r="WXC126" s="1"/>
      <c r="WXD126" s="1"/>
      <c r="WXE126" s="1"/>
      <c r="WXF126" s="1"/>
      <c r="WXG126" s="1"/>
      <c r="WXH126" s="1"/>
      <c r="WXI126" s="1"/>
      <c r="WXJ126" s="1"/>
      <c r="WXK126" s="1"/>
      <c r="WXL126" s="1"/>
      <c r="WXM126" s="1"/>
      <c r="WXN126" s="1"/>
      <c r="WXO126" s="1"/>
      <c r="WXP126" s="1"/>
      <c r="WXQ126" s="1"/>
      <c r="WXR126" s="1"/>
      <c r="WXS126" s="1"/>
      <c r="WXT126" s="1"/>
      <c r="WXU126" s="1"/>
      <c r="WXV126" s="1"/>
      <c r="WXW126" s="1"/>
      <c r="WXX126" s="1"/>
      <c r="WXY126" s="1"/>
      <c r="WXZ126" s="1"/>
      <c r="WYA126" s="1"/>
      <c r="WYB126" s="1"/>
      <c r="WYC126" s="1"/>
      <c r="WYD126" s="1"/>
      <c r="WYE126" s="1"/>
      <c r="WYF126" s="1"/>
      <c r="WYG126" s="1"/>
      <c r="WYH126" s="1"/>
      <c r="WYI126" s="1"/>
      <c r="WYJ126" s="1"/>
      <c r="WYK126" s="1"/>
      <c r="WYL126" s="1"/>
      <c r="WYM126" s="1"/>
      <c r="WYN126" s="1"/>
      <c r="WYO126" s="1"/>
      <c r="WYP126" s="1"/>
      <c r="WYQ126" s="1"/>
      <c r="WYR126" s="1"/>
      <c r="WYS126" s="1"/>
      <c r="WYT126" s="1"/>
      <c r="WYU126" s="1"/>
      <c r="WYV126" s="1"/>
      <c r="WYW126" s="1"/>
      <c r="WYX126" s="1"/>
      <c r="WYY126" s="1"/>
      <c r="WYZ126" s="1"/>
      <c r="WZA126" s="1"/>
      <c r="WZB126" s="1"/>
      <c r="WZC126" s="1"/>
      <c r="WZD126" s="1"/>
      <c r="WZE126" s="1"/>
      <c r="WZF126" s="1"/>
      <c r="WZG126" s="1"/>
      <c r="WZH126" s="1"/>
      <c r="WZI126" s="1"/>
      <c r="WZJ126" s="1"/>
      <c r="WZK126" s="1"/>
      <c r="WZL126" s="1"/>
      <c r="WZM126" s="1"/>
      <c r="WZN126" s="1"/>
      <c r="WZO126" s="1"/>
      <c r="WZP126" s="1"/>
      <c r="WZQ126" s="1"/>
      <c r="WZR126" s="1"/>
      <c r="WZS126" s="1"/>
      <c r="WZT126" s="1"/>
      <c r="WZU126" s="1"/>
      <c r="WZV126" s="1"/>
      <c r="WZW126" s="1"/>
      <c r="WZX126" s="1"/>
      <c r="WZY126" s="1"/>
      <c r="WZZ126" s="1"/>
      <c r="XAA126" s="1"/>
      <c r="XAB126" s="1"/>
      <c r="XAC126" s="1"/>
      <c r="XAD126" s="1"/>
      <c r="XAE126" s="1"/>
      <c r="XAF126" s="1"/>
      <c r="XAG126" s="1"/>
      <c r="XAH126" s="1"/>
      <c r="XAI126" s="1"/>
      <c r="XAJ126" s="1"/>
      <c r="XAK126" s="1"/>
      <c r="XAL126" s="1"/>
      <c r="XAM126" s="1"/>
      <c r="XAN126" s="1"/>
      <c r="XAO126" s="1"/>
      <c r="XAP126" s="1"/>
      <c r="XAQ126" s="1"/>
      <c r="XAR126" s="1"/>
      <c r="XAS126" s="1"/>
      <c r="XAT126" s="1"/>
      <c r="XAU126" s="1"/>
      <c r="XAV126" s="1"/>
      <c r="XAW126" s="1"/>
      <c r="XAX126" s="1"/>
      <c r="XAY126" s="1"/>
      <c r="XAZ126" s="1"/>
      <c r="XBA126" s="1"/>
      <c r="XBB126" s="1"/>
      <c r="XBC126" s="1"/>
      <c r="XBD126" s="1"/>
      <c r="XBE126" s="1"/>
      <c r="XBF126" s="1"/>
      <c r="XBG126" s="1"/>
      <c r="XBH126" s="1"/>
      <c r="XBI126" s="1"/>
      <c r="XBJ126" s="1"/>
      <c r="XBK126" s="1"/>
      <c r="XBL126" s="1"/>
      <c r="XBM126" s="1"/>
      <c r="XBN126" s="1"/>
      <c r="XBO126" s="1"/>
      <c r="XBP126" s="1"/>
      <c r="XBQ126" s="1"/>
      <c r="XBR126" s="1"/>
      <c r="XBS126" s="1"/>
      <c r="XBT126" s="1"/>
      <c r="XBU126" s="1"/>
      <c r="XBV126" s="1"/>
      <c r="XBW126" s="1"/>
      <c r="XBX126" s="1"/>
      <c r="XBY126" s="1"/>
      <c r="XBZ126" s="1"/>
      <c r="XCA126" s="1"/>
      <c r="XCB126" s="1"/>
      <c r="XCC126" s="1"/>
      <c r="XCD126" s="1"/>
      <c r="XCE126" s="1"/>
      <c r="XCF126" s="1"/>
      <c r="XCG126" s="1"/>
      <c r="XCH126" s="1"/>
      <c r="XCI126" s="1"/>
      <c r="XCJ126" s="1"/>
      <c r="XCK126" s="1"/>
      <c r="XCL126" s="1"/>
      <c r="XCM126" s="1"/>
      <c r="XCN126" s="1"/>
      <c r="XCO126" s="1"/>
      <c r="XCP126" s="1"/>
      <c r="XCQ126" s="1"/>
      <c r="XCR126" s="1"/>
      <c r="XCS126" s="1"/>
      <c r="XCT126" s="1"/>
      <c r="XCU126" s="1"/>
      <c r="XCV126" s="1"/>
      <c r="XCW126" s="1"/>
      <c r="XCX126" s="1"/>
      <c r="XCY126" s="1"/>
      <c r="XCZ126" s="1"/>
      <c r="XDA126" s="1"/>
      <c r="XDB126" s="1"/>
      <c r="XDC126" s="1"/>
      <c r="XDD126" s="1"/>
      <c r="XDE126" s="1"/>
      <c r="XDF126" s="1"/>
      <c r="XDG126" s="1"/>
      <c r="XDH126" s="1"/>
      <c r="XDI126" s="1"/>
      <c r="XDJ126" s="1"/>
      <c r="XDK126" s="1"/>
      <c r="XDL126" s="1"/>
      <c r="XDM126" s="1"/>
      <c r="XDN126" s="1"/>
      <c r="XDO126" s="1"/>
      <c r="XDP126" s="1"/>
      <c r="XDQ126" s="1"/>
      <c r="XDR126" s="1"/>
      <c r="XDS126" s="1"/>
      <c r="XDT126" s="1"/>
      <c r="XDU126" s="1"/>
      <c r="XDV126" s="1"/>
      <c r="XDW126" s="1"/>
      <c r="XDX126" s="1"/>
      <c r="XDY126" s="1"/>
      <c r="XDZ126" s="1"/>
      <c r="XEA126" s="1"/>
      <c r="XEB126" s="1"/>
      <c r="XEC126" s="1"/>
      <c r="XED126" s="1"/>
      <c r="XEE126" s="1"/>
      <c r="XEF126" s="1"/>
      <c r="XEG126" s="1"/>
      <c r="XEH126" s="1"/>
      <c r="XEI126" s="1"/>
      <c r="XEJ126" s="1"/>
      <c r="XEK126" s="1"/>
      <c r="XEL126" s="1"/>
      <c r="XEM126" s="1"/>
      <c r="XEN126" s="1"/>
      <c r="XEO126" s="1"/>
      <c r="XEP126" s="1"/>
      <c r="XEQ126" s="1"/>
      <c r="XER126" s="1"/>
      <c r="XES126" s="1"/>
      <c r="XET126" s="1"/>
      <c r="XEU126" s="1"/>
      <c r="XEV126" s="1"/>
      <c r="XEW126" s="1"/>
      <c r="XEX126" s="1"/>
      <c r="XEY126" s="1"/>
      <c r="XEZ126" s="1"/>
      <c r="XFA126" s="1"/>
      <c r="XFB126" s="1"/>
      <c r="XFC126" s="1"/>
      <c r="XFD126" s="1"/>
    </row>
    <row r="127" spans="1:16384">
      <c r="B127" s="14" t="s">
        <v>253</v>
      </c>
      <c r="C127" s="14" t="s">
        <v>254</v>
      </c>
      <c r="D127" s="14" t="s">
        <v>254</v>
      </c>
      <c r="E127" s="15">
        <v>42233</v>
      </c>
      <c r="F127" s="18">
        <v>42231</v>
      </c>
      <c r="G127" s="17" t="str">
        <f t="shared" si="14"/>
        <v/>
      </c>
      <c r="H127" s="15">
        <v>42415</v>
      </c>
      <c r="I127" s="15">
        <v>53008</v>
      </c>
      <c r="J127" s="15" t="s">
        <v>292</v>
      </c>
      <c r="K127" s="16">
        <v>2.8750000000000001E-2</v>
      </c>
      <c r="L127" s="15">
        <v>53189</v>
      </c>
      <c r="M127" s="19" t="str">
        <f ca="1">_xll.meLWOBondCreateFromGeneratorLVB(C127,$M$4,_xll.meUtilityLVBFromKeysValues($C$6:$L$6,C127:L127))</f>
        <v>US912810RN00@1314:4</v>
      </c>
      <c r="N127" s="53">
        <f ca="1">_xll.BDP($B127,$N$5)</f>
        <v>3.3542505999999999</v>
      </c>
      <c r="O127" s="52">
        <f ca="1">_xll.meLWOBondCleanPrice($M127,$C$4,$N127%)</f>
        <v>91.578124881646971</v>
      </c>
      <c r="P127" s="52">
        <f ca="1">_xll.meLWOBondDirtyPrice($M127,$C$4,$N127%)</f>
        <v>92.304687381646971</v>
      </c>
      <c r="Q127" s="51">
        <f ca="1">_xll.meLWOBondYield($M127,$C$4,O127)</f>
        <v>3.3542505999999729E-2</v>
      </c>
      <c r="R127" s="52">
        <f ca="1">_xll.meLWOBondModifiedDuration($M127,$C$4,$N127%)</f>
        <v>17.985694232309136</v>
      </c>
      <c r="S127" s="21">
        <f ca="1">_xll.meLWOBondDV01($M127,$C$4,$N127%)</f>
        <v>1660.1638834551857</v>
      </c>
      <c r="T127" s="49">
        <f t="shared" ca="1" si="13"/>
        <v>3.3542505999999999</v>
      </c>
      <c r="U127" s="20">
        <f ca="1">_xll.BDP($B127,U$6, "YAS_BOND_YLD="&amp;$T127,"YAS_YLD_CONV=2")</f>
        <v>91.578124881646957</v>
      </c>
      <c r="V127" s="21">
        <f ca="1">_xll.meLWOBondCleanPrice($M127,$C$4,$T127%)</f>
        <v>91.578124881646971</v>
      </c>
      <c r="W127" s="22">
        <f t="shared" ca="1" si="15"/>
        <v>1.4210854715202004E-14</v>
      </c>
      <c r="X127" s="21">
        <f ca="1">_xll.meLWOBondDV01($M127,$C$4,$T127%)</f>
        <v>1660.1638834551857</v>
      </c>
      <c r="Y127" s="20">
        <f ca="1">_xll.BDP($B127,Y$6, "YLD_YTM_ASK="&amp;$T127,"YAS_YLD_CONV=3")*$Y$3*0.0001</f>
        <v>1660.1655226573798</v>
      </c>
      <c r="Z127" s="22">
        <f t="shared" ca="1" si="16"/>
        <v>1.6392021941555868E-3</v>
      </c>
      <c r="AA127" s="21">
        <f ca="1">_xll.meLWOBondDirtyPrice($M127,$C$4,$T127%)</f>
        <v>92.304687381646971</v>
      </c>
      <c r="AB127" s="21">
        <f ca="1">_xll.meLWOBondModifiedDuration($M127,$C$4,$T127%)</f>
        <v>17.985694232309136</v>
      </c>
      <c r="AC127" s="20">
        <f ca="1">_xll.BDP($B127,AC$6,"YLD_YTM_ASK="&amp;$T127,"YAS_YLD_CONV=3")</f>
        <v>17.985711990911049</v>
      </c>
      <c r="AD127" s="22">
        <f t="shared" ca="1" si="17"/>
        <v>1.7758601913442362E-5</v>
      </c>
      <c r="AE127" s="21">
        <f ca="1">_xll.meLWOBondDV01Numerical($M127,$C$4,$T127%,0.5,"CENTRAL")</f>
        <v>1660.1642932587879</v>
      </c>
    </row>
    <row r="128" spans="1:16384">
      <c r="B128" s="14" t="s">
        <v>273</v>
      </c>
      <c r="C128" s="14" t="s">
        <v>274</v>
      </c>
      <c r="D128" s="14" t="s">
        <v>274</v>
      </c>
      <c r="E128" s="15">
        <v>42324</v>
      </c>
      <c r="F128" s="18">
        <v>42323</v>
      </c>
      <c r="G128" s="17" t="str">
        <f t="shared" si="14"/>
        <v/>
      </c>
      <c r="H128" s="15">
        <v>42505</v>
      </c>
      <c r="I128" s="15">
        <v>53097</v>
      </c>
      <c r="J128" s="15" t="s">
        <v>292</v>
      </c>
      <c r="K128" s="16">
        <v>0.03</v>
      </c>
      <c r="L128" s="15">
        <v>53281</v>
      </c>
      <c r="M128" s="19" t="str">
        <f ca="1">_xll.meLWOBondCreateFromGeneratorLVB(C128,$M$4,_xll.meUtilityLVBFromKeysValues($C$6:$L$6,C128:L128))</f>
        <v>US912810RP57@1313:4</v>
      </c>
      <c r="N128" s="53">
        <f ca="1">_xll.BDP($B128,$N$5)</f>
        <v>3.3509525999999998</v>
      </c>
      <c r="O128" s="52">
        <f ca="1">_xll.meLWOBondCleanPrice($M128,$C$4,$N128%)</f>
        <v>93.796875413783582</v>
      </c>
      <c r="P128" s="52">
        <f ca="1">_xll.meLWOBondDirtyPrice($M128,$C$4,$N128%)</f>
        <v>93.805162706601266</v>
      </c>
      <c r="Q128" s="51">
        <f ca="1">_xll.meLWOBondYield($M128,$C$4,O128)</f>
        <v>3.3509525999999984E-2</v>
      </c>
      <c r="R128" s="52">
        <f ca="1">_xll.meLWOBondModifiedDuration($M128,$C$4,$N128%)</f>
        <v>18.077500532148498</v>
      </c>
      <c r="S128" s="21">
        <f ca="1">_xll.meLWOBondDV01($M128,$C$4,$N128%)</f>
        <v>1695.7628787468609</v>
      </c>
      <c r="T128" s="49">
        <f t="shared" ca="1" si="13"/>
        <v>3.3509525999999998</v>
      </c>
      <c r="U128" s="20">
        <f ca="1">_xll.BDP($B128,U$6, "YAS_BOND_YLD="&amp;$T128,"YAS_YLD_CONV=2")</f>
        <v>93.796875413783567</v>
      </c>
      <c r="V128" s="21">
        <f ca="1">_xll.meLWOBondCleanPrice($M128,$C$4,$T128%)</f>
        <v>93.796875413783582</v>
      </c>
      <c r="W128" s="22">
        <f t="shared" ca="1" si="15"/>
        <v>1.4210854715202004E-14</v>
      </c>
      <c r="X128" s="21">
        <f ca="1">_xll.meLWOBondDV01($M128,$C$4,$T128%)</f>
        <v>1695.7628787468609</v>
      </c>
      <c r="Y128" s="20">
        <f ca="1">_xll.BDP($B128,Y$6, "YLD_YTM_ASK="&amp;$T128,"YAS_YLD_CONV=3")*$Y$3*0.0001</f>
        <v>1695.764568991365</v>
      </c>
      <c r="Z128" s="22">
        <f t="shared" ca="1" si="16"/>
        <v>1.6902445040614111E-3</v>
      </c>
      <c r="AA128" s="21">
        <f ca="1">_xll.meLWOBondDirtyPrice($M128,$C$4,$T128%)</f>
        <v>93.805162706601266</v>
      </c>
      <c r="AB128" s="21">
        <f ca="1">_xll.meLWOBondModifiedDuration($M128,$C$4,$T128%)</f>
        <v>18.077500532148498</v>
      </c>
      <c r="AC128" s="20">
        <f ca="1">_xll.BDP($B128,AC$6,"YLD_YTM_ASK="&amp;$T128,"YAS_YLD_CONV=3")</f>
        <v>18.077518550820979</v>
      </c>
      <c r="AD128" s="22">
        <f t="shared" ca="1" si="17"/>
        <v>1.8018672481190379E-5</v>
      </c>
      <c r="AE128" s="21">
        <f ca="1">_xll.meLWOBondDV01Numerical($M128,$C$4,$T128%,0.5,"CENTRAL")</f>
        <v>1695.7633013039697</v>
      </c>
    </row>
    <row r="129" spans="2:31">
      <c r="B129" s="14" t="s">
        <v>181</v>
      </c>
      <c r="C129" s="14" t="s">
        <v>182</v>
      </c>
      <c r="D129" s="14" t="s">
        <v>182</v>
      </c>
      <c r="E129" s="15">
        <v>42416</v>
      </c>
      <c r="F129" s="18">
        <v>42415</v>
      </c>
      <c r="G129" s="17" t="str">
        <f t="shared" si="14"/>
        <v/>
      </c>
      <c r="H129" s="15">
        <v>42597</v>
      </c>
      <c r="I129" s="15">
        <v>53189</v>
      </c>
      <c r="J129" s="15" t="s">
        <v>292</v>
      </c>
      <c r="K129" s="16">
        <v>2.5000000000000001E-2</v>
      </c>
      <c r="L129" s="15">
        <v>53373</v>
      </c>
      <c r="M129" s="19" t="str">
        <f ca="1">_xll.meLWOBondCreateFromGeneratorLVB(C129,$M$4,_xll.meUtilityLVBFromKeysValues($C$6:$L$6,C129:L129))</f>
        <v>US912810RQ31@1312:4</v>
      </c>
      <c r="N129" s="53">
        <f ca="1">_xll.BDP($B129,$N$5)</f>
        <v>3.3585286999999999</v>
      </c>
      <c r="O129" s="52">
        <f ca="1">_xll.meLWOBondCleanPrice($M129,$C$4,$N129%)</f>
        <v>84.749999323408446</v>
      </c>
      <c r="P129" s="52">
        <f ca="1">_xll.meLWOBondDirtyPrice($M129,$C$4,$N129%)</f>
        <v>85.38179280166932</v>
      </c>
      <c r="Q129" s="51">
        <f ca="1">_xll.meLWOBondYield($M129,$C$4,O129)</f>
        <v>3.358528700000054E-2</v>
      </c>
      <c r="R129" s="52">
        <f ca="1">_xll.meLWOBondModifiedDuration($M129,$C$4,$N129%)</f>
        <v>18.721774675603676</v>
      </c>
      <c r="S129" s="21">
        <f ca="1">_xll.meLWOBondDV01($M129,$C$4,$N129%)</f>
        <v>1598.4986862319329</v>
      </c>
      <c r="T129" s="49">
        <f t="shared" ca="1" si="13"/>
        <v>3.3585286999999999</v>
      </c>
      <c r="U129" s="20">
        <f ca="1">_xll.BDP($B129,U$6, "YAS_BOND_YLD="&amp;$T129,"YAS_YLD_CONV=2")</f>
        <v>84.74999932340846</v>
      </c>
      <c r="V129" s="21">
        <f ca="1">_xll.meLWOBondCleanPrice($M129,$C$4,$T129%)</f>
        <v>84.749999323408446</v>
      </c>
      <c r="W129" s="22">
        <f t="shared" ca="1" si="15"/>
        <v>1.4210854715202004E-14</v>
      </c>
      <c r="X129" s="21">
        <f ca="1">_xll.meLWOBondDV01($M129,$C$4,$T129%)</f>
        <v>1598.4986862319329</v>
      </c>
      <c r="Y129" s="20">
        <f ca="1">_xll.BDP($B129,Y$6, "YLD_YTM_ASK="&amp;$T129,"YAS_YLD_CONV=3")*$Y$3*0.0001</f>
        <v>1598.5003494928662</v>
      </c>
      <c r="Z129" s="22">
        <f t="shared" ca="1" si="16"/>
        <v>1.6632609333555592E-3</v>
      </c>
      <c r="AA129" s="21">
        <f ca="1">_xll.meLWOBondDirtyPrice($M129,$C$4,$T129%)</f>
        <v>85.38179280166932</v>
      </c>
      <c r="AB129" s="21">
        <f ca="1">_xll.meLWOBondModifiedDuration($M129,$C$4,$T129%)</f>
        <v>18.721774675603676</v>
      </c>
      <c r="AC129" s="20">
        <f ca="1">_xll.BDP($B129,AC$6,"YLD_YTM_ASK="&amp;$T129,"YAS_YLD_CONV=3")</f>
        <v>18.721794155880136</v>
      </c>
      <c r="AD129" s="22">
        <f t="shared" ca="1" si="17"/>
        <v>1.948027646037076E-5</v>
      </c>
      <c r="AE129" s="21">
        <f ca="1">_xll.meLWOBondDV01Numerical($M129,$C$4,$T129%,0.5,"CENTRAL")</f>
        <v>1598.4991020505392</v>
      </c>
    </row>
    <row r="130" spans="2:31">
      <c r="B130" s="14" t="s">
        <v>175</v>
      </c>
      <c r="C130" s="14" t="s">
        <v>176</v>
      </c>
      <c r="D130" s="14" t="s">
        <v>176</v>
      </c>
      <c r="E130" s="15">
        <v>42506</v>
      </c>
      <c r="F130" s="18">
        <v>42505</v>
      </c>
      <c r="G130" s="17" t="str">
        <f t="shared" si="14"/>
        <v/>
      </c>
      <c r="H130" s="15">
        <v>42689</v>
      </c>
      <c r="I130" s="15">
        <v>53281</v>
      </c>
      <c r="J130" s="15" t="s">
        <v>292</v>
      </c>
      <c r="K130" s="16">
        <v>2.5000000000000001E-2</v>
      </c>
      <c r="L130" s="15">
        <v>53462</v>
      </c>
      <c r="M130" s="19" t="str">
        <f ca="1">_xll.meLWOBondCreateFromGeneratorLVB(C130,$M$4,_xll.meUtilityLVBFromKeysValues($C$6:$L$6,C130:L130))</f>
        <v>US912810RS96@1311:4</v>
      </c>
      <c r="N130" s="53">
        <f ca="1">_xll.BDP($B130,$N$5)</f>
        <v>3.3591997</v>
      </c>
      <c r="O130" s="52">
        <f ca="1">_xll.meLWOBondCleanPrice($M130,$C$4,$N130%)</f>
        <v>84.656249318304418</v>
      </c>
      <c r="P130" s="52">
        <f ca="1">_xll.meLWOBondDirtyPrice($M130,$C$4,$N130%)</f>
        <v>84.663155395652481</v>
      </c>
      <c r="Q130" s="51">
        <f ca="1">_xll.meLWOBondYield($M130,$C$4,O130)</f>
        <v>3.3591996999999728E-2</v>
      </c>
      <c r="R130" s="52">
        <f ca="1">_xll.meLWOBondModifiedDuration($M130,$C$4,$N130%)</f>
        <v>18.966939933341525</v>
      </c>
      <c r="S130" s="21">
        <f ca="1">_xll.meLWOBondDV01($M130,$C$4,$N130%)</f>
        <v>1605.8009829565001</v>
      </c>
      <c r="T130" s="49">
        <f t="shared" ca="1" si="13"/>
        <v>3.3591997</v>
      </c>
      <c r="U130" s="20">
        <f ca="1">_xll.BDP($B130,U$6, "YAS_BOND_YLD="&amp;$T130,"YAS_YLD_CONV=2")</f>
        <v>84.656249318304447</v>
      </c>
      <c r="V130" s="21">
        <f ca="1">_xll.meLWOBondCleanPrice($M130,$C$4,$T130%)</f>
        <v>84.656249318304418</v>
      </c>
      <c r="W130" s="22">
        <f t="shared" ca="1" si="15"/>
        <v>2.8421709430404007E-14</v>
      </c>
      <c r="X130" s="21">
        <f ca="1">_xll.meLWOBondDV01($M130,$C$4,$T130%)</f>
        <v>1605.8009829565001</v>
      </c>
      <c r="Y130" s="20">
        <f ca="1">_xll.BDP($B130,Y$6, "YLD_YTM_ASK="&amp;$T130,"YAS_YLD_CONV=3")*$Y$3*0.0001</f>
        <v>1605.8026803126779</v>
      </c>
      <c r="Z130" s="22">
        <f t="shared" ca="1" si="16"/>
        <v>1.6973561778286239E-3</v>
      </c>
      <c r="AA130" s="21">
        <f ca="1">_xll.meLWOBondDirtyPrice($M130,$C$4,$T130%)</f>
        <v>84.663155395652481</v>
      </c>
      <c r="AB130" s="21">
        <f ca="1">_xll.meLWOBondModifiedDuration($M130,$C$4,$T130%)</f>
        <v>18.966939933341525</v>
      </c>
      <c r="AC130" s="20">
        <f ca="1">_xll.BDP($B130,AC$6,"YLD_YTM_ASK="&amp;$T130,"YAS_YLD_CONV=3")</f>
        <v>18.966959981686923</v>
      </c>
      <c r="AD130" s="22">
        <f t="shared" ca="1" si="17"/>
        <v>2.0048345398038236E-5</v>
      </c>
      <c r="AE130" s="21">
        <f ca="1">_xll.meLWOBondDV01Numerical($M130,$C$4,$T130%,0.5,"CENTRAL")</f>
        <v>1605.8014072989126</v>
      </c>
    </row>
    <row r="131" spans="2:31">
      <c r="B131" s="14" t="s">
        <v>155</v>
      </c>
      <c r="C131" s="14" t="s">
        <v>156</v>
      </c>
      <c r="D131" s="14" t="s">
        <v>156</v>
      </c>
      <c r="E131" s="15">
        <v>42597</v>
      </c>
      <c r="F131" s="18">
        <v>42597</v>
      </c>
      <c r="G131" s="17" t="str">
        <f t="shared" si="14"/>
        <v/>
      </c>
      <c r="H131" s="15">
        <v>42781</v>
      </c>
      <c r="I131" s="15">
        <v>53373</v>
      </c>
      <c r="J131" s="15" t="s">
        <v>292</v>
      </c>
      <c r="K131" s="16">
        <v>2.2499999999999999E-2</v>
      </c>
      <c r="L131" s="15">
        <v>53554</v>
      </c>
      <c r="M131" s="19" t="str">
        <f ca="1">_xll.meLWOBondCreateFromGeneratorLVB(C131,$M$4,_xll.meUtilityLVBFromKeysValues($C$6:$L$6,C131:L131))</f>
        <v>US912810RT79@1310:4</v>
      </c>
      <c r="N131" s="53">
        <f ca="1">_xll.BDP($B131,$N$5)</f>
        <v>3.3603111999999999</v>
      </c>
      <c r="O131" s="52">
        <f ca="1">_xll.meLWOBondCleanPrice($M131,$C$4,$N131%)</f>
        <v>80.062500719888888</v>
      </c>
      <c r="P131" s="52">
        <f ca="1">_xll.meLWOBondDirtyPrice($M131,$C$4,$N131%)</f>
        <v>80.631114850323669</v>
      </c>
      <c r="Q131" s="51">
        <f ca="1">_xll.meLWOBondYield($M131,$C$4,O131)</f>
        <v>3.3603112000000636E-2</v>
      </c>
      <c r="R131" s="52">
        <f ca="1">_xll.meLWOBondModifiedDuration($M131,$C$4,$N131%)</f>
        <v>19.346627137497833</v>
      </c>
      <c r="S131" s="21">
        <f ca="1">_xll.meLWOBondDV01($M131,$C$4,$N131%)</f>
        <v>1559.9401146899763</v>
      </c>
      <c r="T131" s="49">
        <f t="shared" ca="1" si="13"/>
        <v>3.3603111999999999</v>
      </c>
      <c r="U131" s="20">
        <f ca="1">_xll.BDP($B131,U$6, "YAS_BOND_YLD="&amp;$T131,"YAS_YLD_CONV=2")</f>
        <v>80.062500719888874</v>
      </c>
      <c r="V131" s="21">
        <f ca="1">_xll.meLWOBondCleanPrice($M131,$C$4,$T131%)</f>
        <v>80.062500719888888</v>
      </c>
      <c r="W131" s="22">
        <f t="shared" ca="1" si="15"/>
        <v>1.4210854715202004E-14</v>
      </c>
      <c r="X131" s="21">
        <f ca="1">_xll.meLWOBondDV01($M131,$C$4,$T131%)</f>
        <v>1559.9401146899763</v>
      </c>
      <c r="Y131" s="20">
        <f ca="1">_xll.BDP($B131,Y$6, "YLD_YTM_ASK="&amp;$T131,"YAS_YLD_CONV=3")*$Y$3*0.0001</f>
        <v>1559.9418147724721</v>
      </c>
      <c r="Z131" s="22">
        <f t="shared" ca="1" si="16"/>
        <v>1.7000824957449368E-3</v>
      </c>
      <c r="AA131" s="21">
        <f ca="1">_xll.meLWOBondDirtyPrice($M131,$C$4,$T131%)</f>
        <v>80.631114850323669</v>
      </c>
      <c r="AB131" s="21">
        <f ca="1">_xll.meLWOBondModifiedDuration($M131,$C$4,$T131%)</f>
        <v>19.346627137497833</v>
      </c>
      <c r="AC131" s="20">
        <f ca="1">_xll.BDP($B131,AC$6,"YLD_YTM_ASK="&amp;$T131,"YAS_YLD_CONV=3")</f>
        <v>19.34664822219316</v>
      </c>
      <c r="AD131" s="22">
        <f t="shared" ca="1" si="17"/>
        <v>2.108469532657864E-5</v>
      </c>
      <c r="AE131" s="21">
        <f ca="1">_xll.meLWOBondDV01Numerical($M131,$C$4,$T131%,0.5,"CENTRAL")</f>
        <v>1559.9405397136934</v>
      </c>
    </row>
    <row r="132" spans="2:31">
      <c r="B132" s="14" t="s">
        <v>235</v>
      </c>
      <c r="C132" s="14" t="s">
        <v>236</v>
      </c>
      <c r="D132" s="14" t="s">
        <v>236</v>
      </c>
      <c r="E132" s="15">
        <v>42689</v>
      </c>
      <c r="F132" s="18">
        <v>42689</v>
      </c>
      <c r="G132" s="17" t="str">
        <f t="shared" si="14"/>
        <v/>
      </c>
      <c r="H132" s="15">
        <v>42870</v>
      </c>
      <c r="I132" s="15">
        <v>53462</v>
      </c>
      <c r="J132" s="15" t="s">
        <v>292</v>
      </c>
      <c r="K132" s="16">
        <v>2.8750000000000001E-2</v>
      </c>
      <c r="L132" s="15">
        <v>53646</v>
      </c>
      <c r="M132" s="19" t="str">
        <f ca="1">_xll.meLWOBondCreateFromGeneratorLVB(C132,$M$4,_xll.meUtilityLVBFromKeysValues($C$6:$L$6,C132:L132))</f>
        <v>US912810RU43@1309:4</v>
      </c>
      <c r="N132" s="53">
        <f ca="1">_xll.BDP($B132,$N$5)</f>
        <v>3.3541493999999998</v>
      </c>
      <c r="O132" s="52">
        <f ca="1">_xll.meLWOBondCleanPrice($M132,$C$4,$N132%)</f>
        <v>91.343749639557714</v>
      </c>
      <c r="P132" s="52">
        <f ca="1">_xll.meLWOBondDirtyPrice($M132,$C$4,$N132%)</f>
        <v>91.351691628507993</v>
      </c>
      <c r="Q132" s="51">
        <f ca="1">_xll.meLWOBondYield($M132,$C$4,O132)</f>
        <v>3.3541494000000283E-2</v>
      </c>
      <c r="R132" s="52">
        <f ca="1">_xll.meLWOBondModifiedDuration($M132,$C$4,$N132%)</f>
        <v>18.647719456542848</v>
      </c>
      <c r="S132" s="21">
        <f ca="1">_xll.meLWOBondDV01($M132,$C$4,$N132%)</f>
        <v>1703.5007173690308</v>
      </c>
      <c r="T132" s="49">
        <f t="shared" ca="1" si="13"/>
        <v>3.3541493999999998</v>
      </c>
      <c r="U132" s="20">
        <f ca="1">_xll.BDP($B132,U$6, "YAS_BOND_YLD="&amp;$T132,"YAS_YLD_CONV=2")</f>
        <v>91.3437496395577</v>
      </c>
      <c r="V132" s="21">
        <f ca="1">_xll.meLWOBondCleanPrice($M132,$C$4,$T132%)</f>
        <v>91.343749639557714</v>
      </c>
      <c r="W132" s="22">
        <f t="shared" ca="1" si="15"/>
        <v>1.4210854715202004E-14</v>
      </c>
      <c r="X132" s="21">
        <f ca="1">_xll.meLWOBondDV01($M132,$C$4,$T132%)</f>
        <v>1703.5007173690308</v>
      </c>
      <c r="Y132" s="20">
        <f ca="1">_xll.BDP($B132,Y$6, "YLD_YTM_ASK="&amp;$T132,"YAS_YLD_CONV=3")*$Y$3*0.0001</f>
        <v>1703.5025355468035</v>
      </c>
      <c r="Z132" s="22">
        <f t="shared" ca="1" si="16"/>
        <v>1.8181777727477311E-3</v>
      </c>
      <c r="AA132" s="21">
        <f ca="1">_xll.meLWOBondDirtyPrice($M132,$C$4,$T132%)</f>
        <v>91.351691628507993</v>
      </c>
      <c r="AB132" s="21">
        <f ca="1">_xll.meLWOBondModifiedDuration($M132,$C$4,$T132%)</f>
        <v>18.647719456542848</v>
      </c>
      <c r="AC132" s="20">
        <f ca="1">_xll.BDP($B132,AC$6,"YLD_YTM_ASK="&amp;$T132,"YAS_YLD_CONV=3")</f>
        <v>18.647739359598162</v>
      </c>
      <c r="AD132" s="22">
        <f t="shared" ca="1" si="17"/>
        <v>1.9903055314074436E-5</v>
      </c>
      <c r="AE132" s="21">
        <f ca="1">_xll.meLWOBondDV01Numerical($M132,$C$4,$T132%,0.5,"CENTRAL")</f>
        <v>1703.501171909636</v>
      </c>
    </row>
    <row r="133" spans="2:31">
      <c r="C133" s="28"/>
      <c r="D133" s="28"/>
      <c r="E133" s="26"/>
      <c r="F133" s="26"/>
      <c r="G133" s="26"/>
      <c r="H133" s="26"/>
      <c r="I133" s="26"/>
      <c r="J133" s="26"/>
      <c r="K133" s="26"/>
      <c r="L133" s="26"/>
      <c r="M133" s="29"/>
      <c r="N133" s="42"/>
      <c r="O133" s="29"/>
      <c r="P133" s="29"/>
      <c r="Q133" s="29"/>
      <c r="R133" s="29"/>
      <c r="S133" s="29"/>
    </row>
    <row r="137" spans="2:31">
      <c r="H137" s="23"/>
      <c r="I137" s="23"/>
      <c r="J137" s="23"/>
      <c r="K137" s="23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>
      <c r="H138" s="23"/>
      <c r="I138" s="23"/>
      <c r="J138" s="23"/>
      <c r="K138" s="23"/>
      <c r="M138" s="23"/>
      <c r="N138" s="43"/>
      <c r="O138" s="48"/>
      <c r="P138" s="48"/>
      <c r="Q138" s="48"/>
      <c r="R138" s="48"/>
      <c r="S138" s="48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>
      <c r="H139" s="23"/>
      <c r="I139" s="23"/>
      <c r="J139" s="23"/>
      <c r="K139" s="23"/>
      <c r="M139" s="23"/>
      <c r="N139" s="43"/>
      <c r="O139" s="48"/>
      <c r="P139" s="48"/>
      <c r="Q139" s="48"/>
      <c r="R139" s="48"/>
      <c r="S139" s="48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>
      <c r="H140" s="23"/>
      <c r="I140" s="23"/>
      <c r="J140" s="23"/>
      <c r="K140" s="23"/>
      <c r="M140" s="23"/>
      <c r="N140" s="43"/>
      <c r="O140" s="48"/>
      <c r="P140" s="48"/>
      <c r="Q140" s="48"/>
      <c r="R140" s="48"/>
      <c r="S140" s="48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>
      <c r="H141" s="23"/>
      <c r="I141" s="23"/>
      <c r="J141" s="23"/>
      <c r="K141" s="23"/>
      <c r="M141" s="23"/>
      <c r="N141" s="43"/>
      <c r="O141" s="48"/>
      <c r="P141" s="48"/>
      <c r="Q141" s="48"/>
      <c r="R141" s="48"/>
      <c r="S141" s="48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>
      <c r="H142" s="23"/>
      <c r="I142" s="23"/>
      <c r="J142" s="23"/>
      <c r="K142" s="23"/>
      <c r="M142" s="23"/>
      <c r="N142" s="43"/>
      <c r="O142" s="48"/>
      <c r="P142" s="48"/>
      <c r="Q142" s="48"/>
      <c r="R142" s="48"/>
      <c r="S142" s="48"/>
      <c r="U142" s="30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>
      <c r="H143" s="23"/>
      <c r="I143" s="23"/>
      <c r="J143" s="23"/>
      <c r="K143" s="23"/>
      <c r="M143" s="23"/>
      <c r="N143" s="43"/>
      <c r="O143" s="48"/>
      <c r="P143" s="48"/>
      <c r="Q143" s="48"/>
      <c r="R143" s="48"/>
      <c r="S143" s="48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>
      <c r="H144" s="23"/>
      <c r="I144" s="23"/>
      <c r="J144" s="23"/>
      <c r="K144" s="23"/>
      <c r="M144" s="23"/>
      <c r="N144" s="43"/>
      <c r="O144" s="48"/>
      <c r="P144" s="48"/>
      <c r="Q144" s="48"/>
      <c r="R144" s="48"/>
      <c r="S144" s="48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3:31">
      <c r="H145" s="23"/>
      <c r="I145" s="23"/>
      <c r="J145" s="23"/>
      <c r="K145" s="23"/>
      <c r="M145" s="23"/>
      <c r="N145" s="43"/>
      <c r="O145" s="48"/>
      <c r="P145" s="48"/>
      <c r="Q145" s="48"/>
      <c r="R145" s="48"/>
      <c r="S145" s="48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3:31">
      <c r="H146" s="23"/>
      <c r="I146" s="23"/>
      <c r="J146" s="23"/>
      <c r="K146" s="23"/>
      <c r="M146" s="23"/>
      <c r="N146" s="43"/>
      <c r="O146" s="48"/>
      <c r="P146" s="48"/>
      <c r="Q146" s="48"/>
      <c r="R146" s="48"/>
      <c r="S146" s="48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3:31">
      <c r="H147" s="23"/>
      <c r="I147" s="23"/>
      <c r="J147" s="23"/>
      <c r="K147" s="23"/>
      <c r="M147" s="23"/>
      <c r="N147" s="43"/>
      <c r="O147" s="48"/>
      <c r="P147" s="48"/>
      <c r="Q147" s="48"/>
      <c r="R147" s="48"/>
      <c r="S147" s="48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3:31">
      <c r="H148" s="23"/>
      <c r="I148" s="23"/>
      <c r="J148" s="23"/>
      <c r="K148" s="23"/>
      <c r="M148" s="23"/>
      <c r="N148" s="43"/>
      <c r="O148" s="48"/>
      <c r="P148" s="48"/>
      <c r="Q148" s="48"/>
      <c r="R148" s="48"/>
      <c r="S148" s="48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3:31">
      <c r="H149" s="23"/>
      <c r="I149" s="23"/>
      <c r="J149" s="23"/>
      <c r="K149" s="23"/>
      <c r="M149" s="23"/>
      <c r="N149" s="43"/>
      <c r="O149" s="48"/>
      <c r="P149" s="48"/>
      <c r="Q149" s="48"/>
      <c r="R149" s="48"/>
      <c r="S149" s="48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3:31">
      <c r="H150" s="23"/>
      <c r="I150" s="23"/>
      <c r="J150" s="23"/>
      <c r="K150" s="23"/>
      <c r="M150" s="23"/>
      <c r="N150" s="43"/>
      <c r="O150" s="48"/>
      <c r="P150" s="48"/>
      <c r="Q150" s="48"/>
      <c r="R150" s="48"/>
      <c r="S150" s="48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3:31">
      <c r="H151" s="23"/>
      <c r="I151" s="23"/>
      <c r="J151" s="23"/>
      <c r="K151" s="23"/>
      <c r="M151" s="23"/>
      <c r="N151" s="43"/>
      <c r="O151" s="48"/>
      <c r="P151" s="48"/>
      <c r="Q151" s="48"/>
      <c r="R151" s="48"/>
      <c r="S151" s="48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3:31">
      <c r="H152" s="23"/>
      <c r="I152" s="23"/>
      <c r="J152" s="23"/>
      <c r="K152" s="23"/>
      <c r="M152" s="23"/>
      <c r="N152" s="43"/>
      <c r="O152" s="48"/>
      <c r="P152" s="48"/>
      <c r="Q152" s="48"/>
      <c r="R152" s="48"/>
      <c r="S152" s="48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4" spans="3:31">
      <c r="C154" s="26"/>
      <c r="D154" s="26"/>
      <c r="E154" s="26"/>
      <c r="F154" s="26"/>
      <c r="G154" s="26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3:31">
      <c r="C155" s="26"/>
      <c r="D155" s="26"/>
      <c r="E155" s="26"/>
      <c r="F155" s="26"/>
      <c r="G155" s="26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3:31">
      <c r="C156" s="26"/>
      <c r="D156" s="26"/>
      <c r="E156" s="26"/>
      <c r="F156" s="26"/>
      <c r="G156" s="26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3:31">
      <c r="C157" s="26"/>
      <c r="D157" s="26"/>
      <c r="E157" s="26"/>
      <c r="F157" s="26"/>
      <c r="G157" s="26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3:31"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3:31">
      <c r="E159" s="23"/>
      <c r="F159" s="23"/>
      <c r="G159" s="23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3:31">
      <c r="E160" s="23"/>
      <c r="F160" s="23"/>
      <c r="G160" s="23"/>
      <c r="H160" s="23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5:31">
      <c r="E161" s="23"/>
      <c r="F161" s="23"/>
      <c r="G161" s="23"/>
      <c r="U161" s="25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5:31">
      <c r="E162" s="23"/>
      <c r="F162" s="23"/>
      <c r="G162" s="23"/>
      <c r="U162" s="25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5:31">
      <c r="U163" s="25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5:31">
      <c r="U164" s="25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</sheetData>
  <autoFilter ref="B6:AE6"/>
  <sortState ref="B7:AD132">
    <sortCondition ref="L7:L1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32"/>
  <sheetViews>
    <sheetView showGridLines="0" tabSelected="1" workbookViewId="0"/>
  </sheetViews>
  <sheetFormatPr defaultRowHeight="15" outlineLevelCol="2"/>
  <cols>
    <col min="14" max="14" width="10.7109375" customWidth="1"/>
    <col min="15" max="15" width="14.7109375" customWidth="1"/>
    <col min="16" max="17" width="12.7109375" customWidth="1"/>
    <col min="19" max="20" width="12.7109375" style="56" customWidth="1"/>
    <col min="21" max="21" width="12.7109375" customWidth="1"/>
    <col min="23" max="23" width="10.7109375" style="56" hidden="1" customWidth="1" outlineLevel="1"/>
    <col min="24" max="24" width="10.7109375" style="55" hidden="1" customWidth="1" outlineLevel="1"/>
    <col min="25" max="25" width="2.7109375" hidden="1" customWidth="1" outlineLevel="1"/>
    <col min="26" max="27" width="10.7109375" hidden="1" customWidth="1" outlineLevel="1"/>
    <col min="28" max="28" width="2.7109375" hidden="1" customWidth="1" outlineLevel="1"/>
    <col min="29" max="30" width="12.7109375" hidden="1" customWidth="1" outlineLevel="1"/>
    <col min="31" max="31" width="2.7109375" hidden="1" customWidth="1" outlineLevel="1"/>
    <col min="32" max="33" width="12.7109375" hidden="1" customWidth="1" outlineLevel="1"/>
    <col min="34" max="34" width="2.7109375" hidden="1" customWidth="1" outlineLevel="1"/>
    <col min="35" max="36" width="12.7109375" hidden="1" customWidth="1" outlineLevel="2"/>
    <col min="37" max="37" width="9.140625" collapsed="1"/>
  </cols>
  <sheetData>
    <row r="1" spans="1:37">
      <c r="AB1" s="70"/>
      <c r="AC1" s="70"/>
      <c r="AD1" s="70"/>
      <c r="AE1" s="70"/>
      <c r="AF1" s="70"/>
      <c r="AG1" s="70"/>
      <c r="AH1" s="70"/>
      <c r="AK1" s="70" t="s">
        <v>302</v>
      </c>
    </row>
    <row r="2" spans="1:37">
      <c r="Q2" s="84" t="s">
        <v>300</v>
      </c>
    </row>
    <row r="3" spans="1:37">
      <c r="N3" s="54" t="s">
        <v>305</v>
      </c>
      <c r="Q3" s="77">
        <v>3</v>
      </c>
      <c r="S3" s="57" t="s">
        <v>303</v>
      </c>
      <c r="W3" s="57" t="s">
        <v>296</v>
      </c>
      <c r="Z3" s="54" t="s">
        <v>297</v>
      </c>
      <c r="AC3" s="54" t="s">
        <v>299</v>
      </c>
      <c r="AI3" s="54"/>
    </row>
    <row r="4" spans="1:37">
      <c r="Z4" s="78">
        <f ca="1">COUNT(Z6:Z131)</f>
        <v>126</v>
      </c>
      <c r="AC4" s="78"/>
      <c r="AF4" s="78"/>
      <c r="AI4" s="78"/>
    </row>
    <row r="5" spans="1:37">
      <c r="A5" t="s">
        <v>298</v>
      </c>
      <c r="N5" s="79" t="s">
        <v>293</v>
      </c>
      <c r="O5" s="79" t="s">
        <v>307</v>
      </c>
      <c r="P5" s="79" t="s">
        <v>306</v>
      </c>
      <c r="Q5" s="79" t="s">
        <v>304</v>
      </c>
      <c r="S5" s="79" t="s">
        <v>293</v>
      </c>
      <c r="T5" s="79" t="s">
        <v>308</v>
      </c>
      <c r="U5" s="80" t="s">
        <v>295</v>
      </c>
      <c r="W5" s="79" t="s">
        <v>293</v>
      </c>
      <c r="X5" s="79" t="s">
        <v>294</v>
      </c>
      <c r="Z5" s="79" t="s">
        <v>293</v>
      </c>
      <c r="AA5" s="79" t="s">
        <v>294</v>
      </c>
      <c r="AB5" t="s">
        <v>298</v>
      </c>
      <c r="AC5" s="85" t="s">
        <v>307</v>
      </c>
      <c r="AD5" s="79"/>
      <c r="AF5" s="85" t="s">
        <v>306</v>
      </c>
      <c r="AG5" s="79"/>
      <c r="AI5" s="85" t="s">
        <v>309</v>
      </c>
      <c r="AJ5" s="79"/>
    </row>
    <row r="6" spans="1:37">
      <c r="A6" t="s">
        <v>298</v>
      </c>
      <c r="N6" s="71">
        <v>0.25</v>
      </c>
      <c r="O6" s="82">
        <f t="array" aca="1" ref="O6:O125" ca="1">_xll.meBondCurveNelsonSiegelYield($AD$8,$AD$9,$AD$10,$AD$11,$N$6:$N$125)</f>
        <v>2.7920672966772048E-2</v>
      </c>
      <c r="P6" s="82">
        <f t="array" aca="1" ref="P6:P125" ca="1">_xll.meBondCurveSvenssonYield($AG$8,$AG$9,$AG$10,$AG$11,$AG$12,$AG$13,$N$6:$N$125)</f>
        <v>2.7846562758981647E-2</v>
      </c>
      <c r="Q6" s="74">
        <f t="array" aca="1" ref="Q6:Q125" ca="1">_xll.meBondCurvePolynomialYield(CurveFitting.PolynomialResults,$N$6:$N$125)</f>
        <v>2.7901663824820566E-2</v>
      </c>
      <c r="S6" s="58">
        <f ca="1">_xll.meDateYearFraction(US_TREASURY_TYPE1!$C$4,US_TREASURY_TYPE1!L7,US_TREASURY_TYPE1!J7)</f>
        <v>2.2082191780821918</v>
      </c>
      <c r="T6" s="64">
        <f ca="1">US_TREASURY_TYPE1!N7%</f>
        <v>2.8644356000000003E-2</v>
      </c>
      <c r="U6" s="59" t="b">
        <v>1</v>
      </c>
      <c r="W6" s="58">
        <f ca="1">IF($U6,S6,"")</f>
        <v>2.2082191780821918</v>
      </c>
      <c r="X6" s="64">
        <f ca="1">IF($U6,T6,"")</f>
        <v>2.8644356000000003E-2</v>
      </c>
      <c r="Y6" t="s">
        <v>298</v>
      </c>
      <c r="Z6" s="58">
        <f t="array" aca="1" ref="Z6:AA131" ca="1">_xll.meUtilityClean(W6:X131,,TRUE,,,,,TRUE)</f>
        <v>2.20821917808219</v>
      </c>
      <c r="AA6" s="64">
        <f ca="1"/>
        <v>2.8644355999999999E-2</v>
      </c>
      <c r="AB6" t="s">
        <v>298</v>
      </c>
      <c r="AC6" s="67" t="str">
        <f t="array" aca="1" ref="AC6:AD18" ca="1">_xll.meUtilityResize(_xll.meBondCurveNelsonSiegelCalibrate(Polynomial.Tenors,Polynomial.YTMs),20,20)</f>
        <v>leastSquaresError</v>
      </c>
      <c r="AD6" s="88">
        <f ca="1"/>
        <v>2.2780743208348999E-6</v>
      </c>
      <c r="AF6" s="67" t="str">
        <f t="array" aca="1" ref="AF6:AG18" ca="1">_xll.meUtilityResize(_xll.meBondCurveSvenssonCalibrate(Polynomial.Tenors,Polynomial.YTMs),20,20)</f>
        <v>leastSquaresError</v>
      </c>
      <c r="AG6" s="88">
        <f ca="1"/>
        <v>2.2394152467203801E-6</v>
      </c>
      <c r="AI6" s="67" t="str">
        <f t="array" aca="1" ref="AI6:AJ18" ca="1">_xll.meUtilityResize(_xll.meBondCurvePolynomialCalibrate($Q$3,Polynomial.Tenors,Polynomial.YTMs),20,20)</f>
        <v>leastSquaresError</v>
      </c>
      <c r="AJ6" s="88">
        <f ca="1"/>
        <v>2.26245255081586E-6</v>
      </c>
    </row>
    <row r="7" spans="1:37">
      <c r="A7" t="s">
        <v>298</v>
      </c>
      <c r="N7" s="72">
        <f ca="1">N6+$N$6</f>
        <v>0.5</v>
      </c>
      <c r="O7" s="81">
        <f ca="1"/>
        <v>2.8017143656985717E-2</v>
      </c>
      <c r="P7" s="81">
        <f ca="1"/>
        <v>2.7951823364282573E-2</v>
      </c>
      <c r="Q7" s="75">
        <f ca="1"/>
        <v>2.7999491715114119E-2</v>
      </c>
      <c r="S7" s="60">
        <f ca="1">_xll.meDateYearFraction(US_TREASURY_TYPE1!$C$4,US_TREASURY_TYPE1!L8,US_TREASURY_TYPE1!J8)</f>
        <v>2.2082191780821918</v>
      </c>
      <c r="T7" s="65">
        <f ca="1">US_TREASURY_TYPE1!N8%</f>
        <v>2.8598938000000001E-2</v>
      </c>
      <c r="U7" s="61" t="b">
        <v>1</v>
      </c>
      <c r="W7" s="60">
        <f ca="1">IF($U7,S7,"")</f>
        <v>2.2082191780821918</v>
      </c>
      <c r="X7" s="65">
        <f ca="1">IF($U7,T7,"")</f>
        <v>2.8598938000000001E-2</v>
      </c>
      <c r="Y7" t="s">
        <v>298</v>
      </c>
      <c r="Z7" s="60">
        <f ca="1"/>
        <v>2.20821917808219</v>
      </c>
      <c r="AA7" s="65">
        <f ca="1"/>
        <v>2.8598938000000001E-2</v>
      </c>
      <c r="AB7" t="s">
        <v>298</v>
      </c>
      <c r="AC7" s="68" t="str">
        <f ca="1"/>
        <v>iterations</v>
      </c>
      <c r="AD7" s="89">
        <f ca="1"/>
        <v>162</v>
      </c>
      <c r="AF7" s="68" t="str">
        <f ca="1"/>
        <v>iterations</v>
      </c>
      <c r="AG7" s="89">
        <f ca="1"/>
        <v>1000</v>
      </c>
      <c r="AI7" s="68" t="str">
        <f ca="1"/>
        <v>terations</v>
      </c>
      <c r="AJ7" s="89">
        <f ca="1"/>
        <v>10</v>
      </c>
    </row>
    <row r="8" spans="1:37">
      <c r="A8" t="s">
        <v>298</v>
      </c>
      <c r="N8" s="72">
        <f ca="1">N7+$N$6</f>
        <v>0.75</v>
      </c>
      <c r="O8" s="81">
        <f ca="1"/>
        <v>2.8112322107506731E-2</v>
      </c>
      <c r="P8" s="81">
        <f ca="1"/>
        <v>2.8055208175556123E-2</v>
      </c>
      <c r="Q8" s="75">
        <f ca="1"/>
        <v>2.8096052957402053E-2</v>
      </c>
      <c r="S8" s="60">
        <f ca="1">_xll.meDateYearFraction(US_TREASURY_TYPE1!$C$4,US_TREASURY_TYPE1!L9,US_TREASURY_TYPE1!J9)</f>
        <v>2.2493150684931509</v>
      </c>
      <c r="T8" s="65">
        <f ca="1">US_TREASURY_TYPE1!N9%</f>
        <v>2.8537710000000001E-2</v>
      </c>
      <c r="U8" s="61" t="b">
        <v>1</v>
      </c>
      <c r="W8" s="60">
        <f ca="1">IF($U8,S8,"")</f>
        <v>2.2493150684931509</v>
      </c>
      <c r="X8" s="65">
        <f ca="1">IF($U8,T8,"")</f>
        <v>2.8537710000000001E-2</v>
      </c>
      <c r="Y8" t="s">
        <v>298</v>
      </c>
      <c r="Z8" s="60">
        <f ca="1"/>
        <v>2.24931506849315</v>
      </c>
      <c r="AA8" s="65">
        <f ca="1"/>
        <v>2.8537710000000001E-2</v>
      </c>
      <c r="AB8" t="s">
        <v>298</v>
      </c>
      <c r="AC8" s="68" t="str">
        <f ca="1"/>
        <v>beta0</v>
      </c>
      <c r="AD8" s="86">
        <f ca="1"/>
        <v>3.7523219741606599E-2</v>
      </c>
      <c r="AF8" s="68" t="str">
        <f ca="1"/>
        <v>beta0</v>
      </c>
      <c r="AG8" s="86">
        <f ca="1"/>
        <v>4.48785381096235E-2</v>
      </c>
      <c r="AI8" s="68" t="str">
        <f ca="1"/>
        <v>x^3</v>
      </c>
      <c r="AJ8" s="86">
        <f ca="1"/>
        <v>1.31159090154261E-7</v>
      </c>
    </row>
    <row r="9" spans="1:37">
      <c r="A9" t="s">
        <v>298</v>
      </c>
      <c r="N9" s="72">
        <f ca="1">N8+$N$6</f>
        <v>1</v>
      </c>
      <c r="O9" s="81">
        <f ca="1"/>
        <v>2.8206227791802565E-2</v>
      </c>
      <c r="P9" s="81">
        <f ca="1"/>
        <v>2.8156759455853858E-2</v>
      </c>
      <c r="Q9" s="75">
        <f ca="1"/>
        <v>2.8191359847849075E-2</v>
      </c>
      <c r="S9" s="60">
        <f ca="1">_xll.meDateYearFraction(US_TREASURY_TYPE1!$C$4,US_TREASURY_TYPE1!L10,US_TREASURY_TYPE1!J10)</f>
        <v>2.2849315068493152</v>
      </c>
      <c r="T9" s="65">
        <f ca="1">US_TREASURY_TYPE1!N10%</f>
        <v>2.8656103000000002E-2</v>
      </c>
      <c r="U9" s="61" t="b">
        <v>1</v>
      </c>
      <c r="W9" s="60">
        <f ca="1">IF($U9,S9,"")</f>
        <v>2.2849315068493152</v>
      </c>
      <c r="X9" s="65">
        <f ca="1">IF($U9,T9,"")</f>
        <v>2.8656103000000002E-2</v>
      </c>
      <c r="Y9" t="s">
        <v>298</v>
      </c>
      <c r="Z9" s="60">
        <f ca="1"/>
        <v>2.2849315068493201</v>
      </c>
      <c r="AA9" s="65">
        <f ca="1"/>
        <v>2.8656102999999999E-2</v>
      </c>
      <c r="AB9" t="s">
        <v>298</v>
      </c>
      <c r="AC9" s="68" t="str">
        <f ca="1"/>
        <v>beta1</v>
      </c>
      <c r="AD9" s="86">
        <f ca="1"/>
        <v>-9.7003294965615598E-3</v>
      </c>
      <c r="AF9" s="68" t="str">
        <f ca="1"/>
        <v>beta1</v>
      </c>
      <c r="AG9" s="86">
        <f ca="1"/>
        <v>-1.7139154936685001E-2</v>
      </c>
      <c r="AI9" s="68" t="str">
        <f ca="1"/>
        <v>x^2</v>
      </c>
      <c r="AJ9" s="86">
        <f ca="1"/>
        <v>-1.03299226801548E-5</v>
      </c>
    </row>
    <row r="10" spans="1:37">
      <c r="A10" t="s">
        <v>298</v>
      </c>
      <c r="N10" s="72">
        <f ca="1">N9+$N$6</f>
        <v>1.25</v>
      </c>
      <c r="O10" s="81">
        <f ca="1"/>
        <v>2.8298879870320648E-2</v>
      </c>
      <c r="P10" s="81">
        <f ca="1"/>
        <v>2.8256518563016676E-2</v>
      </c>
      <c r="Q10" s="75">
        <f ca="1"/>
        <v>2.8285424682619884E-2</v>
      </c>
      <c r="S10" s="60">
        <f ca="1">_xll.meDateYearFraction(US_TREASURY_TYPE1!$C$4,US_TREASURY_TYPE1!L11,US_TREASURY_TYPE1!J11)</f>
        <v>2.2849315068493152</v>
      </c>
      <c r="T10" s="65">
        <f ca="1">US_TREASURY_TYPE1!N11%</f>
        <v>2.8661905000000001E-2</v>
      </c>
      <c r="U10" s="61" t="b">
        <v>1</v>
      </c>
      <c r="W10" s="60">
        <f ca="1">IF($U10,S10,"")</f>
        <v>2.2849315068493152</v>
      </c>
      <c r="X10" s="65">
        <f ca="1">IF($U10,T10,"")</f>
        <v>2.8661905000000001E-2</v>
      </c>
      <c r="Y10" t="s">
        <v>298</v>
      </c>
      <c r="Z10" s="60">
        <f ca="1"/>
        <v>2.2849315068493201</v>
      </c>
      <c r="AA10" s="65">
        <f ca="1"/>
        <v>2.8661905000000001E-2</v>
      </c>
      <c r="AB10" t="s">
        <v>298</v>
      </c>
      <c r="AC10" s="68" t="str">
        <f ca="1"/>
        <v>beta2</v>
      </c>
      <c r="AD10" s="86">
        <f ca="1"/>
        <v>-6.8585756581397503E-8</v>
      </c>
      <c r="AF10" s="68" t="str">
        <f ca="1"/>
        <v>beta2</v>
      </c>
      <c r="AG10" s="86">
        <f ca="1"/>
        <v>0.56804394518926205</v>
      </c>
      <c r="AI10" s="68" t="str">
        <f ca="1"/>
        <v>x^1</v>
      </c>
      <c r="AJ10" s="86">
        <f ca="1"/>
        <v>3.99001621082377E-4</v>
      </c>
    </row>
    <row r="11" spans="1:37">
      <c r="A11" t="s">
        <v>298</v>
      </c>
      <c r="N11" s="72">
        <f ca="1">N10+$N$6</f>
        <v>1.5</v>
      </c>
      <c r="O11" s="81">
        <f ca="1"/>
        <v>2.839029719572948E-2</v>
      </c>
      <c r="P11" s="81">
        <f ca="1"/>
        <v>2.8354525967778609E-2</v>
      </c>
      <c r="Q11" s="75">
        <f ca="1"/>
        <v>2.8378259757879186E-2</v>
      </c>
      <c r="S11" s="60">
        <f ca="1">_xll.meDateYearFraction(US_TREASURY_TYPE1!$C$4,US_TREASURY_TYPE1!L12,US_TREASURY_TYPE1!J12)</f>
        <v>2.3698630136986303</v>
      </c>
      <c r="T11" s="65">
        <f ca="1">US_TREASURY_TYPE1!N12%</f>
        <v>2.8625690000000002E-2</v>
      </c>
      <c r="U11" s="61" t="b">
        <v>1</v>
      </c>
      <c r="W11" s="60">
        <f ca="1">IF($U11,S11,"")</f>
        <v>2.3698630136986303</v>
      </c>
      <c r="X11" s="65">
        <f ca="1">IF($U11,T11,"")</f>
        <v>2.8625690000000002E-2</v>
      </c>
      <c r="Y11" t="s">
        <v>298</v>
      </c>
      <c r="Z11" s="60">
        <f ca="1"/>
        <v>2.3698630136986298</v>
      </c>
      <c r="AA11" s="65">
        <f ca="1"/>
        <v>2.8625689999999999E-2</v>
      </c>
      <c r="AB11" t="s">
        <v>298</v>
      </c>
      <c r="AC11" s="68" t="str">
        <f ca="1"/>
        <v>lambda</v>
      </c>
      <c r="AD11" s="86">
        <f ca="1"/>
        <v>12.3168012302321</v>
      </c>
      <c r="AF11" s="68" t="str">
        <f ca="1"/>
        <v>beta3</v>
      </c>
      <c r="AG11" s="86">
        <f ca="1"/>
        <v>-0.57813476836678002</v>
      </c>
      <c r="AI11" s="68" t="str">
        <f ca="1"/>
        <v>x^0</v>
      </c>
      <c r="AJ11" s="86">
        <f ca="1"/>
        <v>2.7802556990356699E-2</v>
      </c>
    </row>
    <row r="12" spans="1:37">
      <c r="A12" t="s">
        <v>298</v>
      </c>
      <c r="N12" s="72">
        <f ca="1">N11+$N$6</f>
        <v>1.75</v>
      </c>
      <c r="O12" s="81">
        <f ca="1"/>
        <v>2.8480498318069546E-2</v>
      </c>
      <c r="P12" s="81">
        <f ca="1"/>
        <v>2.8450821271543341E-2</v>
      </c>
      <c r="Q12" s="75">
        <f ca="1"/>
        <v>2.8469877369791681E-2</v>
      </c>
      <c r="S12" s="60">
        <f ca="1">_xll.meDateYearFraction(US_TREASURY_TYPE1!$C$4,US_TREASURY_TYPE1!L13,US_TREASURY_TYPE1!J13)</f>
        <v>2.3698630136986303</v>
      </c>
      <c r="T12" s="65">
        <f ca="1">US_TREASURY_TYPE1!N13%</f>
        <v>2.8670887999999999E-2</v>
      </c>
      <c r="U12" s="61" t="b">
        <v>1</v>
      </c>
      <c r="W12" s="60">
        <f ca="1">IF($U12,S12,"")</f>
        <v>2.3698630136986303</v>
      </c>
      <c r="X12" s="65">
        <f ca="1">IF($U12,T12,"")</f>
        <v>2.8670887999999999E-2</v>
      </c>
      <c r="Y12" t="s">
        <v>298</v>
      </c>
      <c r="Z12" s="60">
        <f ca="1"/>
        <v>2.3698630136986298</v>
      </c>
      <c r="AA12" s="65">
        <f ca="1"/>
        <v>2.8670887999999999E-2</v>
      </c>
      <c r="AB12" t="s">
        <v>298</v>
      </c>
      <c r="AC12" s="68" t="str">
        <f ca="1"/>
        <v/>
      </c>
      <c r="AD12" s="86" t="str">
        <f ca="1"/>
        <v/>
      </c>
      <c r="AF12" s="68" t="str">
        <f ca="1"/>
        <v>lambda1</v>
      </c>
      <c r="AG12" s="86">
        <f ca="1"/>
        <v>16.387999212743999</v>
      </c>
      <c r="AI12" s="68" t="str">
        <f ca="1"/>
        <v/>
      </c>
      <c r="AJ12" s="86" t="str">
        <f ca="1"/>
        <v/>
      </c>
    </row>
    <row r="13" spans="1:37">
      <c r="A13" t="s">
        <v>298</v>
      </c>
      <c r="N13" s="72">
        <f ca="1">N12+$N$6</f>
        <v>2</v>
      </c>
      <c r="O13" s="81">
        <f ca="1"/>
        <v>2.8569501489815626E-2</v>
      </c>
      <c r="P13" s="81">
        <f ca="1"/>
        <v>2.8545443223803382E-2</v>
      </c>
      <c r="Q13" s="75">
        <f ca="1"/>
        <v>2.8560289814522067E-2</v>
      </c>
      <c r="S13" s="60">
        <f ca="1">_xll.meDateYearFraction(US_TREASURY_TYPE1!$C$4,US_TREASURY_TYPE1!L14,US_TREASURY_TYPE1!J14)</f>
        <v>2.452054794520548</v>
      </c>
      <c r="T13" s="65">
        <f ca="1">US_TREASURY_TYPE1!N14%</f>
        <v>2.8744066999999998E-2</v>
      </c>
      <c r="U13" s="61" t="b">
        <v>1</v>
      </c>
      <c r="W13" s="60">
        <f ca="1">IF($U13,S13,"")</f>
        <v>2.452054794520548</v>
      </c>
      <c r="X13" s="65">
        <f ca="1">IF($U13,T13,"")</f>
        <v>2.8744066999999998E-2</v>
      </c>
      <c r="Y13" t="s">
        <v>298</v>
      </c>
      <c r="Z13" s="60">
        <f ca="1"/>
        <v>2.4520547945205502</v>
      </c>
      <c r="AA13" s="65">
        <f ca="1"/>
        <v>2.8744067000000002E-2</v>
      </c>
      <c r="AB13" t="s">
        <v>298</v>
      </c>
      <c r="AC13" s="68" t="str">
        <f ca="1"/>
        <v/>
      </c>
      <c r="AD13" s="86" t="str">
        <f ca="1"/>
        <v/>
      </c>
      <c r="AF13" s="68" t="str">
        <f ca="1"/>
        <v>lambda2</v>
      </c>
      <c r="AG13" s="86">
        <f ca="1"/>
        <v>16.592662784217101</v>
      </c>
      <c r="AI13" s="68" t="str">
        <f ca="1"/>
        <v/>
      </c>
      <c r="AJ13" s="86" t="str">
        <f ca="1"/>
        <v/>
      </c>
    </row>
    <row r="14" spans="1:37">
      <c r="A14" t="s">
        <v>298</v>
      </c>
      <c r="N14" s="72">
        <f ca="1">N13+$N$6</f>
        <v>2.25</v>
      </c>
      <c r="O14" s="81">
        <f ca="1"/>
        <v>2.8657324670851875E-2</v>
      </c>
      <c r="P14" s="81">
        <f ca="1"/>
        <v>2.8638429739242369E-2</v>
      </c>
      <c r="Q14" s="75">
        <f ca="1"/>
        <v>2.8649509388235052E-2</v>
      </c>
      <c r="S14" s="60">
        <f ca="1">_xll.meDateYearFraction(US_TREASURY_TYPE1!$C$4,US_TREASURY_TYPE1!L15,US_TREASURY_TYPE1!J15)</f>
        <v>2.493150684931507</v>
      </c>
      <c r="T14" s="65">
        <f ca="1">US_TREASURY_TYPE1!N15%</f>
        <v>2.8671066000000002E-2</v>
      </c>
      <c r="U14" s="61" t="b">
        <v>1</v>
      </c>
      <c r="W14" s="60">
        <f ca="1">IF($U14,S14,"")</f>
        <v>2.493150684931507</v>
      </c>
      <c r="X14" s="65">
        <f ca="1">IF($U14,T14,"")</f>
        <v>2.8671066000000002E-2</v>
      </c>
      <c r="Y14" t="s">
        <v>298</v>
      </c>
      <c r="Z14" s="60">
        <f ca="1"/>
        <v>2.4931506849315102</v>
      </c>
      <c r="AA14" s="65">
        <f ca="1"/>
        <v>2.8671065999999999E-2</v>
      </c>
      <c r="AB14" t="s">
        <v>298</v>
      </c>
      <c r="AC14" s="68" t="str">
        <f ca="1"/>
        <v/>
      </c>
      <c r="AD14" s="86" t="str">
        <f ca="1"/>
        <v/>
      </c>
      <c r="AF14" s="68" t="str">
        <f ca="1"/>
        <v/>
      </c>
      <c r="AG14" s="86" t="str">
        <f ca="1"/>
        <v/>
      </c>
      <c r="AI14" s="68" t="str">
        <f ca="1"/>
        <v/>
      </c>
      <c r="AJ14" s="86" t="str">
        <f ca="1"/>
        <v/>
      </c>
    </row>
    <row r="15" spans="1:37">
      <c r="A15" t="s">
        <v>298</v>
      </c>
      <c r="N15" s="72">
        <f ca="1">N14+$N$6</f>
        <v>2.5</v>
      </c>
      <c r="O15" s="81">
        <f ca="1"/>
        <v>2.8743985533361379E-2</v>
      </c>
      <c r="P15" s="81">
        <f ca="1"/>
        <v>2.8729817914503408E-2</v>
      </c>
      <c r="Q15" s="75">
        <f ca="1"/>
        <v>2.8737548387095333E-2</v>
      </c>
      <c r="S15" s="60">
        <f ca="1">_xll.meDateYearFraction(US_TREASURY_TYPE1!$C$4,US_TREASURY_TYPE1!L16,US_TREASURY_TYPE1!J16)</f>
        <v>2.536986301369863</v>
      </c>
      <c r="T15" s="65">
        <f ca="1">US_TREASURY_TYPE1!N16%</f>
        <v>2.8789265999999997E-2</v>
      </c>
      <c r="U15" s="61" t="b">
        <v>1</v>
      </c>
      <c r="W15" s="60">
        <f ca="1">IF($U15,S15,"")</f>
        <v>2.536986301369863</v>
      </c>
      <c r="X15" s="65">
        <f ca="1">IF($U15,T15,"")</f>
        <v>2.8789265999999997E-2</v>
      </c>
      <c r="Y15" t="s">
        <v>298</v>
      </c>
      <c r="Z15" s="60">
        <f ca="1"/>
        <v>2.5369863013698599</v>
      </c>
      <c r="AA15" s="65">
        <f ca="1"/>
        <v>2.8789266000000001E-2</v>
      </c>
      <c r="AB15" t="s">
        <v>298</v>
      </c>
      <c r="AC15" s="68" t="str">
        <f ca="1"/>
        <v/>
      </c>
      <c r="AD15" s="86" t="str">
        <f ca="1"/>
        <v/>
      </c>
      <c r="AF15" s="68" t="str">
        <f ca="1"/>
        <v/>
      </c>
      <c r="AG15" s="86" t="str">
        <f ca="1"/>
        <v/>
      </c>
      <c r="AI15" s="68" t="str">
        <f ca="1"/>
        <v/>
      </c>
      <c r="AJ15" s="86" t="str">
        <f ca="1"/>
        <v/>
      </c>
    </row>
    <row r="16" spans="1:37">
      <c r="A16" t="s">
        <v>298</v>
      </c>
      <c r="N16" s="72">
        <f ca="1">N15+$N$6</f>
        <v>2.75</v>
      </c>
      <c r="O16" s="81">
        <f ca="1"/>
        <v>2.8829501466631581E-2</v>
      </c>
      <c r="P16" s="81">
        <f ca="1"/>
        <v>2.8819644044641497E-2</v>
      </c>
      <c r="Q16" s="75">
        <f ca="1"/>
        <v>2.8824419107267615E-2</v>
      </c>
      <c r="S16" s="60">
        <f ca="1">_xll.meDateYearFraction(US_TREASURY_TYPE1!$C$4,US_TREASURY_TYPE1!L17,US_TREASURY_TYPE1!J17)</f>
        <v>2.536986301369863</v>
      </c>
      <c r="T16" s="65">
        <f ca="1">US_TREASURY_TYPE1!N17%</f>
        <v>2.8771428000000002E-2</v>
      </c>
      <c r="U16" s="61" t="b">
        <v>1</v>
      </c>
      <c r="W16" s="60">
        <f ca="1">IF($U16,S16,"")</f>
        <v>2.536986301369863</v>
      </c>
      <c r="X16" s="65">
        <f ca="1">IF($U16,T16,"")</f>
        <v>2.8771428000000002E-2</v>
      </c>
      <c r="Y16" t="s">
        <v>298</v>
      </c>
      <c r="Z16" s="60">
        <f ca="1"/>
        <v>2.5369863013698599</v>
      </c>
      <c r="AA16" s="65">
        <f ca="1"/>
        <v>2.8771428000000002E-2</v>
      </c>
      <c r="AB16" t="s">
        <v>298</v>
      </c>
      <c r="AC16" s="68" t="str">
        <f ca="1"/>
        <v/>
      </c>
      <c r="AD16" s="86" t="str">
        <f ca="1"/>
        <v/>
      </c>
      <c r="AF16" s="68" t="str">
        <f ca="1"/>
        <v/>
      </c>
      <c r="AG16" s="86" t="str">
        <f ca="1"/>
        <v/>
      </c>
      <c r="AI16" s="68" t="str">
        <f ca="1"/>
        <v/>
      </c>
      <c r="AJ16" s="86" t="str">
        <f ca="1"/>
        <v/>
      </c>
    </row>
    <row r="17" spans="1:36">
      <c r="A17" t="s">
        <v>298</v>
      </c>
      <c r="N17" s="72">
        <f ca="1">N16+$N$6</f>
        <v>3</v>
      </c>
      <c r="O17" s="81">
        <f ca="1"/>
        <v>2.8913889581777152E-2</v>
      </c>
      <c r="P17" s="81">
        <f ca="1"/>
        <v>2.8907943639265826E-2</v>
      </c>
      <c r="Q17" s="75">
        <f ca="1"/>
        <v>2.89101338449166E-2</v>
      </c>
      <c r="S17" s="60">
        <f ca="1">_xll.meDateYearFraction(US_TREASURY_TYPE1!$C$4,US_TREASURY_TYPE1!L18,US_TREASURY_TYPE1!J18)</f>
        <v>2.6191780821917807</v>
      </c>
      <c r="T17" s="65">
        <f ca="1">US_TREASURY_TYPE1!N18%</f>
        <v>2.8717645999999999E-2</v>
      </c>
      <c r="U17" s="61" t="b">
        <v>1</v>
      </c>
      <c r="W17" s="60">
        <f ca="1">IF($U17,S17,"")</f>
        <v>2.6191780821917807</v>
      </c>
      <c r="X17" s="65">
        <f ca="1">IF($U17,T17,"")</f>
        <v>2.8717645999999999E-2</v>
      </c>
      <c r="Y17" t="s">
        <v>298</v>
      </c>
      <c r="Z17" s="60">
        <f ca="1"/>
        <v>2.6191780821917798</v>
      </c>
      <c r="AA17" s="65">
        <f ca="1"/>
        <v>2.8717645999999999E-2</v>
      </c>
      <c r="AB17" t="s">
        <v>298</v>
      </c>
      <c r="AC17" s="68" t="str">
        <f ca="1"/>
        <v/>
      </c>
      <c r="AD17" s="86" t="str">
        <f ca="1"/>
        <v/>
      </c>
      <c r="AF17" s="68" t="str">
        <f ca="1"/>
        <v/>
      </c>
      <c r="AG17" s="86" t="str">
        <f ca="1"/>
        <v/>
      </c>
      <c r="AI17" s="68" t="str">
        <f ca="1"/>
        <v/>
      </c>
      <c r="AJ17" s="86" t="str">
        <f ca="1"/>
        <v/>
      </c>
    </row>
    <row r="18" spans="1:36">
      <c r="A18" t="s">
        <v>298</v>
      </c>
      <c r="N18" s="72">
        <f ca="1">N17+$N$6</f>
        <v>3.25</v>
      </c>
      <c r="O18" s="81">
        <f ca="1"/>
        <v>2.8997166716381664E-2</v>
      </c>
      <c r="P18" s="81">
        <f ca="1"/>
        <v>2.8994751438364406E-2</v>
      </c>
      <c r="Q18" s="75">
        <f ca="1"/>
        <v>2.899470489620699E-2</v>
      </c>
      <c r="S18" s="60">
        <f ca="1">_xll.meDateYearFraction(US_TREASURY_TYPE1!$C$4,US_TREASURY_TYPE1!L19,US_TREASURY_TYPE1!J19)</f>
        <v>2.6191780821917807</v>
      </c>
      <c r="T18" s="65">
        <f ca="1">US_TREASURY_TYPE1!N19%</f>
        <v>2.8781474000000001E-2</v>
      </c>
      <c r="U18" s="61" t="b">
        <v>1</v>
      </c>
      <c r="W18" s="60">
        <f ca="1">IF($U18,S18,"")</f>
        <v>2.6191780821917807</v>
      </c>
      <c r="X18" s="65">
        <f ca="1">IF($U18,T18,"")</f>
        <v>2.8781474000000001E-2</v>
      </c>
      <c r="Y18" t="s">
        <v>298</v>
      </c>
      <c r="Z18" s="60">
        <f ca="1"/>
        <v>2.6191780821917798</v>
      </c>
      <c r="AA18" s="65">
        <f ca="1"/>
        <v>2.8781474000000001E-2</v>
      </c>
      <c r="AB18" t="s">
        <v>298</v>
      </c>
      <c r="AC18" s="69" t="str">
        <f ca="1"/>
        <v/>
      </c>
      <c r="AD18" s="87" t="str">
        <f ca="1"/>
        <v/>
      </c>
      <c r="AF18" s="69" t="str">
        <f ca="1"/>
        <v/>
      </c>
      <c r="AG18" s="87" t="str">
        <f ca="1"/>
        <v/>
      </c>
      <c r="AI18" s="69" t="str">
        <f ca="1"/>
        <v/>
      </c>
      <c r="AJ18" s="87" t="str">
        <f ca="1"/>
        <v/>
      </c>
    </row>
    <row r="19" spans="1:36">
      <c r="A19" t="s">
        <v>298</v>
      </c>
      <c r="N19" s="72">
        <f ca="1">N18+$N$6</f>
        <v>3.5</v>
      </c>
      <c r="O19" s="81">
        <f ca="1"/>
        <v>2.9079349439059543E-2</v>
      </c>
      <c r="P19" s="81">
        <f ca="1"/>
        <v>2.9080101427837048E-2</v>
      </c>
      <c r="Q19" s="75">
        <f ca="1"/>
        <v>2.9078144557303485E-2</v>
      </c>
      <c r="S19" s="60">
        <f ca="1">_xll.meDateYearFraction(US_TREASURY_TYPE1!$C$4,US_TREASURY_TYPE1!L20,US_TREASURY_TYPE1!J20)</f>
        <v>2.7041095890410958</v>
      </c>
      <c r="T19" s="65">
        <f ca="1">US_TREASURY_TYPE1!N20%</f>
        <v>2.8892763000000002E-2</v>
      </c>
      <c r="U19" s="61" t="b">
        <v>1</v>
      </c>
      <c r="W19" s="60">
        <f ca="1">IF($U19,S19,"")</f>
        <v>2.7041095890410958</v>
      </c>
      <c r="X19" s="65">
        <f ca="1">IF($U19,T19,"")</f>
        <v>2.8892763000000002E-2</v>
      </c>
      <c r="Y19" t="s">
        <v>298</v>
      </c>
      <c r="Z19" s="60">
        <f ca="1"/>
        <v>2.7041095890411002</v>
      </c>
      <c r="AA19" s="65">
        <f ca="1"/>
        <v>2.8892762999999998E-2</v>
      </c>
      <c r="AB19" t="s">
        <v>298</v>
      </c>
    </row>
    <row r="20" spans="1:36">
      <c r="A20" t="s">
        <v>298</v>
      </c>
      <c r="N20" s="72">
        <f ca="1">N19+$N$6</f>
        <v>3.75</v>
      </c>
      <c r="O20" s="81">
        <f ca="1"/>
        <v>2.9160454053939668E-2</v>
      </c>
      <c r="P20" s="81">
        <f ca="1"/>
        <v>2.9164026854728173E-2</v>
      </c>
      <c r="Q20" s="75">
        <f ca="1"/>
        <v>2.9160465124370788E-2</v>
      </c>
      <c r="S20" s="60">
        <f ca="1">_xll.meDateYearFraction(US_TREASURY_TYPE1!$C$4,US_TREASURY_TYPE1!L21,US_TREASURY_TYPE1!J21)</f>
        <v>2.7041095890410958</v>
      </c>
      <c r="T20" s="65">
        <f ca="1">US_TREASURY_TYPE1!N21%</f>
        <v>2.8867912000000003E-2</v>
      </c>
      <c r="U20" s="61" t="b">
        <v>1</v>
      </c>
      <c r="W20" s="60">
        <f ca="1">IF($U20,S20,"")</f>
        <v>2.7041095890410958</v>
      </c>
      <c r="X20" s="65">
        <f ca="1">IF($U20,T20,"")</f>
        <v>2.8867912000000003E-2</v>
      </c>
      <c r="Y20" t="s">
        <v>298</v>
      </c>
      <c r="Z20" s="60">
        <f ca="1"/>
        <v>2.7041095890411002</v>
      </c>
      <c r="AA20" s="65">
        <f ca="1"/>
        <v>2.8867911999999999E-2</v>
      </c>
      <c r="AB20" t="s">
        <v>298</v>
      </c>
    </row>
    <row r="21" spans="1:36">
      <c r="A21" t="s">
        <v>298</v>
      </c>
      <c r="N21" s="72">
        <f ca="1">N20+$N$6</f>
        <v>4</v>
      </c>
      <c r="O21" s="81">
        <f ca="1"/>
        <v>2.9240496605072042E-2</v>
      </c>
      <c r="P21" s="81">
        <f ca="1"/>
        <v>2.9246560242164266E-2</v>
      </c>
      <c r="Q21" s="75">
        <f ca="1"/>
        <v>2.9241678893573604E-2</v>
      </c>
      <c r="S21" s="60">
        <f ca="1">_xll.meDateYearFraction(US_TREASURY_TYPE1!$C$4,US_TREASURY_TYPE1!L22,US_TREASURY_TYPE1!J22)</f>
        <v>2.7452054794520548</v>
      </c>
      <c r="T21" s="65">
        <f ca="1">US_TREASURY_TYPE1!N22%</f>
        <v>2.8867542E-2</v>
      </c>
      <c r="U21" s="61" t="b">
        <v>1</v>
      </c>
      <c r="W21" s="60">
        <f ca="1">IF($U21,S21,"")</f>
        <v>2.7452054794520548</v>
      </c>
      <c r="X21" s="65">
        <f ca="1">IF($U21,T21,"")</f>
        <v>2.8867542E-2</v>
      </c>
      <c r="Y21" t="s">
        <v>298</v>
      </c>
      <c r="Z21" s="60">
        <f ca="1"/>
        <v>2.74520547945205</v>
      </c>
      <c r="AA21" s="65">
        <f ca="1"/>
        <v>2.8867542E-2</v>
      </c>
      <c r="AB21" t="s">
        <v>298</v>
      </c>
    </row>
    <row r="22" spans="1:36">
      <c r="A22" t="s">
        <v>298</v>
      </c>
      <c r="N22" s="72">
        <f ca="1">N21+$N$6</f>
        <v>4.25</v>
      </c>
      <c r="O22" s="81">
        <f ca="1"/>
        <v>2.9319492880758823E-2</v>
      </c>
      <c r="P22" s="81">
        <f ca="1"/>
        <v>2.9327733404013734E-2</v>
      </c>
      <c r="Q22" s="75">
        <f ca="1"/>
        <v>2.9321798161076627E-2</v>
      </c>
      <c r="S22" s="60">
        <f ca="1">_xll.meDateYearFraction(US_TREASURY_TYPE1!$C$4,US_TREASURY_TYPE1!L23,US_TREASURY_TYPE1!J23)</f>
        <v>2.7890410958904108</v>
      </c>
      <c r="T22" s="65">
        <f ca="1">US_TREASURY_TYPE1!N23%</f>
        <v>2.8961125000000001E-2</v>
      </c>
      <c r="U22" s="61" t="b">
        <v>1</v>
      </c>
      <c r="W22" s="60">
        <f ca="1">IF($U22,S22,"")</f>
        <v>2.7890410958904108</v>
      </c>
      <c r="X22" s="65">
        <f ca="1">IF($U22,T22,"")</f>
        <v>2.8961125000000001E-2</v>
      </c>
      <c r="Y22" t="s">
        <v>298</v>
      </c>
      <c r="Z22" s="60">
        <f ca="1"/>
        <v>2.7890410958904099</v>
      </c>
      <c r="AA22" s="65">
        <f ca="1"/>
        <v>2.8961125000000001E-2</v>
      </c>
      <c r="AB22" t="s">
        <v>298</v>
      </c>
    </row>
    <row r="23" spans="1:36">
      <c r="A23" t="s">
        <v>298</v>
      </c>
      <c r="N23" s="72">
        <f ca="1">N22+$N$6</f>
        <v>4.5</v>
      </c>
      <c r="O23" s="81">
        <f ca="1"/>
        <v>2.9397458417811072E-2</v>
      </c>
      <c r="P23" s="81">
        <f ca="1"/>
        <v>2.9407577459258177E-2</v>
      </c>
      <c r="Q23" s="75">
        <f ca="1"/>
        <v>2.9400835223044569E-2</v>
      </c>
      <c r="S23" s="60">
        <f ca="1">_xll.meDateYearFraction(US_TREASURY_TYPE1!$C$4,US_TREASURY_TYPE1!L24,US_TREASURY_TYPE1!J24)</f>
        <v>2.7890410958904108</v>
      </c>
      <c r="T23" s="65">
        <f ca="1">US_TREASURY_TYPE1!N24%</f>
        <v>2.8893939E-2</v>
      </c>
      <c r="U23" s="61" t="b">
        <v>1</v>
      </c>
      <c r="W23" s="60">
        <f ca="1">IF($U23,S23,"")</f>
        <v>2.7890410958904108</v>
      </c>
      <c r="X23" s="65">
        <f ca="1">IF($U23,T23,"")</f>
        <v>2.8893939E-2</v>
      </c>
      <c r="Y23" t="s">
        <v>298</v>
      </c>
      <c r="Z23" s="60">
        <f ca="1"/>
        <v>2.7890410958904099</v>
      </c>
      <c r="AA23" s="65">
        <f ca="1"/>
        <v>2.8893939E-2</v>
      </c>
      <c r="AB23" t="s">
        <v>298</v>
      </c>
    </row>
    <row r="24" spans="1:36">
      <c r="A24" t="s">
        <v>298</v>
      </c>
      <c r="N24" s="72">
        <f ca="1">N23+$N$6</f>
        <v>4.75</v>
      </c>
      <c r="O24" s="81">
        <f ca="1"/>
        <v>2.9474408505732557E-2</v>
      </c>
      <c r="P24" s="81">
        <f ca="1"/>
        <v>2.9486122846092658E-2</v>
      </c>
      <c r="Q24" s="75">
        <f ca="1"/>
        <v>2.9478802375642123E-2</v>
      </c>
      <c r="S24" s="60">
        <f ca="1">_xll.meDateYearFraction(US_TREASURY_TYPE1!$C$4,US_TREASURY_TYPE1!L25,US_TREASURY_TYPE1!J25)</f>
        <v>2.8712328767123285</v>
      </c>
      <c r="T24" s="65">
        <f ca="1">US_TREASURY_TYPE1!N25%</f>
        <v>2.8922422E-2</v>
      </c>
      <c r="U24" s="61" t="b">
        <v>1</v>
      </c>
      <c r="W24" s="60">
        <f ca="1">IF($U24,S24,"")</f>
        <v>2.8712328767123285</v>
      </c>
      <c r="X24" s="65">
        <f ca="1">IF($U24,T24,"")</f>
        <v>2.8922422E-2</v>
      </c>
      <c r="Y24" t="s">
        <v>298</v>
      </c>
      <c r="Z24" s="60">
        <f ca="1"/>
        <v>2.8712328767123299</v>
      </c>
      <c r="AA24" s="65">
        <f ca="1"/>
        <v>2.8922422E-2</v>
      </c>
      <c r="AB24" t="s">
        <v>298</v>
      </c>
    </row>
    <row r="25" spans="1:36">
      <c r="A25" t="s">
        <v>298</v>
      </c>
      <c r="N25" s="72">
        <f ca="1">N24+$N$6</f>
        <v>5</v>
      </c>
      <c r="O25" s="81">
        <f ca="1"/>
        <v>2.9550358190831759E-2</v>
      </c>
      <c r="P25" s="81">
        <f ca="1"/>
        <v>2.9563399335756468E-2</v>
      </c>
      <c r="Q25" s="75">
        <f ca="1"/>
        <v>2.9555711915033995E-2</v>
      </c>
      <c r="S25" s="60">
        <f ca="1">_xll.meDateYearFraction(US_TREASURY_TYPE1!$C$4,US_TREASURY_TYPE1!L26,US_TREASURY_TYPE1!J26)</f>
        <v>2.8712328767123285</v>
      </c>
      <c r="T25" s="65">
        <f ca="1">US_TREASURY_TYPE1!N26%</f>
        <v>2.8954789000000002E-2</v>
      </c>
      <c r="U25" s="61" t="b">
        <v>1</v>
      </c>
      <c r="W25" s="60">
        <f ca="1">IF($U25,S25,"")</f>
        <v>2.8712328767123285</v>
      </c>
      <c r="X25" s="65">
        <f ca="1">IF($U25,T25,"")</f>
        <v>2.8954789000000002E-2</v>
      </c>
      <c r="Y25" t="s">
        <v>298</v>
      </c>
      <c r="Z25" s="60">
        <f ca="1"/>
        <v>2.8712328767123299</v>
      </c>
      <c r="AA25" s="65">
        <f ca="1"/>
        <v>2.8954789000000002E-2</v>
      </c>
      <c r="AB25" t="s">
        <v>298</v>
      </c>
    </row>
    <row r="26" spans="1:36">
      <c r="A26" t="s">
        <v>298</v>
      </c>
      <c r="N26" s="72">
        <f ca="1">N25+$N$6</f>
        <v>5.25</v>
      </c>
      <c r="O26" s="81">
        <f ca="1"/>
        <v>2.9625322280263548E-2</v>
      </c>
      <c r="P26" s="81">
        <f ca="1"/>
        <v>2.9639436046095355E-2</v>
      </c>
      <c r="Q26" s="75">
        <f ca="1"/>
        <v>2.9631576137384888E-2</v>
      </c>
      <c r="S26" s="60">
        <f ca="1">_xll.meDateYearFraction(US_TREASURY_TYPE1!$C$4,US_TREASURY_TYPE1!L27,US_TREASURY_TYPE1!J27)</f>
        <v>2.956164383561644</v>
      </c>
      <c r="T26" s="65">
        <f ca="1">US_TREASURY_TYPE1!N27%</f>
        <v>2.8994609000000001E-2</v>
      </c>
      <c r="U26" s="61" t="b">
        <v>1</v>
      </c>
      <c r="W26" s="60">
        <f ca="1">IF($U26,S26,"")</f>
        <v>2.956164383561644</v>
      </c>
      <c r="X26" s="65">
        <f ca="1">IF($U26,T26,"")</f>
        <v>2.8994609000000001E-2</v>
      </c>
      <c r="Y26" t="s">
        <v>298</v>
      </c>
      <c r="Z26" s="60">
        <f ca="1"/>
        <v>2.95616438356164</v>
      </c>
      <c r="AA26" s="65">
        <f ca="1"/>
        <v>2.8994609000000001E-2</v>
      </c>
      <c r="AB26" t="s">
        <v>298</v>
      </c>
    </row>
    <row r="27" spans="1:36">
      <c r="A27" t="s">
        <v>298</v>
      </c>
      <c r="N27" s="72">
        <f ca="1">N26+$N$6</f>
        <v>5.5</v>
      </c>
      <c r="O27" s="81">
        <f ca="1"/>
        <v>2.969931534600153E-2</v>
      </c>
      <c r="P27" s="81">
        <f ca="1"/>
        <v>2.9714261454865318E-2</v>
      </c>
      <c r="Q27" s="75">
        <f ca="1"/>
        <v>2.9706407338859504E-2</v>
      </c>
      <c r="S27" s="60">
        <f ca="1">_xll.meDateYearFraction(US_TREASURY_TYPE1!$C$4,US_TREASURY_TYPE1!L28,US_TREASURY_TYPE1!J28)</f>
        <v>2.956164383561644</v>
      </c>
      <c r="T27" s="65">
        <f ca="1">US_TREASURY_TYPE1!N28%</f>
        <v>2.8967526E-2</v>
      </c>
      <c r="U27" s="61" t="b">
        <v>1</v>
      </c>
      <c r="W27" s="60">
        <f ca="1">IF($U27,S27,"")</f>
        <v>2.956164383561644</v>
      </c>
      <c r="X27" s="65">
        <f ca="1">IF($U27,T27,"")</f>
        <v>2.8967526E-2</v>
      </c>
      <c r="Y27" t="s">
        <v>298</v>
      </c>
      <c r="Z27" s="60">
        <f ca="1"/>
        <v>2.95616438356164</v>
      </c>
      <c r="AA27" s="65">
        <f ca="1"/>
        <v>2.8967526E-2</v>
      </c>
      <c r="AB27" t="s">
        <v>298</v>
      </c>
    </row>
    <row r="28" spans="1:36">
      <c r="A28" t="s">
        <v>298</v>
      </c>
      <c r="N28" s="72">
        <f ca="1">N27+$N$6</f>
        <v>5.75</v>
      </c>
      <c r="O28" s="81">
        <f ca="1"/>
        <v>2.9772351728742485E-2</v>
      </c>
      <c r="P28" s="81">
        <f ca="1"/>
        <v>2.9787903412780009E-2</v>
      </c>
      <c r="Q28" s="75">
        <f ca="1"/>
        <v>2.9780217815622543E-2</v>
      </c>
      <c r="S28" s="60">
        <f ca="1">_xll.meDateYearFraction(US_TREASURY_TYPE1!$C$4,US_TREASURY_TYPE1!L29,US_TREASURY_TYPE1!J29)</f>
        <v>2.9972602739726026</v>
      </c>
      <c r="T28" s="65">
        <f ca="1">US_TREASURY_TYPE1!N29%</f>
        <v>2.8876664999999999E-2</v>
      </c>
      <c r="U28" s="61" t="b">
        <v>1</v>
      </c>
      <c r="W28" s="60">
        <f ca="1">IF($U28,S28,"")</f>
        <v>2.9972602739726026</v>
      </c>
      <c r="X28" s="65">
        <f ca="1">IF($U28,T28,"")</f>
        <v>2.8876664999999999E-2</v>
      </c>
      <c r="Y28" t="s">
        <v>298</v>
      </c>
      <c r="Z28" s="60">
        <f ca="1"/>
        <v>2.9972602739726</v>
      </c>
      <c r="AA28" s="65">
        <f ca="1"/>
        <v>2.8876664999999999E-2</v>
      </c>
      <c r="AB28" t="s">
        <v>298</v>
      </c>
    </row>
    <row r="29" spans="1:36">
      <c r="A29" t="s">
        <v>298</v>
      </c>
      <c r="N29" s="72">
        <f ca="1">N28+$N$6</f>
        <v>6</v>
      </c>
      <c r="O29" s="81">
        <f ca="1"/>
        <v>2.9844445541743921E-2</v>
      </c>
      <c r="P29" s="81">
        <f ca="1"/>
        <v>2.9860389156308884E-2</v>
      </c>
      <c r="Q29" s="75">
        <f ca="1"/>
        <v>2.9853019863838707E-2</v>
      </c>
      <c r="S29" s="60">
        <f ca="1">_xll.meDateYearFraction(US_TREASURY_TYPE1!$C$4,US_TREASURY_TYPE1!L30,US_TREASURY_TYPE1!J30)</f>
        <v>3.0383561643835617</v>
      </c>
      <c r="T29" s="65">
        <f ca="1">US_TREASURY_TYPE1!N30%</f>
        <v>2.8994213000000001E-2</v>
      </c>
      <c r="U29" s="61" t="b">
        <v>1</v>
      </c>
      <c r="W29" s="60">
        <f ca="1">IF($U29,S29,"")</f>
        <v>3.0383561643835617</v>
      </c>
      <c r="X29" s="65">
        <f ca="1">IF($U29,T29,"")</f>
        <v>2.8994213000000001E-2</v>
      </c>
      <c r="Y29" t="s">
        <v>298</v>
      </c>
      <c r="Z29" s="60">
        <f ca="1"/>
        <v>3.0383561643835599</v>
      </c>
      <c r="AA29" s="65">
        <f ca="1"/>
        <v>2.8994213000000001E-2</v>
      </c>
      <c r="AB29" t="s">
        <v>298</v>
      </c>
    </row>
    <row r="30" spans="1:36">
      <c r="A30" t="s">
        <v>298</v>
      </c>
      <c r="N30" s="72">
        <f ca="1">N29+$N$6</f>
        <v>6.25</v>
      </c>
      <c r="O30" s="81">
        <f ca="1"/>
        <v>2.9915610674596006E-2</v>
      </c>
      <c r="P30" s="81">
        <f ca="1"/>
        <v>2.9931745320225758E-2</v>
      </c>
      <c r="Q30" s="75">
        <f ca="1"/>
        <v>2.99248257796727E-2</v>
      </c>
      <c r="S30" s="60">
        <f ca="1">_xll.meDateYearFraction(US_TREASURY_TYPE1!$C$4,US_TREASURY_TYPE1!L31,US_TREASURY_TYPE1!J31)</f>
        <v>3.0383561643835617</v>
      </c>
      <c r="T30" s="65">
        <f ca="1">US_TREASURY_TYPE1!N31%</f>
        <v>2.8834802000000003E-2</v>
      </c>
      <c r="U30" s="61" t="b">
        <v>1</v>
      </c>
      <c r="W30" s="60">
        <f ca="1">IF($U30,S30,"")</f>
        <v>3.0383561643835617</v>
      </c>
      <c r="X30" s="65">
        <f ca="1">IF($U30,T30,"")</f>
        <v>2.8834802000000003E-2</v>
      </c>
      <c r="Y30" t="s">
        <v>298</v>
      </c>
      <c r="Z30" s="60">
        <f ca="1"/>
        <v>3.0383561643835599</v>
      </c>
      <c r="AA30" s="65">
        <f ca="1"/>
        <v>2.8834802E-2</v>
      </c>
      <c r="AB30" t="s">
        <v>298</v>
      </c>
    </row>
    <row r="31" spans="1:36">
      <c r="A31" t="s">
        <v>298</v>
      </c>
      <c r="N31" s="72">
        <f ca="1">N30+$N$6</f>
        <v>6.5</v>
      </c>
      <c r="O31" s="81">
        <f ca="1"/>
        <v>2.9985860796929026E-2</v>
      </c>
      <c r="P31" s="81">
        <f ca="1"/>
        <v>3.0001997949918827E-2</v>
      </c>
      <c r="Q31" s="75">
        <f ca="1"/>
        <v>2.9995647859289223E-2</v>
      </c>
      <c r="S31" s="60">
        <f ca="1">_xll.meDateYearFraction(US_TREASURY_TYPE1!$C$4,US_TREASURY_TYPE1!L32,US_TREASURY_TYPE1!J32)</f>
        <v>3.1232876712328768</v>
      </c>
      <c r="T31" s="65">
        <f ca="1">US_TREASURY_TYPE1!N32%</f>
        <v>2.8992770000000001E-2</v>
      </c>
      <c r="U31" s="61" t="b">
        <v>1</v>
      </c>
      <c r="W31" s="60">
        <f ca="1">IF($U31,S31,"")</f>
        <v>3.1232876712328768</v>
      </c>
      <c r="X31" s="65">
        <f ca="1">IF($U31,T31,"")</f>
        <v>2.8992770000000001E-2</v>
      </c>
      <c r="Y31" t="s">
        <v>298</v>
      </c>
      <c r="Z31" s="60">
        <f ca="1"/>
        <v>3.1232876712328799</v>
      </c>
      <c r="AA31" s="65">
        <f ca="1"/>
        <v>2.8992770000000001E-2</v>
      </c>
      <c r="AB31" t="s">
        <v>298</v>
      </c>
    </row>
    <row r="32" spans="1:36">
      <c r="A32" t="s">
        <v>298</v>
      </c>
      <c r="N32" s="72">
        <f ca="1">N31+$N$6</f>
        <v>6.75</v>
      </c>
      <c r="O32" s="81">
        <f ca="1"/>
        <v>3.0055209362057422E-2</v>
      </c>
      <c r="P32" s="81">
        <f ca="1"/>
        <v>3.0071172513461697E-2</v>
      </c>
      <c r="Q32" s="75">
        <f ca="1"/>
        <v>3.0065498398852978E-2</v>
      </c>
      <c r="S32" s="60">
        <f ca="1">_xll.meDateYearFraction(US_TREASURY_TYPE1!$C$4,US_TREASURY_TYPE1!L33,US_TREASURY_TYPE1!J33)</f>
        <v>3.1232876712328768</v>
      </c>
      <c r="T32" s="65">
        <f ca="1">US_TREASURY_TYPE1!N33%</f>
        <v>2.8981425000000002E-2</v>
      </c>
      <c r="U32" s="61" t="b">
        <v>1</v>
      </c>
      <c r="W32" s="60">
        <f ca="1">IF($U32,S32,"")</f>
        <v>3.1232876712328768</v>
      </c>
      <c r="X32" s="65">
        <f ca="1">IF($U32,T32,"")</f>
        <v>2.8981425000000002E-2</v>
      </c>
      <c r="Y32" t="s">
        <v>298</v>
      </c>
      <c r="Z32" s="60">
        <f ca="1"/>
        <v>3.1232876712328799</v>
      </c>
      <c r="AA32" s="65">
        <f ca="1"/>
        <v>2.8981425000000002E-2</v>
      </c>
      <c r="AB32" t="s">
        <v>298</v>
      </c>
    </row>
    <row r="33" spans="1:28">
      <c r="A33" t="s">
        <v>298</v>
      </c>
      <c r="N33" s="72">
        <f ca="1">N32+$N$6</f>
        <v>7</v>
      </c>
      <c r="O33" s="81">
        <f ca="1"/>
        <v>3.0123669610561624E-2</v>
      </c>
      <c r="P33" s="81">
        <f ca="1"/>
        <v>3.0139293913452297E-2</v>
      </c>
      <c r="Q33" s="75">
        <f ca="1"/>
        <v>3.0134389694528665E-2</v>
      </c>
      <c r="S33" s="60">
        <f ca="1">_xll.meDateYearFraction(US_TREASURY_TYPE1!$C$4,US_TREASURY_TYPE1!L34,US_TREASURY_TYPE1!J34)</f>
        <v>3.2082191780821918</v>
      </c>
      <c r="T33" s="65">
        <f ca="1">US_TREASURY_TYPE1!N34%</f>
        <v>2.9049853E-2</v>
      </c>
      <c r="U33" s="61" t="b">
        <v>1</v>
      </c>
      <c r="W33" s="60">
        <f ca="1">IF($U33,S33,"")</f>
        <v>3.2082191780821918</v>
      </c>
      <c r="X33" s="65">
        <f ca="1">IF($U33,T33,"")</f>
        <v>2.9049853E-2</v>
      </c>
      <c r="Y33" t="s">
        <v>298</v>
      </c>
      <c r="Z33" s="60">
        <f ca="1"/>
        <v>3.20821917808219</v>
      </c>
      <c r="AA33" s="65">
        <f ca="1"/>
        <v>2.9049853E-2</v>
      </c>
      <c r="AB33" t="s">
        <v>298</v>
      </c>
    </row>
    <row r="34" spans="1:28">
      <c r="A34" t="s">
        <v>298</v>
      </c>
      <c r="N34" s="72">
        <f ca="1">N33+$N$6</f>
        <v>7.25</v>
      </c>
      <c r="O34" s="81">
        <f ca="1"/>
        <v>3.0191254573808664E-2</v>
      </c>
      <c r="P34" s="81">
        <f ca="1"/>
        <v>3.0206386498621632E-2</v>
      </c>
      <c r="Q34" s="75">
        <f ca="1"/>
        <v>3.0202334042480988E-2</v>
      </c>
      <c r="S34" s="60">
        <f ca="1">_xll.meDateYearFraction(US_TREASURY_TYPE1!$C$4,US_TREASURY_TYPE1!L35,US_TREASURY_TYPE1!J35)</f>
        <v>3.2082191780821918</v>
      </c>
      <c r="T34" s="65">
        <f ca="1">US_TREASURY_TYPE1!N35%</f>
        <v>2.9047529000000002E-2</v>
      </c>
      <c r="U34" s="61" t="b">
        <v>1</v>
      </c>
      <c r="W34" s="60">
        <f ca="1">IF($U34,S34,"")</f>
        <v>3.2082191780821918</v>
      </c>
      <c r="X34" s="65">
        <f ca="1">IF($U34,T34,"")</f>
        <v>2.9047529000000002E-2</v>
      </c>
      <c r="Y34" t="s">
        <v>298</v>
      </c>
      <c r="Z34" s="60">
        <f ca="1"/>
        <v>3.20821917808219</v>
      </c>
      <c r="AA34" s="65">
        <f ca="1"/>
        <v>2.9047528999999999E-2</v>
      </c>
      <c r="AB34" t="s">
        <v>298</v>
      </c>
    </row>
    <row r="35" spans="1:28">
      <c r="A35" t="s">
        <v>298</v>
      </c>
      <c r="N35" s="72">
        <f ca="1">N34+$N$6</f>
        <v>7.5</v>
      </c>
      <c r="O35" s="81">
        <f ca="1"/>
        <v>3.0257977077412693E-2</v>
      </c>
      <c r="P35" s="81">
        <f ca="1"/>
        <v>3.027247407522074E-2</v>
      </c>
      <c r="Q35" s="75">
        <f ca="1"/>
        <v>3.0269343738874646E-2</v>
      </c>
      <c r="S35" s="60">
        <f ca="1">_xll.meDateYearFraction(US_TREASURY_TYPE1!$C$4,US_TREASURY_TYPE1!L36,US_TREASURY_TYPE1!J36)</f>
        <v>3.2493150684931509</v>
      </c>
      <c r="T35" s="65">
        <f ca="1">US_TREASURY_TYPE1!N36%</f>
        <v>2.8979419000000003E-2</v>
      </c>
      <c r="U35" s="61" t="b">
        <v>1</v>
      </c>
      <c r="W35" s="60">
        <f ca="1">IF($U35,S35,"")</f>
        <v>3.2493150684931509</v>
      </c>
      <c r="X35" s="65">
        <f ca="1">IF($U35,T35,"")</f>
        <v>2.8979419000000003E-2</v>
      </c>
      <c r="Y35" t="s">
        <v>298</v>
      </c>
      <c r="Z35" s="60">
        <f ca="1"/>
        <v>3.24931506849315</v>
      </c>
      <c r="AA35" s="65">
        <f ca="1"/>
        <v>2.8979418999999999E-2</v>
      </c>
      <c r="AB35" t="s">
        <v>298</v>
      </c>
    </row>
    <row r="36" spans="1:28">
      <c r="A36" t="s">
        <v>298</v>
      </c>
      <c r="N36" s="72">
        <f ca="1">N35+$N$6</f>
        <v>7.75</v>
      </c>
      <c r="O36" s="81">
        <f ca="1"/>
        <v>3.0323849744636474E-2</v>
      </c>
      <c r="P36" s="81">
        <f ca="1"/>
        <v>3.0337579918184684E-2</v>
      </c>
      <c r="Q36" s="75">
        <f ca="1"/>
        <v>3.0335431079874346E-2</v>
      </c>
      <c r="S36" s="60">
        <f ca="1">_xll.meDateYearFraction(US_TREASURY_TYPE1!$C$4,US_TREASURY_TYPE1!L37,US_TREASURY_TYPE1!J37)</f>
        <v>3.2849315068493152</v>
      </c>
      <c r="T36" s="65">
        <f ca="1">US_TREASURY_TYPE1!N37%</f>
        <v>2.9036455000000003E-2</v>
      </c>
      <c r="U36" s="61" t="b">
        <v>1</v>
      </c>
      <c r="W36" s="60">
        <f ca="1">IF($U36,S36,"")</f>
        <v>3.2849315068493152</v>
      </c>
      <c r="X36" s="65">
        <f ca="1">IF($U36,T36,"")</f>
        <v>2.9036455000000003E-2</v>
      </c>
      <c r="Y36" t="s">
        <v>298</v>
      </c>
      <c r="Z36" s="60">
        <f ca="1"/>
        <v>3.2849315068493201</v>
      </c>
      <c r="AA36" s="65">
        <f ca="1"/>
        <v>2.9036454999999999E-2</v>
      </c>
      <c r="AB36" t="s">
        <v>298</v>
      </c>
    </row>
    <row r="37" spans="1:28">
      <c r="A37" t="s">
        <v>298</v>
      </c>
      <c r="N37" s="72">
        <f ca="1">N36+$N$6</f>
        <v>8</v>
      </c>
      <c r="O37" s="81">
        <f ca="1"/>
        <v>3.0388884999734803E-2</v>
      </c>
      <c r="P37" s="81">
        <f ca="1"/>
        <v>3.0401726782082722E-2</v>
      </c>
      <c r="Q37" s="75">
        <f ca="1"/>
        <v>3.040060836164479E-2</v>
      </c>
      <c r="S37" s="60">
        <f ca="1">_xll.meDateYearFraction(US_TREASURY_TYPE1!$C$4,US_TREASURY_TYPE1!L38,US_TREASURY_TYPE1!J38)</f>
        <v>3.2849315068493152</v>
      </c>
      <c r="T37" s="65">
        <f ca="1">US_TREASURY_TYPE1!N38%</f>
        <v>2.9057079E-2</v>
      </c>
      <c r="U37" s="61" t="b">
        <v>1</v>
      </c>
      <c r="W37" s="60">
        <f ca="1">IF($U37,S37,"")</f>
        <v>3.2849315068493152</v>
      </c>
      <c r="X37" s="65">
        <f ca="1">IF($U37,T37,"")</f>
        <v>2.9057079E-2</v>
      </c>
      <c r="Y37" t="s">
        <v>298</v>
      </c>
      <c r="Z37" s="60">
        <f ca="1"/>
        <v>3.2849315068493201</v>
      </c>
      <c r="AA37" s="65">
        <f ca="1"/>
        <v>2.9057079E-2</v>
      </c>
      <c r="AB37" t="s">
        <v>298</v>
      </c>
    </row>
    <row r="38" spans="1:28">
      <c r="A38" t="s">
        <v>298</v>
      </c>
      <c r="N38" s="72">
        <f ca="1">N37+$N$6</f>
        <v>8.25</v>
      </c>
      <c r="O38" s="81">
        <f ca="1"/>
        <v>3.045309507124094E-2</v>
      </c>
      <c r="P38" s="81">
        <f ca="1"/>
        <v>3.0464936911854437E-2</v>
      </c>
      <c r="Q38" s="75">
        <f ca="1"/>
        <v>3.0464887880350674E-2</v>
      </c>
      <c r="S38" s="60">
        <f ca="1">_xll.meDateYearFraction(US_TREASURY_TYPE1!$C$4,US_TREASURY_TYPE1!L39,US_TREASURY_TYPE1!J39)</f>
        <v>3.3698630136986303</v>
      </c>
      <c r="T38" s="65">
        <f ca="1">US_TREASURY_TYPE1!N39%</f>
        <v>2.9059239999999997E-2</v>
      </c>
      <c r="U38" s="61" t="b">
        <v>1</v>
      </c>
      <c r="W38" s="60">
        <f ca="1">IF($U38,S38,"")</f>
        <v>3.3698630136986303</v>
      </c>
      <c r="X38" s="65">
        <f ca="1">IF($U38,T38,"")</f>
        <v>2.9059239999999997E-2</v>
      </c>
      <c r="Y38" t="s">
        <v>298</v>
      </c>
      <c r="Z38" s="60">
        <f ca="1"/>
        <v>3.3698630136986298</v>
      </c>
      <c r="AA38" s="65">
        <f ca="1"/>
        <v>2.905924E-2</v>
      </c>
      <c r="AB38" t="s">
        <v>298</v>
      </c>
    </row>
    <row r="39" spans="1:28">
      <c r="A39" t="s">
        <v>298</v>
      </c>
      <c r="N39" s="72">
        <f ca="1">N38+$N$6</f>
        <v>8.5</v>
      </c>
      <c r="O39" s="81">
        <f ca="1"/>
        <v>3.0516491995197036E-2</v>
      </c>
      <c r="P39" s="81">
        <f ca="1"/>
        <v>3.0527232053339182E-2</v>
      </c>
      <c r="Q39" s="75">
        <f ca="1"/>
        <v>3.0528281932156703E-2</v>
      </c>
      <c r="S39" s="60">
        <f ca="1">_xll.meDateYearFraction(US_TREASURY_TYPE1!$C$4,US_TREASURY_TYPE1!L40,US_TREASURY_TYPE1!J40)</f>
        <v>3.452054794520548</v>
      </c>
      <c r="T39" s="65">
        <f ca="1">US_TREASURY_TYPE1!N40%</f>
        <v>2.9102916E-2</v>
      </c>
      <c r="U39" s="61" t="b">
        <v>1</v>
      </c>
      <c r="W39" s="60">
        <f ca="1">IF($U39,S39,"")</f>
        <v>3.452054794520548</v>
      </c>
      <c r="X39" s="65">
        <f ca="1">IF($U39,T39,"")</f>
        <v>2.9102916E-2</v>
      </c>
      <c r="Y39" t="s">
        <v>298</v>
      </c>
      <c r="Z39" s="60">
        <f ca="1"/>
        <v>3.4520547945205502</v>
      </c>
      <c r="AA39" s="65">
        <f ca="1"/>
        <v>2.9102916E-2</v>
      </c>
      <c r="AB39" t="s">
        <v>298</v>
      </c>
    </row>
    <row r="40" spans="1:28">
      <c r="A40" t="s">
        <v>298</v>
      </c>
      <c r="N40" s="72">
        <f ca="1">N39+$N$6</f>
        <v>8.75</v>
      </c>
      <c r="O40" s="81">
        <f ca="1"/>
        <v>3.0579087618329479E-2</v>
      </c>
      <c r="P40" s="81">
        <f ca="1"/>
        <v>3.0588633463599621E-2</v>
      </c>
      <c r="Q40" s="75">
        <f ca="1"/>
        <v>3.0590802813227583E-2</v>
      </c>
      <c r="S40" s="60">
        <f ca="1">_xll.meDateYearFraction(US_TREASURY_TYPE1!$C$4,US_TREASURY_TYPE1!L41,US_TREASURY_TYPE1!J41)</f>
        <v>3.493150684931507</v>
      </c>
      <c r="T40" s="65">
        <f ca="1">US_TREASURY_TYPE1!N41%</f>
        <v>2.9091658000000003E-2</v>
      </c>
      <c r="U40" s="61" t="b">
        <v>1</v>
      </c>
      <c r="W40" s="60">
        <f ca="1">IF($U40,S40,"")</f>
        <v>3.493150684931507</v>
      </c>
      <c r="X40" s="65">
        <f ca="1">IF($U40,T40,"")</f>
        <v>2.9091658000000003E-2</v>
      </c>
      <c r="Y40" t="s">
        <v>298</v>
      </c>
      <c r="Z40" s="60">
        <f ca="1"/>
        <v>3.4931506849315102</v>
      </c>
      <c r="AA40" s="65">
        <f ca="1"/>
        <v>2.9091657999999999E-2</v>
      </c>
      <c r="AB40" t="s">
        <v>298</v>
      </c>
    </row>
    <row r="41" spans="1:28">
      <c r="A41" t="s">
        <v>298</v>
      </c>
      <c r="N41" s="72">
        <f ca="1">N40+$N$6</f>
        <v>9</v>
      </c>
      <c r="O41" s="81">
        <f ca="1"/>
        <v>3.0640893601170213E-2</v>
      </c>
      <c r="P41" s="81">
        <f ca="1"/>
        <v>3.0649161921046331E-2</v>
      </c>
      <c r="Q41" s="75">
        <f ca="1"/>
        <v>3.065246281972801E-2</v>
      </c>
      <c r="S41" s="60">
        <f ca="1">_xll.meDateYearFraction(US_TREASURY_TYPE1!$C$4,US_TREASURY_TYPE1!L42,US_TREASURY_TYPE1!J42)</f>
        <v>3.536986301369863</v>
      </c>
      <c r="T41" s="65">
        <f ca="1">US_TREASURY_TYPE1!N42%</f>
        <v>2.9113462E-2</v>
      </c>
      <c r="U41" s="61" t="b">
        <v>1</v>
      </c>
      <c r="W41" s="60">
        <f ca="1">IF($U41,S41,"")</f>
        <v>3.536986301369863</v>
      </c>
      <c r="X41" s="65">
        <f ca="1">IF($U41,T41,"")</f>
        <v>2.9113462E-2</v>
      </c>
      <c r="Y41" t="s">
        <v>298</v>
      </c>
      <c r="Z41" s="60">
        <f ca="1"/>
        <v>3.5369863013698599</v>
      </c>
      <c r="AA41" s="65">
        <f ca="1"/>
        <v>2.9113462E-2</v>
      </c>
      <c r="AB41" t="s">
        <v>298</v>
      </c>
    </row>
    <row r="42" spans="1:28">
      <c r="A42" t="s">
        <v>298</v>
      </c>
      <c r="N42" s="72">
        <f ca="1">N41+$N$6</f>
        <v>9.25</v>
      </c>
      <c r="O42" s="81">
        <f ca="1"/>
        <v>3.0701921421124868E-2</v>
      </c>
      <c r="P42" s="81">
        <f ca="1"/>
        <v>3.0708837735364369E-2</v>
      </c>
      <c r="Q42" s="75">
        <f ca="1"/>
        <v>3.0713274247822688E-2</v>
      </c>
      <c r="S42" s="60">
        <f ca="1">_xll.meDateYearFraction(US_TREASURY_TYPE1!$C$4,US_TREASURY_TYPE1!L43,US_TREASURY_TYPE1!J43)</f>
        <v>3.6191780821917807</v>
      </c>
      <c r="T42" s="65">
        <f ca="1">US_TREASURY_TYPE1!N43%</f>
        <v>2.9140407E-2</v>
      </c>
      <c r="U42" s="61" t="b">
        <v>1</v>
      </c>
      <c r="W42" s="60">
        <f ca="1">IF($U42,S42,"")</f>
        <v>3.6191780821917807</v>
      </c>
      <c r="X42" s="65">
        <f ca="1">IF($U42,T42,"")</f>
        <v>2.9140407E-2</v>
      </c>
      <c r="Y42" t="s">
        <v>298</v>
      </c>
      <c r="Z42" s="60">
        <f ca="1"/>
        <v>3.6191780821917798</v>
      </c>
      <c r="AA42" s="65">
        <f ca="1"/>
        <v>2.9140407E-2</v>
      </c>
      <c r="AB42" t="s">
        <v>298</v>
      </c>
    </row>
    <row r="43" spans="1:28">
      <c r="A43" t="s">
        <v>298</v>
      </c>
      <c r="N43" s="72">
        <f ca="1">N42+$N$6</f>
        <v>9.5</v>
      </c>
      <c r="O43" s="81">
        <f ca="1"/>
        <v>3.0762182375488702E-2</v>
      </c>
      <c r="P43" s="81">
        <f ca="1"/>
        <v>3.076768075724759E-2</v>
      </c>
      <c r="Q43" s="75">
        <f ca="1"/>
        <v>3.077324939367632E-2</v>
      </c>
      <c r="S43" s="60">
        <f ca="1">_xll.meDateYearFraction(US_TREASURY_TYPE1!$C$4,US_TREASURY_TYPE1!L44,US_TREASURY_TYPE1!J44)</f>
        <v>3.7041095890410958</v>
      </c>
      <c r="T43" s="65">
        <f ca="1">US_TREASURY_TYPE1!N44%</f>
        <v>2.9152516E-2</v>
      </c>
      <c r="U43" s="61" t="b">
        <v>1</v>
      </c>
      <c r="W43" s="60">
        <f ca="1">IF($U43,S43,"")</f>
        <v>3.7041095890410958</v>
      </c>
      <c r="X43" s="65">
        <f ca="1">IF($U43,T43,"")</f>
        <v>2.9152516E-2</v>
      </c>
      <c r="Y43" t="s">
        <v>298</v>
      </c>
      <c r="Z43" s="60">
        <f ca="1"/>
        <v>3.7041095890411002</v>
      </c>
      <c r="AA43" s="65">
        <f ca="1"/>
        <v>2.9152516E-2</v>
      </c>
      <c r="AB43" t="s">
        <v>298</v>
      </c>
    </row>
    <row r="44" spans="1:28">
      <c r="A44" t="s">
        <v>298</v>
      </c>
      <c r="N44" s="72">
        <f ca="1">N43+$N$6</f>
        <v>9.75</v>
      </c>
      <c r="O44" s="81">
        <f ca="1"/>
        <v>3.0821687584411232E-2</v>
      </c>
      <c r="P44" s="81">
        <f ca="1"/>
        <v>3.0825710387941616E-2</v>
      </c>
      <c r="Q44" s="75">
        <f ca="1"/>
        <v>3.0832400553453605E-2</v>
      </c>
      <c r="S44" s="60">
        <f ca="1">_xll.meDateYearFraction(US_TREASURY_TYPE1!$C$4,US_TREASURY_TYPE1!L45,US_TREASURY_TYPE1!J45)</f>
        <v>3.7452054794520548</v>
      </c>
      <c r="T44" s="65">
        <f ca="1">US_TREASURY_TYPE1!N45%</f>
        <v>2.9187840999999999E-2</v>
      </c>
      <c r="U44" s="61" t="b">
        <v>1</v>
      </c>
      <c r="W44" s="60">
        <f ca="1">IF($U44,S44,"")</f>
        <v>3.7452054794520548</v>
      </c>
      <c r="X44" s="65">
        <f ca="1">IF($U44,T44,"")</f>
        <v>2.9187840999999999E-2</v>
      </c>
      <c r="Y44" t="s">
        <v>298</v>
      </c>
      <c r="Z44" s="60">
        <f ca="1"/>
        <v>3.74520547945205</v>
      </c>
      <c r="AA44" s="65">
        <f ca="1"/>
        <v>2.9187840999999999E-2</v>
      </c>
      <c r="AB44" t="s">
        <v>298</v>
      </c>
    </row>
    <row r="45" spans="1:28">
      <c r="A45" t="s">
        <v>298</v>
      </c>
      <c r="N45" s="72">
        <f ca="1">N44+$N$6</f>
        <v>10</v>
      </c>
      <c r="O45" s="81">
        <f ca="1"/>
        <v>3.0880447993810473E-2</v>
      </c>
      <c r="P45" s="81">
        <f ca="1"/>
        <v>3.0882945588603716E-2</v>
      </c>
      <c r="Q45" s="75">
        <f ca="1"/>
        <v>3.0890740023319249E-2</v>
      </c>
      <c r="S45" s="60">
        <f ca="1">_xll.meDateYearFraction(US_TREASURY_TYPE1!$C$4,US_TREASURY_TYPE1!L46,US_TREASURY_TYPE1!J46)</f>
        <v>3.7890410958904108</v>
      </c>
      <c r="T45" s="65">
        <f ca="1">US_TREASURY_TYPE1!N46%</f>
        <v>2.9255762000000001E-2</v>
      </c>
      <c r="U45" s="61" t="b">
        <v>1</v>
      </c>
      <c r="W45" s="60">
        <f ca="1">IF($U45,S45,"")</f>
        <v>3.7890410958904108</v>
      </c>
      <c r="X45" s="65">
        <f ca="1">IF($U45,T45,"")</f>
        <v>2.9255762000000001E-2</v>
      </c>
      <c r="Y45" t="s">
        <v>298</v>
      </c>
      <c r="Z45" s="60">
        <f ca="1"/>
        <v>3.7890410958904099</v>
      </c>
      <c r="AA45" s="65">
        <f ca="1"/>
        <v>2.9255762000000001E-2</v>
      </c>
      <c r="AB45" t="s">
        <v>298</v>
      </c>
    </row>
    <row r="46" spans="1:28">
      <c r="A46" t="s">
        <v>298</v>
      </c>
      <c r="N46" s="72">
        <f ca="1">N45+$N$6</f>
        <v>10.25</v>
      </c>
      <c r="O46" s="81">
        <f ca="1"/>
        <v>3.0938474378237619E-2</v>
      </c>
      <c r="P46" s="81">
        <f ca="1"/>
        <v>3.0939404889477121E-2</v>
      </c>
      <c r="Q46" s="75">
        <f ca="1"/>
        <v>3.0948280099437953E-2</v>
      </c>
      <c r="S46" s="60">
        <f ca="1">_xll.meDateYearFraction(US_TREASURY_TYPE1!$C$4,US_TREASURY_TYPE1!L47,US_TREASURY_TYPE1!J47)</f>
        <v>3.8712328767123285</v>
      </c>
      <c r="T46" s="65">
        <f ca="1">US_TREASURY_TYPE1!N47%</f>
        <v>2.9253951000000004E-2</v>
      </c>
      <c r="U46" s="61" t="b">
        <v>1</v>
      </c>
      <c r="W46" s="60">
        <f ca="1">IF($U46,S46,"")</f>
        <v>3.8712328767123285</v>
      </c>
      <c r="X46" s="65">
        <f ca="1">IF($U46,T46,"")</f>
        <v>2.9253951000000004E-2</v>
      </c>
      <c r="Y46" t="s">
        <v>298</v>
      </c>
      <c r="Z46" s="60">
        <f ca="1"/>
        <v>3.8712328767123299</v>
      </c>
      <c r="AA46" s="65">
        <f ca="1"/>
        <v>2.9253951E-2</v>
      </c>
      <c r="AB46" t="s">
        <v>298</v>
      </c>
    </row>
    <row r="47" spans="1:28">
      <c r="A47" t="s">
        <v>298</v>
      </c>
      <c r="N47" s="72">
        <f ca="1">N46+$N$6</f>
        <v>10.5</v>
      </c>
      <c r="O47" s="81">
        <f ca="1"/>
        <v>3.0995777343693055E-2</v>
      </c>
      <c r="P47" s="81">
        <f ca="1"/>
        <v>3.0995106398887695E-2</v>
      </c>
      <c r="Q47" s="75">
        <f ca="1"/>
        <v>3.1005033077974416E-2</v>
      </c>
      <c r="S47" s="60">
        <f ca="1">_xll.meDateYearFraction(US_TREASURY_TYPE1!$C$4,US_TREASURY_TYPE1!L48,US_TREASURY_TYPE1!J48)</f>
        <v>3.956164383561644</v>
      </c>
      <c r="T47" s="65">
        <f ca="1">US_TREASURY_TYPE1!N48%</f>
        <v>2.9256612999999997E-2</v>
      </c>
      <c r="U47" s="61" t="b">
        <v>1</v>
      </c>
      <c r="W47" s="60">
        <f ca="1">IF($U47,S47,"")</f>
        <v>3.956164383561644</v>
      </c>
      <c r="X47" s="65">
        <f ca="1">IF($U47,T47,"")</f>
        <v>2.9256612999999997E-2</v>
      </c>
      <c r="Y47" t="s">
        <v>298</v>
      </c>
      <c r="Z47" s="60">
        <f ca="1"/>
        <v>3.95616438356164</v>
      </c>
      <c r="AA47" s="65">
        <f ca="1"/>
        <v>2.9256613000000001E-2</v>
      </c>
      <c r="AB47" t="s">
        <v>298</v>
      </c>
    </row>
    <row r="48" spans="1:28">
      <c r="A48" t="s">
        <v>298</v>
      </c>
      <c r="N48" s="72">
        <f ca="1">N47+$N$6</f>
        <v>10.75</v>
      </c>
      <c r="O48" s="81">
        <f ca="1"/>
        <v>3.1052367330394577E-2</v>
      </c>
      <c r="P48" s="81">
        <f ca="1"/>
        <v>3.1050067812064458E-2</v>
      </c>
      <c r="Q48" s="75">
        <f ca="1"/>
        <v>3.1061011255093342E-2</v>
      </c>
      <c r="S48" s="60">
        <f ca="1">_xll.meDateYearFraction(US_TREASURY_TYPE1!$C$4,US_TREASURY_TYPE1!L49,US_TREASURY_TYPE1!J49)</f>
        <v>3.9972602739726026</v>
      </c>
      <c r="T48" s="65">
        <f ca="1">US_TREASURY_TYPE1!N49%</f>
        <v>2.9261898999999997E-2</v>
      </c>
      <c r="U48" s="61" t="b">
        <v>1</v>
      </c>
      <c r="W48" s="60">
        <f ca="1">IF($U48,S48,"")</f>
        <v>3.9972602739726026</v>
      </c>
      <c r="X48" s="65">
        <f ca="1">IF($U48,T48,"")</f>
        <v>2.9261898999999997E-2</v>
      </c>
      <c r="Y48" t="s">
        <v>298</v>
      </c>
      <c r="Z48" s="60">
        <f ca="1"/>
        <v>3.9972602739726</v>
      </c>
      <c r="AA48" s="65">
        <f ca="1"/>
        <v>2.9261899000000001E-2</v>
      </c>
      <c r="AB48" t="s">
        <v>298</v>
      </c>
    </row>
    <row r="49" spans="1:28">
      <c r="A49" t="s">
        <v>298</v>
      </c>
      <c r="N49" s="72">
        <f ca="1">N48+$N$6</f>
        <v>11</v>
      </c>
      <c r="O49" s="81">
        <f ca="1"/>
        <v>3.1108254615498591E-2</v>
      </c>
      <c r="P49" s="81">
        <f ca="1"/>
        <v>3.1104306419787647E-2</v>
      </c>
      <c r="Q49" s="75">
        <f ca="1"/>
        <v>3.1116226926959437E-2</v>
      </c>
      <c r="S49" s="60">
        <f ca="1">_xll.meDateYearFraction(US_TREASURY_TYPE1!$C$4,US_TREASURY_TYPE1!L50,US_TREASURY_TYPE1!J50)</f>
        <v>4.0383561643835613</v>
      </c>
      <c r="T49" s="65">
        <f ca="1">US_TREASURY_TYPE1!N50%</f>
        <v>2.9250878999999997E-2</v>
      </c>
      <c r="U49" s="61" t="b">
        <v>1</v>
      </c>
      <c r="W49" s="60">
        <f ca="1">IF($U49,S49,"")</f>
        <v>4.0383561643835613</v>
      </c>
      <c r="X49" s="65">
        <f ca="1">IF($U49,T49,"")</f>
        <v>2.9250878999999997E-2</v>
      </c>
      <c r="Y49" t="s">
        <v>298</v>
      </c>
      <c r="Z49" s="60">
        <f ca="1"/>
        <v>4.0383561643835604</v>
      </c>
      <c r="AA49" s="65">
        <f ca="1"/>
        <v>2.9250879E-2</v>
      </c>
      <c r="AB49" t="s">
        <v>298</v>
      </c>
    </row>
    <row r="50" spans="1:28">
      <c r="A50" t="s">
        <v>298</v>
      </c>
      <c r="N50" s="72">
        <f ca="1">N49+$N$6</f>
        <v>11.25</v>
      </c>
      <c r="O50" s="81">
        <f ca="1"/>
        <v>3.1163449315775121E-2</v>
      </c>
      <c r="P50" s="81">
        <f ca="1"/>
        <v>3.1157839116867064E-2</v>
      </c>
      <c r="Q50" s="75">
        <f ca="1"/>
        <v>3.1170692389737395E-2</v>
      </c>
      <c r="S50" s="60">
        <f ca="1">_xll.meDateYearFraction(US_TREASURY_TYPE1!$C$4,US_TREASURY_TYPE1!L51,US_TREASURY_TYPE1!J51)</f>
        <v>4.2082191780821914</v>
      </c>
      <c r="T50" s="65">
        <f ca="1">US_TREASURY_TYPE1!N51%</f>
        <v>2.9322865E-2</v>
      </c>
      <c r="U50" s="61" t="b">
        <v>1</v>
      </c>
      <c r="W50" s="60">
        <f ca="1">IF($U50,S50,"")</f>
        <v>4.2082191780821914</v>
      </c>
      <c r="X50" s="65">
        <f ca="1">IF($U50,T50,"")</f>
        <v>2.9322865E-2</v>
      </c>
      <c r="Y50" t="s">
        <v>298</v>
      </c>
      <c r="Z50" s="60">
        <f ca="1"/>
        <v>4.2082191780821896</v>
      </c>
      <c r="AA50" s="65">
        <f ca="1"/>
        <v>2.9322865E-2</v>
      </c>
      <c r="AB50" t="s">
        <v>298</v>
      </c>
    </row>
    <row r="51" spans="1:28">
      <c r="A51" t="s">
        <v>298</v>
      </c>
      <c r="N51" s="72">
        <f ca="1">N50+$N$6</f>
        <v>11.5</v>
      </c>
      <c r="O51" s="81">
        <f ca="1"/>
        <v>3.1217961390237508E-2</v>
      </c>
      <c r="P51" s="81">
        <f ca="1"/>
        <v>3.1210682410454882E-2</v>
      </c>
      <c r="Q51" s="75">
        <f ca="1"/>
        <v>3.1224419939591925E-2</v>
      </c>
      <c r="S51" s="60">
        <f ca="1">_xll.meDateYearFraction(US_TREASURY_TYPE1!$C$4,US_TREASURY_TYPE1!L52,US_TREASURY_TYPE1!J52)</f>
        <v>4.2493150684931509</v>
      </c>
      <c r="T51" s="65">
        <f ca="1">US_TREASURY_TYPE1!N52%</f>
        <v>2.9271929999999998E-2</v>
      </c>
      <c r="U51" s="61" t="b">
        <v>1</v>
      </c>
      <c r="W51" s="60">
        <f ca="1">IF($U51,S51,"")</f>
        <v>4.2493150684931509</v>
      </c>
      <c r="X51" s="65">
        <f ca="1">IF($U51,T51,"")</f>
        <v>2.9271929999999998E-2</v>
      </c>
      <c r="Y51" t="s">
        <v>298</v>
      </c>
      <c r="Z51" s="60">
        <f ca="1"/>
        <v>4.24931506849315</v>
      </c>
      <c r="AA51" s="65">
        <f ca="1"/>
        <v>2.9271930000000002E-2</v>
      </c>
      <c r="AB51" t="s">
        <v>298</v>
      </c>
    </row>
    <row r="52" spans="1:28">
      <c r="A52" t="s">
        <v>298</v>
      </c>
      <c r="N52" s="72">
        <f ca="1">N51+$N$6</f>
        <v>11.75</v>
      </c>
      <c r="O52" s="81">
        <f ca="1"/>
        <v>3.127180064272745E-2</v>
      </c>
      <c r="P52" s="81">
        <f ca="1"/>
        <v>3.1262852428194154E-2</v>
      </c>
      <c r="Q52" s="75">
        <f ca="1"/>
        <v>3.127742187268772E-2</v>
      </c>
      <c r="S52" s="60">
        <f ca="1">_xll.meDateYearFraction(US_TREASURY_TYPE1!$C$4,US_TREASURY_TYPE1!L53,US_TREASURY_TYPE1!J53)</f>
        <v>4.2849315068493148</v>
      </c>
      <c r="T52" s="65">
        <f ca="1">US_TREASURY_TYPE1!N53%</f>
        <v>2.9328161000000002E-2</v>
      </c>
      <c r="U52" s="61" t="b">
        <v>1</v>
      </c>
      <c r="W52" s="60">
        <f ca="1">IF($U52,S52,"")</f>
        <v>4.2849315068493148</v>
      </c>
      <c r="X52" s="65">
        <f ca="1">IF($U52,T52,"")</f>
        <v>2.9328161000000002E-2</v>
      </c>
      <c r="Y52" t="s">
        <v>298</v>
      </c>
      <c r="Z52" s="60">
        <f ca="1"/>
        <v>4.2849315068493103</v>
      </c>
      <c r="AA52" s="65">
        <f ca="1"/>
        <v>2.9328160999999998E-2</v>
      </c>
      <c r="AB52" t="s">
        <v>298</v>
      </c>
    </row>
    <row r="53" spans="1:28">
      <c r="A53" t="s">
        <v>298</v>
      </c>
      <c r="N53" s="72">
        <f ca="1">N52+$N$6</f>
        <v>12</v>
      </c>
      <c r="O53" s="81">
        <f ca="1"/>
        <v>3.1324976724456291E-2</v>
      </c>
      <c r="P53" s="81">
        <f ca="1"/>
        <v>3.1314364926208649E-2</v>
      </c>
      <c r="Q53" s="75">
        <f ca="1"/>
        <v>3.1329710485189496E-2</v>
      </c>
      <c r="S53" s="60">
        <f ca="1">_xll.meDateYearFraction(US_TREASURY_TYPE1!$C$4,US_TREASURY_TYPE1!L54,US_TREASURY_TYPE1!J54)</f>
        <v>4.3698630136986303</v>
      </c>
      <c r="T53" s="65">
        <f ca="1">US_TREASURY_TYPE1!N54%</f>
        <v>2.9360324000000004E-2</v>
      </c>
      <c r="U53" s="61" t="b">
        <v>1</v>
      </c>
      <c r="W53" s="60">
        <f ca="1">IF($U53,S53,"")</f>
        <v>4.3698630136986303</v>
      </c>
      <c r="X53" s="65">
        <f ca="1">IF($U53,T53,"")</f>
        <v>2.9360324000000004E-2</v>
      </c>
      <c r="Y53" t="s">
        <v>298</v>
      </c>
      <c r="Z53" s="60">
        <f ca="1"/>
        <v>4.3698630136986303</v>
      </c>
      <c r="AA53" s="65">
        <f ca="1"/>
        <v>2.9360324E-2</v>
      </c>
      <c r="AB53" t="s">
        <v>298</v>
      </c>
    </row>
    <row r="54" spans="1:28">
      <c r="A54" t="s">
        <v>298</v>
      </c>
      <c r="N54" s="72">
        <f ca="1">N53+$N$6</f>
        <v>12.25</v>
      </c>
      <c r="O54" s="81">
        <f ca="1"/>
        <v>3.1377499136503201E-2</v>
      </c>
      <c r="P54" s="81">
        <f ca="1"/>
        <v>3.1365235296935051E-2</v>
      </c>
      <c r="Q54" s="75">
        <f ca="1"/>
        <v>3.138129807326194E-2</v>
      </c>
      <c r="S54" s="60">
        <f ca="1">_xll.meDateYearFraction(US_TREASURY_TYPE1!$C$4,US_TREASURY_TYPE1!L55,US_TREASURY_TYPE1!J55)</f>
        <v>4.4520547945205475</v>
      </c>
      <c r="T54" s="65">
        <f ca="1">US_TREASURY_TYPE1!N55%</f>
        <v>2.9356795999999998E-2</v>
      </c>
      <c r="U54" s="61" t="b">
        <v>1</v>
      </c>
      <c r="W54" s="60">
        <f ca="1">IF($U54,S54,"")</f>
        <v>4.4520547945205475</v>
      </c>
      <c r="X54" s="65">
        <f ca="1">IF($U54,T54,"")</f>
        <v>2.9356795999999998E-2</v>
      </c>
      <c r="Y54" t="s">
        <v>298</v>
      </c>
      <c r="Z54" s="60">
        <f ca="1"/>
        <v>4.4520547945205502</v>
      </c>
      <c r="AA54" s="65">
        <f ca="1"/>
        <v>2.9356796000000001E-2</v>
      </c>
      <c r="AB54" t="s">
        <v>298</v>
      </c>
    </row>
    <row r="55" spans="1:28">
      <c r="A55" t="s">
        <v>298</v>
      </c>
      <c r="N55" s="72">
        <f ca="1">N54+$N$6</f>
        <v>12.5</v>
      </c>
      <c r="O55" s="81">
        <f ca="1"/>
        <v>3.1429377232271148E-2</v>
      </c>
      <c r="P55" s="81">
        <f ca="1"/>
        <v>3.1415478576801076E-2</v>
      </c>
      <c r="Q55" s="75">
        <f ca="1"/>
        <v>3.1432196933069763E-2</v>
      </c>
      <c r="S55" s="60">
        <f ca="1">_xll.meDateYearFraction(US_TREASURY_TYPE1!$C$4,US_TREASURY_TYPE1!L56,US_TREASURY_TYPE1!J56)</f>
        <v>4.493150684931507</v>
      </c>
      <c r="T55" s="65">
        <f ca="1">US_TREASURY_TYPE1!N56%</f>
        <v>2.9278947E-2</v>
      </c>
      <c r="U55" s="61" t="b">
        <v>1</v>
      </c>
      <c r="W55" s="60">
        <f ca="1">IF($U55,S55,"")</f>
        <v>4.493150684931507</v>
      </c>
      <c r="X55" s="65">
        <f ca="1">IF($U55,T55,"")</f>
        <v>2.9278947E-2</v>
      </c>
      <c r="Y55" t="s">
        <v>298</v>
      </c>
      <c r="Z55" s="60">
        <f ca="1"/>
        <v>4.4931506849315097</v>
      </c>
      <c r="AA55" s="65">
        <f ca="1"/>
        <v>2.9278947E-2</v>
      </c>
      <c r="AB55" t="s">
        <v>298</v>
      </c>
    </row>
    <row r="56" spans="1:28">
      <c r="A56" t="s">
        <v>298</v>
      </c>
      <c r="N56" s="72">
        <f ca="1">N55+$N$6</f>
        <v>12.75</v>
      </c>
      <c r="O56" s="81">
        <f ca="1"/>
        <v>3.1480620219901181E-2</v>
      </c>
      <c r="P56" s="81">
        <f ca="1"/>
        <v>3.1465109453752194E-2</v>
      </c>
      <c r="Q56" s="75">
        <f ca="1"/>
        <v>3.1482419360777669E-2</v>
      </c>
      <c r="S56" s="60">
        <f ca="1">_xll.meDateYearFraction(US_TREASURY_TYPE1!$C$4,US_TREASURY_TYPE1!L57,US_TREASURY_TYPE1!J57)</f>
        <v>4.536986301369863</v>
      </c>
      <c r="T56" s="65">
        <f ca="1">US_TREASURY_TYPE1!N57%</f>
        <v>2.9356071999999997E-2</v>
      </c>
      <c r="U56" s="61" t="b">
        <v>1</v>
      </c>
      <c r="W56" s="60">
        <f ca="1">IF($U56,S56,"")</f>
        <v>4.536986301369863</v>
      </c>
      <c r="X56" s="65">
        <f ca="1">IF($U56,T56,"")</f>
        <v>2.9356071999999997E-2</v>
      </c>
      <c r="Y56" t="s">
        <v>298</v>
      </c>
      <c r="Z56" s="60">
        <f ca="1"/>
        <v>4.5369863013698604</v>
      </c>
      <c r="AA56" s="65">
        <f ca="1"/>
        <v>2.9356072E-2</v>
      </c>
      <c r="AB56" t="s">
        <v>298</v>
      </c>
    </row>
    <row r="57" spans="1:28">
      <c r="A57" t="s">
        <v>298</v>
      </c>
      <c r="N57" s="72">
        <f ca="1">N56+$N$6</f>
        <v>13</v>
      </c>
      <c r="O57" s="81">
        <f ca="1"/>
        <v>3.1531237164645974E-2</v>
      </c>
      <c r="P57" s="81">
        <f ca="1"/>
        <v>3.1514142274629814E-2</v>
      </c>
      <c r="Q57" s="75">
        <f ca="1"/>
        <v>3.153197765255035E-2</v>
      </c>
      <c r="S57" s="60">
        <f ca="1">_xll.meDateYearFraction(US_TREASURY_TYPE1!$C$4,US_TREASURY_TYPE1!L58,US_TREASURY_TYPE1!J58)</f>
        <v>4.6191780821917812</v>
      </c>
      <c r="T57" s="65">
        <f ca="1">US_TREASURY_TYPE1!N58%</f>
        <v>2.9343045999999998E-2</v>
      </c>
      <c r="U57" s="61" t="b">
        <v>1</v>
      </c>
      <c r="W57" s="60">
        <f ca="1">IF($U57,S57,"")</f>
        <v>4.6191780821917812</v>
      </c>
      <c r="X57" s="65">
        <f ca="1">IF($U57,T57,"")</f>
        <v>2.9343045999999998E-2</v>
      </c>
      <c r="Y57" t="s">
        <v>298</v>
      </c>
      <c r="Z57" s="60">
        <f ca="1"/>
        <v>4.6191780821917803</v>
      </c>
      <c r="AA57" s="65">
        <f ca="1"/>
        <v>2.9343046000000001E-2</v>
      </c>
      <c r="AB57" t="s">
        <v>298</v>
      </c>
    </row>
    <row r="58" spans="1:28">
      <c r="A58" t="s">
        <v>298</v>
      </c>
      <c r="N58" s="72">
        <f ca="1">N57+$N$6</f>
        <v>13.25</v>
      </c>
      <c r="O58" s="81">
        <f ca="1"/>
        <v>3.1581236991203167E-2</v>
      </c>
      <c r="P58" s="81">
        <f ca="1"/>
        <v>3.1562591052404998E-2</v>
      </c>
      <c r="Q58" s="75">
        <f ca="1"/>
        <v>3.1580884104552516E-2</v>
      </c>
      <c r="S58" s="60">
        <f ca="1">_xll.meDateYearFraction(US_TREASURY_TYPE1!$C$4,US_TREASURY_TYPE1!L59,US_TREASURY_TYPE1!J59)</f>
        <v>4.7041095890410958</v>
      </c>
      <c r="T58" s="65">
        <f ca="1">US_TREASURY_TYPE1!N59%</f>
        <v>2.9371960000000003E-2</v>
      </c>
      <c r="U58" s="61" t="b">
        <v>1</v>
      </c>
      <c r="W58" s="60">
        <f ca="1">IF($U58,S58,"")</f>
        <v>4.7041095890410958</v>
      </c>
      <c r="X58" s="65">
        <f ca="1">IF($U58,T58,"")</f>
        <v>2.9371960000000003E-2</v>
      </c>
      <c r="Y58" t="s">
        <v>298</v>
      </c>
      <c r="Z58" s="60">
        <f ca="1"/>
        <v>4.7041095890411002</v>
      </c>
      <c r="AA58" s="65">
        <f ca="1"/>
        <v>2.9371959999999999E-2</v>
      </c>
      <c r="AB58" t="s">
        <v>298</v>
      </c>
    </row>
    <row r="59" spans="1:28">
      <c r="A59" t="s">
        <v>298</v>
      </c>
      <c r="N59" s="72">
        <f ca="1">N58+$N$6</f>
        <v>13.5</v>
      </c>
      <c r="O59" s="81">
        <f ca="1"/>
        <v>3.1630628486009282E-2</v>
      </c>
      <c r="P59" s="81">
        <f ca="1"/>
        <v>3.1610469473267983E-2</v>
      </c>
      <c r="Q59" s="75">
        <f ca="1"/>
        <v>3.1629151012948865E-2</v>
      </c>
      <c r="S59" s="60">
        <f ca="1">_xll.meDateYearFraction(US_TREASURY_TYPE1!$C$4,US_TREASURY_TYPE1!L60,US_TREASURY_TYPE1!J60)</f>
        <v>4.7452054794520553</v>
      </c>
      <c r="T59" s="65">
        <f ca="1">US_TREASURY_TYPE1!N60%</f>
        <v>2.9086008E-2</v>
      </c>
      <c r="U59" s="61" t="b">
        <v>1</v>
      </c>
      <c r="W59" s="60">
        <f ca="1">IF($U59,S59,"")</f>
        <v>4.7452054794520553</v>
      </c>
      <c r="X59" s="65">
        <f ca="1">IF($U59,T59,"")</f>
        <v>2.9086008E-2</v>
      </c>
      <c r="Y59" t="s">
        <v>298</v>
      </c>
      <c r="Z59" s="60">
        <f ca="1"/>
        <v>4.7452054794520597</v>
      </c>
      <c r="AA59" s="65">
        <f ca="1"/>
        <v>2.9086008E-2</v>
      </c>
      <c r="AB59" t="s">
        <v>298</v>
      </c>
    </row>
    <row r="60" spans="1:28">
      <c r="A60" t="s">
        <v>298</v>
      </c>
      <c r="N60" s="72">
        <f ca="1">N59+$N$6</f>
        <v>13.75</v>
      </c>
      <c r="O60" s="81">
        <f ca="1"/>
        <v>3.1679420299494887E-2</v>
      </c>
      <c r="P60" s="81">
        <f ca="1"/>
        <v>3.1657790903578287E-2</v>
      </c>
      <c r="Q60" s="75">
        <f ca="1"/>
        <v>3.1676790673904102E-2</v>
      </c>
      <c r="S60" s="60">
        <f ca="1">_xll.meDateYearFraction(US_TREASURY_TYPE1!$C$4,US_TREASURY_TYPE1!L61,US_TREASURY_TYPE1!J61)</f>
        <v>4.7452054794520553</v>
      </c>
      <c r="T60" s="65">
        <f ca="1">US_TREASURY_TYPE1!N61%</f>
        <v>2.9343544999999999E-2</v>
      </c>
      <c r="U60" s="61" t="b">
        <v>1</v>
      </c>
      <c r="W60" s="60">
        <f ca="1">IF($U60,S60,"")</f>
        <v>4.7452054794520553</v>
      </c>
      <c r="X60" s="65">
        <f ca="1">IF($U60,T60,"")</f>
        <v>2.9343544999999999E-2</v>
      </c>
      <c r="Y60" t="s">
        <v>298</v>
      </c>
      <c r="Z60" s="60">
        <f ca="1"/>
        <v>4.7452054794520597</v>
      </c>
      <c r="AA60" s="65">
        <f ca="1"/>
        <v>2.9343544999999999E-2</v>
      </c>
      <c r="AB60" t="s">
        <v>298</v>
      </c>
    </row>
    <row r="61" spans="1:28">
      <c r="A61" t="s">
        <v>298</v>
      </c>
      <c r="N61" s="72">
        <f ca="1">N60+$N$6</f>
        <v>14</v>
      </c>
      <c r="O61" s="81">
        <f ca="1"/>
        <v>3.1727620948301692E-2</v>
      </c>
      <c r="P61" s="81">
        <f ca="1"/>
        <v>3.1704568396676541E-2</v>
      </c>
      <c r="Q61" s="75">
        <f ca="1"/>
        <v>3.1723815383582932E-2</v>
      </c>
      <c r="S61" s="60">
        <f ca="1">_xll.meDateYearFraction(US_TREASURY_TYPE1!$C$4,US_TREASURY_TYPE1!L62,US_TREASURY_TYPE1!J62)</f>
        <v>4.7890410958904113</v>
      </c>
      <c r="T61" s="65">
        <f ca="1">US_TREASURY_TYPE1!N62%</f>
        <v>2.9388056000000003E-2</v>
      </c>
      <c r="U61" s="61" t="b">
        <v>1</v>
      </c>
      <c r="W61" s="60">
        <f ca="1">IF($U61,S61,"")</f>
        <v>4.7890410958904113</v>
      </c>
      <c r="X61" s="65">
        <f ca="1">IF($U61,T61,"")</f>
        <v>2.9388056000000003E-2</v>
      </c>
      <c r="Y61" t="s">
        <v>298</v>
      </c>
      <c r="Z61" s="60">
        <f ca="1"/>
        <v>4.7890410958904104</v>
      </c>
      <c r="AA61" s="65">
        <f ca="1"/>
        <v>2.9388055999999999E-2</v>
      </c>
      <c r="AB61" t="s">
        <v>298</v>
      </c>
    </row>
    <row r="62" spans="1:28">
      <c r="A62" t="s">
        <v>298</v>
      </c>
      <c r="N62" s="72">
        <f ca="1">N61+$N$6</f>
        <v>14.25</v>
      </c>
      <c r="O62" s="81">
        <f ca="1"/>
        <v>3.1775238817462116E-2</v>
      </c>
      <c r="P62" s="81">
        <f ca="1"/>
        <v>3.175081469956284E-2</v>
      </c>
      <c r="Q62" s="75">
        <f ca="1"/>
        <v>3.1770237438150044E-2</v>
      </c>
      <c r="S62" s="60">
        <f ca="1">_xll.meDateYearFraction(US_TREASURY_TYPE1!$C$4,US_TREASURY_TYPE1!L63,US_TREASURY_TYPE1!J63)</f>
        <v>4.8712328767123285</v>
      </c>
      <c r="T62" s="65">
        <f ca="1">US_TREASURY_TYPE1!N63%</f>
        <v>2.9399024000000003E-2</v>
      </c>
      <c r="U62" s="61" t="b">
        <v>1</v>
      </c>
      <c r="W62" s="60">
        <f ca="1">IF($U62,S62,"")</f>
        <v>4.8712328767123285</v>
      </c>
      <c r="X62" s="65">
        <f ca="1">IF($U62,T62,"")</f>
        <v>2.9399024000000003E-2</v>
      </c>
      <c r="Y62" t="s">
        <v>298</v>
      </c>
      <c r="Z62" s="60">
        <f ca="1"/>
        <v>4.8712328767123303</v>
      </c>
      <c r="AA62" s="65">
        <f ca="1"/>
        <v>2.9399023999999999E-2</v>
      </c>
      <c r="AB62" t="s">
        <v>298</v>
      </c>
    </row>
    <row r="63" spans="1:28">
      <c r="A63" t="s">
        <v>298</v>
      </c>
      <c r="N63" s="72">
        <f ca="1">N62+$N$6</f>
        <v>14.5</v>
      </c>
      <c r="O63" s="81">
        <f ca="1"/>
        <v>3.1822282162542251E-2</v>
      </c>
      <c r="P63" s="81">
        <f ca="1"/>
        <v>3.1796542259440536E-2</v>
      </c>
      <c r="Q63" s="75">
        <f ca="1"/>
        <v>3.181606913377015E-2</v>
      </c>
      <c r="S63" s="60">
        <f ca="1">_xll.meDateYearFraction(US_TREASURY_TYPE1!$C$4,US_TREASURY_TYPE1!L64,US_TREASURY_TYPE1!J64)</f>
        <v>4.956164383561644</v>
      </c>
      <c r="T63" s="65">
        <f ca="1">US_TREASURY_TYPE1!N64%</f>
        <v>2.9434481999999998E-2</v>
      </c>
      <c r="U63" s="61" t="b">
        <v>1</v>
      </c>
      <c r="W63" s="60">
        <f ca="1">IF($U63,S63,"")</f>
        <v>4.956164383561644</v>
      </c>
      <c r="X63" s="65">
        <f ca="1">IF($U63,T63,"")</f>
        <v>2.9434481999999998E-2</v>
      </c>
      <c r="Y63" t="s">
        <v>298</v>
      </c>
      <c r="Z63" s="60">
        <f ca="1"/>
        <v>4.9561643835616396</v>
      </c>
      <c r="AA63" s="65">
        <f ca="1"/>
        <v>2.9434482000000001E-2</v>
      </c>
      <c r="AB63" t="s">
        <v>298</v>
      </c>
    </row>
    <row r="64" spans="1:28">
      <c r="A64" t="s">
        <v>298</v>
      </c>
      <c r="N64" s="72">
        <f ca="1">N63+$N$6</f>
        <v>14.75</v>
      </c>
      <c r="O64" s="81">
        <f ca="1"/>
        <v>3.186875911174851E-2</v>
      </c>
      <c r="P64" s="81">
        <f ca="1"/>
        <v>3.1841763230132353E-2</v>
      </c>
      <c r="Q64" s="75">
        <f ca="1"/>
        <v>3.1861322766607955E-2</v>
      </c>
      <c r="S64" s="60">
        <f ca="1">_xll.meDateYearFraction(US_TREASURY_TYPE1!$C$4,US_TREASURY_TYPE1!L65,US_TREASURY_TYPE1!J65)</f>
        <v>4.9972602739726026</v>
      </c>
      <c r="T64" s="65">
        <f ca="1">US_TREASURY_TYPE1!N65%</f>
        <v>2.9412424999999999E-2</v>
      </c>
      <c r="U64" s="61" t="b">
        <v>1</v>
      </c>
      <c r="W64" s="60">
        <f ca="1">IF($U64,S64,"")</f>
        <v>4.9972602739726026</v>
      </c>
      <c r="X64" s="65">
        <f ca="1">IF($U64,T64,"")</f>
        <v>2.9412424999999999E-2</v>
      </c>
      <c r="Y64" t="s">
        <v>298</v>
      </c>
      <c r="Z64" s="60">
        <f ca="1"/>
        <v>4.9972602739726</v>
      </c>
      <c r="AA64" s="65">
        <f ca="1"/>
        <v>2.9412424999999999E-2</v>
      </c>
      <c r="AB64" t="s">
        <v>298</v>
      </c>
    </row>
    <row r="65" spans="1:28">
      <c r="A65" t="s">
        <v>298</v>
      </c>
      <c r="N65" s="72">
        <f ca="1">N64+$N$6</f>
        <v>15</v>
      </c>
      <c r="O65" s="81">
        <f ca="1"/>
        <v>3.1914677667998853E-2</v>
      </c>
      <c r="P65" s="81">
        <f ca="1"/>
        <v>3.1886489478367003E-2</v>
      </c>
      <c r="Q65" s="75">
        <f ca="1"/>
        <v>3.1906010632828156E-2</v>
      </c>
      <c r="S65" s="60">
        <f ca="1">_xll.meDateYearFraction(US_TREASURY_TYPE1!$C$4,US_TREASURY_TYPE1!L66,US_TREASURY_TYPE1!J66)</f>
        <v>5.0383561643835613</v>
      </c>
      <c r="T65" s="65">
        <f ca="1">US_TREASURY_TYPE1!N66%</f>
        <v>2.9463772000000003E-2</v>
      </c>
      <c r="U65" s="61" t="b">
        <v>1</v>
      </c>
      <c r="W65" s="60">
        <f ca="1">IF($U65,S65,"")</f>
        <v>5.0383561643835613</v>
      </c>
      <c r="X65" s="65">
        <f ca="1">IF($U65,T65,"")</f>
        <v>2.9463772000000003E-2</v>
      </c>
      <c r="Y65" t="s">
        <v>298</v>
      </c>
      <c r="Z65" s="60">
        <f ca="1"/>
        <v>5.0383561643835604</v>
      </c>
      <c r="AA65" s="65">
        <f ca="1"/>
        <v>2.9463771999999999E-2</v>
      </c>
      <c r="AB65" t="s">
        <v>298</v>
      </c>
    </row>
    <row r="66" spans="1:28">
      <c r="A66" t="s">
        <v>298</v>
      </c>
      <c r="N66" s="72">
        <f ca="1">N65+$N$6</f>
        <v>15.25</v>
      </c>
      <c r="O66" s="81">
        <f ca="1"/>
        <v>3.1960045710959069E-2</v>
      </c>
      <c r="P66" s="81">
        <f ca="1"/>
        <v>3.1930732589942473E-2</v>
      </c>
      <c r="Q66" s="75">
        <f ca="1"/>
        <v>3.1950145028595452E-2</v>
      </c>
      <c r="S66" s="60">
        <f ca="1">_xll.meDateYearFraction(US_TREASURY_TYPE1!$C$4,US_TREASURY_TYPE1!L67,US_TREASURY_TYPE1!J67)</f>
        <v>5.1232876712328768</v>
      </c>
      <c r="T66" s="65">
        <f ca="1">US_TREASURY_TYPE1!N67%</f>
        <v>2.9478503E-2</v>
      </c>
      <c r="U66" s="61" t="b">
        <v>1</v>
      </c>
      <c r="W66" s="60">
        <f ca="1">IF($U66,S66,"")</f>
        <v>5.1232876712328768</v>
      </c>
      <c r="X66" s="65">
        <f ca="1">IF($U66,T66,"")</f>
        <v>2.9478503E-2</v>
      </c>
      <c r="Y66" t="s">
        <v>298</v>
      </c>
      <c r="Z66" s="60">
        <f ca="1"/>
        <v>5.1232876712328803</v>
      </c>
      <c r="AA66" s="65">
        <f ca="1"/>
        <v>2.9478503E-2</v>
      </c>
      <c r="AB66" t="s">
        <v>298</v>
      </c>
    </row>
    <row r="67" spans="1:28">
      <c r="A67" t="s">
        <v>298</v>
      </c>
      <c r="N67" s="72">
        <f ca="1">N66+$N$6</f>
        <v>15.5</v>
      </c>
      <c r="O67" s="81">
        <f ca="1"/>
        <v>3.2004870999044789E-2</v>
      </c>
      <c r="P67" s="81">
        <f ca="1"/>
        <v>3.1974503875765392E-2</v>
      </c>
      <c r="Q67" s="75">
        <f ca="1"/>
        <v>3.1993738250074552E-2</v>
      </c>
      <c r="S67" s="60">
        <f ca="1">_xll.meDateYearFraction(US_TREASURY_TYPE1!$C$4,US_TREASURY_TYPE1!L68,US_TREASURY_TYPE1!J68)</f>
        <v>5.2079871247847889</v>
      </c>
      <c r="T67" s="65">
        <f ca="1">US_TREASURY_TYPE1!N68%</f>
        <v>2.9503712000000001E-2</v>
      </c>
      <c r="U67" s="61" t="b">
        <v>1</v>
      </c>
      <c r="W67" s="60">
        <f ca="1">IF($U67,S67,"")</f>
        <v>5.2079871247847889</v>
      </c>
      <c r="X67" s="65">
        <f ca="1">IF($U67,T67,"")</f>
        <v>2.9503712000000001E-2</v>
      </c>
      <c r="Y67" t="s">
        <v>298</v>
      </c>
      <c r="Z67" s="60">
        <f ca="1"/>
        <v>5.2079871247847898</v>
      </c>
      <c r="AA67" s="65">
        <f ca="1"/>
        <v>2.9503712000000001E-2</v>
      </c>
      <c r="AB67" t="s">
        <v>298</v>
      </c>
    </row>
    <row r="68" spans="1:28">
      <c r="A68" t="s">
        <v>298</v>
      </c>
      <c r="N68" s="72">
        <f ca="1">N67+$N$6</f>
        <v>15.75</v>
      </c>
      <c r="O68" s="81">
        <f ca="1"/>
        <v>3.204916117138977E-2</v>
      </c>
      <c r="P68" s="81">
        <f ca="1"/>
        <v>3.2017814377770654E-2</v>
      </c>
      <c r="Q68" s="75">
        <f ca="1"/>
        <v>3.2036802593430148E-2</v>
      </c>
      <c r="S68" s="60">
        <f ca="1">_xll.meDateYearFraction(US_TREASURY_TYPE1!$C$4,US_TREASURY_TYPE1!L69,US_TREASURY_TYPE1!J69)</f>
        <v>5.2489707313421663</v>
      </c>
      <c r="T68" s="65">
        <f ca="1">US_TREASURY_TYPE1!N69%</f>
        <v>2.9484852999999998E-2</v>
      </c>
      <c r="U68" s="61" t="b">
        <v>1</v>
      </c>
      <c r="W68" s="60">
        <f ca="1">IF($U68,S68,"")</f>
        <v>5.2489707313421663</v>
      </c>
      <c r="X68" s="65">
        <f ca="1">IF($U68,T68,"")</f>
        <v>2.9484852999999998E-2</v>
      </c>
      <c r="Y68" t="s">
        <v>298</v>
      </c>
      <c r="Z68" s="60">
        <f ca="1"/>
        <v>5.2489707313421698</v>
      </c>
      <c r="AA68" s="65">
        <f ca="1"/>
        <v>2.9484852999999998E-2</v>
      </c>
      <c r="AB68" t="s">
        <v>298</v>
      </c>
    </row>
    <row r="69" spans="1:28">
      <c r="A69" t="s">
        <v>298</v>
      </c>
      <c r="N69" s="72">
        <f ca="1">N68+$N$6</f>
        <v>16</v>
      </c>
      <c r="O69" s="81">
        <f ca="1"/>
        <v>3.2092923749781052E-2</v>
      </c>
      <c r="P69" s="81">
        <f ca="1"/>
        <v>3.2060674874722112E-2</v>
      </c>
      <c r="Q69" s="75">
        <f ca="1"/>
        <v>3.2079350354826952E-2</v>
      </c>
      <c r="S69" s="60">
        <f ca="1">_xll.meDateYearFraction(US_TREASURY_TYPE1!$C$4,US_TREASURY_TYPE1!L70,US_TREASURY_TYPE1!J70)</f>
        <v>5.2872220974623847</v>
      </c>
      <c r="T69" s="65">
        <f ca="1">US_TREASURY_TYPE1!N70%</f>
        <v>2.9537402000000001E-2</v>
      </c>
      <c r="U69" s="61" t="b">
        <v>1</v>
      </c>
      <c r="W69" s="60">
        <f ca="1">IF($U69,S69,"")</f>
        <v>5.2872220974623847</v>
      </c>
      <c r="X69" s="65">
        <f ca="1">IF($U69,T69,"")</f>
        <v>2.9537402000000001E-2</v>
      </c>
      <c r="Y69" t="s">
        <v>298</v>
      </c>
      <c r="Z69" s="60">
        <f ca="1"/>
        <v>5.2872220974623803</v>
      </c>
      <c r="AA69" s="65">
        <f ca="1"/>
        <v>2.9537402000000001E-2</v>
      </c>
      <c r="AB69" t="s">
        <v>298</v>
      </c>
    </row>
    <row r="70" spans="1:28">
      <c r="A70" t="s">
        <v>298</v>
      </c>
      <c r="N70" s="72">
        <f ca="1">N69+$N$6</f>
        <v>16.25</v>
      </c>
      <c r="O70" s="81">
        <f ca="1"/>
        <v>3.213616614056157E-2</v>
      </c>
      <c r="P70" s="81">
        <f ca="1"/>
        <v>3.2103095887899002E-2</v>
      </c>
      <c r="Q70" s="75">
        <f ca="1"/>
        <v>3.2121393830429668E-2</v>
      </c>
      <c r="S70" s="60">
        <f ca="1">_xll.meDateYearFraction(US_TREASURY_TYPE1!$C$4,US_TREASURY_TYPE1!L71,US_TREASURY_TYPE1!J71)</f>
        <v>5.4948723706864282</v>
      </c>
      <c r="T70" s="65">
        <f ca="1">US_TREASURY_TYPE1!N71%</f>
        <v>2.9604637E-2</v>
      </c>
      <c r="U70" s="61" t="b">
        <v>1</v>
      </c>
      <c r="W70" s="60">
        <f ca="1">IF($U70,S70,"")</f>
        <v>5.4948723706864282</v>
      </c>
      <c r="X70" s="65">
        <f ca="1">IF($U70,T70,"")</f>
        <v>2.9604637E-2</v>
      </c>
      <c r="Y70" t="s">
        <v>298</v>
      </c>
      <c r="Z70" s="60">
        <f ca="1"/>
        <v>5.49487237068643</v>
      </c>
      <c r="AA70" s="65">
        <f ca="1"/>
        <v>2.9604637E-2</v>
      </c>
      <c r="AB70" t="s">
        <v>298</v>
      </c>
    </row>
    <row r="71" spans="1:28">
      <c r="A71" t="s">
        <v>298</v>
      </c>
      <c r="N71" s="72">
        <f ca="1">N70+$N$6</f>
        <v>16.5</v>
      </c>
      <c r="O71" s="81">
        <f ca="1"/>
        <v>3.2178895636500768E-2</v>
      </c>
      <c r="P71" s="81">
        <f ca="1"/>
        <v>3.2145087686666823E-2</v>
      </c>
      <c r="Q71" s="75">
        <f ca="1"/>
        <v>3.2162945316402985E-2</v>
      </c>
      <c r="S71" s="60">
        <f ca="1">_xll.meDateYearFraction(US_TREASURY_TYPE1!$C$4,US_TREASURY_TYPE1!L72,US_TREASURY_TYPE1!J72)</f>
        <v>5.7462384909050082</v>
      </c>
      <c r="T71" s="65">
        <f ca="1">US_TREASURY_TYPE1!N72%</f>
        <v>2.9761261000000001E-2</v>
      </c>
      <c r="U71" s="61" t="b">
        <v>1</v>
      </c>
      <c r="W71" s="60">
        <f ca="1">IF($U71,S71,"")</f>
        <v>5.7462384909050082</v>
      </c>
      <c r="X71" s="65">
        <f ca="1">IF($U71,T71,"")</f>
        <v>2.9761261000000001E-2</v>
      </c>
      <c r="Y71" t="s">
        <v>298</v>
      </c>
      <c r="Z71" s="60">
        <f ca="1"/>
        <v>5.7462384909050099</v>
      </c>
      <c r="AA71" s="65">
        <f ca="1"/>
        <v>2.9761261000000001E-2</v>
      </c>
      <c r="AB71" t="s">
        <v>298</v>
      </c>
    </row>
    <row r="72" spans="1:28">
      <c r="A72" t="s">
        <v>298</v>
      </c>
      <c r="N72" s="72">
        <f ca="1">N71+$N$6</f>
        <v>16.75</v>
      </c>
      <c r="O72" s="81">
        <f ca="1"/>
        <v>3.2221119418633773E-2</v>
      </c>
      <c r="P72" s="81">
        <f ca="1"/>
        <v>3.2186660293937935E-2</v>
      </c>
      <c r="Q72" s="75">
        <f ca="1"/>
        <v>3.220401710891161E-2</v>
      </c>
      <c r="S72" s="60">
        <f ca="1">_xll.meDateYearFraction(US_TREASURY_TYPE1!$C$4,US_TREASURY_TYPE1!L73,US_TREASURY_TYPE1!J73)</f>
        <v>5.9976046111235872</v>
      </c>
      <c r="T72" s="65">
        <f ca="1">US_TREASURY_TYPE1!N73%</f>
        <v>2.9892244999999998E-2</v>
      </c>
      <c r="U72" s="61" t="b">
        <v>1</v>
      </c>
      <c r="W72" s="60">
        <f ca="1">IF($U72,S72,"")</f>
        <v>5.9976046111235872</v>
      </c>
      <c r="X72" s="65">
        <f ca="1">IF($U72,T72,"")</f>
        <v>2.9892244999999998E-2</v>
      </c>
      <c r="Y72" t="s">
        <v>298</v>
      </c>
      <c r="Z72" s="60">
        <f ca="1"/>
        <v>5.9976046111235899</v>
      </c>
      <c r="AA72" s="65">
        <f ca="1"/>
        <v>2.9892245000000001E-2</v>
      </c>
      <c r="AB72" t="s">
        <v>298</v>
      </c>
    </row>
    <row r="73" spans="1:28">
      <c r="A73" t="s">
        <v>298</v>
      </c>
      <c r="N73" s="72">
        <f ca="1">N72+$N$6</f>
        <v>17</v>
      </c>
      <c r="O73" s="81">
        <f ca="1"/>
        <v>3.2262844558069693E-2</v>
      </c>
      <c r="P73" s="81">
        <f ca="1"/>
        <v>3.2227823491522256E-2</v>
      </c>
      <c r="Q73" s="75">
        <f ca="1"/>
        <v>3.2244621504120254E-2</v>
      </c>
      <c r="S73" s="60">
        <f ca="1">_xll.meDateYearFraction(US_TREASURY_TYPE1!$C$4,US_TREASURY_TYPE1!L74,US_TREASURY_TYPE1!J74)</f>
        <v>6.2493150684931509</v>
      </c>
      <c r="T73" s="65">
        <f ca="1">US_TREASURY_TYPE1!N74%</f>
        <v>2.9978617999999999E-2</v>
      </c>
      <c r="U73" s="61" t="b">
        <v>1</v>
      </c>
      <c r="W73" s="60">
        <f ca="1">IF($U73,S73,"")</f>
        <v>6.2493150684931509</v>
      </c>
      <c r="X73" s="65">
        <f ca="1">IF($U73,T73,"")</f>
        <v>2.9978617999999999E-2</v>
      </c>
      <c r="Y73" t="s">
        <v>298</v>
      </c>
      <c r="Z73" s="60">
        <f ca="1"/>
        <v>6.24931506849315</v>
      </c>
      <c r="AA73" s="65">
        <f ca="1"/>
        <v>2.9978617999999999E-2</v>
      </c>
      <c r="AB73" t="s">
        <v>298</v>
      </c>
    </row>
    <row r="74" spans="1:28">
      <c r="A74" t="s">
        <v>298</v>
      </c>
      <c r="N74" s="72">
        <f ca="1">N73+$N$6</f>
        <v>17.25</v>
      </c>
      <c r="O74" s="81">
        <f ca="1"/>
        <v>3.2304078017769536E-2</v>
      </c>
      <c r="P74" s="81">
        <f ca="1"/>
        <v>3.2268586825370482E-2</v>
      </c>
      <c r="Q74" s="75">
        <f ca="1"/>
        <v>3.2284770798193613E-2</v>
      </c>
      <c r="S74" s="60">
        <f ca="1">_xll.meDateYearFraction(US_TREASURY_TYPE1!$C$4,US_TREASURY_TYPE1!L75,US_TREASURY_TYPE1!J75)</f>
        <v>6.493150684931507</v>
      </c>
      <c r="T74" s="65">
        <f ca="1">US_TREASURY_TYPE1!N75%</f>
        <v>3.0086244999999998E-2</v>
      </c>
      <c r="U74" s="61" t="b">
        <v>1</v>
      </c>
      <c r="W74" s="60">
        <f ca="1">IF($U74,S74,"")</f>
        <v>6.493150684931507</v>
      </c>
      <c r="X74" s="65">
        <f ca="1">IF($U74,T74,"")</f>
        <v>3.0086244999999998E-2</v>
      </c>
      <c r="Y74" t="s">
        <v>298</v>
      </c>
      <c r="Z74" s="60">
        <f ca="1"/>
        <v>6.4931506849315097</v>
      </c>
      <c r="AA74" s="65">
        <f ca="1"/>
        <v>3.0086245000000001E-2</v>
      </c>
      <c r="AB74" t="s">
        <v>298</v>
      </c>
    </row>
    <row r="75" spans="1:28">
      <c r="A75" t="s">
        <v>298</v>
      </c>
      <c r="N75" s="72">
        <f ca="1">N74+$N$6</f>
        <v>17.5</v>
      </c>
      <c r="O75" s="81">
        <f ca="1"/>
        <v>3.2344826654294244E-2</v>
      </c>
      <c r="P75" s="81">
        <f ca="1"/>
        <v>3.2308959610712562E-2</v>
      </c>
      <c r="Q75" s="75">
        <f ca="1"/>
        <v>3.2324477287296378E-2</v>
      </c>
      <c r="S75" s="60">
        <f ca="1">_xll.meDateYearFraction(US_TREASURY_TYPE1!$C$4,US_TREASURY_TYPE1!L76,US_TREASURY_TYPE1!J76)</f>
        <v>6.7452054794520553</v>
      </c>
      <c r="T75" s="65">
        <f ca="1">US_TREASURY_TYPE1!N76%</f>
        <v>2.9915470999999999E-2</v>
      </c>
      <c r="U75" s="61" t="b">
        <v>1</v>
      </c>
      <c r="W75" s="60">
        <f ca="1">IF($U75,S75,"")</f>
        <v>6.7452054794520553</v>
      </c>
      <c r="X75" s="65">
        <f ca="1">IF($U75,T75,"")</f>
        <v>2.9915470999999999E-2</v>
      </c>
      <c r="Y75" t="s">
        <v>298</v>
      </c>
      <c r="Z75" s="60">
        <f ca="1"/>
        <v>6.7452054794520597</v>
      </c>
      <c r="AA75" s="65">
        <f ca="1"/>
        <v>2.9915470999999999E-2</v>
      </c>
      <c r="AB75" t="s">
        <v>298</v>
      </c>
    </row>
    <row r="76" spans="1:28">
      <c r="A76" t="s">
        <v>298</v>
      </c>
      <c r="N76" s="72">
        <f ca="1">N75+$N$6</f>
        <v>17.75</v>
      </c>
      <c r="O76" s="81">
        <f ca="1"/>
        <v>3.2385097219523505E-2</v>
      </c>
      <c r="P76" s="81">
        <f ca="1"/>
        <v>3.234895093709253E-2</v>
      </c>
      <c r="Q76" s="75">
        <f ca="1"/>
        <v>3.2363753267593269E-2</v>
      </c>
      <c r="S76" s="60">
        <f ca="1">_xll.meDateYearFraction(US_TREASURY_TYPE1!$C$4,US_TREASURY_TYPE1!L77,US_TREASURY_TYPE1!J77)</f>
        <v>6.7452054794520553</v>
      </c>
      <c r="T76" s="65">
        <f ca="1">US_TREASURY_TYPE1!N77%</f>
        <v>3.0202194000000002E-2</v>
      </c>
      <c r="U76" s="61" t="b">
        <v>1</v>
      </c>
      <c r="W76" s="60">
        <f ca="1">IF($U76,S76,"")</f>
        <v>6.7452054794520553</v>
      </c>
      <c r="X76" s="65">
        <f ca="1">IF($U76,T76,"")</f>
        <v>3.0202194000000002E-2</v>
      </c>
      <c r="Y76" t="s">
        <v>298</v>
      </c>
      <c r="Z76" s="60">
        <f ca="1"/>
        <v>6.7452054794520597</v>
      </c>
      <c r="AA76" s="65">
        <f ca="1"/>
        <v>3.0202194000000002E-2</v>
      </c>
      <c r="AB76" t="s">
        <v>298</v>
      </c>
    </row>
    <row r="77" spans="1:28">
      <c r="A77" t="s">
        <v>298</v>
      </c>
      <c r="N77" s="72">
        <f ca="1">N76+$N$6</f>
        <v>18</v>
      </c>
      <c r="O77" s="81">
        <f ca="1"/>
        <v>3.2424896362345627E-2</v>
      </c>
      <c r="P77" s="81">
        <f ca="1"/>
        <v>3.2388569673301282E-2</v>
      </c>
      <c r="Q77" s="75">
        <f ca="1"/>
        <v>3.2402611035248982E-2</v>
      </c>
      <c r="S77" s="60">
        <f ca="1">_xll.meDateYearFraction(US_TREASURY_TYPE1!$C$4,US_TREASURY_TYPE1!L78,US_TREASURY_TYPE1!J78)</f>
        <v>6.9972602739726026</v>
      </c>
      <c r="T77" s="65">
        <f ca="1">US_TREASURY_TYPE1!N78%</f>
        <v>3.0283593999999997E-2</v>
      </c>
      <c r="U77" s="61" t="b">
        <v>1</v>
      </c>
      <c r="W77" s="60">
        <f ca="1">IF($U77,S77,"")</f>
        <v>6.9972602739726026</v>
      </c>
      <c r="X77" s="65">
        <f ca="1">IF($U77,T77,"")</f>
        <v>3.0283593999999997E-2</v>
      </c>
      <c r="Y77" t="s">
        <v>298</v>
      </c>
      <c r="Z77" s="60">
        <f ca="1"/>
        <v>6.9972602739726</v>
      </c>
      <c r="AA77" s="65">
        <f ca="1"/>
        <v>3.0283594E-2</v>
      </c>
      <c r="AB77" t="s">
        <v>298</v>
      </c>
    </row>
    <row r="78" spans="1:28">
      <c r="A78" t="s">
        <v>298</v>
      </c>
      <c r="N78" s="72">
        <f ca="1">N77+$N$6</f>
        <v>18.25</v>
      </c>
      <c r="O78" s="81">
        <f ca="1"/>
        <v>3.2464230630319203E-2</v>
      </c>
      <c r="P78" s="81">
        <f ca="1"/>
        <v>3.2427824472212152E-2</v>
      </c>
      <c r="Q78" s="75">
        <f ca="1"/>
        <v>3.2441062886428208E-2</v>
      </c>
      <c r="S78" s="60">
        <f ca="1">_xll.meDateYearFraction(US_TREASURY_TYPE1!$C$4,US_TREASURY_TYPE1!L79,US_TREASURY_TYPE1!J79)</f>
        <v>7.2493150684931509</v>
      </c>
      <c r="T78" s="65">
        <f ca="1">US_TREASURY_TYPE1!N79%</f>
        <v>2.9976651E-2</v>
      </c>
      <c r="U78" s="61" t="b">
        <v>1</v>
      </c>
      <c r="W78" s="60">
        <f ca="1">IF($U78,S78,"")</f>
        <v>7.2493150684931509</v>
      </c>
      <c r="X78" s="65">
        <f ca="1">IF($U78,T78,"")</f>
        <v>2.9976651E-2</v>
      </c>
      <c r="Y78" t="s">
        <v>298</v>
      </c>
      <c r="Z78" s="60">
        <f ca="1"/>
        <v>7.24931506849315</v>
      </c>
      <c r="AA78" s="65">
        <f ca="1"/>
        <v>2.9976651E-2</v>
      </c>
      <c r="AB78" t="s">
        <v>298</v>
      </c>
    </row>
    <row r="79" spans="1:28">
      <c r="A79" t="s">
        <v>298</v>
      </c>
      <c r="N79" s="72">
        <f ca="1">N78+$N$6</f>
        <v>18.5</v>
      </c>
      <c r="O79" s="81">
        <f ca="1"/>
        <v>3.2503106471306796E-2</v>
      </c>
      <c r="P79" s="81">
        <f ca="1"/>
        <v>3.246672377551546E-2</v>
      </c>
      <c r="Q79" s="75">
        <f ca="1"/>
        <v>3.2479121117295666E-2</v>
      </c>
      <c r="S79" s="60">
        <f ca="1">_xll.meDateYearFraction(US_TREASURY_TYPE1!$C$4,US_TREASURY_TYPE1!L80,US_TREASURY_TYPE1!J80)</f>
        <v>7.2493150684931509</v>
      </c>
      <c r="T79" s="65">
        <f ca="1">US_TREASURY_TYPE1!N80%</f>
        <v>3.0395459999999999E-2</v>
      </c>
      <c r="U79" s="61" t="b">
        <v>1</v>
      </c>
      <c r="W79" s="60">
        <f ca="1">IF($U79,S79,"")</f>
        <v>7.2493150684931509</v>
      </c>
      <c r="X79" s="65">
        <f ca="1">IF($U79,T79,"")</f>
        <v>3.0395459999999999E-2</v>
      </c>
      <c r="Y79" t="s">
        <v>298</v>
      </c>
      <c r="Z79" s="60">
        <f ca="1"/>
        <v>7.24931506849315</v>
      </c>
      <c r="AA79" s="65">
        <f ca="1"/>
        <v>3.0395459999999999E-2</v>
      </c>
      <c r="AB79" t="s">
        <v>298</v>
      </c>
    </row>
    <row r="80" spans="1:28">
      <c r="A80" t="s">
        <v>298</v>
      </c>
      <c r="N80" s="72">
        <f ca="1">N79+$N$6</f>
        <v>18.75</v>
      </c>
      <c r="O80" s="81">
        <f ca="1"/>
        <v>3.2541530235081439E-2</v>
      </c>
      <c r="P80" s="81">
        <f ca="1"/>
        <v>3.2505275818361379E-2</v>
      </c>
      <c r="Q80" s="75">
        <f ca="1"/>
        <v>3.2516798024016046E-2</v>
      </c>
      <c r="S80" s="60">
        <f ca="1">_xll.meDateYearFraction(US_TREASURY_TYPE1!$C$4,US_TREASURY_TYPE1!L81,US_TREASURY_TYPE1!J81)</f>
        <v>7.493150684931507</v>
      </c>
      <c r="T80" s="65">
        <f ca="1">US_TREASURY_TYPE1!N81%</f>
        <v>3.0472739999999998E-2</v>
      </c>
      <c r="U80" s="61" t="b">
        <v>1</v>
      </c>
      <c r="W80" s="60">
        <f ca="1">IF($U80,S80,"")</f>
        <v>7.493150684931507</v>
      </c>
      <c r="X80" s="65">
        <f ca="1">IF($U80,T80,"")</f>
        <v>3.0472739999999998E-2</v>
      </c>
      <c r="Y80" t="s">
        <v>298</v>
      </c>
      <c r="Z80" s="60">
        <f ca="1"/>
        <v>7.4931506849315097</v>
      </c>
      <c r="AA80" s="65">
        <f ca="1"/>
        <v>3.0472740000000002E-2</v>
      </c>
      <c r="AB80" t="s">
        <v>298</v>
      </c>
    </row>
    <row r="81" spans="1:28">
      <c r="A81" t="s">
        <v>298</v>
      </c>
      <c r="N81" s="72">
        <f ca="1">N80+$N$6</f>
        <v>19</v>
      </c>
      <c r="O81" s="81">
        <f ca="1"/>
        <v>3.2579508174906104E-2</v>
      </c>
      <c r="P81" s="81">
        <f ca="1"/>
        <v>3.2543488633905715E-2</v>
      </c>
      <c r="Q81" s="75">
        <f ca="1"/>
        <v>3.2554105902754052E-2</v>
      </c>
      <c r="S81" s="60">
        <f ca="1">_xll.meDateYearFraction(US_TREASURY_TYPE1!$C$4,US_TREASURY_TYPE1!L82,US_TREASURY_TYPE1!J82)</f>
        <v>7.7452054794520553</v>
      </c>
      <c r="T81" s="65">
        <f ca="1">US_TREASURY_TYPE1!N82%</f>
        <v>3.0093846E-2</v>
      </c>
      <c r="U81" s="61" t="b">
        <v>1</v>
      </c>
      <c r="W81" s="60">
        <f ca="1">IF($U81,S81,"")</f>
        <v>7.7452054794520553</v>
      </c>
      <c r="X81" s="65">
        <f ca="1">IF($U81,T81,"")</f>
        <v>3.0093846E-2</v>
      </c>
      <c r="Y81" t="s">
        <v>298</v>
      </c>
      <c r="Z81" s="60">
        <f ca="1"/>
        <v>7.7452054794520597</v>
      </c>
      <c r="AA81" s="65">
        <f ca="1"/>
        <v>3.0093846E-2</v>
      </c>
      <c r="AB81" t="s">
        <v>298</v>
      </c>
    </row>
    <row r="82" spans="1:28">
      <c r="A82" t="s">
        <v>298</v>
      </c>
      <c r="N82" s="72">
        <f ca="1">N81+$N$6</f>
        <v>19.25</v>
      </c>
      <c r="O82" s="81">
        <f ca="1"/>
        <v>3.2617046449086806E-2</v>
      </c>
      <c r="P82" s="81">
        <f ca="1"/>
        <v>3.2581370057765346E-2</v>
      </c>
      <c r="Q82" s="75">
        <f ca="1"/>
        <v>3.2591057049674396E-2</v>
      </c>
      <c r="S82" s="60">
        <f ca="1">_xll.meDateYearFraction(US_TREASURY_TYPE1!$C$4,US_TREASURY_TYPE1!L83,US_TREASURY_TYPE1!J83)</f>
        <v>7.7452054794520553</v>
      </c>
      <c r="T82" s="65">
        <f ca="1">US_TREASURY_TYPE1!N83%</f>
        <v>3.0573155000000001E-2</v>
      </c>
      <c r="U82" s="61" t="b">
        <v>1</v>
      </c>
      <c r="W82" s="60">
        <f ca="1">IF($U82,S82,"")</f>
        <v>7.7452054794520553</v>
      </c>
      <c r="X82" s="65">
        <f ca="1">IF($U82,T82,"")</f>
        <v>3.0573155000000001E-2</v>
      </c>
      <c r="Y82" t="s">
        <v>298</v>
      </c>
      <c r="Z82" s="60">
        <f ca="1"/>
        <v>7.7452054794520597</v>
      </c>
      <c r="AA82" s="65">
        <f ca="1"/>
        <v>3.0573155000000001E-2</v>
      </c>
      <c r="AB82" t="s">
        <v>298</v>
      </c>
    </row>
    <row r="83" spans="1:28">
      <c r="A83" t="s">
        <v>298</v>
      </c>
      <c r="N83" s="72">
        <f ca="1">N82+$N$6</f>
        <v>19.5</v>
      </c>
      <c r="O83" s="81">
        <f ca="1"/>
        <v>3.2654151122499746E-2</v>
      </c>
      <c r="P83" s="81">
        <f ca="1"/>
        <v>3.2618927732383091E-2</v>
      </c>
      <c r="Q83" s="75">
        <f ca="1"/>
        <v>3.2627663760941762E-2</v>
      </c>
      <c r="S83" s="60">
        <f ca="1">_xll.meDateYearFraction(US_TREASURY_TYPE1!$C$4,US_TREASURY_TYPE1!L84,US_TREASURY_TYPE1!J84)</f>
        <v>7.9972602739726026</v>
      </c>
      <c r="T83" s="65">
        <f ca="1">US_TREASURY_TYPE1!N84%</f>
        <v>3.0217485000000002E-2</v>
      </c>
      <c r="U83" s="61" t="b">
        <v>1</v>
      </c>
      <c r="W83" s="60">
        <f ca="1">IF($U83,S83,"")</f>
        <v>7.9972602739726026</v>
      </c>
      <c r="X83" s="65">
        <f ca="1">IF($U83,T83,"")</f>
        <v>3.0217485000000002E-2</v>
      </c>
      <c r="Y83" t="s">
        <v>298</v>
      </c>
      <c r="Z83" s="60">
        <f ca="1"/>
        <v>7.9972602739726</v>
      </c>
      <c r="AA83" s="65">
        <f ca="1"/>
        <v>3.0217484999999999E-2</v>
      </c>
      <c r="AB83" t="s">
        <v>298</v>
      </c>
    </row>
    <row r="84" spans="1:28">
      <c r="A84" t="s">
        <v>298</v>
      </c>
      <c r="N84" s="72">
        <f ca="1">N83+$N$6</f>
        <v>19.75</v>
      </c>
      <c r="O84" s="81">
        <f ca="1"/>
        <v>3.2690828168092906E-2</v>
      </c>
      <c r="P84" s="81">
        <f ca="1"/>
        <v>3.2656169111303562E-2</v>
      </c>
      <c r="Q84" s="75">
        <f ca="1"/>
        <v>3.2663938332720868E-2</v>
      </c>
      <c r="S84" s="60">
        <f ca="1">_xll.meDateYearFraction(US_TREASURY_TYPE1!$C$4,US_TREASURY_TYPE1!L85,US_TREASURY_TYPE1!J85)</f>
        <v>7.9972602739726026</v>
      </c>
      <c r="T84" s="65">
        <f ca="1">US_TREASURY_TYPE1!N85%</f>
        <v>3.0691949E-2</v>
      </c>
      <c r="U84" s="61" t="b">
        <v>1</v>
      </c>
      <c r="W84" s="60">
        <f ca="1">IF($U84,S84,"")</f>
        <v>7.9972602739726026</v>
      </c>
      <c r="X84" s="65">
        <f ca="1">IF($U84,T84,"")</f>
        <v>3.0691949E-2</v>
      </c>
      <c r="Y84" t="s">
        <v>298</v>
      </c>
      <c r="Z84" s="60">
        <f ca="1"/>
        <v>7.9972602739726</v>
      </c>
      <c r="AA84" s="65">
        <f ca="1"/>
        <v>3.0691949E-2</v>
      </c>
      <c r="AB84" t="s">
        <v>298</v>
      </c>
    </row>
    <row r="85" spans="1:28">
      <c r="A85" t="s">
        <v>298</v>
      </c>
      <c r="N85" s="72">
        <f ca="1">N84+$N$6</f>
        <v>20</v>
      </c>
      <c r="O85" s="81">
        <f ca="1"/>
        <v>3.2727083468362568E-2</v>
      </c>
      <c r="P85" s="81">
        <f ca="1"/>
        <v>3.2693101463363128E-2</v>
      </c>
      <c r="Q85" s="75">
        <f ca="1"/>
        <v>3.2699893061176405E-2</v>
      </c>
      <c r="S85" s="60">
        <f ca="1">_xll.meDateYearFraction(US_TREASURY_TYPE1!$C$4,US_TREASURY_TYPE1!L86,US_TREASURY_TYPE1!J86)</f>
        <v>8.24931506849315</v>
      </c>
      <c r="T85" s="65">
        <f ca="1">US_TREASURY_TYPE1!N86%</f>
        <v>3.0309878000000002E-2</v>
      </c>
      <c r="U85" s="61" t="b">
        <v>1</v>
      </c>
      <c r="W85" s="60">
        <f ca="1">IF($U85,S85,"")</f>
        <v>8.24931506849315</v>
      </c>
      <c r="X85" s="65">
        <f ca="1">IF($U85,T85,"")</f>
        <v>3.0309878000000002E-2</v>
      </c>
      <c r="Y85" t="s">
        <v>298</v>
      </c>
      <c r="Z85" s="60">
        <f ca="1"/>
        <v>8.24931506849315</v>
      </c>
      <c r="AA85" s="65">
        <f ca="1"/>
        <v>3.0309877999999998E-2</v>
      </c>
      <c r="AB85" t="s">
        <v>298</v>
      </c>
    </row>
    <row r="86" spans="1:28">
      <c r="A86" t="s">
        <v>298</v>
      </c>
      <c r="N86" s="72">
        <f ca="1">N85+$N$6</f>
        <v>20.25</v>
      </c>
      <c r="O86" s="81">
        <f ca="1"/>
        <v>3.2762922816805165E-2</v>
      </c>
      <c r="P86" s="81">
        <f ca="1"/>
        <v>3.2729731876792928E-2</v>
      </c>
      <c r="Q86" s="75">
        <f ca="1"/>
        <v>3.2735540242473084E-2</v>
      </c>
      <c r="S86" s="60">
        <f ca="1">_xll.meDateYearFraction(US_TREASURY_TYPE1!$C$4,US_TREASURY_TYPE1!L87,US_TREASURY_TYPE1!J87)</f>
        <v>8.24931506849315</v>
      </c>
      <c r="T86" s="65">
        <f ca="1">US_TREASURY_TYPE1!N87%</f>
        <v>3.0768121999999998E-2</v>
      </c>
      <c r="U86" s="61" t="b">
        <v>1</v>
      </c>
      <c r="W86" s="60">
        <f ca="1">IF($U86,S86,"")</f>
        <v>8.24931506849315</v>
      </c>
      <c r="X86" s="65">
        <f ca="1">IF($U86,T86,"")</f>
        <v>3.0768121999999998E-2</v>
      </c>
      <c r="Y86" t="s">
        <v>298</v>
      </c>
      <c r="Z86" s="60">
        <f ca="1"/>
        <v>8.24931506849315</v>
      </c>
      <c r="AA86" s="65">
        <f ca="1"/>
        <v>3.0768121999999998E-2</v>
      </c>
      <c r="AB86" t="s">
        <v>298</v>
      </c>
    </row>
    <row r="87" spans="1:28">
      <c r="A87" t="s">
        <v>298</v>
      </c>
      <c r="N87" s="72">
        <f ca="1">N86+$N$6</f>
        <v>20.5</v>
      </c>
      <c r="O87" s="81">
        <f ca="1"/>
        <v>3.2798351919344944E-2</v>
      </c>
      <c r="P87" s="81">
        <f ca="1"/>
        <v>3.2766067263240772E-2</v>
      </c>
      <c r="Q87" s="75">
        <f ca="1"/>
        <v>3.2770892172775602E-2</v>
      </c>
      <c r="S87" s="60">
        <f ca="1">_xll.meDateYearFraction(US_TREASURY_TYPE1!$C$4,US_TREASURY_TYPE1!L88,US_TREASURY_TYPE1!J88)</f>
        <v>8.7452054794520553</v>
      </c>
      <c r="T87" s="65">
        <f ca="1">US_TREASURY_TYPE1!N88%</f>
        <v>3.0636774999999998E-2</v>
      </c>
      <c r="U87" s="61" t="b">
        <v>1</v>
      </c>
      <c r="W87" s="60">
        <f ca="1">IF($U87,S87,"")</f>
        <v>8.7452054794520553</v>
      </c>
      <c r="X87" s="65">
        <f ca="1">IF($U87,T87,"")</f>
        <v>3.0636774999999998E-2</v>
      </c>
      <c r="Y87" t="s">
        <v>298</v>
      </c>
      <c r="Z87" s="60">
        <f ca="1"/>
        <v>8.7452054794520606</v>
      </c>
      <c r="AA87" s="65">
        <f ca="1"/>
        <v>3.0636775000000002E-2</v>
      </c>
      <c r="AB87" t="s">
        <v>298</v>
      </c>
    </row>
    <row r="88" spans="1:28">
      <c r="A88" t="s">
        <v>298</v>
      </c>
      <c r="N88" s="72">
        <f ca="1">N87+$N$6</f>
        <v>20.75</v>
      </c>
      <c r="O88" s="81">
        <f ca="1"/>
        <v>3.2833376395737746E-2</v>
      </c>
      <c r="P88" s="81">
        <f ca="1"/>
        <v>3.2802114361708323E-2</v>
      </c>
      <c r="Q88" s="75">
        <f ca="1"/>
        <v>3.2805961148248658E-2</v>
      </c>
      <c r="S88" s="60">
        <f ca="1">_xll.meDateYearFraction(US_TREASURY_TYPE1!$C$4,US_TREASURY_TYPE1!L89,US_TREASURY_TYPE1!J89)</f>
        <v>8.9972602739726035</v>
      </c>
      <c r="T88" s="65">
        <f ca="1">US_TREASURY_TYPE1!N89%</f>
        <v>3.0822162E-2</v>
      </c>
      <c r="U88" s="61" t="b">
        <v>1</v>
      </c>
      <c r="W88" s="60">
        <f ca="1">IF($U88,S88,"")</f>
        <v>8.9972602739726035</v>
      </c>
      <c r="X88" s="65">
        <f ca="1">IF($U88,T88,"")</f>
        <v>3.0822162E-2</v>
      </c>
      <c r="Y88" t="s">
        <v>298</v>
      </c>
      <c r="Z88" s="60">
        <f ca="1"/>
        <v>8.9972602739726</v>
      </c>
      <c r="AA88" s="65">
        <f ca="1"/>
        <v>3.0822162E-2</v>
      </c>
      <c r="AB88" t="s">
        <v>298</v>
      </c>
    </row>
    <row r="89" spans="1:28">
      <c r="A89" t="s">
        <v>298</v>
      </c>
      <c r="N89" s="72">
        <f ca="1">N88+$N$6</f>
        <v>21</v>
      </c>
      <c r="O89" s="81">
        <f ca="1"/>
        <v>3.2868001780951436E-2</v>
      </c>
      <c r="P89" s="81">
        <f ca="1"/>
        <v>3.2837879742410786E-2</v>
      </c>
      <c r="Q89" s="75">
        <f ca="1"/>
        <v>3.2840759465056962E-2</v>
      </c>
      <c r="S89" s="60">
        <f ca="1">_xll.meDateYearFraction(US_TREASURY_TYPE1!$C$4,US_TREASURY_TYPE1!L90,US_TREASURY_TYPE1!J90)</f>
        <v>9.7462384909050073</v>
      </c>
      <c r="T89" s="65">
        <f ca="1">US_TREASURY_TYPE1!N90%</f>
        <v>3.1038676000000001E-2</v>
      </c>
      <c r="U89" s="61" t="b">
        <v>1</v>
      </c>
      <c r="W89" s="60">
        <f ca="1">IF($U89,S89,"")</f>
        <v>9.7462384909050073</v>
      </c>
      <c r="X89" s="65">
        <f ca="1">IF($U89,T89,"")</f>
        <v>3.1038676000000001E-2</v>
      </c>
      <c r="Y89" t="s">
        <v>298</v>
      </c>
      <c r="Z89" s="60">
        <f ca="1"/>
        <v>9.7462384909050108</v>
      </c>
      <c r="AA89" s="65">
        <f ca="1"/>
        <v>3.1038676000000001E-2</v>
      </c>
      <c r="AB89" t="s">
        <v>298</v>
      </c>
    </row>
    <row r="90" spans="1:28">
      <c r="A90" t="s">
        <v>298</v>
      </c>
      <c r="N90" s="72">
        <f ca="1">N89+$N$6</f>
        <v>21.25</v>
      </c>
      <c r="O90" s="81">
        <f ca="1"/>
        <v>3.2902233526523293E-2</v>
      </c>
      <c r="P90" s="81">
        <f ca="1"/>
        <v>3.2873369810554665E-2</v>
      </c>
      <c r="Q90" s="75">
        <f ca="1"/>
        <v>3.2875299419365206E-2</v>
      </c>
      <c r="S90" s="60">
        <f ca="1">_xll.meDateYearFraction(US_TREASURY_TYPE1!$C$4,US_TREASURY_TYPE1!L91,US_TREASURY_TYPE1!J91)</f>
        <v>9.9976046111235863</v>
      </c>
      <c r="T90" s="65">
        <f ca="1">US_TREASURY_TYPE1!N91%</f>
        <v>3.1117818000000002E-2</v>
      </c>
      <c r="U90" s="61" t="b">
        <v>1</v>
      </c>
      <c r="W90" s="60">
        <f ca="1">IF($U90,S90,"")</f>
        <v>9.9976046111235863</v>
      </c>
      <c r="X90" s="65">
        <f ca="1">IF($U90,T90,"")</f>
        <v>3.1117818000000002E-2</v>
      </c>
      <c r="Y90" t="s">
        <v>298</v>
      </c>
      <c r="Z90" s="60">
        <f ca="1"/>
        <v>9.9976046111235899</v>
      </c>
      <c r="AA90" s="65">
        <f ca="1"/>
        <v>3.1117817999999998E-2</v>
      </c>
      <c r="AB90" t="s">
        <v>298</v>
      </c>
    </row>
    <row r="91" spans="1:28">
      <c r="A91" t="s">
        <v>298</v>
      </c>
      <c r="N91" s="72">
        <f ca="1">N90+$N$6</f>
        <v>21.5</v>
      </c>
      <c r="O91" s="81">
        <f ca="1"/>
        <v>3.2936077001894812E-2</v>
      </c>
      <c r="P91" s="81">
        <f ca="1"/>
        <v>3.2908590810041216E-2</v>
      </c>
      <c r="Q91" s="75">
        <f ca="1"/>
        <v>3.29095933073381E-2</v>
      </c>
      <c r="S91" s="60">
        <f ca="1">_xll.meDateYearFraction(US_TREASURY_TYPE1!$C$4,US_TREASURY_TYPE1!L92,US_TREASURY_TYPE1!J92)</f>
        <v>10.24931506849315</v>
      </c>
      <c r="T91" s="65">
        <f ca="1">US_TREASURY_TYPE1!N92%</f>
        <v>3.1174845999999999E-2</v>
      </c>
      <c r="U91" s="61" t="b">
        <v>1</v>
      </c>
      <c r="W91" s="60">
        <f ca="1">IF($U91,S91,"")</f>
        <v>10.24931506849315</v>
      </c>
      <c r="X91" s="65">
        <f ca="1">IF($U91,T91,"")</f>
        <v>3.1174845999999999E-2</v>
      </c>
      <c r="Y91" t="s">
        <v>298</v>
      </c>
      <c r="Z91" s="60">
        <f ca="1"/>
        <v>10.2493150684931</v>
      </c>
      <c r="AA91" s="65">
        <f ca="1"/>
        <v>3.1174845999999999E-2</v>
      </c>
      <c r="AB91" t="s">
        <v>298</v>
      </c>
    </row>
    <row r="92" spans="1:28">
      <c r="A92" t="s">
        <v>298</v>
      </c>
      <c r="N92" s="72">
        <f ca="1">N91+$N$6</f>
        <v>21.75</v>
      </c>
      <c r="O92" s="81">
        <f ca="1"/>
        <v>3.2969537495724267E-2</v>
      </c>
      <c r="P92" s="81">
        <f ca="1"/>
        <v>3.2943548827091385E-2</v>
      </c>
      <c r="Q92" s="75">
        <f ca="1"/>
        <v>3.2943653425140343E-2</v>
      </c>
      <c r="S92" s="60">
        <f ca="1">_xll.meDateYearFraction(US_TREASURY_TYPE1!$C$4,US_TREASURY_TYPE1!L93,US_TREASURY_TYPE1!J93)</f>
        <v>10.745205479452055</v>
      </c>
      <c r="T92" s="65">
        <f ca="1">US_TREASURY_TYPE1!N93%</f>
        <v>3.1218901E-2</v>
      </c>
      <c r="U92" s="61" t="b">
        <v>1</v>
      </c>
      <c r="W92" s="60">
        <f ca="1">IF($U92,S92,"")</f>
        <v>10.745205479452055</v>
      </c>
      <c r="X92" s="65">
        <f ca="1">IF($U92,T92,"")</f>
        <v>3.1218901E-2</v>
      </c>
      <c r="Y92" t="s">
        <v>298</v>
      </c>
      <c r="Z92" s="60">
        <f ca="1"/>
        <v>10.7452054794521</v>
      </c>
      <c r="AA92" s="65">
        <f ca="1"/>
        <v>3.1218901E-2</v>
      </c>
      <c r="AB92" t="s">
        <v>298</v>
      </c>
    </row>
    <row r="93" spans="1:28">
      <c r="A93" t="s">
        <v>298</v>
      </c>
      <c r="N93" s="72">
        <f ca="1">N92+$N$6</f>
        <v>22</v>
      </c>
      <c r="O93" s="81">
        <f ca="1"/>
        <v>3.3002620217177439E-2</v>
      </c>
      <c r="P93" s="81">
        <f ca="1"/>
        <v>3.2978249793798597E-2</v>
      </c>
      <c r="Q93" s="75">
        <f ca="1"/>
        <v>3.2977492068936638E-2</v>
      </c>
      <c r="S93" s="60">
        <f ca="1">_xll.meDateYearFraction(US_TREASURY_TYPE1!$C$4,US_TREASURY_TYPE1!L94,US_TREASURY_TYPE1!J94)</f>
        <v>11.493150684931507</v>
      </c>
      <c r="T93" s="65">
        <f ca="1">US_TREASURY_TYPE1!N94%</f>
        <v>3.1253541000000003E-2</v>
      </c>
      <c r="U93" s="61" t="b">
        <v>1</v>
      </c>
      <c r="W93" s="60">
        <f ca="1">IF($U93,S93,"")</f>
        <v>11.493150684931507</v>
      </c>
      <c r="X93" s="65">
        <f ca="1">IF($U93,T93,"")</f>
        <v>3.1253541000000003E-2</v>
      </c>
      <c r="Y93" t="s">
        <v>298</v>
      </c>
      <c r="Z93" s="60">
        <f ca="1"/>
        <v>11.4931506849315</v>
      </c>
      <c r="AA93" s="65">
        <f ca="1"/>
        <v>3.1253541000000003E-2</v>
      </c>
      <c r="AB93" t="s">
        <v>298</v>
      </c>
    </row>
    <row r="94" spans="1:28">
      <c r="A94" t="s">
        <v>298</v>
      </c>
      <c r="N94" s="72">
        <f ca="1">N93+$N$6</f>
        <v>22.25</v>
      </c>
      <c r="O94" s="81">
        <f ca="1"/>
        <v>3.3035330297196859E-2</v>
      </c>
      <c r="P94" s="81">
        <f ca="1"/>
        <v>3.3012699491606595E-2</v>
      </c>
      <c r="Q94" s="75">
        <f ca="1"/>
        <v>3.3011121534891691E-2</v>
      </c>
      <c r="S94" s="60">
        <f ca="1">_xll.meDateYearFraction(US_TREASURY_TYPE1!$C$4,US_TREASURY_TYPE1!L95,US_TREASURY_TYPE1!J95)</f>
        <v>12.24931506849315</v>
      </c>
      <c r="T94" s="65">
        <f ca="1">US_TREASURY_TYPE1!N95%</f>
        <v>3.1382462E-2</v>
      </c>
      <c r="U94" s="61" t="b">
        <v>1</v>
      </c>
      <c r="W94" s="60">
        <f ca="1">IF($U94,S94,"")</f>
        <v>12.24931506849315</v>
      </c>
      <c r="X94" s="65">
        <f ca="1">IF($U94,T94,"")</f>
        <v>3.1382462E-2</v>
      </c>
      <c r="Y94" t="s">
        <v>298</v>
      </c>
      <c r="Z94" s="60">
        <f ca="1"/>
        <v>12.2493150684931</v>
      </c>
      <c r="AA94" s="65">
        <f ca="1"/>
        <v>3.1382462E-2</v>
      </c>
      <c r="AB94" t="s">
        <v>298</v>
      </c>
    </row>
    <row r="95" spans="1:28">
      <c r="A95" t="s">
        <v>298</v>
      </c>
      <c r="N95" s="72">
        <f ca="1">N94+$N$6</f>
        <v>22.5</v>
      </c>
      <c r="O95" s="81">
        <f ca="1"/>
        <v>3.3067672789749959E-2</v>
      </c>
      <c r="P95" s="81">
        <f ca="1"/>
        <v>3.3046903554717677E-2</v>
      </c>
      <c r="Q95" s="75">
        <f ca="1"/>
        <v>3.3044554119170191E-2</v>
      </c>
      <c r="S95" s="60">
        <f ca="1">_xll.meDateYearFraction(US_TREASURY_TYPE1!$C$4,US_TREASURY_TYPE1!L96,US_TREASURY_TYPE1!J96)</f>
        <v>17.248970731342165</v>
      </c>
      <c r="T95" s="65">
        <f ca="1">US_TREASURY_TYPE1!N96%</f>
        <v>3.1935095000000004E-2</v>
      </c>
      <c r="U95" s="61" t="b">
        <v>1</v>
      </c>
      <c r="W95" s="60">
        <f ca="1">IF($U95,S95,"")</f>
        <v>17.248970731342165</v>
      </c>
      <c r="X95" s="65">
        <f ca="1">IF($U95,T95,"")</f>
        <v>3.1935095000000004E-2</v>
      </c>
      <c r="Y95" t="s">
        <v>298</v>
      </c>
      <c r="Z95" s="60">
        <f ca="1"/>
        <v>17.248970731342201</v>
      </c>
      <c r="AA95" s="65">
        <f ca="1"/>
        <v>3.1935094999999997E-2</v>
      </c>
      <c r="AB95" t="s">
        <v>298</v>
      </c>
    </row>
    <row r="96" spans="1:28">
      <c r="A96" t="s">
        <v>298</v>
      </c>
      <c r="N96" s="72">
        <f ca="1">N95+$N$6</f>
        <v>22.75</v>
      </c>
      <c r="O96" s="81">
        <f ca="1"/>
        <v>3.3099652673056507E-2</v>
      </c>
      <c r="P96" s="81">
        <f ca="1"/>
        <v>3.3080867473429226E-2</v>
      </c>
      <c r="Q96" s="75">
        <f ca="1"/>
        <v>3.3077802117936858E-2</v>
      </c>
      <c r="S96" s="60">
        <f ca="1">_xll.meDateYearFraction(US_TREASURY_TYPE1!$C$4,US_TREASURY_TYPE1!L97,US_TREASURY_TYPE1!J97)</f>
        <v>18.24931506849315</v>
      </c>
      <c r="T96" s="65">
        <f ca="1">US_TREASURY_TYPE1!N97%</f>
        <v>3.2068303999999999E-2</v>
      </c>
      <c r="U96" s="61" t="b">
        <v>1</v>
      </c>
      <c r="W96" s="60">
        <f ca="1">IF($U96,S96,"")</f>
        <v>18.24931506849315</v>
      </c>
      <c r="X96" s="65">
        <f ca="1">IF($U96,T96,"")</f>
        <v>3.2068303999999999E-2</v>
      </c>
      <c r="Y96" t="s">
        <v>298</v>
      </c>
      <c r="Z96" s="60">
        <f ca="1"/>
        <v>18.2493150684931</v>
      </c>
      <c r="AA96" s="65">
        <f ca="1"/>
        <v>3.2068303999999999E-2</v>
      </c>
      <c r="AB96" t="s">
        <v>298</v>
      </c>
    </row>
    <row r="97" spans="1:28">
      <c r="A97" t="s">
        <v>298</v>
      </c>
      <c r="N97" s="72">
        <f ca="1">N96+$N$6</f>
        <v>23</v>
      </c>
      <c r="O97" s="81">
        <f ca="1"/>
        <v>3.3131274850795596E-2</v>
      </c>
      <c r="P97" s="81">
        <f ca="1"/>
        <v>3.3114596597401791E-2</v>
      </c>
      <c r="Q97" s="75">
        <f ca="1"/>
        <v>3.3110877827356375E-2</v>
      </c>
      <c r="S97" s="60">
        <f ca="1">_xll.meDateYearFraction(US_TREASURY_TYPE1!$C$4,US_TREASURY_TYPE1!L98,US_TREASURY_TYPE1!J98)</f>
        <v>18.493150684931507</v>
      </c>
      <c r="T97" s="65">
        <f ca="1">US_TREASURY_TYPE1!N98%</f>
        <v>3.2106304000000002E-2</v>
      </c>
      <c r="U97" s="61" t="b">
        <v>1</v>
      </c>
      <c r="W97" s="60">
        <f ca="1">IF($U97,S97,"")</f>
        <v>18.493150684931507</v>
      </c>
      <c r="X97" s="65">
        <f ca="1">IF($U97,T97,"")</f>
        <v>3.2106304000000002E-2</v>
      </c>
      <c r="Y97" t="s">
        <v>298</v>
      </c>
      <c r="Z97" s="60">
        <f ca="1"/>
        <v>18.4931506849315</v>
      </c>
      <c r="AA97" s="65">
        <f ca="1"/>
        <v>3.2106304000000002E-2</v>
      </c>
      <c r="AB97" t="s">
        <v>298</v>
      </c>
    </row>
    <row r="98" spans="1:28">
      <c r="A98" t="s">
        <v>298</v>
      </c>
      <c r="N98" s="72">
        <f ca="1">N97+$N$6</f>
        <v>23.25</v>
      </c>
      <c r="O98" s="81">
        <f ca="1"/>
        <v>3.3162544153292686E-2</v>
      </c>
      <c r="P98" s="81">
        <f ca="1"/>
        <v>3.3148096138860744E-2</v>
      </c>
      <c r="Q98" s="75">
        <f ca="1"/>
        <v>3.3143793543593453E-2</v>
      </c>
      <c r="S98" s="60">
        <f ca="1">_xll.meDateYearFraction(US_TREASURY_TYPE1!$C$4,US_TREASURY_TYPE1!L99,US_TREASURY_TYPE1!J99)</f>
        <v>19.24931506849315</v>
      </c>
      <c r="T98" s="65">
        <f ca="1">US_TREASURY_TYPE1!N99%</f>
        <v>3.2309868999999998E-2</v>
      </c>
      <c r="U98" s="61" t="b">
        <v>1</v>
      </c>
      <c r="W98" s="60">
        <f ca="1">IF($U98,S98,"")</f>
        <v>19.24931506849315</v>
      </c>
      <c r="X98" s="65">
        <f ca="1">IF($U98,T98,"")</f>
        <v>3.2309868999999998E-2</v>
      </c>
      <c r="Y98" t="s">
        <v>298</v>
      </c>
      <c r="Z98" s="60">
        <f ca="1"/>
        <v>19.2493150684931</v>
      </c>
      <c r="AA98" s="65">
        <f ca="1"/>
        <v>3.2309868999999998E-2</v>
      </c>
      <c r="AB98" t="s">
        <v>298</v>
      </c>
    </row>
    <row r="99" spans="1:28">
      <c r="A99" t="s">
        <v>298</v>
      </c>
      <c r="N99" s="72">
        <f ca="1">N98+$N$6</f>
        <v>23.5</v>
      </c>
      <c r="O99" s="81">
        <f ca="1"/>
        <v>3.3193465338686834E-2</v>
      </c>
      <c r="P99" s="81">
        <f ca="1"/>
        <v>3.318137117573014E-2</v>
      </c>
      <c r="Q99" s="75">
        <f ca="1"/>
        <v>3.3176561562812804E-2</v>
      </c>
      <c r="S99" s="60">
        <f ca="1">_xll.meDateYearFraction(US_TREASURY_TYPE1!$C$4,US_TREASURY_TYPE1!L100,US_TREASURY_TYPE1!J100)</f>
        <v>19.493150684931507</v>
      </c>
      <c r="T99" s="65">
        <f ca="1">US_TREASURY_TYPE1!N100%</f>
        <v>3.2349841000000004E-2</v>
      </c>
      <c r="U99" s="61" t="b">
        <v>1</v>
      </c>
      <c r="W99" s="60">
        <f ca="1">IF($U99,S99,"")</f>
        <v>19.493150684931507</v>
      </c>
      <c r="X99" s="65">
        <f ca="1">IF($U99,T99,"")</f>
        <v>3.2349841000000004E-2</v>
      </c>
      <c r="Y99" t="s">
        <v>298</v>
      </c>
      <c r="Z99" s="60">
        <f ca="1"/>
        <v>19.4931506849315</v>
      </c>
      <c r="AA99" s="65">
        <f ca="1"/>
        <v>3.2349840999999997E-2</v>
      </c>
      <c r="AB99" t="s">
        <v>298</v>
      </c>
    </row>
    <row r="100" spans="1:28">
      <c r="A100" t="s">
        <v>298</v>
      </c>
      <c r="N100" s="72">
        <f ca="1">N99+$N$6</f>
        <v>23.75</v>
      </c>
      <c r="O100" s="81">
        <f ca="1"/>
        <v>3.322404309407867E-2</v>
      </c>
      <c r="P100" s="81">
        <f ca="1"/>
        <v>3.3214426654702978E-2</v>
      </c>
      <c r="Q100" s="75">
        <f ca="1"/>
        <v>3.3209194181179111E-2</v>
      </c>
      <c r="S100" s="60">
        <f ca="1">_xll.meDateYearFraction(US_TREASURY_TYPE1!$C$4,US_TREASURY_TYPE1!L101,US_TREASURY_TYPE1!J101)</f>
        <v>20.24931506849315</v>
      </c>
      <c r="T100" s="65">
        <f ca="1">US_TREASURY_TYPE1!N101%</f>
        <v>3.2590998999999996E-2</v>
      </c>
      <c r="U100" s="61" t="b">
        <v>1</v>
      </c>
      <c r="W100" s="60">
        <f ca="1">IF($U100,S100,"")</f>
        <v>20.24931506849315</v>
      </c>
      <c r="X100" s="65">
        <f ca="1">IF($U100,T100,"")</f>
        <v>3.2590998999999996E-2</v>
      </c>
      <c r="Y100" t="s">
        <v>298</v>
      </c>
      <c r="Z100" s="60">
        <f ca="1"/>
        <v>20.2493150684931</v>
      </c>
      <c r="AA100" s="65">
        <f ca="1"/>
        <v>3.2590999000000002E-2</v>
      </c>
      <c r="AB100" t="s">
        <v>298</v>
      </c>
    </row>
    <row r="101" spans="1:28">
      <c r="A101" t="s">
        <v>298</v>
      </c>
      <c r="N101" s="72">
        <f ca="1">N100+$N$6</f>
        <v>24</v>
      </c>
      <c r="O101" s="81">
        <f ca="1"/>
        <v>3.3254282036659283E-2</v>
      </c>
      <c r="P101" s="81">
        <f ca="1"/>
        <v>3.3247267394246771E-2</v>
      </c>
      <c r="Q101" s="75">
        <f ca="1"/>
        <v>3.3241703694857086E-2</v>
      </c>
      <c r="S101" s="60">
        <f ca="1">_xll.meDateYearFraction(US_TREASURY_TYPE1!$C$4,US_TREASURY_TYPE1!L102,US_TREASURY_TYPE1!J102)</f>
        <v>20.493150684931507</v>
      </c>
      <c r="T101" s="65">
        <f ca="1">US_TREASURY_TYPE1!N102%</f>
        <v>3.2666042999999999E-2</v>
      </c>
      <c r="U101" s="61" t="b">
        <v>1</v>
      </c>
      <c r="W101" s="60">
        <f ca="1">IF($U101,S101,"")</f>
        <v>20.493150684931507</v>
      </c>
      <c r="X101" s="65">
        <f ca="1">IF($U101,T101,"")</f>
        <v>3.2666042999999999E-2</v>
      </c>
      <c r="Y101" t="s">
        <v>298</v>
      </c>
      <c r="Z101" s="60">
        <f ca="1"/>
        <v>20.4931506849315</v>
      </c>
      <c r="AA101" s="65">
        <f ca="1"/>
        <v>3.2666042999999999E-2</v>
      </c>
      <c r="AB101" t="s">
        <v>298</v>
      </c>
    </row>
    <row r="102" spans="1:28">
      <c r="A102" t="s">
        <v>298</v>
      </c>
      <c r="N102" s="72">
        <f ca="1">N101+$N$6</f>
        <v>24.25</v>
      </c>
      <c r="O102" s="81">
        <f ca="1"/>
        <v>3.328418671482046E-2</v>
      </c>
      <c r="P102" s="81">
        <f ca="1"/>
        <v>3.3279898087547943E-2</v>
      </c>
      <c r="Q102" s="75">
        <f ca="1"/>
        <v>3.3274102400011434E-2</v>
      </c>
      <c r="S102" s="60">
        <f ca="1">_xll.meDateYearFraction(US_TREASURY_TYPE1!$C$4,US_TREASURY_TYPE1!L103,US_TREASURY_TYPE1!J103)</f>
        <v>20.745205479452054</v>
      </c>
      <c r="T102" s="65">
        <f ca="1">US_TREASURY_TYPE1!N103%</f>
        <v>3.2735755000000005E-2</v>
      </c>
      <c r="U102" s="61" t="b">
        <v>1</v>
      </c>
      <c r="W102" s="60">
        <f ca="1">IF($U102,S102,"")</f>
        <v>20.745205479452054</v>
      </c>
      <c r="X102" s="65">
        <f ca="1">IF($U102,T102,"")</f>
        <v>3.2735755000000005E-2</v>
      </c>
      <c r="Y102" t="s">
        <v>298</v>
      </c>
      <c r="Z102" s="60">
        <f ca="1"/>
        <v>20.7452054794521</v>
      </c>
      <c r="AA102" s="65">
        <f ca="1"/>
        <v>3.2735754999999998E-2</v>
      </c>
      <c r="AB102" t="s">
        <v>298</v>
      </c>
    </row>
    <row r="103" spans="1:28">
      <c r="A103" t="s">
        <v>298</v>
      </c>
      <c r="N103" s="72">
        <f ca="1">N102+$N$6</f>
        <v>24.5</v>
      </c>
      <c r="O103" s="81">
        <f ca="1"/>
        <v>3.3313761609246435E-2</v>
      </c>
      <c r="P103" s="81">
        <f ca="1"/>
        <v>3.3312323305393743E-2</v>
      </c>
      <c r="Q103" s="75">
        <f ca="1"/>
        <v>3.3306402592806851E-2</v>
      </c>
      <c r="S103" s="60">
        <f ca="1">_xll.meDateYearFraction(US_TREASURY_TYPE1!$C$4,US_TREASURY_TYPE1!L104,US_TREASURY_TYPE1!J104)</f>
        <v>20.997260273972604</v>
      </c>
      <c r="T103" s="65">
        <f ca="1">US_TREASURY_TYPE1!N104%</f>
        <v>3.2823695999999999E-2</v>
      </c>
      <c r="U103" s="61" t="b">
        <v>1</v>
      </c>
      <c r="W103" s="60">
        <f ca="1">IF($U103,S103,"")</f>
        <v>20.997260273972604</v>
      </c>
      <c r="X103" s="65">
        <f ca="1">IF($U103,T103,"")</f>
        <v>3.2823695999999999E-2</v>
      </c>
      <c r="Y103" t="s">
        <v>298</v>
      </c>
      <c r="Z103" s="60">
        <f ca="1"/>
        <v>20.9972602739726</v>
      </c>
      <c r="AA103" s="65">
        <f ca="1"/>
        <v>3.2823695999999999E-2</v>
      </c>
      <c r="AB103" t="s">
        <v>298</v>
      </c>
    </row>
    <row r="104" spans="1:28">
      <c r="A104" t="s">
        <v>298</v>
      </c>
      <c r="N104" s="72">
        <f ca="1">N103+$N$6</f>
        <v>24.75</v>
      </c>
      <c r="O104" s="81">
        <f ca="1"/>
        <v>3.3343011133987722E-2</v>
      </c>
      <c r="P104" s="81">
        <f ca="1"/>
        <v>3.3344547498995569E-2</v>
      </c>
      <c r="Q104" s="75">
        <f ca="1"/>
        <v>3.3338616569408036E-2</v>
      </c>
      <c r="S104" s="60">
        <f ca="1">_xll.meDateYearFraction(US_TREASURY_TYPE1!$C$4,US_TREASURY_TYPE1!L105,US_TREASURY_TYPE1!J105)</f>
        <v>21.248970731342165</v>
      </c>
      <c r="T104" s="65">
        <f ca="1">US_TREASURY_TYPE1!N105%</f>
        <v>3.2858418E-2</v>
      </c>
      <c r="U104" s="61" t="b">
        <v>1</v>
      </c>
      <c r="W104" s="60">
        <f ca="1">IF($U104,S104,"")</f>
        <v>21.248970731342165</v>
      </c>
      <c r="X104" s="65">
        <f ca="1">IF($U104,T104,"")</f>
        <v>3.2858418E-2</v>
      </c>
      <c r="Y104" t="s">
        <v>298</v>
      </c>
      <c r="Z104" s="60">
        <f ca="1"/>
        <v>21.248970731342201</v>
      </c>
      <c r="AA104" s="65">
        <f ca="1"/>
        <v>3.2858418E-2</v>
      </c>
      <c r="AB104" t="s">
        <v>298</v>
      </c>
    </row>
    <row r="105" spans="1:28">
      <c r="A105" t="s">
        <v>298</v>
      </c>
      <c r="N105" s="72">
        <f ca="1">N104+$N$6</f>
        <v>25</v>
      </c>
      <c r="O105" s="81">
        <f ca="1"/>
        <v>3.3371939637517035E-2</v>
      </c>
      <c r="P105" s="81">
        <f ca="1"/>
        <v>3.3376575002751596E-2</v>
      </c>
      <c r="Q105" s="75">
        <f ca="1"/>
        <v>3.33707566259797E-2</v>
      </c>
      <c r="S105" s="60">
        <f ca="1">_xll.meDateYearFraction(US_TREASURY_TYPE1!$C$4,US_TREASURY_TYPE1!L106,US_TREASURY_TYPE1!J106)</f>
        <v>21.49487237068643</v>
      </c>
      <c r="T105" s="65">
        <f ca="1">US_TREASURY_TYPE1!N106%</f>
        <v>3.2937842000000002E-2</v>
      </c>
      <c r="U105" s="61" t="b">
        <v>1</v>
      </c>
      <c r="W105" s="60">
        <f ca="1">IF($U105,S105,"")</f>
        <v>21.49487237068643</v>
      </c>
      <c r="X105" s="65">
        <f ca="1">IF($U105,T105,"")</f>
        <v>3.2937842000000002E-2</v>
      </c>
      <c r="Y105" t="s">
        <v>298</v>
      </c>
      <c r="Z105" s="60">
        <f ca="1"/>
        <v>21.494872370686402</v>
      </c>
      <c r="AA105" s="65">
        <f ca="1"/>
        <v>3.2937842000000002E-2</v>
      </c>
      <c r="AB105" t="s">
        <v>298</v>
      </c>
    </row>
    <row r="106" spans="1:28">
      <c r="A106" t="s">
        <v>298</v>
      </c>
      <c r="N106" s="72">
        <f ca="1">N105+$N$6</f>
        <v>25.25</v>
      </c>
      <c r="O106" s="81">
        <f ca="1"/>
        <v>3.3400551403767839E-2</v>
      </c>
      <c r="P106" s="81">
        <f ca="1"/>
        <v>3.3408410036953745E-2</v>
      </c>
      <c r="Q106" s="75">
        <f ca="1"/>
        <v>3.3402835058686541E-2</v>
      </c>
      <c r="S106" s="60">
        <f ca="1">_xll.meDateYearFraction(US_TREASURY_TYPE1!$C$4,US_TREASURY_TYPE1!L107,US_TREASURY_TYPE1!J107)</f>
        <v>21.746238490905007</v>
      </c>
      <c r="T106" s="65">
        <f ca="1">US_TREASURY_TYPE1!N107%</f>
        <v>3.3025211999999998E-2</v>
      </c>
      <c r="U106" s="61" t="b">
        <v>1</v>
      </c>
      <c r="W106" s="60">
        <f ca="1">IF($U106,S106,"")</f>
        <v>21.746238490905007</v>
      </c>
      <c r="X106" s="65">
        <f ca="1">IF($U106,T106,"")</f>
        <v>3.3025211999999998E-2</v>
      </c>
      <c r="Y106" t="s">
        <v>298</v>
      </c>
      <c r="Z106" s="60">
        <f ca="1"/>
        <v>21.746238490905</v>
      </c>
      <c r="AA106" s="65">
        <f ca="1"/>
        <v>3.3025211999999998E-2</v>
      </c>
      <c r="AB106" t="s">
        <v>298</v>
      </c>
    </row>
    <row r="107" spans="1:28">
      <c r="A107" t="s">
        <v>298</v>
      </c>
      <c r="N107" s="72">
        <f ca="1">N106+$N$6</f>
        <v>25.5</v>
      </c>
      <c r="O107" s="81">
        <f ca="1"/>
        <v>3.3428850653155748E-2</v>
      </c>
      <c r="P107" s="81">
        <f ca="1"/>
        <v>3.3440056710436872E-2</v>
      </c>
      <c r="Q107" s="75">
        <f ca="1"/>
        <v>3.3434864163693262E-2</v>
      </c>
      <c r="S107" s="60">
        <f ca="1">_xll.meDateYearFraction(US_TREASURY_TYPE1!$C$4,US_TREASURY_TYPE1!L108,US_TREASURY_TYPE1!J108)</f>
        <v>21.997604611123588</v>
      </c>
      <c r="T107" s="65">
        <f ca="1">US_TREASURY_TYPE1!N108%</f>
        <v>3.3051509E-2</v>
      </c>
      <c r="U107" s="61" t="b">
        <v>1</v>
      </c>
      <c r="W107" s="60">
        <f ca="1">IF($U107,S107,"")</f>
        <v>21.997604611123588</v>
      </c>
      <c r="X107" s="65">
        <f ca="1">IF($U107,T107,"")</f>
        <v>3.3051509E-2</v>
      </c>
      <c r="Y107" t="s">
        <v>298</v>
      </c>
      <c r="Z107" s="60">
        <f ca="1"/>
        <v>21.997604611123599</v>
      </c>
      <c r="AA107" s="65">
        <f ca="1"/>
        <v>3.3051509E-2</v>
      </c>
      <c r="AB107" t="s">
        <v>298</v>
      </c>
    </row>
    <row r="108" spans="1:28">
      <c r="A108" t="s">
        <v>298</v>
      </c>
      <c r="N108" s="72">
        <f ca="1">N107+$N$6</f>
        <v>25.75</v>
      </c>
      <c r="O108" s="81">
        <f ca="1"/>
        <v>3.3456841543582951E-2</v>
      </c>
      <c r="P108" s="81">
        <f ca="1"/>
        <v>3.3471519023172525E-2</v>
      </c>
      <c r="Q108" s="75">
        <f ca="1"/>
        <v>3.3466856237164562E-2</v>
      </c>
      <c r="S108" s="60">
        <f ca="1">_xll.meDateYearFraction(US_TREASURY_TYPE1!$C$4,US_TREASURY_TYPE1!L109,US_TREASURY_TYPE1!J109)</f>
        <v>22.24931506849315</v>
      </c>
      <c r="T108" s="65">
        <f ca="1">US_TREASURY_TYPE1!N109%</f>
        <v>3.3036119000000003E-2</v>
      </c>
      <c r="U108" s="61" t="b">
        <v>1</v>
      </c>
      <c r="W108" s="60">
        <f ca="1">IF($U108,S108,"")</f>
        <v>22.24931506849315</v>
      </c>
      <c r="X108" s="65">
        <f ca="1">IF($U108,T108,"")</f>
        <v>3.3036119000000003E-2</v>
      </c>
      <c r="Y108" t="s">
        <v>298</v>
      </c>
      <c r="Z108" s="60">
        <f ca="1"/>
        <v>22.2493150684931</v>
      </c>
      <c r="AA108" s="65">
        <f ca="1"/>
        <v>3.3036119000000003E-2</v>
      </c>
      <c r="AB108" t="s">
        <v>298</v>
      </c>
    </row>
    <row r="109" spans="1:28">
      <c r="A109" t="s">
        <v>298</v>
      </c>
      <c r="N109" s="72">
        <f ca="1">N108+$N$6</f>
        <v>26</v>
      </c>
      <c r="O109" s="81">
        <f ca="1"/>
        <v>3.3484528171426178E-2</v>
      </c>
      <c r="P109" s="81">
        <f ca="1"/>
        <v>3.350280086880883E-2</v>
      </c>
      <c r="Q109" s="75">
        <f ca="1"/>
        <v>3.3498823575265145E-2</v>
      </c>
      <c r="S109" s="60">
        <f ca="1">_xll.meDateYearFraction(US_TREASURY_TYPE1!$C$4,US_TREASURY_TYPE1!L110,US_TREASURY_TYPE1!J110)</f>
        <v>22.493150684931507</v>
      </c>
      <c r="T109" s="65">
        <f ca="1">US_TREASURY_TYPE1!N110%</f>
        <v>3.3120743000000001E-2</v>
      </c>
      <c r="U109" s="61" t="b">
        <v>1</v>
      </c>
      <c r="W109" s="60">
        <f ca="1">IF($U109,S109,"")</f>
        <v>22.493150684931507</v>
      </c>
      <c r="X109" s="65">
        <f ca="1">IF($U109,T109,"")</f>
        <v>3.3120743000000001E-2</v>
      </c>
      <c r="Y109" t="s">
        <v>298</v>
      </c>
      <c r="Z109" s="60">
        <f ca="1"/>
        <v>22.4931506849315</v>
      </c>
      <c r="AA109" s="65">
        <f ca="1"/>
        <v>3.3120743000000001E-2</v>
      </c>
      <c r="AB109" t="s">
        <v>298</v>
      </c>
    </row>
    <row r="110" spans="1:28">
      <c r="A110" t="s">
        <v>298</v>
      </c>
      <c r="N110" s="72">
        <f ca="1">N109+$N$6</f>
        <v>26.25</v>
      </c>
      <c r="O110" s="81">
        <f ca="1"/>
        <v>3.3511914572508301E-2</v>
      </c>
      <c r="P110" s="81">
        <f ca="1"/>
        <v>3.3533906037156724E-2</v>
      </c>
      <c r="Q110" s="75">
        <f ca="1"/>
        <v>3.3530778474159716E-2</v>
      </c>
      <c r="S110" s="60">
        <f ca="1">_xll.meDateYearFraction(US_TREASURY_TYPE1!$C$4,US_TREASURY_TYPE1!L111,US_TREASURY_TYPE1!J111)</f>
        <v>22.745205479452054</v>
      </c>
      <c r="T110" s="65">
        <f ca="1">US_TREASURY_TYPE1!N111%</f>
        <v>3.3178583000000005E-2</v>
      </c>
      <c r="U110" s="61" t="b">
        <v>1</v>
      </c>
      <c r="W110" s="60">
        <f ca="1">IF($U110,S110,"")</f>
        <v>22.745205479452054</v>
      </c>
      <c r="X110" s="65">
        <f ca="1">IF($U110,T110,"")</f>
        <v>3.3178583000000005E-2</v>
      </c>
      <c r="Y110" t="s">
        <v>298</v>
      </c>
      <c r="Z110" s="60">
        <f ca="1"/>
        <v>22.7452054794521</v>
      </c>
      <c r="AA110" s="65">
        <f ca="1"/>
        <v>3.3178582999999998E-2</v>
      </c>
      <c r="AB110" t="s">
        <v>298</v>
      </c>
    </row>
    <row r="111" spans="1:28">
      <c r="A111" t="s">
        <v>298</v>
      </c>
      <c r="N111" s="72">
        <f ca="1">N110+$N$6</f>
        <v>26.5</v>
      </c>
      <c r="O111" s="81">
        <f ca="1"/>
        <v>3.353900472305392E-2</v>
      </c>
      <c r="P111" s="81">
        <f ca="1"/>
        <v>3.3564838216624177E-2</v>
      </c>
      <c r="Q111" s="75">
        <f ca="1"/>
        <v>3.3562733230012971E-2</v>
      </c>
      <c r="S111" s="60">
        <f ca="1">_xll.meDateYearFraction(US_TREASURY_TYPE1!$C$4,US_TREASURY_TYPE1!L112,US_TREASURY_TYPE1!J112)</f>
        <v>22.997260273972604</v>
      </c>
      <c r="T111" s="65">
        <f ca="1">US_TREASURY_TYPE1!N112%</f>
        <v>3.3243621000000001E-2</v>
      </c>
      <c r="U111" s="61" t="b">
        <v>1</v>
      </c>
      <c r="W111" s="60">
        <f ca="1">IF($U111,S111,"")</f>
        <v>22.997260273972604</v>
      </c>
      <c r="X111" s="65">
        <f ca="1">IF($U111,T111,"")</f>
        <v>3.3243621000000001E-2</v>
      </c>
      <c r="Y111" t="s">
        <v>298</v>
      </c>
      <c r="Z111" s="60">
        <f ca="1"/>
        <v>22.9972602739726</v>
      </c>
      <c r="AA111" s="65">
        <f ca="1"/>
        <v>3.3243621000000001E-2</v>
      </c>
      <c r="AB111" t="s">
        <v>298</v>
      </c>
    </row>
    <row r="112" spans="1:28">
      <c r="A112" t="s">
        <v>298</v>
      </c>
      <c r="N112" s="72">
        <f ca="1">N111+$N$6</f>
        <v>26.75</v>
      </c>
      <c r="O112" s="81">
        <f ca="1"/>
        <v>3.3565802540629172E-2</v>
      </c>
      <c r="P112" s="81">
        <f ca="1"/>
        <v>3.3595600996598807E-2</v>
      </c>
      <c r="Q112" s="75">
        <f ca="1"/>
        <v>3.3594700138989617E-2</v>
      </c>
      <c r="S112" s="60">
        <f ca="1">_xll.meDateYearFraction(US_TREASURY_TYPE1!$C$4,US_TREASURY_TYPE1!L113,US_TREASURY_TYPE1!J113)</f>
        <v>23.24931506849315</v>
      </c>
      <c r="T112" s="65">
        <f ca="1">US_TREASURY_TYPE1!N113%</f>
        <v>3.3286446999999997E-2</v>
      </c>
      <c r="U112" s="61" t="b">
        <v>1</v>
      </c>
      <c r="W112" s="60">
        <f ca="1">IF($U112,S112,"")</f>
        <v>23.24931506849315</v>
      </c>
      <c r="X112" s="65">
        <f ca="1">IF($U112,T112,"")</f>
        <v>3.3286446999999997E-2</v>
      </c>
      <c r="Y112" t="s">
        <v>298</v>
      </c>
      <c r="Z112" s="60">
        <f ca="1"/>
        <v>23.2493150684931</v>
      </c>
      <c r="AA112" s="65">
        <f ca="1"/>
        <v>3.3286446999999997E-2</v>
      </c>
      <c r="AB112" t="s">
        <v>298</v>
      </c>
    </row>
    <row r="113" spans="1:28">
      <c r="A113" t="s">
        <v>298</v>
      </c>
      <c r="N113" s="72">
        <f ca="1">N112+$N$6</f>
        <v>27</v>
      </c>
      <c r="O113" s="81">
        <f ca="1"/>
        <v>3.3592311885066152E-2</v>
      </c>
      <c r="P113" s="81">
        <f ca="1"/>
        <v>3.3626197869780411E-2</v>
      </c>
      <c r="Q113" s="75">
        <f ca="1"/>
        <v>3.3626691497254349E-2</v>
      </c>
      <c r="S113" s="60">
        <f ca="1">_xll.meDateYearFraction(US_TREASURY_TYPE1!$C$4,US_TREASURY_TYPE1!L114,US_TREASURY_TYPE1!J114)</f>
        <v>23.493150684931507</v>
      </c>
      <c r="T113" s="65">
        <f ca="1">US_TREASURY_TYPE1!N114%</f>
        <v>3.3376494E-2</v>
      </c>
      <c r="U113" s="61" t="b">
        <v>1</v>
      </c>
      <c r="W113" s="60">
        <f ca="1">IF($U113,S113,"")</f>
        <v>23.493150684931507</v>
      </c>
      <c r="X113" s="65">
        <f ca="1">IF($U113,T113,"")</f>
        <v>3.3376494E-2</v>
      </c>
      <c r="Y113" t="s">
        <v>298</v>
      </c>
      <c r="Z113" s="60">
        <f ca="1"/>
        <v>23.4931506849315</v>
      </c>
      <c r="AA113" s="65">
        <f ca="1"/>
        <v>3.3376494E-2</v>
      </c>
      <c r="AB113" t="s">
        <v>298</v>
      </c>
    </row>
    <row r="114" spans="1:28">
      <c r="A114" t="s">
        <v>298</v>
      </c>
      <c r="N114" s="72">
        <f ca="1">N113+$N$6</f>
        <v>27.25</v>
      </c>
      <c r="O114" s="81">
        <f ca="1"/>
        <v>3.3618536559371998E-2</v>
      </c>
      <c r="P114" s="81">
        <f ca="1"/>
        <v>3.3656632234464606E-2</v>
      </c>
      <c r="Q114" s="75">
        <f ca="1"/>
        <v>3.3658719600971873E-2</v>
      </c>
      <c r="S114" s="60">
        <f ca="1">_xll.meDateYearFraction(US_TREASURY_TYPE1!$C$4,US_TREASURY_TYPE1!L115,US_TREASURY_TYPE1!J115)</f>
        <v>23.745205479452054</v>
      </c>
      <c r="T114" s="65">
        <f ca="1">US_TREASURY_TYPE1!N115%</f>
        <v>3.347265E-2</v>
      </c>
      <c r="U114" s="61" t="b">
        <v>1</v>
      </c>
      <c r="W114" s="60">
        <f ca="1">IF($U114,S114,"")</f>
        <v>23.745205479452054</v>
      </c>
      <c r="X114" s="65">
        <f ca="1">IF($U114,T114,"")</f>
        <v>3.347265E-2</v>
      </c>
      <c r="Y114" t="s">
        <v>298</v>
      </c>
      <c r="Z114" s="60">
        <f ca="1"/>
        <v>23.7452054794521</v>
      </c>
      <c r="AA114" s="65">
        <f ca="1"/>
        <v>3.347265E-2</v>
      </c>
      <c r="AB114" t="s">
        <v>298</v>
      </c>
    </row>
    <row r="115" spans="1:28">
      <c r="A115" t="s">
        <v>298</v>
      </c>
      <c r="N115" s="72">
        <f ca="1">N114+$N$6</f>
        <v>27.5</v>
      </c>
      <c r="O115" s="81">
        <f ca="1"/>
        <v>3.3644480310623059E-2</v>
      </c>
      <c r="P115" s="81">
        <f ca="1"/>
        <v>3.3686907396777405E-2</v>
      </c>
      <c r="Q115" s="75">
        <f ca="1"/>
        <v>3.3690796746306893E-2</v>
      </c>
      <c r="S115" s="60">
        <f ca="1">_xll.meDateYearFraction(US_TREASURY_TYPE1!$C$4,US_TREASURY_TYPE1!L116,US_TREASURY_TYPE1!J116)</f>
        <v>23.997260273972604</v>
      </c>
      <c r="T115" s="65">
        <f ca="1">US_TREASURY_TYPE1!N116%</f>
        <v>3.3481681999999999E-2</v>
      </c>
      <c r="U115" s="61" t="b">
        <v>1</v>
      </c>
      <c r="W115" s="60">
        <f ca="1">IF($U115,S115,"")</f>
        <v>23.997260273972604</v>
      </c>
      <c r="X115" s="65">
        <f ca="1">IF($U115,T115,"")</f>
        <v>3.3481681999999999E-2</v>
      </c>
      <c r="Y115" t="s">
        <v>298</v>
      </c>
      <c r="Z115" s="60">
        <f ca="1"/>
        <v>23.9972602739726</v>
      </c>
      <c r="AA115" s="65">
        <f ca="1"/>
        <v>3.3481681999999999E-2</v>
      </c>
      <c r="AB115" t="s">
        <v>298</v>
      </c>
    </row>
    <row r="116" spans="1:28">
      <c r="A116" t="s">
        <v>298</v>
      </c>
      <c r="N116" s="72">
        <f ca="1">N115+$N$6</f>
        <v>27.75</v>
      </c>
      <c r="O116" s="81">
        <f ca="1"/>
        <v>3.3670146830844412E-2</v>
      </c>
      <c r="P116" s="81">
        <f ca="1"/>
        <v>3.3717026572863296E-2</v>
      </c>
      <c r="Q116" s="75">
        <f ca="1"/>
        <v>3.3722935229424114E-2</v>
      </c>
      <c r="S116" s="60">
        <f ca="1">_xll.meDateYearFraction(US_TREASURY_TYPE1!$C$4,US_TREASURY_TYPE1!L117,US_TREASURY_TYPE1!J117)</f>
        <v>24.24931506849315</v>
      </c>
      <c r="T116" s="65">
        <f ca="1">US_TREASURY_TYPE1!N117%</f>
        <v>3.3471083999999998E-2</v>
      </c>
      <c r="U116" s="61" t="b">
        <v>1</v>
      </c>
      <c r="W116" s="60">
        <f ca="1">IF($U116,S116,"")</f>
        <v>24.24931506849315</v>
      </c>
      <c r="X116" s="65">
        <f ca="1">IF($U116,T116,"")</f>
        <v>3.3471083999999998E-2</v>
      </c>
      <c r="Y116" t="s">
        <v>298</v>
      </c>
      <c r="Z116" s="60">
        <f ca="1"/>
        <v>24.2493150684931</v>
      </c>
      <c r="AA116" s="65">
        <f ca="1"/>
        <v>3.3471083999999998E-2</v>
      </c>
      <c r="AB116" t="s">
        <v>298</v>
      </c>
    </row>
    <row r="117" spans="1:28">
      <c r="A117" t="s">
        <v>298</v>
      </c>
      <c r="N117" s="72">
        <f ca="1">N116+$N$6</f>
        <v>28</v>
      </c>
      <c r="O117" s="81">
        <f ca="1"/>
        <v>3.3695539757874829E-2</v>
      </c>
      <c r="P117" s="81">
        <f ca="1"/>
        <v>3.3746992891026228E-2</v>
      </c>
      <c r="Q117" s="75">
        <f ca="1"/>
        <v>3.3755147346488226E-2</v>
      </c>
      <c r="S117" s="60">
        <f ca="1">_xll.meDateYearFraction(US_TREASURY_TYPE1!$C$4,US_TREASURY_TYPE1!L118,US_TREASURY_TYPE1!J118)</f>
        <v>24.493150684931507</v>
      </c>
      <c r="T117" s="65">
        <f ca="1">US_TREASURY_TYPE1!N118%</f>
        <v>3.3496731000000002E-2</v>
      </c>
      <c r="U117" s="61" t="b">
        <v>1</v>
      </c>
      <c r="W117" s="60">
        <f ca="1">IF($U117,S117,"")</f>
        <v>24.493150684931507</v>
      </c>
      <c r="X117" s="65">
        <f ca="1">IF($U117,T117,"")</f>
        <v>3.3496731000000002E-2</v>
      </c>
      <c r="Y117" t="s">
        <v>298</v>
      </c>
      <c r="Z117" s="60">
        <f ca="1"/>
        <v>24.4931506849315</v>
      </c>
      <c r="AA117" s="65">
        <f ca="1"/>
        <v>3.3496731000000002E-2</v>
      </c>
      <c r="AB117" t="s">
        <v>298</v>
      </c>
    </row>
    <row r="118" spans="1:28">
      <c r="A118" t="s">
        <v>298</v>
      </c>
      <c r="N118" s="72">
        <f ca="1">N117+$N$6</f>
        <v>28.25</v>
      </c>
      <c r="O118" s="81">
        <f ca="1"/>
        <v>3.3720662676217587E-2</v>
      </c>
      <c r="P118" s="81">
        <f ca="1"/>
        <v>3.3776809393825658E-2</v>
      </c>
      <c r="Q118" s="75">
        <f ca="1"/>
        <v>3.3787445393663948E-2</v>
      </c>
      <c r="S118" s="60">
        <f ca="1">_xll.meDateYearFraction(US_TREASURY_TYPE1!$C$4,US_TREASURY_TYPE1!L119,US_TREASURY_TYPE1!J119)</f>
        <v>24.745205479452054</v>
      </c>
      <c r="T118" s="65">
        <f ca="1">US_TREASURY_TYPE1!N119%</f>
        <v>3.3465932999999996E-2</v>
      </c>
      <c r="U118" s="61" t="b">
        <v>1</v>
      </c>
      <c r="W118" s="60">
        <f ca="1">IF($U118,S118,"")</f>
        <v>24.745205479452054</v>
      </c>
      <c r="X118" s="65">
        <f ca="1">IF($U118,T118,"")</f>
        <v>3.3465932999999996E-2</v>
      </c>
      <c r="Y118" t="s">
        <v>298</v>
      </c>
      <c r="Z118" s="60">
        <f ca="1"/>
        <v>24.7452054794521</v>
      </c>
      <c r="AA118" s="65">
        <f ca="1"/>
        <v>3.3465933000000003E-2</v>
      </c>
      <c r="AB118" t="s">
        <v>298</v>
      </c>
    </row>
    <row r="119" spans="1:28">
      <c r="A119" t="s">
        <v>298</v>
      </c>
      <c r="N119" s="72">
        <f ca="1">N118+$N$6</f>
        <v>28.5</v>
      </c>
      <c r="O119" s="81">
        <f ca="1"/>
        <v>3.3745519117877286E-2</v>
      </c>
      <c r="P119" s="81">
        <f ca="1"/>
        <v>3.3806479040127568E-2</v>
      </c>
      <c r="Q119" s="75">
        <f ca="1"/>
        <v>3.3819841667115963E-2</v>
      </c>
      <c r="S119" s="60">
        <f ca="1">_xll.meDateYearFraction(US_TREASURY_TYPE1!$C$4,US_TREASURY_TYPE1!L120,US_TREASURY_TYPE1!J120)</f>
        <v>24.997260273972604</v>
      </c>
      <c r="T119" s="65">
        <f ca="1">US_TREASURY_TYPE1!N120%</f>
        <v>3.3447664000000002E-2</v>
      </c>
      <c r="U119" s="61" t="b">
        <v>1</v>
      </c>
      <c r="W119" s="60">
        <f ca="1">IF($U119,S119,"")</f>
        <v>24.997260273972604</v>
      </c>
      <c r="X119" s="65">
        <f ca="1">IF($U119,T119,"")</f>
        <v>3.3447664000000002E-2</v>
      </c>
      <c r="Y119" t="s">
        <v>298</v>
      </c>
      <c r="Z119" s="60">
        <f ca="1"/>
        <v>24.9972602739726</v>
      </c>
      <c r="AA119" s="65">
        <f ca="1"/>
        <v>3.3447664000000002E-2</v>
      </c>
      <c r="AB119" t="s">
        <v>298</v>
      </c>
    </row>
    <row r="120" spans="1:28">
      <c r="A120" t="s">
        <v>298</v>
      </c>
      <c r="N120" s="72">
        <f ca="1">N119+$N$6</f>
        <v>28.75</v>
      </c>
      <c r="O120" s="81">
        <f ca="1"/>
        <v>3.377011256318297E-2</v>
      </c>
      <c r="P120" s="81">
        <f ca="1"/>
        <v>3.3836004707111927E-2</v>
      </c>
      <c r="Q120" s="75">
        <f ca="1"/>
        <v>3.385234846300899E-2</v>
      </c>
      <c r="S120" s="60">
        <f ca="1">_xll.meDateYearFraction(US_TREASURY_TYPE1!$C$4,US_TREASURY_TYPE1!L121,US_TREASURY_TYPE1!J121)</f>
        <v>25.248970731342165</v>
      </c>
      <c r="T120" s="65">
        <f ca="1">US_TREASURY_TYPE1!N121%</f>
        <v>3.3455685999999998E-2</v>
      </c>
      <c r="U120" s="61" t="b">
        <v>1</v>
      </c>
      <c r="W120" s="60">
        <f ca="1">IF($U120,S120,"")</f>
        <v>25.248970731342165</v>
      </c>
      <c r="X120" s="65">
        <f ca="1">IF($U120,T120,"")</f>
        <v>3.3455685999999998E-2</v>
      </c>
      <c r="Y120" t="s">
        <v>298</v>
      </c>
      <c r="Z120" s="60">
        <f ca="1"/>
        <v>25.248970731342201</v>
      </c>
      <c r="AA120" s="65">
        <f ca="1"/>
        <v>3.3455685999999998E-2</v>
      </c>
      <c r="AB120" t="s">
        <v>298</v>
      </c>
    </row>
    <row r="121" spans="1:28">
      <c r="A121" t="s">
        <v>298</v>
      </c>
      <c r="N121" s="72">
        <f ca="1">N120+$N$6</f>
        <v>29</v>
      </c>
      <c r="O121" s="81">
        <f ca="1"/>
        <v>3.3794446441597674E-2</v>
      </c>
      <c r="P121" s="81">
        <f ca="1"/>
        <v>3.3865389192237361E-2</v>
      </c>
      <c r="Q121" s="75">
        <f ca="1"/>
        <v>3.3884978077507719E-2</v>
      </c>
      <c r="S121" s="60">
        <f ca="1">_xll.meDateYearFraction(US_TREASURY_TYPE1!$C$4,US_TREASURY_TYPE1!L122,US_TREASURY_TYPE1!J122)</f>
        <v>25.49487237068643</v>
      </c>
      <c r="T121" s="65">
        <f ca="1">US_TREASURY_TYPE1!N122%</f>
        <v>3.3456922E-2</v>
      </c>
      <c r="U121" s="61" t="b">
        <v>1</v>
      </c>
      <c r="W121" s="60">
        <f ca="1">IF($U121,S121,"")</f>
        <v>25.49487237068643</v>
      </c>
      <c r="X121" s="65">
        <f ca="1">IF($U121,T121,"")</f>
        <v>3.3456922E-2</v>
      </c>
      <c r="Y121" t="s">
        <v>298</v>
      </c>
      <c r="Z121" s="60">
        <f ca="1"/>
        <v>25.494872370686402</v>
      </c>
      <c r="AA121" s="65">
        <f ca="1"/>
        <v>3.3456922E-2</v>
      </c>
      <c r="AB121" t="s">
        <v>298</v>
      </c>
    </row>
    <row r="122" spans="1:28">
      <c r="A122" t="s">
        <v>298</v>
      </c>
      <c r="N122" s="72">
        <f ca="1">N121+$N$6</f>
        <v>29.25</v>
      </c>
      <c r="O122" s="81">
        <f ca="1"/>
        <v>3.3818524132514752E-2</v>
      </c>
      <c r="P122" s="81">
        <f ca="1"/>
        <v>3.3894635215163865E-2</v>
      </c>
      <c r="Q122" s="75">
        <f ca="1"/>
        <v>3.3917742806776854E-2</v>
      </c>
      <c r="S122" s="60">
        <f ca="1">_xll.meDateYearFraction(US_TREASURY_TYPE1!$C$4,US_TREASURY_TYPE1!L123,US_TREASURY_TYPE1!J123)</f>
        <v>25.746238490905007</v>
      </c>
      <c r="T122" s="65">
        <f ca="1">US_TREASURY_TYPE1!N123%</f>
        <v>3.3478328000000002E-2</v>
      </c>
      <c r="U122" s="61" t="b">
        <v>1</v>
      </c>
      <c r="W122" s="60">
        <f ca="1">IF($U122,S122,"")</f>
        <v>25.746238490905007</v>
      </c>
      <c r="X122" s="65">
        <f ca="1">IF($U122,T122,"")</f>
        <v>3.3478328000000002E-2</v>
      </c>
      <c r="Y122" t="s">
        <v>298</v>
      </c>
      <c r="Z122" s="60">
        <f ca="1"/>
        <v>25.746238490905</v>
      </c>
      <c r="AA122" s="65">
        <f ca="1"/>
        <v>3.3478328000000002E-2</v>
      </c>
      <c r="AB122" t="s">
        <v>298</v>
      </c>
    </row>
    <row r="123" spans="1:28">
      <c r="A123" t="s">
        <v>298</v>
      </c>
      <c r="N123" s="72">
        <f ca="1">N122+$N$6</f>
        <v>29.5</v>
      </c>
      <c r="O123" s="81">
        <f ca="1"/>
        <v>3.3842348966041186E-2</v>
      </c>
      <c r="P123" s="81">
        <f ca="1"/>
        <v>3.392374541963411E-2</v>
      </c>
      <c r="Q123" s="75">
        <f ca="1"/>
        <v>3.3950654946981101E-2</v>
      </c>
      <c r="S123" s="60">
        <f ca="1">_xll.meDateYearFraction(US_TREASURY_TYPE1!$C$4,US_TREASURY_TYPE1!L124,US_TREASURY_TYPE1!J124)</f>
        <v>25.997604611123588</v>
      </c>
      <c r="T123" s="65">
        <f ca="1">US_TREASURY_TYPE1!N124%</f>
        <v>3.3483478999999997E-2</v>
      </c>
      <c r="U123" s="61" t="b">
        <v>1</v>
      </c>
      <c r="W123" s="60">
        <f ca="1">IF($U123,S123,"")</f>
        <v>25.997604611123588</v>
      </c>
      <c r="X123" s="65">
        <f ca="1">IF($U123,T123,"")</f>
        <v>3.3483478999999997E-2</v>
      </c>
      <c r="Y123" t="s">
        <v>298</v>
      </c>
      <c r="Z123" s="60">
        <f ca="1"/>
        <v>25.997604611123599</v>
      </c>
      <c r="AA123" s="65">
        <f ca="1"/>
        <v>3.3483478999999997E-2</v>
      </c>
      <c r="AB123" t="s">
        <v>298</v>
      </c>
    </row>
    <row r="124" spans="1:28">
      <c r="A124" t="s">
        <v>298</v>
      </c>
      <c r="N124" s="72">
        <f ca="1">N123+$N$6</f>
        <v>29.75</v>
      </c>
      <c r="O124" s="81">
        <f ca="1"/>
        <v>3.3865924223767954E-2</v>
      </c>
      <c r="P124" s="81">
        <f ca="1"/>
        <v>3.3952722375314548E-2</v>
      </c>
      <c r="Q124" s="75">
        <f ca="1"/>
        <v>3.3983726794285164E-2</v>
      </c>
      <c r="S124" s="60">
        <f ca="1">_xll.meDateYearFraction(US_TREASURY_TYPE1!$C$4,US_TREASURY_TYPE1!L125,US_TREASURY_TYPE1!J125)</f>
        <v>26.24931506849315</v>
      </c>
      <c r="T124" s="65">
        <f ca="1">US_TREASURY_TYPE1!N125%</f>
        <v>3.3558955000000001E-2</v>
      </c>
      <c r="U124" s="61" t="b">
        <v>1</v>
      </c>
      <c r="W124" s="60">
        <f ca="1">IF($U124,S124,"")</f>
        <v>26.24931506849315</v>
      </c>
      <c r="X124" s="65">
        <f ca="1">IF($U124,T124,"")</f>
        <v>3.3558955000000001E-2</v>
      </c>
      <c r="Y124" t="s">
        <v>298</v>
      </c>
      <c r="Z124" s="60">
        <f ca="1"/>
        <v>26.2493150684931</v>
      </c>
      <c r="AA124" s="65">
        <f ca="1"/>
        <v>3.3558955000000001E-2</v>
      </c>
      <c r="AB124" t="s">
        <v>298</v>
      </c>
    </row>
    <row r="125" spans="1:28">
      <c r="A125" t="s">
        <v>298</v>
      </c>
      <c r="N125" s="73">
        <f ca="1">N124+$N$6</f>
        <v>30</v>
      </c>
      <c r="O125" s="83">
        <f ca="1"/>
        <v>3.3889253139527911E-2</v>
      </c>
      <c r="P125" s="83">
        <f ca="1"/>
        <v>3.3981568579596777E-2</v>
      </c>
      <c r="Q125" s="76">
        <f ca="1"/>
        <v>3.4016970644853733E-2</v>
      </c>
      <c r="S125" s="60">
        <f ca="1">_xll.meDateYearFraction(US_TREASURY_TYPE1!$C$4,US_TREASURY_TYPE1!L126,US_TREASURY_TYPE1!J126)</f>
        <v>26.493150684931507</v>
      </c>
      <c r="T125" s="65">
        <f ca="1">US_TREASURY_TYPE1!N126%</f>
        <v>3.3496290000000005E-2</v>
      </c>
      <c r="U125" s="61" t="b">
        <v>1</v>
      </c>
      <c r="W125" s="60">
        <f ca="1">IF($U125,S125,"")</f>
        <v>26.493150684931507</v>
      </c>
      <c r="X125" s="65">
        <f ca="1">IF($U125,T125,"")</f>
        <v>3.3496290000000005E-2</v>
      </c>
      <c r="Y125" t="s">
        <v>298</v>
      </c>
      <c r="Z125" s="60">
        <f ca="1"/>
        <v>26.4931506849315</v>
      </c>
      <c r="AA125" s="65">
        <f ca="1"/>
        <v>3.3496289999999998E-2</v>
      </c>
      <c r="AB125" t="s">
        <v>298</v>
      </c>
    </row>
    <row r="126" spans="1:28">
      <c r="A126" t="s">
        <v>298</v>
      </c>
      <c r="N126" t="s">
        <v>298</v>
      </c>
      <c r="O126" t="s">
        <v>298</v>
      </c>
      <c r="P126" t="s">
        <v>298</v>
      </c>
      <c r="Q126" t="s">
        <v>298</v>
      </c>
      <c r="S126" s="60">
        <f ca="1">_xll.meDateYearFraction(US_TREASURY_TYPE1!$C$4,US_TREASURY_TYPE1!L127,US_TREASURY_TYPE1!J127)</f>
        <v>26.745205479452054</v>
      </c>
      <c r="T126" s="65">
        <f ca="1">US_TREASURY_TYPE1!N127%</f>
        <v>3.3542506E-2</v>
      </c>
      <c r="U126" s="61" t="b">
        <v>1</v>
      </c>
      <c r="W126" s="60">
        <f ca="1">IF($U126,S126,"")</f>
        <v>26.745205479452054</v>
      </c>
      <c r="X126" s="65">
        <f ca="1">IF($U126,T126,"")</f>
        <v>3.3542506E-2</v>
      </c>
      <c r="Y126" t="s">
        <v>298</v>
      </c>
      <c r="Z126" s="60">
        <f ca="1"/>
        <v>26.7452054794521</v>
      </c>
      <c r="AA126" s="65">
        <f ca="1"/>
        <v>3.3542506E-2</v>
      </c>
      <c r="AB126" t="s">
        <v>298</v>
      </c>
    </row>
    <row r="127" spans="1:28">
      <c r="A127" t="s">
        <v>298</v>
      </c>
      <c r="S127" s="60">
        <f ca="1">_xll.meDateYearFraction(US_TREASURY_TYPE1!$C$4,US_TREASURY_TYPE1!L128,US_TREASURY_TYPE1!J128)</f>
        <v>26.997260273972604</v>
      </c>
      <c r="T127" s="65">
        <f ca="1">US_TREASURY_TYPE1!N128%</f>
        <v>3.3509525999999998E-2</v>
      </c>
      <c r="U127" s="61" t="b">
        <v>1</v>
      </c>
      <c r="W127" s="60">
        <f ca="1">IF($U127,S127,"")</f>
        <v>26.997260273972604</v>
      </c>
      <c r="X127" s="65">
        <f ca="1">IF($U127,T127,"")</f>
        <v>3.3509525999999998E-2</v>
      </c>
      <c r="Y127" t="s">
        <v>298</v>
      </c>
      <c r="Z127" s="60">
        <f ca="1"/>
        <v>26.9972602739726</v>
      </c>
      <c r="AA127" s="65">
        <f ca="1"/>
        <v>3.3509525999999998E-2</v>
      </c>
      <c r="AB127" t="s">
        <v>298</v>
      </c>
    </row>
    <row r="128" spans="1:28">
      <c r="A128" t="s">
        <v>298</v>
      </c>
      <c r="S128" s="60">
        <f ca="1">_xll.meDateYearFraction(US_TREASURY_TYPE1!$C$4,US_TREASURY_TYPE1!L129,US_TREASURY_TYPE1!J129)</f>
        <v>27.24931506849315</v>
      </c>
      <c r="T128" s="65">
        <f ca="1">US_TREASURY_TYPE1!N129%</f>
        <v>3.3585286999999998E-2</v>
      </c>
      <c r="U128" s="61" t="b">
        <v>1</v>
      </c>
      <c r="W128" s="60">
        <f ca="1">IF($U128,S128,"")</f>
        <v>27.24931506849315</v>
      </c>
      <c r="X128" s="65">
        <f ca="1">IF($U128,T128,"")</f>
        <v>3.3585286999999998E-2</v>
      </c>
      <c r="Y128" t="s">
        <v>298</v>
      </c>
      <c r="Z128" s="60">
        <f ca="1"/>
        <v>27.2493150684931</v>
      </c>
      <c r="AA128" s="65">
        <f ca="1"/>
        <v>3.3585286999999998E-2</v>
      </c>
      <c r="AB128" t="s">
        <v>298</v>
      </c>
    </row>
    <row r="129" spans="1:36">
      <c r="A129" t="s">
        <v>298</v>
      </c>
      <c r="S129" s="60">
        <f ca="1">_xll.meDateYearFraction(US_TREASURY_TYPE1!$C$4,US_TREASURY_TYPE1!L130,US_TREASURY_TYPE1!J130)</f>
        <v>27.493150684931507</v>
      </c>
      <c r="T129" s="65">
        <f ca="1">US_TREASURY_TYPE1!N130%</f>
        <v>3.3591996999999998E-2</v>
      </c>
      <c r="U129" s="61" t="b">
        <v>1</v>
      </c>
      <c r="W129" s="60">
        <f ca="1">IF($U129,S129,"")</f>
        <v>27.493150684931507</v>
      </c>
      <c r="X129" s="65">
        <f ca="1">IF($U129,T129,"")</f>
        <v>3.3591996999999998E-2</v>
      </c>
      <c r="Y129" t="s">
        <v>298</v>
      </c>
      <c r="Z129" s="60">
        <f ca="1"/>
        <v>27.4931506849315</v>
      </c>
      <c r="AA129" s="65">
        <f ca="1"/>
        <v>3.3591996999999998E-2</v>
      </c>
      <c r="AB129" t="s">
        <v>298</v>
      </c>
    </row>
    <row r="130" spans="1:36">
      <c r="A130" t="s">
        <v>298</v>
      </c>
      <c r="S130" s="60">
        <f ca="1">_xll.meDateYearFraction(US_TREASURY_TYPE1!$C$4,US_TREASURY_TYPE1!L131,US_TREASURY_TYPE1!J131)</f>
        <v>27.745205479452054</v>
      </c>
      <c r="T130" s="65">
        <f ca="1">US_TREASURY_TYPE1!N131%</f>
        <v>3.3603111999999997E-2</v>
      </c>
      <c r="U130" s="61" t="b">
        <v>1</v>
      </c>
      <c r="W130" s="60">
        <f ca="1">IF($U130,S130,"")</f>
        <v>27.745205479452054</v>
      </c>
      <c r="X130" s="65">
        <f ca="1">IF($U130,T130,"")</f>
        <v>3.3603111999999997E-2</v>
      </c>
      <c r="Y130" t="s">
        <v>298</v>
      </c>
      <c r="Z130" s="60">
        <f ca="1"/>
        <v>27.7452054794521</v>
      </c>
      <c r="AA130" s="65">
        <f ca="1"/>
        <v>3.3603111999999997E-2</v>
      </c>
      <c r="AB130" t="s">
        <v>298</v>
      </c>
    </row>
    <row r="131" spans="1:36">
      <c r="A131" t="s">
        <v>298</v>
      </c>
      <c r="S131" s="62">
        <f ca="1">_xll.meDateYearFraction(US_TREASURY_TYPE1!$C$4,US_TREASURY_TYPE1!L132,US_TREASURY_TYPE1!J132)</f>
        <v>27.997260273972604</v>
      </c>
      <c r="T131" s="66">
        <f ca="1">US_TREASURY_TYPE1!N132%</f>
        <v>3.3541493999999998E-2</v>
      </c>
      <c r="U131" s="63" t="b">
        <v>1</v>
      </c>
      <c r="W131" s="62">
        <f ca="1">IF($U131,S131,"")</f>
        <v>27.997260273972604</v>
      </c>
      <c r="X131" s="66">
        <f ca="1">IF($U131,T131,"")</f>
        <v>3.3541493999999998E-2</v>
      </c>
      <c r="Y131" t="s">
        <v>298</v>
      </c>
      <c r="Z131" s="62">
        <f ca="1"/>
        <v>27.9972602739726</v>
      </c>
      <c r="AA131" s="66">
        <f ca="1"/>
        <v>3.3541493999999998E-2</v>
      </c>
      <c r="AB131" t="s">
        <v>298</v>
      </c>
    </row>
    <row r="132" spans="1:36">
      <c r="A132" t="s">
        <v>298</v>
      </c>
      <c r="N132" t="s">
        <v>298</v>
      </c>
      <c r="Q132" t="s">
        <v>298</v>
      </c>
      <c r="S132" t="s">
        <v>298</v>
      </c>
      <c r="T132" t="s">
        <v>298</v>
      </c>
      <c r="U132" t="s">
        <v>298</v>
      </c>
      <c r="W132" t="s">
        <v>298</v>
      </c>
      <c r="X132" t="s">
        <v>298</v>
      </c>
      <c r="Y132" t="s">
        <v>298</v>
      </c>
      <c r="Z132" t="s">
        <v>298</v>
      </c>
      <c r="AA132" t="s">
        <v>298</v>
      </c>
      <c r="AB132" t="s">
        <v>298</v>
      </c>
      <c r="AI132" t="s">
        <v>298</v>
      </c>
      <c r="AJ132" t="s">
        <v>298</v>
      </c>
    </row>
  </sheetData>
  <autoFilter ref="S5:U132"/>
  <dataValidations count="2">
    <dataValidation type="list" allowBlank="1" showInputMessage="1" showErrorMessage="1" sqref="U6:U131">
      <formula1>"TRUE,FALSE"</formula1>
    </dataValidation>
    <dataValidation type="list" allowBlank="1" showInputMessage="1" showErrorMessage="1" sqref="Q3">
      <formula1>"1,2,3,4,5,6,7,8,9,10"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US_TREASURY_TYPE1</vt:lpstr>
      <vt:lpstr>CURVE_FITTING</vt:lpstr>
      <vt:lpstr>CurveFitting.NelsonSiegelResults</vt:lpstr>
      <vt:lpstr>CurveFitting.SvenssonResults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2018-02-01T10:34:55Z</dcterms:created>
  <dcterms:modified xsi:type="dcterms:W3CDTF">2018-11-15T14:19:09Z</dcterms:modified>
</cp:coreProperties>
</file>