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4115" activeTab="1"/>
  </bookViews>
  <sheets>
    <sheet name="BOND GENERATOR" sheetId="4" r:id="rId1"/>
    <sheet name="US TREASURY_TYPE1" sheetId="1" r:id="rId2"/>
    <sheet name="GERMAN_BUND_TYPE60" sheetId="5" r:id="rId3"/>
    <sheet name="JAPAN_JGB_TYPE51" sheetId="6" r:id="rId4"/>
    <sheet name="FRENCH_OAT_TYPE89" sheetId="7" r:id="rId5"/>
    <sheet name="ITALIAN_BTPS_TYPE523" sheetId="8" r:id="rId6"/>
  </sheets>
  <calcPr calcId="145621" calcMode="manual" calcCompleted="0" calcOnSave="0"/>
</workbook>
</file>

<file path=xl/calcChain.xml><?xml version="1.0" encoding="utf-8"?>
<calcChain xmlns="http://schemas.openxmlformats.org/spreadsheetml/2006/main">
  <c r="C23" i="1" l="1"/>
  <c r="C23" i="8" l="1"/>
  <c r="C23" i="7"/>
  <c r="C23" i="6"/>
  <c r="C3" i="8"/>
  <c r="C28" i="8" s="1"/>
  <c r="C27" i="8"/>
  <c r="C3" i="7"/>
  <c r="C27" i="7" s="1"/>
  <c r="E4" i="8" a="1"/>
  <c r="B6" i="4" a="1"/>
  <c r="C25" i="8"/>
  <c r="C25" i="7"/>
  <c r="C26" i="7"/>
  <c r="C26" i="8"/>
  <c r="C29" i="7"/>
  <c r="E4" i="7" a="1"/>
  <c r="C3" i="6"/>
  <c r="C28" i="7"/>
  <c r="D6" i="4" a="1"/>
  <c r="C29" i="8"/>
  <c r="C26" i="6"/>
  <c r="C29" i="6"/>
  <c r="C25" i="6"/>
  <c r="C27" i="6"/>
  <c r="C28" i="6"/>
  <c r="B6" i="4" l="1"/>
  <c r="B14" i="4"/>
  <c r="B22" i="4"/>
  <c r="B30" i="4"/>
  <c r="B16" i="4"/>
  <c r="B9" i="4"/>
  <c r="B25" i="4"/>
  <c r="B10" i="4"/>
  <c r="B26" i="4"/>
  <c r="B19" i="4"/>
  <c r="B20" i="4"/>
  <c r="B28" i="4"/>
  <c r="B13" i="4"/>
  <c r="B29" i="4"/>
  <c r="B7" i="4"/>
  <c r="B15" i="4"/>
  <c r="B23" i="4"/>
  <c r="B31" i="4"/>
  <c r="B8" i="4"/>
  <c r="B24" i="4"/>
  <c r="B17" i="4"/>
  <c r="B18" i="4"/>
  <c r="B11" i="4"/>
  <c r="B27" i="4"/>
  <c r="B12" i="4"/>
  <c r="B21" i="4"/>
  <c r="P29" i="8"/>
  <c r="H29" i="8"/>
  <c r="M28" i="8"/>
  <c r="E28" i="8"/>
  <c r="J27" i="8"/>
  <c r="O26" i="8"/>
  <c r="G26" i="8"/>
  <c r="L25" i="8"/>
  <c r="Q24" i="8"/>
  <c r="I24" i="8"/>
  <c r="N23" i="8"/>
  <c r="F23" i="8"/>
  <c r="K22" i="8"/>
  <c r="P21" i="8"/>
  <c r="H21" i="8"/>
  <c r="M20" i="8"/>
  <c r="E20" i="8"/>
  <c r="J19" i="8"/>
  <c r="O18" i="8"/>
  <c r="G18" i="8"/>
  <c r="L17" i="8"/>
  <c r="Q16" i="8"/>
  <c r="I16" i="8"/>
  <c r="N15" i="8"/>
  <c r="N29" i="8"/>
  <c r="F29" i="8"/>
  <c r="K28" i="8"/>
  <c r="P27" i="8"/>
  <c r="H27" i="8"/>
  <c r="M26" i="8"/>
  <c r="E26" i="8"/>
  <c r="J25" i="8"/>
  <c r="O24" i="8"/>
  <c r="G24" i="8"/>
  <c r="L23" i="8"/>
  <c r="Q22" i="8"/>
  <c r="L29" i="8"/>
  <c r="Q28" i="8"/>
  <c r="I28" i="8"/>
  <c r="N27" i="8"/>
  <c r="F27" i="8"/>
  <c r="K26" i="8"/>
  <c r="P25" i="8"/>
  <c r="H25" i="8"/>
  <c r="M24" i="8"/>
  <c r="E24" i="8"/>
  <c r="J23" i="8"/>
  <c r="O22" i="8"/>
  <c r="G22" i="8"/>
  <c r="L21" i="8"/>
  <c r="Q20" i="8"/>
  <c r="I20" i="8"/>
  <c r="K29" i="8"/>
  <c r="P28" i="8"/>
  <c r="H28" i="8"/>
  <c r="M27" i="8"/>
  <c r="E27" i="8"/>
  <c r="J26" i="8"/>
  <c r="O25" i="8"/>
  <c r="G25" i="8"/>
  <c r="L24" i="8"/>
  <c r="Q23" i="8"/>
  <c r="I23" i="8"/>
  <c r="N22" i="8"/>
  <c r="F22" i="8"/>
  <c r="K21" i="8"/>
  <c r="P20" i="8"/>
  <c r="H20" i="8"/>
  <c r="M19" i="8"/>
  <c r="E19" i="8"/>
  <c r="J18" i="8"/>
  <c r="O17" i="8"/>
  <c r="G17" i="8"/>
  <c r="L16" i="8"/>
  <c r="Q15" i="8"/>
  <c r="I15" i="8"/>
  <c r="N14" i="8"/>
  <c r="F14" i="8"/>
  <c r="K13" i="8"/>
  <c r="P12" i="8"/>
  <c r="H12" i="8"/>
  <c r="M11" i="8"/>
  <c r="E11" i="8"/>
  <c r="J10" i="8"/>
  <c r="O9" i="8"/>
  <c r="G9" i="8"/>
  <c r="L8" i="8"/>
  <c r="Q7" i="8"/>
  <c r="I7" i="8"/>
  <c r="N6" i="8"/>
  <c r="F6" i="8"/>
  <c r="K5" i="8"/>
  <c r="P4" i="8"/>
  <c r="H4" i="8"/>
  <c r="O28" i="8"/>
  <c r="L27" i="8"/>
  <c r="I26" i="8"/>
  <c r="F25" i="8"/>
  <c r="P23" i="8"/>
  <c r="M22" i="8"/>
  <c r="N21" i="8"/>
  <c r="N20" i="8"/>
  <c r="O19" i="8"/>
  <c r="Q18" i="8"/>
  <c r="F18" i="8"/>
  <c r="I17" i="8"/>
  <c r="K16" i="8"/>
  <c r="M15" i="8"/>
  <c r="Q14" i="8"/>
  <c r="H14" i="8"/>
  <c r="L13" i="8"/>
  <c r="O12" i="8"/>
  <c r="F12" i="8"/>
  <c r="J11" i="8"/>
  <c r="N10" i="8"/>
  <c r="E10" i="8"/>
  <c r="I9" i="8"/>
  <c r="M8" i="8"/>
  <c r="P7" i="8"/>
  <c r="G7" i="8"/>
  <c r="K6" i="8"/>
  <c r="O5" i="8"/>
  <c r="F5" i="8"/>
  <c r="J4" i="8"/>
  <c r="Q29" i="8"/>
  <c r="N28" i="8"/>
  <c r="K27" i="8"/>
  <c r="H26" i="8"/>
  <c r="O29" i="8"/>
  <c r="L28" i="8"/>
  <c r="I27" i="8"/>
  <c r="F26" i="8"/>
  <c r="P24" i="8"/>
  <c r="M23" i="8"/>
  <c r="J22" i="8"/>
  <c r="J21" i="8"/>
  <c r="K20" i="8"/>
  <c r="L19" i="8"/>
  <c r="N18" i="8"/>
  <c r="Q17" i="8"/>
  <c r="F17" i="8"/>
  <c r="H16" i="8"/>
  <c r="K15" i="8"/>
  <c r="O14" i="8"/>
  <c r="E14" i="8"/>
  <c r="I13" i="8"/>
  <c r="M12" i="8"/>
  <c r="Q11" i="8"/>
  <c r="H11" i="8"/>
  <c r="L10" i="8"/>
  <c r="P9" i="8"/>
  <c r="F9" i="8"/>
  <c r="J8" i="8"/>
  <c r="N7" i="8"/>
  <c r="E7" i="8"/>
  <c r="I6" i="8"/>
  <c r="M5" i="8"/>
  <c r="Q4" i="8"/>
  <c r="G4" i="8"/>
  <c r="G29" i="8"/>
  <c r="Q27" i="8"/>
  <c r="N26" i="8"/>
  <c r="K25" i="8"/>
  <c r="H24" i="8"/>
  <c r="E23" i="8"/>
  <c r="Q21" i="8"/>
  <c r="E21" i="8"/>
  <c r="Q19" i="8"/>
  <c r="G19" i="8"/>
  <c r="I18" i="8"/>
  <c r="K17" i="8"/>
  <c r="N16" i="8"/>
  <c r="P15" i="8"/>
  <c r="F15" i="8"/>
  <c r="J14" i="8"/>
  <c r="N13" i="8"/>
  <c r="E13" i="8"/>
  <c r="I12" i="8"/>
  <c r="L11" i="8"/>
  <c r="P10" i="8"/>
  <c r="G10" i="8"/>
  <c r="K9" i="8"/>
  <c r="O8" i="8"/>
  <c r="F8" i="8"/>
  <c r="J7" i="8"/>
  <c r="M6" i="8"/>
  <c r="Q5" i="8"/>
  <c r="H5" i="8"/>
  <c r="L4" i="8"/>
  <c r="O27" i="8"/>
  <c r="I25" i="8"/>
  <c r="H23" i="8"/>
  <c r="M21" i="8"/>
  <c r="F20" i="8"/>
  <c r="M18" i="8"/>
  <c r="J17" i="8"/>
  <c r="F16" i="8"/>
  <c r="P14" i="8"/>
  <c r="O13" i="8"/>
  <c r="L12" i="8"/>
  <c r="K11" i="8"/>
  <c r="I10" i="8"/>
  <c r="H9" i="8"/>
  <c r="G8" i="8"/>
  <c r="Q6" i="8"/>
  <c r="P5" i="8"/>
  <c r="N4" i="8"/>
  <c r="M29" i="8"/>
  <c r="G27" i="8"/>
  <c r="E25" i="8"/>
  <c r="G23" i="8"/>
  <c r="I21" i="8"/>
  <c r="P19" i="8"/>
  <c r="L18" i="8"/>
  <c r="H17" i="8"/>
  <c r="E16" i="8"/>
  <c r="M14" i="8"/>
  <c r="M13" i="8"/>
  <c r="K12" i="8"/>
  <c r="I11" i="8"/>
  <c r="H10" i="8"/>
  <c r="E9" i="8"/>
  <c r="E8" i="8"/>
  <c r="P6" i="8"/>
  <c r="N5" i="8"/>
  <c r="M4" i="8"/>
  <c r="J29" i="8"/>
  <c r="Q26" i="8"/>
  <c r="N24" i="8"/>
  <c r="P22" i="8"/>
  <c r="G21" i="8"/>
  <c r="N19" i="8"/>
  <c r="K18" i="8"/>
  <c r="E17" i="8"/>
  <c r="O15" i="8"/>
  <c r="L14" i="8"/>
  <c r="J13" i="8"/>
  <c r="J12" i="8"/>
  <c r="G11" i="8"/>
  <c r="F10" i="8"/>
  <c r="Q8" i="8"/>
  <c r="O7" i="8"/>
  <c r="O6" i="8"/>
  <c r="L5" i="8"/>
  <c r="K4" i="8"/>
  <c r="I29" i="8"/>
  <c r="P26" i="8"/>
  <c r="K24" i="8"/>
  <c r="L22" i="8"/>
  <c r="F21" i="8"/>
  <c r="K19" i="8"/>
  <c r="H18" i="8"/>
  <c r="P16" i="8"/>
  <c r="L15" i="8"/>
  <c r="K14" i="8"/>
  <c r="H13" i="8"/>
  <c r="G12" i="8"/>
  <c r="F11" i="8"/>
  <c r="Q9" i="8"/>
  <c r="P8" i="8"/>
  <c r="M7" i="8"/>
  <c r="L6" i="8"/>
  <c r="J5" i="8"/>
  <c r="I4" i="8"/>
  <c r="G28" i="8"/>
  <c r="N25" i="8"/>
  <c r="O23" i="8"/>
  <c r="E22" i="8"/>
  <c r="J20" i="8"/>
  <c r="F19" i="8"/>
  <c r="N17" i="8"/>
  <c r="J16" i="8"/>
  <c r="G15" i="8"/>
  <c r="Q13" i="8"/>
  <c r="Q12" i="8"/>
  <c r="O11" i="8"/>
  <c r="M10" i="8"/>
  <c r="L9" i="8"/>
  <c r="I8" i="8"/>
  <c r="H7" i="8"/>
  <c r="G6" i="8"/>
  <c r="E5" i="8"/>
  <c r="F24" i="8"/>
  <c r="I19" i="8"/>
  <c r="G16" i="8"/>
  <c r="F13" i="8"/>
  <c r="N9" i="8"/>
  <c r="F7" i="8"/>
  <c r="E4" i="8"/>
  <c r="E29" i="8"/>
  <c r="K23" i="8"/>
  <c r="H19" i="8"/>
  <c r="J15" i="8"/>
  <c r="N12" i="8"/>
  <c r="M9" i="8"/>
  <c r="J6" i="8"/>
  <c r="I5" i="8"/>
  <c r="M17" i="8"/>
  <c r="J28" i="8"/>
  <c r="I22" i="8"/>
  <c r="P18" i="8"/>
  <c r="H15" i="8"/>
  <c r="E12" i="8"/>
  <c r="J9" i="8"/>
  <c r="H6" i="8"/>
  <c r="F28" i="8"/>
  <c r="H22" i="8"/>
  <c r="E18" i="8"/>
  <c r="E15" i="8"/>
  <c r="P11" i="8"/>
  <c r="N8" i="8"/>
  <c r="E6" i="8"/>
  <c r="L26" i="8"/>
  <c r="O21" i="8"/>
  <c r="P17" i="8"/>
  <c r="I14" i="8"/>
  <c r="N11" i="8"/>
  <c r="K8" i="8"/>
  <c r="O20" i="8"/>
  <c r="Q10" i="8"/>
  <c r="G5" i="8"/>
  <c r="M25" i="8"/>
  <c r="L20" i="8"/>
  <c r="O16" i="8"/>
  <c r="P13" i="8"/>
  <c r="O10" i="8"/>
  <c r="L7" i="8"/>
  <c r="O4" i="8"/>
  <c r="J24" i="8"/>
  <c r="G20" i="8"/>
  <c r="M16" i="8"/>
  <c r="G13" i="8"/>
  <c r="K10" i="8"/>
  <c r="K7" i="8"/>
  <c r="F4" i="8"/>
  <c r="Q25" i="8"/>
  <c r="G14" i="8"/>
  <c r="H8" i="8"/>
  <c r="M29" i="7"/>
  <c r="E29" i="7"/>
  <c r="J28" i="7"/>
  <c r="O27" i="7"/>
  <c r="G27" i="7"/>
  <c r="L26" i="7"/>
  <c r="Q25" i="7"/>
  <c r="I25" i="7"/>
  <c r="N24" i="7"/>
  <c r="F24" i="7"/>
  <c r="K23" i="7"/>
  <c r="P22" i="7"/>
  <c r="H22" i="7"/>
  <c r="M21" i="7"/>
  <c r="E21" i="7"/>
  <c r="J20" i="7"/>
  <c r="O19" i="7"/>
  <c r="G19" i="7"/>
  <c r="L18" i="7"/>
  <c r="Q17" i="7"/>
  <c r="I17" i="7"/>
  <c r="N16" i="7"/>
  <c r="F16" i="7"/>
  <c r="K15" i="7"/>
  <c r="P14" i="7"/>
  <c r="H14" i="7"/>
  <c r="M13" i="7"/>
  <c r="E13" i="7"/>
  <c r="J12" i="7"/>
  <c r="O11" i="7"/>
  <c r="G11" i="7"/>
  <c r="L10" i="7"/>
  <c r="Q9" i="7"/>
  <c r="I9" i="7"/>
  <c r="N8" i="7"/>
  <c r="F8" i="7"/>
  <c r="K7" i="7"/>
  <c r="P6" i="7"/>
  <c r="H6" i="7"/>
  <c r="M5" i="7"/>
  <c r="E5" i="7"/>
  <c r="J4" i="7"/>
  <c r="L29" i="7"/>
  <c r="P28" i="7"/>
  <c r="G28" i="7"/>
  <c r="K27" i="7"/>
  <c r="O26" i="7"/>
  <c r="F26" i="7"/>
  <c r="J25" i="7"/>
  <c r="M24" i="7"/>
  <c r="Q23" i="7"/>
  <c r="H23" i="7"/>
  <c r="L22" i="7"/>
  <c r="P21" i="7"/>
  <c r="G21" i="7"/>
  <c r="K20" i="7"/>
  <c r="N19" i="7"/>
  <c r="E19" i="7"/>
  <c r="I18" i="7"/>
  <c r="M17" i="7"/>
  <c r="Q16" i="7"/>
  <c r="H16" i="7"/>
  <c r="L15" i="7"/>
  <c r="O14" i="7"/>
  <c r="F14" i="7"/>
  <c r="J13" i="7"/>
  <c r="N12" i="7"/>
  <c r="E12" i="7"/>
  <c r="I11" i="7"/>
  <c r="M10" i="7"/>
  <c r="P9" i="7"/>
  <c r="G9" i="7"/>
  <c r="K8" i="7"/>
  <c r="O7" i="7"/>
  <c r="F7" i="7"/>
  <c r="J6" i="7"/>
  <c r="N5" i="7"/>
  <c r="Q4" i="7"/>
  <c r="H4" i="7"/>
  <c r="J29" i="7"/>
  <c r="N28" i="7"/>
  <c r="E28" i="7"/>
  <c r="I27" i="7"/>
  <c r="M26" i="7"/>
  <c r="P25" i="7"/>
  <c r="G25" i="7"/>
  <c r="K24" i="7"/>
  <c r="O23" i="7"/>
  <c r="F23" i="7"/>
  <c r="J22" i="7"/>
  <c r="N21" i="7"/>
  <c r="Q20" i="7"/>
  <c r="H20" i="7"/>
  <c r="L19" i="7"/>
  <c r="P18" i="7"/>
  <c r="G18" i="7"/>
  <c r="K17" i="7"/>
  <c r="O16" i="7"/>
  <c r="E16" i="7"/>
  <c r="I15" i="7"/>
  <c r="M14" i="7"/>
  <c r="Q13" i="7"/>
  <c r="H13" i="7"/>
  <c r="L12" i="7"/>
  <c r="P11" i="7"/>
  <c r="F11" i="7"/>
  <c r="J10" i="7"/>
  <c r="N9" i="7"/>
  <c r="E9" i="7"/>
  <c r="I8" i="7"/>
  <c r="M7" i="7"/>
  <c r="Q6" i="7"/>
  <c r="G6" i="7"/>
  <c r="K5" i="7"/>
  <c r="O4" i="7"/>
  <c r="F4" i="7"/>
  <c r="H29" i="7"/>
  <c r="I28" i="7"/>
  <c r="J27" i="7"/>
  <c r="J26" i="7"/>
  <c r="L25" i="7"/>
  <c r="L24" i="7"/>
  <c r="M23" i="7"/>
  <c r="N22" i="7"/>
  <c r="O21" i="7"/>
  <c r="O20" i="7"/>
  <c r="Q19" i="7"/>
  <c r="Q18" i="7"/>
  <c r="E18" i="7"/>
  <c r="F17" i="7"/>
  <c r="G16" i="7"/>
  <c r="G15" i="7"/>
  <c r="I14" i="7"/>
  <c r="I13" i="7"/>
  <c r="I12" i="7"/>
  <c r="K11" i="7"/>
  <c r="K10" i="7"/>
  <c r="L9" i="7"/>
  <c r="M8" i="7"/>
  <c r="N7" i="7"/>
  <c r="N6" i="7"/>
  <c r="P5" i="7"/>
  <c r="P4" i="7"/>
  <c r="Q29" i="7"/>
  <c r="F29" i="7"/>
  <c r="F28" i="7"/>
  <c r="F27" i="7"/>
  <c r="H26" i="7"/>
  <c r="H25" i="7"/>
  <c r="I24" i="7"/>
  <c r="J23" i="7"/>
  <c r="K22" i="7"/>
  <c r="K21" i="7"/>
  <c r="M20" i="7"/>
  <c r="M19" i="7"/>
  <c r="N18" i="7"/>
  <c r="O17" i="7"/>
  <c r="P16" i="7"/>
  <c r="P15" i="7"/>
  <c r="E15" i="7"/>
  <c r="E14" i="7"/>
  <c r="F13" i="7"/>
  <c r="G12" i="7"/>
  <c r="H11" i="7"/>
  <c r="H10" i="7"/>
  <c r="J9" i="7"/>
  <c r="J8" i="7"/>
  <c r="J7" i="7"/>
  <c r="L6" i="7"/>
  <c r="L5" i="7"/>
  <c r="M4" i="7"/>
  <c r="P29" i="7"/>
  <c r="Q28" i="7"/>
  <c r="Q27" i="7"/>
  <c r="E27" i="7"/>
  <c r="G26" i="7"/>
  <c r="F25" i="7"/>
  <c r="H24" i="7"/>
  <c r="K29" i="7"/>
  <c r="L28" i="7"/>
  <c r="M27" i="7"/>
  <c r="N26" i="7"/>
  <c r="N25" i="7"/>
  <c r="P24" i="7"/>
  <c r="P23" i="7"/>
  <c r="Q22" i="7"/>
  <c r="E22" i="7"/>
  <c r="F21" i="7"/>
  <c r="F20" i="7"/>
  <c r="H19" i="7"/>
  <c r="H18" i="7"/>
  <c r="H17" i="7"/>
  <c r="J16" i="7"/>
  <c r="J15" i="7"/>
  <c r="K14" i="7"/>
  <c r="L13" i="7"/>
  <c r="M12" i="7"/>
  <c r="M11" i="7"/>
  <c r="O10" i="7"/>
  <c r="O9" i="7"/>
  <c r="P8" i="7"/>
  <c r="Q7" i="7"/>
  <c r="E7" i="7"/>
  <c r="E6" i="7"/>
  <c r="G5" i="7"/>
  <c r="G4" i="7"/>
  <c r="M28" i="7"/>
  <c r="P26" i="7"/>
  <c r="Q24" i="7"/>
  <c r="G23" i="7"/>
  <c r="L21" i="7"/>
  <c r="G20" i="7"/>
  <c r="M18" i="7"/>
  <c r="G17" i="7"/>
  <c r="N15" i="7"/>
  <c r="G14" i="7"/>
  <c r="O12" i="7"/>
  <c r="E11" i="7"/>
  <c r="M9" i="7"/>
  <c r="G8" i="7"/>
  <c r="M6" i="7"/>
  <c r="H5" i="7"/>
  <c r="K28" i="7"/>
  <c r="K26" i="7"/>
  <c r="O24" i="7"/>
  <c r="E23" i="7"/>
  <c r="J21" i="7"/>
  <c r="E20" i="7"/>
  <c r="K18" i="7"/>
  <c r="E17" i="7"/>
  <c r="M15" i="7"/>
  <c r="P13" i="7"/>
  <c r="K12" i="7"/>
  <c r="Q10" i="7"/>
  <c r="K9" i="7"/>
  <c r="E8" i="7"/>
  <c r="K6" i="7"/>
  <c r="F5" i="7"/>
  <c r="J19" i="7"/>
  <c r="K13" i="7"/>
  <c r="Q8" i="7"/>
  <c r="Q5" i="7"/>
  <c r="I29" i="7"/>
  <c r="N23" i="7"/>
  <c r="I19" i="7"/>
  <c r="N14" i="7"/>
  <c r="G10" i="7"/>
  <c r="O5" i="7"/>
  <c r="H28" i="7"/>
  <c r="I26" i="7"/>
  <c r="J24" i="7"/>
  <c r="O22" i="7"/>
  <c r="I21" i="7"/>
  <c r="P19" i="7"/>
  <c r="J18" i="7"/>
  <c r="M16" i="7"/>
  <c r="H15" i="7"/>
  <c r="O13" i="7"/>
  <c r="H12" i="7"/>
  <c r="P10" i="7"/>
  <c r="H9" i="7"/>
  <c r="P7" i="7"/>
  <c r="I6" i="7"/>
  <c r="N4" i="7"/>
  <c r="O29" i="7"/>
  <c r="P27" i="7"/>
  <c r="E26" i="7"/>
  <c r="G24" i="7"/>
  <c r="M22" i="7"/>
  <c r="H21" i="7"/>
  <c r="K19" i="7"/>
  <c r="F18" i="7"/>
  <c r="L16" i="7"/>
  <c r="F15" i="7"/>
  <c r="N13" i="7"/>
  <c r="F12" i="7"/>
  <c r="N10" i="7"/>
  <c r="F9" i="7"/>
  <c r="L7" i="7"/>
  <c r="F6" i="7"/>
  <c r="L4" i="7"/>
  <c r="N29" i="7"/>
  <c r="N27" i="7"/>
  <c r="O25" i="7"/>
  <c r="E24" i="7"/>
  <c r="I22" i="7"/>
  <c r="P20" i="7"/>
  <c r="P17" i="7"/>
  <c r="K16" i="7"/>
  <c r="Q14" i="7"/>
  <c r="Q11" i="7"/>
  <c r="I10" i="7"/>
  <c r="I7" i="7"/>
  <c r="K4" i="7"/>
  <c r="M25" i="7"/>
  <c r="N20" i="7"/>
  <c r="I16" i="7"/>
  <c r="N11" i="7"/>
  <c r="H7" i="7"/>
  <c r="G29" i="7"/>
  <c r="H27" i="7"/>
  <c r="K25" i="7"/>
  <c r="L23" i="7"/>
  <c r="F22" i="7"/>
  <c r="L20" i="7"/>
  <c r="F19" i="7"/>
  <c r="L17" i="7"/>
  <c r="Q15" i="7"/>
  <c r="L14" i="7"/>
  <c r="Q12" i="7"/>
  <c r="L11" i="7"/>
  <c r="F10" i="7"/>
  <c r="L8" i="7"/>
  <c r="G7" i="7"/>
  <c r="J5" i="7"/>
  <c r="E4" i="7"/>
  <c r="O28" i="7"/>
  <c r="Q26" i="7"/>
  <c r="E25" i="7"/>
  <c r="I23" i="7"/>
  <c r="Q21" i="7"/>
  <c r="I20" i="7"/>
  <c r="O18" i="7"/>
  <c r="J17" i="7"/>
  <c r="O15" i="7"/>
  <c r="J14" i="7"/>
  <c r="P12" i="7"/>
  <c r="J11" i="7"/>
  <c r="E10" i="7"/>
  <c r="H8" i="7"/>
  <c r="O6" i="7"/>
  <c r="I5" i="7"/>
  <c r="L27" i="7"/>
  <c r="G22" i="7"/>
  <c r="N17" i="7"/>
  <c r="G13" i="7"/>
  <c r="O8" i="7"/>
  <c r="I4" i="7"/>
  <c r="E8" i="4"/>
  <c r="E12" i="4"/>
  <c r="E16" i="4"/>
  <c r="E20" i="4"/>
  <c r="E24" i="4"/>
  <c r="E28" i="4"/>
  <c r="D10" i="4"/>
  <c r="E14" i="4"/>
  <c r="D19" i="4"/>
  <c r="E23" i="4"/>
  <c r="D28" i="4"/>
  <c r="E6" i="4"/>
  <c r="D11" i="4"/>
  <c r="E15" i="4"/>
  <c r="D20" i="4"/>
  <c r="D25" i="4"/>
  <c r="E29" i="4"/>
  <c r="D9" i="4"/>
  <c r="E13" i="4"/>
  <c r="D18" i="4"/>
  <c r="D6" i="4"/>
  <c r="D13" i="4"/>
  <c r="D21" i="4"/>
  <c r="E26" i="4"/>
  <c r="D7" i="4"/>
  <c r="D14" i="4"/>
  <c r="E21" i="4"/>
  <c r="D27" i="4"/>
  <c r="E9" i="4"/>
  <c r="D23" i="4"/>
  <c r="E17" i="4"/>
  <c r="E7" i="4"/>
  <c r="D15" i="4"/>
  <c r="D22" i="4"/>
  <c r="E27" i="4"/>
  <c r="D8" i="4"/>
  <c r="D16" i="4"/>
  <c r="E22" i="4"/>
  <c r="D29" i="4"/>
  <c r="D17" i="4"/>
  <c r="D30" i="4"/>
  <c r="E10" i="4"/>
  <c r="E30" i="4"/>
  <c r="E11" i="4"/>
  <c r="E18" i="4"/>
  <c r="E25" i="4"/>
  <c r="D31" i="4"/>
  <c r="D12" i="4"/>
  <c r="E19" i="4"/>
  <c r="D26" i="4"/>
  <c r="E31" i="4"/>
  <c r="D24" i="4"/>
  <c r="E4" i="6" a="1"/>
  <c r="M18" i="6" l="1"/>
  <c r="J25" i="6"/>
  <c r="M28" i="6"/>
  <c r="N23" i="6"/>
  <c r="O18" i="6"/>
  <c r="P13" i="6"/>
  <c r="Q8" i="6"/>
  <c r="E4" i="6"/>
  <c r="K25" i="6"/>
  <c r="L20" i="6"/>
  <c r="M15" i="6"/>
  <c r="F10" i="6"/>
  <c r="G5" i="6"/>
  <c r="G23" i="6"/>
  <c r="P15" i="6"/>
  <c r="H9" i="6"/>
  <c r="P28" i="6"/>
  <c r="E21" i="6"/>
  <c r="F14" i="6"/>
  <c r="K7" i="6"/>
  <c r="P26" i="6"/>
  <c r="E19" i="6"/>
  <c r="I12" i="6"/>
  <c r="I28" i="6"/>
  <c r="N20" i="6"/>
  <c r="M13" i="6"/>
  <c r="G7" i="6"/>
  <c r="H25" i="6"/>
  <c r="N17" i="6"/>
  <c r="F11" i="6"/>
  <c r="K4" i="6"/>
  <c r="G22" i="6"/>
  <c r="G15" i="6"/>
  <c r="L8" i="6"/>
  <c r="N19" i="6"/>
  <c r="Q18" i="6"/>
  <c r="P18" i="6"/>
  <c r="Q17" i="6"/>
  <c r="P17" i="6"/>
  <c r="G17" i="6"/>
  <c r="F17" i="6"/>
  <c r="J16" i="6"/>
  <c r="O24" i="6"/>
  <c r="M19" i="6"/>
  <c r="J21" i="6"/>
  <c r="O7" i="6"/>
  <c r="G16" i="6"/>
  <c r="J15" i="6"/>
  <c r="M14" i="6"/>
  <c r="Q13" i="6"/>
  <c r="E13" i="6"/>
  <c r="N18" i="6"/>
  <c r="N29" i="6"/>
  <c r="E28" i="6"/>
  <c r="F23" i="6"/>
  <c r="G18" i="6"/>
  <c r="H13" i="6"/>
  <c r="I8" i="6"/>
  <c r="O29" i="6"/>
  <c r="P24" i="6"/>
  <c r="Q19" i="6"/>
  <c r="E15" i="6"/>
  <c r="K9" i="6"/>
  <c r="L4" i="6"/>
  <c r="F22" i="6"/>
  <c r="Q14" i="6"/>
  <c r="K8" i="6"/>
  <c r="O27" i="6"/>
  <c r="G20" i="6"/>
  <c r="I13" i="6"/>
  <c r="N6" i="6"/>
  <c r="O25" i="6"/>
  <c r="E18" i="6"/>
  <c r="L11" i="6"/>
  <c r="K27" i="6"/>
  <c r="P12" i="6"/>
  <c r="H6" i="6"/>
  <c r="J24" i="6"/>
  <c r="O16" i="6"/>
  <c r="I10" i="6"/>
  <c r="E29" i="6"/>
  <c r="H14" i="6"/>
  <c r="K15" i="6"/>
  <c r="N14" i="6"/>
  <c r="N13" i="6"/>
  <c r="P25" i="6"/>
  <c r="F29" i="6"/>
  <c r="G24" i="6"/>
  <c r="J27" i="6"/>
  <c r="K22" i="6"/>
  <c r="L17" i="6"/>
  <c r="M12" i="6"/>
  <c r="N7" i="6"/>
  <c r="G29" i="6"/>
  <c r="H24" i="6"/>
  <c r="I19" i="6"/>
  <c r="J14" i="6"/>
  <c r="P8" i="6"/>
  <c r="Q28" i="6"/>
  <c r="I21" i="6"/>
  <c r="G14" i="6"/>
  <c r="L7" i="6"/>
  <c r="Q26" i="6"/>
  <c r="F19" i="6"/>
  <c r="J12" i="6"/>
  <c r="Q5" i="6"/>
  <c r="N24" i="6"/>
  <c r="H17" i="6"/>
  <c r="M10" i="6"/>
  <c r="J26" i="6"/>
  <c r="L18" i="6"/>
  <c r="F12" i="6"/>
  <c r="K5" i="6"/>
  <c r="I23" i="6"/>
  <c r="E16" i="6"/>
  <c r="J9" i="6"/>
  <c r="G28" i="6"/>
  <c r="I20" i="6"/>
  <c r="K13" i="6"/>
  <c r="P6" i="6"/>
  <c r="Q12" i="6"/>
  <c r="H12" i="6"/>
  <c r="G12" i="6"/>
  <c r="K11" i="6"/>
  <c r="H11" i="6"/>
  <c r="L10" i="6"/>
  <c r="K10" i="6"/>
  <c r="O9" i="6"/>
  <c r="I11" i="6"/>
  <c r="K28" i="6"/>
  <c r="Q22" i="6"/>
  <c r="O26" i="6"/>
  <c r="P21" i="6"/>
  <c r="Q16" i="6"/>
  <c r="E12" i="6"/>
  <c r="F7" i="6"/>
  <c r="L28" i="6"/>
  <c r="M23" i="6"/>
  <c r="O13" i="6"/>
  <c r="H8" i="6"/>
  <c r="F28" i="6"/>
  <c r="H20" i="6"/>
  <c r="J13" i="6"/>
  <c r="O6" i="6"/>
  <c r="H18" i="6"/>
  <c r="M11" i="6"/>
  <c r="E5" i="6"/>
  <c r="P23" i="6"/>
  <c r="K16" i="6"/>
  <c r="P9" i="6"/>
  <c r="I25" i="6"/>
  <c r="O17" i="6"/>
  <c r="G11" i="6"/>
  <c r="N4" i="6"/>
  <c r="H22" i="6"/>
  <c r="H15" i="6"/>
  <c r="M8" i="6"/>
  <c r="F27" i="6"/>
  <c r="K19" i="6"/>
  <c r="N12" i="6"/>
  <c r="F6" i="6"/>
  <c r="N9" i="6"/>
  <c r="E9" i="6"/>
  <c r="O8" i="6"/>
  <c r="F8" i="6"/>
  <c r="E8" i="6"/>
  <c r="I7" i="6"/>
  <c r="H7" i="6"/>
  <c r="M6" i="6"/>
  <c r="I22" i="6"/>
  <c r="H27" i="6"/>
  <c r="H19" i="6"/>
  <c r="L25" i="6"/>
  <c r="M20" i="6"/>
  <c r="N15" i="6"/>
  <c r="O10" i="6"/>
  <c r="P5" i="6"/>
  <c r="I27" i="6"/>
  <c r="J22" i="6"/>
  <c r="K17" i="6"/>
  <c r="L12" i="6"/>
  <c r="E7" i="6"/>
  <c r="Q25" i="6"/>
  <c r="I18" i="6"/>
  <c r="N11" i="6"/>
  <c r="F5" i="6"/>
  <c r="Q23" i="6"/>
  <c r="L16" i="6"/>
  <c r="Q9" i="6"/>
  <c r="M29" i="6"/>
  <c r="Q21" i="6"/>
  <c r="O14" i="6"/>
  <c r="G8" i="6"/>
  <c r="J23" i="6"/>
  <c r="F16" i="6"/>
  <c r="M9" i="6"/>
  <c r="H28" i="6"/>
  <c r="J20" i="6"/>
  <c r="L13" i="6"/>
  <c r="Q6" i="6"/>
  <c r="G25" i="6"/>
  <c r="M17" i="6"/>
  <c r="E11" i="6"/>
  <c r="J4" i="6"/>
  <c r="G4" i="6"/>
  <c r="F4" i="6"/>
  <c r="L29" i="6"/>
  <c r="K29" i="6"/>
  <c r="N28" i="6"/>
  <c r="J28" i="6"/>
  <c r="M27" i="6"/>
  <c r="K20" i="6"/>
  <c r="M26" i="6"/>
  <c r="P29" i="6"/>
  <c r="Q24" i="6"/>
  <c r="E20" i="6"/>
  <c r="F15" i="6"/>
  <c r="G10" i="6"/>
  <c r="H5" i="6"/>
  <c r="N26" i="6"/>
  <c r="O21" i="6"/>
  <c r="P16" i="6"/>
  <c r="Q11" i="6"/>
  <c r="J6" i="6"/>
  <c r="F25" i="6"/>
  <c r="J17" i="6"/>
  <c r="Q10" i="6"/>
  <c r="I4" i="6"/>
  <c r="P22" i="6"/>
  <c r="O15" i="6"/>
  <c r="G9" i="6"/>
  <c r="O28" i="6"/>
  <c r="Q20" i="6"/>
  <c r="E14" i="6"/>
  <c r="J7" i="6"/>
  <c r="L22" i="6"/>
  <c r="I15" i="6"/>
  <c r="N8" i="6"/>
  <c r="G27" i="6"/>
  <c r="L19" i="6"/>
  <c r="O12" i="6"/>
  <c r="G6" i="6"/>
  <c r="F24" i="6"/>
  <c r="N16" i="6"/>
  <c r="H10" i="6"/>
  <c r="L27" i="6"/>
  <c r="L26" i="6"/>
  <c r="K26" i="6"/>
  <c r="N25" i="6"/>
  <c r="M25" i="6"/>
  <c r="M24" i="6"/>
  <c r="L24" i="6"/>
  <c r="O23" i="6"/>
  <c r="P19" i="6"/>
  <c r="K21" i="6"/>
  <c r="L23" i="6"/>
  <c r="J19" i="6"/>
  <c r="F26" i="6"/>
  <c r="O5" i="6"/>
  <c r="Q29" i="6"/>
  <c r="N27" i="6"/>
  <c r="L21" i="6"/>
  <c r="K18" i="6"/>
  <c r="Q15" i="6"/>
  <c r="M22" i="6"/>
  <c r="O20" i="6"/>
  <c r="P27" i="6"/>
  <c r="I16" i="6"/>
  <c r="E23" i="6"/>
  <c r="E27" i="6"/>
  <c r="E25" i="6"/>
  <c r="O22" i="6"/>
  <c r="E17" i="6"/>
  <c r="I14" i="6"/>
  <c r="O11" i="6"/>
  <c r="N5" i="6"/>
  <c r="P4" i="6"/>
  <c r="E26" i="6"/>
  <c r="K14" i="6"/>
  <c r="G21" i="6"/>
  <c r="E24" i="6"/>
  <c r="E22" i="6"/>
  <c r="F20" i="6"/>
  <c r="L14" i="6"/>
  <c r="P11" i="6"/>
  <c r="I9" i="6"/>
  <c r="N21" i="6"/>
  <c r="O19" i="6"/>
  <c r="G26" i="6"/>
  <c r="G13" i="6"/>
  <c r="P10" i="6"/>
  <c r="I29" i="6"/>
  <c r="H26" i="6"/>
  <c r="L5" i="6"/>
  <c r="I24" i="6"/>
  <c r="M4" i="6"/>
  <c r="E10" i="6"/>
  <c r="J8" i="6"/>
  <c r="J29" i="6"/>
  <c r="I26" i="6"/>
  <c r="H23" i="6"/>
  <c r="N22" i="6"/>
  <c r="P20" i="6"/>
  <c r="H21" i="6"/>
  <c r="M7" i="6"/>
  <c r="H4" i="6"/>
  <c r="J18" i="6"/>
  <c r="F21" i="6"/>
  <c r="J11" i="6"/>
  <c r="F18" i="6"/>
  <c r="G19" i="6"/>
  <c r="I17" i="6"/>
  <c r="L15" i="6"/>
  <c r="J10" i="6"/>
  <c r="P7" i="6"/>
  <c r="I5" i="6"/>
  <c r="M5" i="6"/>
  <c r="O4" i="6"/>
  <c r="H29" i="6"/>
  <c r="L9" i="6"/>
  <c r="H16" i="6"/>
  <c r="M16" i="6"/>
  <c r="P14" i="6"/>
  <c r="F13" i="6"/>
  <c r="Q7" i="6"/>
  <c r="J5" i="6"/>
  <c r="K23" i="6"/>
  <c r="M21" i="6"/>
  <c r="K6" i="6"/>
  <c r="K12" i="6"/>
  <c r="F9" i="6"/>
  <c r="L6" i="6"/>
  <c r="N10" i="6"/>
  <c r="Q27" i="6"/>
  <c r="E6" i="6"/>
  <c r="K24" i="6"/>
  <c r="I6" i="6"/>
  <c r="Q4" i="6"/>
  <c r="C23" i="5"/>
  <c r="C3" i="1"/>
  <c r="C4" i="5" l="1"/>
  <c r="G3" i="4"/>
  <c r="C27" i="1"/>
  <c r="C28" i="1"/>
  <c r="E4" i="1" a="1"/>
  <c r="C29" i="1"/>
  <c r="C25" i="1"/>
  <c r="C26" i="1"/>
  <c r="G6" i="4" a="1"/>
  <c r="C3" i="5"/>
  <c r="E4" i="5" a="1"/>
  <c r="C28" i="5"/>
  <c r="C25" i="5"/>
  <c r="C27" i="5"/>
  <c r="C29" i="5"/>
  <c r="C26" i="5"/>
  <c r="N29" i="1" l="1"/>
  <c r="G12" i="1"/>
  <c r="N10" i="1"/>
  <c r="O10" i="1"/>
  <c r="O26" i="1"/>
  <c r="K29" i="1"/>
  <c r="F17" i="1"/>
  <c r="H9" i="1"/>
  <c r="K28" i="1"/>
  <c r="P17" i="1"/>
  <c r="E24" i="1"/>
  <c r="H7" i="1"/>
  <c r="E21" i="1"/>
  <c r="L17" i="1"/>
  <c r="F15" i="1"/>
  <c r="Q17" i="1"/>
  <c r="G23" i="1"/>
  <c r="N9" i="1"/>
  <c r="J21" i="1"/>
  <c r="L8" i="1"/>
  <c r="P8" i="1"/>
  <c r="M29" i="1"/>
  <c r="F23" i="1"/>
  <c r="N4" i="1"/>
  <c r="J26" i="1"/>
  <c r="J10" i="1"/>
  <c r="J8" i="1"/>
  <c r="I22" i="1"/>
  <c r="O18" i="1"/>
  <c r="Q5" i="1"/>
  <c r="L19" i="1"/>
  <c r="Q13" i="1"/>
  <c r="L4" i="1"/>
  <c r="E18" i="1"/>
  <c r="E22" i="1"/>
  <c r="I21" i="1"/>
  <c r="G9" i="1"/>
  <c r="M13" i="1"/>
  <c r="O23" i="1"/>
  <c r="O25" i="1"/>
  <c r="G22" i="1"/>
  <c r="J22" i="1"/>
  <c r="E6" i="1"/>
  <c r="P7" i="1"/>
  <c r="I23" i="1"/>
  <c r="P20" i="1"/>
  <c r="I9" i="1"/>
  <c r="N28" i="1"/>
  <c r="L15" i="1"/>
  <c r="J25" i="1"/>
  <c r="J16" i="1"/>
  <c r="O29" i="1"/>
  <c r="Q25" i="1"/>
  <c r="E27" i="1"/>
  <c r="H20" i="1"/>
  <c r="M12" i="1"/>
  <c r="N25" i="1"/>
  <c r="O12" i="1"/>
  <c r="G14" i="1"/>
  <c r="M14" i="1"/>
  <c r="F14" i="1"/>
  <c r="P16" i="1"/>
  <c r="P13" i="1"/>
  <c r="E11" i="1"/>
  <c r="L7" i="1"/>
  <c r="Q9" i="1"/>
  <c r="Q6" i="1"/>
  <c r="M21" i="1"/>
  <c r="K27" i="1"/>
  <c r="G13" i="1"/>
  <c r="J9" i="1"/>
  <c r="Q15" i="1"/>
  <c r="N7" i="1"/>
  <c r="L12" i="1"/>
  <c r="O17" i="1"/>
  <c r="M11" i="1"/>
  <c r="E13" i="1"/>
  <c r="P6" i="1"/>
  <c r="P14" i="1"/>
  <c r="H28" i="1"/>
  <c r="K6" i="1"/>
  <c r="I4" i="1"/>
  <c r="G7" i="1"/>
  <c r="P11" i="1"/>
  <c r="I14" i="1"/>
  <c r="P28" i="1"/>
  <c r="H24" i="1"/>
  <c r="E19" i="1"/>
  <c r="P26" i="1"/>
  <c r="J13" i="1"/>
  <c r="E8" i="1"/>
  <c r="N24" i="1"/>
  <c r="O14" i="1"/>
  <c r="K21" i="1"/>
  <c r="O4" i="1"/>
  <c r="G19" i="1"/>
  <c r="O21" i="1"/>
  <c r="F7" i="1"/>
  <c r="J27" i="1"/>
  <c r="M10" i="1"/>
  <c r="H23" i="1"/>
  <c r="I25" i="1"/>
  <c r="M6" i="1"/>
  <c r="J12" i="1"/>
  <c r="M8" i="1"/>
  <c r="N21" i="1"/>
  <c r="Q12" i="1"/>
  <c r="H17" i="1"/>
  <c r="M24" i="1"/>
  <c r="O28" i="1"/>
  <c r="E16" i="1"/>
  <c r="K4" i="1"/>
  <c r="L5" i="1"/>
  <c r="J6" i="1"/>
  <c r="N6" i="1"/>
  <c r="I10" i="1"/>
  <c r="Q29" i="1"/>
  <c r="K25" i="1"/>
  <c r="Q4" i="1"/>
  <c r="E7" i="1"/>
  <c r="L29" i="1"/>
  <c r="E17" i="1"/>
  <c r="O11" i="1"/>
  <c r="F10" i="1"/>
  <c r="I13" i="1"/>
  <c r="Q21" i="1"/>
  <c r="G18" i="1"/>
  <c r="Q19" i="1"/>
  <c r="K18" i="1"/>
  <c r="L14" i="1"/>
  <c r="I24" i="1"/>
  <c r="O13" i="1"/>
  <c r="K19" i="1"/>
  <c r="I26" i="1"/>
  <c r="P12" i="1"/>
  <c r="N14" i="1"/>
  <c r="I16" i="1"/>
  <c r="G24" i="1"/>
  <c r="H14" i="1"/>
  <c r="E9" i="1"/>
  <c r="O9" i="1"/>
  <c r="N11" i="1"/>
  <c r="N17" i="1"/>
  <c r="E29" i="1"/>
  <c r="F16" i="1"/>
  <c r="O8" i="1"/>
  <c r="M28" i="1"/>
  <c r="Q16" i="1"/>
  <c r="L13" i="1"/>
  <c r="O24" i="1"/>
  <c r="H25" i="1"/>
  <c r="F8" i="1"/>
  <c r="K7" i="1"/>
  <c r="L21" i="1"/>
  <c r="P21" i="1"/>
  <c r="O6" i="1"/>
  <c r="L23" i="1"/>
  <c r="J7" i="1"/>
  <c r="N15" i="1"/>
  <c r="F4" i="1"/>
  <c r="J23" i="1"/>
  <c r="I18" i="1"/>
  <c r="L16" i="1"/>
  <c r="N19" i="1"/>
  <c r="F5" i="1"/>
  <c r="L6" i="1"/>
  <c r="N22" i="1"/>
  <c r="I27" i="1"/>
  <c r="J28" i="1"/>
  <c r="O27" i="1"/>
  <c r="H12" i="1"/>
  <c r="O15" i="1"/>
  <c r="Q24" i="1"/>
  <c r="L28" i="1"/>
  <c r="K15" i="1"/>
  <c r="H21" i="1"/>
  <c r="E20" i="1"/>
  <c r="H10" i="1"/>
  <c r="Q27" i="1"/>
  <c r="H4" i="1"/>
  <c r="I8" i="1"/>
  <c r="O16" i="1"/>
  <c r="M19" i="1"/>
  <c r="I28" i="1"/>
  <c r="F20" i="1"/>
  <c r="E26" i="1"/>
  <c r="G21" i="1"/>
  <c r="L24" i="1"/>
  <c r="F6" i="1"/>
  <c r="P29" i="1"/>
  <c r="H11" i="1"/>
  <c r="J5" i="1"/>
  <c r="K13" i="1"/>
  <c r="K10" i="1"/>
  <c r="F19" i="1"/>
  <c r="H16" i="1"/>
  <c r="J15" i="1"/>
  <c r="F26" i="1"/>
  <c r="F24" i="1"/>
  <c r="F28" i="1"/>
  <c r="I11" i="1"/>
  <c r="L22" i="1"/>
  <c r="G8" i="1"/>
  <c r="E25" i="1"/>
  <c r="N18" i="1"/>
  <c r="J4" i="1"/>
  <c r="E28" i="1"/>
  <c r="O5" i="1"/>
  <c r="N20" i="1"/>
  <c r="I12" i="1"/>
  <c r="H15" i="1"/>
  <c r="I6" i="1"/>
  <c r="G26" i="1"/>
  <c r="K14" i="1"/>
  <c r="P4" i="1"/>
  <c r="H8" i="1"/>
  <c r="G20" i="1"/>
  <c r="Q26" i="1"/>
  <c r="M17" i="1"/>
  <c r="F11" i="1"/>
  <c r="M27" i="1"/>
  <c r="H22" i="1"/>
  <c r="P18" i="1"/>
  <c r="K17" i="1"/>
  <c r="E4" i="1"/>
  <c r="J18" i="1"/>
  <c r="E12" i="1"/>
  <c r="F27" i="1"/>
  <c r="O22" i="1"/>
  <c r="J11" i="1"/>
  <c r="K20" i="1"/>
  <c r="G4" i="1"/>
  <c r="Q10" i="1"/>
  <c r="I19" i="1"/>
  <c r="O19" i="1"/>
  <c r="J29" i="1"/>
  <c r="G27" i="1"/>
  <c r="F29" i="1"/>
  <c r="N23" i="1"/>
  <c r="H27" i="1"/>
  <c r="G16" i="1"/>
  <c r="P27" i="1"/>
  <c r="P23" i="1"/>
  <c r="K5" i="1"/>
  <c r="M15" i="1"/>
  <c r="G10" i="1"/>
  <c r="P22" i="1"/>
  <c r="G6" i="1"/>
  <c r="Q22" i="1"/>
  <c r="P10" i="1"/>
  <c r="H5" i="1"/>
  <c r="N16" i="1"/>
  <c r="K12" i="1"/>
  <c r="L25" i="1"/>
  <c r="N8" i="1"/>
  <c r="M5" i="1"/>
  <c r="L27" i="1"/>
  <c r="O20" i="1"/>
  <c r="M23" i="1"/>
  <c r="J24" i="1"/>
  <c r="I5" i="1"/>
  <c r="F18" i="1"/>
  <c r="J20" i="1"/>
  <c r="Q18" i="1"/>
  <c r="H6" i="1"/>
  <c r="N26" i="1"/>
  <c r="I29" i="1"/>
  <c r="L10" i="1"/>
  <c r="E5" i="1"/>
  <c r="J19" i="1"/>
  <c r="K16" i="1"/>
  <c r="G5" i="1"/>
  <c r="P9" i="1"/>
  <c r="N12" i="1"/>
  <c r="M20" i="1"/>
  <c r="H19" i="1"/>
  <c r="P25" i="1"/>
  <c r="P24" i="1"/>
  <c r="J14" i="1"/>
  <c r="H26" i="1"/>
  <c r="P5" i="1"/>
  <c r="F21" i="1"/>
  <c r="G11" i="1"/>
  <c r="M25" i="1"/>
  <c r="L11" i="1"/>
  <c r="K22" i="1"/>
  <c r="Q23" i="1"/>
  <c r="F13" i="1"/>
  <c r="M4" i="1"/>
  <c r="I7" i="1"/>
  <c r="F9" i="1"/>
  <c r="E15" i="1"/>
  <c r="L18" i="1"/>
  <c r="E23" i="1"/>
  <c r="K23" i="1"/>
  <c r="Q28" i="1"/>
  <c r="F22" i="1"/>
  <c r="F12" i="1"/>
  <c r="Q7" i="1"/>
  <c r="L20" i="1"/>
  <c r="M22" i="1"/>
  <c r="O7" i="1"/>
  <c r="J17" i="1"/>
  <c r="K8" i="1"/>
  <c r="K26" i="1"/>
  <c r="N5" i="1"/>
  <c r="G28" i="1"/>
  <c r="F25" i="1"/>
  <c r="Q20" i="1"/>
  <c r="K11" i="1"/>
  <c r="E14" i="1"/>
  <c r="M7" i="1"/>
  <c r="K24" i="1"/>
  <c r="K9" i="1"/>
  <c r="G29" i="1"/>
  <c r="E10" i="1"/>
  <c r="N27" i="1"/>
  <c r="G15" i="1"/>
  <c r="I17" i="1"/>
  <c r="H13" i="1"/>
  <c r="P19" i="1"/>
  <c r="Q11" i="1"/>
  <c r="I15" i="1"/>
  <c r="G17" i="1"/>
  <c r="L9" i="1"/>
  <c r="I20" i="1"/>
  <c r="N13" i="1"/>
  <c r="H29" i="1"/>
  <c r="M26" i="1"/>
  <c r="P15" i="1"/>
  <c r="Q8" i="1"/>
  <c r="M9" i="1"/>
  <c r="H18" i="1"/>
  <c r="M16" i="1"/>
  <c r="Q14" i="1"/>
  <c r="G25" i="1"/>
  <c r="M18" i="1"/>
  <c r="L26" i="1"/>
  <c r="H18" i="5"/>
  <c r="E4" i="5"/>
  <c r="M20" i="5"/>
  <c r="P25" i="5"/>
  <c r="G28" i="5"/>
  <c r="N18" i="5"/>
  <c r="Q8" i="5"/>
  <c r="M24" i="5"/>
  <c r="G8" i="5"/>
  <c r="N7" i="5"/>
  <c r="H25" i="5"/>
  <c r="O5" i="5"/>
  <c r="E9" i="5"/>
  <c r="F12" i="5"/>
  <c r="L20" i="5"/>
  <c r="M8" i="5"/>
  <c r="I6" i="5"/>
  <c r="P28" i="5"/>
  <c r="G15" i="5"/>
  <c r="N17" i="5"/>
  <c r="H22" i="5"/>
  <c r="E28" i="5"/>
  <c r="L11" i="5"/>
  <c r="L28" i="5"/>
  <c r="H27" i="5"/>
  <c r="G22" i="5"/>
  <c r="N20" i="5"/>
  <c r="E19" i="5"/>
  <c r="Q28" i="5"/>
  <c r="M23" i="5"/>
  <c r="O22" i="5"/>
  <c r="G26" i="5"/>
  <c r="H13" i="5"/>
  <c r="O14" i="5"/>
  <c r="E20" i="5"/>
  <c r="L19" i="5"/>
  <c r="M29" i="5"/>
  <c r="Q20" i="5"/>
  <c r="E27" i="5"/>
  <c r="F15" i="5"/>
  <c r="G20" i="5"/>
  <c r="K14" i="5"/>
  <c r="M16" i="5"/>
  <c r="J28" i="5"/>
  <c r="K28" i="5"/>
  <c r="H26" i="5"/>
  <c r="O11" i="5"/>
  <c r="P4" i="5"/>
  <c r="F29" i="5"/>
  <c r="Q7" i="5"/>
  <c r="P15" i="5"/>
  <c r="K12" i="5"/>
  <c r="O7" i="5"/>
  <c r="E24" i="5"/>
  <c r="F28" i="5"/>
  <c r="F18" i="5"/>
  <c r="N5" i="5"/>
  <c r="E18" i="5"/>
  <c r="E8" i="5"/>
  <c r="F9" i="5"/>
  <c r="J16" i="5"/>
  <c r="P19" i="5"/>
  <c r="H24" i="5"/>
  <c r="N4" i="5"/>
  <c r="I16" i="5"/>
  <c r="G5" i="5"/>
  <c r="N14" i="5"/>
  <c r="E7" i="5"/>
  <c r="G11" i="5"/>
  <c r="N26" i="5"/>
  <c r="K22" i="5"/>
  <c r="M12" i="5"/>
  <c r="I22" i="5"/>
  <c r="N21" i="5"/>
  <c r="K5" i="5"/>
  <c r="G12" i="5"/>
  <c r="O24" i="5"/>
  <c r="N19" i="5"/>
  <c r="I23" i="5"/>
  <c r="K7" i="5"/>
  <c r="E26" i="5"/>
  <c r="K21" i="5"/>
  <c r="M14" i="5"/>
  <c r="L22" i="5"/>
  <c r="L23" i="5"/>
  <c r="G9" i="5"/>
  <c r="J27" i="5"/>
  <c r="M9" i="5"/>
  <c r="L10" i="5"/>
  <c r="F16" i="5"/>
  <c r="K19" i="5"/>
  <c r="E13" i="5"/>
  <c r="K13" i="5"/>
  <c r="F21" i="5"/>
  <c r="P26" i="5"/>
  <c r="J13" i="5"/>
  <c r="H29" i="5"/>
  <c r="P21" i="5"/>
  <c r="L25" i="5"/>
  <c r="J20" i="5"/>
  <c r="Q12" i="5"/>
  <c r="F14" i="5"/>
  <c r="K20" i="5"/>
  <c r="M18" i="5"/>
  <c r="L29" i="5"/>
  <c r="Q27" i="5"/>
  <c r="G29" i="5"/>
  <c r="F27" i="5"/>
  <c r="J23" i="5"/>
  <c r="J9" i="5"/>
  <c r="H19" i="5"/>
  <c r="Q24" i="5"/>
  <c r="P11" i="5"/>
  <c r="E17" i="5"/>
  <c r="G21" i="5"/>
  <c r="Q21" i="5"/>
  <c r="O19" i="5"/>
  <c r="F19" i="5"/>
  <c r="O21" i="5"/>
  <c r="E23" i="5"/>
  <c r="L26" i="5"/>
  <c r="E11" i="5"/>
  <c r="K8" i="5"/>
  <c r="F24" i="5"/>
  <c r="H23" i="5"/>
  <c r="I25" i="5"/>
  <c r="Q14" i="5"/>
  <c r="E5" i="5"/>
  <c r="P10" i="5"/>
  <c r="K15" i="5"/>
  <c r="L17" i="5"/>
  <c r="L7" i="5"/>
  <c r="K26" i="5"/>
  <c r="O10" i="5"/>
  <c r="I20" i="5"/>
  <c r="F22" i="5"/>
  <c r="L9" i="5"/>
  <c r="P27" i="5"/>
  <c r="L12" i="5"/>
  <c r="Q6" i="5"/>
  <c r="Q4" i="5"/>
  <c r="I19" i="5"/>
  <c r="K18" i="5"/>
  <c r="J6" i="5"/>
  <c r="M6" i="5"/>
  <c r="K11" i="5"/>
  <c r="J5" i="5"/>
  <c r="I10" i="5"/>
  <c r="F5" i="5"/>
  <c r="M4" i="5"/>
  <c r="I8" i="5"/>
  <c r="M10" i="5"/>
  <c r="F4" i="5"/>
  <c r="J29" i="5"/>
  <c r="N15" i="5"/>
  <c r="J26" i="5"/>
  <c r="O8" i="5"/>
  <c r="L18" i="5"/>
  <c r="N25" i="5"/>
  <c r="I9" i="5"/>
  <c r="F10" i="5"/>
  <c r="H20" i="5"/>
  <c r="J12" i="5"/>
  <c r="Q11" i="5"/>
  <c r="P17" i="5"/>
  <c r="I28" i="5"/>
  <c r="H12" i="5"/>
  <c r="N12" i="5"/>
  <c r="G4" i="5"/>
  <c r="E6" i="5"/>
  <c r="J11" i="5"/>
  <c r="Q13" i="5"/>
  <c r="L5" i="5"/>
  <c r="J14" i="5"/>
  <c r="Q26" i="5"/>
  <c r="K25" i="5"/>
  <c r="L15" i="5"/>
  <c r="N27" i="5"/>
  <c r="G14" i="5"/>
  <c r="I7" i="5"/>
  <c r="Q22" i="5"/>
  <c r="H21" i="5"/>
  <c r="P29" i="5"/>
  <c r="H7" i="5"/>
  <c r="O23" i="5"/>
  <c r="F26" i="5"/>
  <c r="N11" i="5"/>
  <c r="P8" i="5"/>
  <c r="E25" i="5"/>
  <c r="O13" i="5"/>
  <c r="O29" i="5"/>
  <c r="N13" i="5"/>
  <c r="H4" i="5"/>
  <c r="K4" i="5"/>
  <c r="P22" i="5"/>
  <c r="N22" i="5"/>
  <c r="E16" i="5"/>
  <c r="P16" i="5"/>
  <c r="G16" i="5"/>
  <c r="L14" i="5"/>
  <c r="F17" i="5"/>
  <c r="N10" i="5"/>
  <c r="G17" i="5"/>
  <c r="I27" i="5"/>
  <c r="O4" i="5"/>
  <c r="P5" i="5"/>
  <c r="G23" i="5"/>
  <c r="L13" i="5"/>
  <c r="H28" i="5"/>
  <c r="E14" i="5"/>
  <c r="Q10" i="5"/>
  <c r="J21" i="5"/>
  <c r="F13" i="5"/>
  <c r="P12" i="5"/>
  <c r="N23" i="5"/>
  <c r="J4" i="5"/>
  <c r="Q16" i="5"/>
  <c r="Q18" i="5"/>
  <c r="O18" i="5"/>
  <c r="O6" i="5"/>
  <c r="H6" i="5"/>
  <c r="K6" i="5"/>
  <c r="I14" i="5"/>
  <c r="J15" i="5"/>
  <c r="M21" i="5"/>
  <c r="O26" i="5"/>
  <c r="K17" i="5"/>
  <c r="I5" i="5"/>
  <c r="O17" i="5"/>
  <c r="H14" i="5"/>
  <c r="G10" i="5"/>
  <c r="H11" i="5"/>
  <c r="Q17" i="5"/>
  <c r="L16" i="5"/>
  <c r="I26" i="5"/>
  <c r="H17" i="5"/>
  <c r="O15" i="5"/>
  <c r="N8" i="5"/>
  <c r="E15" i="5"/>
  <c r="O28" i="5"/>
  <c r="Q5" i="5"/>
  <c r="G18" i="5"/>
  <c r="P14" i="5"/>
  <c r="H8" i="5"/>
  <c r="N29" i="5"/>
  <c r="I17" i="5"/>
  <c r="Q15" i="5"/>
  <c r="Q29" i="5"/>
  <c r="O27" i="5"/>
  <c r="M25" i="5"/>
  <c r="I21" i="5"/>
  <c r="J8" i="5"/>
  <c r="L21" i="5"/>
  <c r="P23" i="5"/>
  <c r="I13" i="5"/>
  <c r="M22" i="5"/>
  <c r="O16" i="5"/>
  <c r="Q19" i="5"/>
  <c r="M15" i="5"/>
  <c r="M17" i="5"/>
  <c r="I12" i="5"/>
  <c r="J22" i="5"/>
  <c r="G6" i="5"/>
  <c r="J19" i="5"/>
  <c r="O12" i="5"/>
  <c r="E29" i="5"/>
  <c r="I29" i="5"/>
  <c r="E10" i="5"/>
  <c r="E12" i="5"/>
  <c r="K10" i="5"/>
  <c r="G27" i="5"/>
  <c r="J17" i="5"/>
  <c r="L6" i="5"/>
  <c r="M7" i="5"/>
  <c r="K16" i="5"/>
  <c r="H15" i="5"/>
  <c r="P6" i="5"/>
  <c r="J7" i="5"/>
  <c r="I18" i="5"/>
  <c r="L4" i="5"/>
  <c r="P20" i="5"/>
  <c r="G7" i="5"/>
  <c r="Q23" i="5"/>
  <c r="I4" i="5"/>
  <c r="J10" i="5"/>
  <c r="G19" i="5"/>
  <c r="G25" i="5"/>
  <c r="K29" i="5"/>
  <c r="N16" i="5"/>
  <c r="P9" i="5"/>
  <c r="O20" i="5"/>
  <c r="I15" i="5"/>
  <c r="I24" i="5"/>
  <c r="F23" i="5"/>
  <c r="E21" i="5"/>
  <c r="O25" i="5"/>
  <c r="I11" i="5"/>
  <c r="L8" i="5"/>
  <c r="P7" i="5"/>
  <c r="M19" i="5"/>
  <c r="N9" i="5"/>
  <c r="K23" i="5"/>
  <c r="M5" i="5"/>
  <c r="H10" i="5"/>
  <c r="J24" i="5"/>
  <c r="L24" i="5"/>
  <c r="M27" i="5"/>
  <c r="J18" i="5"/>
  <c r="H5" i="5"/>
  <c r="F11" i="5"/>
  <c r="P13" i="5"/>
  <c r="F20" i="5"/>
  <c r="K27" i="5"/>
  <c r="H16" i="5"/>
  <c r="O9" i="5"/>
  <c r="G13" i="5"/>
  <c r="L27" i="5"/>
  <c r="K24" i="5"/>
  <c r="F6" i="5"/>
  <c r="G24" i="5"/>
  <c r="M26" i="5"/>
  <c r="F7" i="5"/>
  <c r="P24" i="5"/>
  <c r="Q9" i="5"/>
  <c r="H9" i="5"/>
  <c r="E22" i="5"/>
  <c r="M13" i="5"/>
  <c r="M11" i="5"/>
  <c r="K9" i="5"/>
  <c r="Q25" i="5"/>
  <c r="J25" i="5"/>
  <c r="N6" i="5"/>
  <c r="M28" i="5"/>
  <c r="F25" i="5"/>
  <c r="N28" i="5"/>
  <c r="F8" i="5"/>
  <c r="P18" i="5"/>
  <c r="N24" i="5"/>
  <c r="G6" i="4"/>
  <c r="H20" i="4"/>
  <c r="G29" i="4"/>
  <c r="G11" i="4"/>
  <c r="H28" i="4"/>
  <c r="G27" i="4"/>
  <c r="H25" i="4"/>
  <c r="H31" i="4"/>
  <c r="H12" i="4"/>
  <c r="G9" i="4"/>
  <c r="G18" i="4"/>
  <c r="H21" i="4"/>
  <c r="G19" i="4"/>
  <c r="G21" i="4"/>
  <c r="H17" i="4"/>
  <c r="G14" i="4"/>
  <c r="H9" i="4"/>
  <c r="H6" i="4"/>
  <c r="G28" i="4"/>
  <c r="H26" i="4"/>
  <c r="H13" i="4"/>
  <c r="H29" i="4"/>
  <c r="G31" i="4"/>
  <c r="G7" i="4"/>
  <c r="H10" i="4"/>
  <c r="G15" i="4"/>
  <c r="H11" i="4"/>
  <c r="H24" i="4"/>
  <c r="H27" i="4"/>
  <c r="H18" i="4"/>
  <c r="G20" i="4"/>
  <c r="H23" i="4"/>
  <c r="H22" i="4"/>
  <c r="H15" i="4"/>
  <c r="H7" i="4"/>
  <c r="G25" i="4"/>
  <c r="G12" i="4"/>
  <c r="G16" i="4"/>
  <c r="G22" i="4"/>
  <c r="H14" i="4"/>
  <c r="H8" i="4"/>
  <c r="H30" i="4"/>
  <c r="G10" i="4"/>
  <c r="G30" i="4"/>
  <c r="G23" i="4"/>
  <c r="H16" i="4"/>
  <c r="G17" i="4"/>
  <c r="G13" i="4"/>
  <c r="H19" i="4"/>
  <c r="G24" i="4"/>
  <c r="G8" i="4"/>
  <c r="G26" i="4"/>
</calcChain>
</file>

<file path=xl/sharedStrings.xml><?xml version="1.0" encoding="utf-8"?>
<sst xmlns="http://schemas.openxmlformats.org/spreadsheetml/2006/main" count="131" uniqueCount="41">
  <si>
    <t>BOND_GENERATOR</t>
  </si>
  <si>
    <t>meLWOList</t>
  </si>
  <si>
    <t>GeneratorType</t>
  </si>
  <si>
    <t>GeneratorName</t>
  </si>
  <si>
    <t>meLWOBondGeneratorDisplay</t>
  </si>
  <si>
    <t>BondDescription</t>
  </si>
  <si>
    <t>ISIN</t>
  </si>
  <si>
    <t>IssueDate</t>
  </si>
  <si>
    <t>FirstCouponDate</t>
  </si>
  <si>
    <t>LastCouponDate</t>
  </si>
  <si>
    <t>MaturityDate</t>
  </si>
  <si>
    <t>Coupon</t>
  </si>
  <si>
    <t>RollDay</t>
  </si>
  <si>
    <t>AccrualStartDate</t>
  </si>
  <si>
    <t>US_TREASURY_TYPE1</t>
  </si>
  <si>
    <t/>
  </si>
  <si>
    <t>CleanPrice</t>
  </si>
  <si>
    <t>Yield (%)</t>
  </si>
  <si>
    <t>DirtyPrice</t>
  </si>
  <si>
    <t>AccruedInterest</t>
  </si>
  <si>
    <t>AccruedDays</t>
  </si>
  <si>
    <t>SettlementDate</t>
  </si>
  <si>
    <t>DV01</t>
  </si>
  <si>
    <t>CREATE_BOND</t>
  </si>
  <si>
    <t>PRICE_RESULTS</t>
  </si>
  <si>
    <t>CASHFLOWS</t>
  </si>
  <si>
    <t>BOND DEFINITION</t>
  </si>
  <si>
    <t>US912828V236</t>
  </si>
  <si>
    <t>US_TREASURY_2.25_31DEC2023</t>
  </si>
  <si>
    <t>DE0001102325</t>
  </si>
  <si>
    <t>BUNDESREPUBLIK_2.00_15AUG2023</t>
  </si>
  <si>
    <t>JAPAN_JGB_TYPE51</t>
  </si>
  <si>
    <t>JP1200711487</t>
  </si>
  <si>
    <t>JAPAN_JGB_2.20_20JUN2024</t>
  </si>
  <si>
    <t>FR0011486067</t>
  </si>
  <si>
    <t>FRENCH_OAT_TYPE89</t>
  </si>
  <si>
    <t>FRENCH_OAT_1.750_25MAY2023</t>
  </si>
  <si>
    <t>IssuePrice</t>
  </si>
  <si>
    <t>IT0000366721</t>
  </si>
  <si>
    <t>ITALIAN_BTPS_TYPE523</t>
  </si>
  <si>
    <t>ITALIAN_BTPS_8.5_22JUN2023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</si>
</sst>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%"/>
    <numFmt numFmtId="165" formatCode="ddd\,\ d\-mmm\-yy"/>
    <numFmt numFmtId="166" formatCode="#,##0.0000"/>
    <numFmt numFmtId="167" formatCode="0.0000%"/>
    <numFmt numFmtId="168" formatCode="#,##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0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15" fontId="0" fillId="0" borderId="0" xfId="0" applyNumberFormat="1" applyFont="1" applyFill="1" applyAlignment="1">
      <alignment horizontal="center" vertical="center"/>
    </xf>
    <xf numFmtId="164" fontId="0" fillId="0" borderId="0" xfId="0" applyNumberFormat="1" applyFont="1" applyFill="1" applyAlignment="1">
      <alignment horizontal="center" vertical="center"/>
    </xf>
    <xf numFmtId="1" fontId="0" fillId="0" borderId="0" xfId="0" applyNumberFormat="1" applyFont="1" applyFill="1" applyAlignment="1">
      <alignment horizontal="center" vertical="center"/>
    </xf>
    <xf numFmtId="15" fontId="1" fillId="0" borderId="0" xfId="1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8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/>
    </xf>
    <xf numFmtId="165" fontId="0" fillId="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166" fontId="3" fillId="2" borderId="11" xfId="0" applyNumberFormat="1" applyFont="1" applyFill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horizontal="center" vertical="center"/>
    </xf>
    <xf numFmtId="4" fontId="3" fillId="2" borderId="12" xfId="0" applyNumberFormat="1" applyFont="1" applyFill="1" applyBorder="1" applyAlignment="1">
      <alignment horizontal="center" vertical="center"/>
    </xf>
    <xf numFmtId="164" fontId="0" fillId="3" borderId="9" xfId="0" applyNumberFormat="1" applyFont="1" applyFill="1" applyBorder="1" applyAlignment="1">
      <alignment horizontal="center" vertical="center"/>
    </xf>
    <xf numFmtId="1" fontId="0" fillId="3" borderId="9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0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14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Border="1" applyAlignment="1">
      <alignment horizontal="center" vertical="center"/>
    </xf>
    <xf numFmtId="168" fontId="3" fillId="2" borderId="0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" fontId="3" fillId="2" borderId="14" xfId="0" applyNumberFormat="1" applyFont="1" applyFill="1" applyBorder="1" applyAlignment="1">
      <alignment horizontal="center" vertical="center"/>
    </xf>
    <xf numFmtId="3" fontId="3" fillId="2" borderId="14" xfId="0" applyNumberFormat="1" applyFont="1" applyFill="1" applyBorder="1" applyAlignment="1">
      <alignment horizontal="center" vertical="center"/>
    </xf>
    <xf numFmtId="167" fontId="3" fillId="2" borderId="14" xfId="0" applyNumberFormat="1" applyFont="1" applyFill="1" applyBorder="1" applyAlignment="1">
      <alignment horizontal="center" vertical="center"/>
    </xf>
    <xf numFmtId="168" fontId="3" fillId="2" borderId="14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165" fontId="0" fillId="3" borderId="9" xfId="0" applyNumberFormat="1" applyFont="1" applyFill="1" applyBorder="1" applyAlignment="1">
      <alignment horizontal="center" vertical="center"/>
    </xf>
    <xf numFmtId="165" fontId="1" fillId="3" borderId="10" xfId="1" applyNumberFormat="1" applyFont="1" applyFill="1" applyBorder="1" applyAlignment="1">
      <alignment horizontal="center" vertical="center"/>
    </xf>
    <xf numFmtId="167" fontId="0" fillId="3" borderId="9" xfId="0" applyNumberForma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165" fontId="1" fillId="3" borderId="9" xfId="1" applyNumberFormat="1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left" vertical="center"/>
    </xf>
    <xf numFmtId="165" fontId="1" fillId="3" borderId="15" xfId="1" applyNumberFormat="1" applyFont="1" applyFill="1" applyBorder="1" applyAlignment="1">
      <alignment horizontal="center" vertical="center"/>
    </xf>
    <xf numFmtId="166" fontId="1" fillId="3" borderId="9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Views>
    <sheetView showGridLines="0" workbookViewId="0"/>
  </sheetViews>
  <sheetFormatPr defaultRowHeight="15" x14ac:dyDescent="0.25"/>
  <cols>
    <col min="2" max="2" width="22.5703125" bestFit="1" customWidth="1"/>
    <col min="4" max="5" width="40.7109375" customWidth="1"/>
    <col min="7" max="8" width="40.7109375" customWidth="1"/>
  </cols>
  <sheetData>
    <row r="2" spans="2:8" x14ac:dyDescent="0.25">
      <c r="B2" s="1" t="s">
        <v>2</v>
      </c>
      <c r="D2" s="1" t="s">
        <v>3</v>
      </c>
      <c r="G2" s="1" t="s">
        <v>3</v>
      </c>
    </row>
    <row r="3" spans="2:8" x14ac:dyDescent="0.25">
      <c r="B3" t="s">
        <v>0</v>
      </c>
      <c r="C3" s="2"/>
      <c r="D3" t="s">
        <v>14</v>
      </c>
      <c r="G3" t="str">
        <f ca="1">B8</f>
        <v>ITALIAN_BTPS_TYPE523</v>
      </c>
    </row>
    <row r="5" spans="2:8" x14ac:dyDescent="0.25">
      <c r="B5" s="1" t="s">
        <v>1</v>
      </c>
      <c r="D5" s="1" t="s">
        <v>4</v>
      </c>
      <c r="G5" s="1" t="s">
        <v>4</v>
      </c>
    </row>
    <row r="6" spans="2:8" x14ac:dyDescent="0.25">
      <c r="B6" s="9" t="str">
        <f t="array" aca="1" ref="B6:B31" ca="1">_xll.meUtilityResize(_xll.meLWOList($B$3),50,1)</f>
        <v>FRENCH_OAT_TYPE89</v>
      </c>
      <c r="D6" s="3" t="str">
        <f t="array" aca="1" ref="D6:E31" ca="1">_xll.meUtilityResize(_xll.meLWOBondGeneratorDisplay(D3),50,5)</f>
        <v>BOND_STATICDATA</v>
      </c>
      <c r="E6" s="4" t="str">
        <f ca="1"/>
        <v/>
      </c>
      <c r="G6" s="3" t="str">
        <f t="array" aca="1" ref="G6:H31" ca="1">_xll.meUtilityResize(_xll.meLWOBondGeneratorDisplay(G3),50,5)</f>
        <v>BOND_STATICDATA</v>
      </c>
      <c r="H6" s="4" t="str">
        <f ca="1"/>
        <v/>
      </c>
    </row>
    <row r="7" spans="2:8" x14ac:dyDescent="0.25">
      <c r="B7" s="10" t="str">
        <f ca="1"/>
        <v>GERMAN_BUND_TYPE60</v>
      </c>
      <c r="D7" s="5" t="str">
        <f ca="1"/>
        <v>BondType</v>
      </c>
      <c r="E7" s="6" t="str">
        <f ca="1"/>
        <v>FIXED</v>
      </c>
      <c r="G7" s="5" t="str">
        <f ca="1"/>
        <v>BondType</v>
      </c>
      <c r="H7" s="6" t="str">
        <f ca="1"/>
        <v>FIXED</v>
      </c>
    </row>
    <row r="8" spans="2:8" x14ac:dyDescent="0.25">
      <c r="B8" s="10" t="str">
        <f ca="1"/>
        <v>ITALIAN_BTPS_TYPE523</v>
      </c>
      <c r="D8" s="5" t="str">
        <f ca="1"/>
        <v>Currency</v>
      </c>
      <c r="E8" s="6" t="str">
        <f ca="1"/>
        <v>USD</v>
      </c>
      <c r="G8" s="5" t="str">
        <f ca="1"/>
        <v>Currency</v>
      </c>
      <c r="H8" s="6" t="str">
        <f ca="1"/>
        <v>EUR</v>
      </c>
    </row>
    <row r="9" spans="2:8" x14ac:dyDescent="0.25">
      <c r="B9" s="10" t="str">
        <f ca="1"/>
        <v>ITALIAN_BTPS_TYPE527</v>
      </c>
      <c r="D9" s="5" t="str">
        <f ca="1"/>
        <v>YieldType</v>
      </c>
      <c r="E9" s="6" t="str">
        <f ca="1"/>
        <v>YIELD-TO-MATURITY</v>
      </c>
      <c r="G9" s="5" t="str">
        <f ca="1"/>
        <v>YieldType</v>
      </c>
      <c r="H9" s="6" t="str">
        <f ca="1"/>
        <v>YIELD-TO-MATURITY</v>
      </c>
    </row>
    <row r="10" spans="2:8" x14ac:dyDescent="0.25">
      <c r="B10" s="10" t="str">
        <f ca="1"/>
        <v>ITALIAN_BTPS_TYPE529</v>
      </c>
      <c r="D10" s="5" t="str">
        <f ca="1"/>
        <v>IsCleanPrice</v>
      </c>
      <c r="E10" s="6" t="str">
        <f ca="1"/>
        <v>TRUE</v>
      </c>
      <c r="G10" s="5" t="str">
        <f ca="1"/>
        <v>IsCleanPrice</v>
      </c>
      <c r="H10" s="6" t="str">
        <f ca="1"/>
        <v>TRUE</v>
      </c>
    </row>
    <row r="11" spans="2:8" x14ac:dyDescent="0.25">
      <c r="B11" s="10" t="str">
        <f ca="1"/>
        <v>JAPAN_JGB_TYPE51</v>
      </c>
      <c r="D11" s="5" t="str">
        <f ca="1"/>
        <v>BondQuoteConvention</v>
      </c>
      <c r="E11" s="6" t="str">
        <f ca="1"/>
        <v>QUOTE_IN_32NDS</v>
      </c>
      <c r="G11" s="5" t="str">
        <f ca="1"/>
        <v>BondQuoteConvention</v>
      </c>
      <c r="H11" s="6" t="str">
        <f ca="1"/>
        <v>QUOTE_IN_32NDS</v>
      </c>
    </row>
    <row r="12" spans="2:8" x14ac:dyDescent="0.25">
      <c r="B12" s="10" t="str">
        <f ca="1"/>
        <v>US_TREASURY_TYPE1</v>
      </c>
      <c r="D12" s="5" t="str">
        <f ca="1"/>
        <v/>
      </c>
      <c r="E12" s="6" t="str">
        <f ca="1"/>
        <v/>
      </c>
      <c r="G12" s="5" t="str">
        <f ca="1"/>
        <v/>
      </c>
      <c r="H12" s="6" t="str">
        <f ca="1"/>
        <v/>
      </c>
    </row>
    <row r="13" spans="2:8" x14ac:dyDescent="0.25">
      <c r="B13" s="10" t="str">
        <f ca="1"/>
        <v/>
      </c>
      <c r="D13" s="5" t="str">
        <f ca="1"/>
        <v>BOND_SCHEDULE</v>
      </c>
      <c r="E13" s="6" t="str">
        <f ca="1"/>
        <v/>
      </c>
      <c r="G13" s="5" t="str">
        <f ca="1"/>
        <v>BOND_SCHEDULE</v>
      </c>
      <c r="H13" s="6" t="str">
        <f ca="1"/>
        <v/>
      </c>
    </row>
    <row r="14" spans="2:8" x14ac:dyDescent="0.25">
      <c r="B14" s="10" t="str">
        <f ca="1"/>
        <v/>
      </c>
      <c r="D14" s="5" t="str">
        <f ca="1"/>
        <v>PayReceive</v>
      </c>
      <c r="E14" s="6" t="str">
        <f ca="1"/>
        <v>RECEIVE</v>
      </c>
      <c r="G14" s="5" t="str">
        <f ca="1"/>
        <v>PayReceive</v>
      </c>
      <c r="H14" s="6" t="str">
        <f ca="1"/>
        <v>RECEIVE</v>
      </c>
    </row>
    <row r="15" spans="2:8" x14ac:dyDescent="0.25">
      <c r="B15" s="10" t="str">
        <f ca="1"/>
        <v/>
      </c>
      <c r="D15" s="5" t="str">
        <f ca="1"/>
        <v>NotionalExchange</v>
      </c>
      <c r="E15" s="6" t="str">
        <f ca="1"/>
        <v>START_AND_END</v>
      </c>
      <c r="G15" s="5" t="str">
        <f ca="1"/>
        <v>NotionalExchange</v>
      </c>
      <c r="H15" s="6" t="str">
        <f ca="1"/>
        <v>START_AND_END</v>
      </c>
    </row>
    <row r="16" spans="2:8" x14ac:dyDescent="0.25">
      <c r="B16" s="10" t="str">
        <f ca="1"/>
        <v/>
      </c>
      <c r="D16" s="5" t="str">
        <f ca="1"/>
        <v>FaceValue</v>
      </c>
      <c r="E16" s="6">
        <f ca="1"/>
        <v>1000000</v>
      </c>
      <c r="G16" s="5" t="str">
        <f ca="1"/>
        <v>FaceValue</v>
      </c>
      <c r="H16" s="6">
        <f ca="1"/>
        <v>1000000</v>
      </c>
    </row>
    <row r="17" spans="2:8" x14ac:dyDescent="0.25">
      <c r="B17" s="10" t="str">
        <f ca="1"/>
        <v/>
      </c>
      <c r="D17" s="5" t="str">
        <f ca="1"/>
        <v>Frequency</v>
      </c>
      <c r="E17" s="6" t="str">
        <f ca="1"/>
        <v>Semi-Annual</v>
      </c>
      <c r="G17" s="5" t="str">
        <f ca="1"/>
        <v>AccrualBusinessDayAdjustment</v>
      </c>
      <c r="H17" s="6" t="str">
        <f ca="1"/>
        <v>MOD_FOLLOWING</v>
      </c>
    </row>
    <row r="18" spans="2:8" x14ac:dyDescent="0.25">
      <c r="B18" s="10" t="str">
        <f ca="1"/>
        <v/>
      </c>
      <c r="D18" s="5" t="str">
        <f ca="1"/>
        <v>AccrualBusinessDayAdjustment</v>
      </c>
      <c r="E18" s="6" t="str">
        <f ca="1"/>
        <v>MOD_FOLLOWING</v>
      </c>
      <c r="G18" s="5" t="str">
        <f ca="1"/>
        <v>AccrualCalendar</v>
      </c>
      <c r="H18" s="6" t="str">
        <f ca="1"/>
        <v>TGT</v>
      </c>
    </row>
    <row r="19" spans="2:8" x14ac:dyDescent="0.25">
      <c r="B19" s="10" t="str">
        <f ca="1"/>
        <v/>
      </c>
      <c r="D19" s="5" t="str">
        <f ca="1"/>
        <v>AccrualCalendar</v>
      </c>
      <c r="E19" s="6" t="str">
        <f ca="1"/>
        <v>NYB</v>
      </c>
      <c r="G19" s="5" t="str">
        <f ca="1"/>
        <v>PaymentBusinessDayAdjustment</v>
      </c>
      <c r="H19" s="6" t="str">
        <f ca="1"/>
        <v>NO_CHANGE</v>
      </c>
    </row>
    <row r="20" spans="2:8" x14ac:dyDescent="0.25">
      <c r="B20" s="10" t="str">
        <f ca="1"/>
        <v/>
      </c>
      <c r="D20" s="5" t="str">
        <f ca="1"/>
        <v>PaymentBusinessDayAdjustment</v>
      </c>
      <c r="E20" s="6" t="str">
        <f ca="1"/>
        <v>NO_CHANGE</v>
      </c>
      <c r="G20" s="5" t="str">
        <f ca="1"/>
        <v>PaymentCalendar</v>
      </c>
      <c r="H20" s="6" t="str">
        <f ca="1"/>
        <v>TGT</v>
      </c>
    </row>
    <row r="21" spans="2:8" x14ac:dyDescent="0.25">
      <c r="B21" s="10" t="str">
        <f ca="1"/>
        <v/>
      </c>
      <c r="D21" s="5" t="str">
        <f ca="1"/>
        <v>PaymentCalendar</v>
      </c>
      <c r="E21" s="6" t="str">
        <f ca="1"/>
        <v>NYB</v>
      </c>
      <c r="G21" s="5" t="str">
        <f ca="1"/>
        <v>PaymentLag</v>
      </c>
      <c r="H21" s="6" t="str">
        <f ca="1"/>
        <v>0D</v>
      </c>
    </row>
    <row r="22" spans="2:8" x14ac:dyDescent="0.25">
      <c r="B22" s="10" t="str">
        <f ca="1"/>
        <v/>
      </c>
      <c r="D22" s="5" t="str">
        <f ca="1"/>
        <v>PaymentLag</v>
      </c>
      <c r="E22" s="6" t="str">
        <f ca="1"/>
        <v>0D</v>
      </c>
      <c r="G22" s="5" t="str">
        <f ca="1"/>
        <v>Frequency</v>
      </c>
      <c r="H22" s="6" t="str">
        <f ca="1"/>
        <v>SEMI-ANNUAL</v>
      </c>
    </row>
    <row r="23" spans="2:8" x14ac:dyDescent="0.25">
      <c r="B23" s="10" t="str">
        <f ca="1"/>
        <v/>
      </c>
      <c r="D23" s="5" t="str">
        <f ca="1"/>
        <v>DayCount</v>
      </c>
      <c r="E23" s="6" t="str">
        <f ca="1"/>
        <v>ACT/ACT</v>
      </c>
      <c r="G23" s="5" t="str">
        <f ca="1"/>
        <v>DayCount</v>
      </c>
      <c r="H23" s="6" t="str">
        <f ca="1"/>
        <v>ACT/ACT</v>
      </c>
    </row>
    <row r="24" spans="2:8" x14ac:dyDescent="0.25">
      <c r="B24" s="10" t="str">
        <f ca="1"/>
        <v/>
      </c>
      <c r="D24" s="5" t="str">
        <f ca="1"/>
        <v>CalculationType</v>
      </c>
      <c r="E24" s="6" t="str">
        <f ca="1"/>
        <v>TYPE1_STREET_CONVENTION</v>
      </c>
      <c r="G24" s="5" t="str">
        <f ca="1"/>
        <v>CalculationType</v>
      </c>
      <c r="H24" s="6" t="str">
        <f ca="1"/>
        <v>TYPE523_ITALY_TRSY_BONDS</v>
      </c>
    </row>
    <row r="25" spans="2:8" x14ac:dyDescent="0.25">
      <c r="B25" s="10" t="str">
        <f ca="1"/>
        <v/>
      </c>
      <c r="D25" s="5" t="str">
        <f ca="1"/>
        <v/>
      </c>
      <c r="E25" s="6" t="str">
        <f ca="1"/>
        <v/>
      </c>
      <c r="G25" s="5" t="str">
        <f ca="1"/>
        <v>YieldFrequency</v>
      </c>
      <c r="H25" s="6" t="str">
        <f ca="1"/>
        <v>ANNUAL</v>
      </c>
    </row>
    <row r="26" spans="2:8" x14ac:dyDescent="0.25">
      <c r="B26" s="10" t="str">
        <f ca="1"/>
        <v/>
      </c>
      <c r="D26" s="5" t="str">
        <f ca="1"/>
        <v/>
      </c>
      <c r="E26" s="6" t="str">
        <f ca="1"/>
        <v/>
      </c>
      <c r="G26" s="5" t="str">
        <f ca="1"/>
        <v>TaxRate</v>
      </c>
      <c r="H26" s="6">
        <f ca="1"/>
        <v>0.125</v>
      </c>
    </row>
    <row r="27" spans="2:8" x14ac:dyDescent="0.25">
      <c r="B27" s="10" t="str">
        <f ca="1"/>
        <v/>
      </c>
      <c r="D27" s="5" t="str">
        <f ca="1"/>
        <v/>
      </c>
      <c r="E27" s="6" t="str">
        <f ca="1"/>
        <v/>
      </c>
      <c r="G27" s="5" t="str">
        <f ca="1"/>
        <v/>
      </c>
      <c r="H27" s="6" t="str">
        <f ca="1"/>
        <v/>
      </c>
    </row>
    <row r="28" spans="2:8" x14ac:dyDescent="0.25">
      <c r="B28" s="10" t="str">
        <f ca="1"/>
        <v/>
      </c>
      <c r="D28" s="5" t="str">
        <f ca="1"/>
        <v/>
      </c>
      <c r="E28" s="6" t="str">
        <f ca="1"/>
        <v/>
      </c>
      <c r="G28" s="5" t="str">
        <f ca="1"/>
        <v/>
      </c>
      <c r="H28" s="6" t="str">
        <f ca="1"/>
        <v/>
      </c>
    </row>
    <row r="29" spans="2:8" x14ac:dyDescent="0.25">
      <c r="B29" s="10" t="str">
        <f ca="1"/>
        <v/>
      </c>
      <c r="D29" s="5" t="str">
        <f ca="1"/>
        <v/>
      </c>
      <c r="E29" s="6" t="str">
        <f ca="1"/>
        <v/>
      </c>
      <c r="G29" s="5" t="str">
        <f ca="1"/>
        <v/>
      </c>
      <c r="H29" s="6" t="str">
        <f ca="1"/>
        <v/>
      </c>
    </row>
    <row r="30" spans="2:8" x14ac:dyDescent="0.25">
      <c r="B30" s="10" t="str">
        <f ca="1"/>
        <v/>
      </c>
      <c r="D30" s="5" t="str">
        <f ca="1"/>
        <v/>
      </c>
      <c r="E30" s="6" t="str">
        <f ca="1"/>
        <v/>
      </c>
      <c r="G30" s="5" t="str">
        <f ca="1"/>
        <v/>
      </c>
      <c r="H30" s="6" t="str">
        <f ca="1"/>
        <v/>
      </c>
    </row>
    <row r="31" spans="2:8" x14ac:dyDescent="0.25">
      <c r="B31" s="11" t="str">
        <f ca="1"/>
        <v/>
      </c>
      <c r="D31" s="7" t="str">
        <f ca="1"/>
        <v/>
      </c>
      <c r="E31" s="8" t="str">
        <f ca="1"/>
        <v/>
      </c>
      <c r="G31" s="7" t="str">
        <f ca="1"/>
        <v/>
      </c>
      <c r="H31" s="8" t="str">
        <f ca="1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9"/>
  <sheetViews>
    <sheetView showGridLines="0" tabSelected="1" workbookViewId="0"/>
  </sheetViews>
  <sheetFormatPr defaultRowHeight="15" x14ac:dyDescent="0.25"/>
  <cols>
    <col min="2" max="2" width="18.42578125" bestFit="1" customWidth="1"/>
    <col min="3" max="3" width="37.7109375" customWidth="1"/>
    <col min="4" max="4" width="9.28515625" customWidth="1"/>
    <col min="5" max="6" width="15.7109375" customWidth="1"/>
    <col min="7" max="7" width="19.5703125" bestFit="1" customWidth="1"/>
    <col min="8" max="8" width="21.7109375" bestFit="1" customWidth="1"/>
    <col min="9" max="9" width="15.7109375" customWidth="1"/>
    <col min="10" max="10" width="11.7109375" customWidth="1"/>
    <col min="11" max="11" width="17.28515625" bestFit="1" customWidth="1"/>
    <col min="12" max="12" width="9" bestFit="1" customWidth="1"/>
    <col min="13" max="14" width="9.85546875" bestFit="1" customWidth="1"/>
    <col min="15" max="15" width="14.28515625" bestFit="1" customWidth="1"/>
    <col min="16" max="16" width="10.28515625" bestFit="1" customWidth="1"/>
    <col min="17" max="17" width="5.5703125" bestFit="1" customWidth="1"/>
  </cols>
  <sheetData>
    <row r="2" spans="2:17" x14ac:dyDescent="0.25">
      <c r="B2" s="18"/>
    </row>
    <row r="3" spans="2:17" x14ac:dyDescent="0.25">
      <c r="B3" s="17" t="s">
        <v>23</v>
      </c>
      <c r="C3" s="16" t="str">
        <f ca="1">_xll.meLWOBondCreateFromGeneratorLVB(C8,C4,B8:C16)</f>
        <v>US_TREASURY_2.25_31DEC2023@4:6</v>
      </c>
      <c r="E3" s="1" t="s">
        <v>25</v>
      </c>
    </row>
    <row r="4" spans="2:17" x14ac:dyDescent="0.25">
      <c r="B4" s="20" t="s">
        <v>3</v>
      </c>
      <c r="C4" s="24" t="s">
        <v>14</v>
      </c>
      <c r="E4" s="37" t="str">
        <f t="array" aca="1" ref="E4:Q29" ca="1">_xll.meUtilityResize(_xll.meLWOBondDisplayCashflows($C$3,$C$23,$C$24),1000,50)</f>
        <v>AccrualStart</v>
      </c>
      <c r="F4" s="38" t="str">
        <f ca="1"/>
        <v>AccrualEnd</v>
      </c>
      <c r="G4" s="38" t="str">
        <f ca="1"/>
        <v>AccrualYearFractions</v>
      </c>
      <c r="H4" s="38" t="str">
        <f ca="1"/>
        <v>TrueYieldYearFractions</v>
      </c>
      <c r="I4" s="38" t="str">
        <f ca="1"/>
        <v>PaymentDate</v>
      </c>
      <c r="J4" s="38" t="str">
        <f ca="1"/>
        <v>Notional</v>
      </c>
      <c r="K4" s="38" t="str">
        <f ca="1"/>
        <v>NotionalExchange</v>
      </c>
      <c r="L4" s="38" t="str">
        <f ca="1"/>
        <v>Leverage</v>
      </c>
      <c r="M4" s="38" t="str">
        <f ca="1"/>
        <v>FixedRate</v>
      </c>
      <c r="N4" s="38" t="str">
        <f ca="1"/>
        <v>Coupon</v>
      </c>
      <c r="O4" s="38" t="str">
        <f ca="1"/>
        <v>DiscountFactor</v>
      </c>
      <c r="P4" s="38" t="str">
        <f ca="1"/>
        <v>CouponPV</v>
      </c>
      <c r="Q4" s="43" t="str">
        <f ca="1"/>
        <v/>
      </c>
    </row>
    <row r="5" spans="2:17" x14ac:dyDescent="0.25">
      <c r="B5" s="18"/>
      <c r="E5" s="39" t="str">
        <f ca="1"/>
        <v/>
      </c>
      <c r="F5" s="40" t="str">
        <f ca="1"/>
        <v/>
      </c>
      <c r="G5" s="44" t="str">
        <f ca="1"/>
        <v/>
      </c>
      <c r="H5" s="44" t="str">
        <f ca="1"/>
        <v/>
      </c>
      <c r="I5" s="40">
        <f ca="1"/>
        <v>42735</v>
      </c>
      <c r="J5" s="45" t="str">
        <f ca="1"/>
        <v/>
      </c>
      <c r="K5" s="45">
        <f ca="1"/>
        <v>-1000000</v>
      </c>
      <c r="L5" s="44">
        <f ca="1"/>
        <v>1</v>
      </c>
      <c r="M5" s="46" t="str">
        <f ca="1"/>
        <v/>
      </c>
      <c r="N5" s="45">
        <f ca="1"/>
        <v>-1000000</v>
      </c>
      <c r="O5" s="47">
        <f ca="1"/>
        <v>0</v>
      </c>
      <c r="P5" s="45">
        <f ca="1"/>
        <v>0</v>
      </c>
      <c r="Q5" s="48" t="str">
        <f ca="1"/>
        <v/>
      </c>
    </row>
    <row r="6" spans="2:17" x14ac:dyDescent="0.25">
      <c r="B6" s="18"/>
      <c r="E6" s="39">
        <f ca="1"/>
        <v>42735</v>
      </c>
      <c r="F6" s="40">
        <f ca="1"/>
        <v>42916</v>
      </c>
      <c r="G6" s="44">
        <f ca="1"/>
        <v>0.49725274725274698</v>
      </c>
      <c r="H6" s="44">
        <f ca="1"/>
        <v>0.5</v>
      </c>
      <c r="I6" s="40">
        <f ca="1"/>
        <v>42916</v>
      </c>
      <c r="J6" s="45">
        <f ca="1"/>
        <v>1000000</v>
      </c>
      <c r="K6" s="45">
        <f ca="1"/>
        <v>0</v>
      </c>
      <c r="L6" s="44">
        <f ca="1"/>
        <v>1</v>
      </c>
      <c r="M6" s="46">
        <f ca="1"/>
        <v>2.2499999999999999E-2</v>
      </c>
      <c r="N6" s="45">
        <f ca="1"/>
        <v>11188.1868131868</v>
      </c>
      <c r="O6" s="47">
        <f ca="1"/>
        <v>0</v>
      </c>
      <c r="P6" s="45">
        <f ca="1"/>
        <v>0</v>
      </c>
      <c r="Q6" s="48" t="str">
        <f ca="1"/>
        <v/>
      </c>
    </row>
    <row r="7" spans="2:17" x14ac:dyDescent="0.25">
      <c r="B7" s="19" t="s">
        <v>26</v>
      </c>
      <c r="E7" s="39">
        <f ca="1"/>
        <v>42916</v>
      </c>
      <c r="F7" s="40">
        <f ca="1"/>
        <v>43098</v>
      </c>
      <c r="G7" s="44">
        <f ca="1"/>
        <v>0.5</v>
      </c>
      <c r="H7" s="44">
        <f ca="1"/>
        <v>0.49726775956284203</v>
      </c>
      <c r="I7" s="40">
        <f ca="1"/>
        <v>43099</v>
      </c>
      <c r="J7" s="45">
        <f ca="1"/>
        <v>1000000</v>
      </c>
      <c r="K7" s="45">
        <f ca="1"/>
        <v>0</v>
      </c>
      <c r="L7" s="44">
        <f ca="1"/>
        <v>1</v>
      </c>
      <c r="M7" s="46">
        <f ca="1"/>
        <v>2.2499999999999999E-2</v>
      </c>
      <c r="N7" s="45">
        <f ca="1"/>
        <v>11250</v>
      </c>
      <c r="O7" s="47">
        <f ca="1"/>
        <v>0</v>
      </c>
      <c r="P7" s="45">
        <f ca="1"/>
        <v>0</v>
      </c>
      <c r="Q7" s="48" t="str">
        <f ca="1"/>
        <v/>
      </c>
    </row>
    <row r="8" spans="2:17" x14ac:dyDescent="0.25">
      <c r="B8" s="21" t="s">
        <v>5</v>
      </c>
      <c r="C8" s="36" t="s">
        <v>28</v>
      </c>
      <c r="E8" s="39">
        <f ca="1"/>
        <v>43098</v>
      </c>
      <c r="F8" s="40">
        <f ca="1"/>
        <v>43280</v>
      </c>
      <c r="G8" s="44">
        <f ca="1"/>
        <v>0.5</v>
      </c>
      <c r="H8" s="44">
        <f ca="1"/>
        <v>0.5</v>
      </c>
      <c r="I8" s="40">
        <f ca="1"/>
        <v>43281</v>
      </c>
      <c r="J8" s="45">
        <f ca="1"/>
        <v>1000000</v>
      </c>
      <c r="K8" s="45">
        <f ca="1"/>
        <v>0</v>
      </c>
      <c r="L8" s="44">
        <f ca="1"/>
        <v>1</v>
      </c>
      <c r="M8" s="46">
        <f ca="1"/>
        <v>2.2499999999999999E-2</v>
      </c>
      <c r="N8" s="45">
        <f ca="1"/>
        <v>11250</v>
      </c>
      <c r="O8" s="47">
        <f ca="1"/>
        <v>0.98940054704823899</v>
      </c>
      <c r="P8" s="45">
        <f ca="1"/>
        <v>11130.7561542927</v>
      </c>
      <c r="Q8" s="48" t="str">
        <f ca="1"/>
        <v/>
      </c>
    </row>
    <row r="9" spans="2:17" x14ac:dyDescent="0.25">
      <c r="B9" s="23" t="s">
        <v>6</v>
      </c>
      <c r="C9" s="61" t="s">
        <v>27</v>
      </c>
      <c r="E9" s="39">
        <f ca="1"/>
        <v>43280</v>
      </c>
      <c r="F9" s="40">
        <f ca="1"/>
        <v>43465</v>
      </c>
      <c r="G9" s="44">
        <f ca="1"/>
        <v>0.5</v>
      </c>
      <c r="H9" s="44">
        <f ca="1"/>
        <v>0.50546448087431695</v>
      </c>
      <c r="I9" s="40">
        <f ca="1"/>
        <v>43464</v>
      </c>
      <c r="J9" s="45">
        <f ca="1"/>
        <v>1000000</v>
      </c>
      <c r="K9" s="45">
        <f ca="1"/>
        <v>0</v>
      </c>
      <c r="L9" s="44">
        <f ca="1"/>
        <v>1</v>
      </c>
      <c r="M9" s="46">
        <f ca="1"/>
        <v>2.2499999999999999E-2</v>
      </c>
      <c r="N9" s="45">
        <f ca="1"/>
        <v>11250</v>
      </c>
      <c r="O9" s="47">
        <f ca="1"/>
        <v>0.97660587237429397</v>
      </c>
      <c r="P9" s="45">
        <f ca="1"/>
        <v>10986.8160642108</v>
      </c>
      <c r="Q9" s="48" t="str">
        <f ca="1"/>
        <v/>
      </c>
    </row>
    <row r="10" spans="2:17" x14ac:dyDescent="0.25">
      <c r="B10" s="23" t="s">
        <v>7</v>
      </c>
      <c r="C10" s="58">
        <v>42738</v>
      </c>
      <c r="E10" s="39">
        <f ca="1"/>
        <v>43465</v>
      </c>
      <c r="F10" s="40">
        <f ca="1"/>
        <v>43644</v>
      </c>
      <c r="G10" s="44">
        <f ca="1"/>
        <v>0.5</v>
      </c>
      <c r="H10" s="44">
        <f ca="1"/>
        <v>0.49175824175824201</v>
      </c>
      <c r="I10" s="40">
        <f ca="1"/>
        <v>43646</v>
      </c>
      <c r="J10" s="45">
        <f ca="1"/>
        <v>1000000</v>
      </c>
      <c r="K10" s="45">
        <f ca="1"/>
        <v>0</v>
      </c>
      <c r="L10" s="44">
        <f ca="1"/>
        <v>1</v>
      </c>
      <c r="M10" s="46">
        <f ca="1"/>
        <v>2.2499999999999999E-2</v>
      </c>
      <c r="N10" s="45">
        <f ca="1"/>
        <v>11250</v>
      </c>
      <c r="O10" s="47">
        <f ca="1"/>
        <v>0.96397665515890996</v>
      </c>
      <c r="P10" s="45">
        <f ca="1"/>
        <v>10844.737370537699</v>
      </c>
      <c r="Q10" s="48" t="str">
        <f ca="1"/>
        <v/>
      </c>
    </row>
    <row r="11" spans="2:17" x14ac:dyDescent="0.25">
      <c r="B11" s="23" t="s">
        <v>8</v>
      </c>
      <c r="C11" s="58">
        <v>42916</v>
      </c>
      <c r="E11" s="39">
        <f ca="1"/>
        <v>43644</v>
      </c>
      <c r="F11" s="40">
        <f ca="1"/>
        <v>43829</v>
      </c>
      <c r="G11" s="44">
        <f ca="1"/>
        <v>0.5</v>
      </c>
      <c r="H11" s="44">
        <f ca="1"/>
        <v>0.50546448087431695</v>
      </c>
      <c r="I11" s="40">
        <f ca="1"/>
        <v>43829</v>
      </c>
      <c r="J11" s="45">
        <f ca="1"/>
        <v>1000000</v>
      </c>
      <c r="K11" s="45">
        <f ca="1"/>
        <v>0</v>
      </c>
      <c r="L11" s="44">
        <f ca="1"/>
        <v>1</v>
      </c>
      <c r="M11" s="46">
        <f ca="1"/>
        <v>2.2499999999999999E-2</v>
      </c>
      <c r="N11" s="45">
        <f ca="1"/>
        <v>11250</v>
      </c>
      <c r="O11" s="47">
        <f ca="1"/>
        <v>0.95151075574857302</v>
      </c>
      <c r="P11" s="45">
        <f ca="1"/>
        <v>10704.4960021714</v>
      </c>
      <c r="Q11" s="48" t="str">
        <f ca="1"/>
        <v/>
      </c>
    </row>
    <row r="12" spans="2:17" x14ac:dyDescent="0.25">
      <c r="B12" s="23" t="s">
        <v>9</v>
      </c>
      <c r="C12" s="58">
        <v>45107</v>
      </c>
      <c r="E12" s="39">
        <f ca="1"/>
        <v>43829</v>
      </c>
      <c r="F12" s="40">
        <f ca="1"/>
        <v>44012</v>
      </c>
      <c r="G12" s="44">
        <f ca="1"/>
        <v>0.5</v>
      </c>
      <c r="H12" s="44">
        <f ca="1"/>
        <v>0.5</v>
      </c>
      <c r="I12" s="40">
        <f ca="1"/>
        <v>44012</v>
      </c>
      <c r="J12" s="45">
        <f ca="1"/>
        <v>1000000</v>
      </c>
      <c r="K12" s="45">
        <f ca="1"/>
        <v>0</v>
      </c>
      <c r="L12" s="44">
        <f ca="1"/>
        <v>1</v>
      </c>
      <c r="M12" s="46">
        <f ca="1"/>
        <v>2.2499999999999999E-2</v>
      </c>
      <c r="N12" s="45">
        <f ca="1"/>
        <v>11250</v>
      </c>
      <c r="O12" s="47">
        <f ca="1"/>
        <v>0.93920606215922497</v>
      </c>
      <c r="P12" s="45">
        <f ca="1"/>
        <v>10566.0681992913</v>
      </c>
      <c r="Q12" s="48" t="str">
        <f ca="1"/>
        <v/>
      </c>
    </row>
    <row r="13" spans="2:17" x14ac:dyDescent="0.25">
      <c r="B13" s="23" t="s">
        <v>10</v>
      </c>
      <c r="C13" s="58">
        <v>45291</v>
      </c>
      <c r="D13" s="12"/>
      <c r="E13" s="39">
        <f ca="1"/>
        <v>44012</v>
      </c>
      <c r="F13" s="40">
        <f ca="1"/>
        <v>44195</v>
      </c>
      <c r="G13" s="44">
        <f ca="1"/>
        <v>0.5</v>
      </c>
      <c r="H13" s="44">
        <f ca="1"/>
        <v>0.5</v>
      </c>
      <c r="I13" s="40">
        <f ca="1"/>
        <v>44195</v>
      </c>
      <c r="J13" s="45">
        <f ca="1"/>
        <v>1000000</v>
      </c>
      <c r="K13" s="45">
        <f ca="1"/>
        <v>0</v>
      </c>
      <c r="L13" s="44">
        <f ca="1"/>
        <v>1</v>
      </c>
      <c r="M13" s="46">
        <f ca="1"/>
        <v>2.2499999999999999E-2</v>
      </c>
      <c r="N13" s="45">
        <f ca="1"/>
        <v>11250</v>
      </c>
      <c r="O13" s="47">
        <f ca="1"/>
        <v>0.92706048971844301</v>
      </c>
      <c r="P13" s="45">
        <f ca="1"/>
        <v>10429.4305093325</v>
      </c>
      <c r="Q13" s="48" t="str">
        <f ca="1"/>
        <v/>
      </c>
    </row>
    <row r="14" spans="2:17" x14ac:dyDescent="0.25">
      <c r="B14" s="23" t="s">
        <v>11</v>
      </c>
      <c r="C14" s="34">
        <v>2.2499999999999999E-2</v>
      </c>
      <c r="D14" s="12"/>
      <c r="E14" s="39">
        <f ca="1"/>
        <v>44195</v>
      </c>
      <c r="F14" s="40">
        <f ca="1"/>
        <v>44377</v>
      </c>
      <c r="G14" s="44">
        <f ca="1"/>
        <v>0.5</v>
      </c>
      <c r="H14" s="44">
        <f ca="1"/>
        <v>0.5</v>
      </c>
      <c r="I14" s="40">
        <f ca="1"/>
        <v>44377</v>
      </c>
      <c r="J14" s="45">
        <f ca="1"/>
        <v>1000000</v>
      </c>
      <c r="K14" s="45">
        <f ca="1"/>
        <v>0</v>
      </c>
      <c r="L14" s="44">
        <f ca="1"/>
        <v>1</v>
      </c>
      <c r="M14" s="46">
        <f ca="1"/>
        <v>2.2499999999999999E-2</v>
      </c>
      <c r="N14" s="45">
        <f ca="1"/>
        <v>11250</v>
      </c>
      <c r="O14" s="47">
        <f ca="1"/>
        <v>0.91507198071225504</v>
      </c>
      <c r="P14" s="45">
        <f ca="1"/>
        <v>10294.559783012901</v>
      </c>
      <c r="Q14" s="48" t="str">
        <f ca="1"/>
        <v/>
      </c>
    </row>
    <row r="15" spans="2:17" x14ac:dyDescent="0.25">
      <c r="B15" s="23" t="s">
        <v>12</v>
      </c>
      <c r="C15" s="35" t="s">
        <v>15</v>
      </c>
      <c r="D15" s="12"/>
      <c r="E15" s="39">
        <f ca="1"/>
        <v>44377</v>
      </c>
      <c r="F15" s="40">
        <f ca="1"/>
        <v>44560</v>
      </c>
      <c r="G15" s="44">
        <f ca="1"/>
        <v>0.5</v>
      </c>
      <c r="H15" s="44">
        <f ca="1"/>
        <v>0.5</v>
      </c>
      <c r="I15" s="40">
        <f ca="1"/>
        <v>44560</v>
      </c>
      <c r="J15" s="45">
        <f ca="1"/>
        <v>1000000</v>
      </c>
      <c r="K15" s="45">
        <f ca="1"/>
        <v>0</v>
      </c>
      <c r="L15" s="44">
        <f ca="1"/>
        <v>1</v>
      </c>
      <c r="M15" s="46">
        <f ca="1"/>
        <v>2.2499999999999999E-2</v>
      </c>
      <c r="N15" s="45">
        <f ca="1"/>
        <v>11250</v>
      </c>
      <c r="O15" s="47">
        <f ca="1"/>
        <v>0.90323850403651895</v>
      </c>
      <c r="P15" s="45">
        <f ca="1"/>
        <v>10161.433170410801</v>
      </c>
      <c r="Q15" s="48" t="str">
        <f ca="1"/>
        <v/>
      </c>
    </row>
    <row r="16" spans="2:17" x14ac:dyDescent="0.25">
      <c r="B16" s="23" t="s">
        <v>13</v>
      </c>
      <c r="C16" s="62">
        <v>42735</v>
      </c>
      <c r="D16" s="12"/>
      <c r="E16" s="39">
        <f ca="1"/>
        <v>44560</v>
      </c>
      <c r="F16" s="40">
        <f ca="1"/>
        <v>44742</v>
      </c>
      <c r="G16" s="44">
        <f ca="1"/>
        <v>0.5</v>
      </c>
      <c r="H16" s="44">
        <f ca="1"/>
        <v>0.5</v>
      </c>
      <c r="I16" s="40">
        <f ca="1"/>
        <v>44742</v>
      </c>
      <c r="J16" s="45">
        <f ca="1"/>
        <v>1000000</v>
      </c>
      <c r="K16" s="45">
        <f ca="1"/>
        <v>0</v>
      </c>
      <c r="L16" s="44">
        <f ca="1"/>
        <v>1</v>
      </c>
      <c r="M16" s="46">
        <f ca="1"/>
        <v>2.2499999999999999E-2</v>
      </c>
      <c r="N16" s="45">
        <f ca="1"/>
        <v>11250</v>
      </c>
      <c r="O16" s="47">
        <f ca="1"/>
        <v>0.89155805485281303</v>
      </c>
      <c r="P16" s="45">
        <f ca="1"/>
        <v>10030.0281170942</v>
      </c>
      <c r="Q16" s="48" t="str">
        <f ca="1"/>
        <v/>
      </c>
    </row>
    <row r="17" spans="2:17" x14ac:dyDescent="0.25">
      <c r="B17" s="23"/>
      <c r="C17" s="62"/>
      <c r="D17" s="13"/>
      <c r="E17" s="39">
        <f ca="1"/>
        <v>44742</v>
      </c>
      <c r="F17" s="40">
        <f ca="1"/>
        <v>44925</v>
      </c>
      <c r="G17" s="44">
        <f ca="1"/>
        <v>0.5</v>
      </c>
      <c r="H17" s="44">
        <f ca="1"/>
        <v>0.5</v>
      </c>
      <c r="I17" s="40">
        <f ca="1"/>
        <v>44925</v>
      </c>
      <c r="J17" s="45">
        <f ca="1"/>
        <v>1000000</v>
      </c>
      <c r="K17" s="45">
        <f ca="1"/>
        <v>0</v>
      </c>
      <c r="L17" s="44">
        <f ca="1"/>
        <v>1</v>
      </c>
      <c r="M17" s="46">
        <f ca="1"/>
        <v>2.2499999999999999E-2</v>
      </c>
      <c r="N17" s="45">
        <f ca="1"/>
        <v>11250</v>
      </c>
      <c r="O17" s="47">
        <f ca="1"/>
        <v>0.88002865424877197</v>
      </c>
      <c r="P17" s="45">
        <f ca="1"/>
        <v>9900.3223602986891</v>
      </c>
      <c r="Q17" s="48" t="str">
        <f ca="1"/>
        <v/>
      </c>
    </row>
    <row r="18" spans="2:17" x14ac:dyDescent="0.25">
      <c r="B18" s="23"/>
      <c r="C18" s="62"/>
      <c r="D18" s="14"/>
      <c r="E18" s="39">
        <f ca="1"/>
        <v>44925</v>
      </c>
      <c r="F18" s="40">
        <f ca="1"/>
        <v>45107</v>
      </c>
      <c r="G18" s="44">
        <f ca="1"/>
        <v>0.5</v>
      </c>
      <c r="H18" s="44">
        <f ca="1"/>
        <v>0.5</v>
      </c>
      <c r="I18" s="40">
        <f ca="1"/>
        <v>45107</v>
      </c>
      <c r="J18" s="45">
        <f ca="1"/>
        <v>1000000</v>
      </c>
      <c r="K18" s="45">
        <f ca="1"/>
        <v>0</v>
      </c>
      <c r="L18" s="44">
        <f ca="1"/>
        <v>1</v>
      </c>
      <c r="M18" s="46">
        <f ca="1"/>
        <v>2.2499999999999999E-2</v>
      </c>
      <c r="N18" s="45">
        <f ca="1"/>
        <v>11250</v>
      </c>
      <c r="O18" s="47">
        <f ca="1"/>
        <v>0.86864834890281895</v>
      </c>
      <c r="P18" s="45">
        <f ca="1"/>
        <v>9772.2939251567095</v>
      </c>
      <c r="Q18" s="48" t="str">
        <f ca="1"/>
        <v/>
      </c>
    </row>
    <row r="19" spans="2:17" x14ac:dyDescent="0.25">
      <c r="B19" s="22"/>
      <c r="C19" s="59"/>
      <c r="D19" s="15"/>
      <c r="E19" s="39">
        <f ca="1"/>
        <v>45107</v>
      </c>
      <c r="F19" s="40">
        <f ca="1"/>
        <v>45289</v>
      </c>
      <c r="G19" s="44">
        <f ca="1"/>
        <v>0.5</v>
      </c>
      <c r="H19" s="44">
        <f ca="1"/>
        <v>0.49456521739130399</v>
      </c>
      <c r="I19" s="40">
        <f ca="1"/>
        <v>45291</v>
      </c>
      <c r="J19" s="45">
        <f ca="1"/>
        <v>1000000</v>
      </c>
      <c r="K19" s="45">
        <f ca="1"/>
        <v>1000000</v>
      </c>
      <c r="L19" s="44">
        <f ca="1"/>
        <v>1</v>
      </c>
      <c r="M19" s="46">
        <f ca="1"/>
        <v>2.2499999999999999E-2</v>
      </c>
      <c r="N19" s="45">
        <f ca="1"/>
        <v>1011250</v>
      </c>
      <c r="O19" s="47">
        <f ca="1"/>
        <v>0.85741521075323102</v>
      </c>
      <c r="P19" s="45">
        <f ca="1"/>
        <v>867061.13187420496</v>
      </c>
      <c r="Q19" s="48" t="str">
        <f ca="1"/>
        <v/>
      </c>
    </row>
    <row r="20" spans="2:17" x14ac:dyDescent="0.25">
      <c r="E20" s="39" t="str">
        <f ca="1"/>
        <v/>
      </c>
      <c r="F20" s="40" t="str">
        <f ca="1"/>
        <v/>
      </c>
      <c r="G20" s="44" t="str">
        <f ca="1"/>
        <v/>
      </c>
      <c r="H20" s="44" t="str">
        <f ca="1"/>
        <v/>
      </c>
      <c r="I20" s="40" t="str">
        <f ca="1"/>
        <v/>
      </c>
      <c r="J20" s="45" t="str">
        <f ca="1"/>
        <v/>
      </c>
      <c r="K20" s="45" t="str">
        <f ca="1"/>
        <v/>
      </c>
      <c r="L20" s="44" t="str">
        <f ca="1"/>
        <v/>
      </c>
      <c r="M20" s="46" t="str">
        <f ca="1"/>
        <v/>
      </c>
      <c r="N20" s="45" t="str">
        <f ca="1"/>
        <v/>
      </c>
      <c r="O20" s="47" t="str">
        <f ca="1"/>
        <v/>
      </c>
      <c r="P20" s="45" t="str">
        <f ca="1"/>
        <v/>
      </c>
      <c r="Q20" s="48" t="str">
        <f ca="1"/>
        <v/>
      </c>
    </row>
    <row r="21" spans="2:17" x14ac:dyDescent="0.25">
      <c r="E21" s="39" t="str">
        <f ca="1"/>
        <v/>
      </c>
      <c r="F21" s="40" t="str">
        <f ca="1"/>
        <v/>
      </c>
      <c r="G21" s="44" t="str">
        <f ca="1"/>
        <v/>
      </c>
      <c r="H21" s="44" t="str">
        <f ca="1"/>
        <v/>
      </c>
      <c r="I21" s="40" t="str">
        <f ca="1"/>
        <v/>
      </c>
      <c r="J21" s="45" t="str">
        <f ca="1"/>
        <v/>
      </c>
      <c r="K21" s="45" t="str">
        <f ca="1"/>
        <v/>
      </c>
      <c r="L21" s="44" t="str">
        <f ca="1"/>
        <v/>
      </c>
      <c r="M21" s="46" t="str">
        <f ca="1"/>
        <v/>
      </c>
      <c r="N21" s="45" t="str">
        <f ca="1"/>
        <v/>
      </c>
      <c r="O21" s="47" t="str">
        <f ca="1"/>
        <v/>
      </c>
      <c r="P21" s="45" t="str">
        <f ca="1"/>
        <v/>
      </c>
      <c r="Q21" s="48" t="str">
        <f ca="1"/>
        <v/>
      </c>
    </row>
    <row r="22" spans="2:17" x14ac:dyDescent="0.25">
      <c r="B22" s="19" t="s">
        <v>24</v>
      </c>
      <c r="E22" s="39" t="str">
        <f ca="1"/>
        <v/>
      </c>
      <c r="F22" s="40" t="str">
        <f ca="1"/>
        <v/>
      </c>
      <c r="G22" s="44" t="str">
        <f ca="1"/>
        <v/>
      </c>
      <c r="H22" s="44" t="str">
        <f ca="1"/>
        <v/>
      </c>
      <c r="I22" s="40" t="str">
        <f ca="1"/>
        <v/>
      </c>
      <c r="J22" s="45" t="str">
        <f ca="1"/>
        <v/>
      </c>
      <c r="K22" s="45" t="str">
        <f ca="1"/>
        <v/>
      </c>
      <c r="L22" s="44" t="str">
        <f ca="1"/>
        <v/>
      </c>
      <c r="M22" s="46" t="str">
        <f ca="1"/>
        <v/>
      </c>
      <c r="N22" s="45" t="str">
        <f ca="1"/>
        <v/>
      </c>
      <c r="O22" s="47" t="str">
        <f ca="1"/>
        <v/>
      </c>
      <c r="P22" s="45" t="str">
        <f ca="1"/>
        <v/>
      </c>
      <c r="Q22" s="48" t="str">
        <f ca="1"/>
        <v/>
      </c>
    </row>
    <row r="23" spans="2:17" x14ac:dyDescent="0.25">
      <c r="B23" s="54" t="s">
        <v>21</v>
      </c>
      <c r="C23" s="26">
        <f ca="1">TODAY()</f>
        <v>43132</v>
      </c>
      <c r="E23" s="39" t="str">
        <f ca="1"/>
        <v/>
      </c>
      <c r="F23" s="40" t="str">
        <f ca="1"/>
        <v/>
      </c>
      <c r="G23" s="44" t="str">
        <f ca="1"/>
        <v/>
      </c>
      <c r="H23" s="44" t="str">
        <f ca="1"/>
        <v/>
      </c>
      <c r="I23" s="40" t="str">
        <f ca="1"/>
        <v/>
      </c>
      <c r="J23" s="45" t="str">
        <f ca="1"/>
        <v/>
      </c>
      <c r="K23" s="45" t="str">
        <f ca="1"/>
        <v/>
      </c>
      <c r="L23" s="44" t="str">
        <f ca="1"/>
        <v/>
      </c>
      <c r="M23" s="46" t="str">
        <f ca="1"/>
        <v/>
      </c>
      <c r="N23" s="45" t="str">
        <f ca="1"/>
        <v/>
      </c>
      <c r="O23" s="47" t="str">
        <f ca="1"/>
        <v/>
      </c>
      <c r="P23" s="45" t="str">
        <f ca="1"/>
        <v/>
      </c>
      <c r="Q23" s="48" t="str">
        <f ca="1"/>
        <v/>
      </c>
    </row>
    <row r="24" spans="2:17" x14ac:dyDescent="0.25">
      <c r="B24" s="55" t="s">
        <v>17</v>
      </c>
      <c r="C24" s="60">
        <v>2.6202329999999999E-2</v>
      </c>
      <c r="E24" s="39" t="str">
        <f ca="1"/>
        <v/>
      </c>
      <c r="F24" s="40" t="str">
        <f ca="1"/>
        <v/>
      </c>
      <c r="G24" s="44" t="str">
        <f ca="1"/>
        <v/>
      </c>
      <c r="H24" s="44" t="str">
        <f ca="1"/>
        <v/>
      </c>
      <c r="I24" s="40" t="str">
        <f ca="1"/>
        <v/>
      </c>
      <c r="J24" s="45" t="str">
        <f ca="1"/>
        <v/>
      </c>
      <c r="K24" s="45" t="str">
        <f ca="1"/>
        <v/>
      </c>
      <c r="L24" s="44" t="str">
        <f ca="1"/>
        <v/>
      </c>
      <c r="M24" s="46" t="str">
        <f ca="1"/>
        <v/>
      </c>
      <c r="N24" s="45" t="str">
        <f ca="1"/>
        <v/>
      </c>
      <c r="O24" s="47" t="str">
        <f ca="1"/>
        <v/>
      </c>
      <c r="P24" s="45" t="str">
        <f ca="1"/>
        <v/>
      </c>
      <c r="Q24" s="48" t="str">
        <f ca="1"/>
        <v/>
      </c>
    </row>
    <row r="25" spans="2:17" x14ac:dyDescent="0.25">
      <c r="B25" s="56" t="s">
        <v>16</v>
      </c>
      <c r="C25" s="30">
        <f ca="1">_xll.meLWOBondCleanPrice($C$3,$C$23,$C$24)</f>
        <v>97.984223836517955</v>
      </c>
      <c r="E25" s="39" t="str">
        <f ca="1"/>
        <v/>
      </c>
      <c r="F25" s="40" t="str">
        <f ca="1"/>
        <v/>
      </c>
      <c r="G25" s="44" t="str">
        <f ca="1"/>
        <v/>
      </c>
      <c r="H25" s="44" t="str">
        <f ca="1"/>
        <v/>
      </c>
      <c r="I25" s="40" t="str">
        <f ca="1"/>
        <v/>
      </c>
      <c r="J25" s="45" t="str">
        <f ca="1"/>
        <v/>
      </c>
      <c r="K25" s="45" t="str">
        <f ca="1"/>
        <v/>
      </c>
      <c r="L25" s="44" t="str">
        <f ca="1"/>
        <v/>
      </c>
      <c r="M25" s="46" t="str">
        <f ca="1"/>
        <v/>
      </c>
      <c r="N25" s="45" t="str">
        <f ca="1"/>
        <v/>
      </c>
      <c r="O25" s="47" t="str">
        <f ca="1"/>
        <v/>
      </c>
      <c r="P25" s="45" t="str">
        <f ca="1"/>
        <v/>
      </c>
      <c r="Q25" s="48" t="str">
        <f ca="1"/>
        <v/>
      </c>
    </row>
    <row r="26" spans="2:17" x14ac:dyDescent="0.25">
      <c r="B26" s="56" t="s">
        <v>18</v>
      </c>
      <c r="C26" s="30">
        <f ca="1">_xll.meLWOBondDirtyPrice($C$3,$C$23,$C$24)</f>
        <v>98.188207353001474</v>
      </c>
      <c r="E26" s="39" t="str">
        <f ca="1"/>
        <v/>
      </c>
      <c r="F26" s="40" t="str">
        <f ca="1"/>
        <v/>
      </c>
      <c r="G26" s="44" t="str">
        <f ca="1"/>
        <v/>
      </c>
      <c r="H26" s="44" t="str">
        <f ca="1"/>
        <v/>
      </c>
      <c r="I26" s="40" t="str">
        <f ca="1"/>
        <v/>
      </c>
      <c r="J26" s="45" t="str">
        <f ca="1"/>
        <v/>
      </c>
      <c r="K26" s="45" t="str">
        <f ca="1"/>
        <v/>
      </c>
      <c r="L26" s="44" t="str">
        <f ca="1"/>
        <v/>
      </c>
      <c r="M26" s="46" t="str">
        <f ca="1"/>
        <v/>
      </c>
      <c r="N26" s="45" t="str">
        <f ca="1"/>
        <v/>
      </c>
      <c r="O26" s="47" t="str">
        <f ca="1"/>
        <v/>
      </c>
      <c r="P26" s="45" t="str">
        <f ca="1"/>
        <v/>
      </c>
      <c r="Q26" s="48" t="str">
        <f ca="1"/>
        <v/>
      </c>
    </row>
    <row r="27" spans="2:17" x14ac:dyDescent="0.25">
      <c r="B27" s="56" t="s">
        <v>19</v>
      </c>
      <c r="C27" s="31">
        <f ca="1">_xll.meLWOBondAccruedInterest($C$3,$C$23)</f>
        <v>2039.8351648351647</v>
      </c>
      <c r="E27" s="39" t="str">
        <f ca="1"/>
        <v/>
      </c>
      <c r="F27" s="40" t="str">
        <f ca="1"/>
        <v/>
      </c>
      <c r="G27" s="44" t="str">
        <f ca="1"/>
        <v/>
      </c>
      <c r="H27" s="44" t="str">
        <f ca="1"/>
        <v/>
      </c>
      <c r="I27" s="40" t="str">
        <f ca="1"/>
        <v/>
      </c>
      <c r="J27" s="45" t="str">
        <f ca="1"/>
        <v/>
      </c>
      <c r="K27" s="45" t="str">
        <f ca="1"/>
        <v/>
      </c>
      <c r="L27" s="44" t="str">
        <f ca="1"/>
        <v/>
      </c>
      <c r="M27" s="46" t="str">
        <f ca="1"/>
        <v/>
      </c>
      <c r="N27" s="45" t="str">
        <f ca="1"/>
        <v/>
      </c>
      <c r="O27" s="47" t="str">
        <f ca="1"/>
        <v/>
      </c>
      <c r="P27" s="45" t="str">
        <f ca="1"/>
        <v/>
      </c>
      <c r="Q27" s="48" t="str">
        <f ca="1"/>
        <v/>
      </c>
    </row>
    <row r="28" spans="2:17" x14ac:dyDescent="0.25">
      <c r="B28" s="56" t="s">
        <v>20</v>
      </c>
      <c r="C28" s="32">
        <f ca="1">_xll.meLWOBondAccruedInterestDays($C$3,$C$23)</f>
        <v>33</v>
      </c>
      <c r="E28" s="39" t="str">
        <f ca="1"/>
        <v/>
      </c>
      <c r="F28" s="40" t="str">
        <f ca="1"/>
        <v/>
      </c>
      <c r="G28" s="44" t="str">
        <f ca="1"/>
        <v/>
      </c>
      <c r="H28" s="44" t="str">
        <f ca="1"/>
        <v/>
      </c>
      <c r="I28" s="40" t="str">
        <f ca="1"/>
        <v/>
      </c>
      <c r="J28" s="45" t="str">
        <f ca="1"/>
        <v/>
      </c>
      <c r="K28" s="45" t="str">
        <f ca="1"/>
        <v/>
      </c>
      <c r="L28" s="44" t="str">
        <f ca="1"/>
        <v/>
      </c>
      <c r="M28" s="46" t="str">
        <f ca="1"/>
        <v/>
      </c>
      <c r="N28" s="45" t="str">
        <f ca="1"/>
        <v/>
      </c>
      <c r="O28" s="47" t="str">
        <f ca="1"/>
        <v/>
      </c>
      <c r="P28" s="45" t="str">
        <f ca="1"/>
        <v/>
      </c>
      <c r="Q28" s="48" t="str">
        <f ca="1"/>
        <v/>
      </c>
    </row>
    <row r="29" spans="2:17" x14ac:dyDescent="0.25">
      <c r="B29" s="57" t="s">
        <v>22</v>
      </c>
      <c r="C29" s="33">
        <f ca="1">_xll.meLWOBondDV01($C$3,$C$23,$C$24)</f>
        <v>537.98603725033456</v>
      </c>
      <c r="E29" s="41" t="str">
        <f ca="1"/>
        <v/>
      </c>
      <c r="F29" s="42" t="str">
        <f ca="1"/>
        <v/>
      </c>
      <c r="G29" s="49" t="str">
        <f ca="1"/>
        <v/>
      </c>
      <c r="H29" s="49" t="str">
        <f ca="1"/>
        <v/>
      </c>
      <c r="I29" s="42" t="str">
        <f ca="1"/>
        <v/>
      </c>
      <c r="J29" s="50" t="str">
        <f ca="1"/>
        <v/>
      </c>
      <c r="K29" s="50" t="str">
        <f ca="1"/>
        <v/>
      </c>
      <c r="L29" s="49" t="str">
        <f ca="1"/>
        <v/>
      </c>
      <c r="M29" s="51" t="str">
        <f ca="1"/>
        <v/>
      </c>
      <c r="N29" s="50" t="str">
        <f ca="1"/>
        <v/>
      </c>
      <c r="O29" s="52" t="str">
        <f ca="1"/>
        <v/>
      </c>
      <c r="P29" s="50" t="str">
        <f ca="1"/>
        <v/>
      </c>
      <c r="Q29" s="53" t="str">
        <f ca="1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9"/>
  <sheetViews>
    <sheetView showGridLines="0" workbookViewId="0"/>
  </sheetViews>
  <sheetFormatPr defaultRowHeight="15" x14ac:dyDescent="0.25"/>
  <cols>
    <col min="2" max="2" width="18.42578125" bestFit="1" customWidth="1"/>
    <col min="3" max="3" width="37.7109375" customWidth="1"/>
    <col min="5" max="6" width="15.7109375" customWidth="1"/>
    <col min="7" max="7" width="19.5703125" bestFit="1" customWidth="1"/>
    <col min="8" max="8" width="21.7109375" bestFit="1" customWidth="1"/>
    <col min="9" max="9" width="15.7109375" customWidth="1"/>
    <col min="10" max="10" width="11.7109375" customWidth="1"/>
    <col min="11" max="11" width="17.28515625" bestFit="1" customWidth="1"/>
    <col min="12" max="12" width="9" bestFit="1" customWidth="1"/>
    <col min="13" max="14" width="9.85546875" bestFit="1" customWidth="1"/>
    <col min="15" max="15" width="14.28515625" bestFit="1" customWidth="1"/>
    <col min="16" max="16" width="10.28515625" bestFit="1" customWidth="1"/>
    <col min="17" max="17" width="5.5703125" bestFit="1" customWidth="1"/>
  </cols>
  <sheetData>
    <row r="2" spans="2:17" x14ac:dyDescent="0.25">
      <c r="B2" s="18"/>
    </row>
    <row r="3" spans="2:17" x14ac:dyDescent="0.25">
      <c r="B3" s="17" t="s">
        <v>23</v>
      </c>
      <c r="C3" s="16" t="str">
        <f ca="1">_xll.meLWOBondCreateFromGeneratorLVB(C8,C4,B8:C16)</f>
        <v>BUNDESREPUBLIK_2.00_15AUG2023@5:2</v>
      </c>
      <c r="E3" s="1" t="s">
        <v>25</v>
      </c>
    </row>
    <row r="4" spans="2:17" x14ac:dyDescent="0.25">
      <c r="B4" s="20" t="s">
        <v>3</v>
      </c>
      <c r="C4" s="24" t="str">
        <f ca="1">'BOND GENERATOR'!B7</f>
        <v>GERMAN_BUND_TYPE60</v>
      </c>
      <c r="E4" s="37" t="str">
        <f t="array" aca="1" ref="E4:Q29" ca="1">_xll.meUtilityResize(_xll.meLWOBondDisplayCashflows($C$3,$C$23,$C$24),1000,50)</f>
        <v>AccrualStart</v>
      </c>
      <c r="F4" s="38" t="str">
        <f ca="1"/>
        <v>AccrualEnd</v>
      </c>
      <c r="G4" s="38" t="str">
        <f ca="1"/>
        <v>AccrualYearFractions</v>
      </c>
      <c r="H4" s="38" t="str">
        <f ca="1"/>
        <v>TrueYieldYearFractions</v>
      </c>
      <c r="I4" s="38" t="str">
        <f ca="1"/>
        <v>PaymentDate</v>
      </c>
      <c r="J4" s="38" t="str">
        <f ca="1"/>
        <v>Notional</v>
      </c>
      <c r="K4" s="38" t="str">
        <f ca="1"/>
        <v>NotionalExchange</v>
      </c>
      <c r="L4" s="38" t="str">
        <f ca="1"/>
        <v>Leverage</v>
      </c>
      <c r="M4" s="38" t="str">
        <f ca="1"/>
        <v>FixedRate</v>
      </c>
      <c r="N4" s="38" t="str">
        <f ca="1"/>
        <v>Coupon</v>
      </c>
      <c r="O4" s="38" t="str">
        <f ca="1"/>
        <v>DiscountFactor</v>
      </c>
      <c r="P4" s="38" t="str">
        <f ca="1"/>
        <v>CouponPV</v>
      </c>
      <c r="Q4" s="43" t="str">
        <f ca="1"/>
        <v/>
      </c>
    </row>
    <row r="5" spans="2:17" x14ac:dyDescent="0.25">
      <c r="B5" s="18"/>
      <c r="E5" s="39" t="str">
        <f ca="1"/>
        <v/>
      </c>
      <c r="F5" s="40" t="str">
        <f ca="1"/>
        <v/>
      </c>
      <c r="G5" s="44" t="str">
        <f ca="1"/>
        <v/>
      </c>
      <c r="H5" s="44" t="str">
        <f ca="1"/>
        <v/>
      </c>
      <c r="I5" s="40">
        <f ca="1"/>
        <v>41501</v>
      </c>
      <c r="J5" s="45" t="str">
        <f ca="1"/>
        <v/>
      </c>
      <c r="K5" s="45">
        <f ca="1"/>
        <v>-1000000</v>
      </c>
      <c r="L5" s="44">
        <f ca="1"/>
        <v>1</v>
      </c>
      <c r="M5" s="46" t="str">
        <f ca="1"/>
        <v/>
      </c>
      <c r="N5" s="45">
        <f ca="1"/>
        <v>-1000000</v>
      </c>
      <c r="O5" s="47">
        <f ca="1"/>
        <v>0</v>
      </c>
      <c r="P5" s="45">
        <f ca="1"/>
        <v>0</v>
      </c>
      <c r="Q5" s="48" t="str">
        <f ca="1"/>
        <v/>
      </c>
    </row>
    <row r="6" spans="2:17" x14ac:dyDescent="0.25">
      <c r="B6" s="18"/>
      <c r="C6" s="18"/>
      <c r="E6" s="39">
        <f ca="1"/>
        <v>41501</v>
      </c>
      <c r="F6" s="40">
        <f ca="1"/>
        <v>41866</v>
      </c>
      <c r="G6" s="44">
        <f ca="1"/>
        <v>1</v>
      </c>
      <c r="H6" s="44">
        <f ca="1"/>
        <v>1</v>
      </c>
      <c r="I6" s="40">
        <f ca="1"/>
        <v>41866</v>
      </c>
      <c r="J6" s="45">
        <f ca="1"/>
        <v>1000000</v>
      </c>
      <c r="K6" s="45">
        <f ca="1"/>
        <v>0</v>
      </c>
      <c r="L6" s="44">
        <f ca="1"/>
        <v>1</v>
      </c>
      <c r="M6" s="46">
        <f ca="1"/>
        <v>0.02</v>
      </c>
      <c r="N6" s="45">
        <f ca="1"/>
        <v>20000</v>
      </c>
      <c r="O6" s="47">
        <f ca="1"/>
        <v>0</v>
      </c>
      <c r="P6" s="45">
        <f ca="1"/>
        <v>0</v>
      </c>
      <c r="Q6" s="48" t="str">
        <f ca="1"/>
        <v/>
      </c>
    </row>
    <row r="7" spans="2:17" x14ac:dyDescent="0.25">
      <c r="B7" s="19" t="s">
        <v>26</v>
      </c>
      <c r="E7" s="39">
        <f ca="1"/>
        <v>41866</v>
      </c>
      <c r="F7" s="40">
        <f ca="1"/>
        <v>42233</v>
      </c>
      <c r="G7" s="44">
        <f ca="1"/>
        <v>1</v>
      </c>
      <c r="H7" s="44">
        <f ca="1"/>
        <v>1.0054794520547901</v>
      </c>
      <c r="I7" s="40">
        <f ca="1"/>
        <v>42231</v>
      </c>
      <c r="J7" s="45">
        <f ca="1"/>
        <v>1000000</v>
      </c>
      <c r="K7" s="45">
        <f ca="1"/>
        <v>0</v>
      </c>
      <c r="L7" s="44">
        <f ca="1"/>
        <v>1</v>
      </c>
      <c r="M7" s="46">
        <f ca="1"/>
        <v>0.02</v>
      </c>
      <c r="N7" s="45">
        <f ca="1"/>
        <v>20000</v>
      </c>
      <c r="O7" s="47">
        <f ca="1"/>
        <v>0</v>
      </c>
      <c r="P7" s="45">
        <f ca="1"/>
        <v>0</v>
      </c>
      <c r="Q7" s="48" t="str">
        <f ca="1"/>
        <v/>
      </c>
    </row>
    <row r="8" spans="2:17" x14ac:dyDescent="0.25">
      <c r="B8" s="21" t="s">
        <v>5</v>
      </c>
      <c r="C8" s="36" t="s">
        <v>30</v>
      </c>
      <c r="E8" s="39">
        <f ca="1"/>
        <v>42233</v>
      </c>
      <c r="F8" s="40">
        <f ca="1"/>
        <v>42597</v>
      </c>
      <c r="G8" s="44">
        <f ca="1"/>
        <v>1</v>
      </c>
      <c r="H8" s="44">
        <f ca="1"/>
        <v>0.99453551912568305</v>
      </c>
      <c r="I8" s="40">
        <f ca="1"/>
        <v>42597</v>
      </c>
      <c r="J8" s="45">
        <f ca="1"/>
        <v>1000000</v>
      </c>
      <c r="K8" s="45">
        <f ca="1"/>
        <v>0</v>
      </c>
      <c r="L8" s="44">
        <f ca="1"/>
        <v>1</v>
      </c>
      <c r="M8" s="46">
        <f ca="1"/>
        <v>0.02</v>
      </c>
      <c r="N8" s="45">
        <f ca="1"/>
        <v>20000</v>
      </c>
      <c r="O8" s="47">
        <f ca="1"/>
        <v>0</v>
      </c>
      <c r="P8" s="45">
        <f ca="1"/>
        <v>0</v>
      </c>
      <c r="Q8" s="48" t="str">
        <f ca="1"/>
        <v/>
      </c>
    </row>
    <row r="9" spans="2:17" x14ac:dyDescent="0.25">
      <c r="B9" s="23" t="s">
        <v>6</v>
      </c>
      <c r="C9" s="61" t="s">
        <v>29</v>
      </c>
      <c r="E9" s="39">
        <f ca="1"/>
        <v>42597</v>
      </c>
      <c r="F9" s="40">
        <f ca="1"/>
        <v>42962</v>
      </c>
      <c r="G9" s="44">
        <f ca="1"/>
        <v>1</v>
      </c>
      <c r="H9" s="44">
        <f ca="1"/>
        <v>1</v>
      </c>
      <c r="I9" s="40">
        <f ca="1"/>
        <v>42962</v>
      </c>
      <c r="J9" s="45">
        <f ca="1"/>
        <v>1000000</v>
      </c>
      <c r="K9" s="45">
        <f ca="1"/>
        <v>0</v>
      </c>
      <c r="L9" s="44">
        <f ca="1"/>
        <v>1</v>
      </c>
      <c r="M9" s="46">
        <f ca="1"/>
        <v>0.02</v>
      </c>
      <c r="N9" s="45">
        <f ca="1"/>
        <v>20000</v>
      </c>
      <c r="O9" s="47">
        <f ca="1"/>
        <v>0</v>
      </c>
      <c r="P9" s="45">
        <f ca="1"/>
        <v>0</v>
      </c>
      <c r="Q9" s="48" t="str">
        <f ca="1"/>
        <v/>
      </c>
    </row>
    <row r="10" spans="2:17" x14ac:dyDescent="0.25">
      <c r="B10" s="23" t="s">
        <v>7</v>
      </c>
      <c r="C10" s="58">
        <v>41530</v>
      </c>
      <c r="E10" s="39">
        <f ca="1"/>
        <v>42962</v>
      </c>
      <c r="F10" s="40">
        <f ca="1"/>
        <v>43327</v>
      </c>
      <c r="G10" s="44">
        <f ca="1"/>
        <v>1</v>
      </c>
      <c r="H10" s="44">
        <f ca="1"/>
        <v>1</v>
      </c>
      <c r="I10" s="40">
        <f ca="1"/>
        <v>43327</v>
      </c>
      <c r="J10" s="45">
        <f ca="1"/>
        <v>1000000</v>
      </c>
      <c r="K10" s="45">
        <f ca="1"/>
        <v>0</v>
      </c>
      <c r="L10" s="44">
        <f ca="1"/>
        <v>1</v>
      </c>
      <c r="M10" s="46">
        <f ca="1"/>
        <v>0.02</v>
      </c>
      <c r="N10" s="45">
        <f ca="1"/>
        <v>20000</v>
      </c>
      <c r="O10" s="47">
        <f ca="1"/>
        <v>1.0012996615207701</v>
      </c>
      <c r="P10" s="45">
        <f ca="1"/>
        <v>20025.993230415301</v>
      </c>
      <c r="Q10" s="48" t="str">
        <f ca="1"/>
        <v/>
      </c>
    </row>
    <row r="11" spans="2:17" x14ac:dyDescent="0.25">
      <c r="B11" s="23" t="s">
        <v>8</v>
      </c>
      <c r="C11" s="58">
        <v>41866</v>
      </c>
      <c r="E11" s="39">
        <f ca="1"/>
        <v>43327</v>
      </c>
      <c r="F11" s="40">
        <f ca="1"/>
        <v>43692</v>
      </c>
      <c r="G11" s="44">
        <f ca="1"/>
        <v>1</v>
      </c>
      <c r="H11" s="44">
        <f ca="1"/>
        <v>1</v>
      </c>
      <c r="I11" s="40">
        <f ca="1"/>
        <v>43692</v>
      </c>
      <c r="J11" s="45">
        <f ca="1"/>
        <v>1000000</v>
      </c>
      <c r="K11" s="45">
        <f ca="1"/>
        <v>0</v>
      </c>
      <c r="L11" s="44">
        <f ca="1"/>
        <v>1</v>
      </c>
      <c r="M11" s="46">
        <f ca="1"/>
        <v>0.02</v>
      </c>
      <c r="N11" s="45">
        <f ca="1"/>
        <v>20000</v>
      </c>
      <c r="O11" s="47">
        <f ca="1"/>
        <v>1.0037369028621701</v>
      </c>
      <c r="P11" s="45">
        <f ca="1"/>
        <v>20074.738057243401</v>
      </c>
      <c r="Q11" s="48" t="str">
        <f ca="1"/>
        <v/>
      </c>
    </row>
    <row r="12" spans="2:17" x14ac:dyDescent="0.25">
      <c r="B12" s="23" t="s">
        <v>9</v>
      </c>
      <c r="C12" s="58">
        <v>44788</v>
      </c>
      <c r="E12" s="39">
        <f ca="1"/>
        <v>43692</v>
      </c>
      <c r="F12" s="40">
        <f ca="1"/>
        <v>44060</v>
      </c>
      <c r="G12" s="44">
        <f ca="1"/>
        <v>1</v>
      </c>
      <c r="H12" s="44">
        <f ca="1"/>
        <v>1.0054644808743201</v>
      </c>
      <c r="I12" s="40">
        <f ca="1"/>
        <v>44058</v>
      </c>
      <c r="J12" s="45">
        <f ca="1"/>
        <v>1000000</v>
      </c>
      <c r="K12" s="45">
        <f ca="1"/>
        <v>0</v>
      </c>
      <c r="L12" s="44">
        <f ca="1"/>
        <v>1</v>
      </c>
      <c r="M12" s="46">
        <f ca="1"/>
        <v>0.02</v>
      </c>
      <c r="N12" s="45">
        <f ca="1"/>
        <v>20000</v>
      </c>
      <c r="O12" s="47">
        <f ca="1"/>
        <v>1.0061800766387701</v>
      </c>
      <c r="P12" s="45">
        <f ca="1"/>
        <v>20123.601532775501</v>
      </c>
      <c r="Q12" s="48" t="str">
        <f ca="1"/>
        <v/>
      </c>
    </row>
    <row r="13" spans="2:17" x14ac:dyDescent="0.25">
      <c r="B13" s="23" t="s">
        <v>10</v>
      </c>
      <c r="C13" s="58">
        <v>45153</v>
      </c>
      <c r="D13" s="12"/>
      <c r="E13" s="39">
        <f ca="1"/>
        <v>44060</v>
      </c>
      <c r="F13" s="40">
        <f ca="1"/>
        <v>44424</v>
      </c>
      <c r="G13" s="44">
        <f ca="1"/>
        <v>1</v>
      </c>
      <c r="H13" s="44">
        <f ca="1"/>
        <v>0.99726027397260297</v>
      </c>
      <c r="I13" s="40">
        <f ca="1"/>
        <v>44423</v>
      </c>
      <c r="J13" s="45">
        <f ca="1"/>
        <v>1000000</v>
      </c>
      <c r="K13" s="45">
        <f ca="1"/>
        <v>0</v>
      </c>
      <c r="L13" s="44">
        <f ca="1"/>
        <v>1</v>
      </c>
      <c r="M13" s="46">
        <f ca="1"/>
        <v>0.02</v>
      </c>
      <c r="N13" s="45">
        <f ca="1"/>
        <v>20000</v>
      </c>
      <c r="O13" s="47">
        <f ca="1"/>
        <v>1.0086291972905801</v>
      </c>
      <c r="P13" s="45">
        <f ca="1"/>
        <v>20172.583945811701</v>
      </c>
      <c r="Q13" s="48" t="str">
        <f ca="1"/>
        <v/>
      </c>
    </row>
    <row r="14" spans="2:17" x14ac:dyDescent="0.25">
      <c r="B14" s="23" t="s">
        <v>11</v>
      </c>
      <c r="C14" s="34">
        <v>0.02</v>
      </c>
      <c r="D14" s="12"/>
      <c r="E14" s="39">
        <f ca="1"/>
        <v>44424</v>
      </c>
      <c r="F14" s="40">
        <f ca="1"/>
        <v>44788</v>
      </c>
      <c r="G14" s="44">
        <f ca="1"/>
        <v>1</v>
      </c>
      <c r="H14" s="44">
        <f ca="1"/>
        <v>0.99726027397260297</v>
      </c>
      <c r="I14" s="40">
        <f ca="1"/>
        <v>44788</v>
      </c>
      <c r="J14" s="45">
        <f ca="1"/>
        <v>1000000</v>
      </c>
      <c r="K14" s="45">
        <f ca="1"/>
        <v>0</v>
      </c>
      <c r="L14" s="44">
        <f ca="1"/>
        <v>1</v>
      </c>
      <c r="M14" s="46">
        <f ca="1"/>
        <v>0.02</v>
      </c>
      <c r="N14" s="45">
        <f ca="1"/>
        <v>20000</v>
      </c>
      <c r="O14" s="47">
        <f ca="1"/>
        <v>1.0110842792927599</v>
      </c>
      <c r="P14" s="45">
        <f ca="1"/>
        <v>20221.685585855201</v>
      </c>
      <c r="Q14" s="48" t="str">
        <f ca="1"/>
        <v/>
      </c>
    </row>
    <row r="15" spans="2:17" x14ac:dyDescent="0.25">
      <c r="B15" s="23" t="s">
        <v>12</v>
      </c>
      <c r="C15" s="35" t="s">
        <v>15</v>
      </c>
      <c r="D15" s="12"/>
      <c r="E15" s="39">
        <f ca="1"/>
        <v>44788</v>
      </c>
      <c r="F15" s="40">
        <f ca="1"/>
        <v>45153</v>
      </c>
      <c r="G15" s="44">
        <f ca="1"/>
        <v>1</v>
      </c>
      <c r="H15" s="44">
        <f ca="1"/>
        <v>1</v>
      </c>
      <c r="I15" s="40">
        <f ca="1"/>
        <v>45153</v>
      </c>
      <c r="J15" s="45">
        <f ca="1"/>
        <v>1000000</v>
      </c>
      <c r="K15" s="45">
        <f ca="1"/>
        <v>1000000</v>
      </c>
      <c r="L15" s="44">
        <f ca="1"/>
        <v>1</v>
      </c>
      <c r="M15" s="46">
        <f ca="1"/>
        <v>0.02</v>
      </c>
      <c r="N15" s="45">
        <f ca="1"/>
        <v>1020000</v>
      </c>
      <c r="O15" s="47">
        <f ca="1"/>
        <v>1.01354533715569</v>
      </c>
      <c r="P15" s="45">
        <f ca="1"/>
        <v>1033816.24389881</v>
      </c>
      <c r="Q15" s="48" t="str">
        <f ca="1"/>
        <v/>
      </c>
    </row>
    <row r="16" spans="2:17" x14ac:dyDescent="0.25">
      <c r="B16" s="23" t="s">
        <v>13</v>
      </c>
      <c r="C16" s="62">
        <v>41501</v>
      </c>
      <c r="D16" s="12"/>
      <c r="E16" s="39" t="str">
        <f ca="1"/>
        <v/>
      </c>
      <c r="F16" s="40" t="str">
        <f ca="1"/>
        <v/>
      </c>
      <c r="G16" s="44" t="str">
        <f ca="1"/>
        <v/>
      </c>
      <c r="H16" s="44" t="str">
        <f ca="1"/>
        <v/>
      </c>
      <c r="I16" s="40" t="str">
        <f ca="1"/>
        <v/>
      </c>
      <c r="J16" s="45" t="str">
        <f ca="1"/>
        <v/>
      </c>
      <c r="K16" s="45" t="str">
        <f ca="1"/>
        <v/>
      </c>
      <c r="L16" s="44" t="str">
        <f ca="1"/>
        <v/>
      </c>
      <c r="M16" s="46" t="str">
        <f ca="1"/>
        <v/>
      </c>
      <c r="N16" s="45" t="str">
        <f ca="1"/>
        <v/>
      </c>
      <c r="O16" s="47" t="str">
        <f ca="1"/>
        <v/>
      </c>
      <c r="P16" s="45" t="str">
        <f ca="1"/>
        <v/>
      </c>
      <c r="Q16" s="48" t="str">
        <f ca="1"/>
        <v/>
      </c>
    </row>
    <row r="17" spans="2:17" x14ac:dyDescent="0.25">
      <c r="B17" s="23"/>
      <c r="C17" s="62"/>
      <c r="D17" s="13"/>
      <c r="E17" s="39" t="str">
        <f ca="1"/>
        <v/>
      </c>
      <c r="F17" s="40" t="str">
        <f ca="1"/>
        <v/>
      </c>
      <c r="G17" s="44" t="str">
        <f ca="1"/>
        <v/>
      </c>
      <c r="H17" s="44" t="str">
        <f ca="1"/>
        <v/>
      </c>
      <c r="I17" s="40" t="str">
        <f ca="1"/>
        <v/>
      </c>
      <c r="J17" s="45" t="str">
        <f ca="1"/>
        <v/>
      </c>
      <c r="K17" s="45" t="str">
        <f ca="1"/>
        <v/>
      </c>
      <c r="L17" s="44" t="str">
        <f ca="1"/>
        <v/>
      </c>
      <c r="M17" s="46" t="str">
        <f ca="1"/>
        <v/>
      </c>
      <c r="N17" s="45" t="str">
        <f ca="1"/>
        <v/>
      </c>
      <c r="O17" s="47" t="str">
        <f ca="1"/>
        <v/>
      </c>
      <c r="P17" s="45" t="str">
        <f ca="1"/>
        <v/>
      </c>
      <c r="Q17" s="48" t="str">
        <f ca="1"/>
        <v/>
      </c>
    </row>
    <row r="18" spans="2:17" x14ac:dyDescent="0.25">
      <c r="B18" s="23"/>
      <c r="C18" s="62"/>
      <c r="D18" s="14"/>
      <c r="E18" s="39" t="str">
        <f ca="1"/>
        <v/>
      </c>
      <c r="F18" s="40" t="str">
        <f ca="1"/>
        <v/>
      </c>
      <c r="G18" s="44" t="str">
        <f ca="1"/>
        <v/>
      </c>
      <c r="H18" s="44" t="str">
        <f ca="1"/>
        <v/>
      </c>
      <c r="I18" s="40" t="str">
        <f ca="1"/>
        <v/>
      </c>
      <c r="J18" s="45" t="str">
        <f ca="1"/>
        <v/>
      </c>
      <c r="K18" s="45" t="str">
        <f ca="1"/>
        <v/>
      </c>
      <c r="L18" s="44" t="str">
        <f ca="1"/>
        <v/>
      </c>
      <c r="M18" s="46" t="str">
        <f ca="1"/>
        <v/>
      </c>
      <c r="N18" s="45" t="str">
        <f ca="1"/>
        <v/>
      </c>
      <c r="O18" s="47" t="str">
        <f ca="1"/>
        <v/>
      </c>
      <c r="P18" s="45" t="str">
        <f ca="1"/>
        <v/>
      </c>
      <c r="Q18" s="48" t="str">
        <f ca="1"/>
        <v/>
      </c>
    </row>
    <row r="19" spans="2:17" x14ac:dyDescent="0.25">
      <c r="B19" s="22"/>
      <c r="C19" s="59"/>
      <c r="D19" s="15"/>
      <c r="E19" s="39" t="str">
        <f ca="1"/>
        <v/>
      </c>
      <c r="F19" s="40" t="str">
        <f ca="1"/>
        <v/>
      </c>
      <c r="G19" s="44" t="str">
        <f ca="1"/>
        <v/>
      </c>
      <c r="H19" s="44" t="str">
        <f ca="1"/>
        <v/>
      </c>
      <c r="I19" s="40" t="str">
        <f ca="1"/>
        <v/>
      </c>
      <c r="J19" s="45" t="str">
        <f ca="1"/>
        <v/>
      </c>
      <c r="K19" s="45" t="str">
        <f ca="1"/>
        <v/>
      </c>
      <c r="L19" s="44" t="str">
        <f ca="1"/>
        <v/>
      </c>
      <c r="M19" s="46" t="str">
        <f ca="1"/>
        <v/>
      </c>
      <c r="N19" s="45" t="str">
        <f ca="1"/>
        <v/>
      </c>
      <c r="O19" s="47" t="str">
        <f ca="1"/>
        <v/>
      </c>
      <c r="P19" s="45" t="str">
        <f ca="1"/>
        <v/>
      </c>
      <c r="Q19" s="48" t="str">
        <f ca="1"/>
        <v/>
      </c>
    </row>
    <row r="20" spans="2:17" x14ac:dyDescent="0.25">
      <c r="E20" s="39" t="str">
        <f ca="1"/>
        <v/>
      </c>
      <c r="F20" s="40" t="str">
        <f ca="1"/>
        <v/>
      </c>
      <c r="G20" s="44" t="str">
        <f ca="1"/>
        <v/>
      </c>
      <c r="H20" s="44" t="str">
        <f ca="1"/>
        <v/>
      </c>
      <c r="I20" s="40" t="str">
        <f ca="1"/>
        <v/>
      </c>
      <c r="J20" s="45" t="str">
        <f ca="1"/>
        <v/>
      </c>
      <c r="K20" s="45" t="str">
        <f ca="1"/>
        <v/>
      </c>
      <c r="L20" s="44" t="str">
        <f ca="1"/>
        <v/>
      </c>
      <c r="M20" s="46" t="str">
        <f ca="1"/>
        <v/>
      </c>
      <c r="N20" s="45" t="str">
        <f ca="1"/>
        <v/>
      </c>
      <c r="O20" s="47" t="str">
        <f ca="1"/>
        <v/>
      </c>
      <c r="P20" s="45" t="str">
        <f ca="1"/>
        <v/>
      </c>
      <c r="Q20" s="48" t="str">
        <f ca="1"/>
        <v/>
      </c>
    </row>
    <row r="21" spans="2:17" x14ac:dyDescent="0.25">
      <c r="E21" s="39" t="str">
        <f ca="1"/>
        <v/>
      </c>
      <c r="F21" s="40" t="str">
        <f ca="1"/>
        <v/>
      </c>
      <c r="G21" s="44" t="str">
        <f ca="1"/>
        <v/>
      </c>
      <c r="H21" s="44" t="str">
        <f ca="1"/>
        <v/>
      </c>
      <c r="I21" s="40" t="str">
        <f ca="1"/>
        <v/>
      </c>
      <c r="J21" s="45" t="str">
        <f ca="1"/>
        <v/>
      </c>
      <c r="K21" s="45" t="str">
        <f ca="1"/>
        <v/>
      </c>
      <c r="L21" s="44" t="str">
        <f ca="1"/>
        <v/>
      </c>
      <c r="M21" s="46" t="str">
        <f ca="1"/>
        <v/>
      </c>
      <c r="N21" s="45" t="str">
        <f ca="1"/>
        <v/>
      </c>
      <c r="O21" s="47" t="str">
        <f ca="1"/>
        <v/>
      </c>
      <c r="P21" s="45" t="str">
        <f ca="1"/>
        <v/>
      </c>
      <c r="Q21" s="48" t="str">
        <f ca="1"/>
        <v/>
      </c>
    </row>
    <row r="22" spans="2:17" x14ac:dyDescent="0.25">
      <c r="B22" s="19" t="s">
        <v>24</v>
      </c>
      <c r="E22" s="39" t="str">
        <f ca="1"/>
        <v/>
      </c>
      <c r="F22" s="40" t="str">
        <f ca="1"/>
        <v/>
      </c>
      <c r="G22" s="44" t="str">
        <f ca="1"/>
        <v/>
      </c>
      <c r="H22" s="44" t="str">
        <f ca="1"/>
        <v/>
      </c>
      <c r="I22" s="40" t="str">
        <f ca="1"/>
        <v/>
      </c>
      <c r="J22" s="45" t="str">
        <f ca="1"/>
        <v/>
      </c>
      <c r="K22" s="45" t="str">
        <f ca="1"/>
        <v/>
      </c>
      <c r="L22" s="44" t="str">
        <f ca="1"/>
        <v/>
      </c>
      <c r="M22" s="46" t="str">
        <f ca="1"/>
        <v/>
      </c>
      <c r="N22" s="45" t="str">
        <f ca="1"/>
        <v/>
      </c>
      <c r="O22" s="47" t="str">
        <f ca="1"/>
        <v/>
      </c>
      <c r="P22" s="45" t="str">
        <f ca="1"/>
        <v/>
      </c>
      <c r="Q22" s="48" t="str">
        <f ca="1"/>
        <v/>
      </c>
    </row>
    <row r="23" spans="2:17" x14ac:dyDescent="0.25">
      <c r="B23" s="25" t="s">
        <v>21</v>
      </c>
      <c r="C23" s="26">
        <f ca="1">TODAY()</f>
        <v>43132</v>
      </c>
      <c r="E23" s="39" t="str">
        <f ca="1"/>
        <v/>
      </c>
      <c r="F23" s="40" t="str">
        <f ca="1"/>
        <v/>
      </c>
      <c r="G23" s="44" t="str">
        <f ca="1"/>
        <v/>
      </c>
      <c r="H23" s="44" t="str">
        <f ca="1"/>
        <v/>
      </c>
      <c r="I23" s="40" t="str">
        <f ca="1"/>
        <v/>
      </c>
      <c r="J23" s="45" t="str">
        <f ca="1"/>
        <v/>
      </c>
      <c r="K23" s="45" t="str">
        <f ca="1"/>
        <v/>
      </c>
      <c r="L23" s="44" t="str">
        <f ca="1"/>
        <v/>
      </c>
      <c r="M23" s="46" t="str">
        <f ca="1"/>
        <v/>
      </c>
      <c r="N23" s="45" t="str">
        <f ca="1"/>
        <v/>
      </c>
      <c r="O23" s="47" t="str">
        <f ca="1"/>
        <v/>
      </c>
      <c r="P23" s="45" t="str">
        <f ca="1"/>
        <v/>
      </c>
      <c r="Q23" s="48" t="str">
        <f ca="1"/>
        <v/>
      </c>
    </row>
    <row r="24" spans="2:17" x14ac:dyDescent="0.25">
      <c r="B24" s="27" t="s">
        <v>17</v>
      </c>
      <c r="C24" s="60">
        <v>-2.4281675152669799E-3</v>
      </c>
      <c r="E24" s="39" t="str">
        <f ca="1"/>
        <v/>
      </c>
      <c r="F24" s="40" t="str">
        <f ca="1"/>
        <v/>
      </c>
      <c r="G24" s="44" t="str">
        <f ca="1"/>
        <v/>
      </c>
      <c r="H24" s="44" t="str">
        <f ca="1"/>
        <v/>
      </c>
      <c r="I24" s="40" t="str">
        <f ca="1"/>
        <v/>
      </c>
      <c r="J24" s="45" t="str">
        <f ca="1"/>
        <v/>
      </c>
      <c r="K24" s="45" t="str">
        <f ca="1"/>
        <v/>
      </c>
      <c r="L24" s="44" t="str">
        <f ca="1"/>
        <v/>
      </c>
      <c r="M24" s="46" t="str">
        <f ca="1"/>
        <v/>
      </c>
      <c r="N24" s="45" t="str">
        <f ca="1"/>
        <v/>
      </c>
      <c r="O24" s="47" t="str">
        <f ca="1"/>
        <v/>
      </c>
      <c r="P24" s="45" t="str">
        <f ca="1"/>
        <v/>
      </c>
      <c r="Q24" s="48" t="str">
        <f ca="1"/>
        <v/>
      </c>
    </row>
    <row r="25" spans="2:17" x14ac:dyDescent="0.25">
      <c r="B25" s="28" t="s">
        <v>16</v>
      </c>
      <c r="C25" s="30">
        <f ca="1">_xll.meLWOBondCleanPrice($C$3,$C$23,$C$24)</f>
        <v>112.5119777757757</v>
      </c>
      <c r="E25" s="39" t="str">
        <f ca="1"/>
        <v/>
      </c>
      <c r="F25" s="40" t="str">
        <f ca="1"/>
        <v/>
      </c>
      <c r="G25" s="44" t="str">
        <f ca="1"/>
        <v/>
      </c>
      <c r="H25" s="44" t="str">
        <f ca="1"/>
        <v/>
      </c>
      <c r="I25" s="40" t="str">
        <f ca="1"/>
        <v/>
      </c>
      <c r="J25" s="45" t="str">
        <f ca="1"/>
        <v/>
      </c>
      <c r="K25" s="45" t="str">
        <f ca="1"/>
        <v/>
      </c>
      <c r="L25" s="44" t="str">
        <f ca="1"/>
        <v/>
      </c>
      <c r="M25" s="46" t="str">
        <f ca="1"/>
        <v/>
      </c>
      <c r="N25" s="45" t="str">
        <f ca="1"/>
        <v/>
      </c>
      <c r="O25" s="47" t="str">
        <f ca="1"/>
        <v/>
      </c>
      <c r="P25" s="45" t="str">
        <f ca="1"/>
        <v/>
      </c>
      <c r="Q25" s="48" t="str">
        <f ca="1"/>
        <v/>
      </c>
    </row>
    <row r="26" spans="2:17" x14ac:dyDescent="0.25">
      <c r="B26" s="28" t="s">
        <v>18</v>
      </c>
      <c r="C26" s="30">
        <f ca="1">_xll.meLWOBondDirtyPrice($C$3,$C$23,$C$24)</f>
        <v>113.44348462509078</v>
      </c>
      <c r="E26" s="39" t="str">
        <f ca="1"/>
        <v/>
      </c>
      <c r="F26" s="40" t="str">
        <f ca="1"/>
        <v/>
      </c>
      <c r="G26" s="44" t="str">
        <f ca="1"/>
        <v/>
      </c>
      <c r="H26" s="44" t="str">
        <f ca="1"/>
        <v/>
      </c>
      <c r="I26" s="40" t="str">
        <f ca="1"/>
        <v/>
      </c>
      <c r="J26" s="45" t="str">
        <f ca="1"/>
        <v/>
      </c>
      <c r="K26" s="45" t="str">
        <f ca="1"/>
        <v/>
      </c>
      <c r="L26" s="44" t="str">
        <f ca="1"/>
        <v/>
      </c>
      <c r="M26" s="46" t="str">
        <f ca="1"/>
        <v/>
      </c>
      <c r="N26" s="45" t="str">
        <f ca="1"/>
        <v/>
      </c>
      <c r="O26" s="47" t="str">
        <f ca="1"/>
        <v/>
      </c>
      <c r="P26" s="45" t="str">
        <f ca="1"/>
        <v/>
      </c>
      <c r="Q26" s="48" t="str">
        <f ca="1"/>
        <v/>
      </c>
    </row>
    <row r="27" spans="2:17" x14ac:dyDescent="0.25">
      <c r="B27" s="28" t="s">
        <v>19</v>
      </c>
      <c r="C27" s="31">
        <f ca="1">_xll.meLWOBondAccruedInterest($C$3,$C$23)</f>
        <v>9315.0684931506839</v>
      </c>
      <c r="E27" s="39" t="str">
        <f ca="1"/>
        <v/>
      </c>
      <c r="F27" s="40" t="str">
        <f ca="1"/>
        <v/>
      </c>
      <c r="G27" s="44" t="str">
        <f ca="1"/>
        <v/>
      </c>
      <c r="H27" s="44" t="str">
        <f ca="1"/>
        <v/>
      </c>
      <c r="I27" s="40" t="str">
        <f ca="1"/>
        <v/>
      </c>
      <c r="J27" s="45" t="str">
        <f ca="1"/>
        <v/>
      </c>
      <c r="K27" s="45" t="str">
        <f ca="1"/>
        <v/>
      </c>
      <c r="L27" s="44" t="str">
        <f ca="1"/>
        <v/>
      </c>
      <c r="M27" s="46" t="str">
        <f ca="1"/>
        <v/>
      </c>
      <c r="N27" s="45" t="str">
        <f ca="1"/>
        <v/>
      </c>
      <c r="O27" s="47" t="str">
        <f ca="1"/>
        <v/>
      </c>
      <c r="P27" s="45" t="str">
        <f ca="1"/>
        <v/>
      </c>
      <c r="Q27" s="48" t="str">
        <f ca="1"/>
        <v/>
      </c>
    </row>
    <row r="28" spans="2:17" x14ac:dyDescent="0.25">
      <c r="B28" s="28" t="s">
        <v>20</v>
      </c>
      <c r="C28" s="32">
        <f ca="1">_xll.meLWOBondAccruedInterestDays($C$3,$C$23)</f>
        <v>170</v>
      </c>
      <c r="E28" s="39" t="str">
        <f ca="1"/>
        <v/>
      </c>
      <c r="F28" s="40" t="str">
        <f ca="1"/>
        <v/>
      </c>
      <c r="G28" s="44" t="str">
        <f ca="1"/>
        <v/>
      </c>
      <c r="H28" s="44" t="str">
        <f ca="1"/>
        <v/>
      </c>
      <c r="I28" s="40" t="str">
        <f ca="1"/>
        <v/>
      </c>
      <c r="J28" s="45" t="str">
        <f ca="1"/>
        <v/>
      </c>
      <c r="K28" s="45" t="str">
        <f ca="1"/>
        <v/>
      </c>
      <c r="L28" s="44" t="str">
        <f ca="1"/>
        <v/>
      </c>
      <c r="M28" s="46" t="str">
        <f ca="1"/>
        <v/>
      </c>
      <c r="N28" s="45" t="str">
        <f ca="1"/>
        <v/>
      </c>
      <c r="O28" s="47" t="str">
        <f ca="1"/>
        <v/>
      </c>
      <c r="P28" s="45" t="str">
        <f ca="1"/>
        <v/>
      </c>
      <c r="Q28" s="48" t="str">
        <f ca="1"/>
        <v/>
      </c>
    </row>
    <row r="29" spans="2:17" x14ac:dyDescent="0.25">
      <c r="B29" s="29" t="s">
        <v>22</v>
      </c>
      <c r="C29" s="33">
        <f ca="1">_xll.meLWOBondDV01($C$3,$C$23,$C$24)</f>
        <v>599.14237669174156</v>
      </c>
      <c r="E29" s="41" t="str">
        <f ca="1"/>
        <v/>
      </c>
      <c r="F29" s="42" t="str">
        <f ca="1"/>
        <v/>
      </c>
      <c r="G29" s="49" t="str">
        <f ca="1"/>
        <v/>
      </c>
      <c r="H29" s="49" t="str">
        <f ca="1"/>
        <v/>
      </c>
      <c r="I29" s="42" t="str">
        <f ca="1"/>
        <v/>
      </c>
      <c r="J29" s="50" t="str">
        <f ca="1"/>
        <v/>
      </c>
      <c r="K29" s="50" t="str">
        <f ca="1"/>
        <v/>
      </c>
      <c r="L29" s="49" t="str">
        <f ca="1"/>
        <v/>
      </c>
      <c r="M29" s="51" t="str">
        <f ca="1"/>
        <v/>
      </c>
      <c r="N29" s="50" t="str">
        <f ca="1"/>
        <v/>
      </c>
      <c r="O29" s="52" t="str">
        <f ca="1"/>
        <v/>
      </c>
      <c r="P29" s="50" t="str">
        <f ca="1"/>
        <v/>
      </c>
      <c r="Q29" s="53" t="str">
        <f ca="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9"/>
  <sheetViews>
    <sheetView showGridLines="0" workbookViewId="0"/>
  </sheetViews>
  <sheetFormatPr defaultRowHeight="15" x14ac:dyDescent="0.25"/>
  <cols>
    <col min="2" max="2" width="18.42578125" bestFit="1" customWidth="1"/>
    <col min="3" max="3" width="37.7109375" customWidth="1"/>
    <col min="5" max="6" width="15.7109375" customWidth="1"/>
    <col min="7" max="7" width="19.5703125" bestFit="1" customWidth="1"/>
    <col min="8" max="8" width="21.7109375" bestFit="1" customWidth="1"/>
    <col min="9" max="9" width="15.7109375" customWidth="1"/>
    <col min="10" max="10" width="11.7109375" customWidth="1"/>
    <col min="11" max="11" width="17.28515625" bestFit="1" customWidth="1"/>
    <col min="12" max="12" width="9" bestFit="1" customWidth="1"/>
    <col min="13" max="14" width="9.85546875" bestFit="1" customWidth="1"/>
    <col min="15" max="15" width="14.28515625" bestFit="1" customWidth="1"/>
    <col min="16" max="16" width="10.28515625" bestFit="1" customWidth="1"/>
    <col min="17" max="17" width="5.5703125" bestFit="1" customWidth="1"/>
  </cols>
  <sheetData>
    <row r="2" spans="2:17" x14ac:dyDescent="0.25">
      <c r="B2" s="18"/>
    </row>
    <row r="3" spans="2:17" x14ac:dyDescent="0.25">
      <c r="B3" s="17" t="s">
        <v>23</v>
      </c>
      <c r="C3" s="16" t="str">
        <f ca="1">_xll.meLWOBondCreateFromGeneratorLVB(C8,C4,B8:C16)</f>
        <v>JAPAN_JGB_2.20_20JUN2024@3:2</v>
      </c>
      <c r="E3" s="1" t="s">
        <v>25</v>
      </c>
    </row>
    <row r="4" spans="2:17" x14ac:dyDescent="0.25">
      <c r="B4" s="20" t="s">
        <v>3</v>
      </c>
      <c r="C4" s="24" t="s">
        <v>31</v>
      </c>
      <c r="E4" s="37" t="str">
        <f t="array" aca="1" ref="E4:Q29" ca="1">_xll.meUtilityResize(_xll.meLWOBondDisplayCashflows($C$3,$C$23,$C$24),1000,50)</f>
        <v>AccrualStart</v>
      </c>
      <c r="F4" s="38" t="str">
        <f ca="1"/>
        <v>AccrualEnd</v>
      </c>
      <c r="G4" s="38" t="str">
        <f ca="1"/>
        <v>AccrualYearFractions</v>
      </c>
      <c r="H4" s="38" t="str">
        <f ca="1"/>
        <v>TrueYieldYearFractions</v>
      </c>
      <c r="I4" s="38" t="str">
        <f ca="1"/>
        <v>PaymentDate</v>
      </c>
      <c r="J4" s="38" t="str">
        <f ca="1"/>
        <v>Notional</v>
      </c>
      <c r="K4" s="38" t="str">
        <f ca="1"/>
        <v>NotionalExchange</v>
      </c>
      <c r="L4" s="38" t="str">
        <f ca="1"/>
        <v>Leverage</v>
      </c>
      <c r="M4" s="38" t="str">
        <f ca="1"/>
        <v>FixedRate</v>
      </c>
      <c r="N4" s="38" t="str">
        <f ca="1"/>
        <v>Coupon</v>
      </c>
      <c r="O4" s="38" t="str">
        <f ca="1"/>
        <v>DiscountFactor</v>
      </c>
      <c r="P4" s="38" t="str">
        <f ca="1"/>
        <v>CouponPV</v>
      </c>
      <c r="Q4" s="43" t="str">
        <f ca="1"/>
        <v/>
      </c>
    </row>
    <row r="5" spans="2:17" x14ac:dyDescent="0.25">
      <c r="B5" s="18"/>
      <c r="E5" s="39" t="str">
        <f ca="1"/>
        <v/>
      </c>
      <c r="F5" s="40" t="str">
        <f ca="1"/>
        <v/>
      </c>
      <c r="G5" s="44" t="str">
        <f ca="1"/>
        <v/>
      </c>
      <c r="H5" s="44" t="str">
        <f ca="1"/>
        <v/>
      </c>
      <c r="I5" s="40">
        <f ca="1"/>
        <v>41810</v>
      </c>
      <c r="J5" s="45" t="str">
        <f ca="1"/>
        <v/>
      </c>
      <c r="K5" s="45">
        <f ca="1"/>
        <v>-1000000</v>
      </c>
      <c r="L5" s="44">
        <f ca="1"/>
        <v>1</v>
      </c>
      <c r="M5" s="46" t="str">
        <f ca="1"/>
        <v/>
      </c>
      <c r="N5" s="45">
        <f ca="1"/>
        <v>-1000000</v>
      </c>
      <c r="O5" s="47">
        <f ca="1"/>
        <v>0</v>
      </c>
      <c r="P5" s="45">
        <f ca="1"/>
        <v>0</v>
      </c>
      <c r="Q5" s="48" t="str">
        <f ca="1"/>
        <v/>
      </c>
    </row>
    <row r="6" spans="2:17" x14ac:dyDescent="0.25">
      <c r="B6" s="18"/>
      <c r="C6" s="18"/>
      <c r="E6" s="39">
        <f ca="1"/>
        <v>41810</v>
      </c>
      <c r="F6" s="40">
        <f ca="1"/>
        <v>41995</v>
      </c>
      <c r="G6" s="44">
        <f ca="1"/>
        <v>0.5</v>
      </c>
      <c r="H6" s="44">
        <f ca="1"/>
        <v>0.50684931506849296</v>
      </c>
      <c r="I6" s="40">
        <f ca="1"/>
        <v>41993</v>
      </c>
      <c r="J6" s="45">
        <f ca="1"/>
        <v>1000000</v>
      </c>
      <c r="K6" s="45">
        <f ca="1"/>
        <v>0</v>
      </c>
      <c r="L6" s="44">
        <f ca="1"/>
        <v>1</v>
      </c>
      <c r="M6" s="46">
        <f ca="1"/>
        <v>2.1999999999999999E-2</v>
      </c>
      <c r="N6" s="45">
        <f ca="1"/>
        <v>11000</v>
      </c>
      <c r="O6" s="47">
        <f ca="1"/>
        <v>0</v>
      </c>
      <c r="P6" s="45">
        <f ca="1"/>
        <v>0</v>
      </c>
      <c r="Q6" s="48" t="str">
        <f ca="1"/>
        <v/>
      </c>
    </row>
    <row r="7" spans="2:17" x14ac:dyDescent="0.25">
      <c r="B7" s="19" t="s">
        <v>26</v>
      </c>
      <c r="E7" s="39">
        <f ca="1"/>
        <v>41995</v>
      </c>
      <c r="F7" s="40">
        <f ca="1"/>
        <v>42177</v>
      </c>
      <c r="G7" s="44">
        <f ca="1"/>
        <v>0.5</v>
      </c>
      <c r="H7" s="44">
        <f ca="1"/>
        <v>0.49863013698630099</v>
      </c>
      <c r="I7" s="40">
        <f ca="1"/>
        <v>42175</v>
      </c>
      <c r="J7" s="45">
        <f ca="1"/>
        <v>1000000</v>
      </c>
      <c r="K7" s="45">
        <f ca="1"/>
        <v>0</v>
      </c>
      <c r="L7" s="44">
        <f ca="1"/>
        <v>1</v>
      </c>
      <c r="M7" s="46">
        <f ca="1"/>
        <v>2.1999999999999999E-2</v>
      </c>
      <c r="N7" s="45">
        <f ca="1"/>
        <v>11000</v>
      </c>
      <c r="O7" s="47">
        <f ca="1"/>
        <v>0</v>
      </c>
      <c r="P7" s="45">
        <f ca="1"/>
        <v>0</v>
      </c>
      <c r="Q7" s="48" t="str">
        <f ca="1"/>
        <v/>
      </c>
    </row>
    <row r="8" spans="2:17" x14ac:dyDescent="0.25">
      <c r="B8" s="21" t="s">
        <v>5</v>
      </c>
      <c r="C8" s="36" t="s">
        <v>33</v>
      </c>
      <c r="E8" s="39">
        <f ca="1"/>
        <v>42177</v>
      </c>
      <c r="F8" s="40">
        <f ca="1"/>
        <v>42359</v>
      </c>
      <c r="G8" s="44">
        <f ca="1"/>
        <v>0.5</v>
      </c>
      <c r="H8" s="44">
        <f ca="1"/>
        <v>0.49863013698630099</v>
      </c>
      <c r="I8" s="40">
        <f ca="1"/>
        <v>42358</v>
      </c>
      <c r="J8" s="45">
        <f ca="1"/>
        <v>1000000</v>
      </c>
      <c r="K8" s="45">
        <f ca="1"/>
        <v>0</v>
      </c>
      <c r="L8" s="44">
        <f ca="1"/>
        <v>1</v>
      </c>
      <c r="M8" s="46">
        <f ca="1"/>
        <v>2.1999999999999999E-2</v>
      </c>
      <c r="N8" s="45">
        <f ca="1"/>
        <v>11000</v>
      </c>
      <c r="O8" s="47">
        <f ca="1"/>
        <v>0</v>
      </c>
      <c r="P8" s="45">
        <f ca="1"/>
        <v>0</v>
      </c>
      <c r="Q8" s="48" t="str">
        <f ca="1"/>
        <v/>
      </c>
    </row>
    <row r="9" spans="2:17" x14ac:dyDescent="0.25">
      <c r="B9" s="23" t="s">
        <v>6</v>
      </c>
      <c r="C9" s="61" t="s">
        <v>32</v>
      </c>
      <c r="E9" s="39">
        <f ca="1"/>
        <v>42359</v>
      </c>
      <c r="F9" s="40">
        <f ca="1"/>
        <v>42541</v>
      </c>
      <c r="G9" s="44">
        <f ca="1"/>
        <v>0.5</v>
      </c>
      <c r="H9" s="44">
        <f ca="1"/>
        <v>0.49589041095890402</v>
      </c>
      <c r="I9" s="40">
        <f ca="1"/>
        <v>42541</v>
      </c>
      <c r="J9" s="45">
        <f ca="1"/>
        <v>1000000</v>
      </c>
      <c r="K9" s="45">
        <f ca="1"/>
        <v>0</v>
      </c>
      <c r="L9" s="44">
        <f ca="1"/>
        <v>1</v>
      </c>
      <c r="M9" s="46">
        <f ca="1"/>
        <v>2.1999999999999999E-2</v>
      </c>
      <c r="N9" s="45">
        <f ca="1"/>
        <v>11000</v>
      </c>
      <c r="O9" s="47">
        <f ca="1"/>
        <v>0</v>
      </c>
      <c r="P9" s="45">
        <f ca="1"/>
        <v>0</v>
      </c>
      <c r="Q9" s="48" t="str">
        <f ca="1"/>
        <v/>
      </c>
    </row>
    <row r="10" spans="2:17" x14ac:dyDescent="0.25">
      <c r="B10" s="23" t="s">
        <v>7</v>
      </c>
      <c r="C10" s="58">
        <v>41881</v>
      </c>
      <c r="E10" s="39">
        <f ca="1"/>
        <v>42541</v>
      </c>
      <c r="F10" s="40">
        <f ca="1"/>
        <v>42724</v>
      </c>
      <c r="G10" s="44">
        <f ca="1"/>
        <v>0.5</v>
      </c>
      <c r="H10" s="44">
        <f ca="1"/>
        <v>0.50136986301369901</v>
      </c>
      <c r="I10" s="40">
        <f ca="1"/>
        <v>42724</v>
      </c>
      <c r="J10" s="45">
        <f ca="1"/>
        <v>1000000</v>
      </c>
      <c r="K10" s="45">
        <f ca="1"/>
        <v>0</v>
      </c>
      <c r="L10" s="44">
        <f ca="1"/>
        <v>1</v>
      </c>
      <c r="M10" s="46">
        <f ca="1"/>
        <v>2.1999999999999999E-2</v>
      </c>
      <c r="N10" s="45">
        <f ca="1"/>
        <v>11000</v>
      </c>
      <c r="O10" s="47">
        <f ca="1"/>
        <v>0</v>
      </c>
      <c r="P10" s="45">
        <f ca="1"/>
        <v>0</v>
      </c>
      <c r="Q10" s="48" t="str">
        <f ca="1"/>
        <v/>
      </c>
    </row>
    <row r="11" spans="2:17" x14ac:dyDescent="0.25">
      <c r="B11" s="23" t="s">
        <v>8</v>
      </c>
      <c r="C11" s="58">
        <v>41993</v>
      </c>
      <c r="E11" s="39">
        <f ca="1"/>
        <v>42724</v>
      </c>
      <c r="F11" s="40">
        <f ca="1"/>
        <v>42906</v>
      </c>
      <c r="G11" s="44">
        <f ca="1"/>
        <v>0.5</v>
      </c>
      <c r="H11" s="44">
        <f ca="1"/>
        <v>0.49863013698630099</v>
      </c>
      <c r="I11" s="40">
        <f ca="1"/>
        <v>42906</v>
      </c>
      <c r="J11" s="45">
        <f ca="1"/>
        <v>1000000</v>
      </c>
      <c r="K11" s="45">
        <f ca="1"/>
        <v>0</v>
      </c>
      <c r="L11" s="44">
        <f ca="1"/>
        <v>1</v>
      </c>
      <c r="M11" s="46">
        <f ca="1"/>
        <v>2.1999999999999999E-2</v>
      </c>
      <c r="N11" s="45">
        <f ca="1"/>
        <v>11000</v>
      </c>
      <c r="O11" s="47">
        <f ca="1"/>
        <v>0</v>
      </c>
      <c r="P11" s="45">
        <f ca="1"/>
        <v>0</v>
      </c>
      <c r="Q11" s="48" t="str">
        <f ca="1"/>
        <v/>
      </c>
    </row>
    <row r="12" spans="2:17" x14ac:dyDescent="0.25">
      <c r="B12" s="23" t="s">
        <v>9</v>
      </c>
      <c r="C12" s="58">
        <v>45280</v>
      </c>
      <c r="E12" s="39">
        <f ca="1"/>
        <v>42906</v>
      </c>
      <c r="F12" s="40">
        <f ca="1"/>
        <v>43089</v>
      </c>
      <c r="G12" s="44">
        <f ca="1"/>
        <v>0.5</v>
      </c>
      <c r="H12" s="44">
        <f ca="1"/>
        <v>0.50136986301369901</v>
      </c>
      <c r="I12" s="40">
        <f ca="1"/>
        <v>43089</v>
      </c>
      <c r="J12" s="45">
        <f ca="1"/>
        <v>1000000</v>
      </c>
      <c r="K12" s="45">
        <f ca="1"/>
        <v>0</v>
      </c>
      <c r="L12" s="44">
        <f ca="1"/>
        <v>1</v>
      </c>
      <c r="M12" s="46">
        <f ca="1"/>
        <v>2.1999999999999999E-2</v>
      </c>
      <c r="N12" s="45">
        <f ca="1"/>
        <v>11000</v>
      </c>
      <c r="O12" s="47">
        <f ca="1"/>
        <v>0</v>
      </c>
      <c r="P12" s="45">
        <f ca="1"/>
        <v>0</v>
      </c>
      <c r="Q12" s="48" t="str">
        <f ca="1"/>
        <v/>
      </c>
    </row>
    <row r="13" spans="2:17" x14ac:dyDescent="0.25">
      <c r="B13" s="23" t="s">
        <v>10</v>
      </c>
      <c r="C13" s="58">
        <v>45463</v>
      </c>
      <c r="D13" s="12"/>
      <c r="E13" s="39">
        <f ca="1"/>
        <v>43089</v>
      </c>
      <c r="F13" s="40">
        <f ca="1"/>
        <v>43271</v>
      </c>
      <c r="G13" s="44">
        <f ca="1"/>
        <v>0.5</v>
      </c>
      <c r="H13" s="44">
        <f ca="1"/>
        <v>0.49863013698630099</v>
      </c>
      <c r="I13" s="40">
        <f ca="1"/>
        <v>43271</v>
      </c>
      <c r="J13" s="45">
        <f ca="1"/>
        <v>1000000</v>
      </c>
      <c r="K13" s="45">
        <f ca="1"/>
        <v>0</v>
      </c>
      <c r="L13" s="44">
        <f ca="1"/>
        <v>1</v>
      </c>
      <c r="M13" s="46">
        <f ca="1"/>
        <v>2.1999999999999999E-2</v>
      </c>
      <c r="N13" s="45">
        <f ca="1"/>
        <v>11000</v>
      </c>
      <c r="O13" s="47">
        <f ca="1"/>
        <v>1</v>
      </c>
      <c r="P13" s="45">
        <f ca="1"/>
        <v>11000</v>
      </c>
      <c r="Q13" s="48" t="str">
        <f ca="1"/>
        <v/>
      </c>
    </row>
    <row r="14" spans="2:17" x14ac:dyDescent="0.25">
      <c r="B14" s="23" t="s">
        <v>11</v>
      </c>
      <c r="C14" s="34">
        <v>2.2000000000000002E-2</v>
      </c>
      <c r="D14" s="12"/>
      <c r="E14" s="39">
        <f ca="1"/>
        <v>43271</v>
      </c>
      <c r="F14" s="40">
        <f ca="1"/>
        <v>43454</v>
      </c>
      <c r="G14" s="44">
        <f ca="1"/>
        <v>0.5</v>
      </c>
      <c r="H14" s="44">
        <f ca="1"/>
        <v>0.50136986301369901</v>
      </c>
      <c r="I14" s="40">
        <f ca="1"/>
        <v>43454</v>
      </c>
      <c r="J14" s="45">
        <f ca="1"/>
        <v>1000000</v>
      </c>
      <c r="K14" s="45">
        <f ca="1"/>
        <v>0</v>
      </c>
      <c r="L14" s="44">
        <f ca="1"/>
        <v>1</v>
      </c>
      <c r="M14" s="46">
        <f ca="1"/>
        <v>2.1999999999999999E-2</v>
      </c>
      <c r="N14" s="45">
        <f ca="1"/>
        <v>11000</v>
      </c>
      <c r="O14" s="47">
        <f ca="1"/>
        <v>1</v>
      </c>
      <c r="P14" s="45">
        <f ca="1"/>
        <v>11000</v>
      </c>
      <c r="Q14" s="48" t="str">
        <f ca="1"/>
        <v/>
      </c>
    </row>
    <row r="15" spans="2:17" x14ac:dyDescent="0.25">
      <c r="B15" s="23" t="s">
        <v>12</v>
      </c>
      <c r="C15" s="35"/>
      <c r="D15" s="12"/>
      <c r="E15" s="39">
        <f ca="1"/>
        <v>43454</v>
      </c>
      <c r="F15" s="40">
        <f ca="1"/>
        <v>43636</v>
      </c>
      <c r="G15" s="44">
        <f ca="1"/>
        <v>0.5</v>
      </c>
      <c r="H15" s="44">
        <f ca="1"/>
        <v>0.49863013698630099</v>
      </c>
      <c r="I15" s="40">
        <f ca="1"/>
        <v>43636</v>
      </c>
      <c r="J15" s="45">
        <f ca="1"/>
        <v>1000000</v>
      </c>
      <c r="K15" s="45">
        <f ca="1"/>
        <v>0</v>
      </c>
      <c r="L15" s="44">
        <f ca="1"/>
        <v>1</v>
      </c>
      <c r="M15" s="46">
        <f ca="1"/>
        <v>2.1999999999999999E-2</v>
      </c>
      <c r="N15" s="45">
        <f ca="1"/>
        <v>11000</v>
      </c>
      <c r="O15" s="47">
        <f ca="1"/>
        <v>1</v>
      </c>
      <c r="P15" s="45">
        <f ca="1"/>
        <v>11000</v>
      </c>
      <c r="Q15" s="48" t="str">
        <f ca="1"/>
        <v/>
      </c>
    </row>
    <row r="16" spans="2:17" x14ac:dyDescent="0.25">
      <c r="B16" s="23" t="s">
        <v>13</v>
      </c>
      <c r="C16" s="62">
        <v>41810</v>
      </c>
      <c r="D16" s="12"/>
      <c r="E16" s="39">
        <f ca="1"/>
        <v>43636</v>
      </c>
      <c r="F16" s="40">
        <f ca="1"/>
        <v>43819</v>
      </c>
      <c r="G16" s="44">
        <f ca="1"/>
        <v>0.5</v>
      </c>
      <c r="H16" s="44">
        <f ca="1"/>
        <v>0.50136986301369901</v>
      </c>
      <c r="I16" s="40">
        <f ca="1"/>
        <v>43819</v>
      </c>
      <c r="J16" s="45">
        <f ca="1"/>
        <v>1000000</v>
      </c>
      <c r="K16" s="45">
        <f ca="1"/>
        <v>0</v>
      </c>
      <c r="L16" s="44">
        <f ca="1"/>
        <v>1</v>
      </c>
      <c r="M16" s="46">
        <f ca="1"/>
        <v>2.1999999999999999E-2</v>
      </c>
      <c r="N16" s="45">
        <f ca="1"/>
        <v>11000</v>
      </c>
      <c r="O16" s="47">
        <f ca="1"/>
        <v>1</v>
      </c>
      <c r="P16" s="45">
        <f ca="1"/>
        <v>11000</v>
      </c>
      <c r="Q16" s="48" t="str">
        <f ca="1"/>
        <v/>
      </c>
    </row>
    <row r="17" spans="2:17" x14ac:dyDescent="0.25">
      <c r="B17" s="23"/>
      <c r="C17" s="62"/>
      <c r="D17" s="13"/>
      <c r="E17" s="39">
        <f ca="1"/>
        <v>43819</v>
      </c>
      <c r="F17" s="40">
        <f ca="1"/>
        <v>44004</v>
      </c>
      <c r="G17" s="44">
        <f ca="1"/>
        <v>0.5</v>
      </c>
      <c r="H17" s="44">
        <f ca="1"/>
        <v>0.50410958904109604</v>
      </c>
      <c r="I17" s="40">
        <f ca="1"/>
        <v>44002</v>
      </c>
      <c r="J17" s="45">
        <f ca="1"/>
        <v>1000000</v>
      </c>
      <c r="K17" s="45">
        <f ca="1"/>
        <v>0</v>
      </c>
      <c r="L17" s="44">
        <f ca="1"/>
        <v>1</v>
      </c>
      <c r="M17" s="46">
        <f ca="1"/>
        <v>2.1999999999999999E-2</v>
      </c>
      <c r="N17" s="45">
        <f ca="1"/>
        <v>11000</v>
      </c>
      <c r="O17" s="47">
        <f ca="1"/>
        <v>1</v>
      </c>
      <c r="P17" s="45">
        <f ca="1"/>
        <v>11000</v>
      </c>
      <c r="Q17" s="48" t="str">
        <f ca="1"/>
        <v/>
      </c>
    </row>
    <row r="18" spans="2:17" x14ac:dyDescent="0.25">
      <c r="B18" s="23"/>
      <c r="C18" s="62"/>
      <c r="D18" s="14"/>
      <c r="E18" s="39">
        <f ca="1"/>
        <v>44004</v>
      </c>
      <c r="F18" s="40">
        <f ca="1"/>
        <v>44186</v>
      </c>
      <c r="G18" s="44">
        <f ca="1"/>
        <v>0.5</v>
      </c>
      <c r="H18" s="44">
        <f ca="1"/>
        <v>0.49863013698630099</v>
      </c>
      <c r="I18" s="40">
        <f ca="1"/>
        <v>44185</v>
      </c>
      <c r="J18" s="45">
        <f ca="1"/>
        <v>1000000</v>
      </c>
      <c r="K18" s="45">
        <f ca="1"/>
        <v>0</v>
      </c>
      <c r="L18" s="44">
        <f ca="1"/>
        <v>1</v>
      </c>
      <c r="M18" s="46">
        <f ca="1"/>
        <v>2.1999999999999999E-2</v>
      </c>
      <c r="N18" s="45">
        <f ca="1"/>
        <v>11000</v>
      </c>
      <c r="O18" s="47">
        <f ca="1"/>
        <v>1</v>
      </c>
      <c r="P18" s="45">
        <f ca="1"/>
        <v>11000</v>
      </c>
      <c r="Q18" s="48" t="str">
        <f ca="1"/>
        <v/>
      </c>
    </row>
    <row r="19" spans="2:17" x14ac:dyDescent="0.25">
      <c r="B19" s="22"/>
      <c r="C19" s="59"/>
      <c r="D19" s="15"/>
      <c r="E19" s="39">
        <f ca="1"/>
        <v>44186</v>
      </c>
      <c r="F19" s="40">
        <f ca="1"/>
        <v>44368</v>
      </c>
      <c r="G19" s="44">
        <f ca="1"/>
        <v>0.5</v>
      </c>
      <c r="H19" s="44">
        <f ca="1"/>
        <v>0.49863013698630099</v>
      </c>
      <c r="I19" s="40">
        <f ca="1"/>
        <v>44367</v>
      </c>
      <c r="J19" s="45">
        <f ca="1"/>
        <v>1000000</v>
      </c>
      <c r="K19" s="45">
        <f ca="1"/>
        <v>0</v>
      </c>
      <c r="L19" s="44">
        <f ca="1"/>
        <v>1</v>
      </c>
      <c r="M19" s="46">
        <f ca="1"/>
        <v>2.1999999999999999E-2</v>
      </c>
      <c r="N19" s="45">
        <f ca="1"/>
        <v>11000</v>
      </c>
      <c r="O19" s="47">
        <f ca="1"/>
        <v>1</v>
      </c>
      <c r="P19" s="45">
        <f ca="1"/>
        <v>11000</v>
      </c>
      <c r="Q19" s="48" t="str">
        <f ca="1"/>
        <v/>
      </c>
    </row>
    <row r="20" spans="2:17" x14ac:dyDescent="0.25">
      <c r="E20" s="39">
        <f ca="1"/>
        <v>44368</v>
      </c>
      <c r="F20" s="40">
        <f ca="1"/>
        <v>44550</v>
      </c>
      <c r="G20" s="44">
        <f ca="1"/>
        <v>0.5</v>
      </c>
      <c r="H20" s="44">
        <f ca="1"/>
        <v>0.49863013698630099</v>
      </c>
      <c r="I20" s="40">
        <f ca="1"/>
        <v>44550</v>
      </c>
      <c r="J20" s="45">
        <f ca="1"/>
        <v>1000000</v>
      </c>
      <c r="K20" s="45">
        <f ca="1"/>
        <v>0</v>
      </c>
      <c r="L20" s="44">
        <f ca="1"/>
        <v>1</v>
      </c>
      <c r="M20" s="46">
        <f ca="1"/>
        <v>2.1999999999999999E-2</v>
      </c>
      <c r="N20" s="45">
        <f ca="1"/>
        <v>11000</v>
      </c>
      <c r="O20" s="47">
        <f ca="1"/>
        <v>1</v>
      </c>
      <c r="P20" s="45">
        <f ca="1"/>
        <v>11000</v>
      </c>
      <c r="Q20" s="48" t="str">
        <f ca="1"/>
        <v/>
      </c>
    </row>
    <row r="21" spans="2:17" x14ac:dyDescent="0.25">
      <c r="E21" s="39">
        <f ca="1"/>
        <v>44550</v>
      </c>
      <c r="F21" s="40">
        <f ca="1"/>
        <v>44732</v>
      </c>
      <c r="G21" s="44">
        <f ca="1"/>
        <v>0.5</v>
      </c>
      <c r="H21" s="44">
        <f ca="1"/>
        <v>0.49863013698630099</v>
      </c>
      <c r="I21" s="40">
        <f ca="1"/>
        <v>44732</v>
      </c>
      <c r="J21" s="45">
        <f ca="1"/>
        <v>1000000</v>
      </c>
      <c r="K21" s="45">
        <f ca="1"/>
        <v>0</v>
      </c>
      <c r="L21" s="44">
        <f ca="1"/>
        <v>1</v>
      </c>
      <c r="M21" s="46">
        <f ca="1"/>
        <v>2.1999999999999999E-2</v>
      </c>
      <c r="N21" s="45">
        <f ca="1"/>
        <v>11000</v>
      </c>
      <c r="O21" s="47">
        <f ca="1"/>
        <v>1</v>
      </c>
      <c r="P21" s="45">
        <f ca="1"/>
        <v>11000</v>
      </c>
      <c r="Q21" s="48" t="str">
        <f ca="1"/>
        <v/>
      </c>
    </row>
    <row r="22" spans="2:17" x14ac:dyDescent="0.25">
      <c r="B22" s="19" t="s">
        <v>24</v>
      </c>
      <c r="E22" s="39">
        <f ca="1"/>
        <v>44732</v>
      </c>
      <c r="F22" s="40">
        <f ca="1"/>
        <v>44915</v>
      </c>
      <c r="G22" s="44">
        <f ca="1"/>
        <v>0.5</v>
      </c>
      <c r="H22" s="44">
        <f ca="1"/>
        <v>0.50136986301369901</v>
      </c>
      <c r="I22" s="40">
        <f ca="1"/>
        <v>44915</v>
      </c>
      <c r="J22" s="45">
        <f ca="1"/>
        <v>1000000</v>
      </c>
      <c r="K22" s="45">
        <f ca="1"/>
        <v>0</v>
      </c>
      <c r="L22" s="44">
        <f ca="1"/>
        <v>1</v>
      </c>
      <c r="M22" s="46">
        <f ca="1"/>
        <v>2.1999999999999999E-2</v>
      </c>
      <c r="N22" s="45">
        <f ca="1"/>
        <v>11000</v>
      </c>
      <c r="O22" s="47">
        <f ca="1"/>
        <v>1</v>
      </c>
      <c r="P22" s="45">
        <f ca="1"/>
        <v>11000</v>
      </c>
      <c r="Q22" s="48" t="str">
        <f ca="1"/>
        <v/>
      </c>
    </row>
    <row r="23" spans="2:17" x14ac:dyDescent="0.25">
      <c r="B23" s="25" t="s">
        <v>21</v>
      </c>
      <c r="C23" s="26">
        <f ca="1">TODAY()</f>
        <v>43132</v>
      </c>
      <c r="E23" s="39">
        <f ca="1"/>
        <v>44915</v>
      </c>
      <c r="F23" s="40">
        <f ca="1"/>
        <v>45097</v>
      </c>
      <c r="G23" s="44">
        <f ca="1"/>
        <v>0.5</v>
      </c>
      <c r="H23" s="44">
        <f ca="1"/>
        <v>0.49863013698630099</v>
      </c>
      <c r="I23" s="40">
        <f ca="1"/>
        <v>45097</v>
      </c>
      <c r="J23" s="45">
        <f ca="1"/>
        <v>1000000</v>
      </c>
      <c r="K23" s="45">
        <f ca="1"/>
        <v>0</v>
      </c>
      <c r="L23" s="44">
        <f ca="1"/>
        <v>1</v>
      </c>
      <c r="M23" s="46">
        <f ca="1"/>
        <v>2.1999999999999999E-2</v>
      </c>
      <c r="N23" s="45">
        <f ca="1"/>
        <v>11000</v>
      </c>
      <c r="O23" s="47">
        <f ca="1"/>
        <v>1</v>
      </c>
      <c r="P23" s="45">
        <f ca="1"/>
        <v>11000</v>
      </c>
      <c r="Q23" s="48" t="str">
        <f ca="1"/>
        <v/>
      </c>
    </row>
    <row r="24" spans="2:17" x14ac:dyDescent="0.25">
      <c r="B24" s="27" t="s">
        <v>17</v>
      </c>
      <c r="C24" s="60">
        <v>-3.6999999999999999E-4</v>
      </c>
      <c r="E24" s="39">
        <f ca="1"/>
        <v>45097</v>
      </c>
      <c r="F24" s="40">
        <f ca="1"/>
        <v>45280</v>
      </c>
      <c r="G24" s="44">
        <f ca="1"/>
        <v>0.5</v>
      </c>
      <c r="H24" s="44">
        <f ca="1"/>
        <v>0.50136986301369901</v>
      </c>
      <c r="I24" s="40">
        <f ca="1"/>
        <v>45280</v>
      </c>
      <c r="J24" s="45">
        <f ca="1"/>
        <v>1000000</v>
      </c>
      <c r="K24" s="45">
        <f ca="1"/>
        <v>0</v>
      </c>
      <c r="L24" s="44">
        <f ca="1"/>
        <v>1</v>
      </c>
      <c r="M24" s="46">
        <f ca="1"/>
        <v>2.1999999999999999E-2</v>
      </c>
      <c r="N24" s="45">
        <f ca="1"/>
        <v>11000</v>
      </c>
      <c r="O24" s="47">
        <f ca="1"/>
        <v>1</v>
      </c>
      <c r="P24" s="45">
        <f ca="1"/>
        <v>11000</v>
      </c>
      <c r="Q24" s="48" t="str">
        <f ca="1"/>
        <v/>
      </c>
    </row>
    <row r="25" spans="2:17" x14ac:dyDescent="0.25">
      <c r="B25" s="28" t="s">
        <v>16</v>
      </c>
      <c r="C25" s="30">
        <f ca="1">_xll.meLWOBondCleanPrice($C$3,$C$23,$C$24)</f>
        <v>114.3076776851826</v>
      </c>
      <c r="E25" s="39">
        <f ca="1"/>
        <v>45280</v>
      </c>
      <c r="F25" s="40">
        <f ca="1"/>
        <v>45463</v>
      </c>
      <c r="G25" s="44">
        <f ca="1"/>
        <v>0.5</v>
      </c>
      <c r="H25" s="44">
        <f ca="1"/>
        <v>0.49863013698630099</v>
      </c>
      <c r="I25" s="40">
        <f ca="1"/>
        <v>45463</v>
      </c>
      <c r="J25" s="45">
        <f ca="1"/>
        <v>1000000</v>
      </c>
      <c r="K25" s="45">
        <f ca="1"/>
        <v>1000000</v>
      </c>
      <c r="L25" s="44">
        <f ca="1"/>
        <v>1</v>
      </c>
      <c r="M25" s="46">
        <f ca="1"/>
        <v>2.1999999999999999E-2</v>
      </c>
      <c r="N25" s="45">
        <f ca="1"/>
        <v>1011000</v>
      </c>
      <c r="O25" s="47">
        <f ca="1"/>
        <v>1</v>
      </c>
      <c r="P25" s="45">
        <f ca="1"/>
        <v>1011000</v>
      </c>
      <c r="Q25" s="48" t="str">
        <f ca="1"/>
        <v/>
      </c>
    </row>
    <row r="26" spans="2:17" x14ac:dyDescent="0.25">
      <c r="B26" s="28" t="s">
        <v>18</v>
      </c>
      <c r="C26" s="30">
        <f ca="1">_xll.meLWOBondDirtyPrice($C$3,$C$23,$C$24)</f>
        <v>114.3</v>
      </c>
      <c r="E26" s="39" t="str">
        <f ca="1"/>
        <v/>
      </c>
      <c r="F26" s="40" t="str">
        <f ca="1"/>
        <v/>
      </c>
      <c r="G26" s="44" t="str">
        <f ca="1"/>
        <v/>
      </c>
      <c r="H26" s="44" t="str">
        <f ca="1"/>
        <v/>
      </c>
      <c r="I26" s="40" t="str">
        <f ca="1"/>
        <v/>
      </c>
      <c r="J26" s="45" t="str">
        <f ca="1"/>
        <v/>
      </c>
      <c r="K26" s="45" t="str">
        <f ca="1"/>
        <v/>
      </c>
      <c r="L26" s="44" t="str">
        <f ca="1"/>
        <v/>
      </c>
      <c r="M26" s="46" t="str">
        <f ca="1"/>
        <v/>
      </c>
      <c r="N26" s="45" t="str">
        <f ca="1"/>
        <v/>
      </c>
      <c r="O26" s="47" t="str">
        <f ca="1"/>
        <v/>
      </c>
      <c r="P26" s="45" t="str">
        <f ca="1"/>
        <v/>
      </c>
      <c r="Q26" s="48" t="str">
        <f ca="1"/>
        <v/>
      </c>
    </row>
    <row r="27" spans="2:17" x14ac:dyDescent="0.25">
      <c r="B27" s="28" t="s">
        <v>19</v>
      </c>
      <c r="C27" s="31">
        <f ca="1">_xll.meLWOBondAccruedInterest($C$3,$C$23)</f>
        <v>2591.7800000000002</v>
      </c>
      <c r="E27" s="39" t="str">
        <f ca="1"/>
        <v/>
      </c>
      <c r="F27" s="40" t="str">
        <f ca="1"/>
        <v/>
      </c>
      <c r="G27" s="44" t="str">
        <f ca="1"/>
        <v/>
      </c>
      <c r="H27" s="44" t="str">
        <f ca="1"/>
        <v/>
      </c>
      <c r="I27" s="40" t="str">
        <f ca="1"/>
        <v/>
      </c>
      <c r="J27" s="45" t="str">
        <f ca="1"/>
        <v/>
      </c>
      <c r="K27" s="45" t="str">
        <f ca="1"/>
        <v/>
      </c>
      <c r="L27" s="44" t="str">
        <f ca="1"/>
        <v/>
      </c>
      <c r="M27" s="46" t="str">
        <f ca="1"/>
        <v/>
      </c>
      <c r="N27" s="45" t="str">
        <f ca="1"/>
        <v/>
      </c>
      <c r="O27" s="47" t="str">
        <f ca="1"/>
        <v/>
      </c>
      <c r="P27" s="45" t="str">
        <f ca="1"/>
        <v/>
      </c>
      <c r="Q27" s="48" t="str">
        <f ca="1"/>
        <v/>
      </c>
    </row>
    <row r="28" spans="2:17" x14ac:dyDescent="0.25">
      <c r="B28" s="28" t="s">
        <v>20</v>
      </c>
      <c r="C28" s="32">
        <f ca="1">_xll.meLWOBondAccruedInterestDays($C$3,$C$23)</f>
        <v>43</v>
      </c>
      <c r="E28" s="39" t="str">
        <f ca="1"/>
        <v/>
      </c>
      <c r="F28" s="40" t="str">
        <f ca="1"/>
        <v/>
      </c>
      <c r="G28" s="44" t="str">
        <f ca="1"/>
        <v/>
      </c>
      <c r="H28" s="44" t="str">
        <f ca="1"/>
        <v/>
      </c>
      <c r="I28" s="40" t="str">
        <f ca="1"/>
        <v/>
      </c>
      <c r="J28" s="45" t="str">
        <f ca="1"/>
        <v/>
      </c>
      <c r="K28" s="45" t="str">
        <f ca="1"/>
        <v/>
      </c>
      <c r="L28" s="44" t="str">
        <f ca="1"/>
        <v/>
      </c>
      <c r="M28" s="46" t="str">
        <f ca="1"/>
        <v/>
      </c>
      <c r="N28" s="45" t="str">
        <f ca="1"/>
        <v/>
      </c>
      <c r="O28" s="47" t="str">
        <f ca="1"/>
        <v/>
      </c>
      <c r="P28" s="45" t="str">
        <f ca="1"/>
        <v/>
      </c>
      <c r="Q28" s="48" t="str">
        <f ca="1"/>
        <v/>
      </c>
    </row>
    <row r="29" spans="2:17" x14ac:dyDescent="0.25">
      <c r="B29" s="29" t="s">
        <v>22</v>
      </c>
      <c r="C29" s="33">
        <f ca="1">_xll.meLWOBondDV01($C$3,$C$23,$C$24)</f>
        <v>686.42794520547943</v>
      </c>
      <c r="E29" s="41" t="str">
        <f ca="1"/>
        <v/>
      </c>
      <c r="F29" s="42" t="str">
        <f ca="1"/>
        <v/>
      </c>
      <c r="G29" s="49" t="str">
        <f ca="1"/>
        <v/>
      </c>
      <c r="H29" s="49" t="str">
        <f ca="1"/>
        <v/>
      </c>
      <c r="I29" s="42" t="str">
        <f ca="1"/>
        <v/>
      </c>
      <c r="J29" s="50" t="str">
        <f ca="1"/>
        <v/>
      </c>
      <c r="K29" s="50" t="str">
        <f ca="1"/>
        <v/>
      </c>
      <c r="L29" s="49" t="str">
        <f ca="1"/>
        <v/>
      </c>
      <c r="M29" s="51" t="str">
        <f ca="1"/>
        <v/>
      </c>
      <c r="N29" s="50" t="str">
        <f ca="1"/>
        <v/>
      </c>
      <c r="O29" s="52" t="str">
        <f ca="1"/>
        <v/>
      </c>
      <c r="P29" s="50" t="str">
        <f ca="1"/>
        <v/>
      </c>
      <c r="Q29" s="53" t="str">
        <f ca="1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9"/>
  <sheetViews>
    <sheetView showGridLines="0" workbookViewId="0"/>
  </sheetViews>
  <sheetFormatPr defaultRowHeight="15" x14ac:dyDescent="0.25"/>
  <cols>
    <col min="2" max="2" width="18.42578125" bestFit="1" customWidth="1"/>
    <col min="3" max="3" width="37.7109375" customWidth="1"/>
    <col min="5" max="6" width="15.7109375" customWidth="1"/>
    <col min="7" max="7" width="19.5703125" bestFit="1" customWidth="1"/>
    <col min="8" max="8" width="21.7109375" bestFit="1" customWidth="1"/>
    <col min="9" max="9" width="15.7109375" customWidth="1"/>
    <col min="10" max="10" width="11.7109375" customWidth="1"/>
    <col min="11" max="11" width="17.28515625" bestFit="1" customWidth="1"/>
    <col min="12" max="12" width="9" bestFit="1" customWidth="1"/>
    <col min="13" max="14" width="9.85546875" bestFit="1" customWidth="1"/>
    <col min="15" max="15" width="14.28515625" bestFit="1" customWidth="1"/>
    <col min="16" max="16" width="10.28515625" bestFit="1" customWidth="1"/>
    <col min="17" max="17" width="5.5703125" bestFit="1" customWidth="1"/>
  </cols>
  <sheetData>
    <row r="2" spans="2:17" x14ac:dyDescent="0.25">
      <c r="B2" s="18"/>
    </row>
    <row r="3" spans="2:17" x14ac:dyDescent="0.25">
      <c r="B3" s="17" t="s">
        <v>23</v>
      </c>
      <c r="C3" s="16" t="str">
        <f ca="1">_xll.meLWOBondCreateFromGeneratorLVB(C8,C4,B8:C17)</f>
        <v>FRENCH_OAT_1.750_25MAY2023@2:2</v>
      </c>
      <c r="E3" s="1" t="s">
        <v>25</v>
      </c>
    </row>
    <row r="4" spans="2:17" x14ac:dyDescent="0.25">
      <c r="B4" s="20" t="s">
        <v>3</v>
      </c>
      <c r="C4" s="24" t="s">
        <v>35</v>
      </c>
      <c r="E4" s="37" t="str">
        <f t="array" aca="1" ref="E4:Q29" ca="1">_xll.meUtilityResize(_xll.meLWOBondDisplayCashflows($C$3,$C$23,$C$24),1000,50)</f>
        <v>AccrualStart</v>
      </c>
      <c r="F4" s="38" t="str">
        <f ca="1"/>
        <v>AccrualEnd</v>
      </c>
      <c r="G4" s="38" t="str">
        <f ca="1"/>
        <v>AccrualYearFractions</v>
      </c>
      <c r="H4" s="38" t="str">
        <f ca="1"/>
        <v>TrueYieldYearFractions</v>
      </c>
      <c r="I4" s="38" t="str">
        <f ca="1"/>
        <v>PaymentDate</v>
      </c>
      <c r="J4" s="38" t="str">
        <f ca="1"/>
        <v>Notional</v>
      </c>
      <c r="K4" s="38" t="str">
        <f ca="1"/>
        <v>NotionalExchange</v>
      </c>
      <c r="L4" s="38" t="str">
        <f ca="1"/>
        <v>Leverage</v>
      </c>
      <c r="M4" s="38" t="str">
        <f ca="1"/>
        <v>FixedRate</v>
      </c>
      <c r="N4" s="38" t="str">
        <f ca="1"/>
        <v>Coupon</v>
      </c>
      <c r="O4" s="38" t="str">
        <f ca="1"/>
        <v>DiscountFactor</v>
      </c>
      <c r="P4" s="38" t="str">
        <f ca="1"/>
        <v>CouponPV</v>
      </c>
      <c r="Q4" s="43" t="str">
        <f ca="1"/>
        <v/>
      </c>
    </row>
    <row r="5" spans="2:17" x14ac:dyDescent="0.25">
      <c r="B5" s="18"/>
      <c r="E5" s="39" t="str">
        <f ca="1"/>
        <v/>
      </c>
      <c r="F5" s="40" t="str">
        <f ca="1"/>
        <v/>
      </c>
      <c r="G5" s="44" t="str">
        <f ca="1"/>
        <v/>
      </c>
      <c r="H5" s="44" t="str">
        <f ca="1"/>
        <v/>
      </c>
      <c r="I5" s="40">
        <f ca="1"/>
        <v>41054</v>
      </c>
      <c r="J5" s="45" t="str">
        <f ca="1"/>
        <v/>
      </c>
      <c r="K5" s="45">
        <f ca="1"/>
        <v>-1000000</v>
      </c>
      <c r="L5" s="44">
        <f ca="1"/>
        <v>1</v>
      </c>
      <c r="M5" s="46" t="str">
        <f ca="1"/>
        <v/>
      </c>
      <c r="N5" s="45">
        <f ca="1"/>
        <v>-1000000</v>
      </c>
      <c r="O5" s="47">
        <f ca="1"/>
        <v>0</v>
      </c>
      <c r="P5" s="45">
        <f ca="1"/>
        <v>0</v>
      </c>
      <c r="Q5" s="48" t="str">
        <f ca="1"/>
        <v/>
      </c>
    </row>
    <row r="6" spans="2:17" x14ac:dyDescent="0.25">
      <c r="B6" s="18"/>
      <c r="C6" s="18"/>
      <c r="E6" s="39">
        <f ca="1"/>
        <v>41054</v>
      </c>
      <c r="F6" s="40">
        <f ca="1"/>
        <v>41421</v>
      </c>
      <c r="G6" s="44">
        <f ca="1"/>
        <v>1</v>
      </c>
      <c r="H6" s="44">
        <f ca="1"/>
        <v>1.0054794520547901</v>
      </c>
      <c r="I6" s="40">
        <f ca="1"/>
        <v>41419</v>
      </c>
      <c r="J6" s="45">
        <f ca="1"/>
        <v>1000000</v>
      </c>
      <c r="K6" s="45">
        <f ca="1"/>
        <v>0</v>
      </c>
      <c r="L6" s="44">
        <f ca="1"/>
        <v>1</v>
      </c>
      <c r="M6" s="46">
        <f ca="1"/>
        <v>1.7500000000000002E-2</v>
      </c>
      <c r="N6" s="45">
        <f ca="1"/>
        <v>17500</v>
      </c>
      <c r="O6" s="47">
        <f ca="1"/>
        <v>0</v>
      </c>
      <c r="P6" s="45">
        <f ca="1"/>
        <v>0</v>
      </c>
      <c r="Q6" s="48" t="str">
        <f ca="1"/>
        <v/>
      </c>
    </row>
    <row r="7" spans="2:17" x14ac:dyDescent="0.25">
      <c r="B7" s="19" t="s">
        <v>26</v>
      </c>
      <c r="E7" s="39">
        <f ca="1"/>
        <v>41421</v>
      </c>
      <c r="F7" s="40">
        <f ca="1"/>
        <v>41785</v>
      </c>
      <c r="G7" s="44">
        <f ca="1"/>
        <v>1</v>
      </c>
      <c r="H7" s="44">
        <f ca="1"/>
        <v>0.99726027397260297</v>
      </c>
      <c r="I7" s="40">
        <f ca="1"/>
        <v>41784</v>
      </c>
      <c r="J7" s="45">
        <f ca="1"/>
        <v>1000000</v>
      </c>
      <c r="K7" s="45">
        <f ca="1"/>
        <v>0</v>
      </c>
      <c r="L7" s="44">
        <f ca="1"/>
        <v>1</v>
      </c>
      <c r="M7" s="46">
        <f ca="1"/>
        <v>1.7500000000000002E-2</v>
      </c>
      <c r="N7" s="45">
        <f ca="1"/>
        <v>17500</v>
      </c>
      <c r="O7" s="47">
        <f ca="1"/>
        <v>0</v>
      </c>
      <c r="P7" s="45">
        <f ca="1"/>
        <v>0</v>
      </c>
      <c r="Q7" s="48" t="str">
        <f ca="1"/>
        <v/>
      </c>
    </row>
    <row r="8" spans="2:17" x14ac:dyDescent="0.25">
      <c r="B8" s="21" t="s">
        <v>5</v>
      </c>
      <c r="C8" s="36" t="s">
        <v>36</v>
      </c>
      <c r="E8" s="39">
        <f ca="1"/>
        <v>41785</v>
      </c>
      <c r="F8" s="40">
        <f ca="1"/>
        <v>42149</v>
      </c>
      <c r="G8" s="44">
        <f ca="1"/>
        <v>1</v>
      </c>
      <c r="H8" s="44">
        <f ca="1"/>
        <v>0.99726027397260297</v>
      </c>
      <c r="I8" s="40">
        <f ca="1"/>
        <v>42149</v>
      </c>
      <c r="J8" s="45">
        <f ca="1"/>
        <v>1000000</v>
      </c>
      <c r="K8" s="45">
        <f ca="1"/>
        <v>0</v>
      </c>
      <c r="L8" s="44">
        <f ca="1"/>
        <v>1</v>
      </c>
      <c r="M8" s="46">
        <f ca="1"/>
        <v>1.7500000000000002E-2</v>
      </c>
      <c r="N8" s="45">
        <f ca="1"/>
        <v>17500</v>
      </c>
      <c r="O8" s="47">
        <f ca="1"/>
        <v>0</v>
      </c>
      <c r="P8" s="45">
        <f ca="1"/>
        <v>0</v>
      </c>
      <c r="Q8" s="48" t="str">
        <f ca="1"/>
        <v/>
      </c>
    </row>
    <row r="9" spans="2:17" x14ac:dyDescent="0.25">
      <c r="B9" s="23" t="s">
        <v>6</v>
      </c>
      <c r="C9" s="61" t="s">
        <v>34</v>
      </c>
      <c r="E9" s="39">
        <f ca="1"/>
        <v>42149</v>
      </c>
      <c r="F9" s="40">
        <f ca="1"/>
        <v>42515</v>
      </c>
      <c r="G9" s="44">
        <f ca="1"/>
        <v>1</v>
      </c>
      <c r="H9" s="44">
        <f ca="1"/>
        <v>1</v>
      </c>
      <c r="I9" s="40">
        <f ca="1"/>
        <v>42515</v>
      </c>
      <c r="J9" s="45">
        <f ca="1"/>
        <v>1000000</v>
      </c>
      <c r="K9" s="45">
        <f ca="1"/>
        <v>0</v>
      </c>
      <c r="L9" s="44">
        <f ca="1"/>
        <v>1</v>
      </c>
      <c r="M9" s="46">
        <f ca="1"/>
        <v>1.7500000000000002E-2</v>
      </c>
      <c r="N9" s="45">
        <f ca="1"/>
        <v>17500</v>
      </c>
      <c r="O9" s="47">
        <f ca="1"/>
        <v>0</v>
      </c>
      <c r="P9" s="45">
        <f ca="1"/>
        <v>0</v>
      </c>
      <c r="Q9" s="48" t="str">
        <f ca="1"/>
        <v/>
      </c>
    </row>
    <row r="10" spans="2:17" x14ac:dyDescent="0.25">
      <c r="B10" s="23" t="s">
        <v>7</v>
      </c>
      <c r="C10" s="58">
        <v>41401</v>
      </c>
      <c r="E10" s="39">
        <f ca="1"/>
        <v>42515</v>
      </c>
      <c r="F10" s="40">
        <f ca="1"/>
        <v>42880</v>
      </c>
      <c r="G10" s="44">
        <f ca="1"/>
        <v>1</v>
      </c>
      <c r="H10" s="44">
        <f ca="1"/>
        <v>1</v>
      </c>
      <c r="I10" s="40">
        <f ca="1"/>
        <v>42880</v>
      </c>
      <c r="J10" s="45">
        <f ca="1"/>
        <v>1000000</v>
      </c>
      <c r="K10" s="45">
        <f ca="1"/>
        <v>0</v>
      </c>
      <c r="L10" s="44">
        <f ca="1"/>
        <v>1</v>
      </c>
      <c r="M10" s="46">
        <f ca="1"/>
        <v>1.7500000000000002E-2</v>
      </c>
      <c r="N10" s="45">
        <f ca="1"/>
        <v>17500</v>
      </c>
      <c r="O10" s="47">
        <f ca="1"/>
        <v>0</v>
      </c>
      <c r="P10" s="45">
        <f ca="1"/>
        <v>0</v>
      </c>
      <c r="Q10" s="48" t="str">
        <f ca="1"/>
        <v/>
      </c>
    </row>
    <row r="11" spans="2:17" x14ac:dyDescent="0.25">
      <c r="B11" s="23" t="s">
        <v>8</v>
      </c>
      <c r="C11" s="58">
        <v>41419</v>
      </c>
      <c r="E11" s="39">
        <f ca="1"/>
        <v>42880</v>
      </c>
      <c r="F11" s="40">
        <f ca="1"/>
        <v>43245</v>
      </c>
      <c r="G11" s="44">
        <f ca="1"/>
        <v>1</v>
      </c>
      <c r="H11" s="44">
        <f ca="1"/>
        <v>1</v>
      </c>
      <c r="I11" s="40">
        <f ca="1"/>
        <v>43245</v>
      </c>
      <c r="J11" s="45">
        <f ca="1"/>
        <v>1000000</v>
      </c>
      <c r="K11" s="45">
        <f ca="1"/>
        <v>0</v>
      </c>
      <c r="L11" s="44">
        <f ca="1"/>
        <v>1</v>
      </c>
      <c r="M11" s="46">
        <f ca="1"/>
        <v>1.7500000000000002E-2</v>
      </c>
      <c r="N11" s="45">
        <f ca="1"/>
        <v>17500</v>
      </c>
      <c r="O11" s="47">
        <f ca="1"/>
        <v>1.00017253244129</v>
      </c>
      <c r="P11" s="45">
        <f ca="1"/>
        <v>17503.019317722599</v>
      </c>
      <c r="Q11" s="48" t="str">
        <f ca="1"/>
        <v/>
      </c>
    </row>
    <row r="12" spans="2:17" x14ac:dyDescent="0.25">
      <c r="B12" s="23" t="s">
        <v>9</v>
      </c>
      <c r="C12" s="58">
        <v>44706</v>
      </c>
      <c r="E12" s="39">
        <f ca="1"/>
        <v>43245</v>
      </c>
      <c r="F12" s="40">
        <f ca="1"/>
        <v>43612</v>
      </c>
      <c r="G12" s="44">
        <f ca="1"/>
        <v>1</v>
      </c>
      <c r="H12" s="44">
        <f ca="1"/>
        <v>1.0054794520547901</v>
      </c>
      <c r="I12" s="40">
        <f ca="1"/>
        <v>43610</v>
      </c>
      <c r="J12" s="45">
        <f ca="1"/>
        <v>1000000</v>
      </c>
      <c r="K12" s="45">
        <f ca="1"/>
        <v>0</v>
      </c>
      <c r="L12" s="44">
        <f ca="1"/>
        <v>1</v>
      </c>
      <c r="M12" s="46">
        <f ca="1"/>
        <v>1.7500000000000002E-2</v>
      </c>
      <c r="N12" s="45">
        <f ca="1"/>
        <v>17500</v>
      </c>
      <c r="O12" s="47">
        <f ca="1"/>
        <v>1.0007300308857301</v>
      </c>
      <c r="P12" s="45">
        <f ca="1"/>
        <v>17512.775540500199</v>
      </c>
      <c r="Q12" s="48" t="str">
        <f ca="1"/>
        <v/>
      </c>
    </row>
    <row r="13" spans="2:17" x14ac:dyDescent="0.25">
      <c r="B13" s="23" t="s">
        <v>10</v>
      </c>
      <c r="C13" s="58">
        <v>45071</v>
      </c>
      <c r="D13" s="12"/>
      <c r="E13" s="39">
        <f ca="1"/>
        <v>43612</v>
      </c>
      <c r="F13" s="40">
        <f ca="1"/>
        <v>43976</v>
      </c>
      <c r="G13" s="44">
        <f ca="1"/>
        <v>1</v>
      </c>
      <c r="H13" s="44">
        <f ca="1"/>
        <v>0.99453551912568305</v>
      </c>
      <c r="I13" s="40">
        <f ca="1"/>
        <v>43976</v>
      </c>
      <c r="J13" s="45">
        <f ca="1"/>
        <v>1000000</v>
      </c>
      <c r="K13" s="45">
        <f ca="1"/>
        <v>0</v>
      </c>
      <c r="L13" s="44">
        <f ca="1"/>
        <v>1</v>
      </c>
      <c r="M13" s="46">
        <f ca="1"/>
        <v>1.7500000000000002E-2</v>
      </c>
      <c r="N13" s="45">
        <f ca="1"/>
        <v>17500</v>
      </c>
      <c r="O13" s="47">
        <f ca="1"/>
        <v>1.0012878400810701</v>
      </c>
      <c r="P13" s="45">
        <f ca="1"/>
        <v>17522.537201418701</v>
      </c>
      <c r="Q13" s="48" t="str">
        <f ca="1"/>
        <v/>
      </c>
    </row>
    <row r="14" spans="2:17" x14ac:dyDescent="0.25">
      <c r="B14" s="23" t="s">
        <v>11</v>
      </c>
      <c r="C14" s="34">
        <v>1.7500000000000002E-2</v>
      </c>
      <c r="D14" s="12"/>
      <c r="E14" s="39">
        <f ca="1"/>
        <v>43976</v>
      </c>
      <c r="F14" s="40">
        <f ca="1"/>
        <v>44341</v>
      </c>
      <c r="G14" s="44">
        <f ca="1"/>
        <v>1</v>
      </c>
      <c r="H14" s="44">
        <f ca="1"/>
        <v>1</v>
      </c>
      <c r="I14" s="40">
        <f ca="1"/>
        <v>44341</v>
      </c>
      <c r="J14" s="45">
        <f ca="1"/>
        <v>1000000</v>
      </c>
      <c r="K14" s="45">
        <f ca="1"/>
        <v>0</v>
      </c>
      <c r="L14" s="44">
        <f ca="1"/>
        <v>1</v>
      </c>
      <c r="M14" s="46">
        <f ca="1"/>
        <v>1.7500000000000002E-2</v>
      </c>
      <c r="N14" s="45">
        <f ca="1"/>
        <v>17500</v>
      </c>
      <c r="O14" s="47">
        <f ca="1"/>
        <v>1.0018459602005201</v>
      </c>
      <c r="P14" s="45">
        <f ca="1"/>
        <v>17532.3043035091</v>
      </c>
      <c r="Q14" s="48" t="str">
        <f ca="1"/>
        <v/>
      </c>
    </row>
    <row r="15" spans="2:17" x14ac:dyDescent="0.25">
      <c r="B15" s="23" t="s">
        <v>12</v>
      </c>
      <c r="C15" s="35"/>
      <c r="D15" s="12"/>
      <c r="E15" s="39">
        <f ca="1"/>
        <v>44341</v>
      </c>
      <c r="F15" s="40">
        <f ca="1"/>
        <v>44706</v>
      </c>
      <c r="G15" s="44">
        <f ca="1"/>
        <v>1</v>
      </c>
      <c r="H15" s="44">
        <f ca="1"/>
        <v>1</v>
      </c>
      <c r="I15" s="40">
        <f ca="1"/>
        <v>44706</v>
      </c>
      <c r="J15" s="45">
        <f ca="1"/>
        <v>1000000</v>
      </c>
      <c r="K15" s="45">
        <f ca="1"/>
        <v>0</v>
      </c>
      <c r="L15" s="44">
        <f ca="1"/>
        <v>1</v>
      </c>
      <c r="M15" s="46">
        <f ca="1"/>
        <v>1.7500000000000002E-2</v>
      </c>
      <c r="N15" s="45">
        <f ca="1"/>
        <v>17500</v>
      </c>
      <c r="O15" s="47">
        <f ca="1"/>
        <v>1.0024043914173999</v>
      </c>
      <c r="P15" s="45">
        <f ca="1"/>
        <v>17542.076849804402</v>
      </c>
      <c r="Q15" s="48" t="str">
        <f ca="1"/>
        <v/>
      </c>
    </row>
    <row r="16" spans="2:17" x14ac:dyDescent="0.25">
      <c r="B16" s="23" t="s">
        <v>13</v>
      </c>
      <c r="C16" s="62">
        <v>41054</v>
      </c>
      <c r="D16" s="12"/>
      <c r="E16" s="39">
        <f ca="1"/>
        <v>44706</v>
      </c>
      <c r="F16" s="40">
        <f ca="1"/>
        <v>45071</v>
      </c>
      <c r="G16" s="44">
        <f ca="1"/>
        <v>1</v>
      </c>
      <c r="H16" s="44">
        <f ca="1"/>
        <v>1</v>
      </c>
      <c r="I16" s="40">
        <f ca="1"/>
        <v>45071</v>
      </c>
      <c r="J16" s="45">
        <f ca="1"/>
        <v>1000000</v>
      </c>
      <c r="K16" s="45">
        <f ca="1"/>
        <v>1000000</v>
      </c>
      <c r="L16" s="44">
        <f ca="1"/>
        <v>1</v>
      </c>
      <c r="M16" s="46">
        <f ca="1"/>
        <v>1.7500000000000002E-2</v>
      </c>
      <c r="N16" s="45">
        <f ca="1"/>
        <v>1017500</v>
      </c>
      <c r="O16" s="47">
        <f ca="1"/>
        <v>1.0029631339050999</v>
      </c>
      <c r="P16" s="45">
        <f ca="1"/>
        <v>1020514.9887484401</v>
      </c>
      <c r="Q16" s="48" t="str">
        <f ca="1"/>
        <v/>
      </c>
    </row>
    <row r="17" spans="2:17" x14ac:dyDescent="0.25">
      <c r="B17" s="23"/>
      <c r="C17" s="62"/>
      <c r="D17" s="13"/>
      <c r="E17" s="39" t="str">
        <f ca="1"/>
        <v/>
      </c>
      <c r="F17" s="40" t="str">
        <f ca="1"/>
        <v/>
      </c>
      <c r="G17" s="44" t="str">
        <f ca="1"/>
        <v/>
      </c>
      <c r="H17" s="44" t="str">
        <f ca="1"/>
        <v/>
      </c>
      <c r="I17" s="40" t="str">
        <f ca="1"/>
        <v/>
      </c>
      <c r="J17" s="45" t="str">
        <f ca="1"/>
        <v/>
      </c>
      <c r="K17" s="45" t="str">
        <f ca="1"/>
        <v/>
      </c>
      <c r="L17" s="44" t="str">
        <f ca="1"/>
        <v/>
      </c>
      <c r="M17" s="46" t="str">
        <f ca="1"/>
        <v/>
      </c>
      <c r="N17" s="45" t="str">
        <f ca="1"/>
        <v/>
      </c>
      <c r="O17" s="47" t="str">
        <f ca="1"/>
        <v/>
      </c>
      <c r="P17" s="45" t="str">
        <f ca="1"/>
        <v/>
      </c>
      <c r="Q17" s="48" t="str">
        <f ca="1"/>
        <v/>
      </c>
    </row>
    <row r="18" spans="2:17" x14ac:dyDescent="0.25">
      <c r="B18" s="23"/>
      <c r="C18" s="62"/>
      <c r="D18" s="14"/>
      <c r="E18" s="39" t="str">
        <f ca="1"/>
        <v/>
      </c>
      <c r="F18" s="40" t="str">
        <f ca="1"/>
        <v/>
      </c>
      <c r="G18" s="44" t="str">
        <f ca="1"/>
        <v/>
      </c>
      <c r="H18" s="44" t="str">
        <f ca="1"/>
        <v/>
      </c>
      <c r="I18" s="40" t="str">
        <f ca="1"/>
        <v/>
      </c>
      <c r="J18" s="45" t="str">
        <f ca="1"/>
        <v/>
      </c>
      <c r="K18" s="45" t="str">
        <f ca="1"/>
        <v/>
      </c>
      <c r="L18" s="44" t="str">
        <f ca="1"/>
        <v/>
      </c>
      <c r="M18" s="46" t="str">
        <f ca="1"/>
        <v/>
      </c>
      <c r="N18" s="45" t="str">
        <f ca="1"/>
        <v/>
      </c>
      <c r="O18" s="47" t="str">
        <f ca="1"/>
        <v/>
      </c>
      <c r="P18" s="45" t="str">
        <f ca="1"/>
        <v/>
      </c>
      <c r="Q18" s="48" t="str">
        <f ca="1"/>
        <v/>
      </c>
    </row>
    <row r="19" spans="2:17" x14ac:dyDescent="0.25">
      <c r="B19" s="22"/>
      <c r="C19" s="59"/>
      <c r="D19" s="15"/>
      <c r="E19" s="39" t="str">
        <f ca="1"/>
        <v/>
      </c>
      <c r="F19" s="40" t="str">
        <f ca="1"/>
        <v/>
      </c>
      <c r="G19" s="44" t="str">
        <f ca="1"/>
        <v/>
      </c>
      <c r="H19" s="44" t="str">
        <f ca="1"/>
        <v/>
      </c>
      <c r="I19" s="40" t="str">
        <f ca="1"/>
        <v/>
      </c>
      <c r="J19" s="45" t="str">
        <f ca="1"/>
        <v/>
      </c>
      <c r="K19" s="45" t="str">
        <f ca="1"/>
        <v/>
      </c>
      <c r="L19" s="44" t="str">
        <f ca="1"/>
        <v/>
      </c>
      <c r="M19" s="46" t="str">
        <f ca="1"/>
        <v/>
      </c>
      <c r="N19" s="45" t="str">
        <f ca="1"/>
        <v/>
      </c>
      <c r="O19" s="47" t="str">
        <f ca="1"/>
        <v/>
      </c>
      <c r="P19" s="45" t="str">
        <f ca="1"/>
        <v/>
      </c>
      <c r="Q19" s="48" t="str">
        <f ca="1"/>
        <v/>
      </c>
    </row>
    <row r="20" spans="2:17" x14ac:dyDescent="0.25">
      <c r="E20" s="39" t="str">
        <f ca="1"/>
        <v/>
      </c>
      <c r="F20" s="40" t="str">
        <f ca="1"/>
        <v/>
      </c>
      <c r="G20" s="44" t="str">
        <f ca="1"/>
        <v/>
      </c>
      <c r="H20" s="44" t="str">
        <f ca="1"/>
        <v/>
      </c>
      <c r="I20" s="40" t="str">
        <f ca="1"/>
        <v/>
      </c>
      <c r="J20" s="45" t="str">
        <f ca="1"/>
        <v/>
      </c>
      <c r="K20" s="45" t="str">
        <f ca="1"/>
        <v/>
      </c>
      <c r="L20" s="44" t="str">
        <f ca="1"/>
        <v/>
      </c>
      <c r="M20" s="46" t="str">
        <f ca="1"/>
        <v/>
      </c>
      <c r="N20" s="45" t="str">
        <f ca="1"/>
        <v/>
      </c>
      <c r="O20" s="47" t="str">
        <f ca="1"/>
        <v/>
      </c>
      <c r="P20" s="45" t="str">
        <f ca="1"/>
        <v/>
      </c>
      <c r="Q20" s="48" t="str">
        <f ca="1"/>
        <v/>
      </c>
    </row>
    <row r="21" spans="2:17" x14ac:dyDescent="0.25">
      <c r="E21" s="39" t="str">
        <f ca="1"/>
        <v/>
      </c>
      <c r="F21" s="40" t="str">
        <f ca="1"/>
        <v/>
      </c>
      <c r="G21" s="44" t="str">
        <f ca="1"/>
        <v/>
      </c>
      <c r="H21" s="44" t="str">
        <f ca="1"/>
        <v/>
      </c>
      <c r="I21" s="40" t="str">
        <f ca="1"/>
        <v/>
      </c>
      <c r="J21" s="45" t="str">
        <f ca="1"/>
        <v/>
      </c>
      <c r="K21" s="45" t="str">
        <f ca="1"/>
        <v/>
      </c>
      <c r="L21" s="44" t="str">
        <f ca="1"/>
        <v/>
      </c>
      <c r="M21" s="46" t="str">
        <f ca="1"/>
        <v/>
      </c>
      <c r="N21" s="45" t="str">
        <f ca="1"/>
        <v/>
      </c>
      <c r="O21" s="47" t="str">
        <f ca="1"/>
        <v/>
      </c>
      <c r="P21" s="45" t="str">
        <f ca="1"/>
        <v/>
      </c>
      <c r="Q21" s="48" t="str">
        <f ca="1"/>
        <v/>
      </c>
    </row>
    <row r="22" spans="2:17" x14ac:dyDescent="0.25">
      <c r="B22" s="19" t="s">
        <v>24</v>
      </c>
      <c r="E22" s="39" t="str">
        <f ca="1"/>
        <v/>
      </c>
      <c r="F22" s="40" t="str">
        <f ca="1"/>
        <v/>
      </c>
      <c r="G22" s="44" t="str">
        <f ca="1"/>
        <v/>
      </c>
      <c r="H22" s="44" t="str">
        <f ca="1"/>
        <v/>
      </c>
      <c r="I22" s="40" t="str">
        <f ca="1"/>
        <v/>
      </c>
      <c r="J22" s="45" t="str">
        <f ca="1"/>
        <v/>
      </c>
      <c r="K22" s="45" t="str">
        <f ca="1"/>
        <v/>
      </c>
      <c r="L22" s="44" t="str">
        <f ca="1"/>
        <v/>
      </c>
      <c r="M22" s="46" t="str">
        <f ca="1"/>
        <v/>
      </c>
      <c r="N22" s="45" t="str">
        <f ca="1"/>
        <v/>
      </c>
      <c r="O22" s="47" t="str">
        <f ca="1"/>
        <v/>
      </c>
      <c r="P22" s="45" t="str">
        <f ca="1"/>
        <v/>
      </c>
      <c r="Q22" s="48" t="str">
        <f ca="1"/>
        <v/>
      </c>
    </row>
    <row r="23" spans="2:17" x14ac:dyDescent="0.25">
      <c r="B23" s="25" t="s">
        <v>21</v>
      </c>
      <c r="C23" s="26">
        <f ca="1">TODAY()</f>
        <v>43132</v>
      </c>
      <c r="E23" s="39" t="str">
        <f ca="1"/>
        <v/>
      </c>
      <c r="F23" s="40" t="str">
        <f ca="1"/>
        <v/>
      </c>
      <c r="G23" s="44" t="str">
        <f ca="1"/>
        <v/>
      </c>
      <c r="H23" s="44" t="str">
        <f ca="1"/>
        <v/>
      </c>
      <c r="I23" s="40" t="str">
        <f ca="1"/>
        <v/>
      </c>
      <c r="J23" s="45" t="str">
        <f ca="1"/>
        <v/>
      </c>
      <c r="K23" s="45" t="str">
        <f ca="1"/>
        <v/>
      </c>
      <c r="L23" s="44" t="str">
        <f ca="1"/>
        <v/>
      </c>
      <c r="M23" s="46" t="str">
        <f ca="1"/>
        <v/>
      </c>
      <c r="N23" s="45" t="str">
        <f ca="1"/>
        <v/>
      </c>
      <c r="O23" s="47" t="str">
        <f ca="1"/>
        <v/>
      </c>
      <c r="P23" s="45" t="str">
        <f ca="1"/>
        <v/>
      </c>
      <c r="Q23" s="48" t="str">
        <f ca="1"/>
        <v/>
      </c>
    </row>
    <row r="24" spans="2:17" x14ac:dyDescent="0.25">
      <c r="B24" s="27" t="s">
        <v>17</v>
      </c>
      <c r="C24" s="60">
        <v>-5.5709175025347004E-4</v>
      </c>
      <c r="E24" s="39" t="str">
        <f ca="1"/>
        <v/>
      </c>
      <c r="F24" s="40" t="str">
        <f ca="1"/>
        <v/>
      </c>
      <c r="G24" s="44" t="str">
        <f ca="1"/>
        <v/>
      </c>
      <c r="H24" s="44" t="str">
        <f ca="1"/>
        <v/>
      </c>
      <c r="I24" s="40" t="str">
        <f ca="1"/>
        <v/>
      </c>
      <c r="J24" s="45" t="str">
        <f ca="1"/>
        <v/>
      </c>
      <c r="K24" s="45" t="str">
        <f ca="1"/>
        <v/>
      </c>
      <c r="L24" s="44" t="str">
        <f ca="1"/>
        <v/>
      </c>
      <c r="M24" s="46" t="str">
        <f ca="1"/>
        <v/>
      </c>
      <c r="N24" s="45" t="str">
        <f ca="1"/>
        <v/>
      </c>
      <c r="O24" s="47" t="str">
        <f ca="1"/>
        <v/>
      </c>
      <c r="P24" s="45" t="str">
        <f ca="1"/>
        <v/>
      </c>
      <c r="Q24" s="48" t="str">
        <f ca="1"/>
        <v/>
      </c>
    </row>
    <row r="25" spans="2:17" x14ac:dyDescent="0.25">
      <c r="B25" s="28" t="s">
        <v>16</v>
      </c>
      <c r="C25" s="30">
        <f ca="1">_xll.meLWOBondCleanPrice($C$3,$C$23,$C$24)</f>
        <v>109.60455099613964</v>
      </c>
      <c r="E25" s="39" t="str">
        <f ca="1"/>
        <v/>
      </c>
      <c r="F25" s="40" t="str">
        <f ca="1"/>
        <v/>
      </c>
      <c r="G25" s="44" t="str">
        <f ca="1"/>
        <v/>
      </c>
      <c r="H25" s="44" t="str">
        <f ca="1"/>
        <v/>
      </c>
      <c r="I25" s="40" t="str">
        <f ca="1"/>
        <v/>
      </c>
      <c r="J25" s="45" t="str">
        <f ca="1"/>
        <v/>
      </c>
      <c r="K25" s="45" t="str">
        <f ca="1"/>
        <v/>
      </c>
      <c r="L25" s="44" t="str">
        <f ca="1"/>
        <v/>
      </c>
      <c r="M25" s="46" t="str">
        <f ca="1"/>
        <v/>
      </c>
      <c r="N25" s="45" t="str">
        <f ca="1"/>
        <v/>
      </c>
      <c r="O25" s="47" t="str">
        <f ca="1"/>
        <v/>
      </c>
      <c r="P25" s="45" t="str">
        <f ca="1"/>
        <v/>
      </c>
      <c r="Q25" s="48" t="str">
        <f ca="1"/>
        <v/>
      </c>
    </row>
    <row r="26" spans="2:17" x14ac:dyDescent="0.25">
      <c r="B26" s="28" t="s">
        <v>18</v>
      </c>
      <c r="C26" s="30">
        <f ca="1">_xll.meLWOBondDirtyPrice($C$3,$C$23,$C$24)</f>
        <v>110.81277019613964</v>
      </c>
      <c r="E26" s="39" t="str">
        <f ca="1"/>
        <v/>
      </c>
      <c r="F26" s="40" t="str">
        <f ca="1"/>
        <v/>
      </c>
      <c r="G26" s="44" t="str">
        <f ca="1"/>
        <v/>
      </c>
      <c r="H26" s="44" t="str">
        <f ca="1"/>
        <v/>
      </c>
      <c r="I26" s="40" t="str">
        <f ca="1"/>
        <v/>
      </c>
      <c r="J26" s="45" t="str">
        <f ca="1"/>
        <v/>
      </c>
      <c r="K26" s="45" t="str">
        <f ca="1"/>
        <v/>
      </c>
      <c r="L26" s="44" t="str">
        <f ca="1"/>
        <v/>
      </c>
      <c r="M26" s="46" t="str">
        <f ca="1"/>
        <v/>
      </c>
      <c r="N26" s="45" t="str">
        <f ca="1"/>
        <v/>
      </c>
      <c r="O26" s="47" t="str">
        <f ca="1"/>
        <v/>
      </c>
      <c r="P26" s="45" t="str">
        <f ca="1"/>
        <v/>
      </c>
      <c r="Q26" s="48" t="str">
        <f ca="1"/>
        <v/>
      </c>
    </row>
    <row r="27" spans="2:17" x14ac:dyDescent="0.25">
      <c r="B27" s="28" t="s">
        <v>19</v>
      </c>
      <c r="C27" s="31">
        <f ca="1">_xll.meLWOBondAccruedInterest($C$3,$C$23)</f>
        <v>12082.192000000001</v>
      </c>
      <c r="E27" s="39" t="str">
        <f ca="1"/>
        <v/>
      </c>
      <c r="F27" s="40" t="str">
        <f ca="1"/>
        <v/>
      </c>
      <c r="G27" s="44" t="str">
        <f ca="1"/>
        <v/>
      </c>
      <c r="H27" s="44" t="str">
        <f ca="1"/>
        <v/>
      </c>
      <c r="I27" s="40" t="str">
        <f ca="1"/>
        <v/>
      </c>
      <c r="J27" s="45" t="str">
        <f ca="1"/>
        <v/>
      </c>
      <c r="K27" s="45" t="str">
        <f ca="1"/>
        <v/>
      </c>
      <c r="L27" s="44" t="str">
        <f ca="1"/>
        <v/>
      </c>
      <c r="M27" s="46" t="str">
        <f ca="1"/>
        <v/>
      </c>
      <c r="N27" s="45" t="str">
        <f ca="1"/>
        <v/>
      </c>
      <c r="O27" s="47" t="str">
        <f ca="1"/>
        <v/>
      </c>
      <c r="P27" s="45" t="str">
        <f ca="1"/>
        <v/>
      </c>
      <c r="Q27" s="48" t="str">
        <f ca="1"/>
        <v/>
      </c>
    </row>
    <row r="28" spans="2:17" x14ac:dyDescent="0.25">
      <c r="B28" s="28" t="s">
        <v>20</v>
      </c>
      <c r="C28" s="32">
        <f ca="1">_xll.meLWOBondAccruedInterestDays($C$3,$C$23)</f>
        <v>252</v>
      </c>
      <c r="E28" s="39" t="str">
        <f ca="1"/>
        <v/>
      </c>
      <c r="F28" s="40" t="str">
        <f ca="1"/>
        <v/>
      </c>
      <c r="G28" s="44" t="str">
        <f ca="1"/>
        <v/>
      </c>
      <c r="H28" s="44" t="str">
        <f ca="1"/>
        <v/>
      </c>
      <c r="I28" s="40" t="str">
        <f ca="1"/>
        <v/>
      </c>
      <c r="J28" s="45" t="str">
        <f ca="1"/>
        <v/>
      </c>
      <c r="K28" s="45" t="str">
        <f ca="1"/>
        <v/>
      </c>
      <c r="L28" s="44" t="str">
        <f ca="1"/>
        <v/>
      </c>
      <c r="M28" s="46" t="str">
        <f ca="1"/>
        <v/>
      </c>
      <c r="N28" s="45" t="str">
        <f ca="1"/>
        <v/>
      </c>
      <c r="O28" s="47" t="str">
        <f ca="1"/>
        <v/>
      </c>
      <c r="P28" s="45" t="str">
        <f ca="1"/>
        <v/>
      </c>
      <c r="Q28" s="48" t="str">
        <f ca="1"/>
        <v/>
      </c>
    </row>
    <row r="29" spans="2:17" x14ac:dyDescent="0.25">
      <c r="B29" s="29" t="s">
        <v>22</v>
      </c>
      <c r="C29" s="33">
        <f ca="1">_xll.meLWOBondDV01($C$3,$C$23,$C$24)</f>
        <v>562.40953437759674</v>
      </c>
      <c r="E29" s="41" t="str">
        <f ca="1"/>
        <v/>
      </c>
      <c r="F29" s="42" t="str">
        <f ca="1"/>
        <v/>
      </c>
      <c r="G29" s="49" t="str">
        <f ca="1"/>
        <v/>
      </c>
      <c r="H29" s="49" t="str">
        <f ca="1"/>
        <v/>
      </c>
      <c r="I29" s="42" t="str">
        <f ca="1"/>
        <v/>
      </c>
      <c r="J29" s="50" t="str">
        <f ca="1"/>
        <v/>
      </c>
      <c r="K29" s="50" t="str">
        <f ca="1"/>
        <v/>
      </c>
      <c r="L29" s="49" t="str">
        <f ca="1"/>
        <v/>
      </c>
      <c r="M29" s="51" t="str">
        <f ca="1"/>
        <v/>
      </c>
      <c r="N29" s="50" t="str">
        <f ca="1"/>
        <v/>
      </c>
      <c r="O29" s="52" t="str">
        <f ca="1"/>
        <v/>
      </c>
      <c r="P29" s="50" t="str">
        <f ca="1"/>
        <v/>
      </c>
      <c r="Q29" s="53" t="str">
        <f ca="1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9"/>
  <sheetViews>
    <sheetView showGridLines="0" workbookViewId="0"/>
  </sheetViews>
  <sheetFormatPr defaultRowHeight="15" x14ac:dyDescent="0.25"/>
  <cols>
    <col min="2" max="2" width="29.42578125" bestFit="1" customWidth="1"/>
    <col min="3" max="3" width="37.7109375" customWidth="1"/>
    <col min="5" max="6" width="15.7109375" customWidth="1"/>
    <col min="7" max="7" width="19.5703125" bestFit="1" customWidth="1"/>
    <col min="8" max="8" width="21.7109375" bestFit="1" customWidth="1"/>
    <col min="9" max="9" width="15.7109375" customWidth="1"/>
    <col min="10" max="10" width="11.7109375" customWidth="1"/>
    <col min="11" max="11" width="17.28515625" bestFit="1" customWidth="1"/>
    <col min="12" max="12" width="9" bestFit="1" customWidth="1"/>
    <col min="13" max="14" width="9.85546875" bestFit="1" customWidth="1"/>
    <col min="15" max="15" width="14.28515625" bestFit="1" customWidth="1"/>
    <col min="16" max="16" width="10.28515625" bestFit="1" customWidth="1"/>
    <col min="17" max="17" width="5.5703125" bestFit="1" customWidth="1"/>
  </cols>
  <sheetData>
    <row r="2" spans="2:17" x14ac:dyDescent="0.25">
      <c r="B2" s="18"/>
    </row>
    <row r="3" spans="2:17" x14ac:dyDescent="0.25">
      <c r="B3" s="17" t="s">
        <v>23</v>
      </c>
      <c r="C3" s="16" t="str">
        <f ca="1">_xll.meLWOBondCreateFromGeneratorLVB(C7,C4,B7:C20)</f>
        <v>ITALIAN_BTPS_8.5_22JUN2023@1:2</v>
      </c>
      <c r="E3" s="1" t="s">
        <v>25</v>
      </c>
    </row>
    <row r="4" spans="2:17" x14ac:dyDescent="0.25">
      <c r="B4" s="20" t="s">
        <v>3</v>
      </c>
      <c r="C4" s="24" t="s">
        <v>39</v>
      </c>
      <c r="E4" s="37" t="str">
        <f t="array" aca="1" ref="E4:Q29" ca="1">_xll.meUtilityResize(_xll.meLWOBondDisplayCashflows($C$3,$C$23,$C$24),1000,50)</f>
        <v>AccrualStart</v>
      </c>
      <c r="F4" s="38" t="str">
        <f ca="1"/>
        <v>AccrualEnd</v>
      </c>
      <c r="G4" s="38" t="str">
        <f ca="1"/>
        <v>AccrualYearFractions</v>
      </c>
      <c r="H4" s="38" t="str">
        <f ca="1"/>
        <v>TrueYieldYearFractions</v>
      </c>
      <c r="I4" s="38" t="str">
        <f ca="1"/>
        <v>PaymentDate</v>
      </c>
      <c r="J4" s="38" t="str">
        <f ca="1"/>
        <v>Notional</v>
      </c>
      <c r="K4" s="38" t="str">
        <f ca="1"/>
        <v>NotionalExchange</v>
      </c>
      <c r="L4" s="38" t="str">
        <f ca="1"/>
        <v>Leverage</v>
      </c>
      <c r="M4" s="38" t="str">
        <f ca="1"/>
        <v>FixedRate</v>
      </c>
      <c r="N4" s="38" t="str">
        <f ca="1"/>
        <v>Coupon</v>
      </c>
      <c r="O4" s="38" t="str">
        <f ca="1"/>
        <v>DiscountFactor</v>
      </c>
      <c r="P4" s="38" t="str">
        <f ca="1"/>
        <v>CouponPV</v>
      </c>
      <c r="Q4" s="43" t="str">
        <f ca="1"/>
        <v/>
      </c>
    </row>
    <row r="5" spans="2:17" x14ac:dyDescent="0.25">
      <c r="B5" s="18"/>
      <c r="E5" s="39" t="str">
        <f ca="1"/>
        <v/>
      </c>
      <c r="F5" s="40" t="str">
        <f ca="1"/>
        <v/>
      </c>
      <c r="G5" s="44" t="str">
        <f ca="1"/>
        <v/>
      </c>
      <c r="H5" s="44" t="str">
        <f ca="1"/>
        <v/>
      </c>
      <c r="I5" s="40">
        <f ca="1"/>
        <v>42360</v>
      </c>
      <c r="J5" s="45" t="str">
        <f ca="1"/>
        <v/>
      </c>
      <c r="K5" s="45">
        <f ca="1"/>
        <v>-1000000</v>
      </c>
      <c r="L5" s="44">
        <f ca="1"/>
        <v>1</v>
      </c>
      <c r="M5" s="46" t="str">
        <f ca="1"/>
        <v/>
      </c>
      <c r="N5" s="45">
        <f ca="1"/>
        <v>-1000000</v>
      </c>
      <c r="O5" s="47">
        <f ca="1"/>
        <v>0</v>
      </c>
      <c r="P5" s="45">
        <f ca="1"/>
        <v>0</v>
      </c>
      <c r="Q5" s="48" t="str">
        <f ca="1"/>
        <v/>
      </c>
    </row>
    <row r="6" spans="2:17" x14ac:dyDescent="0.25">
      <c r="B6" s="19" t="s">
        <v>26</v>
      </c>
      <c r="E6" s="39">
        <f ca="1"/>
        <v>42360</v>
      </c>
      <c r="F6" s="40">
        <f ca="1"/>
        <v>42543</v>
      </c>
      <c r="G6" s="44">
        <f ca="1"/>
        <v>0.5</v>
      </c>
      <c r="H6" s="44">
        <f ca="1"/>
        <v>0.5</v>
      </c>
      <c r="I6" s="40">
        <f ca="1"/>
        <v>42543</v>
      </c>
      <c r="J6" s="45">
        <f ca="1"/>
        <v>1000000</v>
      </c>
      <c r="K6" s="45">
        <f ca="1"/>
        <v>0</v>
      </c>
      <c r="L6" s="44">
        <f ca="1"/>
        <v>1</v>
      </c>
      <c r="M6" s="46">
        <f ca="1"/>
        <v>8.5000000000000006E-2</v>
      </c>
      <c r="N6" s="45">
        <f ca="1"/>
        <v>42500</v>
      </c>
      <c r="O6" s="47">
        <f ca="1"/>
        <v>0</v>
      </c>
      <c r="P6" s="45">
        <f ca="1"/>
        <v>0</v>
      </c>
      <c r="Q6" s="48" t="str">
        <f ca="1"/>
        <v/>
      </c>
    </row>
    <row r="7" spans="2:17" x14ac:dyDescent="0.25">
      <c r="B7" s="21" t="s">
        <v>5</v>
      </c>
      <c r="C7" s="36" t="s">
        <v>40</v>
      </c>
      <c r="E7" s="39">
        <f ca="1"/>
        <v>42543</v>
      </c>
      <c r="F7" s="40">
        <f ca="1"/>
        <v>42726</v>
      </c>
      <c r="G7" s="44">
        <f ca="1"/>
        <v>0.5</v>
      </c>
      <c r="H7" s="44">
        <f ca="1"/>
        <v>0.5</v>
      </c>
      <c r="I7" s="40">
        <f ca="1"/>
        <v>42726</v>
      </c>
      <c r="J7" s="45">
        <f ca="1"/>
        <v>1000000</v>
      </c>
      <c r="K7" s="45">
        <f ca="1"/>
        <v>0</v>
      </c>
      <c r="L7" s="44">
        <f ca="1"/>
        <v>1</v>
      </c>
      <c r="M7" s="46">
        <f ca="1"/>
        <v>8.5000000000000006E-2</v>
      </c>
      <c r="N7" s="45">
        <f ca="1"/>
        <v>42500</v>
      </c>
      <c r="O7" s="47">
        <f ca="1"/>
        <v>0</v>
      </c>
      <c r="P7" s="45">
        <f ca="1"/>
        <v>0</v>
      </c>
      <c r="Q7" s="48" t="str">
        <f ca="1"/>
        <v/>
      </c>
    </row>
    <row r="8" spans="2:17" x14ac:dyDescent="0.25">
      <c r="B8" s="23" t="s">
        <v>6</v>
      </c>
      <c r="C8" s="61" t="s">
        <v>38</v>
      </c>
      <c r="E8" s="39">
        <f ca="1"/>
        <v>42726</v>
      </c>
      <c r="F8" s="40">
        <f ca="1"/>
        <v>42908</v>
      </c>
      <c r="G8" s="44">
        <f ca="1"/>
        <v>0.5</v>
      </c>
      <c r="H8" s="44">
        <f ca="1"/>
        <v>0.5</v>
      </c>
      <c r="I8" s="40">
        <f ca="1"/>
        <v>42908</v>
      </c>
      <c r="J8" s="45">
        <f ca="1"/>
        <v>1000000</v>
      </c>
      <c r="K8" s="45">
        <f ca="1"/>
        <v>0</v>
      </c>
      <c r="L8" s="44">
        <f ca="1"/>
        <v>1</v>
      </c>
      <c r="M8" s="46">
        <f ca="1"/>
        <v>8.5000000000000006E-2</v>
      </c>
      <c r="N8" s="45">
        <f ca="1"/>
        <v>42500</v>
      </c>
      <c r="O8" s="47">
        <f ca="1"/>
        <v>0</v>
      </c>
      <c r="P8" s="45">
        <f ca="1"/>
        <v>0</v>
      </c>
      <c r="Q8" s="48" t="str">
        <f ca="1"/>
        <v/>
      </c>
    </row>
    <row r="9" spans="2:17" x14ac:dyDescent="0.25">
      <c r="B9" s="23" t="s">
        <v>7</v>
      </c>
      <c r="C9" s="58">
        <v>42360</v>
      </c>
      <c r="E9" s="39">
        <f ca="1"/>
        <v>42908</v>
      </c>
      <c r="F9" s="40">
        <f ca="1"/>
        <v>43091</v>
      </c>
      <c r="G9" s="44">
        <f ca="1"/>
        <v>0.5</v>
      </c>
      <c r="H9" s="44">
        <f ca="1"/>
        <v>0.5</v>
      </c>
      <c r="I9" s="40">
        <f ca="1"/>
        <v>43091</v>
      </c>
      <c r="J9" s="45">
        <f ca="1"/>
        <v>1000000</v>
      </c>
      <c r="K9" s="45">
        <f ca="1"/>
        <v>0</v>
      </c>
      <c r="L9" s="44">
        <f ca="1"/>
        <v>1</v>
      </c>
      <c r="M9" s="46">
        <f ca="1"/>
        <v>8.5000000000000006E-2</v>
      </c>
      <c r="N9" s="45">
        <f ca="1"/>
        <v>42500</v>
      </c>
      <c r="O9" s="47">
        <f ca="1"/>
        <v>0</v>
      </c>
      <c r="P9" s="45">
        <f ca="1"/>
        <v>0</v>
      </c>
      <c r="Q9" s="48" t="str">
        <f ca="1"/>
        <v/>
      </c>
    </row>
    <row r="10" spans="2:17" x14ac:dyDescent="0.25">
      <c r="B10" s="23" t="s">
        <v>8</v>
      </c>
      <c r="C10" s="58">
        <v>42543</v>
      </c>
      <c r="E10" s="39">
        <f ca="1"/>
        <v>43091</v>
      </c>
      <c r="F10" s="40">
        <f ca="1"/>
        <v>43273</v>
      </c>
      <c r="G10" s="44">
        <f ca="1"/>
        <v>0.5</v>
      </c>
      <c r="H10" s="44">
        <f ca="1"/>
        <v>0.5</v>
      </c>
      <c r="I10" s="40">
        <f ca="1"/>
        <v>43273</v>
      </c>
      <c r="J10" s="45">
        <f ca="1"/>
        <v>1000000</v>
      </c>
      <c r="K10" s="45">
        <f ca="1"/>
        <v>0</v>
      </c>
      <c r="L10" s="44">
        <f ca="1"/>
        <v>1</v>
      </c>
      <c r="M10" s="46">
        <f ca="1"/>
        <v>8.5000000000000006E-2</v>
      </c>
      <c r="N10" s="45">
        <f ca="1"/>
        <v>42500</v>
      </c>
      <c r="O10" s="47">
        <f ca="1"/>
        <v>0.99436316306127404</v>
      </c>
      <c r="P10" s="45">
        <f ca="1"/>
        <v>42260.4344301042</v>
      </c>
      <c r="Q10" s="48" t="str">
        <f ca="1"/>
        <v/>
      </c>
    </row>
    <row r="11" spans="2:17" x14ac:dyDescent="0.25">
      <c r="B11" s="23" t="s">
        <v>9</v>
      </c>
      <c r="C11" s="58">
        <v>45099</v>
      </c>
      <c r="E11" s="39">
        <f ca="1"/>
        <v>43273</v>
      </c>
      <c r="F11" s="40">
        <f ca="1"/>
        <v>43458</v>
      </c>
      <c r="G11" s="44">
        <f ca="1"/>
        <v>0.5</v>
      </c>
      <c r="H11" s="44">
        <f ca="1"/>
        <v>0.50546448087431695</v>
      </c>
      <c r="I11" s="40">
        <f ca="1"/>
        <v>43456</v>
      </c>
      <c r="J11" s="45">
        <f ca="1"/>
        <v>1000000</v>
      </c>
      <c r="K11" s="45">
        <f ca="1"/>
        <v>0</v>
      </c>
      <c r="L11" s="44">
        <f ca="1"/>
        <v>1</v>
      </c>
      <c r="M11" s="46">
        <f ca="1"/>
        <v>8.5000000000000006E-2</v>
      </c>
      <c r="N11" s="45">
        <f ca="1"/>
        <v>42500</v>
      </c>
      <c r="O11" s="47">
        <f ca="1"/>
        <v>0.98705548216785099</v>
      </c>
      <c r="P11" s="45">
        <f ca="1"/>
        <v>41949.8579921337</v>
      </c>
      <c r="Q11" s="48" t="str">
        <f ca="1"/>
        <v/>
      </c>
    </row>
    <row r="12" spans="2:17" x14ac:dyDescent="0.25">
      <c r="B12" s="23" t="s">
        <v>10</v>
      </c>
      <c r="C12" s="58">
        <v>45282</v>
      </c>
      <c r="E12" s="39">
        <f ca="1"/>
        <v>43458</v>
      </c>
      <c r="F12" s="40">
        <f ca="1"/>
        <v>43640</v>
      </c>
      <c r="G12" s="44">
        <f ca="1"/>
        <v>0.5</v>
      </c>
      <c r="H12" s="44">
        <f ca="1"/>
        <v>0.5</v>
      </c>
      <c r="I12" s="40">
        <f ca="1"/>
        <v>43638</v>
      </c>
      <c r="J12" s="45">
        <f ca="1"/>
        <v>1000000</v>
      </c>
      <c r="K12" s="45">
        <f ca="1"/>
        <v>0</v>
      </c>
      <c r="L12" s="44">
        <f ca="1"/>
        <v>1</v>
      </c>
      <c r="M12" s="46">
        <f ca="1"/>
        <v>8.5000000000000006E-2</v>
      </c>
      <c r="N12" s="45">
        <f ca="1"/>
        <v>42500</v>
      </c>
      <c r="O12" s="47">
        <f ca="1"/>
        <v>0.97987964180554499</v>
      </c>
      <c r="P12" s="45">
        <f ca="1"/>
        <v>41644.884776735598</v>
      </c>
      <c r="Q12" s="48" t="str">
        <f ca="1"/>
        <v/>
      </c>
    </row>
    <row r="13" spans="2:17" x14ac:dyDescent="0.25">
      <c r="B13" s="23" t="s">
        <v>11</v>
      </c>
      <c r="C13" s="34">
        <v>8.5000000000000006E-2</v>
      </c>
      <c r="D13" s="12"/>
      <c r="E13" s="39">
        <f ca="1"/>
        <v>43640</v>
      </c>
      <c r="F13" s="40">
        <f ca="1"/>
        <v>43822</v>
      </c>
      <c r="G13" s="44">
        <f ca="1"/>
        <v>0.5</v>
      </c>
      <c r="H13" s="44">
        <f ca="1"/>
        <v>0.49726775956284203</v>
      </c>
      <c r="I13" s="40">
        <f ca="1"/>
        <v>43821</v>
      </c>
      <c r="J13" s="45">
        <f ca="1"/>
        <v>1000000</v>
      </c>
      <c r="K13" s="45">
        <f ca="1"/>
        <v>0</v>
      </c>
      <c r="L13" s="44">
        <f ca="1"/>
        <v>1</v>
      </c>
      <c r="M13" s="46">
        <f ca="1"/>
        <v>8.5000000000000006E-2</v>
      </c>
      <c r="N13" s="45">
        <f ca="1"/>
        <v>42500</v>
      </c>
      <c r="O13" s="47">
        <f ca="1"/>
        <v>0.97279475551878902</v>
      </c>
      <c r="P13" s="45">
        <f ca="1"/>
        <v>41343.7771095485</v>
      </c>
      <c r="Q13" s="48" t="str">
        <f ca="1"/>
        <v/>
      </c>
    </row>
    <row r="14" spans="2:17" x14ac:dyDescent="0.25">
      <c r="B14" s="23" t="s">
        <v>12</v>
      </c>
      <c r="C14" s="35" t="s">
        <v>15</v>
      </c>
      <c r="D14" s="12"/>
      <c r="E14" s="39">
        <f ca="1"/>
        <v>43822</v>
      </c>
      <c r="F14" s="40">
        <f ca="1"/>
        <v>44004</v>
      </c>
      <c r="G14" s="44">
        <f ca="1"/>
        <v>0.5</v>
      </c>
      <c r="H14" s="44">
        <f ca="1"/>
        <v>0.49726775956284203</v>
      </c>
      <c r="I14" s="40">
        <f ca="1"/>
        <v>44004</v>
      </c>
      <c r="J14" s="45">
        <f ca="1"/>
        <v>1000000</v>
      </c>
      <c r="K14" s="45">
        <f ca="1"/>
        <v>0</v>
      </c>
      <c r="L14" s="44">
        <f ca="1"/>
        <v>1</v>
      </c>
      <c r="M14" s="46">
        <f ca="1"/>
        <v>8.5000000000000006E-2</v>
      </c>
      <c r="N14" s="45">
        <f ca="1"/>
        <v>42500</v>
      </c>
      <c r="O14" s="47">
        <f ca="1"/>
        <v>0.96576109553734102</v>
      </c>
      <c r="P14" s="45">
        <f ca="1"/>
        <v>41044.846560336999</v>
      </c>
      <c r="Q14" s="48" t="str">
        <f ca="1"/>
        <v/>
      </c>
    </row>
    <row r="15" spans="2:17" x14ac:dyDescent="0.25">
      <c r="B15" s="23" t="s">
        <v>13</v>
      </c>
      <c r="C15" s="62">
        <v>42360</v>
      </c>
      <c r="D15" s="12"/>
      <c r="E15" s="39">
        <f ca="1"/>
        <v>44004</v>
      </c>
      <c r="F15" s="40">
        <f ca="1"/>
        <v>44187</v>
      </c>
      <c r="G15" s="44">
        <f ca="1"/>
        <v>0.5</v>
      </c>
      <c r="H15" s="44">
        <f ca="1"/>
        <v>0.5</v>
      </c>
      <c r="I15" s="40">
        <f ca="1"/>
        <v>44187</v>
      </c>
      <c r="J15" s="45">
        <f ca="1"/>
        <v>1000000</v>
      </c>
      <c r="K15" s="45">
        <f ca="1"/>
        <v>0</v>
      </c>
      <c r="L15" s="44">
        <f ca="1"/>
        <v>1</v>
      </c>
      <c r="M15" s="46">
        <f ca="1"/>
        <v>8.5000000000000006E-2</v>
      </c>
      <c r="N15" s="45">
        <f ca="1"/>
        <v>42500</v>
      </c>
      <c r="O15" s="47">
        <f ca="1"/>
        <v>0.95874006422258495</v>
      </c>
      <c r="P15" s="45">
        <f ca="1"/>
        <v>40746.452729459903</v>
      </c>
      <c r="Q15" s="48" t="str">
        <f ca="1"/>
        <v/>
      </c>
    </row>
    <row r="16" spans="2:17" x14ac:dyDescent="0.25">
      <c r="B16" s="23" t="s">
        <v>37</v>
      </c>
      <c r="C16" s="65">
        <v>92.5</v>
      </c>
      <c r="D16" s="12"/>
      <c r="E16" s="39">
        <f ca="1"/>
        <v>44187</v>
      </c>
      <c r="F16" s="40">
        <f ca="1"/>
        <v>44369</v>
      </c>
      <c r="G16" s="44">
        <f ca="1"/>
        <v>0.5</v>
      </c>
      <c r="H16" s="44">
        <f ca="1"/>
        <v>0.5</v>
      </c>
      <c r="I16" s="40">
        <f ca="1"/>
        <v>44369</v>
      </c>
      <c r="J16" s="45">
        <f ca="1"/>
        <v>1000000</v>
      </c>
      <c r="K16" s="45">
        <f ca="1"/>
        <v>0</v>
      </c>
      <c r="L16" s="44">
        <f ca="1"/>
        <v>1</v>
      </c>
      <c r="M16" s="46">
        <f ca="1"/>
        <v>8.5000000000000006E-2</v>
      </c>
      <c r="N16" s="45">
        <f ca="1"/>
        <v>42500</v>
      </c>
      <c r="O16" s="47">
        <f ca="1"/>
        <v>0.95177007542854197</v>
      </c>
      <c r="P16" s="45">
        <f ca="1"/>
        <v>40450.228205713</v>
      </c>
      <c r="Q16" s="48" t="str">
        <f ca="1"/>
        <v/>
      </c>
    </row>
    <row r="17" spans="2:17" x14ac:dyDescent="0.25">
      <c r="B17" s="23"/>
      <c r="C17" s="62"/>
      <c r="D17" s="13"/>
      <c r="E17" s="39">
        <f ca="1"/>
        <v>44369</v>
      </c>
      <c r="F17" s="40">
        <f ca="1"/>
        <v>44552</v>
      </c>
      <c r="G17" s="44">
        <f ca="1"/>
        <v>0.5</v>
      </c>
      <c r="H17" s="44">
        <f ca="1"/>
        <v>0.5</v>
      </c>
      <c r="I17" s="40">
        <f ca="1"/>
        <v>44552</v>
      </c>
      <c r="J17" s="45">
        <f ca="1"/>
        <v>1000000</v>
      </c>
      <c r="K17" s="45">
        <f ca="1"/>
        <v>0</v>
      </c>
      <c r="L17" s="44">
        <f ca="1"/>
        <v>1</v>
      </c>
      <c r="M17" s="46">
        <f ca="1"/>
        <v>8.5000000000000006E-2</v>
      </c>
      <c r="N17" s="45">
        <f ca="1"/>
        <v>42500</v>
      </c>
      <c r="O17" s="47">
        <f ca="1"/>
        <v>0.94485075807882601</v>
      </c>
      <c r="P17" s="45">
        <f ca="1"/>
        <v>40156.157218350098</v>
      </c>
      <c r="Q17" s="48" t="str">
        <f ca="1"/>
        <v/>
      </c>
    </row>
    <row r="18" spans="2:17" x14ac:dyDescent="0.25">
      <c r="B18" s="23"/>
      <c r="C18" s="65"/>
      <c r="D18" s="14"/>
      <c r="E18" s="39">
        <f ca="1"/>
        <v>44552</v>
      </c>
      <c r="F18" s="40">
        <f ca="1"/>
        <v>44734</v>
      </c>
      <c r="G18" s="44">
        <f ca="1"/>
        <v>0.5</v>
      </c>
      <c r="H18" s="44">
        <f ca="1"/>
        <v>0.5</v>
      </c>
      <c r="I18" s="40">
        <f ca="1"/>
        <v>44734</v>
      </c>
      <c r="J18" s="45">
        <f ca="1"/>
        <v>1000000</v>
      </c>
      <c r="K18" s="45">
        <f ca="1"/>
        <v>0</v>
      </c>
      <c r="L18" s="44">
        <f ca="1"/>
        <v>1</v>
      </c>
      <c r="M18" s="46">
        <f ca="1"/>
        <v>8.5000000000000006E-2</v>
      </c>
      <c r="N18" s="45">
        <f ca="1"/>
        <v>42500</v>
      </c>
      <c r="O18" s="47">
        <f ca="1"/>
        <v>0.93798174379475896</v>
      </c>
      <c r="P18" s="45">
        <f ca="1"/>
        <v>39864.224111277203</v>
      </c>
      <c r="Q18" s="48" t="str">
        <f ca="1"/>
        <v/>
      </c>
    </row>
    <row r="19" spans="2:17" x14ac:dyDescent="0.25">
      <c r="B19" s="23"/>
      <c r="C19" s="62"/>
      <c r="D19" s="15"/>
      <c r="E19" s="39">
        <f ca="1"/>
        <v>44734</v>
      </c>
      <c r="F19" s="40">
        <f ca="1"/>
        <v>44917</v>
      </c>
      <c r="G19" s="44">
        <f ca="1"/>
        <v>0.5</v>
      </c>
      <c r="H19" s="44">
        <f ca="1"/>
        <v>0.5</v>
      </c>
      <c r="I19" s="40">
        <f ca="1"/>
        <v>44917</v>
      </c>
      <c r="J19" s="45">
        <f ca="1"/>
        <v>1000000</v>
      </c>
      <c r="K19" s="45">
        <f ca="1"/>
        <v>0</v>
      </c>
      <c r="L19" s="44">
        <f ca="1"/>
        <v>1</v>
      </c>
      <c r="M19" s="46">
        <f ca="1"/>
        <v>8.5000000000000006E-2</v>
      </c>
      <c r="N19" s="45">
        <f ca="1"/>
        <v>42500</v>
      </c>
      <c r="O19" s="47">
        <f ca="1"/>
        <v>0.931162666875753</v>
      </c>
      <c r="P19" s="45">
        <f ca="1"/>
        <v>39574.413342219501</v>
      </c>
      <c r="Q19" s="48" t="str">
        <f ca="1"/>
        <v/>
      </c>
    </row>
    <row r="20" spans="2:17" x14ac:dyDescent="0.25">
      <c r="B20" s="63"/>
      <c r="C20" s="64"/>
      <c r="E20" s="39">
        <f ca="1"/>
        <v>44917</v>
      </c>
      <c r="F20" s="40">
        <f ca="1"/>
        <v>45099</v>
      </c>
      <c r="G20" s="44">
        <f ca="1"/>
        <v>0.5</v>
      </c>
      <c r="H20" s="44">
        <f ca="1"/>
        <v>0.5</v>
      </c>
      <c r="I20" s="40">
        <f ca="1"/>
        <v>45099</v>
      </c>
      <c r="J20" s="45">
        <f ca="1"/>
        <v>1000000</v>
      </c>
      <c r="K20" s="45">
        <f ca="1"/>
        <v>0</v>
      </c>
      <c r="L20" s="44">
        <f ca="1"/>
        <v>1</v>
      </c>
      <c r="M20" s="46">
        <f ca="1"/>
        <v>8.5000000000000006E-2</v>
      </c>
      <c r="N20" s="45">
        <f ca="1"/>
        <v>42500</v>
      </c>
      <c r="O20" s="47">
        <f ca="1"/>
        <v>0.92439316427984497</v>
      </c>
      <c r="P20" s="45">
        <f ca="1"/>
        <v>39286.709481893398</v>
      </c>
      <c r="Q20" s="48" t="str">
        <f ca="1"/>
        <v/>
      </c>
    </row>
    <row r="21" spans="2:17" x14ac:dyDescent="0.25">
      <c r="E21" s="39">
        <f ca="1"/>
        <v>45099</v>
      </c>
      <c r="F21" s="40">
        <f ca="1"/>
        <v>45282</v>
      </c>
      <c r="G21" s="44">
        <f ca="1"/>
        <v>0.5</v>
      </c>
      <c r="H21" s="44">
        <f ca="1"/>
        <v>0.5</v>
      </c>
      <c r="I21" s="40">
        <f ca="1"/>
        <v>45282</v>
      </c>
      <c r="J21" s="45">
        <f ca="1"/>
        <v>1000000</v>
      </c>
      <c r="K21" s="45">
        <f ca="1"/>
        <v>1000000</v>
      </c>
      <c r="L21" s="44">
        <f ca="1"/>
        <v>1</v>
      </c>
      <c r="M21" s="46">
        <f ca="1"/>
        <v>8.5000000000000006E-2</v>
      </c>
      <c r="N21" s="45">
        <f ca="1"/>
        <v>1042500</v>
      </c>
      <c r="O21" s="47">
        <f ca="1"/>
        <v>0.91767287560436805</v>
      </c>
      <c r="P21" s="45">
        <f ca="1"/>
        <v>956673.97281755402</v>
      </c>
      <c r="Q21" s="48" t="str">
        <f ca="1"/>
        <v/>
      </c>
    </row>
    <row r="22" spans="2:17" x14ac:dyDescent="0.25">
      <c r="B22" s="19" t="s">
        <v>24</v>
      </c>
      <c r="E22" s="39" t="str">
        <f ca="1"/>
        <v/>
      </c>
      <c r="F22" s="40" t="str">
        <f ca="1"/>
        <v/>
      </c>
      <c r="G22" s="44" t="str">
        <f ca="1"/>
        <v/>
      </c>
      <c r="H22" s="44" t="str">
        <f ca="1"/>
        <v/>
      </c>
      <c r="I22" s="40" t="str">
        <f ca="1"/>
        <v/>
      </c>
      <c r="J22" s="45" t="str">
        <f ca="1"/>
        <v/>
      </c>
      <c r="K22" s="45" t="str">
        <f ca="1"/>
        <v/>
      </c>
      <c r="L22" s="44" t="str">
        <f ca="1"/>
        <v/>
      </c>
      <c r="M22" s="46" t="str">
        <f ca="1"/>
        <v/>
      </c>
      <c r="N22" s="45" t="str">
        <f ca="1"/>
        <v/>
      </c>
      <c r="O22" s="47" t="str">
        <f ca="1"/>
        <v/>
      </c>
      <c r="P22" s="45" t="str">
        <f ca="1"/>
        <v/>
      </c>
      <c r="Q22" s="48" t="str">
        <f ca="1"/>
        <v/>
      </c>
    </row>
    <row r="23" spans="2:17" x14ac:dyDescent="0.25">
      <c r="B23" s="25" t="s">
        <v>21</v>
      </c>
      <c r="C23" s="26">
        <f ca="1">TODAY()</f>
        <v>43132</v>
      </c>
      <c r="E23" s="39" t="str">
        <f ca="1"/>
        <v/>
      </c>
      <c r="F23" s="40" t="str">
        <f ca="1"/>
        <v/>
      </c>
      <c r="G23" s="44" t="str">
        <f ca="1"/>
        <v/>
      </c>
      <c r="H23" s="44" t="str">
        <f ca="1"/>
        <v/>
      </c>
      <c r="I23" s="40" t="str">
        <f ca="1"/>
        <v/>
      </c>
      <c r="J23" s="45" t="str">
        <f ca="1"/>
        <v/>
      </c>
      <c r="K23" s="45" t="str">
        <f ca="1"/>
        <v/>
      </c>
      <c r="L23" s="44" t="str">
        <f ca="1"/>
        <v/>
      </c>
      <c r="M23" s="46" t="str">
        <f ca="1"/>
        <v/>
      </c>
      <c r="N23" s="45" t="str">
        <f ca="1"/>
        <v/>
      </c>
      <c r="O23" s="47" t="str">
        <f ca="1"/>
        <v/>
      </c>
      <c r="P23" s="45" t="str">
        <f ca="1"/>
        <v/>
      </c>
      <c r="Q23" s="48" t="str">
        <f ca="1"/>
        <v/>
      </c>
    </row>
    <row r="24" spans="2:17" x14ac:dyDescent="0.25">
      <c r="B24" s="27" t="s">
        <v>17</v>
      </c>
      <c r="C24" s="60">
        <v>1.47E-2</v>
      </c>
      <c r="E24" s="39" t="str">
        <f ca="1"/>
        <v/>
      </c>
      <c r="F24" s="40" t="str">
        <f ca="1"/>
        <v/>
      </c>
      <c r="G24" s="44" t="str">
        <f ca="1"/>
        <v/>
      </c>
      <c r="H24" s="44" t="str">
        <f ca="1"/>
        <v/>
      </c>
      <c r="I24" s="40" t="str">
        <f ca="1"/>
        <v/>
      </c>
      <c r="J24" s="45" t="str">
        <f ca="1"/>
        <v/>
      </c>
      <c r="K24" s="45" t="str">
        <f ca="1"/>
        <v/>
      </c>
      <c r="L24" s="44" t="str">
        <f ca="1"/>
        <v/>
      </c>
      <c r="M24" s="46" t="str">
        <f ca="1"/>
        <v/>
      </c>
      <c r="N24" s="45" t="str">
        <f ca="1"/>
        <v/>
      </c>
      <c r="O24" s="47" t="str">
        <f ca="1"/>
        <v/>
      </c>
      <c r="P24" s="45" t="str">
        <f ca="1"/>
        <v/>
      </c>
      <c r="Q24" s="48" t="str">
        <f ca="1"/>
        <v/>
      </c>
    </row>
    <row r="25" spans="2:17" x14ac:dyDescent="0.25">
      <c r="B25" s="28" t="s">
        <v>16</v>
      </c>
      <c r="C25" s="30">
        <f ca="1">_xll.meLWOBondCleanPrice($C$3,$C$23,$C$24)</f>
        <v>139.5421758775326</v>
      </c>
      <c r="E25" s="39" t="str">
        <f ca="1"/>
        <v/>
      </c>
      <c r="F25" s="40" t="str">
        <f ca="1"/>
        <v/>
      </c>
      <c r="G25" s="44" t="str">
        <f ca="1"/>
        <v/>
      </c>
      <c r="H25" s="44" t="str">
        <f ca="1"/>
        <v/>
      </c>
      <c r="I25" s="40" t="str">
        <f ca="1"/>
        <v/>
      </c>
      <c r="J25" s="45" t="str">
        <f ca="1"/>
        <v/>
      </c>
      <c r="K25" s="45" t="str">
        <f ca="1"/>
        <v/>
      </c>
      <c r="L25" s="44" t="str">
        <f ca="1"/>
        <v/>
      </c>
      <c r="M25" s="46" t="str">
        <f ca="1"/>
        <v/>
      </c>
      <c r="N25" s="45" t="str">
        <f ca="1"/>
        <v/>
      </c>
      <c r="O25" s="47" t="str">
        <f ca="1"/>
        <v/>
      </c>
      <c r="P25" s="45" t="str">
        <f ca="1"/>
        <v/>
      </c>
      <c r="Q25" s="48" t="str">
        <f ca="1"/>
        <v/>
      </c>
    </row>
    <row r="26" spans="2:17" x14ac:dyDescent="0.25">
      <c r="B26" s="28" t="s">
        <v>18</v>
      </c>
      <c r="C26" s="30">
        <f ca="1">_xll.meLWOBondDirtyPrice($C$3,$C$23,$C$24)</f>
        <v>140.49959587753261</v>
      </c>
      <c r="E26" s="39" t="str">
        <f ca="1"/>
        <v/>
      </c>
      <c r="F26" s="40" t="str">
        <f ca="1"/>
        <v/>
      </c>
      <c r="G26" s="44" t="str">
        <f ca="1"/>
        <v/>
      </c>
      <c r="H26" s="44" t="str">
        <f ca="1"/>
        <v/>
      </c>
      <c r="I26" s="40" t="str">
        <f ca="1"/>
        <v/>
      </c>
      <c r="J26" s="45" t="str">
        <f ca="1"/>
        <v/>
      </c>
      <c r="K26" s="45" t="str">
        <f ca="1"/>
        <v/>
      </c>
      <c r="L26" s="44" t="str">
        <f ca="1"/>
        <v/>
      </c>
      <c r="M26" s="46" t="str">
        <f ca="1"/>
        <v/>
      </c>
      <c r="N26" s="45" t="str">
        <f ca="1"/>
        <v/>
      </c>
      <c r="O26" s="47" t="str">
        <f ca="1"/>
        <v/>
      </c>
      <c r="P26" s="45" t="str">
        <f ca="1"/>
        <v/>
      </c>
      <c r="Q26" s="48" t="str">
        <f ca="1"/>
        <v/>
      </c>
    </row>
    <row r="27" spans="2:17" x14ac:dyDescent="0.25">
      <c r="B27" s="28" t="s">
        <v>19</v>
      </c>
      <c r="C27" s="31">
        <f ca="1">_xll.meLWOBondAccruedInterest($C$3,$C$23)</f>
        <v>9574.2000000000007</v>
      </c>
      <c r="E27" s="39" t="str">
        <f ca="1"/>
        <v/>
      </c>
      <c r="F27" s="40" t="str">
        <f ca="1"/>
        <v/>
      </c>
      <c r="G27" s="44" t="str">
        <f ca="1"/>
        <v/>
      </c>
      <c r="H27" s="44" t="str">
        <f ca="1"/>
        <v/>
      </c>
      <c r="I27" s="40" t="str">
        <f ca="1"/>
        <v/>
      </c>
      <c r="J27" s="45" t="str">
        <f ca="1"/>
        <v/>
      </c>
      <c r="K27" s="45" t="str">
        <f ca="1"/>
        <v/>
      </c>
      <c r="L27" s="44" t="str">
        <f ca="1"/>
        <v/>
      </c>
      <c r="M27" s="46" t="str">
        <f ca="1"/>
        <v/>
      </c>
      <c r="N27" s="45" t="str">
        <f ca="1"/>
        <v/>
      </c>
      <c r="O27" s="47" t="str">
        <f ca="1"/>
        <v/>
      </c>
      <c r="P27" s="45" t="str">
        <f ca="1"/>
        <v/>
      </c>
      <c r="Q27" s="48" t="str">
        <f ca="1"/>
        <v/>
      </c>
    </row>
    <row r="28" spans="2:17" x14ac:dyDescent="0.25">
      <c r="B28" s="28" t="s">
        <v>20</v>
      </c>
      <c r="C28" s="32">
        <f ca="1">_xll.meLWOBondAccruedInterestDays($C$3,$C$23)</f>
        <v>41</v>
      </c>
      <c r="E28" s="39" t="str">
        <f ca="1"/>
        <v/>
      </c>
      <c r="F28" s="40" t="str">
        <f ca="1"/>
        <v/>
      </c>
      <c r="G28" s="44" t="str">
        <f ca="1"/>
        <v/>
      </c>
      <c r="H28" s="44" t="str">
        <f ca="1"/>
        <v/>
      </c>
      <c r="I28" s="40" t="str">
        <f ca="1"/>
        <v/>
      </c>
      <c r="J28" s="45" t="str">
        <f ca="1"/>
        <v/>
      </c>
      <c r="K28" s="45" t="str">
        <f ca="1"/>
        <v/>
      </c>
      <c r="L28" s="44" t="str">
        <f ca="1"/>
        <v/>
      </c>
      <c r="M28" s="46" t="str">
        <f ca="1"/>
        <v/>
      </c>
      <c r="N28" s="45" t="str">
        <f ca="1"/>
        <v/>
      </c>
      <c r="O28" s="47" t="str">
        <f ca="1"/>
        <v/>
      </c>
      <c r="P28" s="45" t="str">
        <f ca="1"/>
        <v/>
      </c>
      <c r="Q28" s="48" t="str">
        <f ca="1"/>
        <v/>
      </c>
    </row>
    <row r="29" spans="2:17" x14ac:dyDescent="0.25">
      <c r="B29" s="29" t="s">
        <v>22</v>
      </c>
      <c r="C29" s="33">
        <f ca="1">_xll.meLWOBondDV01($C$3,$C$23,$C$24)</f>
        <v>686.01752976181899</v>
      </c>
      <c r="E29" s="41" t="str">
        <f ca="1"/>
        <v/>
      </c>
      <c r="F29" s="42" t="str">
        <f ca="1"/>
        <v/>
      </c>
      <c r="G29" s="49" t="str">
        <f ca="1"/>
        <v/>
      </c>
      <c r="H29" s="49" t="str">
        <f ca="1"/>
        <v/>
      </c>
      <c r="I29" s="42" t="str">
        <f ca="1"/>
        <v/>
      </c>
      <c r="J29" s="50" t="str">
        <f ca="1"/>
        <v/>
      </c>
      <c r="K29" s="50" t="str">
        <f ca="1"/>
        <v/>
      </c>
      <c r="L29" s="49" t="str">
        <f ca="1"/>
        <v/>
      </c>
      <c r="M29" s="51" t="str">
        <f ca="1"/>
        <v/>
      </c>
      <c r="N29" s="50" t="str">
        <f ca="1"/>
        <v/>
      </c>
      <c r="O29" s="52" t="str">
        <f ca="1"/>
        <v/>
      </c>
      <c r="P29" s="50" t="str">
        <f ca="1"/>
        <v/>
      </c>
      <c r="Q29" s="53" t="str">
        <f ca="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BOND GENERATOR</vt:lpstr>
      <vt:lpstr>US TREASURY_TYPE1</vt:lpstr>
      <vt:lpstr>GERMAN_BUND_TYPE60</vt:lpstr>
      <vt:lpstr>JAPAN_JGB_TYPE51</vt:lpstr>
      <vt:lpstr>FRENCH_OAT_TYPE89</vt:lpstr>
      <vt:lpstr>ITALIAN_BTPS_TYPE523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2018-01-26T15:32:26Z</dcterms:created>
  <dcterms:modified xsi:type="dcterms:W3CDTF">2018-02-01T09:51:02Z</dcterms:modified>
</cp:coreProperties>
</file>