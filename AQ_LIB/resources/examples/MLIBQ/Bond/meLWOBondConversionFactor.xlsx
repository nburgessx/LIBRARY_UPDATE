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7795" windowHeight="13545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C23" i="1" l="1"/>
  <c r="C31" i="1"/>
  <c r="C17" i="1"/>
  <c r="C25" i="1" s="1"/>
  <c r="J20" i="1"/>
  <c r="J11" i="1"/>
  <c r="J17" i="1"/>
  <c r="J15" i="1"/>
  <c r="J9" i="1"/>
  <c r="J16" i="1"/>
  <c r="J10" i="1"/>
</calcChain>
</file>

<file path=xl/sharedStrings.xml><?xml version="1.0" encoding="utf-8"?>
<sst xmlns="http://schemas.openxmlformats.org/spreadsheetml/2006/main" count="59" uniqueCount="53">
  <si>
    <t>FUT_NORM_PX</t>
  </si>
  <si>
    <t>NOTIONAL_ISSUE_COUPON</t>
  </si>
  <si>
    <t>FUT_DLV_DT_FIRST</t>
  </si>
  <si>
    <t>FUT_DLVRBLE_BNDS_ISINS</t>
  </si>
  <si>
    <t>YAS_BOND_PX</t>
  </si>
  <si>
    <t>REPO_DAY_CNT</t>
  </si>
  <si>
    <t>DE0001102440   Corp</t>
  </si>
  <si>
    <t>meLWOBondRepoRateFromFuture</t>
  </si>
  <si>
    <t>SettlementDate</t>
  </si>
  <si>
    <t>QuotedPrice</t>
  </si>
  <si>
    <t>FuturePrices</t>
  </si>
  <si>
    <t>FutureSettlement</t>
  </si>
  <si>
    <t>GERMAN_BUND_TYPE60</t>
  </si>
  <si>
    <t>BondDescription</t>
  </si>
  <si>
    <t>ISIN</t>
  </si>
  <si>
    <t>IssueDate</t>
  </si>
  <si>
    <t>AccrualStartDate</t>
  </si>
  <si>
    <t>RollDay</t>
  </si>
  <si>
    <t/>
  </si>
  <si>
    <t>FirstCouponDate</t>
  </si>
  <si>
    <t>LastCouponDate</t>
  </si>
  <si>
    <t>Coupon</t>
  </si>
  <si>
    <t>MaturityDate</t>
  </si>
  <si>
    <t>Yield</t>
  </si>
  <si>
    <t>DBR_2.5PCT_04-JAN-2021</t>
  </si>
  <si>
    <t>QuoteType</t>
  </si>
  <si>
    <t>Clean</t>
  </si>
  <si>
    <t>RepoRate</t>
  </si>
  <si>
    <t>ConversionFactor</t>
  </si>
  <si>
    <t>RepoDayCount</t>
  </si>
  <si>
    <t>ACT/360</t>
  </si>
  <si>
    <t>CreateBond</t>
  </si>
  <si>
    <t>YAS_BOND_YLD</t>
  </si>
  <si>
    <t>Bond</t>
  </si>
  <si>
    <t>Future</t>
  </si>
  <si>
    <t>RXA Comdty</t>
  </si>
  <si>
    <t>Price</t>
  </si>
  <si>
    <t>FuturePrice</t>
  </si>
  <si>
    <t>FUTURE</t>
  </si>
  <si>
    <t>BOND</t>
  </si>
  <si>
    <t>CONVERSION FACTORS</t>
  </si>
  <si>
    <t>BLOOMBERG DATA</t>
  </si>
  <si>
    <t>BOND TEMPLATE</t>
  </si>
  <si>
    <t>BOND LABEL VALUE BLOCK</t>
  </si>
  <si>
    <t>CREATE BOND</t>
  </si>
  <si>
    <t>REPO RATE CALCULATION</t>
  </si>
  <si>
    <t>CONVERSION FACTOR</t>
  </si>
  <si>
    <t>meLWOBondCreateFromGeneratorLVB</t>
  </si>
  <si>
    <t>NotionalBondCoupon</t>
  </si>
  <si>
    <t>2D</t>
  </si>
  <si>
    <t>DE0001102424</t>
  </si>
  <si>
    <t>DE0001102424 Govt</t>
  </si>
  <si>
    <t>meLWOBondConversionFactor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</si>
</sst>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5" formatCode="0.00000%"/>
    <numFmt numFmtId="167" formatCode="0.000%"/>
    <numFmt numFmtId="168" formatCode="0.0000%"/>
    <numFmt numFmtId="169" formatCode="ddd\,\ d\-mmm\-yy"/>
    <numFmt numFmtId="170" formatCode="#,##0.0000"/>
    <numFmt numFmtId="171" formatCode="0.000000%"/>
    <numFmt numFmtId="172" formatCode="0.000000"/>
    <numFmt numFmtId="173" formatCode="0.000"/>
    <numFmt numFmtId="175" formatCode="#,##0.000"/>
    <numFmt numFmtId="176" formatCode="#,##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0" borderId="3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1" fillId="0" borderId="0" xfId="0" applyFont="1" applyFill="1" applyBorder="1"/>
    <xf numFmtId="0" fontId="1" fillId="0" borderId="0" xfId="0" applyFont="1"/>
    <xf numFmtId="169" fontId="0" fillId="0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0" fillId="0" borderId="4" xfId="0" applyNumberFormat="1" applyFill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0" fontId="6" fillId="0" borderId="0" xfId="0" applyFont="1"/>
    <xf numFmtId="171" fontId="4" fillId="0" borderId="3" xfId="0" applyNumberFormat="1" applyFont="1" applyFill="1" applyBorder="1" applyAlignment="1">
      <alignment horizontal="center" vertical="center"/>
    </xf>
    <xf numFmtId="175" fontId="3" fillId="0" borderId="3" xfId="0" applyNumberFormat="1" applyFont="1" applyBorder="1" applyAlignment="1">
      <alignment horizontal="center" vertical="center"/>
    </xf>
    <xf numFmtId="17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0" xfId="0" applyFont="1" applyFill="1" applyBorder="1"/>
    <xf numFmtId="0" fontId="0" fillId="0" borderId="0" xfId="0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9" xfId="0" applyFill="1" applyBorder="1"/>
    <xf numFmtId="0" fontId="6" fillId="3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/>
    <xf numFmtId="172" fontId="4" fillId="3" borderId="2" xfId="0" applyNumberFormat="1" applyFont="1" applyFill="1" applyBorder="1"/>
    <xf numFmtId="173" fontId="3" fillId="3" borderId="0" xfId="0" applyNumberFormat="1" applyFont="1" applyFill="1" applyBorder="1" applyAlignment="1">
      <alignment horizontal="center" vertical="center"/>
    </xf>
    <xf numFmtId="175" fontId="3" fillId="3" borderId="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0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161.5</v>
        <stp/>
        <stp>##V3_BDPV12</stp>
        <stp>RXA Comdty</stp>
        <stp>FUT_NORM_PX</stp>
        <stp>[Book1]Sheet1!R16C10</stp>
        <tr r="J16" s="1"/>
      </tp>
      <tp>
        <v>6</v>
        <stp/>
        <stp>##V3_BDPV12</stp>
        <stp>RXA Comdty</stp>
        <stp>NOTIONAL_ISSUE_COUPON</stp>
        <stp>[Book1]Sheet1!R17C10</stp>
        <tr r="J17" s="1"/>
      </tp>
    </main>
    <main first="bloomberg.rtd">
      <tp t="s">
        <v>DE0001102424   Corp</v>
        <stp/>
        <stp>##V3_BDSV12</stp>
        <stp>RXA Comdty</stp>
        <stp>FUT_DLVRBLE_BNDS_ISINS</stp>
        <stp>[Book1]Sheet1!R20C10</stp>
        <stp>cols=2;rows=2</stp>
        <tr r="J20" s="1"/>
      </tp>
      <tp>
        <v>0.30499500000000002</v>
        <stp/>
        <stp>##V3_BDPV12</stp>
        <stp>DE0001102424 Govt</stp>
        <stp>YAS_BOND_YLD</stp>
        <stp>[Book1]Sheet1!R9C10</stp>
        <tr r="J9" s="1"/>
      </tp>
      <tp t="s">
        <v>10/09/2018</v>
        <stp/>
        <stp>##V3_BDPV12</stp>
        <stp>RXA Comdty</stp>
        <stp>FUT_DLV_DT_FIRST</stp>
        <stp>[Book1]Sheet1!R15C10</stp>
        <tr r="J15" s="1"/>
      </tp>
      <tp>
        <v>101.75700000000001</v>
        <stp/>
        <stp>##V3_BDPV12</stp>
        <stp>DE0001102424 Govt</stp>
        <stp>YAS_BOND_PX</stp>
        <stp>[Book1]Sheet1!R10C10</stp>
        <tr r="J10" s="1"/>
      </tp>
      <tp>
        <v>360</v>
        <stp/>
        <stp>##V3_BDPV12</stp>
        <stp>DE0001102424 Govt</stp>
        <stp>REPO_DAY_CNT</stp>
        <stp>[Book1]Sheet1!R11C10</stp>
        <tr r="J1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6"/>
  <sheetViews>
    <sheetView showGridLines="0" tabSelected="1" workbookViewId="0"/>
  </sheetViews>
  <sheetFormatPr defaultRowHeight="15" x14ac:dyDescent="0.25"/>
  <cols>
    <col min="2" max="2" width="25.7109375" customWidth="1"/>
    <col min="3" max="3" width="36.140625" customWidth="1"/>
    <col min="6" max="6" width="24.7109375" bestFit="1" customWidth="1"/>
    <col min="10" max="10" width="19" style="2" bestFit="1" customWidth="1"/>
    <col min="11" max="11" width="9.140625" style="25"/>
  </cols>
  <sheetData>
    <row r="3" spans="2:12" x14ac:dyDescent="0.25">
      <c r="B3" s="14" t="s">
        <v>42</v>
      </c>
      <c r="C3" s="1" t="s">
        <v>12</v>
      </c>
    </row>
    <row r="5" spans="2:12" x14ac:dyDescent="0.25">
      <c r="B5" s="14" t="s">
        <v>43</v>
      </c>
      <c r="E5" s="14" t="s">
        <v>41</v>
      </c>
    </row>
    <row r="6" spans="2:12" x14ac:dyDescent="0.25">
      <c r="B6" s="9" t="s">
        <v>13</v>
      </c>
      <c r="C6" s="3" t="s">
        <v>24</v>
      </c>
      <c r="E6" s="26"/>
      <c r="F6" s="27"/>
      <c r="G6" s="27"/>
      <c r="H6" s="27"/>
      <c r="I6" s="27"/>
      <c r="J6" s="28"/>
      <c r="K6" s="29"/>
      <c r="L6" s="30"/>
    </row>
    <row r="7" spans="2:12" x14ac:dyDescent="0.25">
      <c r="B7" s="10" t="s">
        <v>14</v>
      </c>
      <c r="C7" s="4" t="s">
        <v>50</v>
      </c>
      <c r="E7" s="31"/>
      <c r="F7" s="24" t="s">
        <v>39</v>
      </c>
      <c r="G7" s="12"/>
      <c r="H7" s="12"/>
      <c r="I7" s="12"/>
      <c r="J7" s="32"/>
      <c r="K7" s="33"/>
      <c r="L7" s="34"/>
    </row>
    <row r="8" spans="2:12" x14ac:dyDescent="0.25">
      <c r="B8" s="10" t="s">
        <v>15</v>
      </c>
      <c r="C8" s="5">
        <v>42930</v>
      </c>
      <c r="E8" s="31"/>
      <c r="F8" s="12" t="s">
        <v>33</v>
      </c>
      <c r="G8" s="12" t="s">
        <v>51</v>
      </c>
      <c r="H8" s="12"/>
      <c r="I8" s="12"/>
      <c r="J8" s="32"/>
      <c r="K8" s="33"/>
      <c r="L8" s="34"/>
    </row>
    <row r="9" spans="2:12" x14ac:dyDescent="0.25">
      <c r="B9" s="10" t="s">
        <v>16</v>
      </c>
      <c r="C9" s="5">
        <v>42930</v>
      </c>
      <c r="E9" s="31"/>
      <c r="F9" s="12" t="s">
        <v>23</v>
      </c>
      <c r="G9" s="35" t="s">
        <v>32</v>
      </c>
      <c r="H9" s="12"/>
      <c r="I9" s="12"/>
      <c r="J9" s="45">
        <f ca="1">_xll.BDP($G$8,G9)</f>
        <v>0.30499500000000002</v>
      </c>
      <c r="K9" s="33"/>
      <c r="L9" s="34"/>
    </row>
    <row r="10" spans="2:12" x14ac:dyDescent="0.25">
      <c r="B10" s="10" t="s">
        <v>17</v>
      </c>
      <c r="C10" s="6" t="s">
        <v>18</v>
      </c>
      <c r="E10" s="31"/>
      <c r="F10" s="12" t="s">
        <v>36</v>
      </c>
      <c r="G10" s="35" t="s">
        <v>4</v>
      </c>
      <c r="H10" s="12"/>
      <c r="I10" s="12"/>
      <c r="J10" s="44">
        <f ca="1">_xll.BDP($G$8,G10)</f>
        <v>101.75700000000001</v>
      </c>
      <c r="K10" s="33"/>
      <c r="L10" s="34"/>
    </row>
    <row r="11" spans="2:12" x14ac:dyDescent="0.25">
      <c r="B11" s="10" t="s">
        <v>19</v>
      </c>
      <c r="C11" s="5">
        <v>43327</v>
      </c>
      <c r="E11" s="31"/>
      <c r="F11" s="12" t="s">
        <v>29</v>
      </c>
      <c r="G11" s="35" t="s">
        <v>5</v>
      </c>
      <c r="H11" s="12"/>
      <c r="I11" s="12"/>
      <c r="J11" s="36">
        <f ca="1">_xll.BDP($G$8,G11)</f>
        <v>360</v>
      </c>
      <c r="K11" s="33"/>
      <c r="L11" s="34"/>
    </row>
    <row r="12" spans="2:12" x14ac:dyDescent="0.25">
      <c r="B12" s="10" t="s">
        <v>20</v>
      </c>
      <c r="C12" s="5">
        <v>46249</v>
      </c>
      <c r="E12" s="31"/>
      <c r="F12" s="12"/>
      <c r="G12" s="12"/>
      <c r="H12" s="12"/>
      <c r="I12" s="12"/>
      <c r="J12" s="32"/>
      <c r="K12" s="33"/>
      <c r="L12" s="34"/>
    </row>
    <row r="13" spans="2:12" x14ac:dyDescent="0.25">
      <c r="B13" s="10" t="s">
        <v>21</v>
      </c>
      <c r="C13" s="7">
        <v>5.0000000000000001E-3</v>
      </c>
      <c r="E13" s="31"/>
      <c r="F13" s="24" t="s">
        <v>38</v>
      </c>
      <c r="G13" s="12"/>
      <c r="H13" s="12"/>
      <c r="I13" s="12"/>
      <c r="J13" s="32"/>
      <c r="K13" s="33"/>
      <c r="L13" s="34"/>
    </row>
    <row r="14" spans="2:12" x14ac:dyDescent="0.25">
      <c r="B14" s="11" t="s">
        <v>22</v>
      </c>
      <c r="C14" s="8">
        <v>46614</v>
      </c>
      <c r="E14" s="31"/>
      <c r="F14" s="12" t="s">
        <v>34</v>
      </c>
      <c r="G14" s="12" t="s">
        <v>35</v>
      </c>
      <c r="H14" s="12"/>
      <c r="I14" s="12"/>
      <c r="J14" s="32"/>
      <c r="K14" s="33"/>
      <c r="L14" s="34"/>
    </row>
    <row r="15" spans="2:12" x14ac:dyDescent="0.25">
      <c r="E15" s="31"/>
      <c r="F15" s="12" t="s">
        <v>11</v>
      </c>
      <c r="G15" s="35" t="s">
        <v>2</v>
      </c>
      <c r="H15" s="12"/>
      <c r="I15" s="12"/>
      <c r="J15" s="36" t="str">
        <f ca="1">_xll.BDP($G$14,G15)</f>
        <v>10/09/2018</v>
      </c>
      <c r="K15" s="33"/>
      <c r="L15" s="34"/>
    </row>
    <row r="16" spans="2:12" x14ac:dyDescent="0.25">
      <c r="B16" s="13" t="s">
        <v>44</v>
      </c>
      <c r="C16" s="16" t="s">
        <v>47</v>
      </c>
      <c r="E16" s="31"/>
      <c r="F16" s="12" t="s">
        <v>37</v>
      </c>
      <c r="G16" s="35" t="s">
        <v>0</v>
      </c>
      <c r="H16" s="12"/>
      <c r="I16" s="12"/>
      <c r="J16" s="43">
        <f ca="1">_xll.BDP($G$14,G16)</f>
        <v>161.5</v>
      </c>
      <c r="K16" s="33"/>
      <c r="L16" s="34"/>
    </row>
    <row r="17" spans="2:12" x14ac:dyDescent="0.25">
      <c r="B17" s="42" t="s">
        <v>31</v>
      </c>
      <c r="C17" s="50" t="str">
        <f ca="1">_xll.meLWOBondCreateFromGeneratorLVB(C6,C3,B6:C14)</f>
        <v>DBR_2.5PCT_04-JAN-2021@852:53</v>
      </c>
      <c r="E17" s="31"/>
      <c r="F17" s="12" t="s">
        <v>48</v>
      </c>
      <c r="G17" s="35" t="s">
        <v>1</v>
      </c>
      <c r="H17" s="12"/>
      <c r="I17" s="12"/>
      <c r="J17" s="43">
        <f ca="1">_xll.BDP($G$14,G17)</f>
        <v>6</v>
      </c>
      <c r="K17" s="33"/>
      <c r="L17" s="34"/>
    </row>
    <row r="18" spans="2:12" x14ac:dyDescent="0.25">
      <c r="B18" s="10" t="s">
        <v>8</v>
      </c>
      <c r="C18" s="15">
        <v>43272</v>
      </c>
      <c r="D18" t="s">
        <v>49</v>
      </c>
      <c r="E18" s="31"/>
      <c r="F18" s="12"/>
      <c r="G18" s="12"/>
      <c r="H18" s="12"/>
      <c r="I18" s="12"/>
      <c r="J18" s="32"/>
      <c r="K18" s="33"/>
      <c r="L18" s="34"/>
    </row>
    <row r="19" spans="2:12" x14ac:dyDescent="0.25">
      <c r="B19" s="10" t="s">
        <v>23</v>
      </c>
      <c r="C19" s="20">
        <v>3.0500000000000002E-3</v>
      </c>
      <c r="E19" s="31"/>
      <c r="F19" s="12"/>
      <c r="G19" s="12"/>
      <c r="H19" s="12"/>
      <c r="I19" s="12"/>
      <c r="J19" s="32"/>
      <c r="K19" s="33"/>
      <c r="L19" s="34"/>
    </row>
    <row r="20" spans="2:12" x14ac:dyDescent="0.25">
      <c r="B20" s="11" t="s">
        <v>25</v>
      </c>
      <c r="C20" s="17" t="s">
        <v>26</v>
      </c>
      <c r="E20" s="31"/>
      <c r="F20" s="24" t="s">
        <v>40</v>
      </c>
      <c r="G20" s="35" t="s">
        <v>3</v>
      </c>
      <c r="H20" s="12"/>
      <c r="I20" s="12"/>
      <c r="J20" s="36" t="str">
        <f ca="1">_xll.BDS($G$14,G20,"cols=2;rows=2")</f>
        <v>DE0001102424   Corp</v>
      </c>
      <c r="K20" s="45">
        <v>0.62815399999999999</v>
      </c>
      <c r="L20" s="34"/>
    </row>
    <row r="21" spans="2:12" x14ac:dyDescent="0.25">
      <c r="E21" s="31"/>
      <c r="F21" s="12"/>
      <c r="G21" s="12"/>
      <c r="H21" s="12"/>
      <c r="I21" s="12"/>
      <c r="J21" s="36" t="s">
        <v>6</v>
      </c>
      <c r="K21" s="45">
        <v>0.61234500000000003</v>
      </c>
      <c r="L21" s="34"/>
    </row>
    <row r="22" spans="2:12" x14ac:dyDescent="0.25">
      <c r="B22" s="13" t="s">
        <v>45</v>
      </c>
      <c r="C22" s="16" t="s">
        <v>7</v>
      </c>
      <c r="E22" s="31"/>
      <c r="F22" s="12"/>
      <c r="G22" s="12"/>
      <c r="H22" s="12"/>
      <c r="I22" s="12"/>
      <c r="J22" s="32"/>
      <c r="K22" s="33"/>
      <c r="L22" s="34"/>
    </row>
    <row r="23" spans="2:12" x14ac:dyDescent="0.25">
      <c r="B23" s="42" t="s">
        <v>27</v>
      </c>
      <c r="C23" s="48">
        <f ca="1">_xll.meLWOBondRepoRateFromFuture(C17,C18,C24,C25,C26,C27,C28)</f>
        <v>-8.6721202452532103E-3</v>
      </c>
      <c r="E23" s="37"/>
      <c r="F23" s="38"/>
      <c r="G23" s="38"/>
      <c r="H23" s="38"/>
      <c r="I23" s="38"/>
      <c r="J23" s="39"/>
      <c r="K23" s="40"/>
      <c r="L23" s="41"/>
    </row>
    <row r="24" spans="2:12" x14ac:dyDescent="0.25">
      <c r="B24" s="10" t="s">
        <v>11</v>
      </c>
      <c r="C24" s="5">
        <v>43353</v>
      </c>
    </row>
    <row r="25" spans="2:12" x14ac:dyDescent="0.25">
      <c r="B25" s="10" t="s">
        <v>9</v>
      </c>
      <c r="C25" s="21">
        <f ca="1">_xll.meLWOBondPrice(C17,C18,C19)</f>
        <v>101.75695434798504</v>
      </c>
      <c r="F25" s="19"/>
    </row>
    <row r="26" spans="2:12" x14ac:dyDescent="0.25">
      <c r="B26" s="10" t="s">
        <v>10</v>
      </c>
      <c r="C26" s="22">
        <v>161.5</v>
      </c>
      <c r="G26" s="18"/>
    </row>
    <row r="27" spans="2:12" x14ac:dyDescent="0.25">
      <c r="B27" s="10" t="s">
        <v>28</v>
      </c>
      <c r="C27" s="47">
        <v>0.62815399999999999</v>
      </c>
    </row>
    <row r="28" spans="2:12" x14ac:dyDescent="0.25">
      <c r="B28" s="11" t="s">
        <v>29</v>
      </c>
      <c r="C28" s="23" t="s">
        <v>30</v>
      </c>
    </row>
    <row r="30" spans="2:12" x14ac:dyDescent="0.25">
      <c r="B30" s="13" t="s">
        <v>46</v>
      </c>
      <c r="C30" s="16" t="s">
        <v>52</v>
      </c>
    </row>
    <row r="31" spans="2:12" x14ac:dyDescent="0.25">
      <c r="B31" s="42" t="s">
        <v>28</v>
      </c>
      <c r="C31" s="49">
        <f ca="1">_xll.meLWOBondConversionFactor(C17,C32,C33)</f>
        <v>0.62815408760331937</v>
      </c>
    </row>
    <row r="32" spans="2:12" x14ac:dyDescent="0.25">
      <c r="B32" s="10" t="s">
        <v>11</v>
      </c>
      <c r="C32" s="5">
        <v>43353</v>
      </c>
    </row>
    <row r="33" spans="2:3" x14ac:dyDescent="0.25">
      <c r="B33" s="10" t="s">
        <v>48</v>
      </c>
      <c r="C33" s="46">
        <v>0.06</v>
      </c>
    </row>
    <row r="34" spans="2:3" x14ac:dyDescent="0.25">
      <c r="B34" s="10"/>
      <c r="C34" s="22"/>
    </row>
    <row r="35" spans="2:3" x14ac:dyDescent="0.25">
      <c r="B35" s="10"/>
      <c r="C35" s="4"/>
    </row>
    <row r="36" spans="2:3" x14ac:dyDescent="0.25">
      <c r="B36" s="11"/>
      <c r="C36" s="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2018-06-19T14:10:13Z</dcterms:created>
  <dcterms:modified xsi:type="dcterms:W3CDTF">2018-06-19T15:53:21Z</dcterms:modified>
</cp:coreProperties>
</file>