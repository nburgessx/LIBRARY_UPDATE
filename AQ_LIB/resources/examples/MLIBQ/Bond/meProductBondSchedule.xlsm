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90" windowWidth="27795" windowHeight="14625"/>
  </bookViews>
  <sheets>
    <sheet name="BondSchedules" sheetId="4" r:id="rId1"/>
  </sheets>
  <calcPr calcId="145621" calcMode="manual" calcCompleted="0" calcOnSave="0"/>
</workbook>
</file>

<file path=xl/calcChain.xml><?xml version="1.0" encoding="utf-8"?>
<calcChain xmlns="http://schemas.openxmlformats.org/spreadsheetml/2006/main">
  <c r="K54" i="4" l="1"/>
  <c r="J54" i="4"/>
  <c r="I54" i="4"/>
  <c r="H54" i="4"/>
  <c r="G54" i="4"/>
  <c r="F54" i="4"/>
  <c r="E54" i="4"/>
  <c r="K53" i="4"/>
  <c r="J53" i="4"/>
  <c r="I53" i="4"/>
  <c r="H53" i="4"/>
  <c r="G53" i="4"/>
  <c r="F53" i="4"/>
  <c r="E53" i="4"/>
  <c r="K52" i="4"/>
  <c r="J52" i="4"/>
  <c r="I52" i="4"/>
  <c r="H52" i="4"/>
  <c r="G52" i="4"/>
  <c r="F52" i="4"/>
  <c r="E52" i="4"/>
  <c r="K51" i="4"/>
  <c r="J51" i="4"/>
  <c r="I51" i="4"/>
  <c r="H51" i="4"/>
  <c r="G51" i="4"/>
  <c r="F51" i="4"/>
  <c r="E51" i="4"/>
  <c r="K50" i="4"/>
  <c r="J50" i="4"/>
  <c r="I50" i="4"/>
  <c r="H50" i="4"/>
  <c r="G50" i="4"/>
  <c r="F50" i="4"/>
  <c r="E50" i="4"/>
  <c r="K49" i="4"/>
  <c r="J49" i="4"/>
  <c r="I49" i="4"/>
  <c r="H49" i="4"/>
  <c r="G49" i="4"/>
  <c r="F49" i="4"/>
  <c r="E49" i="4"/>
  <c r="K48" i="4"/>
  <c r="J48" i="4"/>
  <c r="I48" i="4"/>
  <c r="H48" i="4"/>
  <c r="G48" i="4"/>
  <c r="F48" i="4"/>
  <c r="E48" i="4"/>
  <c r="K47" i="4"/>
  <c r="J47" i="4"/>
  <c r="I47" i="4"/>
  <c r="H47" i="4"/>
  <c r="G47" i="4"/>
  <c r="F47" i="4"/>
  <c r="E47" i="4"/>
  <c r="K46" i="4"/>
  <c r="J46" i="4"/>
  <c r="I46" i="4"/>
  <c r="H46" i="4"/>
  <c r="G46" i="4"/>
  <c r="F46" i="4"/>
  <c r="E46" i="4"/>
  <c r="K45" i="4"/>
  <c r="J45" i="4"/>
  <c r="I45" i="4"/>
  <c r="H45" i="4"/>
  <c r="G45" i="4"/>
  <c r="F45" i="4"/>
  <c r="E45" i="4"/>
  <c r="K44" i="4"/>
  <c r="J44" i="4"/>
  <c r="I44" i="4"/>
  <c r="H44" i="4"/>
  <c r="G44" i="4"/>
  <c r="F44" i="4"/>
  <c r="E44" i="4"/>
  <c r="K43" i="4"/>
  <c r="J43" i="4"/>
  <c r="I43" i="4"/>
  <c r="H43" i="4"/>
  <c r="G43" i="4"/>
  <c r="F43" i="4"/>
  <c r="E43" i="4"/>
  <c r="K42" i="4"/>
  <c r="J42" i="4"/>
  <c r="I42" i="4"/>
  <c r="H42" i="4"/>
  <c r="G42" i="4"/>
  <c r="F42" i="4"/>
  <c r="E42" i="4"/>
  <c r="K41" i="4"/>
  <c r="J41" i="4"/>
  <c r="I41" i="4"/>
  <c r="H41" i="4"/>
  <c r="G41" i="4"/>
  <c r="F41" i="4"/>
  <c r="E41" i="4"/>
  <c r="K40" i="4"/>
  <c r="J40" i="4"/>
  <c r="I40" i="4"/>
  <c r="H40" i="4"/>
  <c r="G40" i="4"/>
  <c r="F40" i="4"/>
  <c r="E40" i="4"/>
  <c r="K39" i="4"/>
  <c r="J39" i="4"/>
  <c r="I39" i="4"/>
  <c r="H39" i="4"/>
  <c r="G39" i="4"/>
  <c r="F39" i="4"/>
  <c r="E39" i="4"/>
  <c r="K38" i="4"/>
  <c r="J38" i="4"/>
  <c r="I38" i="4"/>
  <c r="H38" i="4"/>
  <c r="G38" i="4"/>
  <c r="F38" i="4"/>
  <c r="E38" i="4"/>
  <c r="K37" i="4"/>
  <c r="J37" i="4"/>
  <c r="I37" i="4"/>
  <c r="H37" i="4"/>
  <c r="G37" i="4"/>
  <c r="F37" i="4"/>
  <c r="E37" i="4"/>
  <c r="K36" i="4"/>
  <c r="J36" i="4"/>
  <c r="I36" i="4"/>
  <c r="H36" i="4"/>
  <c r="G36" i="4"/>
  <c r="F36" i="4"/>
  <c r="E36" i="4"/>
  <c r="K35" i="4"/>
  <c r="J35" i="4"/>
  <c r="I35" i="4"/>
  <c r="H35" i="4"/>
  <c r="G35" i="4"/>
  <c r="F35" i="4"/>
  <c r="E35" i="4"/>
  <c r="K34" i="4"/>
  <c r="J34" i="4"/>
  <c r="I34" i="4"/>
  <c r="H34" i="4"/>
  <c r="G34" i="4"/>
  <c r="F34" i="4"/>
  <c r="E34" i="4"/>
  <c r="K33" i="4"/>
  <c r="J33" i="4"/>
  <c r="I33" i="4"/>
  <c r="H33" i="4"/>
  <c r="G33" i="4"/>
  <c r="F33" i="4"/>
  <c r="E33" i="4"/>
  <c r="E33" i="4" a="1"/>
  <c r="K29" i="4"/>
  <c r="J29" i="4"/>
  <c r="I29" i="4"/>
  <c r="H29" i="4"/>
  <c r="G29" i="4"/>
  <c r="F29" i="4"/>
  <c r="E29" i="4"/>
  <c r="K28" i="4"/>
  <c r="J28" i="4"/>
  <c r="I28" i="4"/>
  <c r="H28" i="4"/>
  <c r="G28" i="4"/>
  <c r="F28" i="4"/>
  <c r="E28" i="4"/>
  <c r="K27" i="4"/>
  <c r="J27" i="4"/>
  <c r="I27" i="4"/>
  <c r="H27" i="4"/>
  <c r="G27" i="4"/>
  <c r="F27" i="4"/>
  <c r="E27" i="4"/>
  <c r="K26" i="4"/>
  <c r="J26" i="4"/>
  <c r="I26" i="4"/>
  <c r="H26" i="4"/>
  <c r="G26" i="4"/>
  <c r="F26" i="4"/>
  <c r="E26" i="4"/>
  <c r="K25" i="4"/>
  <c r="J25" i="4"/>
  <c r="I25" i="4"/>
  <c r="H25" i="4"/>
  <c r="G25" i="4"/>
  <c r="F25" i="4"/>
  <c r="E25" i="4"/>
  <c r="K24" i="4"/>
  <c r="J24" i="4"/>
  <c r="I24" i="4"/>
  <c r="H24" i="4"/>
  <c r="G24" i="4"/>
  <c r="F24" i="4"/>
  <c r="E24" i="4"/>
  <c r="K23" i="4"/>
  <c r="J23" i="4"/>
  <c r="I23" i="4"/>
  <c r="H23" i="4"/>
  <c r="G23" i="4"/>
  <c r="F23" i="4"/>
  <c r="E23" i="4"/>
  <c r="K22" i="4"/>
  <c r="J22" i="4"/>
  <c r="I22" i="4"/>
  <c r="H22" i="4"/>
  <c r="G22" i="4"/>
  <c r="F22" i="4"/>
  <c r="E22" i="4"/>
  <c r="K21" i="4"/>
  <c r="J21" i="4"/>
  <c r="I21" i="4"/>
  <c r="H21" i="4"/>
  <c r="G21" i="4"/>
  <c r="F21" i="4"/>
  <c r="E21" i="4"/>
  <c r="K20" i="4"/>
  <c r="J20" i="4"/>
  <c r="I20" i="4"/>
  <c r="H20" i="4"/>
  <c r="G20" i="4"/>
  <c r="F20" i="4"/>
  <c r="E20" i="4"/>
  <c r="K19" i="4"/>
  <c r="J19" i="4"/>
  <c r="I19" i="4"/>
  <c r="H19" i="4"/>
  <c r="G19" i="4"/>
  <c r="F19" i="4"/>
  <c r="E19" i="4"/>
  <c r="K18" i="4"/>
  <c r="J18" i="4"/>
  <c r="I18" i="4"/>
  <c r="H18" i="4"/>
  <c r="G18" i="4"/>
  <c r="F18" i="4"/>
  <c r="E18" i="4"/>
  <c r="K17" i="4"/>
  <c r="J17" i="4"/>
  <c r="I17" i="4"/>
  <c r="H17" i="4"/>
  <c r="G17" i="4"/>
  <c r="F17" i="4"/>
  <c r="E17" i="4"/>
  <c r="K16" i="4"/>
  <c r="J16" i="4"/>
  <c r="I16" i="4"/>
  <c r="H16" i="4"/>
  <c r="G16" i="4"/>
  <c r="F16" i="4"/>
  <c r="E16" i="4"/>
  <c r="K15" i="4"/>
  <c r="J15" i="4"/>
  <c r="I15" i="4"/>
  <c r="H15" i="4"/>
  <c r="G15" i="4"/>
  <c r="F15" i="4"/>
  <c r="E15" i="4"/>
  <c r="K14" i="4"/>
  <c r="J14" i="4"/>
  <c r="I14" i="4"/>
  <c r="H14" i="4"/>
  <c r="G14" i="4"/>
  <c r="F14" i="4"/>
  <c r="E14" i="4"/>
  <c r="K13" i="4"/>
  <c r="J13" i="4"/>
  <c r="I13" i="4"/>
  <c r="H13" i="4"/>
  <c r="G13" i="4"/>
  <c r="F13" i="4"/>
  <c r="E13" i="4"/>
  <c r="K12" i="4"/>
  <c r="J12" i="4"/>
  <c r="I12" i="4"/>
  <c r="H12" i="4"/>
  <c r="G12" i="4"/>
  <c r="F12" i="4"/>
  <c r="E12" i="4"/>
  <c r="K11" i="4"/>
  <c r="J11" i="4"/>
  <c r="I11" i="4"/>
  <c r="H11" i="4"/>
  <c r="G11" i="4"/>
  <c r="F11" i="4"/>
  <c r="E11" i="4"/>
  <c r="K10" i="4"/>
  <c r="J10" i="4"/>
  <c r="I10" i="4"/>
  <c r="H10" i="4"/>
  <c r="G10" i="4"/>
  <c r="F10" i="4"/>
  <c r="E10" i="4"/>
  <c r="K9" i="4"/>
  <c r="J9" i="4"/>
  <c r="I9" i="4"/>
  <c r="H9" i="4"/>
  <c r="G9" i="4"/>
  <c r="F9" i="4"/>
  <c r="E9" i="4"/>
  <c r="K8" i="4"/>
  <c r="J8" i="4"/>
  <c r="I8" i="4"/>
  <c r="H8" i="4"/>
  <c r="G8" i="4"/>
  <c r="F8" i="4"/>
  <c r="E8" i="4"/>
  <c r="E8" i="4" a="1"/>
</calcChain>
</file>

<file path=xl/sharedStrings.xml><?xml version="1.0" encoding="utf-8"?>
<sst xmlns="http://schemas.openxmlformats.org/spreadsheetml/2006/main" count="53" uniqueCount="27">
  <si>
    <t>ISIN</t>
  </si>
  <si>
    <t>US912828U246</t>
  </si>
  <si>
    <t>Description</t>
  </si>
  <si>
    <t>UST 2% 15-Nov-2016</t>
  </si>
  <si>
    <t>BondLVB</t>
  </si>
  <si>
    <t>Float Bond Schedule</t>
  </si>
  <si>
    <t>EffectiveDate</t>
  </si>
  <si>
    <t>AccrualFrequency</t>
  </si>
  <si>
    <t>Semi-Annual</t>
  </si>
  <si>
    <t>PaymentFrequency</t>
  </si>
  <si>
    <t>FixedRate</t>
  </si>
  <si>
    <t>AccrualDayCount</t>
  </si>
  <si>
    <t>Act/Act</t>
  </si>
  <si>
    <t>AccrualBusinessDayAdjustment</t>
  </si>
  <si>
    <t>NO_CHANGE</t>
  </si>
  <si>
    <t>AccrualCalendar</t>
  </si>
  <si>
    <t>NYB</t>
  </si>
  <si>
    <t>PaymentBusinessDayAdjustment</t>
  </si>
  <si>
    <t>PaymentCalendar</t>
  </si>
  <si>
    <t>PaymentLag</t>
  </si>
  <si>
    <t>0D</t>
  </si>
  <si>
    <t>MaturityDate</t>
  </si>
  <si>
    <t>FixingBusinessDayAdjustment</t>
  </si>
  <si>
    <t>FixingCalendar</t>
  </si>
  <si>
    <t>FixingLag</t>
  </si>
  <si>
    <r>
      <rPr>
        <b/>
        <sz val="11"/>
        <rFont val="Calibri"/>
        <family val="2"/>
        <scheme val="minor"/>
      </rPr>
      <t>meProductBondSchedule</t>
    </r>
    <r>
      <rPr>
        <sz val="11"/>
        <color rgb="FF0000FF"/>
        <rFont val="Calibri"/>
        <family val="2"/>
        <scheme val="minor"/>
      </rPr>
      <t>( BondLVB )</t>
    </r>
  </si>
  <si>
    <t>Fixed Bond Schedule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</si>
</sst>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\,\ ddd\-mmm\-yy"/>
    <numFmt numFmtId="165" formatCode="ddd\,\ d\-mmm\-yy"/>
    <numFmt numFmtId="166" formatCode="#,##0.0000"/>
    <numFmt numFmtId="167" formatCode="0.000%;[Red]\-0.000%"/>
  </numFmts>
  <fonts count="6" x14ac:knownFonts="1">
    <font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sz val="11"/>
      <color rgb="FF0066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1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4" fillId="0" borderId="0" xfId="0" applyFont="1"/>
    <xf numFmtId="0" fontId="3" fillId="0" borderId="0" xfId="0" applyFont="1"/>
    <xf numFmtId="0" fontId="0" fillId="2" borderId="1" xfId="0" applyFont="1" applyFill="1" applyBorder="1"/>
    <xf numFmtId="15" fontId="0" fillId="3" borderId="1" xfId="0" applyNumberForma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164" fontId="5" fillId="2" borderId="3" xfId="0" applyNumberFormat="1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165" fontId="5" fillId="2" borderId="5" xfId="0" applyNumberFormat="1" applyFont="1" applyFill="1" applyBorder="1" applyAlignment="1">
      <alignment horizontal="center" vertical="center"/>
    </xf>
    <xf numFmtId="165" fontId="5" fillId="2" borderId="0" xfId="0" applyNumberFormat="1" applyFont="1" applyFill="1" applyBorder="1" applyAlignment="1">
      <alignment horizontal="center" vertical="center"/>
    </xf>
    <xf numFmtId="166" fontId="5" fillId="2" borderId="0" xfId="0" applyNumberFormat="1" applyFont="1" applyFill="1" applyBorder="1" applyAlignment="1">
      <alignment horizontal="center" vertical="center"/>
    </xf>
    <xf numFmtId="164" fontId="5" fillId="2" borderId="0" xfId="0" applyNumberFormat="1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165" fontId="5" fillId="2" borderId="7" xfId="0" applyNumberFormat="1" applyFont="1" applyFill="1" applyBorder="1" applyAlignment="1">
      <alignment horizontal="center" vertical="center"/>
    </xf>
    <xf numFmtId="165" fontId="5" fillId="2" borderId="8" xfId="0" applyNumberFormat="1" applyFont="1" applyFill="1" applyBorder="1" applyAlignment="1">
      <alignment horizontal="center" vertical="center"/>
    </xf>
    <xf numFmtId="166" fontId="5" fillId="2" borderId="8" xfId="0" applyNumberFormat="1" applyFont="1" applyFill="1" applyBorder="1" applyAlignment="1">
      <alignment horizontal="center" vertical="center"/>
    </xf>
    <xf numFmtId="164" fontId="5" fillId="2" borderId="8" xfId="0" applyNumberFormat="1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0" fillId="2" borderId="10" xfId="0" applyFont="1" applyFill="1" applyBorder="1"/>
    <xf numFmtId="0" fontId="0" fillId="3" borderId="10" xfId="0" applyFill="1" applyBorder="1" applyAlignment="1">
      <alignment horizontal="center" vertical="center"/>
    </xf>
    <xf numFmtId="167" fontId="0" fillId="3" borderId="10" xfId="0" applyNumberFormat="1" applyFill="1" applyBorder="1" applyAlignment="1">
      <alignment horizontal="center" vertical="center"/>
    </xf>
    <xf numFmtId="15" fontId="0" fillId="3" borderId="10" xfId="0" applyNumberFormat="1" applyFill="1" applyBorder="1" applyAlignment="1">
      <alignment horizontal="center" vertical="center"/>
    </xf>
    <xf numFmtId="0" fontId="0" fillId="2" borderId="11" xfId="0" applyFont="1" applyFill="1" applyBorder="1"/>
    <xf numFmtId="0" fontId="0" fillId="3" borderId="11" xfId="0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3" fontId="5" fillId="2" borderId="0" xfId="0" applyNumberFormat="1" applyFont="1" applyFill="1" applyBorder="1" applyAlignment="1">
      <alignment horizontal="center" vertical="center"/>
    </xf>
    <xf numFmtId="3" fontId="5" fillId="2" borderId="8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K54"/>
  <sheetViews>
    <sheetView showGridLines="0" tabSelected="1" workbookViewId="0"/>
  </sheetViews>
  <sheetFormatPr defaultRowHeight="15" x14ac:dyDescent="0.25"/>
  <cols>
    <col min="2" max="2" width="31.85546875" customWidth="1"/>
    <col min="3" max="3" width="19" bestFit="1" customWidth="1"/>
    <col min="5" max="7" width="15.42578125" bestFit="1" customWidth="1"/>
    <col min="8" max="9" width="19.5703125" bestFit="1" customWidth="1"/>
    <col min="10" max="10" width="15.42578125" bestFit="1" customWidth="1"/>
    <col min="11" max="11" width="12.7109375" customWidth="1"/>
  </cols>
  <sheetData>
    <row r="2" spans="2:11" x14ac:dyDescent="0.25">
      <c r="B2" s="1" t="s">
        <v>25</v>
      </c>
    </row>
    <row r="4" spans="2:11" x14ac:dyDescent="0.25">
      <c r="B4" s="2" t="s">
        <v>0</v>
      </c>
      <c r="C4" t="s">
        <v>1</v>
      </c>
    </row>
    <row r="5" spans="2:11" x14ac:dyDescent="0.25">
      <c r="B5" s="2" t="s">
        <v>2</v>
      </c>
      <c r="C5" t="s">
        <v>3</v>
      </c>
    </row>
    <row r="6" spans="2:11" x14ac:dyDescent="0.25">
      <c r="B6" s="3"/>
    </row>
    <row r="7" spans="2:11" x14ac:dyDescent="0.25">
      <c r="B7" s="3" t="s">
        <v>4</v>
      </c>
      <c r="E7" s="3" t="s">
        <v>26</v>
      </c>
    </row>
    <row r="8" spans="2:11" x14ac:dyDescent="0.25">
      <c r="B8" s="4" t="s">
        <v>6</v>
      </c>
      <c r="C8" s="5">
        <v>42689</v>
      </c>
      <c r="E8" s="6" t="str">
        <f t="array" aca="1" ref="E8:K29" ca="1">_xll.meUtilityResize(_xll.meProductBondSchedule($B$8:$C$29),50,50)</f>
        <v>AccrualStart</v>
      </c>
      <c r="F8" s="7" t="str">
        <f ca="1"/>
        <v>AccrualEnd</v>
      </c>
      <c r="G8" s="7" t="str">
        <f ca="1"/>
        <v>AccrualDays</v>
      </c>
      <c r="H8" s="7" t="str">
        <f ca="1"/>
        <v>AccrualYearFractions</v>
      </c>
      <c r="I8" s="7" t="str">
        <f ca="1"/>
        <v>PaymentDate</v>
      </c>
      <c r="J8" s="8" t="str">
        <f ca="1"/>
        <v/>
      </c>
      <c r="K8" s="9" t="str">
        <f ca="1"/>
        <v/>
      </c>
    </row>
    <row r="9" spans="2:11" x14ac:dyDescent="0.25">
      <c r="B9" s="20" t="s">
        <v>7</v>
      </c>
      <c r="C9" s="21" t="s">
        <v>8</v>
      </c>
      <c r="E9" s="10">
        <f ca="1"/>
        <v>42689</v>
      </c>
      <c r="F9" s="11">
        <f ca="1"/>
        <v>42870</v>
      </c>
      <c r="G9" s="28">
        <f ca="1"/>
        <v>181</v>
      </c>
      <c r="H9" s="12">
        <f ca="1"/>
        <v>0.49553858821768099</v>
      </c>
      <c r="I9" s="11">
        <f ca="1"/>
        <v>42870</v>
      </c>
      <c r="J9" s="13" t="str">
        <f ca="1"/>
        <v/>
      </c>
      <c r="K9" s="14" t="str">
        <f ca="1"/>
        <v/>
      </c>
    </row>
    <row r="10" spans="2:11" x14ac:dyDescent="0.25">
      <c r="B10" s="20" t="s">
        <v>9</v>
      </c>
      <c r="C10" s="21" t="s">
        <v>8</v>
      </c>
      <c r="E10" s="10">
        <f ca="1"/>
        <v>42870</v>
      </c>
      <c r="F10" s="11">
        <f ca="1"/>
        <v>43054</v>
      </c>
      <c r="G10" s="28">
        <f ca="1"/>
        <v>184</v>
      </c>
      <c r="H10" s="12">
        <f ca="1"/>
        <v>0.50410958904109604</v>
      </c>
      <c r="I10" s="11">
        <f ca="1"/>
        <v>43054</v>
      </c>
      <c r="J10" s="13" t="str">
        <f ca="1"/>
        <v/>
      </c>
      <c r="K10" s="14" t="str">
        <f ca="1"/>
        <v/>
      </c>
    </row>
    <row r="11" spans="2:11" x14ac:dyDescent="0.25">
      <c r="B11" s="20" t="s">
        <v>10</v>
      </c>
      <c r="C11" s="22">
        <v>0.02</v>
      </c>
      <c r="E11" s="10">
        <f ca="1"/>
        <v>43054</v>
      </c>
      <c r="F11" s="11">
        <f ca="1"/>
        <v>43235</v>
      </c>
      <c r="G11" s="28">
        <f ca="1"/>
        <v>181</v>
      </c>
      <c r="H11" s="12">
        <f ca="1"/>
        <v>0.49589041095890402</v>
      </c>
      <c r="I11" s="11">
        <f ca="1"/>
        <v>43235</v>
      </c>
      <c r="J11" s="13" t="str">
        <f ca="1"/>
        <v/>
      </c>
      <c r="K11" s="14" t="str">
        <f ca="1"/>
        <v/>
      </c>
    </row>
    <row r="12" spans="2:11" x14ac:dyDescent="0.25">
      <c r="B12" s="20" t="s">
        <v>11</v>
      </c>
      <c r="C12" s="21" t="s">
        <v>12</v>
      </c>
      <c r="E12" s="10">
        <f ca="1"/>
        <v>43235</v>
      </c>
      <c r="F12" s="11">
        <f ca="1"/>
        <v>43419</v>
      </c>
      <c r="G12" s="28">
        <f ca="1"/>
        <v>184</v>
      </c>
      <c r="H12" s="12">
        <f ca="1"/>
        <v>0.50410958904109604</v>
      </c>
      <c r="I12" s="11">
        <f ca="1"/>
        <v>43419</v>
      </c>
      <c r="J12" s="13" t="str">
        <f ca="1"/>
        <v/>
      </c>
      <c r="K12" s="14" t="str">
        <f ca="1"/>
        <v/>
      </c>
    </row>
    <row r="13" spans="2:11" x14ac:dyDescent="0.25">
      <c r="B13" s="20" t="s">
        <v>13</v>
      </c>
      <c r="C13" s="21" t="s">
        <v>14</v>
      </c>
      <c r="E13" s="10">
        <f ca="1"/>
        <v>43419</v>
      </c>
      <c r="F13" s="11">
        <f ca="1"/>
        <v>43600</v>
      </c>
      <c r="G13" s="28">
        <f ca="1"/>
        <v>181</v>
      </c>
      <c r="H13" s="12">
        <f ca="1"/>
        <v>0.49589041095890402</v>
      </c>
      <c r="I13" s="11">
        <f ca="1"/>
        <v>43600</v>
      </c>
      <c r="J13" s="13" t="str">
        <f ca="1"/>
        <v/>
      </c>
      <c r="K13" s="14" t="str">
        <f ca="1"/>
        <v/>
      </c>
    </row>
    <row r="14" spans="2:11" x14ac:dyDescent="0.25">
      <c r="B14" s="20" t="s">
        <v>15</v>
      </c>
      <c r="C14" s="21" t="s">
        <v>16</v>
      </c>
      <c r="E14" s="10">
        <f ca="1"/>
        <v>43600</v>
      </c>
      <c r="F14" s="11">
        <f ca="1"/>
        <v>43784</v>
      </c>
      <c r="G14" s="28">
        <f ca="1"/>
        <v>184</v>
      </c>
      <c r="H14" s="12">
        <f ca="1"/>
        <v>0.50410958904109604</v>
      </c>
      <c r="I14" s="11">
        <f ca="1"/>
        <v>43784</v>
      </c>
      <c r="J14" s="13" t="str">
        <f ca="1"/>
        <v/>
      </c>
      <c r="K14" s="14" t="str">
        <f ca="1"/>
        <v/>
      </c>
    </row>
    <row r="15" spans="2:11" x14ac:dyDescent="0.25">
      <c r="B15" s="20" t="s">
        <v>17</v>
      </c>
      <c r="C15" s="21" t="s">
        <v>14</v>
      </c>
      <c r="E15" s="10">
        <f ca="1"/>
        <v>43784</v>
      </c>
      <c r="F15" s="11">
        <f ca="1"/>
        <v>43966</v>
      </c>
      <c r="G15" s="28">
        <f ca="1"/>
        <v>182</v>
      </c>
      <c r="H15" s="12">
        <f ca="1"/>
        <v>0.497619582304065</v>
      </c>
      <c r="I15" s="11">
        <f ca="1"/>
        <v>43966</v>
      </c>
      <c r="J15" s="13" t="str">
        <f ca="1"/>
        <v/>
      </c>
      <c r="K15" s="14" t="str">
        <f ca="1"/>
        <v/>
      </c>
    </row>
    <row r="16" spans="2:11" x14ac:dyDescent="0.25">
      <c r="B16" s="20" t="s">
        <v>18</v>
      </c>
      <c r="C16" s="21" t="s">
        <v>16</v>
      </c>
      <c r="E16" s="10">
        <f ca="1"/>
        <v>43966</v>
      </c>
      <c r="F16" s="11">
        <f ca="1"/>
        <v>44150</v>
      </c>
      <c r="G16" s="28">
        <f ca="1"/>
        <v>184</v>
      </c>
      <c r="H16" s="12">
        <f ca="1"/>
        <v>0.50273224043715803</v>
      </c>
      <c r="I16" s="11">
        <f ca="1"/>
        <v>44150</v>
      </c>
      <c r="J16" s="13" t="str">
        <f ca="1"/>
        <v/>
      </c>
      <c r="K16" s="14" t="str">
        <f ca="1"/>
        <v/>
      </c>
    </row>
    <row r="17" spans="2:11" x14ac:dyDescent="0.25">
      <c r="B17" s="20" t="s">
        <v>19</v>
      </c>
      <c r="C17" s="21" t="s">
        <v>20</v>
      </c>
      <c r="E17" s="10">
        <f ca="1"/>
        <v>44150</v>
      </c>
      <c r="F17" s="11">
        <f ca="1"/>
        <v>44331</v>
      </c>
      <c r="G17" s="28">
        <f ca="1"/>
        <v>181</v>
      </c>
      <c r="H17" s="12">
        <f ca="1"/>
        <v>0.49553858821768099</v>
      </c>
      <c r="I17" s="11">
        <f ca="1"/>
        <v>44331</v>
      </c>
      <c r="J17" s="13" t="str">
        <f ca="1"/>
        <v/>
      </c>
      <c r="K17" s="14" t="str">
        <f ca="1"/>
        <v/>
      </c>
    </row>
    <row r="18" spans="2:11" x14ac:dyDescent="0.25">
      <c r="B18" s="20" t="s">
        <v>21</v>
      </c>
      <c r="C18" s="23">
        <v>46341</v>
      </c>
      <c r="E18" s="10">
        <f ca="1"/>
        <v>44331</v>
      </c>
      <c r="F18" s="11">
        <f ca="1"/>
        <v>44515</v>
      </c>
      <c r="G18" s="28">
        <f ca="1"/>
        <v>184</v>
      </c>
      <c r="H18" s="12">
        <f ca="1"/>
        <v>0.50410958904109604</v>
      </c>
      <c r="I18" s="11">
        <f ca="1"/>
        <v>44515</v>
      </c>
      <c r="J18" s="13" t="str">
        <f ca="1"/>
        <v/>
      </c>
      <c r="K18" s="14" t="str">
        <f ca="1"/>
        <v/>
      </c>
    </row>
    <row r="19" spans="2:11" x14ac:dyDescent="0.25">
      <c r="B19" s="20"/>
      <c r="C19" s="21"/>
      <c r="E19" s="10">
        <f ca="1"/>
        <v>44515</v>
      </c>
      <c r="F19" s="11">
        <f ca="1"/>
        <v>44696</v>
      </c>
      <c r="G19" s="28">
        <f ca="1"/>
        <v>181</v>
      </c>
      <c r="H19" s="12">
        <f ca="1"/>
        <v>0.49589041095890402</v>
      </c>
      <c r="I19" s="11">
        <f ca="1"/>
        <v>44696</v>
      </c>
      <c r="J19" s="13" t="str">
        <f ca="1"/>
        <v/>
      </c>
      <c r="K19" s="14" t="str">
        <f ca="1"/>
        <v/>
      </c>
    </row>
    <row r="20" spans="2:11" x14ac:dyDescent="0.25">
      <c r="B20" s="20"/>
      <c r="C20" s="21"/>
      <c r="E20" s="10">
        <f ca="1"/>
        <v>44696</v>
      </c>
      <c r="F20" s="11">
        <f ca="1"/>
        <v>44880</v>
      </c>
      <c r="G20" s="28">
        <f ca="1"/>
        <v>184</v>
      </c>
      <c r="H20" s="12">
        <f ca="1"/>
        <v>0.50410958904109604</v>
      </c>
      <c r="I20" s="11">
        <f ca="1"/>
        <v>44880</v>
      </c>
      <c r="J20" s="13" t="str">
        <f ca="1"/>
        <v/>
      </c>
      <c r="K20" s="14" t="str">
        <f ca="1"/>
        <v/>
      </c>
    </row>
    <row r="21" spans="2:11" x14ac:dyDescent="0.25">
      <c r="B21" s="20"/>
      <c r="C21" s="21"/>
      <c r="E21" s="10">
        <f ca="1"/>
        <v>44880</v>
      </c>
      <c r="F21" s="11">
        <f ca="1"/>
        <v>45061</v>
      </c>
      <c r="G21" s="28">
        <f ca="1"/>
        <v>181</v>
      </c>
      <c r="H21" s="12">
        <f ca="1"/>
        <v>0.49589041095890402</v>
      </c>
      <c r="I21" s="11">
        <f ca="1"/>
        <v>45061</v>
      </c>
      <c r="J21" s="13" t="str">
        <f ca="1"/>
        <v/>
      </c>
      <c r="K21" s="14" t="str">
        <f ca="1"/>
        <v/>
      </c>
    </row>
    <row r="22" spans="2:11" x14ac:dyDescent="0.25">
      <c r="B22" s="20"/>
      <c r="C22" s="21"/>
      <c r="E22" s="10">
        <f ca="1"/>
        <v>45061</v>
      </c>
      <c r="F22" s="11">
        <f ca="1"/>
        <v>45245</v>
      </c>
      <c r="G22" s="28">
        <f ca="1"/>
        <v>184</v>
      </c>
      <c r="H22" s="12">
        <f ca="1"/>
        <v>0.50410958904109604</v>
      </c>
      <c r="I22" s="11">
        <f ca="1"/>
        <v>45245</v>
      </c>
      <c r="J22" s="13" t="str">
        <f ca="1"/>
        <v/>
      </c>
      <c r="K22" s="14" t="str">
        <f ca="1"/>
        <v/>
      </c>
    </row>
    <row r="23" spans="2:11" x14ac:dyDescent="0.25">
      <c r="B23" s="20"/>
      <c r="C23" s="21"/>
      <c r="E23" s="10">
        <f ca="1"/>
        <v>45245</v>
      </c>
      <c r="F23" s="11">
        <f ca="1"/>
        <v>45427</v>
      </c>
      <c r="G23" s="28">
        <f ca="1"/>
        <v>182</v>
      </c>
      <c r="H23" s="12">
        <f ca="1"/>
        <v>0.497619582304065</v>
      </c>
      <c r="I23" s="11">
        <f ca="1"/>
        <v>45427</v>
      </c>
      <c r="J23" s="13" t="str">
        <f ca="1"/>
        <v/>
      </c>
      <c r="K23" s="14" t="str">
        <f ca="1"/>
        <v/>
      </c>
    </row>
    <row r="24" spans="2:11" x14ac:dyDescent="0.25">
      <c r="B24" s="20"/>
      <c r="C24" s="21"/>
      <c r="E24" s="10">
        <f ca="1"/>
        <v>45427</v>
      </c>
      <c r="F24" s="11">
        <f ca="1"/>
        <v>45611</v>
      </c>
      <c r="G24" s="28">
        <f ca="1"/>
        <v>184</v>
      </c>
      <c r="H24" s="12">
        <f ca="1"/>
        <v>0.50273224043715803</v>
      </c>
      <c r="I24" s="11">
        <f ca="1"/>
        <v>45611</v>
      </c>
      <c r="J24" s="13" t="str">
        <f ca="1"/>
        <v/>
      </c>
      <c r="K24" s="14" t="str">
        <f ca="1"/>
        <v/>
      </c>
    </row>
    <row r="25" spans="2:11" x14ac:dyDescent="0.25">
      <c r="B25" s="20"/>
      <c r="C25" s="21"/>
      <c r="E25" s="10">
        <f ca="1"/>
        <v>45611</v>
      </c>
      <c r="F25" s="11">
        <f ca="1"/>
        <v>45792</v>
      </c>
      <c r="G25" s="28">
        <f ca="1"/>
        <v>181</v>
      </c>
      <c r="H25" s="12">
        <f ca="1"/>
        <v>0.49553858821768099</v>
      </c>
      <c r="I25" s="11">
        <f ca="1"/>
        <v>45792</v>
      </c>
      <c r="J25" s="13" t="str">
        <f ca="1"/>
        <v/>
      </c>
      <c r="K25" s="14" t="str">
        <f ca="1"/>
        <v/>
      </c>
    </row>
    <row r="26" spans="2:11" x14ac:dyDescent="0.25">
      <c r="B26" s="20"/>
      <c r="C26" s="21"/>
      <c r="E26" s="10">
        <f ca="1"/>
        <v>45792</v>
      </c>
      <c r="F26" s="11">
        <f ca="1"/>
        <v>45976</v>
      </c>
      <c r="G26" s="28">
        <f ca="1"/>
        <v>184</v>
      </c>
      <c r="H26" s="12">
        <f ca="1"/>
        <v>0.50410958904109604</v>
      </c>
      <c r="I26" s="11">
        <f ca="1"/>
        <v>45976</v>
      </c>
      <c r="J26" s="13" t="str">
        <f ca="1"/>
        <v/>
      </c>
      <c r="K26" s="14" t="str">
        <f ca="1"/>
        <v/>
      </c>
    </row>
    <row r="27" spans="2:11" x14ac:dyDescent="0.25">
      <c r="B27" s="20"/>
      <c r="C27" s="21"/>
      <c r="E27" s="10">
        <f ca="1"/>
        <v>45976</v>
      </c>
      <c r="F27" s="11">
        <f ca="1"/>
        <v>46157</v>
      </c>
      <c r="G27" s="28">
        <f ca="1"/>
        <v>181</v>
      </c>
      <c r="H27" s="12">
        <f ca="1"/>
        <v>0.49589041095890402</v>
      </c>
      <c r="I27" s="11">
        <f ca="1"/>
        <v>46157</v>
      </c>
      <c r="J27" s="13" t="str">
        <f ca="1"/>
        <v/>
      </c>
      <c r="K27" s="14" t="str">
        <f ca="1"/>
        <v/>
      </c>
    </row>
    <row r="28" spans="2:11" x14ac:dyDescent="0.25">
      <c r="B28" s="20"/>
      <c r="C28" s="21"/>
      <c r="E28" s="10">
        <f ca="1"/>
        <v>46157</v>
      </c>
      <c r="F28" s="11">
        <f ca="1"/>
        <v>46341</v>
      </c>
      <c r="G28" s="28">
        <f ca="1"/>
        <v>184</v>
      </c>
      <c r="H28" s="12">
        <f ca="1"/>
        <v>0.50410958904109604</v>
      </c>
      <c r="I28" s="11">
        <f ca="1"/>
        <v>46341</v>
      </c>
      <c r="J28" s="13" t="str">
        <f ca="1"/>
        <v/>
      </c>
      <c r="K28" s="14" t="str">
        <f ca="1"/>
        <v/>
      </c>
    </row>
    <row r="29" spans="2:11" x14ac:dyDescent="0.25">
      <c r="B29" s="24"/>
      <c r="C29" s="25"/>
      <c r="E29" s="15" t="str">
        <f ca="1"/>
        <v/>
      </c>
      <c r="F29" s="16" t="str">
        <f ca="1"/>
        <v/>
      </c>
      <c r="G29" s="29" t="str">
        <f ca="1"/>
        <v/>
      </c>
      <c r="H29" s="17" t="str">
        <f ca="1"/>
        <v/>
      </c>
      <c r="I29" s="16" t="str">
        <f ca="1"/>
        <v/>
      </c>
      <c r="J29" s="18" t="str">
        <f ca="1"/>
        <v/>
      </c>
      <c r="K29" s="19" t="str">
        <f ca="1"/>
        <v/>
      </c>
    </row>
    <row r="32" spans="2:11" x14ac:dyDescent="0.25">
      <c r="B32" s="3" t="s">
        <v>4</v>
      </c>
      <c r="E32" s="3" t="s">
        <v>5</v>
      </c>
    </row>
    <row r="33" spans="2:11" x14ac:dyDescent="0.25">
      <c r="B33" s="4" t="s">
        <v>6</v>
      </c>
      <c r="C33" s="5">
        <v>42689</v>
      </c>
      <c r="E33" s="6" t="str">
        <f t="array" aca="1" ref="E33:K54" ca="1">_xll.meUtilityResize(_xll.meProductBondSchedule($B$33:$C$54),50,50)</f>
        <v>FixingDate</v>
      </c>
      <c r="F33" s="7" t="str">
        <f ca="1"/>
        <v>AccrualStart</v>
      </c>
      <c r="G33" s="7" t="str">
        <f ca="1"/>
        <v>AccrualEnd</v>
      </c>
      <c r="H33" s="7" t="str">
        <f ca="1"/>
        <v>AccrualDays</v>
      </c>
      <c r="I33" s="7" t="str">
        <f ca="1"/>
        <v>AccrualYearFractions</v>
      </c>
      <c r="J33" s="8" t="str">
        <f ca="1"/>
        <v>PaymentDate</v>
      </c>
      <c r="K33" s="9" t="str">
        <f ca="1"/>
        <v/>
      </c>
    </row>
    <row r="34" spans="2:11" x14ac:dyDescent="0.25">
      <c r="B34" s="20" t="s">
        <v>7</v>
      </c>
      <c r="C34" s="21" t="s">
        <v>8</v>
      </c>
      <c r="E34" s="10">
        <f ca="1"/>
        <v>42689</v>
      </c>
      <c r="F34" s="11">
        <f ca="1"/>
        <v>42689</v>
      </c>
      <c r="G34" s="11">
        <f ca="1"/>
        <v>42870</v>
      </c>
      <c r="H34" s="26">
        <f ca="1"/>
        <v>181</v>
      </c>
      <c r="I34" s="12">
        <f ca="1"/>
        <v>0.49553858821768099</v>
      </c>
      <c r="J34" s="13">
        <f ca="1"/>
        <v>42870</v>
      </c>
      <c r="K34" s="14" t="str">
        <f ca="1"/>
        <v/>
      </c>
    </row>
    <row r="35" spans="2:11" x14ac:dyDescent="0.25">
      <c r="B35" s="20" t="s">
        <v>9</v>
      </c>
      <c r="C35" s="21" t="s">
        <v>8</v>
      </c>
      <c r="E35" s="10">
        <f ca="1"/>
        <v>42870</v>
      </c>
      <c r="F35" s="11">
        <f ca="1"/>
        <v>42870</v>
      </c>
      <c r="G35" s="11">
        <f ca="1"/>
        <v>43054</v>
      </c>
      <c r="H35" s="26">
        <f ca="1"/>
        <v>184</v>
      </c>
      <c r="I35" s="12">
        <f ca="1"/>
        <v>0.50410958904109604</v>
      </c>
      <c r="J35" s="13">
        <f ca="1"/>
        <v>43054</v>
      </c>
      <c r="K35" s="14" t="str">
        <f ca="1"/>
        <v/>
      </c>
    </row>
    <row r="36" spans="2:11" x14ac:dyDescent="0.25">
      <c r="B36" s="20" t="s">
        <v>10</v>
      </c>
      <c r="C36" s="22">
        <v>0.02</v>
      </c>
      <c r="E36" s="10">
        <f ca="1"/>
        <v>43054</v>
      </c>
      <c r="F36" s="11">
        <f ca="1"/>
        <v>43054</v>
      </c>
      <c r="G36" s="11">
        <f ca="1"/>
        <v>43235</v>
      </c>
      <c r="H36" s="26">
        <f ca="1"/>
        <v>181</v>
      </c>
      <c r="I36" s="12">
        <f ca="1"/>
        <v>0.49589041095890402</v>
      </c>
      <c r="J36" s="13">
        <f ca="1"/>
        <v>43235</v>
      </c>
      <c r="K36" s="14" t="str">
        <f ca="1"/>
        <v/>
      </c>
    </row>
    <row r="37" spans="2:11" x14ac:dyDescent="0.25">
      <c r="B37" s="20" t="s">
        <v>11</v>
      </c>
      <c r="C37" s="21" t="s">
        <v>12</v>
      </c>
      <c r="E37" s="10">
        <f ca="1"/>
        <v>43235</v>
      </c>
      <c r="F37" s="11">
        <f ca="1"/>
        <v>43235</v>
      </c>
      <c r="G37" s="11">
        <f ca="1"/>
        <v>43419</v>
      </c>
      <c r="H37" s="26">
        <f ca="1"/>
        <v>184</v>
      </c>
      <c r="I37" s="12">
        <f ca="1"/>
        <v>0.50410958904109604</v>
      </c>
      <c r="J37" s="13">
        <f ca="1"/>
        <v>43419</v>
      </c>
      <c r="K37" s="14" t="str">
        <f ca="1"/>
        <v/>
      </c>
    </row>
    <row r="38" spans="2:11" x14ac:dyDescent="0.25">
      <c r="B38" s="20" t="s">
        <v>13</v>
      </c>
      <c r="C38" s="21" t="s">
        <v>14</v>
      </c>
      <c r="E38" s="10">
        <f ca="1"/>
        <v>43419</v>
      </c>
      <c r="F38" s="11">
        <f ca="1"/>
        <v>43419</v>
      </c>
      <c r="G38" s="11">
        <f ca="1"/>
        <v>43600</v>
      </c>
      <c r="H38" s="26">
        <f ca="1"/>
        <v>181</v>
      </c>
      <c r="I38" s="12">
        <f ca="1"/>
        <v>0.49589041095890402</v>
      </c>
      <c r="J38" s="13">
        <f ca="1"/>
        <v>43600</v>
      </c>
      <c r="K38" s="14" t="str">
        <f ca="1"/>
        <v/>
      </c>
    </row>
    <row r="39" spans="2:11" x14ac:dyDescent="0.25">
      <c r="B39" s="20" t="s">
        <v>15</v>
      </c>
      <c r="C39" s="21" t="s">
        <v>16</v>
      </c>
      <c r="E39" s="10">
        <f ca="1"/>
        <v>43600</v>
      </c>
      <c r="F39" s="11">
        <f ca="1"/>
        <v>43600</v>
      </c>
      <c r="G39" s="11">
        <f ca="1"/>
        <v>43784</v>
      </c>
      <c r="H39" s="26">
        <f ca="1"/>
        <v>184</v>
      </c>
      <c r="I39" s="12">
        <f ca="1"/>
        <v>0.50410958904109604</v>
      </c>
      <c r="J39" s="13">
        <f ca="1"/>
        <v>43784</v>
      </c>
      <c r="K39" s="14" t="str">
        <f ca="1"/>
        <v/>
      </c>
    </row>
    <row r="40" spans="2:11" x14ac:dyDescent="0.25">
      <c r="B40" s="20" t="s">
        <v>17</v>
      </c>
      <c r="C40" s="21" t="s">
        <v>14</v>
      </c>
      <c r="E40" s="10">
        <f ca="1"/>
        <v>43784</v>
      </c>
      <c r="F40" s="11">
        <f ca="1"/>
        <v>43784</v>
      </c>
      <c r="G40" s="11">
        <f ca="1"/>
        <v>43966</v>
      </c>
      <c r="H40" s="26">
        <f ca="1"/>
        <v>182</v>
      </c>
      <c r="I40" s="12">
        <f ca="1"/>
        <v>0.497619582304065</v>
      </c>
      <c r="J40" s="13">
        <f ca="1"/>
        <v>43966</v>
      </c>
      <c r="K40" s="14" t="str">
        <f ca="1"/>
        <v/>
      </c>
    </row>
    <row r="41" spans="2:11" x14ac:dyDescent="0.25">
      <c r="B41" s="20" t="s">
        <v>18</v>
      </c>
      <c r="C41" s="21" t="s">
        <v>16</v>
      </c>
      <c r="E41" s="10">
        <f ca="1"/>
        <v>43966</v>
      </c>
      <c r="F41" s="11">
        <f ca="1"/>
        <v>43966</v>
      </c>
      <c r="G41" s="11">
        <f ca="1"/>
        <v>44150</v>
      </c>
      <c r="H41" s="26">
        <f ca="1"/>
        <v>184</v>
      </c>
      <c r="I41" s="12">
        <f ca="1"/>
        <v>0.50273224043715803</v>
      </c>
      <c r="J41" s="13">
        <f ca="1"/>
        <v>44150</v>
      </c>
      <c r="K41" s="14" t="str">
        <f ca="1"/>
        <v/>
      </c>
    </row>
    <row r="42" spans="2:11" x14ac:dyDescent="0.25">
      <c r="B42" s="20" t="s">
        <v>19</v>
      </c>
      <c r="C42" s="21" t="s">
        <v>20</v>
      </c>
      <c r="E42" s="10">
        <f ca="1"/>
        <v>44150</v>
      </c>
      <c r="F42" s="11">
        <f ca="1"/>
        <v>44150</v>
      </c>
      <c r="G42" s="11">
        <f ca="1"/>
        <v>44331</v>
      </c>
      <c r="H42" s="26">
        <f ca="1"/>
        <v>181</v>
      </c>
      <c r="I42" s="12">
        <f ca="1"/>
        <v>0.49553858821768099</v>
      </c>
      <c r="J42" s="13">
        <f ca="1"/>
        <v>44331</v>
      </c>
      <c r="K42" s="14" t="str">
        <f ca="1"/>
        <v/>
      </c>
    </row>
    <row r="43" spans="2:11" x14ac:dyDescent="0.25">
      <c r="B43" s="20" t="s">
        <v>21</v>
      </c>
      <c r="C43" s="23">
        <v>46341</v>
      </c>
      <c r="E43" s="10">
        <f ca="1"/>
        <v>44331</v>
      </c>
      <c r="F43" s="11">
        <f ca="1"/>
        <v>44331</v>
      </c>
      <c r="G43" s="11">
        <f ca="1"/>
        <v>44515</v>
      </c>
      <c r="H43" s="26">
        <f ca="1"/>
        <v>184</v>
      </c>
      <c r="I43" s="12">
        <f ca="1"/>
        <v>0.50410958904109604</v>
      </c>
      <c r="J43" s="13">
        <f ca="1"/>
        <v>44515</v>
      </c>
      <c r="K43" s="14" t="str">
        <f ca="1"/>
        <v/>
      </c>
    </row>
    <row r="44" spans="2:11" x14ac:dyDescent="0.25">
      <c r="B44" s="20" t="s">
        <v>22</v>
      </c>
      <c r="C44" s="21" t="s">
        <v>14</v>
      </c>
      <c r="E44" s="10">
        <f ca="1"/>
        <v>44515</v>
      </c>
      <c r="F44" s="11">
        <f ca="1"/>
        <v>44515</v>
      </c>
      <c r="G44" s="11">
        <f ca="1"/>
        <v>44696</v>
      </c>
      <c r="H44" s="26">
        <f ca="1"/>
        <v>181</v>
      </c>
      <c r="I44" s="12">
        <f ca="1"/>
        <v>0.49589041095890402</v>
      </c>
      <c r="J44" s="13">
        <f ca="1"/>
        <v>44696</v>
      </c>
      <c r="K44" s="14" t="str">
        <f ca="1"/>
        <v/>
      </c>
    </row>
    <row r="45" spans="2:11" x14ac:dyDescent="0.25">
      <c r="B45" s="20" t="s">
        <v>23</v>
      </c>
      <c r="C45" s="21" t="s">
        <v>16</v>
      </c>
      <c r="E45" s="10">
        <f ca="1"/>
        <v>44696</v>
      </c>
      <c r="F45" s="11">
        <f ca="1"/>
        <v>44696</v>
      </c>
      <c r="G45" s="11">
        <f ca="1"/>
        <v>44880</v>
      </c>
      <c r="H45" s="26">
        <f ca="1"/>
        <v>184</v>
      </c>
      <c r="I45" s="12">
        <f ca="1"/>
        <v>0.50410958904109604</v>
      </c>
      <c r="J45" s="13">
        <f ca="1"/>
        <v>44880</v>
      </c>
      <c r="K45" s="14" t="str">
        <f ca="1"/>
        <v/>
      </c>
    </row>
    <row r="46" spans="2:11" x14ac:dyDescent="0.25">
      <c r="B46" s="20" t="s">
        <v>24</v>
      </c>
      <c r="C46" s="21" t="s">
        <v>20</v>
      </c>
      <c r="E46" s="10">
        <f ca="1"/>
        <v>44880</v>
      </c>
      <c r="F46" s="11">
        <f ca="1"/>
        <v>44880</v>
      </c>
      <c r="G46" s="11">
        <f ca="1"/>
        <v>45061</v>
      </c>
      <c r="H46" s="26">
        <f ca="1"/>
        <v>181</v>
      </c>
      <c r="I46" s="12">
        <f ca="1"/>
        <v>0.49589041095890402</v>
      </c>
      <c r="J46" s="13">
        <f ca="1"/>
        <v>45061</v>
      </c>
      <c r="K46" s="14" t="str">
        <f ca="1"/>
        <v/>
      </c>
    </row>
    <row r="47" spans="2:11" x14ac:dyDescent="0.25">
      <c r="B47" s="20"/>
      <c r="C47" s="21"/>
      <c r="E47" s="10">
        <f ca="1"/>
        <v>45061</v>
      </c>
      <c r="F47" s="11">
        <f ca="1"/>
        <v>45061</v>
      </c>
      <c r="G47" s="11">
        <f ca="1"/>
        <v>45245</v>
      </c>
      <c r="H47" s="26">
        <f ca="1"/>
        <v>184</v>
      </c>
      <c r="I47" s="12">
        <f ca="1"/>
        <v>0.50410958904109604</v>
      </c>
      <c r="J47" s="13">
        <f ca="1"/>
        <v>45245</v>
      </c>
      <c r="K47" s="14" t="str">
        <f ca="1"/>
        <v/>
      </c>
    </row>
    <row r="48" spans="2:11" x14ac:dyDescent="0.25">
      <c r="B48" s="20"/>
      <c r="C48" s="21"/>
      <c r="E48" s="10">
        <f ca="1"/>
        <v>45245</v>
      </c>
      <c r="F48" s="11">
        <f ca="1"/>
        <v>45245</v>
      </c>
      <c r="G48" s="11">
        <f ca="1"/>
        <v>45427</v>
      </c>
      <c r="H48" s="26">
        <f ca="1"/>
        <v>182</v>
      </c>
      <c r="I48" s="12">
        <f ca="1"/>
        <v>0.497619582304065</v>
      </c>
      <c r="J48" s="13">
        <f ca="1"/>
        <v>45427</v>
      </c>
      <c r="K48" s="14" t="str">
        <f ca="1"/>
        <v/>
      </c>
    </row>
    <row r="49" spans="2:11" x14ac:dyDescent="0.25">
      <c r="B49" s="20"/>
      <c r="C49" s="21"/>
      <c r="E49" s="10">
        <f ca="1"/>
        <v>45427</v>
      </c>
      <c r="F49" s="11">
        <f ca="1"/>
        <v>45427</v>
      </c>
      <c r="G49" s="11">
        <f ca="1"/>
        <v>45611</v>
      </c>
      <c r="H49" s="26">
        <f ca="1"/>
        <v>184</v>
      </c>
      <c r="I49" s="12">
        <f ca="1"/>
        <v>0.50273224043715803</v>
      </c>
      <c r="J49" s="13">
        <f ca="1"/>
        <v>45611</v>
      </c>
      <c r="K49" s="14" t="str">
        <f ca="1"/>
        <v/>
      </c>
    </row>
    <row r="50" spans="2:11" x14ac:dyDescent="0.25">
      <c r="B50" s="20"/>
      <c r="C50" s="21"/>
      <c r="E50" s="10">
        <f ca="1"/>
        <v>45611</v>
      </c>
      <c r="F50" s="11">
        <f ca="1"/>
        <v>45611</v>
      </c>
      <c r="G50" s="11">
        <f ca="1"/>
        <v>45792</v>
      </c>
      <c r="H50" s="26">
        <f ca="1"/>
        <v>181</v>
      </c>
      <c r="I50" s="12">
        <f ca="1"/>
        <v>0.49553858821768099</v>
      </c>
      <c r="J50" s="13">
        <f ca="1"/>
        <v>45792</v>
      </c>
      <c r="K50" s="14" t="str">
        <f ca="1"/>
        <v/>
      </c>
    </row>
    <row r="51" spans="2:11" x14ac:dyDescent="0.25">
      <c r="B51" s="20"/>
      <c r="C51" s="21"/>
      <c r="E51" s="10">
        <f ca="1"/>
        <v>45792</v>
      </c>
      <c r="F51" s="11">
        <f ca="1"/>
        <v>45792</v>
      </c>
      <c r="G51" s="11">
        <f ca="1"/>
        <v>45976</v>
      </c>
      <c r="H51" s="26">
        <f ca="1"/>
        <v>184</v>
      </c>
      <c r="I51" s="12">
        <f ca="1"/>
        <v>0.50410958904109604</v>
      </c>
      <c r="J51" s="13">
        <f ca="1"/>
        <v>45976</v>
      </c>
      <c r="K51" s="14" t="str">
        <f ca="1"/>
        <v/>
      </c>
    </row>
    <row r="52" spans="2:11" x14ac:dyDescent="0.25">
      <c r="B52" s="20"/>
      <c r="C52" s="21"/>
      <c r="E52" s="10">
        <f ca="1"/>
        <v>45976</v>
      </c>
      <c r="F52" s="11">
        <f ca="1"/>
        <v>45976</v>
      </c>
      <c r="G52" s="11">
        <f ca="1"/>
        <v>46157</v>
      </c>
      <c r="H52" s="26">
        <f ca="1"/>
        <v>181</v>
      </c>
      <c r="I52" s="12">
        <f ca="1"/>
        <v>0.49589041095890402</v>
      </c>
      <c r="J52" s="13">
        <f ca="1"/>
        <v>46157</v>
      </c>
      <c r="K52" s="14" t="str">
        <f ca="1"/>
        <v/>
      </c>
    </row>
    <row r="53" spans="2:11" x14ac:dyDescent="0.25">
      <c r="B53" s="20"/>
      <c r="C53" s="21"/>
      <c r="E53" s="10">
        <f ca="1"/>
        <v>46157</v>
      </c>
      <c r="F53" s="11">
        <f ca="1"/>
        <v>46157</v>
      </c>
      <c r="G53" s="11">
        <f ca="1"/>
        <v>46341</v>
      </c>
      <c r="H53" s="26">
        <f ca="1"/>
        <v>184</v>
      </c>
      <c r="I53" s="12">
        <f ca="1"/>
        <v>0.50410958904109604</v>
      </c>
      <c r="J53" s="13">
        <f ca="1"/>
        <v>46341</v>
      </c>
      <c r="K53" s="14" t="str">
        <f ca="1"/>
        <v/>
      </c>
    </row>
    <row r="54" spans="2:11" x14ac:dyDescent="0.25">
      <c r="B54" s="24"/>
      <c r="C54" s="25"/>
      <c r="E54" s="15" t="str">
        <f ca="1"/>
        <v/>
      </c>
      <c r="F54" s="16" t="str">
        <f ca="1"/>
        <v/>
      </c>
      <c r="G54" s="16" t="str">
        <f ca="1"/>
        <v/>
      </c>
      <c r="H54" s="27" t="str">
        <f ca="1"/>
        <v/>
      </c>
      <c r="I54" s="17" t="str">
        <f ca="1"/>
        <v/>
      </c>
      <c r="J54" s="18" t="str">
        <f ca="1"/>
        <v/>
      </c>
      <c r="K54" s="19" t="str">
        <f ca="1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BondSchedules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2016-12-07T14:08:31Z</dcterms:created>
  <dcterms:modified xsi:type="dcterms:W3CDTF">2016-12-07T14:10:35Z</dcterms:modified>
</cp:coreProperties>
</file>