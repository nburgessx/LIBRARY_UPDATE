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7795" windowHeight="12015"/>
  </bookViews>
  <sheets>
    <sheet name="FLOATERS" sheetId="1" r:id="rId1"/>
  </sheets>
  <definedNames>
    <definedName name="_xlnm._FilterDatabase" localSheetId="0" hidden="1">FLOATERS!$A$4:$AD$138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E138" i="1" l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Q118" i="1"/>
  <c r="Q126" i="1"/>
  <c r="Q134" i="1"/>
  <c r="Q16" i="1"/>
  <c r="Q32" i="1"/>
  <c r="Q40" i="1"/>
  <c r="Q56" i="1"/>
  <c r="Q72" i="1"/>
  <c r="Q88" i="1"/>
  <c r="Q104" i="1"/>
  <c r="Q120" i="1"/>
  <c r="Q136" i="1"/>
  <c r="Q17" i="1"/>
  <c r="Q33" i="1"/>
  <c r="Q49" i="1"/>
  <c r="Q73" i="1"/>
  <c r="Q89" i="1"/>
  <c r="Q113" i="1"/>
  <c r="Q137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119" i="1"/>
  <c r="Q127" i="1"/>
  <c r="Q135" i="1"/>
  <c r="Q8" i="1"/>
  <c r="Q24" i="1"/>
  <c r="Q48" i="1"/>
  <c r="Q64" i="1"/>
  <c r="Q80" i="1"/>
  <c r="Q96" i="1"/>
  <c r="Q112" i="1"/>
  <c r="Q128" i="1"/>
  <c r="Q9" i="1"/>
  <c r="Q25" i="1"/>
  <c r="Q41" i="1"/>
  <c r="Q57" i="1"/>
  <c r="Q65" i="1"/>
  <c r="Q81" i="1"/>
  <c r="Q97" i="1"/>
  <c r="Q105" i="1"/>
  <c r="Q129" i="1"/>
  <c r="Q10" i="1"/>
  <c r="Q18" i="1"/>
  <c r="Q26" i="1"/>
  <c r="Q34" i="1"/>
  <c r="Q42" i="1"/>
  <c r="Q50" i="1"/>
  <c r="Q58" i="1"/>
  <c r="Q66" i="1"/>
  <c r="Q74" i="1"/>
  <c r="Q82" i="1"/>
  <c r="Q90" i="1"/>
  <c r="Q98" i="1"/>
  <c r="Q106" i="1"/>
  <c r="Q114" i="1"/>
  <c r="Q122" i="1"/>
  <c r="Q130" i="1"/>
  <c r="Q138" i="1"/>
  <c r="Q11" i="1"/>
  <c r="Q19" i="1"/>
  <c r="Q27" i="1"/>
  <c r="Q35" i="1"/>
  <c r="Q43" i="1"/>
  <c r="Q51" i="1"/>
  <c r="Q59" i="1"/>
  <c r="Q67" i="1"/>
  <c r="Q75" i="1"/>
  <c r="Q83" i="1"/>
  <c r="Q91" i="1"/>
  <c r="Q99" i="1"/>
  <c r="Q107" i="1"/>
  <c r="Q115" i="1"/>
  <c r="Q123" i="1"/>
  <c r="Q131" i="1"/>
  <c r="Q5" i="1"/>
  <c r="Q12" i="1"/>
  <c r="Q20" i="1"/>
  <c r="Q28" i="1"/>
  <c r="Q36" i="1"/>
  <c r="Q44" i="1"/>
  <c r="Q52" i="1"/>
  <c r="Q60" i="1"/>
  <c r="Q68" i="1"/>
  <c r="Q76" i="1"/>
  <c r="Q84" i="1"/>
  <c r="Q92" i="1"/>
  <c r="Q100" i="1"/>
  <c r="Q108" i="1"/>
  <c r="Q116" i="1"/>
  <c r="Q124" i="1"/>
  <c r="Q132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21" i="1"/>
  <c r="X138" i="1"/>
  <c r="B179" i="1" a="1"/>
  <c r="K138" i="1"/>
  <c r="Y138" i="1"/>
  <c r="Z138" i="1"/>
  <c r="V138" i="1"/>
  <c r="L176" i="1" a="1"/>
  <c r="B138" i="1"/>
  <c r="H138" i="1"/>
  <c r="F138" i="1"/>
  <c r="O138" i="1"/>
  <c r="E140" i="1" a="1"/>
  <c r="N138" i="1"/>
  <c r="U1" i="1"/>
  <c r="I138" i="1"/>
  <c r="AB138" i="1"/>
  <c r="G138" i="1"/>
  <c r="A138" i="1"/>
  <c r="W138" i="1"/>
  <c r="S138" i="1"/>
  <c r="H140" i="1" a="1"/>
  <c r="L138" i="1"/>
  <c r="AA138" i="1"/>
  <c r="C138" i="1"/>
  <c r="R138" i="1"/>
  <c r="B140" i="1"/>
  <c r="U138" i="1" l="1"/>
  <c r="E158" i="1"/>
  <c r="F156" i="1"/>
  <c r="E160" i="1"/>
  <c r="E148" i="1"/>
  <c r="F158" i="1"/>
  <c r="E144" i="1"/>
  <c r="E145" i="1"/>
  <c r="E153" i="1"/>
  <c r="F145" i="1"/>
  <c r="F157" i="1"/>
  <c r="E149" i="1"/>
  <c r="F151" i="1"/>
  <c r="E151" i="1"/>
  <c r="E155" i="1"/>
  <c r="F147" i="1"/>
  <c r="E142" i="1"/>
  <c r="E147" i="1"/>
  <c r="F155" i="1"/>
  <c r="F141" i="1"/>
  <c r="E152" i="1"/>
  <c r="F142" i="1"/>
  <c r="E156" i="1"/>
  <c r="F146" i="1"/>
  <c r="F143" i="1"/>
  <c r="E161" i="1"/>
  <c r="E154" i="1"/>
  <c r="E150" i="1"/>
  <c r="F148" i="1"/>
  <c r="E146" i="1"/>
  <c r="F161" i="1"/>
  <c r="F154" i="1"/>
  <c r="F140" i="1"/>
  <c r="F160" i="1"/>
  <c r="F149" i="1"/>
  <c r="E141" i="1"/>
  <c r="F152" i="1"/>
  <c r="F159" i="1"/>
  <c r="F150" i="1"/>
  <c r="E140" i="1"/>
  <c r="E157" i="1"/>
  <c r="E143" i="1"/>
  <c r="F153" i="1"/>
  <c r="E159" i="1"/>
  <c r="F144" i="1"/>
  <c r="H156" i="1"/>
  <c r="I161" i="1"/>
  <c r="H143" i="1"/>
  <c r="H161" i="1"/>
  <c r="H160" i="1"/>
  <c r="I141" i="1"/>
  <c r="I155" i="1"/>
  <c r="I151" i="1"/>
  <c r="I160" i="1"/>
  <c r="H158" i="1"/>
  <c r="H152" i="1"/>
  <c r="H148" i="1"/>
  <c r="H151" i="1"/>
  <c r="H146" i="1"/>
  <c r="H159" i="1"/>
  <c r="I157" i="1"/>
  <c r="I144" i="1"/>
  <c r="I145" i="1"/>
  <c r="H150" i="1"/>
  <c r="H141" i="1"/>
  <c r="I156" i="1"/>
  <c r="I154" i="1"/>
  <c r="H153" i="1"/>
  <c r="I150" i="1"/>
  <c r="H157" i="1"/>
  <c r="I147" i="1"/>
  <c r="I158" i="1"/>
  <c r="H155" i="1"/>
  <c r="H142" i="1"/>
  <c r="I159" i="1"/>
  <c r="H149" i="1"/>
  <c r="H147" i="1"/>
  <c r="H154" i="1"/>
  <c r="I148" i="1"/>
  <c r="H145" i="1"/>
  <c r="H144" i="1"/>
  <c r="I149" i="1"/>
  <c r="I143" i="1"/>
  <c r="I152" i="1"/>
  <c r="I140" i="1"/>
  <c r="H140" i="1"/>
  <c r="I153" i="1"/>
  <c r="I146" i="1"/>
  <c r="I142" i="1"/>
  <c r="L197" i="1"/>
  <c r="L203" i="1"/>
  <c r="L198" i="1"/>
  <c r="L181" i="1"/>
  <c r="L185" i="1"/>
  <c r="L199" i="1"/>
  <c r="L178" i="1"/>
  <c r="L200" i="1"/>
  <c r="L195" i="1"/>
  <c r="L190" i="1"/>
  <c r="L177" i="1"/>
  <c r="L196" i="1"/>
  <c r="L191" i="1"/>
  <c r="L186" i="1"/>
  <c r="L192" i="1"/>
  <c r="L182" i="1"/>
  <c r="L188" i="1"/>
  <c r="L183" i="1"/>
  <c r="L184" i="1"/>
  <c r="L179" i="1"/>
  <c r="L180" i="1"/>
  <c r="L194" i="1"/>
  <c r="L176" i="1"/>
  <c r="L187" i="1"/>
  <c r="L201" i="1"/>
  <c r="L189" i="1"/>
  <c r="L202" i="1"/>
  <c r="L193" i="1"/>
  <c r="B210" i="1"/>
  <c r="B189" i="1"/>
  <c r="B184" i="1"/>
  <c r="B209" i="1"/>
  <c r="B179" i="1"/>
  <c r="B185" i="1"/>
  <c r="B180" i="1"/>
  <c r="B208" i="1"/>
  <c r="B198" i="1"/>
  <c r="B181" i="1"/>
  <c r="B203" i="1"/>
  <c r="B202" i="1"/>
  <c r="B182" i="1"/>
  <c r="B205" i="1"/>
  <c r="B199" i="1"/>
  <c r="B194" i="1"/>
  <c r="B206" i="1"/>
  <c r="B200" i="1"/>
  <c r="B195" i="1"/>
  <c r="B186" i="1"/>
  <c r="B201" i="1"/>
  <c r="B196" i="1"/>
  <c r="B204" i="1"/>
  <c r="B197" i="1"/>
  <c r="B192" i="1"/>
  <c r="B187" i="1"/>
  <c r="B190" i="1"/>
  <c r="B193" i="1"/>
  <c r="B188" i="1"/>
  <c r="B183" i="1"/>
  <c r="B207" i="1"/>
  <c r="B191" i="1"/>
  <c r="M138" i="1"/>
  <c r="T138" i="1"/>
  <c r="AG138" i="1"/>
  <c r="AC138" i="1"/>
  <c r="AJ138" i="1"/>
  <c r="AH138" i="1"/>
  <c r="AE138" i="1" l="1"/>
  <c r="U137" i="1"/>
  <c r="E137" i="1"/>
  <c r="C137" i="1"/>
  <c r="AB137" i="1"/>
  <c r="W137" i="1"/>
  <c r="AA137" i="1"/>
  <c r="A137" i="1"/>
  <c r="Y137" i="1"/>
  <c r="R137" i="1"/>
  <c r="S137" i="1"/>
  <c r="G137" i="1"/>
  <c r="H137" i="1"/>
  <c r="F137" i="1"/>
  <c r="B137" i="1"/>
  <c r="X137" i="1"/>
  <c r="L137" i="1"/>
  <c r="K137" i="1"/>
  <c r="V137" i="1"/>
  <c r="Z137" i="1"/>
  <c r="O137" i="1"/>
  <c r="I137" i="1"/>
  <c r="N137" i="1"/>
  <c r="AK138" i="1" l="1"/>
  <c r="AI138" i="1"/>
  <c r="AF138" i="1"/>
  <c r="AD138" i="1"/>
  <c r="M137" i="1"/>
  <c r="T137" i="1"/>
  <c r="AG137" i="1"/>
  <c r="AC137" i="1"/>
  <c r="AJ137" i="1"/>
  <c r="AH137" i="1"/>
  <c r="AE137" i="1" l="1"/>
  <c r="U136" i="1"/>
  <c r="E136" i="1"/>
  <c r="C136" i="1"/>
  <c r="V136" i="1"/>
  <c r="W136" i="1"/>
  <c r="N136" i="1"/>
  <c r="S136" i="1"/>
  <c r="G136" i="1"/>
  <c r="A136" i="1"/>
  <c r="H136" i="1"/>
  <c r="X136" i="1"/>
  <c r="L136" i="1"/>
  <c r="F136" i="1"/>
  <c r="I136" i="1"/>
  <c r="Z136" i="1"/>
  <c r="K136" i="1"/>
  <c r="O136" i="1"/>
  <c r="R136" i="1"/>
  <c r="AA136" i="1"/>
  <c r="Y136" i="1"/>
  <c r="AB136" i="1"/>
  <c r="B136" i="1"/>
  <c r="AK137" i="1" l="1"/>
  <c r="AI137" i="1"/>
  <c r="AF137" i="1"/>
  <c r="AD137" i="1"/>
  <c r="M136" i="1"/>
  <c r="T136" i="1"/>
  <c r="AG136" i="1"/>
  <c r="AC136" i="1"/>
  <c r="AJ136" i="1"/>
  <c r="AH136" i="1"/>
  <c r="U135" i="1" l="1"/>
  <c r="E135" i="1"/>
  <c r="C135" i="1"/>
  <c r="H135" i="1"/>
  <c r="G135" i="1"/>
  <c r="AB135" i="1"/>
  <c r="I135" i="1"/>
  <c r="A135" i="1"/>
  <c r="Z135" i="1"/>
  <c r="Y135" i="1"/>
  <c r="B135" i="1"/>
  <c r="S135" i="1"/>
  <c r="R135" i="1"/>
  <c r="X135" i="1"/>
  <c r="AA135" i="1"/>
  <c r="K135" i="1"/>
  <c r="V135" i="1"/>
  <c r="O135" i="1"/>
  <c r="W135" i="1"/>
  <c r="F135" i="1"/>
  <c r="N135" i="1"/>
  <c r="L135" i="1"/>
  <c r="AE136" i="1" l="1"/>
  <c r="AF136" i="1" s="1"/>
  <c r="AK136" i="1"/>
  <c r="AI136" i="1"/>
  <c r="AD136" i="1"/>
  <c r="M135" i="1"/>
  <c r="T135" i="1"/>
  <c r="AG135" i="1"/>
  <c r="AC135" i="1"/>
  <c r="AJ135" i="1"/>
  <c r="AH135" i="1"/>
  <c r="U134" i="1" l="1"/>
  <c r="E134" i="1"/>
  <c r="R134" i="1"/>
  <c r="Y134" i="1"/>
  <c r="AB134" i="1"/>
  <c r="G134" i="1"/>
  <c r="Z134" i="1"/>
  <c r="A134" i="1"/>
  <c r="X134" i="1"/>
  <c r="C134" i="1"/>
  <c r="H134" i="1"/>
  <c r="B134" i="1"/>
  <c r="AA134" i="1"/>
  <c r="O134" i="1"/>
  <c r="K134" i="1"/>
  <c r="W134" i="1"/>
  <c r="I134" i="1"/>
  <c r="N134" i="1"/>
  <c r="F134" i="1"/>
  <c r="L134" i="1"/>
  <c r="V134" i="1"/>
  <c r="S134" i="1"/>
  <c r="AE135" i="1" l="1"/>
  <c r="AF135" i="1" s="1"/>
  <c r="AK135" i="1"/>
  <c r="AI135" i="1"/>
  <c r="AD135" i="1"/>
  <c r="M134" i="1"/>
  <c r="T134" i="1"/>
  <c r="AG134" i="1"/>
  <c r="AC134" i="1"/>
  <c r="AJ134" i="1"/>
  <c r="AH134" i="1"/>
  <c r="U133" i="1" l="1"/>
  <c r="E133" i="1"/>
  <c r="AA133" i="1"/>
  <c r="A133" i="1"/>
  <c r="B133" i="1"/>
  <c r="C133" i="1"/>
  <c r="G133" i="1"/>
  <c r="F133" i="1"/>
  <c r="V133" i="1"/>
  <c r="O133" i="1"/>
  <c r="Z133" i="1"/>
  <c r="L133" i="1"/>
  <c r="N133" i="1"/>
  <c r="H133" i="1"/>
  <c r="K133" i="1"/>
  <c r="X133" i="1"/>
  <c r="Y133" i="1"/>
  <c r="AB133" i="1"/>
  <c r="W133" i="1"/>
  <c r="R133" i="1"/>
  <c r="I133" i="1"/>
  <c r="S133" i="1"/>
  <c r="AE134" i="1" l="1"/>
  <c r="AF134" i="1" s="1"/>
  <c r="AK134" i="1"/>
  <c r="AI134" i="1"/>
  <c r="AD134" i="1"/>
  <c r="M133" i="1"/>
  <c r="T133" i="1"/>
  <c r="AG133" i="1"/>
  <c r="AC133" i="1"/>
  <c r="AJ133" i="1"/>
  <c r="AH133" i="1"/>
  <c r="U132" i="1" l="1"/>
  <c r="E132" i="1"/>
  <c r="H132" i="1"/>
  <c r="F132" i="1"/>
  <c r="C132" i="1"/>
  <c r="R132" i="1"/>
  <c r="K132" i="1"/>
  <c r="W132" i="1"/>
  <c r="Z132" i="1"/>
  <c r="B132" i="1"/>
  <c r="V132" i="1"/>
  <c r="I132" i="1"/>
  <c r="S132" i="1"/>
  <c r="AA132" i="1"/>
  <c r="G132" i="1"/>
  <c r="N132" i="1"/>
  <c r="L132" i="1"/>
  <c r="Y132" i="1"/>
  <c r="X132" i="1"/>
  <c r="AB132" i="1"/>
  <c r="A132" i="1"/>
  <c r="O132" i="1"/>
  <c r="AE133" i="1" l="1"/>
  <c r="AF133" i="1" s="1"/>
  <c r="AI133" i="1"/>
  <c r="AD133" i="1"/>
  <c r="M132" i="1"/>
  <c r="T132" i="1"/>
  <c r="AC132" i="1"/>
  <c r="AG132" i="1"/>
  <c r="AJ132" i="1"/>
  <c r="AH132" i="1"/>
  <c r="AK133" i="1" l="1"/>
  <c r="AE132" i="1"/>
  <c r="U131" i="1"/>
  <c r="E131" i="1"/>
  <c r="F131" i="1"/>
  <c r="AA131" i="1"/>
  <c r="B131" i="1"/>
  <c r="AB131" i="1"/>
  <c r="L131" i="1"/>
  <c r="H131" i="1"/>
  <c r="Z131" i="1"/>
  <c r="G131" i="1"/>
  <c r="Y131" i="1"/>
  <c r="C131" i="1"/>
  <c r="K131" i="1"/>
  <c r="N131" i="1"/>
  <c r="X131" i="1"/>
  <c r="W131" i="1"/>
  <c r="S131" i="1"/>
  <c r="R131" i="1"/>
  <c r="O131" i="1"/>
  <c r="I131" i="1"/>
  <c r="V131" i="1"/>
  <c r="A131" i="1"/>
  <c r="AK132" i="1" l="1"/>
  <c r="AI132" i="1"/>
  <c r="AF132" i="1"/>
  <c r="AD132" i="1"/>
  <c r="M131" i="1"/>
  <c r="T131" i="1"/>
  <c r="AG131" i="1"/>
  <c r="AC131" i="1"/>
  <c r="AJ131" i="1"/>
  <c r="AH131" i="1"/>
  <c r="U130" i="1" l="1"/>
  <c r="E130" i="1"/>
  <c r="G130" i="1"/>
  <c r="X130" i="1"/>
  <c r="N130" i="1"/>
  <c r="I130" i="1"/>
  <c r="AA130" i="1"/>
  <c r="AB130" i="1"/>
  <c r="A130" i="1"/>
  <c r="W130" i="1"/>
  <c r="B130" i="1"/>
  <c r="Y130" i="1"/>
  <c r="V130" i="1"/>
  <c r="K130" i="1"/>
  <c r="L130" i="1"/>
  <c r="S130" i="1"/>
  <c r="C130" i="1"/>
  <c r="R130" i="1"/>
  <c r="O130" i="1"/>
  <c r="H130" i="1"/>
  <c r="F130" i="1"/>
  <c r="Z130" i="1"/>
  <c r="AE131" i="1" l="1"/>
  <c r="AF131" i="1" s="1"/>
  <c r="AK131" i="1"/>
  <c r="AI131" i="1"/>
  <c r="AD131" i="1"/>
  <c r="U129" i="1"/>
  <c r="E129" i="1"/>
  <c r="T130" i="1"/>
  <c r="AB129" i="1"/>
  <c r="Y129" i="1"/>
  <c r="K129" i="1"/>
  <c r="O129" i="1"/>
  <c r="B129" i="1"/>
  <c r="I129" i="1"/>
  <c r="F129" i="1"/>
  <c r="W129" i="1"/>
  <c r="V129" i="1"/>
  <c r="C129" i="1"/>
  <c r="X129" i="1"/>
  <c r="G129" i="1"/>
  <c r="N129" i="1"/>
  <c r="R129" i="1"/>
  <c r="A129" i="1"/>
  <c r="AA129" i="1"/>
  <c r="H129" i="1"/>
  <c r="Z129" i="1"/>
  <c r="L129" i="1"/>
  <c r="S129" i="1"/>
  <c r="AG130" i="1"/>
  <c r="AC130" i="1"/>
  <c r="AJ130" i="1"/>
  <c r="AH130" i="1"/>
  <c r="M129" i="1" l="1"/>
  <c r="T129" i="1"/>
  <c r="AG129" i="1"/>
  <c r="AC129" i="1"/>
  <c r="AJ129" i="1"/>
  <c r="AH129" i="1"/>
  <c r="AE130" i="1" l="1"/>
  <c r="AF130" i="1" s="1"/>
  <c r="AI130" i="1"/>
  <c r="AD130" i="1"/>
  <c r="U128" i="1"/>
  <c r="E128" i="1"/>
  <c r="R128" i="1"/>
  <c r="I128" i="1"/>
  <c r="H128" i="1"/>
  <c r="W128" i="1"/>
  <c r="AB128" i="1"/>
  <c r="Z128" i="1"/>
  <c r="O128" i="1"/>
  <c r="L128" i="1"/>
  <c r="N128" i="1"/>
  <c r="B128" i="1"/>
  <c r="X128" i="1"/>
  <c r="K128" i="1"/>
  <c r="G128" i="1"/>
  <c r="F128" i="1"/>
  <c r="Y128" i="1"/>
  <c r="S128" i="1"/>
  <c r="C128" i="1"/>
  <c r="AA128" i="1"/>
  <c r="A128" i="1"/>
  <c r="V128" i="1"/>
  <c r="AE129" i="1" l="1"/>
  <c r="AF129" i="1" s="1"/>
  <c r="AK130" i="1"/>
  <c r="AK129" i="1"/>
  <c r="AI129" i="1"/>
  <c r="AD129" i="1"/>
  <c r="M128" i="1"/>
  <c r="T128" i="1"/>
  <c r="AC128" i="1"/>
  <c r="AG128" i="1"/>
  <c r="AJ128" i="1"/>
  <c r="AH128" i="1"/>
  <c r="AE128" i="1" l="1"/>
  <c r="U127" i="1"/>
  <c r="E127" i="1"/>
  <c r="AB127" i="1"/>
  <c r="Z127" i="1"/>
  <c r="W127" i="1"/>
  <c r="V127" i="1"/>
  <c r="N127" i="1"/>
  <c r="L127" i="1"/>
  <c r="X127" i="1"/>
  <c r="G127" i="1"/>
  <c r="A127" i="1"/>
  <c r="I127" i="1"/>
  <c r="O127" i="1"/>
  <c r="B127" i="1"/>
  <c r="F127" i="1"/>
  <c r="K127" i="1"/>
  <c r="AA127" i="1"/>
  <c r="C127" i="1"/>
  <c r="S127" i="1"/>
  <c r="H127" i="1"/>
  <c r="R127" i="1"/>
  <c r="Y127" i="1"/>
  <c r="AK128" i="1" l="1"/>
  <c r="AI128" i="1"/>
  <c r="AF128" i="1"/>
  <c r="AD128" i="1"/>
  <c r="M127" i="1"/>
  <c r="T127" i="1"/>
  <c r="AG127" i="1"/>
  <c r="AC127" i="1"/>
  <c r="AJ127" i="1"/>
  <c r="AH127" i="1"/>
  <c r="AE127" i="1" l="1"/>
  <c r="U126" i="1"/>
  <c r="E126" i="1"/>
  <c r="W126" i="1"/>
  <c r="A126" i="1"/>
  <c r="B126" i="1"/>
  <c r="L126" i="1"/>
  <c r="G126" i="1"/>
  <c r="K126" i="1"/>
  <c r="AA126" i="1"/>
  <c r="AB126" i="1"/>
  <c r="R126" i="1"/>
  <c r="H126" i="1"/>
  <c r="O126" i="1"/>
  <c r="Z126" i="1"/>
  <c r="F126" i="1"/>
  <c r="S126" i="1"/>
  <c r="C126" i="1"/>
  <c r="Y126" i="1"/>
  <c r="N126" i="1"/>
  <c r="I126" i="1"/>
  <c r="X126" i="1"/>
  <c r="V126" i="1"/>
  <c r="AK127" i="1" l="1"/>
  <c r="AI127" i="1"/>
  <c r="AF127" i="1"/>
  <c r="AD127" i="1"/>
  <c r="M126" i="1"/>
  <c r="T126" i="1"/>
  <c r="AG126" i="1"/>
  <c r="AC126" i="1"/>
  <c r="AJ126" i="1"/>
  <c r="AH126" i="1"/>
  <c r="AE126" i="1" l="1"/>
  <c r="U125" i="1"/>
  <c r="E125" i="1"/>
  <c r="O125" i="1"/>
  <c r="N125" i="1"/>
  <c r="V125" i="1"/>
  <c r="L125" i="1"/>
  <c r="X125" i="1"/>
  <c r="Y125" i="1"/>
  <c r="A125" i="1"/>
  <c r="F125" i="1"/>
  <c r="B125" i="1"/>
  <c r="AA125" i="1"/>
  <c r="R125" i="1"/>
  <c r="K125" i="1"/>
  <c r="AB125" i="1"/>
  <c r="Z125" i="1"/>
  <c r="C125" i="1"/>
  <c r="G125" i="1"/>
  <c r="W125" i="1"/>
  <c r="I125" i="1"/>
  <c r="H125" i="1"/>
  <c r="S125" i="1"/>
  <c r="AK126" i="1" l="1"/>
  <c r="AI126" i="1"/>
  <c r="AF126" i="1"/>
  <c r="AD126" i="1"/>
  <c r="M125" i="1"/>
  <c r="T125" i="1"/>
  <c r="AG125" i="1"/>
  <c r="AC125" i="1"/>
  <c r="AJ125" i="1"/>
  <c r="AH125" i="1"/>
  <c r="AE125" i="1" l="1"/>
  <c r="U124" i="1"/>
  <c r="E124" i="1"/>
  <c r="Y124" i="1"/>
  <c r="X124" i="1"/>
  <c r="H124" i="1"/>
  <c r="Z124" i="1"/>
  <c r="F124" i="1"/>
  <c r="O124" i="1"/>
  <c r="V124" i="1"/>
  <c r="L124" i="1"/>
  <c r="A124" i="1"/>
  <c r="R124" i="1"/>
  <c r="B124" i="1"/>
  <c r="S124" i="1"/>
  <c r="G124" i="1"/>
  <c r="C124" i="1"/>
  <c r="N124" i="1"/>
  <c r="K124" i="1"/>
  <c r="W124" i="1"/>
  <c r="AB124" i="1"/>
  <c r="AA124" i="1"/>
  <c r="I124" i="1"/>
  <c r="AK125" i="1" l="1"/>
  <c r="AI125" i="1"/>
  <c r="AF125" i="1"/>
  <c r="AD125" i="1"/>
  <c r="M124" i="1"/>
  <c r="T124" i="1"/>
  <c r="AG124" i="1"/>
  <c r="AC124" i="1"/>
  <c r="AJ124" i="1"/>
  <c r="AH124" i="1"/>
  <c r="AE124" i="1" l="1"/>
  <c r="AF124" i="1" s="1"/>
  <c r="U123" i="1"/>
  <c r="E123" i="1"/>
  <c r="K123" i="1"/>
  <c r="Z123" i="1"/>
  <c r="Y123" i="1"/>
  <c r="C123" i="1"/>
  <c r="AB123" i="1"/>
  <c r="N123" i="1"/>
  <c r="A123" i="1"/>
  <c r="S123" i="1"/>
  <c r="O123" i="1"/>
  <c r="H123" i="1"/>
  <c r="W123" i="1"/>
  <c r="L123" i="1"/>
  <c r="F123" i="1"/>
  <c r="B123" i="1"/>
  <c r="R123" i="1"/>
  <c r="X123" i="1"/>
  <c r="G123" i="1"/>
  <c r="AA123" i="1"/>
  <c r="V123" i="1"/>
  <c r="I123" i="1"/>
  <c r="AD124" i="1" l="1"/>
  <c r="AK124" i="1"/>
  <c r="AI124" i="1"/>
  <c r="M123" i="1"/>
  <c r="T123" i="1"/>
  <c r="AG123" i="1"/>
  <c r="AC123" i="1"/>
  <c r="AJ123" i="1"/>
  <c r="AH123" i="1"/>
  <c r="AE123" i="1" l="1"/>
  <c r="U122" i="1"/>
  <c r="E122" i="1"/>
  <c r="H122" i="1"/>
  <c r="AB122" i="1"/>
  <c r="L122" i="1"/>
  <c r="N122" i="1"/>
  <c r="R122" i="1"/>
  <c r="K122" i="1"/>
  <c r="B122" i="1"/>
  <c r="A122" i="1"/>
  <c r="AA122" i="1"/>
  <c r="X122" i="1"/>
  <c r="W122" i="1"/>
  <c r="G122" i="1"/>
  <c r="V122" i="1"/>
  <c r="Y122" i="1"/>
  <c r="F122" i="1"/>
  <c r="S122" i="1"/>
  <c r="O122" i="1"/>
  <c r="I122" i="1"/>
  <c r="C122" i="1"/>
  <c r="Z122" i="1"/>
  <c r="AK123" i="1" l="1"/>
  <c r="AI123" i="1"/>
  <c r="AF123" i="1"/>
  <c r="AD123" i="1"/>
  <c r="M122" i="1"/>
  <c r="T122" i="1"/>
  <c r="AG122" i="1"/>
  <c r="AC122" i="1"/>
  <c r="AJ122" i="1"/>
  <c r="AH122" i="1"/>
  <c r="U121" i="1" l="1"/>
  <c r="E121" i="1"/>
  <c r="W121" i="1"/>
  <c r="L121" i="1"/>
  <c r="K121" i="1"/>
  <c r="AA121" i="1"/>
  <c r="X121" i="1"/>
  <c r="B121" i="1"/>
  <c r="H121" i="1"/>
  <c r="Z121" i="1"/>
  <c r="F121" i="1"/>
  <c r="A121" i="1"/>
  <c r="S121" i="1"/>
  <c r="Y121" i="1"/>
  <c r="I121" i="1"/>
  <c r="O121" i="1"/>
  <c r="V121" i="1"/>
  <c r="N121" i="1"/>
  <c r="G121" i="1"/>
  <c r="AB121" i="1"/>
  <c r="R121" i="1"/>
  <c r="C121" i="1"/>
  <c r="AE122" i="1" l="1"/>
  <c r="AF122" i="1" s="1"/>
  <c r="AI122" i="1"/>
  <c r="AD122" i="1"/>
  <c r="M121" i="1"/>
  <c r="T121" i="1"/>
  <c r="AG121" i="1"/>
  <c r="AC121" i="1"/>
  <c r="AJ121" i="1"/>
  <c r="AH121" i="1"/>
  <c r="AK122" i="1" l="1"/>
  <c r="AE121" i="1"/>
  <c r="U120" i="1"/>
  <c r="E120" i="1"/>
  <c r="A120" i="1"/>
  <c r="AA120" i="1"/>
  <c r="I120" i="1"/>
  <c r="V120" i="1"/>
  <c r="H120" i="1"/>
  <c r="W120" i="1"/>
  <c r="S120" i="1"/>
  <c r="C120" i="1"/>
  <c r="L120" i="1"/>
  <c r="Z120" i="1"/>
  <c r="B120" i="1"/>
  <c r="K120" i="1"/>
  <c r="F120" i="1"/>
  <c r="G120" i="1"/>
  <c r="O120" i="1"/>
  <c r="X120" i="1"/>
  <c r="N120" i="1"/>
  <c r="AB120" i="1"/>
  <c r="Y120" i="1"/>
  <c r="R120" i="1"/>
  <c r="AK121" i="1" l="1"/>
  <c r="AI121" i="1"/>
  <c r="AF121" i="1"/>
  <c r="AD121" i="1"/>
  <c r="M120" i="1"/>
  <c r="T120" i="1"/>
  <c r="AG120" i="1"/>
  <c r="AC120" i="1"/>
  <c r="AJ120" i="1"/>
  <c r="AH120" i="1"/>
  <c r="AE120" i="1" l="1"/>
  <c r="U119" i="1"/>
  <c r="E119" i="1"/>
  <c r="B119" i="1"/>
  <c r="K119" i="1"/>
  <c r="C119" i="1"/>
  <c r="F119" i="1"/>
  <c r="X119" i="1"/>
  <c r="W119" i="1"/>
  <c r="S119" i="1"/>
  <c r="I119" i="1"/>
  <c r="AA119" i="1"/>
  <c r="AB119" i="1"/>
  <c r="V119" i="1"/>
  <c r="G119" i="1"/>
  <c r="Y119" i="1"/>
  <c r="L119" i="1"/>
  <c r="R119" i="1"/>
  <c r="Z119" i="1"/>
  <c r="H119" i="1"/>
  <c r="O119" i="1"/>
  <c r="A119" i="1"/>
  <c r="N119" i="1"/>
  <c r="AK120" i="1" l="1"/>
  <c r="AI120" i="1"/>
  <c r="AF120" i="1"/>
  <c r="AD120" i="1"/>
  <c r="M119" i="1"/>
  <c r="T119" i="1"/>
  <c r="AG119" i="1"/>
  <c r="AC119" i="1"/>
  <c r="AJ119" i="1"/>
  <c r="AH119" i="1"/>
  <c r="AE119" i="1" l="1"/>
  <c r="U118" i="1"/>
  <c r="E118" i="1"/>
  <c r="K118" i="1"/>
  <c r="B118" i="1"/>
  <c r="N118" i="1"/>
  <c r="I118" i="1"/>
  <c r="G118" i="1"/>
  <c r="L118" i="1"/>
  <c r="AB118" i="1"/>
  <c r="Z118" i="1"/>
  <c r="C118" i="1"/>
  <c r="H118" i="1"/>
  <c r="AA118" i="1"/>
  <c r="O118" i="1"/>
  <c r="A118" i="1"/>
  <c r="V118" i="1"/>
  <c r="S118" i="1"/>
  <c r="W118" i="1"/>
  <c r="X118" i="1"/>
  <c r="F118" i="1"/>
  <c r="R118" i="1"/>
  <c r="Y118" i="1"/>
  <c r="AK119" i="1" l="1"/>
  <c r="AI119" i="1"/>
  <c r="AF119" i="1"/>
  <c r="AD119" i="1"/>
  <c r="M118" i="1"/>
  <c r="T118" i="1"/>
  <c r="AG118" i="1"/>
  <c r="AC118" i="1"/>
  <c r="AJ118" i="1"/>
  <c r="AH118" i="1"/>
  <c r="U117" i="1" l="1"/>
  <c r="E117" i="1"/>
  <c r="A117" i="1"/>
  <c r="I117" i="1"/>
  <c r="K117" i="1"/>
  <c r="F117" i="1"/>
  <c r="B117" i="1"/>
  <c r="C117" i="1"/>
  <c r="R117" i="1"/>
  <c r="V117" i="1"/>
  <c r="AB117" i="1"/>
  <c r="AA117" i="1"/>
  <c r="G117" i="1"/>
  <c r="Y117" i="1"/>
  <c r="L117" i="1"/>
  <c r="S117" i="1"/>
  <c r="Z117" i="1"/>
  <c r="H117" i="1"/>
  <c r="W117" i="1"/>
  <c r="N117" i="1"/>
  <c r="X117" i="1"/>
  <c r="O117" i="1"/>
  <c r="AE118" i="1" l="1"/>
  <c r="AF118" i="1" s="1"/>
  <c r="AK118" i="1"/>
  <c r="AI118" i="1"/>
  <c r="AD118" i="1"/>
  <c r="M117" i="1"/>
  <c r="T117" i="1"/>
  <c r="AG117" i="1"/>
  <c r="AC117" i="1"/>
  <c r="AJ117" i="1"/>
  <c r="AH117" i="1"/>
  <c r="U116" i="1" l="1"/>
  <c r="E116" i="1"/>
  <c r="L116" i="1"/>
  <c r="O116" i="1"/>
  <c r="B116" i="1"/>
  <c r="Z116" i="1"/>
  <c r="X116" i="1"/>
  <c r="Y116" i="1"/>
  <c r="S116" i="1"/>
  <c r="R116" i="1"/>
  <c r="G116" i="1"/>
  <c r="F116" i="1"/>
  <c r="AA116" i="1"/>
  <c r="A116" i="1"/>
  <c r="N116" i="1"/>
  <c r="AB116" i="1"/>
  <c r="K116" i="1"/>
  <c r="W116" i="1"/>
  <c r="I116" i="1"/>
  <c r="H116" i="1"/>
  <c r="V116" i="1"/>
  <c r="C116" i="1"/>
  <c r="AE117" i="1" l="1"/>
  <c r="AF117" i="1" s="1"/>
  <c r="AK117" i="1"/>
  <c r="AI117" i="1"/>
  <c r="AD117" i="1"/>
  <c r="M116" i="1"/>
  <c r="T116" i="1"/>
  <c r="AC116" i="1"/>
  <c r="AG116" i="1"/>
  <c r="AJ116" i="1"/>
  <c r="AH116" i="1"/>
  <c r="AE116" i="1" l="1"/>
  <c r="U115" i="1"/>
  <c r="E115" i="1"/>
  <c r="I115" i="1"/>
  <c r="N115" i="1"/>
  <c r="X115" i="1"/>
  <c r="G115" i="1"/>
  <c r="AA115" i="1"/>
  <c r="Z115" i="1"/>
  <c r="O115" i="1"/>
  <c r="Y115" i="1"/>
  <c r="K115" i="1"/>
  <c r="C115" i="1"/>
  <c r="S115" i="1"/>
  <c r="R115" i="1"/>
  <c r="L115" i="1"/>
  <c r="AB115" i="1"/>
  <c r="A115" i="1"/>
  <c r="V115" i="1"/>
  <c r="B115" i="1"/>
  <c r="H115" i="1"/>
  <c r="F115" i="1"/>
  <c r="W115" i="1"/>
  <c r="AK116" i="1" l="1"/>
  <c r="AI116" i="1"/>
  <c r="AF116" i="1"/>
  <c r="AD116" i="1"/>
  <c r="M115" i="1"/>
  <c r="T115" i="1"/>
  <c r="AG115" i="1"/>
  <c r="AC115" i="1"/>
  <c r="AJ115" i="1"/>
  <c r="AH115" i="1"/>
  <c r="U114" i="1" l="1"/>
  <c r="E114" i="1"/>
  <c r="C114" i="1"/>
  <c r="K114" i="1"/>
  <c r="O114" i="1"/>
  <c r="W114" i="1"/>
  <c r="L114" i="1"/>
  <c r="I114" i="1"/>
  <c r="R114" i="1"/>
  <c r="N114" i="1"/>
  <c r="F114" i="1"/>
  <c r="A114" i="1"/>
  <c r="AB114" i="1"/>
  <c r="V114" i="1"/>
  <c r="Z114" i="1"/>
  <c r="B114" i="1"/>
  <c r="X114" i="1"/>
  <c r="Y114" i="1"/>
  <c r="S114" i="1"/>
  <c r="G114" i="1"/>
  <c r="AA114" i="1"/>
  <c r="H114" i="1"/>
  <c r="AE115" i="1" l="1"/>
  <c r="AF115" i="1" s="1"/>
  <c r="AI115" i="1"/>
  <c r="AD115" i="1"/>
  <c r="M114" i="1"/>
  <c r="T114" i="1"/>
  <c r="AC114" i="1"/>
  <c r="AG114" i="1"/>
  <c r="AJ114" i="1"/>
  <c r="AH114" i="1"/>
  <c r="AK115" i="1" l="1"/>
  <c r="AE114" i="1"/>
  <c r="U113" i="1"/>
  <c r="E113" i="1"/>
  <c r="W113" i="1"/>
  <c r="A113" i="1"/>
  <c r="I113" i="1"/>
  <c r="H113" i="1"/>
  <c r="R113" i="1"/>
  <c r="AB113" i="1"/>
  <c r="B113" i="1"/>
  <c r="L113" i="1"/>
  <c r="K113" i="1"/>
  <c r="F113" i="1"/>
  <c r="O113" i="1"/>
  <c r="Z113" i="1"/>
  <c r="N113" i="1"/>
  <c r="V113" i="1"/>
  <c r="S113" i="1"/>
  <c r="AA113" i="1"/>
  <c r="C113" i="1"/>
  <c r="Y113" i="1"/>
  <c r="G113" i="1"/>
  <c r="X113" i="1"/>
  <c r="AK114" i="1" l="1"/>
  <c r="AI114" i="1"/>
  <c r="AF114" i="1"/>
  <c r="AD114" i="1"/>
  <c r="M113" i="1"/>
  <c r="T113" i="1"/>
  <c r="AG113" i="1"/>
  <c r="AC113" i="1"/>
  <c r="AJ113" i="1"/>
  <c r="AH113" i="1"/>
  <c r="AE113" i="1" l="1"/>
  <c r="U112" i="1"/>
  <c r="E112" i="1"/>
  <c r="R112" i="1"/>
  <c r="F112" i="1"/>
  <c r="C112" i="1"/>
  <c r="Z112" i="1"/>
  <c r="Y112" i="1"/>
  <c r="V112" i="1"/>
  <c r="O112" i="1"/>
  <c r="K112" i="1"/>
  <c r="A112" i="1"/>
  <c r="G112" i="1"/>
  <c r="N112" i="1"/>
  <c r="B112" i="1"/>
  <c r="X112" i="1"/>
  <c r="S112" i="1"/>
  <c r="I112" i="1"/>
  <c r="AA112" i="1"/>
  <c r="AB112" i="1"/>
  <c r="H112" i="1"/>
  <c r="W112" i="1"/>
  <c r="L112" i="1"/>
  <c r="AK113" i="1" l="1"/>
  <c r="AI113" i="1"/>
  <c r="AF113" i="1"/>
  <c r="AD113" i="1"/>
  <c r="M112" i="1"/>
  <c r="T112" i="1"/>
  <c r="AG112" i="1"/>
  <c r="AC112" i="1"/>
  <c r="AJ112" i="1"/>
  <c r="AH112" i="1"/>
  <c r="U111" i="1" l="1"/>
  <c r="E111" i="1"/>
  <c r="I111" i="1"/>
  <c r="O111" i="1"/>
  <c r="F111" i="1"/>
  <c r="Z111" i="1"/>
  <c r="G111" i="1"/>
  <c r="W111" i="1"/>
  <c r="N111" i="1"/>
  <c r="C111" i="1"/>
  <c r="AB111" i="1"/>
  <c r="K111" i="1"/>
  <c r="B111" i="1"/>
  <c r="S111" i="1"/>
  <c r="X111" i="1"/>
  <c r="Y111" i="1"/>
  <c r="L111" i="1"/>
  <c r="R111" i="1"/>
  <c r="H111" i="1"/>
  <c r="AA111" i="1"/>
  <c r="V111" i="1"/>
  <c r="A111" i="1"/>
  <c r="AE112" i="1" l="1"/>
  <c r="AF112" i="1" s="1"/>
  <c r="AK112" i="1"/>
  <c r="AI112" i="1"/>
  <c r="AD112" i="1"/>
  <c r="M111" i="1"/>
  <c r="T111" i="1"/>
  <c r="AC111" i="1"/>
  <c r="AG111" i="1"/>
  <c r="AJ111" i="1"/>
  <c r="AH111" i="1"/>
  <c r="AE111" i="1" l="1"/>
  <c r="U110" i="1"/>
  <c r="E110" i="1"/>
  <c r="K110" i="1"/>
  <c r="I110" i="1"/>
  <c r="V110" i="1"/>
  <c r="A110" i="1"/>
  <c r="L110" i="1"/>
  <c r="O110" i="1"/>
  <c r="R110" i="1"/>
  <c r="AB110" i="1"/>
  <c r="N110" i="1"/>
  <c r="H110" i="1"/>
  <c r="G110" i="1"/>
  <c r="W110" i="1"/>
  <c r="Y110" i="1"/>
  <c r="X110" i="1"/>
  <c r="C110" i="1"/>
  <c r="F110" i="1"/>
  <c r="AA110" i="1"/>
  <c r="S110" i="1"/>
  <c r="Z110" i="1"/>
  <c r="B110" i="1"/>
  <c r="AK111" i="1" l="1"/>
  <c r="AI111" i="1"/>
  <c r="AF111" i="1"/>
  <c r="AD111" i="1"/>
  <c r="M110" i="1"/>
  <c r="T110" i="1"/>
  <c r="AG110" i="1"/>
  <c r="AC110" i="1"/>
  <c r="AJ110" i="1"/>
  <c r="AH110" i="1"/>
  <c r="AE110" i="1" l="1"/>
  <c r="U109" i="1"/>
  <c r="E109" i="1"/>
  <c r="AB109" i="1"/>
  <c r="W109" i="1"/>
  <c r="Y109" i="1"/>
  <c r="F109" i="1"/>
  <c r="S109" i="1"/>
  <c r="X109" i="1"/>
  <c r="H109" i="1"/>
  <c r="I109" i="1"/>
  <c r="A109" i="1"/>
  <c r="K109" i="1"/>
  <c r="C109" i="1"/>
  <c r="V109" i="1"/>
  <c r="R109" i="1"/>
  <c r="N109" i="1"/>
  <c r="G109" i="1"/>
  <c r="B109" i="1"/>
  <c r="AA109" i="1"/>
  <c r="O109" i="1"/>
  <c r="Z109" i="1"/>
  <c r="L109" i="1"/>
  <c r="AK110" i="1" l="1"/>
  <c r="AI110" i="1"/>
  <c r="AF110" i="1"/>
  <c r="AD110" i="1"/>
  <c r="M109" i="1"/>
  <c r="T109" i="1"/>
  <c r="AG109" i="1"/>
  <c r="AC109" i="1"/>
  <c r="AJ109" i="1"/>
  <c r="AH109" i="1"/>
  <c r="AE109" i="1" l="1"/>
  <c r="AF109" i="1" s="1"/>
  <c r="AD109" i="1"/>
  <c r="U108" i="1"/>
  <c r="E108" i="1"/>
  <c r="F108" i="1"/>
  <c r="K108" i="1"/>
  <c r="Y108" i="1"/>
  <c r="B108" i="1"/>
  <c r="V108" i="1"/>
  <c r="I108" i="1"/>
  <c r="W108" i="1"/>
  <c r="Z108" i="1"/>
  <c r="AB108" i="1"/>
  <c r="R108" i="1"/>
  <c r="L108" i="1"/>
  <c r="S108" i="1"/>
  <c r="N108" i="1"/>
  <c r="C108" i="1"/>
  <c r="H108" i="1"/>
  <c r="G108" i="1"/>
  <c r="AA108" i="1"/>
  <c r="X108" i="1"/>
  <c r="A108" i="1"/>
  <c r="O108" i="1"/>
  <c r="AK109" i="1" l="1"/>
  <c r="AI109" i="1"/>
  <c r="M108" i="1"/>
  <c r="T108" i="1"/>
  <c r="AG108" i="1"/>
  <c r="AC108" i="1"/>
  <c r="AJ108" i="1"/>
  <c r="AH108" i="1"/>
  <c r="AE108" i="1" l="1"/>
  <c r="U107" i="1"/>
  <c r="E107" i="1"/>
  <c r="C107" i="1"/>
  <c r="Y107" i="1"/>
  <c r="K107" i="1"/>
  <c r="F107" i="1"/>
  <c r="I107" i="1"/>
  <c r="AB107" i="1"/>
  <c r="O107" i="1"/>
  <c r="W107" i="1"/>
  <c r="AA107" i="1"/>
  <c r="X107" i="1"/>
  <c r="N107" i="1"/>
  <c r="S107" i="1"/>
  <c r="V107" i="1"/>
  <c r="Z107" i="1"/>
  <c r="L107" i="1"/>
  <c r="R107" i="1"/>
  <c r="B107" i="1"/>
  <c r="G107" i="1"/>
  <c r="H107" i="1"/>
  <c r="A107" i="1"/>
  <c r="AK108" i="1" l="1"/>
  <c r="AI108" i="1"/>
  <c r="AF108" i="1"/>
  <c r="AD108" i="1"/>
  <c r="U106" i="1"/>
  <c r="E106" i="1"/>
  <c r="I106" i="1"/>
  <c r="AB106" i="1"/>
  <c r="C106" i="1"/>
  <c r="V106" i="1"/>
  <c r="K106" i="1"/>
  <c r="H106" i="1"/>
  <c r="A106" i="1"/>
  <c r="F106" i="1"/>
  <c r="B106" i="1"/>
  <c r="G106" i="1"/>
  <c r="R106" i="1"/>
  <c r="W106" i="1"/>
  <c r="S106" i="1"/>
  <c r="Z106" i="1"/>
  <c r="X106" i="1"/>
  <c r="L106" i="1"/>
  <c r="T107" i="1"/>
  <c r="N106" i="1"/>
  <c r="AA106" i="1"/>
  <c r="Y106" i="1"/>
  <c r="O106" i="1"/>
  <c r="AC107" i="1"/>
  <c r="AG107" i="1"/>
  <c r="AJ107" i="1"/>
  <c r="AH107" i="1"/>
  <c r="AE107" i="1" l="1"/>
  <c r="M106" i="1"/>
  <c r="T106" i="1"/>
  <c r="AG106" i="1"/>
  <c r="AC106" i="1"/>
  <c r="AJ106" i="1"/>
  <c r="AH106" i="1"/>
  <c r="AK107" i="1" l="1"/>
  <c r="AI107" i="1"/>
  <c r="AE106" i="1"/>
  <c r="AF107" i="1"/>
  <c r="AD107" i="1"/>
  <c r="U105" i="1"/>
  <c r="E105" i="1"/>
  <c r="I105" i="1"/>
  <c r="F105" i="1"/>
  <c r="V105" i="1"/>
  <c r="O105" i="1"/>
  <c r="G105" i="1"/>
  <c r="K105" i="1"/>
  <c r="B105" i="1"/>
  <c r="R105" i="1"/>
  <c r="AA105" i="1"/>
  <c r="H105" i="1"/>
  <c r="S105" i="1"/>
  <c r="Y105" i="1"/>
  <c r="X105" i="1"/>
  <c r="A105" i="1"/>
  <c r="W105" i="1"/>
  <c r="AB105" i="1"/>
  <c r="C105" i="1"/>
  <c r="Z105" i="1"/>
  <c r="L105" i="1"/>
  <c r="N105" i="1"/>
  <c r="AK106" i="1" l="1"/>
  <c r="AI106" i="1"/>
  <c r="AF106" i="1"/>
  <c r="AD106" i="1"/>
  <c r="M105" i="1"/>
  <c r="T105" i="1"/>
  <c r="AG105" i="1"/>
  <c r="AC105" i="1"/>
  <c r="AJ105" i="1"/>
  <c r="AH105" i="1"/>
  <c r="U104" i="1" l="1"/>
  <c r="E104" i="1"/>
  <c r="R104" i="1"/>
  <c r="H104" i="1"/>
  <c r="I104" i="1"/>
  <c r="AB104" i="1"/>
  <c r="G104" i="1"/>
  <c r="W104" i="1"/>
  <c r="S104" i="1"/>
  <c r="X104" i="1"/>
  <c r="Z104" i="1"/>
  <c r="A104" i="1"/>
  <c r="O104" i="1"/>
  <c r="N104" i="1"/>
  <c r="F104" i="1"/>
  <c r="AA104" i="1"/>
  <c r="B104" i="1"/>
  <c r="Y104" i="1"/>
  <c r="K104" i="1"/>
  <c r="L104" i="1"/>
  <c r="C104" i="1"/>
  <c r="V104" i="1"/>
  <c r="AE105" i="1" l="1"/>
  <c r="AF105" i="1" s="1"/>
  <c r="AK105" i="1"/>
  <c r="AI105" i="1"/>
  <c r="AD105" i="1"/>
  <c r="M104" i="1"/>
  <c r="T104" i="1"/>
  <c r="AG104" i="1"/>
  <c r="AC104" i="1"/>
  <c r="AJ104" i="1"/>
  <c r="AH104" i="1"/>
  <c r="U103" i="1" l="1"/>
  <c r="E103" i="1"/>
  <c r="O103" i="1"/>
  <c r="L103" i="1"/>
  <c r="AA103" i="1"/>
  <c r="K103" i="1"/>
  <c r="Y103" i="1"/>
  <c r="Z103" i="1"/>
  <c r="B103" i="1"/>
  <c r="W103" i="1"/>
  <c r="A103" i="1"/>
  <c r="N103" i="1"/>
  <c r="R103" i="1"/>
  <c r="V103" i="1"/>
  <c r="I103" i="1"/>
  <c r="C103" i="1"/>
  <c r="H103" i="1"/>
  <c r="X103" i="1"/>
  <c r="S103" i="1"/>
  <c r="F103" i="1"/>
  <c r="AB103" i="1"/>
  <c r="G103" i="1"/>
  <c r="AE104" i="1" l="1"/>
  <c r="AF104" i="1" s="1"/>
  <c r="AK104" i="1"/>
  <c r="AI104" i="1"/>
  <c r="AD104" i="1"/>
  <c r="M103" i="1"/>
  <c r="T103" i="1"/>
  <c r="AC103" i="1"/>
  <c r="AG103" i="1"/>
  <c r="AJ103" i="1"/>
  <c r="AH103" i="1"/>
  <c r="AE103" i="1" l="1"/>
  <c r="U102" i="1"/>
  <c r="E102" i="1"/>
  <c r="S102" i="1"/>
  <c r="F102" i="1"/>
  <c r="B102" i="1"/>
  <c r="Z102" i="1"/>
  <c r="Y102" i="1"/>
  <c r="O102" i="1"/>
  <c r="H102" i="1"/>
  <c r="L102" i="1"/>
  <c r="V102" i="1"/>
  <c r="N102" i="1"/>
  <c r="X102" i="1"/>
  <c r="AA102" i="1"/>
  <c r="C102" i="1"/>
  <c r="I102" i="1"/>
  <c r="AB102" i="1"/>
  <c r="G102" i="1"/>
  <c r="K102" i="1"/>
  <c r="W102" i="1"/>
  <c r="A102" i="1"/>
  <c r="R102" i="1"/>
  <c r="AK103" i="1" l="1"/>
  <c r="AI103" i="1"/>
  <c r="AF103" i="1"/>
  <c r="AD103" i="1"/>
  <c r="M102" i="1"/>
  <c r="T102" i="1"/>
  <c r="AC102" i="1"/>
  <c r="AG102" i="1"/>
  <c r="AJ102" i="1"/>
  <c r="AH102" i="1"/>
  <c r="AE102" i="1" l="1"/>
  <c r="U101" i="1"/>
  <c r="E101" i="1"/>
  <c r="L101" i="1"/>
  <c r="S101" i="1"/>
  <c r="N101" i="1"/>
  <c r="AA101" i="1"/>
  <c r="W101" i="1"/>
  <c r="O101" i="1"/>
  <c r="Z101" i="1"/>
  <c r="V101" i="1"/>
  <c r="I101" i="1"/>
  <c r="H101" i="1"/>
  <c r="K101" i="1"/>
  <c r="AB101" i="1"/>
  <c r="C101" i="1"/>
  <c r="X101" i="1"/>
  <c r="Y101" i="1"/>
  <c r="G101" i="1"/>
  <c r="F101" i="1"/>
  <c r="B101" i="1"/>
  <c r="A101" i="1"/>
  <c r="R101" i="1"/>
  <c r="AK102" i="1" l="1"/>
  <c r="AI102" i="1"/>
  <c r="AF102" i="1"/>
  <c r="AD102" i="1"/>
  <c r="M101" i="1"/>
  <c r="T101" i="1"/>
  <c r="AG101" i="1"/>
  <c r="AC101" i="1"/>
  <c r="AJ101" i="1"/>
  <c r="AH101" i="1"/>
  <c r="AE101" i="1" l="1"/>
  <c r="U100" i="1"/>
  <c r="E100" i="1"/>
  <c r="L100" i="1"/>
  <c r="O100" i="1"/>
  <c r="Z100" i="1"/>
  <c r="S100" i="1"/>
  <c r="V100" i="1"/>
  <c r="K100" i="1"/>
  <c r="H100" i="1"/>
  <c r="F100" i="1"/>
  <c r="X100" i="1"/>
  <c r="Y100" i="1"/>
  <c r="G100" i="1"/>
  <c r="R100" i="1"/>
  <c r="C100" i="1"/>
  <c r="AB100" i="1"/>
  <c r="W100" i="1"/>
  <c r="I100" i="1"/>
  <c r="A100" i="1"/>
  <c r="N100" i="1"/>
  <c r="B100" i="1"/>
  <c r="AA100" i="1"/>
  <c r="AK101" i="1" l="1"/>
  <c r="AI101" i="1"/>
  <c r="AF101" i="1"/>
  <c r="AD101" i="1"/>
  <c r="M100" i="1"/>
  <c r="T100" i="1"/>
  <c r="AC100" i="1"/>
  <c r="AG100" i="1"/>
  <c r="AJ100" i="1"/>
  <c r="AH100" i="1"/>
  <c r="AE100" i="1" l="1"/>
  <c r="AK100" i="1" l="1"/>
  <c r="AI100" i="1"/>
  <c r="AF100" i="1"/>
  <c r="AD100" i="1"/>
  <c r="U99" i="1"/>
  <c r="E99" i="1" l="1"/>
  <c r="A99" i="1"/>
  <c r="C99" i="1"/>
  <c r="W99" i="1"/>
  <c r="S99" i="1"/>
  <c r="H99" i="1"/>
  <c r="B99" i="1"/>
  <c r="Z99" i="1"/>
  <c r="O99" i="1"/>
  <c r="L99" i="1"/>
  <c r="V99" i="1"/>
  <c r="X99" i="1"/>
  <c r="F99" i="1"/>
  <c r="AA99" i="1"/>
  <c r="G99" i="1"/>
  <c r="K99" i="1"/>
  <c r="Y99" i="1"/>
  <c r="I99" i="1"/>
  <c r="N99" i="1"/>
  <c r="R99" i="1"/>
  <c r="AB99" i="1"/>
  <c r="U98" i="1" l="1"/>
  <c r="E98" i="1"/>
  <c r="H98" i="1"/>
  <c r="F98" i="1"/>
  <c r="AB98" i="1"/>
  <c r="I98" i="1"/>
  <c r="G98" i="1"/>
  <c r="L98" i="1"/>
  <c r="N98" i="1"/>
  <c r="X98" i="1"/>
  <c r="W98" i="1"/>
  <c r="B98" i="1"/>
  <c r="A98" i="1"/>
  <c r="V98" i="1"/>
  <c r="K98" i="1"/>
  <c r="C98" i="1"/>
  <c r="Z98" i="1"/>
  <c r="R98" i="1"/>
  <c r="O98" i="1"/>
  <c r="T99" i="1"/>
  <c r="Y98" i="1"/>
  <c r="AA98" i="1"/>
  <c r="S98" i="1"/>
  <c r="AC99" i="1"/>
  <c r="AG99" i="1"/>
  <c r="AJ99" i="1"/>
  <c r="AH99" i="1"/>
  <c r="AE99" i="1" l="1"/>
  <c r="M98" i="1"/>
  <c r="T98" i="1"/>
  <c r="AG98" i="1"/>
  <c r="AC98" i="1"/>
  <c r="AJ98" i="1"/>
  <c r="AH98" i="1"/>
  <c r="AK99" i="1" l="1"/>
  <c r="AI99" i="1"/>
  <c r="AE98" i="1"/>
  <c r="AF99" i="1"/>
  <c r="AD99" i="1"/>
  <c r="U97" i="1"/>
  <c r="E97" i="1"/>
  <c r="B97" i="1"/>
  <c r="K97" i="1"/>
  <c r="I97" i="1"/>
  <c r="S97" i="1"/>
  <c r="AA97" i="1"/>
  <c r="Y97" i="1"/>
  <c r="G97" i="1"/>
  <c r="C97" i="1"/>
  <c r="AB97" i="1"/>
  <c r="N97" i="1"/>
  <c r="X97" i="1"/>
  <c r="H97" i="1"/>
  <c r="W97" i="1"/>
  <c r="O97" i="1"/>
  <c r="F97" i="1"/>
  <c r="V97" i="1"/>
  <c r="Z97" i="1"/>
  <c r="A97" i="1"/>
  <c r="L97" i="1"/>
  <c r="R97" i="1"/>
  <c r="AK98" i="1" l="1"/>
  <c r="AI98" i="1"/>
  <c r="AF98" i="1"/>
  <c r="AD98" i="1"/>
  <c r="M97" i="1"/>
  <c r="T97" i="1"/>
  <c r="AG97" i="1"/>
  <c r="AC97" i="1"/>
  <c r="AJ97" i="1"/>
  <c r="AH97" i="1"/>
  <c r="AE97" i="1" l="1"/>
  <c r="U96" i="1"/>
  <c r="E96" i="1"/>
  <c r="R96" i="1"/>
  <c r="F96" i="1"/>
  <c r="AB96" i="1"/>
  <c r="G96" i="1"/>
  <c r="A96" i="1"/>
  <c r="Z96" i="1"/>
  <c r="N96" i="1"/>
  <c r="L96" i="1"/>
  <c r="C96" i="1"/>
  <c r="O96" i="1"/>
  <c r="S96" i="1"/>
  <c r="B96" i="1"/>
  <c r="W96" i="1"/>
  <c r="V96" i="1"/>
  <c r="AA96" i="1"/>
  <c r="H96" i="1"/>
  <c r="X96" i="1"/>
  <c r="K96" i="1"/>
  <c r="Y96" i="1"/>
  <c r="I96" i="1"/>
  <c r="AK97" i="1" l="1"/>
  <c r="AI97" i="1"/>
  <c r="AF97" i="1"/>
  <c r="AD97" i="1"/>
  <c r="M96" i="1"/>
  <c r="T96" i="1"/>
  <c r="AG96" i="1"/>
  <c r="AC96" i="1"/>
  <c r="AJ96" i="1"/>
  <c r="AH96" i="1"/>
  <c r="AE96" i="1" l="1"/>
  <c r="U95" i="1"/>
  <c r="E95" i="1"/>
  <c r="H95" i="1"/>
  <c r="V95" i="1"/>
  <c r="W95" i="1"/>
  <c r="N95" i="1"/>
  <c r="A95" i="1"/>
  <c r="Z95" i="1"/>
  <c r="I95" i="1"/>
  <c r="F95" i="1"/>
  <c r="Y95" i="1"/>
  <c r="AA95" i="1"/>
  <c r="S95" i="1"/>
  <c r="O95" i="1"/>
  <c r="AB95" i="1"/>
  <c r="K95" i="1"/>
  <c r="G95" i="1"/>
  <c r="B95" i="1"/>
  <c r="R95" i="1"/>
  <c r="C95" i="1"/>
  <c r="L95" i="1"/>
  <c r="X95" i="1"/>
  <c r="AK96" i="1" l="1"/>
  <c r="AI96" i="1"/>
  <c r="AF96" i="1"/>
  <c r="AD96" i="1"/>
  <c r="M95" i="1"/>
  <c r="T95" i="1"/>
  <c r="AG95" i="1"/>
  <c r="AC95" i="1"/>
  <c r="AJ95" i="1"/>
  <c r="AH95" i="1"/>
  <c r="AE95" i="1" l="1"/>
  <c r="U94" i="1"/>
  <c r="E94" i="1"/>
  <c r="S94" i="1"/>
  <c r="X94" i="1"/>
  <c r="G94" i="1"/>
  <c r="L94" i="1"/>
  <c r="K94" i="1"/>
  <c r="Y94" i="1"/>
  <c r="H94" i="1"/>
  <c r="O94" i="1"/>
  <c r="R94" i="1"/>
  <c r="I94" i="1"/>
  <c r="Z94" i="1"/>
  <c r="N94" i="1"/>
  <c r="B94" i="1"/>
  <c r="A94" i="1"/>
  <c r="F94" i="1"/>
  <c r="V94" i="1"/>
  <c r="C94" i="1"/>
  <c r="AA94" i="1"/>
  <c r="AB94" i="1"/>
  <c r="W94" i="1"/>
  <c r="AK95" i="1" l="1"/>
  <c r="AI95" i="1"/>
  <c r="AF95" i="1"/>
  <c r="AD95" i="1"/>
  <c r="M94" i="1"/>
  <c r="T94" i="1"/>
  <c r="AG94" i="1"/>
  <c r="AC94" i="1"/>
  <c r="AJ94" i="1"/>
  <c r="AH94" i="1"/>
  <c r="AE94" i="1" l="1"/>
  <c r="U93" i="1"/>
  <c r="E93" i="1"/>
  <c r="N93" i="1"/>
  <c r="V93" i="1"/>
  <c r="C93" i="1"/>
  <c r="G93" i="1"/>
  <c r="Y93" i="1"/>
  <c r="AA93" i="1"/>
  <c r="W93" i="1"/>
  <c r="I93" i="1"/>
  <c r="AB93" i="1"/>
  <c r="A93" i="1"/>
  <c r="S93" i="1"/>
  <c r="F93" i="1"/>
  <c r="H93" i="1"/>
  <c r="K93" i="1"/>
  <c r="B93" i="1"/>
  <c r="L93" i="1"/>
  <c r="X93" i="1"/>
  <c r="O93" i="1"/>
  <c r="R93" i="1"/>
  <c r="Z93" i="1"/>
  <c r="AK94" i="1" l="1"/>
  <c r="AI94" i="1"/>
  <c r="AF94" i="1"/>
  <c r="AD94" i="1"/>
  <c r="M93" i="1"/>
  <c r="T93" i="1"/>
  <c r="AG93" i="1"/>
  <c r="AC93" i="1"/>
  <c r="AJ93" i="1"/>
  <c r="AH93" i="1"/>
  <c r="AE93" i="1" l="1"/>
  <c r="U92" i="1"/>
  <c r="E92" i="1"/>
  <c r="G92" i="1"/>
  <c r="L92" i="1"/>
  <c r="AA92" i="1"/>
  <c r="K92" i="1"/>
  <c r="C92" i="1"/>
  <c r="A92" i="1"/>
  <c r="Y92" i="1"/>
  <c r="B92" i="1"/>
  <c r="S92" i="1"/>
  <c r="Z92" i="1"/>
  <c r="F92" i="1"/>
  <c r="V92" i="1"/>
  <c r="I92" i="1"/>
  <c r="AB92" i="1"/>
  <c r="W92" i="1"/>
  <c r="H92" i="1"/>
  <c r="N92" i="1"/>
  <c r="X92" i="1"/>
  <c r="O92" i="1"/>
  <c r="R92" i="1"/>
  <c r="AK93" i="1" l="1"/>
  <c r="AI93" i="1"/>
  <c r="AF93" i="1"/>
  <c r="AD93" i="1"/>
  <c r="M92" i="1"/>
  <c r="T92" i="1"/>
  <c r="AG92" i="1"/>
  <c r="AC92" i="1"/>
  <c r="AJ92" i="1"/>
  <c r="AH92" i="1"/>
  <c r="U91" i="1" l="1"/>
  <c r="E91" i="1"/>
  <c r="F91" i="1"/>
  <c r="L91" i="1"/>
  <c r="Y91" i="1"/>
  <c r="H91" i="1"/>
  <c r="I91" i="1"/>
  <c r="AB91" i="1"/>
  <c r="B91" i="1"/>
  <c r="X91" i="1"/>
  <c r="S91" i="1"/>
  <c r="N91" i="1"/>
  <c r="K91" i="1"/>
  <c r="W91" i="1"/>
  <c r="G91" i="1"/>
  <c r="C91" i="1"/>
  <c r="V91" i="1"/>
  <c r="O91" i="1"/>
  <c r="A91" i="1"/>
  <c r="R91" i="1"/>
  <c r="Z91" i="1"/>
  <c r="AA91" i="1"/>
  <c r="AE92" i="1" l="1"/>
  <c r="AF92" i="1" s="1"/>
  <c r="AI92" i="1"/>
  <c r="AD92" i="1"/>
  <c r="M91" i="1"/>
  <c r="T91" i="1"/>
  <c r="AC91" i="1"/>
  <c r="AG91" i="1"/>
  <c r="AJ91" i="1"/>
  <c r="AH91" i="1"/>
  <c r="AK92" i="1" l="1"/>
  <c r="AE91" i="1"/>
  <c r="U90" i="1"/>
  <c r="E90" i="1"/>
  <c r="I90" i="1"/>
  <c r="X90" i="1"/>
  <c r="O90" i="1"/>
  <c r="S90" i="1"/>
  <c r="G90" i="1"/>
  <c r="N90" i="1"/>
  <c r="Y90" i="1"/>
  <c r="K90" i="1"/>
  <c r="AB90" i="1"/>
  <c r="L90" i="1"/>
  <c r="A90" i="1"/>
  <c r="Z90" i="1"/>
  <c r="B90" i="1"/>
  <c r="F90" i="1"/>
  <c r="V90" i="1"/>
  <c r="C90" i="1"/>
  <c r="R90" i="1"/>
  <c r="AA90" i="1"/>
  <c r="W90" i="1"/>
  <c r="H90" i="1"/>
  <c r="AK91" i="1" l="1"/>
  <c r="AI91" i="1"/>
  <c r="AF91" i="1"/>
  <c r="AD91" i="1"/>
  <c r="M90" i="1"/>
  <c r="T90" i="1"/>
  <c r="AG90" i="1"/>
  <c r="AC90" i="1"/>
  <c r="AJ90" i="1"/>
  <c r="AH90" i="1"/>
  <c r="AE90" i="1" l="1"/>
  <c r="U89" i="1"/>
  <c r="E89" i="1"/>
  <c r="W89" i="1"/>
  <c r="Z89" i="1"/>
  <c r="L89" i="1"/>
  <c r="B89" i="1"/>
  <c r="AB89" i="1"/>
  <c r="R89" i="1"/>
  <c r="V89" i="1"/>
  <c r="A89" i="1"/>
  <c r="F89" i="1"/>
  <c r="X89" i="1"/>
  <c r="I89" i="1"/>
  <c r="G89" i="1"/>
  <c r="H89" i="1"/>
  <c r="S89" i="1"/>
  <c r="N89" i="1"/>
  <c r="O89" i="1"/>
  <c r="K89" i="1"/>
  <c r="AA89" i="1"/>
  <c r="Y89" i="1"/>
  <c r="C89" i="1"/>
  <c r="AK90" i="1" l="1"/>
  <c r="AI90" i="1"/>
  <c r="AF90" i="1"/>
  <c r="AD90" i="1"/>
  <c r="M89" i="1"/>
  <c r="T89" i="1"/>
  <c r="AG89" i="1"/>
  <c r="AC89" i="1"/>
  <c r="AJ89" i="1"/>
  <c r="AH89" i="1"/>
  <c r="AE89" i="1" l="1"/>
  <c r="U88" i="1"/>
  <c r="E88" i="1"/>
  <c r="Y88" i="1"/>
  <c r="L88" i="1"/>
  <c r="N88" i="1"/>
  <c r="C88" i="1"/>
  <c r="O88" i="1"/>
  <c r="A88" i="1"/>
  <c r="V88" i="1"/>
  <c r="S88" i="1"/>
  <c r="G88" i="1"/>
  <c r="AB88" i="1"/>
  <c r="I88" i="1"/>
  <c r="X88" i="1"/>
  <c r="AA88" i="1"/>
  <c r="F88" i="1"/>
  <c r="H88" i="1"/>
  <c r="W88" i="1"/>
  <c r="R88" i="1"/>
  <c r="B88" i="1"/>
  <c r="Z88" i="1"/>
  <c r="K88" i="1"/>
  <c r="AK89" i="1" l="1"/>
  <c r="AI89" i="1"/>
  <c r="AF89" i="1"/>
  <c r="AD89" i="1"/>
  <c r="M88" i="1"/>
  <c r="T88" i="1"/>
  <c r="AG88" i="1"/>
  <c r="AC88" i="1"/>
  <c r="AJ88" i="1"/>
  <c r="AH88" i="1"/>
  <c r="U87" i="1" l="1"/>
  <c r="E87" i="1"/>
  <c r="S87" i="1"/>
  <c r="AB87" i="1"/>
  <c r="C87" i="1"/>
  <c r="V87" i="1"/>
  <c r="H87" i="1"/>
  <c r="I87" i="1"/>
  <c r="Z87" i="1"/>
  <c r="F87" i="1"/>
  <c r="B87" i="1"/>
  <c r="X87" i="1"/>
  <c r="W87" i="1"/>
  <c r="K87" i="1"/>
  <c r="R87" i="1"/>
  <c r="A87" i="1"/>
  <c r="G87" i="1"/>
  <c r="Y87" i="1"/>
  <c r="AA87" i="1"/>
  <c r="L87" i="1"/>
  <c r="N87" i="1"/>
  <c r="O87" i="1"/>
  <c r="AE88" i="1" l="1"/>
  <c r="AF88" i="1" s="1"/>
  <c r="AI88" i="1"/>
  <c r="AD88" i="1"/>
  <c r="M87" i="1"/>
  <c r="T87" i="1"/>
  <c r="AG87" i="1"/>
  <c r="AC87" i="1"/>
  <c r="AJ87" i="1"/>
  <c r="AH87" i="1"/>
  <c r="AK88" i="1" l="1"/>
  <c r="U86" i="1"/>
  <c r="E86" i="1"/>
  <c r="N86" i="1"/>
  <c r="G86" i="1"/>
  <c r="AB86" i="1"/>
  <c r="B86" i="1"/>
  <c r="R86" i="1"/>
  <c r="W86" i="1"/>
  <c r="K86" i="1"/>
  <c r="S86" i="1"/>
  <c r="C86" i="1"/>
  <c r="O86" i="1"/>
  <c r="V86" i="1"/>
  <c r="X86" i="1"/>
  <c r="AA86" i="1"/>
  <c r="L86" i="1"/>
  <c r="F86" i="1"/>
  <c r="H86" i="1"/>
  <c r="Z86" i="1"/>
  <c r="A86" i="1"/>
  <c r="Y86" i="1"/>
  <c r="I86" i="1"/>
  <c r="AE87" i="1" l="1"/>
  <c r="AF87" i="1" s="1"/>
  <c r="AK87" i="1"/>
  <c r="AI87" i="1"/>
  <c r="AD87" i="1"/>
  <c r="M86" i="1"/>
  <c r="T86" i="1"/>
  <c r="AG86" i="1"/>
  <c r="AC86" i="1"/>
  <c r="AJ86" i="1"/>
  <c r="AH86" i="1"/>
  <c r="AE86" i="1" l="1"/>
  <c r="U85" i="1"/>
  <c r="E85" i="1"/>
  <c r="N85" i="1"/>
  <c r="AA85" i="1"/>
  <c r="O85" i="1"/>
  <c r="A85" i="1"/>
  <c r="AB85" i="1"/>
  <c r="H85" i="1"/>
  <c r="Z85" i="1"/>
  <c r="K85" i="1"/>
  <c r="W85" i="1"/>
  <c r="G85" i="1"/>
  <c r="S85" i="1"/>
  <c r="R85" i="1"/>
  <c r="C85" i="1"/>
  <c r="I85" i="1"/>
  <c r="F85" i="1"/>
  <c r="B85" i="1"/>
  <c r="V85" i="1"/>
  <c r="L85" i="1"/>
  <c r="X85" i="1"/>
  <c r="Y85" i="1"/>
  <c r="AK86" i="1" l="1"/>
  <c r="AI86" i="1"/>
  <c r="AF86" i="1"/>
  <c r="AD86" i="1"/>
  <c r="M85" i="1"/>
  <c r="T85" i="1"/>
  <c r="AC85" i="1"/>
  <c r="AG85" i="1"/>
  <c r="AJ85" i="1"/>
  <c r="AH85" i="1"/>
  <c r="AE85" i="1" l="1"/>
  <c r="U84" i="1"/>
  <c r="E84" i="1"/>
  <c r="K84" i="1"/>
  <c r="L84" i="1"/>
  <c r="B84" i="1"/>
  <c r="Y84" i="1"/>
  <c r="S84" i="1"/>
  <c r="A84" i="1"/>
  <c r="C84" i="1"/>
  <c r="F84" i="1"/>
  <c r="I84" i="1"/>
  <c r="H84" i="1"/>
  <c r="V84" i="1"/>
  <c r="Z84" i="1"/>
  <c r="X84" i="1"/>
  <c r="AB84" i="1"/>
  <c r="R84" i="1"/>
  <c r="W84" i="1"/>
  <c r="O84" i="1"/>
  <c r="N84" i="1"/>
  <c r="AA84" i="1"/>
  <c r="G84" i="1"/>
  <c r="AK85" i="1" l="1"/>
  <c r="AI85" i="1"/>
  <c r="AF85" i="1"/>
  <c r="AD85" i="1"/>
  <c r="M84" i="1"/>
  <c r="T84" i="1"/>
  <c r="AG84" i="1"/>
  <c r="AC84" i="1"/>
  <c r="AJ84" i="1"/>
  <c r="AH84" i="1"/>
  <c r="U83" i="1" l="1"/>
  <c r="E83" i="1"/>
  <c r="V83" i="1"/>
  <c r="Y83" i="1"/>
  <c r="AB83" i="1"/>
  <c r="B83" i="1"/>
  <c r="S83" i="1"/>
  <c r="L83" i="1"/>
  <c r="G83" i="1"/>
  <c r="H83" i="1"/>
  <c r="I83" i="1"/>
  <c r="O83" i="1"/>
  <c r="K83" i="1"/>
  <c r="C83" i="1"/>
  <c r="A83" i="1"/>
  <c r="W83" i="1"/>
  <c r="X83" i="1"/>
  <c r="AA83" i="1"/>
  <c r="F83" i="1"/>
  <c r="Z83" i="1"/>
  <c r="N83" i="1"/>
  <c r="R83" i="1"/>
  <c r="AE84" i="1" l="1"/>
  <c r="AF84" i="1" s="1"/>
  <c r="AK84" i="1"/>
  <c r="AI84" i="1"/>
  <c r="AD84" i="1"/>
  <c r="M83" i="1"/>
  <c r="T83" i="1"/>
  <c r="AG83" i="1"/>
  <c r="AC83" i="1"/>
  <c r="AJ83" i="1"/>
  <c r="AH83" i="1"/>
  <c r="AE83" i="1" l="1"/>
  <c r="U82" i="1"/>
  <c r="E82" i="1"/>
  <c r="N82" i="1"/>
  <c r="H82" i="1"/>
  <c r="S82" i="1"/>
  <c r="L82" i="1"/>
  <c r="Z82" i="1"/>
  <c r="V82" i="1"/>
  <c r="AB82" i="1"/>
  <c r="B82" i="1"/>
  <c r="F82" i="1"/>
  <c r="I82" i="1"/>
  <c r="G82" i="1"/>
  <c r="C82" i="1"/>
  <c r="W82" i="1"/>
  <c r="X82" i="1"/>
  <c r="O82" i="1"/>
  <c r="Y82" i="1"/>
  <c r="R82" i="1"/>
  <c r="A82" i="1"/>
  <c r="AA82" i="1"/>
  <c r="K82" i="1"/>
  <c r="AK83" i="1" l="1"/>
  <c r="AI83" i="1"/>
  <c r="AF83" i="1"/>
  <c r="AD83" i="1"/>
  <c r="M82" i="1"/>
  <c r="T82" i="1"/>
  <c r="AC82" i="1"/>
  <c r="AG82" i="1"/>
  <c r="AJ82" i="1"/>
  <c r="AH82" i="1"/>
  <c r="AE82" i="1" l="1"/>
  <c r="U81" i="1"/>
  <c r="E81" i="1"/>
  <c r="C81" i="1"/>
  <c r="S81" i="1"/>
  <c r="V81" i="1"/>
  <c r="W81" i="1"/>
  <c r="I81" i="1"/>
  <c r="A81" i="1"/>
  <c r="R81" i="1"/>
  <c r="AA81" i="1"/>
  <c r="H81" i="1"/>
  <c r="Z81" i="1"/>
  <c r="X81" i="1"/>
  <c r="N81" i="1"/>
  <c r="B81" i="1"/>
  <c r="F81" i="1"/>
  <c r="K81" i="1"/>
  <c r="L81" i="1"/>
  <c r="AB81" i="1"/>
  <c r="G81" i="1"/>
  <c r="Y81" i="1"/>
  <c r="O81" i="1"/>
  <c r="AK82" i="1" l="1"/>
  <c r="AI82" i="1"/>
  <c r="AF82" i="1"/>
  <c r="AD82" i="1"/>
  <c r="M81" i="1"/>
  <c r="T81" i="1"/>
  <c r="AG81" i="1"/>
  <c r="AC81" i="1"/>
  <c r="AJ81" i="1"/>
  <c r="AH81" i="1"/>
  <c r="U80" i="1" l="1"/>
  <c r="E80" i="1"/>
  <c r="R80" i="1"/>
  <c r="I80" i="1"/>
  <c r="AA80" i="1"/>
  <c r="O80" i="1"/>
  <c r="AB80" i="1"/>
  <c r="Y80" i="1"/>
  <c r="A80" i="1"/>
  <c r="X80" i="1"/>
  <c r="S80" i="1"/>
  <c r="L80" i="1"/>
  <c r="G80" i="1"/>
  <c r="Z80" i="1"/>
  <c r="K80" i="1"/>
  <c r="V80" i="1"/>
  <c r="W80" i="1"/>
  <c r="N80" i="1"/>
  <c r="H80" i="1"/>
  <c r="C80" i="1"/>
  <c r="F80" i="1"/>
  <c r="B80" i="1"/>
  <c r="AE81" i="1" l="1"/>
  <c r="AF81" i="1" s="1"/>
  <c r="AI81" i="1"/>
  <c r="AD81" i="1"/>
  <c r="M80" i="1"/>
  <c r="T80" i="1"/>
  <c r="AG80" i="1"/>
  <c r="AC80" i="1"/>
  <c r="AJ80" i="1"/>
  <c r="AH80" i="1"/>
  <c r="AK81" i="1" l="1"/>
  <c r="AE80" i="1"/>
  <c r="U79" i="1"/>
  <c r="E79" i="1"/>
  <c r="X79" i="1"/>
  <c r="S79" i="1"/>
  <c r="W79" i="1"/>
  <c r="Y79" i="1"/>
  <c r="K79" i="1"/>
  <c r="AA79" i="1"/>
  <c r="F79" i="1"/>
  <c r="Z79" i="1"/>
  <c r="L79" i="1"/>
  <c r="N79" i="1"/>
  <c r="B79" i="1"/>
  <c r="V79" i="1"/>
  <c r="A79" i="1"/>
  <c r="H79" i="1"/>
  <c r="AB79" i="1"/>
  <c r="C79" i="1"/>
  <c r="I79" i="1"/>
  <c r="R79" i="1"/>
  <c r="O79" i="1"/>
  <c r="G79" i="1"/>
  <c r="AK80" i="1" l="1"/>
  <c r="AI80" i="1"/>
  <c r="AF80" i="1"/>
  <c r="AD80" i="1"/>
  <c r="M79" i="1"/>
  <c r="T79" i="1"/>
  <c r="AC79" i="1"/>
  <c r="AG79" i="1"/>
  <c r="AJ79" i="1"/>
  <c r="AH79" i="1"/>
  <c r="AE79" i="1" l="1"/>
  <c r="U78" i="1"/>
  <c r="E78" i="1"/>
  <c r="G78" i="1"/>
  <c r="Z78" i="1"/>
  <c r="AB78" i="1"/>
  <c r="K78" i="1"/>
  <c r="V78" i="1"/>
  <c r="I78" i="1"/>
  <c r="O78" i="1"/>
  <c r="X78" i="1"/>
  <c r="A78" i="1"/>
  <c r="C78" i="1"/>
  <c r="W78" i="1"/>
  <c r="S78" i="1"/>
  <c r="AA78" i="1"/>
  <c r="F78" i="1"/>
  <c r="N78" i="1"/>
  <c r="R78" i="1"/>
  <c r="L78" i="1"/>
  <c r="Y78" i="1"/>
  <c r="H78" i="1"/>
  <c r="B78" i="1"/>
  <c r="AK79" i="1" l="1"/>
  <c r="AI79" i="1"/>
  <c r="AF79" i="1"/>
  <c r="AD79" i="1"/>
  <c r="M78" i="1"/>
  <c r="T78" i="1"/>
  <c r="AC78" i="1"/>
  <c r="AG78" i="1"/>
  <c r="AJ78" i="1"/>
  <c r="AH78" i="1"/>
  <c r="AE78" i="1" l="1"/>
  <c r="U77" i="1"/>
  <c r="E77" i="1"/>
  <c r="X77" i="1"/>
  <c r="R77" i="1"/>
  <c r="G77" i="1"/>
  <c r="B77" i="1"/>
  <c r="W77" i="1"/>
  <c r="A77" i="1"/>
  <c r="O77" i="1"/>
  <c r="AB77" i="1"/>
  <c r="N77" i="1"/>
  <c r="L77" i="1"/>
  <c r="F77" i="1"/>
  <c r="C77" i="1"/>
  <c r="H77" i="1"/>
  <c r="S77" i="1"/>
  <c r="V77" i="1"/>
  <c r="Z77" i="1"/>
  <c r="Y77" i="1"/>
  <c r="AA77" i="1"/>
  <c r="K77" i="1"/>
  <c r="I77" i="1"/>
  <c r="AK78" i="1" l="1"/>
  <c r="AI78" i="1"/>
  <c r="AF78" i="1"/>
  <c r="AD78" i="1"/>
  <c r="M77" i="1"/>
  <c r="T77" i="1"/>
  <c r="AG77" i="1"/>
  <c r="AC77" i="1"/>
  <c r="AJ77" i="1"/>
  <c r="AH77" i="1"/>
  <c r="U76" i="1" l="1"/>
  <c r="E76" i="1"/>
  <c r="L76" i="1"/>
  <c r="AB76" i="1"/>
  <c r="G76" i="1"/>
  <c r="AA76" i="1"/>
  <c r="Z76" i="1"/>
  <c r="V76" i="1"/>
  <c r="A76" i="1"/>
  <c r="H76" i="1"/>
  <c r="C76" i="1"/>
  <c r="O76" i="1"/>
  <c r="N76" i="1"/>
  <c r="X76" i="1"/>
  <c r="K76" i="1"/>
  <c r="I76" i="1"/>
  <c r="S76" i="1"/>
  <c r="F76" i="1"/>
  <c r="W76" i="1"/>
  <c r="Y76" i="1"/>
  <c r="B76" i="1"/>
  <c r="R76" i="1"/>
  <c r="AE77" i="1" l="1"/>
  <c r="AF77" i="1" s="1"/>
  <c r="AK77" i="1"/>
  <c r="AI77" i="1"/>
  <c r="AD77" i="1"/>
  <c r="M76" i="1"/>
  <c r="T76" i="1"/>
  <c r="AG76" i="1"/>
  <c r="AC76" i="1"/>
  <c r="AJ76" i="1"/>
  <c r="AH76" i="1"/>
  <c r="U75" i="1" l="1"/>
  <c r="E75" i="1"/>
  <c r="V75" i="1"/>
  <c r="S75" i="1"/>
  <c r="R75" i="1"/>
  <c r="H75" i="1"/>
  <c r="K75" i="1"/>
  <c r="AA75" i="1"/>
  <c r="B75" i="1"/>
  <c r="N75" i="1"/>
  <c r="I75" i="1"/>
  <c r="Z75" i="1"/>
  <c r="O75" i="1"/>
  <c r="AB75" i="1"/>
  <c r="A75" i="1"/>
  <c r="C75" i="1"/>
  <c r="F75" i="1"/>
  <c r="X75" i="1"/>
  <c r="W75" i="1"/>
  <c r="Y75" i="1"/>
  <c r="G75" i="1"/>
  <c r="L75" i="1"/>
  <c r="AE76" i="1" l="1"/>
  <c r="AF76" i="1" s="1"/>
  <c r="AK76" i="1"/>
  <c r="AI76" i="1"/>
  <c r="AD76" i="1"/>
  <c r="M75" i="1"/>
  <c r="T75" i="1"/>
  <c r="AC75" i="1"/>
  <c r="AG75" i="1"/>
  <c r="AJ75" i="1"/>
  <c r="AH75" i="1"/>
  <c r="AE75" i="1" l="1"/>
  <c r="AF75" i="1" s="1"/>
  <c r="AD75" i="1"/>
  <c r="U74" i="1"/>
  <c r="E74" i="1"/>
  <c r="W74" i="1"/>
  <c r="F74" i="1"/>
  <c r="X74" i="1"/>
  <c r="G74" i="1"/>
  <c r="R74" i="1"/>
  <c r="L74" i="1"/>
  <c r="S74" i="1"/>
  <c r="N74" i="1"/>
  <c r="AB74" i="1"/>
  <c r="K74" i="1"/>
  <c r="H74" i="1"/>
  <c r="A74" i="1"/>
  <c r="Y74" i="1"/>
  <c r="B74" i="1"/>
  <c r="O74" i="1"/>
  <c r="V74" i="1"/>
  <c r="AA74" i="1"/>
  <c r="I74" i="1"/>
  <c r="C74" i="1"/>
  <c r="Z74" i="1"/>
  <c r="AK75" i="1" l="1"/>
  <c r="AI75" i="1"/>
  <c r="M74" i="1"/>
  <c r="T74" i="1"/>
  <c r="AG74" i="1"/>
  <c r="AC74" i="1"/>
  <c r="AJ74" i="1"/>
  <c r="AH74" i="1"/>
  <c r="AE74" i="1" l="1"/>
  <c r="U73" i="1"/>
  <c r="E73" i="1"/>
  <c r="L73" i="1"/>
  <c r="A73" i="1"/>
  <c r="K73" i="1"/>
  <c r="W73" i="1"/>
  <c r="F73" i="1"/>
  <c r="Z73" i="1"/>
  <c r="B73" i="1"/>
  <c r="G73" i="1"/>
  <c r="AB73" i="1"/>
  <c r="H73" i="1"/>
  <c r="S73" i="1"/>
  <c r="Y73" i="1"/>
  <c r="V73" i="1"/>
  <c r="I73" i="1"/>
  <c r="X73" i="1"/>
  <c r="AA73" i="1"/>
  <c r="O73" i="1"/>
  <c r="C73" i="1"/>
  <c r="N73" i="1"/>
  <c r="R73" i="1"/>
  <c r="AK74" i="1" l="1"/>
  <c r="AI74" i="1"/>
  <c r="AF74" i="1"/>
  <c r="AD74" i="1"/>
  <c r="M73" i="1"/>
  <c r="T73" i="1"/>
  <c r="AG73" i="1"/>
  <c r="AC73" i="1"/>
  <c r="AJ73" i="1"/>
  <c r="AH73" i="1"/>
  <c r="AE73" i="1" l="1"/>
  <c r="U72" i="1"/>
  <c r="E72" i="1"/>
  <c r="B72" i="1"/>
  <c r="K72" i="1"/>
  <c r="Y72" i="1"/>
  <c r="F72" i="1"/>
  <c r="Z72" i="1"/>
  <c r="AB72" i="1"/>
  <c r="W72" i="1"/>
  <c r="V72" i="1"/>
  <c r="G72" i="1"/>
  <c r="O72" i="1"/>
  <c r="S72" i="1"/>
  <c r="L72" i="1"/>
  <c r="A72" i="1"/>
  <c r="C72" i="1"/>
  <c r="R72" i="1"/>
  <c r="X72" i="1"/>
  <c r="H72" i="1"/>
  <c r="N72" i="1"/>
  <c r="I72" i="1"/>
  <c r="AA72" i="1"/>
  <c r="AK73" i="1" l="1"/>
  <c r="AI73" i="1"/>
  <c r="AF73" i="1"/>
  <c r="AD73" i="1"/>
  <c r="M72" i="1"/>
  <c r="T72" i="1"/>
  <c r="AG72" i="1"/>
  <c r="AC72" i="1"/>
  <c r="AJ72" i="1"/>
  <c r="AH72" i="1"/>
  <c r="AE72" i="1" l="1"/>
  <c r="U71" i="1"/>
  <c r="E71" i="1"/>
  <c r="Y71" i="1"/>
  <c r="L71" i="1"/>
  <c r="X71" i="1"/>
  <c r="K71" i="1"/>
  <c r="O71" i="1"/>
  <c r="S71" i="1"/>
  <c r="R71" i="1"/>
  <c r="V71" i="1"/>
  <c r="I71" i="1"/>
  <c r="B71" i="1"/>
  <c r="AA71" i="1"/>
  <c r="H71" i="1"/>
  <c r="N71" i="1"/>
  <c r="Z71" i="1"/>
  <c r="A71" i="1"/>
  <c r="F71" i="1"/>
  <c r="W71" i="1"/>
  <c r="C71" i="1"/>
  <c r="AB71" i="1"/>
  <c r="G71" i="1"/>
  <c r="AK72" i="1" l="1"/>
  <c r="AI72" i="1"/>
  <c r="AF72" i="1"/>
  <c r="AD72" i="1"/>
  <c r="M71" i="1"/>
  <c r="T71" i="1"/>
  <c r="AG71" i="1"/>
  <c r="AC71" i="1"/>
  <c r="AJ71" i="1"/>
  <c r="AH71" i="1"/>
  <c r="U70" i="1" l="1"/>
  <c r="E70" i="1"/>
  <c r="AA70" i="1"/>
  <c r="X70" i="1"/>
  <c r="A70" i="1"/>
  <c r="I70" i="1"/>
  <c r="Y70" i="1"/>
  <c r="N70" i="1"/>
  <c r="AB70" i="1"/>
  <c r="C70" i="1"/>
  <c r="R70" i="1"/>
  <c r="K70" i="1"/>
  <c r="F70" i="1"/>
  <c r="V70" i="1"/>
  <c r="O70" i="1"/>
  <c r="S70" i="1"/>
  <c r="B70" i="1"/>
  <c r="H70" i="1"/>
  <c r="Z70" i="1"/>
  <c r="G70" i="1"/>
  <c r="W70" i="1"/>
  <c r="L70" i="1"/>
  <c r="AE71" i="1" l="1"/>
  <c r="AF71" i="1" s="1"/>
  <c r="AI71" i="1"/>
  <c r="AD71" i="1"/>
  <c r="M70" i="1"/>
  <c r="T70" i="1"/>
  <c r="AC70" i="1"/>
  <c r="AG70" i="1"/>
  <c r="AJ70" i="1"/>
  <c r="AH70" i="1"/>
  <c r="AK71" i="1" l="1"/>
  <c r="AE70" i="1"/>
  <c r="U69" i="1"/>
  <c r="E69" i="1"/>
  <c r="B69" i="1"/>
  <c r="L69" i="1"/>
  <c r="H69" i="1"/>
  <c r="AB69" i="1"/>
  <c r="A69" i="1"/>
  <c r="F69" i="1"/>
  <c r="I69" i="1"/>
  <c r="R69" i="1"/>
  <c r="W69" i="1"/>
  <c r="X69" i="1"/>
  <c r="S69" i="1"/>
  <c r="AA69" i="1"/>
  <c r="V69" i="1"/>
  <c r="O69" i="1"/>
  <c r="Z69" i="1"/>
  <c r="N69" i="1"/>
  <c r="G69" i="1"/>
  <c r="Y69" i="1"/>
  <c r="C69" i="1"/>
  <c r="K69" i="1"/>
  <c r="AK70" i="1" l="1"/>
  <c r="AI70" i="1"/>
  <c r="AF70" i="1"/>
  <c r="AD70" i="1"/>
  <c r="M69" i="1"/>
  <c r="T69" i="1"/>
  <c r="AG69" i="1"/>
  <c r="AC69" i="1"/>
  <c r="AJ69" i="1"/>
  <c r="AH69" i="1"/>
  <c r="AE69" i="1" l="1"/>
  <c r="AK69" i="1" l="1"/>
  <c r="AI69" i="1"/>
  <c r="AF69" i="1"/>
  <c r="AD69" i="1"/>
  <c r="U68" i="1" l="1"/>
  <c r="E68" i="1"/>
  <c r="N68" i="1"/>
  <c r="AB68" i="1"/>
  <c r="W68" i="1"/>
  <c r="B68" i="1"/>
  <c r="X68" i="1"/>
  <c r="K68" i="1"/>
  <c r="R68" i="1"/>
  <c r="A68" i="1"/>
  <c r="H68" i="1"/>
  <c r="AA68" i="1"/>
  <c r="L68" i="1"/>
  <c r="I68" i="1"/>
  <c r="Y68" i="1"/>
  <c r="C68" i="1"/>
  <c r="Z68" i="1"/>
  <c r="O68" i="1"/>
  <c r="S68" i="1"/>
  <c r="V68" i="1"/>
  <c r="G68" i="1"/>
  <c r="F68" i="1"/>
  <c r="M68" i="1" l="1"/>
  <c r="T68" i="1"/>
  <c r="AC68" i="1"/>
  <c r="AG68" i="1"/>
  <c r="AJ68" i="1"/>
  <c r="AH68" i="1"/>
  <c r="AE68" i="1" l="1"/>
  <c r="U67" i="1"/>
  <c r="E67" i="1"/>
  <c r="AA67" i="1"/>
  <c r="S67" i="1"/>
  <c r="N67" i="1"/>
  <c r="F67" i="1"/>
  <c r="A67" i="1"/>
  <c r="K67" i="1"/>
  <c r="C67" i="1"/>
  <c r="Z67" i="1"/>
  <c r="B67" i="1"/>
  <c r="X67" i="1"/>
  <c r="AB67" i="1"/>
  <c r="L67" i="1"/>
  <c r="R67" i="1"/>
  <c r="W67" i="1"/>
  <c r="V67" i="1"/>
  <c r="O67" i="1"/>
  <c r="I67" i="1"/>
  <c r="Y67" i="1"/>
  <c r="H67" i="1"/>
  <c r="G67" i="1"/>
  <c r="AK68" i="1" l="1"/>
  <c r="AI68" i="1"/>
  <c r="AF68" i="1"/>
  <c r="AD68" i="1"/>
  <c r="M67" i="1"/>
  <c r="T67" i="1"/>
  <c r="AG67" i="1"/>
  <c r="AC67" i="1"/>
  <c r="AJ67" i="1"/>
  <c r="AH67" i="1"/>
  <c r="AE67" i="1" l="1"/>
  <c r="U66" i="1"/>
  <c r="E66" i="1"/>
  <c r="AA66" i="1"/>
  <c r="Y66" i="1"/>
  <c r="F66" i="1"/>
  <c r="R66" i="1"/>
  <c r="N66" i="1"/>
  <c r="O66" i="1"/>
  <c r="Z66" i="1"/>
  <c r="K66" i="1"/>
  <c r="G66" i="1"/>
  <c r="W66" i="1"/>
  <c r="H66" i="1"/>
  <c r="L66" i="1"/>
  <c r="V66" i="1"/>
  <c r="AB66" i="1"/>
  <c r="A66" i="1"/>
  <c r="B66" i="1"/>
  <c r="S66" i="1"/>
  <c r="C66" i="1"/>
  <c r="I66" i="1"/>
  <c r="X66" i="1"/>
  <c r="AK67" i="1" l="1"/>
  <c r="AI67" i="1"/>
  <c r="AF67" i="1"/>
  <c r="AD67" i="1"/>
  <c r="M66" i="1"/>
  <c r="T66" i="1"/>
  <c r="AG66" i="1"/>
  <c r="AC66" i="1"/>
  <c r="AJ66" i="1"/>
  <c r="AH66" i="1"/>
  <c r="AE66" i="1" l="1"/>
  <c r="U65" i="1"/>
  <c r="E65" i="1"/>
  <c r="F65" i="1"/>
  <c r="G65" i="1"/>
  <c r="R65" i="1"/>
  <c r="A65" i="1"/>
  <c r="AB65" i="1"/>
  <c r="AA65" i="1"/>
  <c r="L65" i="1"/>
  <c r="O65" i="1"/>
  <c r="B65" i="1"/>
  <c r="C65" i="1"/>
  <c r="N65" i="1"/>
  <c r="K65" i="1"/>
  <c r="V65" i="1"/>
  <c r="I65" i="1"/>
  <c r="S65" i="1"/>
  <c r="W65" i="1"/>
  <c r="H65" i="1"/>
  <c r="Z65" i="1"/>
  <c r="Y65" i="1"/>
  <c r="X65" i="1"/>
  <c r="AK66" i="1" l="1"/>
  <c r="AI66" i="1"/>
  <c r="AF66" i="1"/>
  <c r="AD66" i="1"/>
  <c r="M65" i="1"/>
  <c r="T65" i="1"/>
  <c r="AG65" i="1"/>
  <c r="AC65" i="1"/>
  <c r="AJ65" i="1"/>
  <c r="AH65" i="1"/>
  <c r="U64" i="1" l="1"/>
  <c r="E64" i="1"/>
  <c r="N64" i="1"/>
  <c r="H64" i="1"/>
  <c r="L64" i="1"/>
  <c r="I64" i="1"/>
  <c r="O64" i="1"/>
  <c r="AA64" i="1"/>
  <c r="K64" i="1"/>
  <c r="AB64" i="1"/>
  <c r="R64" i="1"/>
  <c r="V64" i="1"/>
  <c r="Z64" i="1"/>
  <c r="F64" i="1"/>
  <c r="B64" i="1"/>
  <c r="G64" i="1"/>
  <c r="X64" i="1"/>
  <c r="W64" i="1"/>
  <c r="A64" i="1"/>
  <c r="C64" i="1"/>
  <c r="Y64" i="1"/>
  <c r="S64" i="1"/>
  <c r="AE65" i="1" l="1"/>
  <c r="AF65" i="1" s="1"/>
  <c r="AK65" i="1"/>
  <c r="AI65" i="1"/>
  <c r="AD65" i="1"/>
  <c r="M64" i="1"/>
  <c r="T64" i="1"/>
  <c r="AC64" i="1"/>
  <c r="AG64" i="1"/>
  <c r="AJ64" i="1"/>
  <c r="AH64" i="1"/>
  <c r="AE64" i="1" l="1"/>
  <c r="U63" i="1"/>
  <c r="E63" i="1"/>
  <c r="W63" i="1"/>
  <c r="S63" i="1"/>
  <c r="G63" i="1"/>
  <c r="O63" i="1"/>
  <c r="Y63" i="1"/>
  <c r="B63" i="1"/>
  <c r="I63" i="1"/>
  <c r="F63" i="1"/>
  <c r="X63" i="1"/>
  <c r="AB63" i="1"/>
  <c r="H63" i="1"/>
  <c r="A63" i="1"/>
  <c r="V63" i="1"/>
  <c r="L63" i="1"/>
  <c r="R63" i="1"/>
  <c r="N63" i="1"/>
  <c r="AA63" i="1"/>
  <c r="C63" i="1"/>
  <c r="Z63" i="1"/>
  <c r="K63" i="1"/>
  <c r="AK64" i="1" l="1"/>
  <c r="AI64" i="1"/>
  <c r="AF64" i="1"/>
  <c r="AD64" i="1"/>
  <c r="M63" i="1"/>
  <c r="T63" i="1"/>
  <c r="AC63" i="1"/>
  <c r="AG63" i="1"/>
  <c r="AJ63" i="1"/>
  <c r="AH63" i="1"/>
  <c r="AE63" i="1" l="1"/>
  <c r="U62" i="1"/>
  <c r="E62" i="1"/>
  <c r="I62" i="1"/>
  <c r="C62" i="1"/>
  <c r="AB62" i="1"/>
  <c r="F62" i="1"/>
  <c r="G62" i="1"/>
  <c r="A62" i="1"/>
  <c r="B62" i="1"/>
  <c r="AA62" i="1"/>
  <c r="Z62" i="1"/>
  <c r="N62" i="1"/>
  <c r="S62" i="1"/>
  <c r="K62" i="1"/>
  <c r="Y62" i="1"/>
  <c r="W62" i="1"/>
  <c r="R62" i="1"/>
  <c r="H62" i="1"/>
  <c r="L62" i="1"/>
  <c r="X62" i="1"/>
  <c r="O62" i="1"/>
  <c r="V62" i="1"/>
  <c r="AK63" i="1" l="1"/>
  <c r="AI63" i="1"/>
  <c r="AF63" i="1"/>
  <c r="AD63" i="1"/>
  <c r="M62" i="1"/>
  <c r="T62" i="1"/>
  <c r="AC62" i="1"/>
  <c r="AG62" i="1"/>
  <c r="AJ62" i="1"/>
  <c r="AH62" i="1"/>
  <c r="AE62" i="1" l="1"/>
  <c r="U61" i="1"/>
  <c r="E61" i="1"/>
  <c r="AA61" i="1"/>
  <c r="R61" i="1"/>
  <c r="K61" i="1"/>
  <c r="L61" i="1"/>
  <c r="Z61" i="1"/>
  <c r="N61" i="1"/>
  <c r="V61" i="1"/>
  <c r="G61" i="1"/>
  <c r="H61" i="1"/>
  <c r="O61" i="1"/>
  <c r="S61" i="1"/>
  <c r="C61" i="1"/>
  <c r="A61" i="1"/>
  <c r="Y61" i="1"/>
  <c r="W61" i="1"/>
  <c r="I61" i="1"/>
  <c r="F61" i="1"/>
  <c r="B61" i="1"/>
  <c r="X61" i="1"/>
  <c r="AB61" i="1"/>
  <c r="AK62" i="1" l="1"/>
  <c r="AI62" i="1"/>
  <c r="AF62" i="1"/>
  <c r="AD62" i="1"/>
  <c r="D61" i="1"/>
  <c r="M61" i="1"/>
  <c r="T61" i="1"/>
  <c r="AG61" i="1"/>
  <c r="AC61" i="1"/>
  <c r="AJ61" i="1"/>
  <c r="AH61" i="1"/>
  <c r="U60" i="1" l="1"/>
  <c r="E60" i="1"/>
  <c r="K60" i="1"/>
  <c r="AA60" i="1"/>
  <c r="Z60" i="1"/>
  <c r="B60" i="1"/>
  <c r="N60" i="1"/>
  <c r="Y60" i="1"/>
  <c r="I60" i="1"/>
  <c r="O60" i="1"/>
  <c r="AB60" i="1"/>
  <c r="S60" i="1"/>
  <c r="F60" i="1"/>
  <c r="R60" i="1"/>
  <c r="G60" i="1"/>
  <c r="W60" i="1"/>
  <c r="H60" i="1"/>
  <c r="A60" i="1"/>
  <c r="C60" i="1"/>
  <c r="X60" i="1"/>
  <c r="V60" i="1"/>
  <c r="L60" i="1"/>
  <c r="AE61" i="1" l="1"/>
  <c r="AF61" i="1" s="1"/>
  <c r="AK61" i="1"/>
  <c r="AI61" i="1"/>
  <c r="AD61" i="1"/>
  <c r="M60" i="1"/>
  <c r="T60" i="1"/>
  <c r="AG60" i="1"/>
  <c r="AC60" i="1"/>
  <c r="AJ60" i="1"/>
  <c r="AH60" i="1"/>
  <c r="U59" i="1" l="1"/>
  <c r="E59" i="1"/>
  <c r="W59" i="1"/>
  <c r="Z59" i="1"/>
  <c r="O59" i="1"/>
  <c r="AA59" i="1"/>
  <c r="H59" i="1"/>
  <c r="Y59" i="1"/>
  <c r="K59" i="1"/>
  <c r="V59" i="1"/>
  <c r="C59" i="1"/>
  <c r="X59" i="1"/>
  <c r="A59" i="1"/>
  <c r="I59" i="1"/>
  <c r="N59" i="1"/>
  <c r="F59" i="1"/>
  <c r="G59" i="1"/>
  <c r="L59" i="1"/>
  <c r="S59" i="1"/>
  <c r="B59" i="1"/>
  <c r="R59" i="1"/>
  <c r="AB59" i="1"/>
  <c r="AE60" i="1" l="1"/>
  <c r="AF60" i="1" s="1"/>
  <c r="AI60" i="1"/>
  <c r="AD60" i="1"/>
  <c r="M59" i="1"/>
  <c r="T59" i="1"/>
  <c r="AG59" i="1"/>
  <c r="AC59" i="1"/>
  <c r="AJ59" i="1"/>
  <c r="AH59" i="1"/>
  <c r="AK60" i="1" l="1"/>
  <c r="U58" i="1"/>
  <c r="E58" i="1"/>
  <c r="X58" i="1"/>
  <c r="S58" i="1"/>
  <c r="A58" i="1"/>
  <c r="O58" i="1"/>
  <c r="AB58" i="1"/>
  <c r="Y58" i="1"/>
  <c r="K58" i="1"/>
  <c r="H58" i="1"/>
  <c r="R58" i="1"/>
  <c r="AA58" i="1"/>
  <c r="Z58" i="1"/>
  <c r="F58" i="1"/>
  <c r="B58" i="1"/>
  <c r="W58" i="1"/>
  <c r="C58" i="1"/>
  <c r="V58" i="1"/>
  <c r="I58" i="1"/>
  <c r="G58" i="1"/>
  <c r="N58" i="1"/>
  <c r="L58" i="1"/>
  <c r="AE59" i="1" l="1"/>
  <c r="AF59" i="1" s="1"/>
  <c r="AK59" i="1"/>
  <c r="AI59" i="1"/>
  <c r="AD59" i="1"/>
  <c r="M58" i="1"/>
  <c r="T58" i="1"/>
  <c r="AG58" i="1"/>
  <c r="AC58" i="1"/>
  <c r="AJ58" i="1"/>
  <c r="AH58" i="1"/>
  <c r="AE58" i="1" l="1"/>
  <c r="U57" i="1"/>
  <c r="E57" i="1"/>
  <c r="W57" i="1"/>
  <c r="L57" i="1"/>
  <c r="AB57" i="1"/>
  <c r="R57" i="1"/>
  <c r="Y57" i="1"/>
  <c r="X57" i="1"/>
  <c r="B57" i="1"/>
  <c r="F57" i="1"/>
  <c r="N57" i="1"/>
  <c r="AA57" i="1"/>
  <c r="Z57" i="1"/>
  <c r="A57" i="1"/>
  <c r="G57" i="1"/>
  <c r="C57" i="1"/>
  <c r="S57" i="1"/>
  <c r="H57" i="1"/>
  <c r="O57" i="1"/>
  <c r="I57" i="1"/>
  <c r="V57" i="1"/>
  <c r="K57" i="1"/>
  <c r="AK58" i="1" l="1"/>
  <c r="AI58" i="1"/>
  <c r="AF58" i="1"/>
  <c r="AD58" i="1"/>
  <c r="M57" i="1"/>
  <c r="T57" i="1"/>
  <c r="AG57" i="1"/>
  <c r="AC57" i="1"/>
  <c r="AJ57" i="1"/>
  <c r="AH57" i="1"/>
  <c r="AE57" i="1" l="1"/>
  <c r="U56" i="1"/>
  <c r="E56" i="1"/>
  <c r="F56" i="1"/>
  <c r="L56" i="1"/>
  <c r="AB56" i="1"/>
  <c r="X56" i="1"/>
  <c r="K56" i="1"/>
  <c r="S56" i="1"/>
  <c r="B56" i="1"/>
  <c r="V56" i="1"/>
  <c r="Y56" i="1"/>
  <c r="O56" i="1"/>
  <c r="H56" i="1"/>
  <c r="I56" i="1"/>
  <c r="Z56" i="1"/>
  <c r="W56" i="1"/>
  <c r="R56" i="1"/>
  <c r="A56" i="1"/>
  <c r="N56" i="1"/>
  <c r="AA56" i="1"/>
  <c r="G56" i="1"/>
  <c r="C56" i="1"/>
  <c r="AK57" i="1" l="1"/>
  <c r="AI57" i="1"/>
  <c r="AF57" i="1"/>
  <c r="AD57" i="1"/>
  <c r="M56" i="1"/>
  <c r="T56" i="1"/>
  <c r="AG56" i="1"/>
  <c r="AC56" i="1"/>
  <c r="AJ56" i="1"/>
  <c r="AH56" i="1"/>
  <c r="U55" i="1" l="1"/>
  <c r="E55" i="1"/>
  <c r="AB55" i="1"/>
  <c r="V55" i="1"/>
  <c r="Z55" i="1"/>
  <c r="AA55" i="1"/>
  <c r="K55" i="1"/>
  <c r="R55" i="1"/>
  <c r="B55" i="1"/>
  <c r="W55" i="1"/>
  <c r="O55" i="1"/>
  <c r="L55" i="1"/>
  <c r="C55" i="1"/>
  <c r="N55" i="1"/>
  <c r="F55" i="1"/>
  <c r="I55" i="1"/>
  <c r="A55" i="1"/>
  <c r="X55" i="1"/>
  <c r="S55" i="1"/>
  <c r="H55" i="1"/>
  <c r="G55" i="1"/>
  <c r="Y55" i="1"/>
  <c r="AE56" i="1" l="1"/>
  <c r="AF56" i="1" s="1"/>
  <c r="AK56" i="1"/>
  <c r="AI56" i="1"/>
  <c r="AD56" i="1"/>
  <c r="M55" i="1"/>
  <c r="T55" i="1"/>
  <c r="AC55" i="1"/>
  <c r="AG55" i="1"/>
  <c r="AJ55" i="1"/>
  <c r="AH55" i="1"/>
  <c r="AE55" i="1" l="1"/>
  <c r="U54" i="1"/>
  <c r="E54" i="1"/>
  <c r="Y54" i="1"/>
  <c r="S54" i="1"/>
  <c r="O54" i="1"/>
  <c r="I54" i="1"/>
  <c r="C54" i="1"/>
  <c r="K54" i="1"/>
  <c r="N54" i="1"/>
  <c r="X54" i="1"/>
  <c r="R54" i="1"/>
  <c r="B54" i="1"/>
  <c r="AA54" i="1"/>
  <c r="L54" i="1"/>
  <c r="W54" i="1"/>
  <c r="AB54" i="1"/>
  <c r="H54" i="1"/>
  <c r="F54" i="1"/>
  <c r="G54" i="1"/>
  <c r="V54" i="1"/>
  <c r="Z54" i="1"/>
  <c r="A54" i="1"/>
  <c r="AK55" i="1" l="1"/>
  <c r="AI55" i="1"/>
  <c r="AF55" i="1"/>
  <c r="AD55" i="1"/>
  <c r="M54" i="1"/>
  <c r="T54" i="1"/>
  <c r="AC54" i="1"/>
  <c r="AG54" i="1"/>
  <c r="AJ54" i="1"/>
  <c r="AH54" i="1"/>
  <c r="AE54" i="1" l="1"/>
  <c r="U53" i="1"/>
  <c r="E53" i="1"/>
  <c r="B53" i="1"/>
  <c r="R53" i="1"/>
  <c r="Y53" i="1"/>
  <c r="O53" i="1"/>
  <c r="W53" i="1"/>
  <c r="G53" i="1"/>
  <c r="L53" i="1"/>
  <c r="C53" i="1"/>
  <c r="F53" i="1"/>
  <c r="X53" i="1"/>
  <c r="H53" i="1"/>
  <c r="AA53" i="1"/>
  <c r="A53" i="1"/>
  <c r="AB53" i="1"/>
  <c r="K53" i="1"/>
  <c r="N53" i="1"/>
  <c r="S53" i="1"/>
  <c r="Z53" i="1"/>
  <c r="I53" i="1"/>
  <c r="V53" i="1"/>
  <c r="AK54" i="1" l="1"/>
  <c r="AI54" i="1"/>
  <c r="AF54" i="1"/>
  <c r="AD54" i="1"/>
  <c r="M53" i="1"/>
  <c r="T53" i="1"/>
  <c r="AG53" i="1"/>
  <c r="AC53" i="1"/>
  <c r="AJ53" i="1"/>
  <c r="AH53" i="1"/>
  <c r="U52" i="1" l="1"/>
  <c r="E52" i="1"/>
  <c r="H52" i="1"/>
  <c r="K52" i="1"/>
  <c r="N52" i="1"/>
  <c r="F52" i="1"/>
  <c r="C52" i="1"/>
  <c r="A52" i="1"/>
  <c r="X52" i="1"/>
  <c r="B52" i="1"/>
  <c r="O52" i="1"/>
  <c r="AA52" i="1"/>
  <c r="L52" i="1"/>
  <c r="G52" i="1"/>
  <c r="Y52" i="1"/>
  <c r="V52" i="1"/>
  <c r="AB52" i="1"/>
  <c r="R52" i="1"/>
  <c r="W52" i="1"/>
  <c r="S52" i="1"/>
  <c r="I52" i="1"/>
  <c r="Z52" i="1"/>
  <c r="AE53" i="1" l="1"/>
  <c r="AF53" i="1" s="1"/>
  <c r="AI53" i="1"/>
  <c r="AD53" i="1"/>
  <c r="M52" i="1"/>
  <c r="T52" i="1"/>
  <c r="AG52" i="1"/>
  <c r="AC52" i="1"/>
  <c r="AJ52" i="1"/>
  <c r="AH52" i="1"/>
  <c r="AK53" i="1" l="1"/>
  <c r="U51" i="1"/>
  <c r="E51" i="1"/>
  <c r="AB51" i="1"/>
  <c r="B51" i="1"/>
  <c r="K51" i="1"/>
  <c r="A51" i="1"/>
  <c r="AA51" i="1"/>
  <c r="G51" i="1"/>
  <c r="V51" i="1"/>
  <c r="O51" i="1"/>
  <c r="I51" i="1"/>
  <c r="F51" i="1"/>
  <c r="Y51" i="1"/>
  <c r="S51" i="1"/>
  <c r="N51" i="1"/>
  <c r="C51" i="1"/>
  <c r="H51" i="1"/>
  <c r="R51" i="1"/>
  <c r="X51" i="1"/>
  <c r="W51" i="1"/>
  <c r="Z51" i="1"/>
  <c r="L51" i="1"/>
  <c r="AE52" i="1" l="1"/>
  <c r="AF52" i="1" s="1"/>
  <c r="AK52" i="1"/>
  <c r="AI52" i="1"/>
  <c r="AD52" i="1"/>
  <c r="M51" i="1"/>
  <c r="T51" i="1"/>
  <c r="AG51" i="1"/>
  <c r="AC51" i="1"/>
  <c r="AJ51" i="1"/>
  <c r="AH51" i="1"/>
  <c r="AE51" i="1" l="1"/>
  <c r="U50" i="1"/>
  <c r="E50" i="1"/>
  <c r="R50" i="1"/>
  <c r="G50" i="1"/>
  <c r="V50" i="1"/>
  <c r="A50" i="1"/>
  <c r="H50" i="1"/>
  <c r="N50" i="1"/>
  <c r="Y50" i="1"/>
  <c r="X50" i="1"/>
  <c r="F50" i="1"/>
  <c r="AB50" i="1"/>
  <c r="C50" i="1"/>
  <c r="Z50" i="1"/>
  <c r="B50" i="1"/>
  <c r="W50" i="1"/>
  <c r="S50" i="1"/>
  <c r="AA50" i="1"/>
  <c r="I50" i="1"/>
  <c r="O50" i="1"/>
  <c r="K50" i="1"/>
  <c r="L50" i="1"/>
  <c r="AK51" i="1" l="1"/>
  <c r="AI51" i="1"/>
  <c r="AF51" i="1"/>
  <c r="AD51" i="1"/>
  <c r="M50" i="1"/>
  <c r="T50" i="1"/>
  <c r="AC50" i="1"/>
  <c r="AG50" i="1"/>
  <c r="AJ50" i="1"/>
  <c r="AH50" i="1"/>
  <c r="AE50" i="1" l="1"/>
  <c r="U49" i="1"/>
  <c r="E49" i="1"/>
  <c r="A49" i="1"/>
  <c r="V49" i="1"/>
  <c r="N49" i="1"/>
  <c r="O49" i="1"/>
  <c r="B49" i="1"/>
  <c r="Z49" i="1"/>
  <c r="H49" i="1"/>
  <c r="G49" i="1"/>
  <c r="W49" i="1"/>
  <c r="S49" i="1"/>
  <c r="F49" i="1"/>
  <c r="C49" i="1"/>
  <c r="AA49" i="1"/>
  <c r="K49" i="1"/>
  <c r="X49" i="1"/>
  <c r="R49" i="1"/>
  <c r="Y49" i="1"/>
  <c r="AB49" i="1"/>
  <c r="I49" i="1"/>
  <c r="L49" i="1"/>
  <c r="AK50" i="1" l="1"/>
  <c r="AI50" i="1"/>
  <c r="AF50" i="1"/>
  <c r="AD50" i="1"/>
  <c r="M49" i="1"/>
  <c r="T49" i="1"/>
  <c r="AC49" i="1"/>
  <c r="AG49" i="1"/>
  <c r="AJ49" i="1"/>
  <c r="AH49" i="1"/>
  <c r="AE49" i="1" l="1"/>
  <c r="U48" i="1"/>
  <c r="E48" i="1"/>
  <c r="C48" i="1"/>
  <c r="G48" i="1"/>
  <c r="I48" i="1"/>
  <c r="AA48" i="1"/>
  <c r="K48" i="1"/>
  <c r="W48" i="1"/>
  <c r="Z48" i="1"/>
  <c r="B48" i="1"/>
  <c r="V48" i="1"/>
  <c r="R48" i="1"/>
  <c r="L48" i="1"/>
  <c r="X48" i="1"/>
  <c r="A48" i="1"/>
  <c r="H48" i="1"/>
  <c r="Y48" i="1"/>
  <c r="AB48" i="1"/>
  <c r="O48" i="1"/>
  <c r="F48" i="1"/>
  <c r="N48" i="1"/>
  <c r="S48" i="1"/>
  <c r="AK49" i="1" l="1"/>
  <c r="AI49" i="1"/>
  <c r="AF49" i="1"/>
  <c r="AD49" i="1"/>
  <c r="M48" i="1"/>
  <c r="T48" i="1"/>
  <c r="AG48" i="1"/>
  <c r="AC48" i="1"/>
  <c r="AJ48" i="1"/>
  <c r="AH48" i="1"/>
  <c r="AE48" i="1" l="1"/>
  <c r="U47" i="1"/>
  <c r="E47" i="1"/>
  <c r="A47" i="1"/>
  <c r="V47" i="1"/>
  <c r="Y47" i="1"/>
  <c r="L47" i="1"/>
  <c r="AB47" i="1"/>
  <c r="C47" i="1"/>
  <c r="I47" i="1"/>
  <c r="W47" i="1"/>
  <c r="X47" i="1"/>
  <c r="F47" i="1"/>
  <c r="R47" i="1"/>
  <c r="H47" i="1"/>
  <c r="G47" i="1"/>
  <c r="N47" i="1"/>
  <c r="K47" i="1"/>
  <c r="O47" i="1"/>
  <c r="S47" i="1"/>
  <c r="AA47" i="1"/>
  <c r="B47" i="1"/>
  <c r="Z47" i="1"/>
  <c r="AK48" i="1" l="1"/>
  <c r="AI48" i="1"/>
  <c r="AF48" i="1"/>
  <c r="AD48" i="1"/>
  <c r="M47" i="1"/>
  <c r="T47" i="1"/>
  <c r="AC47" i="1"/>
  <c r="AG47" i="1"/>
  <c r="AJ47" i="1"/>
  <c r="AH47" i="1"/>
  <c r="AE47" i="1" l="1"/>
  <c r="U46" i="1"/>
  <c r="E46" i="1"/>
  <c r="Z46" i="1"/>
  <c r="Y46" i="1"/>
  <c r="B46" i="1"/>
  <c r="A46" i="1"/>
  <c r="C46" i="1"/>
  <c r="L46" i="1"/>
  <c r="X46" i="1"/>
  <c r="G46" i="1"/>
  <c r="N46" i="1"/>
  <c r="H46" i="1"/>
  <c r="R46" i="1"/>
  <c r="I46" i="1"/>
  <c r="W46" i="1"/>
  <c r="V46" i="1"/>
  <c r="O46" i="1"/>
  <c r="AA46" i="1"/>
  <c r="K46" i="1"/>
  <c r="S46" i="1"/>
  <c r="AB46" i="1"/>
  <c r="F46" i="1"/>
  <c r="AK47" i="1" l="1"/>
  <c r="AI47" i="1"/>
  <c r="AF47" i="1"/>
  <c r="AD47" i="1"/>
  <c r="M46" i="1"/>
  <c r="T46" i="1"/>
  <c r="AC46" i="1"/>
  <c r="AG46" i="1"/>
  <c r="AJ46" i="1"/>
  <c r="AH46" i="1"/>
  <c r="AE46" i="1" l="1"/>
  <c r="U45" i="1"/>
  <c r="E45" i="1"/>
  <c r="AA45" i="1"/>
  <c r="A45" i="1"/>
  <c r="I45" i="1"/>
  <c r="C45" i="1"/>
  <c r="X45" i="1"/>
  <c r="Z45" i="1"/>
  <c r="L45" i="1"/>
  <c r="O45" i="1"/>
  <c r="R45" i="1"/>
  <c r="Y45" i="1"/>
  <c r="K45" i="1"/>
  <c r="S45" i="1"/>
  <c r="F45" i="1"/>
  <c r="B45" i="1"/>
  <c r="AB45" i="1"/>
  <c r="V45" i="1"/>
  <c r="H45" i="1"/>
  <c r="N45" i="1"/>
  <c r="G45" i="1"/>
  <c r="W45" i="1"/>
  <c r="AK46" i="1" l="1"/>
  <c r="AI46" i="1"/>
  <c r="AF46" i="1"/>
  <c r="AD46" i="1"/>
  <c r="M45" i="1"/>
  <c r="T45" i="1"/>
  <c r="AG45" i="1"/>
  <c r="AC45" i="1"/>
  <c r="AJ45" i="1"/>
  <c r="AH45" i="1"/>
  <c r="AD45" i="1" l="1"/>
  <c r="AE45" i="1"/>
  <c r="AF45" i="1" s="1"/>
  <c r="U44" i="1"/>
  <c r="E44" i="1"/>
  <c r="X44" i="1"/>
  <c r="H44" i="1"/>
  <c r="N44" i="1"/>
  <c r="G44" i="1"/>
  <c r="Y44" i="1"/>
  <c r="AB44" i="1"/>
  <c r="W44" i="1"/>
  <c r="I44" i="1"/>
  <c r="O44" i="1"/>
  <c r="F44" i="1"/>
  <c r="R44" i="1"/>
  <c r="B44" i="1"/>
  <c r="AA44" i="1"/>
  <c r="Z44" i="1"/>
  <c r="L44" i="1"/>
  <c r="V44" i="1"/>
  <c r="K44" i="1"/>
  <c r="C44" i="1"/>
  <c r="A44" i="1"/>
  <c r="S44" i="1"/>
  <c r="AK45" i="1" l="1"/>
  <c r="AI45" i="1"/>
  <c r="M44" i="1"/>
  <c r="T44" i="1"/>
  <c r="AG44" i="1"/>
  <c r="AC44" i="1"/>
  <c r="AJ44" i="1"/>
  <c r="AH44" i="1"/>
  <c r="AE44" i="1" l="1"/>
  <c r="U43" i="1"/>
  <c r="E43" i="1"/>
  <c r="V43" i="1"/>
  <c r="H43" i="1"/>
  <c r="R43" i="1"/>
  <c r="W43" i="1"/>
  <c r="AA43" i="1"/>
  <c r="S43" i="1"/>
  <c r="X43" i="1"/>
  <c r="A43" i="1"/>
  <c r="O43" i="1"/>
  <c r="F43" i="1"/>
  <c r="G43" i="1"/>
  <c r="B43" i="1"/>
  <c r="Z43" i="1"/>
  <c r="L43" i="1"/>
  <c r="I43" i="1"/>
  <c r="AB43" i="1"/>
  <c r="N43" i="1"/>
  <c r="Y43" i="1"/>
  <c r="C43" i="1"/>
  <c r="K43" i="1"/>
  <c r="AK44" i="1" l="1"/>
  <c r="AI44" i="1"/>
  <c r="AF44" i="1"/>
  <c r="AD44" i="1"/>
  <c r="M43" i="1"/>
  <c r="T43" i="1"/>
  <c r="AG43" i="1"/>
  <c r="AC43" i="1"/>
  <c r="AJ43" i="1"/>
  <c r="AH43" i="1"/>
  <c r="U42" i="1" l="1"/>
  <c r="E42" i="1"/>
  <c r="W42" i="1"/>
  <c r="AB42" i="1"/>
  <c r="O42" i="1"/>
  <c r="I42" i="1"/>
  <c r="B42" i="1"/>
  <c r="R42" i="1"/>
  <c r="A42" i="1"/>
  <c r="S42" i="1"/>
  <c r="K42" i="1"/>
  <c r="N42" i="1"/>
  <c r="L42" i="1"/>
  <c r="Z42" i="1"/>
  <c r="AA42" i="1"/>
  <c r="V42" i="1"/>
  <c r="G42" i="1"/>
  <c r="H42" i="1"/>
  <c r="X42" i="1"/>
  <c r="C42" i="1"/>
  <c r="Y42" i="1"/>
  <c r="F42" i="1"/>
  <c r="AE43" i="1" l="1"/>
  <c r="AF43" i="1" s="1"/>
  <c r="AK43" i="1"/>
  <c r="AI43" i="1"/>
  <c r="AD43" i="1"/>
  <c r="M42" i="1"/>
  <c r="T42" i="1"/>
  <c r="AG42" i="1"/>
  <c r="AC42" i="1"/>
  <c r="AJ42" i="1"/>
  <c r="AH42" i="1"/>
  <c r="AE42" i="1" l="1"/>
  <c r="U41" i="1"/>
  <c r="E41" i="1"/>
  <c r="W41" i="1"/>
  <c r="S41" i="1"/>
  <c r="C41" i="1"/>
  <c r="AA41" i="1"/>
  <c r="Z41" i="1"/>
  <c r="H41" i="1"/>
  <c r="Y41" i="1"/>
  <c r="K41" i="1"/>
  <c r="L41" i="1"/>
  <c r="I41" i="1"/>
  <c r="X41" i="1"/>
  <c r="AB41" i="1"/>
  <c r="V41" i="1"/>
  <c r="B41" i="1"/>
  <c r="O41" i="1"/>
  <c r="N41" i="1"/>
  <c r="R41" i="1"/>
  <c r="A41" i="1"/>
  <c r="G41" i="1"/>
  <c r="F41" i="1"/>
  <c r="AK42" i="1" l="1"/>
  <c r="AI42" i="1"/>
  <c r="AF42" i="1"/>
  <c r="AD42" i="1"/>
  <c r="M41" i="1"/>
  <c r="T41" i="1"/>
  <c r="AG41" i="1"/>
  <c r="AC41" i="1"/>
  <c r="AJ41" i="1"/>
  <c r="AH41" i="1"/>
  <c r="U40" i="1" l="1"/>
  <c r="E40" i="1"/>
  <c r="L40" i="1"/>
  <c r="AA40" i="1"/>
  <c r="R40" i="1"/>
  <c r="AB40" i="1"/>
  <c r="H40" i="1"/>
  <c r="X40" i="1"/>
  <c r="V40" i="1"/>
  <c r="B40" i="1"/>
  <c r="A40" i="1"/>
  <c r="G40" i="1"/>
  <c r="W40" i="1"/>
  <c r="F40" i="1"/>
  <c r="O40" i="1"/>
  <c r="I40" i="1"/>
  <c r="Y40" i="1"/>
  <c r="C40" i="1"/>
  <c r="K40" i="1"/>
  <c r="S40" i="1"/>
  <c r="N40" i="1"/>
  <c r="Z40" i="1"/>
  <c r="AE41" i="1" l="1"/>
  <c r="AF41" i="1" s="1"/>
  <c r="AI41" i="1"/>
  <c r="AD41" i="1"/>
  <c r="M40" i="1"/>
  <c r="T40" i="1"/>
  <c r="AG40" i="1"/>
  <c r="AC40" i="1"/>
  <c r="AJ40" i="1"/>
  <c r="AH40" i="1"/>
  <c r="AK41" i="1" l="1"/>
  <c r="U39" i="1"/>
  <c r="E39" i="1"/>
  <c r="B39" i="1"/>
  <c r="X39" i="1"/>
  <c r="V39" i="1"/>
  <c r="Z39" i="1"/>
  <c r="F39" i="1"/>
  <c r="R39" i="1"/>
  <c r="S39" i="1"/>
  <c r="AB39" i="1"/>
  <c r="H39" i="1"/>
  <c r="AA39" i="1"/>
  <c r="K39" i="1"/>
  <c r="O39" i="1"/>
  <c r="N39" i="1"/>
  <c r="L39" i="1"/>
  <c r="C39" i="1"/>
  <c r="I39" i="1"/>
  <c r="A39" i="1"/>
  <c r="G39" i="1"/>
  <c r="Y39" i="1"/>
  <c r="W39" i="1"/>
  <c r="AE40" i="1" l="1"/>
  <c r="AF40" i="1" s="1"/>
  <c r="AK40" i="1"/>
  <c r="AI40" i="1"/>
  <c r="AD40" i="1"/>
  <c r="M39" i="1"/>
  <c r="T39" i="1"/>
  <c r="AG39" i="1"/>
  <c r="AC39" i="1"/>
  <c r="AJ39" i="1"/>
  <c r="AH39" i="1"/>
  <c r="AE39" i="1" l="1"/>
  <c r="U38" i="1"/>
  <c r="E38" i="1"/>
  <c r="A38" i="1"/>
  <c r="W38" i="1"/>
  <c r="L38" i="1"/>
  <c r="K38" i="1"/>
  <c r="V38" i="1"/>
  <c r="I38" i="1"/>
  <c r="R38" i="1"/>
  <c r="S38" i="1"/>
  <c r="N38" i="1"/>
  <c r="G38" i="1"/>
  <c r="C38" i="1"/>
  <c r="B38" i="1"/>
  <c r="X38" i="1"/>
  <c r="AA38" i="1"/>
  <c r="F38" i="1"/>
  <c r="AB38" i="1"/>
  <c r="Y38" i="1"/>
  <c r="Z38" i="1"/>
  <c r="O38" i="1"/>
  <c r="H38" i="1"/>
  <c r="AK39" i="1" l="1"/>
  <c r="AI39" i="1"/>
  <c r="AF39" i="1"/>
  <c r="AD39" i="1"/>
  <c r="M38" i="1"/>
  <c r="T38" i="1"/>
  <c r="AG38" i="1"/>
  <c r="AC38" i="1"/>
  <c r="AJ38" i="1"/>
  <c r="AH38" i="1"/>
  <c r="AE38" i="1" l="1"/>
  <c r="U37" i="1"/>
  <c r="E37" i="1"/>
  <c r="V37" i="1"/>
  <c r="H37" i="1"/>
  <c r="G37" i="1"/>
  <c r="B37" i="1"/>
  <c r="A37" i="1"/>
  <c r="Z37" i="1"/>
  <c r="Y37" i="1"/>
  <c r="N37" i="1"/>
  <c r="L37" i="1"/>
  <c r="AA37" i="1"/>
  <c r="AB37" i="1"/>
  <c r="F37" i="1"/>
  <c r="O37" i="1"/>
  <c r="X37" i="1"/>
  <c r="R37" i="1"/>
  <c r="C37" i="1"/>
  <c r="K37" i="1"/>
  <c r="W37" i="1"/>
  <c r="I37" i="1"/>
  <c r="S37" i="1"/>
  <c r="AK38" i="1" l="1"/>
  <c r="AI38" i="1"/>
  <c r="AF38" i="1"/>
  <c r="AD38" i="1"/>
  <c r="M37" i="1"/>
  <c r="T37" i="1"/>
  <c r="AG37" i="1"/>
  <c r="AC37" i="1"/>
  <c r="AJ37" i="1"/>
  <c r="AH37" i="1"/>
  <c r="AE37" i="1" l="1"/>
  <c r="U36" i="1"/>
  <c r="E36" i="1"/>
  <c r="Z36" i="1"/>
  <c r="C36" i="1"/>
  <c r="S36" i="1"/>
  <c r="F36" i="1"/>
  <c r="H36" i="1"/>
  <c r="K36" i="1"/>
  <c r="V36" i="1"/>
  <c r="N36" i="1"/>
  <c r="R36" i="1"/>
  <c r="AA36" i="1"/>
  <c r="L36" i="1"/>
  <c r="O36" i="1"/>
  <c r="AB36" i="1"/>
  <c r="X36" i="1"/>
  <c r="Y36" i="1"/>
  <c r="W36" i="1"/>
  <c r="B36" i="1"/>
  <c r="I36" i="1"/>
  <c r="G36" i="1"/>
  <c r="A36" i="1"/>
  <c r="AK37" i="1" l="1"/>
  <c r="AI37" i="1"/>
  <c r="AF37" i="1"/>
  <c r="AD37" i="1"/>
  <c r="M36" i="1"/>
  <c r="T36" i="1"/>
  <c r="AG36" i="1"/>
  <c r="AC36" i="1"/>
  <c r="AJ36" i="1"/>
  <c r="AH36" i="1"/>
  <c r="AE36" i="1" l="1"/>
  <c r="U35" i="1"/>
  <c r="E35" i="1"/>
  <c r="K35" i="1"/>
  <c r="C35" i="1"/>
  <c r="V35" i="1"/>
  <c r="R35" i="1"/>
  <c r="A35" i="1"/>
  <c r="B35" i="1"/>
  <c r="AA35" i="1"/>
  <c r="I35" i="1"/>
  <c r="X35" i="1"/>
  <c r="Y35" i="1"/>
  <c r="N35" i="1"/>
  <c r="F35" i="1"/>
  <c r="S35" i="1"/>
  <c r="G35" i="1"/>
  <c r="L35" i="1"/>
  <c r="AB35" i="1"/>
  <c r="O35" i="1"/>
  <c r="W35" i="1"/>
  <c r="Z35" i="1"/>
  <c r="H35" i="1"/>
  <c r="AK36" i="1" l="1"/>
  <c r="AI36" i="1"/>
  <c r="AF36" i="1"/>
  <c r="AD36" i="1"/>
  <c r="M35" i="1"/>
  <c r="T35" i="1"/>
  <c r="AG35" i="1"/>
  <c r="AC35" i="1"/>
  <c r="AJ35" i="1"/>
  <c r="AH35" i="1"/>
  <c r="U34" i="1" l="1"/>
  <c r="E34" i="1"/>
  <c r="Y34" i="1"/>
  <c r="AB34" i="1"/>
  <c r="AA34" i="1"/>
  <c r="S34" i="1"/>
  <c r="N34" i="1"/>
  <c r="Z34" i="1"/>
  <c r="R34" i="1"/>
  <c r="C34" i="1"/>
  <c r="W34" i="1"/>
  <c r="I34" i="1"/>
  <c r="V34" i="1"/>
  <c r="A34" i="1"/>
  <c r="K34" i="1"/>
  <c r="X34" i="1"/>
  <c r="H34" i="1"/>
  <c r="B34" i="1"/>
  <c r="O34" i="1"/>
  <c r="F34" i="1"/>
  <c r="L34" i="1"/>
  <c r="G34" i="1"/>
  <c r="AE35" i="1" l="1"/>
  <c r="AF35" i="1" s="1"/>
  <c r="AI35" i="1"/>
  <c r="AD35" i="1"/>
  <c r="M34" i="1"/>
  <c r="T34" i="1"/>
  <c r="AG34" i="1"/>
  <c r="AC34" i="1"/>
  <c r="AJ34" i="1"/>
  <c r="AH34" i="1"/>
  <c r="AK35" i="1" l="1"/>
  <c r="AE34" i="1"/>
  <c r="U33" i="1"/>
  <c r="E33" i="1"/>
  <c r="F33" i="1"/>
  <c r="AA33" i="1"/>
  <c r="L33" i="1"/>
  <c r="O33" i="1"/>
  <c r="H33" i="1"/>
  <c r="X33" i="1"/>
  <c r="AB33" i="1"/>
  <c r="B33" i="1"/>
  <c r="Y33" i="1"/>
  <c r="I33" i="1"/>
  <c r="C33" i="1"/>
  <c r="N33" i="1"/>
  <c r="V33" i="1"/>
  <c r="G33" i="1"/>
  <c r="K33" i="1"/>
  <c r="Z33" i="1"/>
  <c r="S33" i="1"/>
  <c r="R33" i="1"/>
  <c r="A33" i="1"/>
  <c r="W33" i="1"/>
  <c r="AK34" i="1" l="1"/>
  <c r="AI34" i="1"/>
  <c r="AF34" i="1"/>
  <c r="AD34" i="1"/>
  <c r="M33" i="1"/>
  <c r="T33" i="1"/>
  <c r="AC33" i="1"/>
  <c r="AG33" i="1"/>
  <c r="AJ33" i="1"/>
  <c r="AH33" i="1"/>
  <c r="AE33" i="1" l="1"/>
  <c r="U32" i="1"/>
  <c r="E32" i="1"/>
  <c r="AA32" i="1"/>
  <c r="A32" i="1"/>
  <c r="G32" i="1"/>
  <c r="S32" i="1"/>
  <c r="I32" i="1"/>
  <c r="K32" i="1"/>
  <c r="N32" i="1"/>
  <c r="C32" i="1"/>
  <c r="F32" i="1"/>
  <c r="Y32" i="1"/>
  <c r="Z32" i="1"/>
  <c r="X32" i="1"/>
  <c r="B32" i="1"/>
  <c r="AB32" i="1"/>
  <c r="V32" i="1"/>
  <c r="O32" i="1"/>
  <c r="R32" i="1"/>
  <c r="H32" i="1"/>
  <c r="W32" i="1"/>
  <c r="L32" i="1"/>
  <c r="AK33" i="1" l="1"/>
  <c r="AI33" i="1"/>
  <c r="AF33" i="1"/>
  <c r="AD33" i="1"/>
  <c r="M32" i="1"/>
  <c r="T32" i="1"/>
  <c r="AG32" i="1"/>
  <c r="AC32" i="1"/>
  <c r="AJ32" i="1"/>
  <c r="AH32" i="1"/>
  <c r="U31" i="1" l="1"/>
  <c r="E31" i="1"/>
  <c r="F31" i="1"/>
  <c r="B31" i="1"/>
  <c r="Z31" i="1"/>
  <c r="H31" i="1"/>
  <c r="G31" i="1"/>
  <c r="K31" i="1"/>
  <c r="R31" i="1"/>
  <c r="I31" i="1"/>
  <c r="O31" i="1"/>
  <c r="AA31" i="1"/>
  <c r="S31" i="1"/>
  <c r="V31" i="1"/>
  <c r="C31" i="1"/>
  <c r="W31" i="1"/>
  <c r="Y31" i="1"/>
  <c r="X31" i="1"/>
  <c r="AB31" i="1"/>
  <c r="N31" i="1"/>
  <c r="A31" i="1"/>
  <c r="L31" i="1"/>
  <c r="AE32" i="1" l="1"/>
  <c r="AF32" i="1" s="1"/>
  <c r="AI32" i="1"/>
  <c r="AD32" i="1"/>
  <c r="M31" i="1"/>
  <c r="T31" i="1"/>
  <c r="AC31" i="1"/>
  <c r="AG31" i="1"/>
  <c r="AJ31" i="1"/>
  <c r="AH31" i="1"/>
  <c r="AK32" i="1" l="1"/>
  <c r="AE31" i="1"/>
  <c r="U30" i="1"/>
  <c r="E30" i="1"/>
  <c r="Y30" i="1"/>
  <c r="AA30" i="1"/>
  <c r="A30" i="1"/>
  <c r="V30" i="1"/>
  <c r="K30" i="1"/>
  <c r="N30" i="1"/>
  <c r="X30" i="1"/>
  <c r="C30" i="1"/>
  <c r="I30" i="1"/>
  <c r="AB30" i="1"/>
  <c r="O30" i="1"/>
  <c r="L30" i="1"/>
  <c r="B30" i="1"/>
  <c r="R30" i="1"/>
  <c r="S30" i="1"/>
  <c r="H30" i="1"/>
  <c r="F30" i="1"/>
  <c r="Z30" i="1"/>
  <c r="G30" i="1"/>
  <c r="W30" i="1"/>
  <c r="AK31" i="1" l="1"/>
  <c r="AI31" i="1"/>
  <c r="AF31" i="1"/>
  <c r="AD31" i="1"/>
  <c r="M30" i="1"/>
  <c r="T30" i="1"/>
  <c r="AG30" i="1"/>
  <c r="AC30" i="1"/>
  <c r="AJ30" i="1"/>
  <c r="AH30" i="1"/>
  <c r="AE30" i="1" l="1"/>
  <c r="U29" i="1"/>
  <c r="E29" i="1"/>
  <c r="L29" i="1"/>
  <c r="A29" i="1"/>
  <c r="AB29" i="1"/>
  <c r="I29" i="1"/>
  <c r="C29" i="1"/>
  <c r="Z29" i="1"/>
  <c r="F29" i="1"/>
  <c r="N29" i="1"/>
  <c r="B29" i="1"/>
  <c r="Y29" i="1"/>
  <c r="H29" i="1"/>
  <c r="R29" i="1"/>
  <c r="X29" i="1"/>
  <c r="AA29" i="1"/>
  <c r="V29" i="1"/>
  <c r="K29" i="1"/>
  <c r="W29" i="1"/>
  <c r="G29" i="1"/>
  <c r="S29" i="1"/>
  <c r="O29" i="1"/>
  <c r="AK30" i="1" l="1"/>
  <c r="AI30" i="1"/>
  <c r="AF30" i="1"/>
  <c r="AD30" i="1"/>
  <c r="M29" i="1"/>
  <c r="T29" i="1"/>
  <c r="AG29" i="1"/>
  <c r="AC29" i="1"/>
  <c r="AJ29" i="1"/>
  <c r="AH29" i="1"/>
  <c r="AE29" i="1" l="1"/>
  <c r="U28" i="1"/>
  <c r="E28" i="1"/>
  <c r="AB28" i="1"/>
  <c r="A28" i="1"/>
  <c r="B28" i="1"/>
  <c r="L28" i="1"/>
  <c r="V28" i="1"/>
  <c r="N28" i="1"/>
  <c r="AA28" i="1"/>
  <c r="O28" i="1"/>
  <c r="S28" i="1"/>
  <c r="G28" i="1"/>
  <c r="R28" i="1"/>
  <c r="F28" i="1"/>
  <c r="X28" i="1"/>
  <c r="C28" i="1"/>
  <c r="Y28" i="1"/>
  <c r="W28" i="1"/>
  <c r="K28" i="1"/>
  <c r="H28" i="1"/>
  <c r="I28" i="1"/>
  <c r="Z28" i="1"/>
  <c r="AK29" i="1" l="1"/>
  <c r="AI29" i="1"/>
  <c r="AF29" i="1"/>
  <c r="AD29" i="1"/>
  <c r="M28" i="1"/>
  <c r="T28" i="1"/>
  <c r="AC28" i="1"/>
  <c r="AG28" i="1"/>
  <c r="AJ28" i="1"/>
  <c r="AH28" i="1"/>
  <c r="AE28" i="1" l="1"/>
  <c r="U27" i="1"/>
  <c r="E27" i="1"/>
  <c r="Z27" i="1"/>
  <c r="C27" i="1"/>
  <c r="W27" i="1"/>
  <c r="N27" i="1"/>
  <c r="I27" i="1"/>
  <c r="AA27" i="1"/>
  <c r="H27" i="1"/>
  <c r="S27" i="1"/>
  <c r="K27" i="1"/>
  <c r="Y27" i="1"/>
  <c r="AB27" i="1"/>
  <c r="B27" i="1"/>
  <c r="O27" i="1"/>
  <c r="V27" i="1"/>
  <c r="L27" i="1"/>
  <c r="G27" i="1"/>
  <c r="F27" i="1"/>
  <c r="X27" i="1"/>
  <c r="R27" i="1"/>
  <c r="A27" i="1"/>
  <c r="AK28" i="1" l="1"/>
  <c r="AI28" i="1"/>
  <c r="AF28" i="1"/>
  <c r="AD28" i="1"/>
  <c r="M27" i="1"/>
  <c r="T27" i="1"/>
  <c r="AG27" i="1"/>
  <c r="AC27" i="1"/>
  <c r="AJ27" i="1"/>
  <c r="AH27" i="1"/>
  <c r="U26" i="1" l="1"/>
  <c r="E26" i="1"/>
  <c r="A26" i="1"/>
  <c r="B26" i="1"/>
  <c r="L26" i="1"/>
  <c r="H26" i="1"/>
  <c r="O26" i="1"/>
  <c r="I26" i="1"/>
  <c r="V26" i="1"/>
  <c r="S26" i="1"/>
  <c r="Y26" i="1"/>
  <c r="R26" i="1"/>
  <c r="G26" i="1"/>
  <c r="W26" i="1"/>
  <c r="N26" i="1"/>
  <c r="F26" i="1"/>
  <c r="X26" i="1"/>
  <c r="AB26" i="1"/>
  <c r="C26" i="1"/>
  <c r="K26" i="1"/>
  <c r="Z26" i="1"/>
  <c r="AA26" i="1"/>
  <c r="AE27" i="1" l="1"/>
  <c r="AF27" i="1" s="1"/>
  <c r="AI27" i="1"/>
  <c r="AD27" i="1"/>
  <c r="M26" i="1"/>
  <c r="T26" i="1"/>
  <c r="AG26" i="1"/>
  <c r="AC26" i="1"/>
  <c r="AJ26" i="1"/>
  <c r="AH26" i="1"/>
  <c r="AK27" i="1" l="1"/>
  <c r="U25" i="1"/>
  <c r="E25" i="1"/>
  <c r="G25" i="1"/>
  <c r="C25" i="1"/>
  <c r="R25" i="1"/>
  <c r="Z25" i="1"/>
  <c r="I25" i="1"/>
  <c r="W25" i="1"/>
  <c r="F25" i="1"/>
  <c r="S25" i="1"/>
  <c r="AB25" i="1"/>
  <c r="O25" i="1"/>
  <c r="K25" i="1"/>
  <c r="N25" i="1"/>
  <c r="B25" i="1"/>
  <c r="H25" i="1"/>
  <c r="AA25" i="1"/>
  <c r="A25" i="1"/>
  <c r="Y25" i="1"/>
  <c r="L25" i="1"/>
  <c r="V25" i="1"/>
  <c r="X25" i="1"/>
  <c r="AE26" i="1" l="1"/>
  <c r="AF26" i="1" s="1"/>
  <c r="AI26" i="1"/>
  <c r="AD26" i="1"/>
  <c r="M25" i="1"/>
  <c r="T25" i="1"/>
  <c r="AG25" i="1"/>
  <c r="AC25" i="1"/>
  <c r="AJ25" i="1"/>
  <c r="AH25" i="1"/>
  <c r="AK26" i="1" l="1"/>
  <c r="U24" i="1"/>
  <c r="E24" i="1"/>
  <c r="G24" i="1"/>
  <c r="A24" i="1"/>
  <c r="W24" i="1"/>
  <c r="B24" i="1"/>
  <c r="AB24" i="1"/>
  <c r="Y24" i="1"/>
  <c r="R24" i="1"/>
  <c r="F24" i="1"/>
  <c r="V24" i="1"/>
  <c r="L24" i="1"/>
  <c r="Z24" i="1"/>
  <c r="K24" i="1"/>
  <c r="C24" i="1"/>
  <c r="S24" i="1"/>
  <c r="X24" i="1"/>
  <c r="AA24" i="1"/>
  <c r="H24" i="1"/>
  <c r="O24" i="1"/>
  <c r="N24" i="1"/>
  <c r="I24" i="1"/>
  <c r="AE25" i="1" l="1"/>
  <c r="AF25" i="1" s="1"/>
  <c r="AK25" i="1"/>
  <c r="AI25" i="1"/>
  <c r="AD25" i="1"/>
  <c r="M24" i="1"/>
  <c r="T24" i="1"/>
  <c r="AC24" i="1"/>
  <c r="AG24" i="1"/>
  <c r="AJ24" i="1"/>
  <c r="AH24" i="1"/>
  <c r="AE24" i="1" l="1"/>
  <c r="U23" i="1"/>
  <c r="E23" i="1"/>
  <c r="S23" i="1"/>
  <c r="AA23" i="1"/>
  <c r="W23" i="1"/>
  <c r="AB23" i="1"/>
  <c r="I23" i="1"/>
  <c r="B23" i="1"/>
  <c r="V23" i="1"/>
  <c r="X23" i="1"/>
  <c r="O23" i="1"/>
  <c r="Y23" i="1"/>
  <c r="F23" i="1"/>
  <c r="R23" i="1"/>
  <c r="A23" i="1"/>
  <c r="L23" i="1"/>
  <c r="H23" i="1"/>
  <c r="G23" i="1"/>
  <c r="Z23" i="1"/>
  <c r="C23" i="1"/>
  <c r="N23" i="1"/>
  <c r="K23" i="1"/>
  <c r="AK24" i="1" l="1"/>
  <c r="AI24" i="1"/>
  <c r="AF24" i="1"/>
  <c r="AD24" i="1"/>
  <c r="M23" i="1"/>
  <c r="T23" i="1"/>
  <c r="AG23" i="1"/>
  <c r="AC23" i="1"/>
  <c r="AJ23" i="1"/>
  <c r="AH23" i="1"/>
  <c r="AD23" i="1" l="1"/>
  <c r="AE23" i="1"/>
  <c r="AF23" i="1" s="1"/>
  <c r="U22" i="1"/>
  <c r="E22" i="1"/>
  <c r="W22" i="1"/>
  <c r="I22" i="1"/>
  <c r="AA22" i="1"/>
  <c r="Z22" i="1"/>
  <c r="L22" i="1"/>
  <c r="B22" i="1"/>
  <c r="K22" i="1"/>
  <c r="AB22" i="1"/>
  <c r="O22" i="1"/>
  <c r="A22" i="1"/>
  <c r="H22" i="1"/>
  <c r="N22" i="1"/>
  <c r="S22" i="1"/>
  <c r="R22" i="1"/>
  <c r="Y22" i="1"/>
  <c r="V22" i="1"/>
  <c r="F22" i="1"/>
  <c r="C22" i="1"/>
  <c r="X22" i="1"/>
  <c r="G22" i="1"/>
  <c r="AK23" i="1" l="1"/>
  <c r="AI23" i="1"/>
  <c r="M22" i="1"/>
  <c r="T22" i="1"/>
  <c r="AG22" i="1"/>
  <c r="AC22" i="1"/>
  <c r="AJ22" i="1"/>
  <c r="AH22" i="1"/>
  <c r="U21" i="1" l="1"/>
  <c r="E21" i="1"/>
  <c r="V21" i="1"/>
  <c r="C21" i="1"/>
  <c r="L21" i="1"/>
  <c r="X21" i="1"/>
  <c r="AA21" i="1"/>
  <c r="W21" i="1"/>
  <c r="O21" i="1"/>
  <c r="A21" i="1"/>
  <c r="F21" i="1"/>
  <c r="AB21" i="1"/>
  <c r="R21" i="1"/>
  <c r="H21" i="1"/>
  <c r="S21" i="1"/>
  <c r="B21" i="1"/>
  <c r="G21" i="1"/>
  <c r="N21" i="1"/>
  <c r="I21" i="1"/>
  <c r="Z21" i="1"/>
  <c r="K21" i="1"/>
  <c r="Y21" i="1"/>
  <c r="AE22" i="1" l="1"/>
  <c r="AF22" i="1" s="1"/>
  <c r="AI22" i="1"/>
  <c r="AD22" i="1"/>
  <c r="M21" i="1"/>
  <c r="T21" i="1"/>
  <c r="AG21" i="1"/>
  <c r="AC21" i="1"/>
  <c r="AJ21" i="1"/>
  <c r="AH21" i="1"/>
  <c r="AK22" i="1" l="1"/>
  <c r="AE21" i="1"/>
  <c r="AK21" i="1" l="1"/>
  <c r="AI21" i="1"/>
  <c r="AF21" i="1"/>
  <c r="AD21" i="1"/>
  <c r="U20" i="1" l="1"/>
  <c r="E20" i="1"/>
  <c r="F20" i="1"/>
  <c r="V20" i="1"/>
  <c r="AB20" i="1"/>
  <c r="Y20" i="1"/>
  <c r="L20" i="1"/>
  <c r="X20" i="1"/>
  <c r="A20" i="1"/>
  <c r="AA20" i="1"/>
  <c r="H20" i="1"/>
  <c r="S20" i="1"/>
  <c r="O20" i="1"/>
  <c r="W20" i="1"/>
  <c r="N20" i="1"/>
  <c r="C20" i="1"/>
  <c r="G20" i="1"/>
  <c r="B20" i="1"/>
  <c r="I20" i="1"/>
  <c r="Z20" i="1"/>
  <c r="K20" i="1"/>
  <c r="R20" i="1"/>
  <c r="M20" i="1" l="1"/>
  <c r="T20" i="1"/>
  <c r="AG20" i="1"/>
  <c r="AC20" i="1"/>
  <c r="AJ20" i="1"/>
  <c r="AH20" i="1"/>
  <c r="U19" i="1" l="1"/>
  <c r="E19" i="1"/>
  <c r="AA19" i="1"/>
  <c r="G19" i="1"/>
  <c r="X19" i="1"/>
  <c r="H19" i="1"/>
  <c r="A19" i="1"/>
  <c r="K19" i="1"/>
  <c r="B19" i="1"/>
  <c r="F19" i="1"/>
  <c r="I19" i="1"/>
  <c r="O19" i="1"/>
  <c r="W19" i="1"/>
  <c r="S19" i="1"/>
  <c r="AB19" i="1"/>
  <c r="L19" i="1"/>
  <c r="V19" i="1"/>
  <c r="Z19" i="1"/>
  <c r="R19" i="1"/>
  <c r="N19" i="1"/>
  <c r="Y19" i="1"/>
  <c r="C19" i="1"/>
  <c r="AE20" i="1" l="1"/>
  <c r="AF20" i="1" s="1"/>
  <c r="AI20" i="1"/>
  <c r="AD20" i="1"/>
  <c r="M19" i="1"/>
  <c r="T19" i="1"/>
  <c r="AC19" i="1"/>
  <c r="AG19" i="1"/>
  <c r="AJ19" i="1"/>
  <c r="AH19" i="1"/>
  <c r="AK20" i="1" l="1"/>
  <c r="AE19" i="1"/>
  <c r="U18" i="1"/>
  <c r="E18" i="1"/>
  <c r="C18" i="1"/>
  <c r="G18" i="1"/>
  <c r="B18" i="1"/>
  <c r="H18" i="1"/>
  <c r="L18" i="1"/>
  <c r="A18" i="1"/>
  <c r="W18" i="1"/>
  <c r="I18" i="1"/>
  <c r="V18" i="1"/>
  <c r="X18" i="1"/>
  <c r="S18" i="1"/>
  <c r="F18" i="1"/>
  <c r="AA18" i="1"/>
  <c r="Z18" i="1"/>
  <c r="Y18" i="1"/>
  <c r="O18" i="1"/>
  <c r="AB18" i="1"/>
  <c r="N18" i="1"/>
  <c r="K18" i="1"/>
  <c r="R18" i="1"/>
  <c r="AK19" i="1" l="1"/>
  <c r="AI19" i="1"/>
  <c r="AF19" i="1"/>
  <c r="AD19" i="1"/>
  <c r="M18" i="1"/>
  <c r="T18" i="1"/>
  <c r="AG18" i="1"/>
  <c r="AC18" i="1"/>
  <c r="AJ18" i="1"/>
  <c r="AH18" i="1"/>
  <c r="AE18" i="1" l="1"/>
  <c r="U17" i="1"/>
  <c r="E17" i="1"/>
  <c r="K17" i="1"/>
  <c r="V17" i="1"/>
  <c r="AA17" i="1"/>
  <c r="C17" i="1"/>
  <c r="A17" i="1"/>
  <c r="S17" i="1"/>
  <c r="Y17" i="1"/>
  <c r="N17" i="1"/>
  <c r="H17" i="1"/>
  <c r="G17" i="1"/>
  <c r="Z17" i="1"/>
  <c r="W17" i="1"/>
  <c r="R17" i="1"/>
  <c r="I17" i="1"/>
  <c r="F17" i="1"/>
  <c r="O17" i="1"/>
  <c r="L17" i="1"/>
  <c r="AB17" i="1"/>
  <c r="B17" i="1"/>
  <c r="X17" i="1"/>
  <c r="AK18" i="1" l="1"/>
  <c r="AI18" i="1"/>
  <c r="AF18" i="1"/>
  <c r="AD18" i="1"/>
  <c r="M17" i="1"/>
  <c r="T17" i="1"/>
  <c r="AG17" i="1"/>
  <c r="AC17" i="1"/>
  <c r="AJ17" i="1"/>
  <c r="AH17" i="1"/>
  <c r="U16" i="1" l="1"/>
  <c r="E16" i="1"/>
  <c r="S16" i="1"/>
  <c r="AA16" i="1"/>
  <c r="B16" i="1"/>
  <c r="W16" i="1"/>
  <c r="C16" i="1"/>
  <c r="Z16" i="1"/>
  <c r="F16" i="1"/>
  <c r="V16" i="1"/>
  <c r="R16" i="1"/>
  <c r="I16" i="1"/>
  <c r="A16" i="1"/>
  <c r="AB16" i="1"/>
  <c r="X16" i="1"/>
  <c r="O16" i="1"/>
  <c r="G16" i="1"/>
  <c r="H16" i="1"/>
  <c r="K16" i="1"/>
  <c r="L16" i="1"/>
  <c r="N16" i="1"/>
  <c r="Y16" i="1"/>
  <c r="AE17" i="1" l="1"/>
  <c r="AF17" i="1" s="1"/>
  <c r="AK17" i="1"/>
  <c r="AI17" i="1"/>
  <c r="AD17" i="1"/>
  <c r="M16" i="1"/>
  <c r="T16" i="1"/>
  <c r="AC16" i="1"/>
  <c r="AG16" i="1"/>
  <c r="AJ16" i="1"/>
  <c r="AH16" i="1"/>
  <c r="AE16" i="1" l="1"/>
  <c r="U15" i="1"/>
  <c r="E15" i="1"/>
  <c r="O15" i="1"/>
  <c r="I15" i="1"/>
  <c r="Z15" i="1"/>
  <c r="AB15" i="1"/>
  <c r="AA15" i="1"/>
  <c r="V15" i="1"/>
  <c r="L15" i="1"/>
  <c r="H15" i="1"/>
  <c r="K15" i="1"/>
  <c r="G15" i="1"/>
  <c r="A15" i="1"/>
  <c r="R15" i="1"/>
  <c r="X15" i="1"/>
  <c r="F15" i="1"/>
  <c r="B15" i="1"/>
  <c r="W15" i="1"/>
  <c r="S15" i="1"/>
  <c r="Y15" i="1"/>
  <c r="C15" i="1"/>
  <c r="N15" i="1"/>
  <c r="AK16" i="1" l="1"/>
  <c r="AI16" i="1"/>
  <c r="AF16" i="1"/>
  <c r="AD16" i="1"/>
  <c r="U14" i="1"/>
  <c r="E14" i="1"/>
  <c r="I14" i="1"/>
  <c r="R14" i="1"/>
  <c r="V14" i="1"/>
  <c r="H14" i="1"/>
  <c r="N14" i="1"/>
  <c r="A14" i="1"/>
  <c r="AA14" i="1"/>
  <c r="Y14" i="1"/>
  <c r="B14" i="1"/>
  <c r="F14" i="1"/>
  <c r="X14" i="1"/>
  <c r="O14" i="1"/>
  <c r="Z14" i="1"/>
  <c r="K14" i="1"/>
  <c r="T15" i="1"/>
  <c r="G14" i="1"/>
  <c r="S14" i="1"/>
  <c r="C14" i="1"/>
  <c r="AB14" i="1"/>
  <c r="L14" i="1"/>
  <c r="W14" i="1"/>
  <c r="AG15" i="1"/>
  <c r="AC15" i="1"/>
  <c r="AJ15" i="1"/>
  <c r="AH15" i="1"/>
  <c r="M14" i="1" l="1"/>
  <c r="T14" i="1"/>
  <c r="AG14" i="1"/>
  <c r="AC14" i="1"/>
  <c r="AJ14" i="1"/>
  <c r="AH14" i="1"/>
  <c r="AE15" i="1" l="1"/>
  <c r="AF15" i="1" s="1"/>
  <c r="AK15" i="1"/>
  <c r="AI15" i="1"/>
  <c r="AE14" i="1"/>
  <c r="AD15" i="1"/>
  <c r="U13" i="1"/>
  <c r="E13" i="1"/>
  <c r="I13" i="1"/>
  <c r="S13" i="1"/>
  <c r="K13" i="1"/>
  <c r="AB13" i="1"/>
  <c r="F13" i="1"/>
  <c r="X13" i="1"/>
  <c r="H13" i="1"/>
  <c r="Z13" i="1"/>
  <c r="Y13" i="1"/>
  <c r="R13" i="1"/>
  <c r="V13" i="1"/>
  <c r="N13" i="1"/>
  <c r="A13" i="1"/>
  <c r="L13" i="1"/>
  <c r="AA13" i="1"/>
  <c r="W13" i="1"/>
  <c r="B13" i="1"/>
  <c r="G13" i="1"/>
  <c r="O13" i="1"/>
  <c r="C13" i="1"/>
  <c r="AK14" i="1" l="1"/>
  <c r="AI14" i="1"/>
  <c r="AF14" i="1"/>
  <c r="AD14" i="1"/>
  <c r="M13" i="1"/>
  <c r="T13" i="1"/>
  <c r="AG13" i="1"/>
  <c r="AC13" i="1"/>
  <c r="AJ13" i="1"/>
  <c r="AH13" i="1"/>
  <c r="AE13" i="1" l="1"/>
  <c r="U12" i="1"/>
  <c r="E12" i="1"/>
  <c r="W12" i="1"/>
  <c r="F12" i="1"/>
  <c r="H12" i="1"/>
  <c r="AB12" i="1"/>
  <c r="Z12" i="1"/>
  <c r="G12" i="1"/>
  <c r="R12" i="1"/>
  <c r="O12" i="1"/>
  <c r="A12" i="1"/>
  <c r="K12" i="1"/>
  <c r="C12" i="1"/>
  <c r="I12" i="1"/>
  <c r="Y12" i="1"/>
  <c r="N12" i="1"/>
  <c r="B12" i="1"/>
  <c r="AA12" i="1"/>
  <c r="S12" i="1"/>
  <c r="X12" i="1"/>
  <c r="L12" i="1"/>
  <c r="V12" i="1"/>
  <c r="AK13" i="1" l="1"/>
  <c r="AI13" i="1"/>
  <c r="AF13" i="1"/>
  <c r="AD13" i="1"/>
  <c r="M12" i="1"/>
  <c r="T12" i="1"/>
  <c r="AG12" i="1"/>
  <c r="AC12" i="1"/>
  <c r="AJ12" i="1"/>
  <c r="AH12" i="1"/>
  <c r="AD12" i="1" l="1"/>
  <c r="U11" i="1"/>
  <c r="E11" i="1"/>
  <c r="B11" i="1"/>
  <c r="O11" i="1"/>
  <c r="F11" i="1"/>
  <c r="N11" i="1"/>
  <c r="AA11" i="1"/>
  <c r="Y11" i="1"/>
  <c r="Z11" i="1"/>
  <c r="K11" i="1"/>
  <c r="R11" i="1"/>
  <c r="I11" i="1"/>
  <c r="A11" i="1"/>
  <c r="G11" i="1"/>
  <c r="W11" i="1"/>
  <c r="C11" i="1"/>
  <c r="AB11" i="1"/>
  <c r="H11" i="1"/>
  <c r="V11" i="1"/>
  <c r="L11" i="1"/>
  <c r="S11" i="1"/>
  <c r="X11" i="1"/>
  <c r="AE12" i="1" l="1"/>
  <c r="AF12" i="1" s="1"/>
  <c r="AK12" i="1"/>
  <c r="AI12" i="1"/>
  <c r="M11" i="1"/>
  <c r="T11" i="1"/>
  <c r="AG11" i="1"/>
  <c r="AC11" i="1"/>
  <c r="AJ11" i="1"/>
  <c r="AH11" i="1"/>
  <c r="AE11" i="1" l="1"/>
  <c r="U10" i="1"/>
  <c r="E10" i="1"/>
  <c r="A10" i="1"/>
  <c r="L10" i="1"/>
  <c r="H10" i="1"/>
  <c r="W10" i="1"/>
  <c r="AA10" i="1"/>
  <c r="F10" i="1"/>
  <c r="O10" i="1"/>
  <c r="V10" i="1"/>
  <c r="G10" i="1"/>
  <c r="Y10" i="1"/>
  <c r="C10" i="1"/>
  <c r="B10" i="1"/>
  <c r="I10" i="1"/>
  <c r="R10" i="1"/>
  <c r="X10" i="1"/>
  <c r="N10" i="1"/>
  <c r="Z10" i="1"/>
  <c r="AB10" i="1"/>
  <c r="K10" i="1"/>
  <c r="S10" i="1"/>
  <c r="AK11" i="1" l="1"/>
  <c r="AI11" i="1"/>
  <c r="AF11" i="1"/>
  <c r="AD11" i="1"/>
  <c r="M10" i="1"/>
  <c r="T10" i="1"/>
  <c r="AG10" i="1"/>
  <c r="AC10" i="1"/>
  <c r="AJ10" i="1"/>
  <c r="AH10" i="1"/>
  <c r="AE10" i="1" l="1"/>
  <c r="AF10" i="1" s="1"/>
  <c r="U9" i="1"/>
  <c r="E9" i="1"/>
  <c r="A9" i="1"/>
  <c r="C9" i="1"/>
  <c r="R9" i="1"/>
  <c r="H9" i="1"/>
  <c r="F9" i="1"/>
  <c r="W9" i="1"/>
  <c r="AA9" i="1"/>
  <c r="O9" i="1"/>
  <c r="V9" i="1"/>
  <c r="S9" i="1"/>
  <c r="Z9" i="1"/>
  <c r="X9" i="1"/>
  <c r="B9" i="1"/>
  <c r="AB9" i="1"/>
  <c r="I9" i="1"/>
  <c r="L9" i="1"/>
  <c r="N9" i="1"/>
  <c r="K9" i="1"/>
  <c r="Y9" i="1"/>
  <c r="G9" i="1"/>
  <c r="AK10" i="1" l="1"/>
  <c r="AD10" i="1"/>
  <c r="AI10" i="1"/>
  <c r="M9" i="1"/>
  <c r="T9" i="1"/>
  <c r="AC9" i="1"/>
  <c r="AG9" i="1"/>
  <c r="AJ9" i="1"/>
  <c r="AH9" i="1"/>
  <c r="AE9" i="1" l="1"/>
  <c r="U8" i="1"/>
  <c r="E8" i="1"/>
  <c r="F8" i="1"/>
  <c r="L8" i="1"/>
  <c r="V8" i="1"/>
  <c r="G8" i="1"/>
  <c r="X8" i="1"/>
  <c r="W8" i="1"/>
  <c r="R8" i="1"/>
  <c r="H8" i="1"/>
  <c r="AA8" i="1"/>
  <c r="A8" i="1"/>
  <c r="C8" i="1"/>
  <c r="O8" i="1"/>
  <c r="K8" i="1"/>
  <c r="S8" i="1"/>
  <c r="N8" i="1"/>
  <c r="AB8" i="1"/>
  <c r="Z8" i="1"/>
  <c r="Y8" i="1"/>
  <c r="I8" i="1"/>
  <c r="B8" i="1"/>
  <c r="AK9" i="1" l="1"/>
  <c r="AI9" i="1"/>
  <c r="AF9" i="1"/>
  <c r="AD9" i="1"/>
  <c r="M8" i="1"/>
  <c r="T8" i="1"/>
  <c r="AG8" i="1"/>
  <c r="AC8" i="1"/>
  <c r="AJ8" i="1"/>
  <c r="AH8" i="1"/>
  <c r="AE8" i="1" l="1"/>
  <c r="AK8" i="1" l="1"/>
  <c r="AI8" i="1"/>
  <c r="AF8" i="1"/>
  <c r="AD8" i="1"/>
  <c r="U7" i="1" l="1"/>
  <c r="E7" i="1"/>
  <c r="O7" i="1"/>
  <c r="AA7" i="1"/>
  <c r="Y7" i="1"/>
  <c r="L7" i="1"/>
  <c r="F7" i="1"/>
  <c r="G7" i="1"/>
  <c r="K7" i="1"/>
  <c r="H7" i="1"/>
  <c r="V7" i="1"/>
  <c r="R7" i="1"/>
  <c r="W7" i="1"/>
  <c r="N7" i="1"/>
  <c r="Z7" i="1"/>
  <c r="I7" i="1"/>
  <c r="AB7" i="1"/>
  <c r="A7" i="1"/>
  <c r="X7" i="1"/>
  <c r="C7" i="1"/>
  <c r="B7" i="1"/>
  <c r="S7" i="1"/>
  <c r="M7" i="1" l="1"/>
  <c r="T7" i="1"/>
  <c r="AG7" i="1"/>
  <c r="AC7" i="1"/>
  <c r="AJ7" i="1"/>
  <c r="AH7" i="1"/>
  <c r="AE7" i="1" l="1"/>
  <c r="U6" i="1"/>
  <c r="E6" i="1"/>
  <c r="Y6" i="1"/>
  <c r="AA6" i="1"/>
  <c r="L6" i="1"/>
  <c r="A6" i="1"/>
  <c r="F6" i="1"/>
  <c r="N6" i="1"/>
  <c r="K6" i="1"/>
  <c r="W6" i="1"/>
  <c r="B6" i="1"/>
  <c r="Z6" i="1"/>
  <c r="V6" i="1"/>
  <c r="R6" i="1"/>
  <c r="G6" i="1"/>
  <c r="S6" i="1"/>
  <c r="H6" i="1"/>
  <c r="O6" i="1"/>
  <c r="I6" i="1"/>
  <c r="AB6" i="1"/>
  <c r="X6" i="1"/>
  <c r="C6" i="1"/>
  <c r="AK7" i="1" l="1"/>
  <c r="AI7" i="1"/>
  <c r="AF7" i="1"/>
  <c r="AD7" i="1"/>
  <c r="M6" i="1"/>
  <c r="T6" i="1"/>
  <c r="AC6" i="1"/>
  <c r="AG6" i="1"/>
  <c r="AJ6" i="1"/>
  <c r="AH6" i="1"/>
  <c r="AE6" i="1" l="1"/>
  <c r="U5" i="1"/>
  <c r="E5" i="1"/>
  <c r="K5" i="1"/>
  <c r="L5" i="1"/>
  <c r="F5" i="1"/>
  <c r="W5" i="1"/>
  <c r="Y5" i="1"/>
  <c r="S5" i="1"/>
  <c r="C5" i="1"/>
  <c r="R5" i="1"/>
  <c r="I5" i="1"/>
  <c r="Z5" i="1"/>
  <c r="G5" i="1"/>
  <c r="H5" i="1"/>
  <c r="X5" i="1"/>
  <c r="AB5" i="1"/>
  <c r="B5" i="1"/>
  <c r="V5" i="1"/>
  <c r="A5" i="1"/>
  <c r="O5" i="1"/>
  <c r="AA5" i="1"/>
  <c r="N5" i="1"/>
  <c r="AK6" i="1" l="1"/>
  <c r="AI6" i="1"/>
  <c r="AF6" i="1"/>
  <c r="AD6" i="1"/>
  <c r="M5" i="1"/>
  <c r="T5" i="1"/>
  <c r="AG5" i="1"/>
  <c r="AC5" i="1"/>
  <c r="AJ5" i="1"/>
  <c r="AH5" i="1"/>
  <c r="AE5" i="1" l="1"/>
  <c r="AF5" i="1" s="1"/>
  <c r="AK5" i="1" l="1"/>
  <c r="AI5" i="1"/>
  <c r="AD5" i="1"/>
</calcChain>
</file>

<file path=xl/sharedStrings.xml><?xml version="1.0" encoding="utf-8"?>
<sst xmlns="http://schemas.openxmlformats.org/spreadsheetml/2006/main" count="367" uniqueCount="231">
  <si>
    <t>XS1480176111</t>
  </si>
  <si>
    <t>ISIN</t>
  </si>
  <si>
    <t>CalcType</t>
  </si>
  <si>
    <t>DayCount</t>
  </si>
  <si>
    <t>ACT/360</t>
  </si>
  <si>
    <t>Bond Generator</t>
  </si>
  <si>
    <t>Bond Identifier</t>
  </si>
  <si>
    <t>BondDescription</t>
  </si>
  <si>
    <t>Coupon</t>
  </si>
  <si>
    <t>MaturityDate</t>
  </si>
  <si>
    <t>QuoteType</t>
  </si>
  <si>
    <t>CreateBond</t>
  </si>
  <si>
    <t>IssueDate</t>
  </si>
  <si>
    <t>AccrualStartDate</t>
  </si>
  <si>
    <t>RollDay</t>
  </si>
  <si>
    <t>FirstCouponDate</t>
  </si>
  <si>
    <t>LastCouponDate</t>
  </si>
  <si>
    <t>XS1678632487</t>
  </si>
  <si>
    <t>DiscountMargin</t>
  </si>
  <si>
    <t>AssumedIndex</t>
  </si>
  <si>
    <t>RateToNext</t>
  </si>
  <si>
    <t>NextCouponRate</t>
  </si>
  <si>
    <t>SettlementDate</t>
  </si>
  <si>
    <t>FR0013216884</t>
  </si>
  <si>
    <t>XS1781813511</t>
  </si>
  <si>
    <t>XS1046499981</t>
  </si>
  <si>
    <t>DE000A19X793</t>
  </si>
  <si>
    <t>XS1734547919</t>
  </si>
  <si>
    <t>XS1794195724</t>
  </si>
  <si>
    <t>XS1808497264</t>
  </si>
  <si>
    <t>DE000A2GSCY9</t>
  </si>
  <si>
    <t>XS1822301039</t>
  </si>
  <si>
    <t>XS1398275112</t>
  </si>
  <si>
    <t>XS1725668633</t>
  </si>
  <si>
    <t>XS1292468987</t>
  </si>
  <si>
    <t>XS1671754650</t>
  </si>
  <si>
    <t>FR0013257599</t>
  </si>
  <si>
    <t>XS1564405741</t>
  </si>
  <si>
    <t>FR0012969012</t>
  </si>
  <si>
    <t>XS1782508508</t>
  </si>
  <si>
    <t>XS1609252645</t>
  </si>
  <si>
    <t>FR0013309606</t>
  </si>
  <si>
    <t>FR0013054020</t>
  </si>
  <si>
    <t>US30231GAE26</t>
  </si>
  <si>
    <t>FR0013324316</t>
  </si>
  <si>
    <t>FR0013250685</t>
  </si>
  <si>
    <t>XS1382791892</t>
  </si>
  <si>
    <t>XS1750116920</t>
  </si>
  <si>
    <t>XS1637162246</t>
  </si>
  <si>
    <t>XS1522989869</t>
  </si>
  <si>
    <t>XS1806435324</t>
  </si>
  <si>
    <t>XS1612940988</t>
  </si>
  <si>
    <t>FR0013292687</t>
  </si>
  <si>
    <t>BE6285450449</t>
  </si>
  <si>
    <t>FR0013241379</t>
  </si>
  <si>
    <t>XS1197832832</t>
  </si>
  <si>
    <t>XS1108681625</t>
  </si>
  <si>
    <t>XS1078028864</t>
  </si>
  <si>
    <t>DE000A169GZ7</t>
  </si>
  <si>
    <t>DE000A2G8VS7</t>
  </si>
  <si>
    <t>XS1033649739</t>
  </si>
  <si>
    <t>XS1828028677</t>
  </si>
  <si>
    <t>XS1651071521</t>
  </si>
  <si>
    <t>DE000A185WC9</t>
  </si>
  <si>
    <t>FR0012432904</t>
  </si>
  <si>
    <t>XS1554462421</t>
  </si>
  <si>
    <t>XS1249494086</t>
  </si>
  <si>
    <t>DE000A14KJE8</t>
  </si>
  <si>
    <t>XS1234366448</t>
  </si>
  <si>
    <t>XS1586555515</t>
  </si>
  <si>
    <t>XS1718416586</t>
  </si>
  <si>
    <t>FR0012315133</t>
  </si>
  <si>
    <t>XS1089831249</t>
  </si>
  <si>
    <t>XS1212467911</t>
  </si>
  <si>
    <t>XS1485660895</t>
  </si>
  <si>
    <t>XS1190623907</t>
  </si>
  <si>
    <t>XS1618349804</t>
  </si>
  <si>
    <t>XS1082839553</t>
  </si>
  <si>
    <t>DE000A19RXA1</t>
  </si>
  <si>
    <t>FR0013260486</t>
  </si>
  <si>
    <t>XS1591430746</t>
  </si>
  <si>
    <t>XS1362349869</t>
  </si>
  <si>
    <t>FR0011884899</t>
  </si>
  <si>
    <t>FR0012146751</t>
  </si>
  <si>
    <t>XS1619284372</t>
  </si>
  <si>
    <t>XS1292513105</t>
  </si>
  <si>
    <t>XS1823165631</t>
  </si>
  <si>
    <t>DE000A19SE11</t>
  </si>
  <si>
    <t>XS1756669740</t>
  </si>
  <si>
    <t>XS1664643746</t>
  </si>
  <si>
    <t>XS1107266782</t>
  </si>
  <si>
    <t>XS1723613581</t>
  </si>
  <si>
    <t>XS1642545690</t>
  </si>
  <si>
    <t>XS1319814817</t>
  </si>
  <si>
    <t>XS1139316555</t>
  </si>
  <si>
    <t>XS1635905570</t>
  </si>
  <si>
    <t>XS1729872652</t>
  </si>
  <si>
    <t>XS1787517199</t>
  </si>
  <si>
    <t>XS1144084099</t>
  </si>
  <si>
    <t>XS1323463056</t>
  </si>
  <si>
    <t>XS1821814800</t>
  </si>
  <si>
    <t>XS1705553417</t>
  </si>
  <si>
    <t>BE6276038419</t>
  </si>
  <si>
    <t>FR0013330107</t>
  </si>
  <si>
    <t>XS1729872736</t>
  </si>
  <si>
    <t>XS1381690574</t>
  </si>
  <si>
    <t>XS1574156540</t>
  </si>
  <si>
    <t>FR0013266343</t>
  </si>
  <si>
    <t>DE000A13SL18</t>
  </si>
  <si>
    <t>FR0013264884</t>
  </si>
  <si>
    <t>XS1692846790</t>
  </si>
  <si>
    <t>FR0013322146</t>
  </si>
  <si>
    <t>XS1792505197</t>
  </si>
  <si>
    <t>XS1599109896</t>
  </si>
  <si>
    <t>FR0013221652</t>
  </si>
  <si>
    <t>DE000A19HBM3</t>
  </si>
  <si>
    <t>XS1590503279</t>
  </si>
  <si>
    <t>XS1171489476</t>
  </si>
  <si>
    <t>XS1821814982</t>
  </si>
  <si>
    <t>FR0013136330</t>
  </si>
  <si>
    <t>XS1574667124</t>
  </si>
  <si>
    <t>XS1237187718</t>
  </si>
  <si>
    <t>XS1753030490</t>
  </si>
  <si>
    <t>XS1642546078</t>
  </si>
  <si>
    <t>XS1288342147</t>
  </si>
  <si>
    <t>XS1830992563</t>
  </si>
  <si>
    <t>XS1767930826</t>
  </si>
  <si>
    <t>XS1715323298</t>
  </si>
  <si>
    <t>XS1717567587</t>
  </si>
  <si>
    <t>XS1771768188</t>
  </si>
  <si>
    <t>XS1301773799</t>
  </si>
  <si>
    <t>XS1306411726</t>
  </si>
  <si>
    <t>XS1822824642</t>
  </si>
  <si>
    <t>XS1683495052</t>
  </si>
  <si>
    <t>XS1206712868</t>
  </si>
  <si>
    <t>XS1679028479</t>
  </si>
  <si>
    <t>XS1715353105</t>
  </si>
  <si>
    <t>XS1622634126</t>
  </si>
  <si>
    <t>FR0013342664</t>
  </si>
  <si>
    <t>XS1568906421</t>
  </si>
  <si>
    <t>BE6301509012</t>
  </si>
  <si>
    <t>DE000A19UNN9</t>
  </si>
  <si>
    <t>XS1230926609</t>
  </si>
  <si>
    <t>XS1767087940</t>
  </si>
  <si>
    <t>XS1717202730</t>
  </si>
  <si>
    <t>DE000A1Z6M04</t>
  </si>
  <si>
    <t>XS1372838083</t>
  </si>
  <si>
    <t>XS1057486471</t>
  </si>
  <si>
    <t>XS1840614736</t>
  </si>
  <si>
    <t>XS1363560548</t>
  </si>
  <si>
    <t>XS1346107433</t>
  </si>
  <si>
    <t>XS1224953452</t>
  </si>
  <si>
    <t>FR0013263936</t>
  </si>
  <si>
    <t>XS1712180477</t>
  </si>
  <si>
    <t>XS1577870808</t>
  </si>
  <si>
    <t>ISSUE_DT</t>
  </si>
  <si>
    <t>START_ACC_DT</t>
  </si>
  <si>
    <t>MATURITY</t>
  </si>
  <si>
    <t>PX_DIRTY_CLEAN</t>
  </si>
  <si>
    <t>FLOATER_TYPE21</t>
  </si>
  <si>
    <t>Settlement</t>
  </si>
  <si>
    <t>Quoted Margin</t>
  </si>
  <si>
    <t>FLT_SPREAD</t>
  </si>
  <si>
    <t>BBG PX</t>
  </si>
  <si>
    <t>Error</t>
  </si>
  <si>
    <t>ID</t>
  </si>
  <si>
    <t>ID_CUSIP</t>
  </si>
  <si>
    <t>CCY</t>
  </si>
  <si>
    <t>CRNCY</t>
  </si>
  <si>
    <t>BOND_STATICDATA</t>
  </si>
  <si>
    <t/>
  </si>
  <si>
    <t>BondType</t>
  </si>
  <si>
    <t>FLOATER</t>
  </si>
  <si>
    <t>Currency</t>
  </si>
  <si>
    <t>EUR</t>
  </si>
  <si>
    <t>YieldType</t>
  </si>
  <si>
    <t>YIELD-TO-MATURITY</t>
  </si>
  <si>
    <t>IsCleanPrice</t>
  </si>
  <si>
    <t>TRUE</t>
  </si>
  <si>
    <t>BondQuoteConvention</t>
  </si>
  <si>
    <t>BOND_SCHEDULE</t>
  </si>
  <si>
    <t>PayReceive</t>
  </si>
  <si>
    <t>RECEIVE</t>
  </si>
  <si>
    <t>NotionalExchange</t>
  </si>
  <si>
    <t>START_AND_END</t>
  </si>
  <si>
    <t>FaceValue</t>
  </si>
  <si>
    <t>Frequency</t>
  </si>
  <si>
    <t>Quarterly</t>
  </si>
  <si>
    <t>AccrualBusinessDayAdjustment</t>
  </si>
  <si>
    <t>MOD_FOLLOWING</t>
  </si>
  <si>
    <t>AccrualCalendar</t>
  </si>
  <si>
    <t>TGT</t>
  </si>
  <si>
    <t>PaymentBusinessDayAdjustment</t>
  </si>
  <si>
    <t>PaymentCalendar</t>
  </si>
  <si>
    <t>PaymentLag</t>
  </si>
  <si>
    <t>0D</t>
  </si>
  <si>
    <t>CalculationType</t>
  </si>
  <si>
    <t>TYPE21_FLOATING_RATE_NOTE</t>
  </si>
  <si>
    <t>YAS_FLOATER_DISCOUNT_MARGIN</t>
  </si>
  <si>
    <t>YAS_FLOATER_INDEX_TO_NEXT_COUPON</t>
  </si>
  <si>
    <t>YAS_BOND_PX</t>
  </si>
  <si>
    <t>YAS_FLOATER_ASSUMED_RATE</t>
  </si>
  <si>
    <t>LNB:TGT</t>
  </si>
  <si>
    <t>NXT_CPN_DT</t>
  </si>
  <si>
    <t>3DP</t>
  </si>
  <si>
    <t>CALC_TYP</t>
  </si>
  <si>
    <t>CALLABLE</t>
  </si>
  <si>
    <t>ZERO_CPN</t>
  </si>
  <si>
    <t>Callable</t>
  </si>
  <si>
    <t>ZeroCpn</t>
  </si>
  <si>
    <t>ID_BB_SEC_NUM_DES</t>
  </si>
  <si>
    <t>PENULTIMATE_CPN_DT</t>
  </si>
  <si>
    <t>NO_CHANGE</t>
  </si>
  <si>
    <t>CNTRY_OF_RISK</t>
  </si>
  <si>
    <t>Country</t>
  </si>
  <si>
    <t>CPN</t>
  </si>
  <si>
    <t>EUR_FLOATER_TYPE21_UNADJUSTED</t>
  </si>
  <si>
    <t>GBP_FLOATER_TYPE21_UNADJUSTED</t>
  </si>
  <si>
    <t>EUR_FLOATER_TYPE21</t>
  </si>
  <si>
    <t>USD_FLOATER_TYPE21</t>
  </si>
  <si>
    <t>YAS_BOND_YLD</t>
  </si>
  <si>
    <t>BBG Yield</t>
  </si>
  <si>
    <t xml:space="preserve"> </t>
  </si>
  <si>
    <t>EUR_FLOATER_TYPE21_ACTACT_UNADJUSTED</t>
  </si>
  <si>
    <t>YIELD from PX</t>
  </si>
  <si>
    <t>PX from DISC MARGIN</t>
  </si>
  <si>
    <t>PX from YIELD</t>
  </si>
  <si>
    <t>Quoted to 3 DP</t>
  </si>
  <si>
    <t>Raw Unformatted</t>
  </si>
  <si>
    <t>DISC MARGIN from PX</t>
  </si>
  <si>
    <t>QuotedMargin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</si>
</sst>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dd\,\ d\-mmm\-yyyy"/>
    <numFmt numFmtId="165" formatCode="#,##0.000"/>
    <numFmt numFmtId="166" formatCode="ddd\,\ d\-mmm\-yy"/>
    <numFmt numFmtId="167" formatCode="#,##0.00000"/>
    <numFmt numFmtId="168" formatCode="0.0000"/>
    <numFmt numFmtId="169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16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67" fontId="0" fillId="0" borderId="0" xfId="0" applyNumberForma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165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quotePrefix="1"/>
    <xf numFmtId="164" fontId="0" fillId="0" borderId="0" xfId="0" quotePrefix="1" applyNumberFormat="1"/>
    <xf numFmtId="0" fontId="0" fillId="0" borderId="0" xfId="0" quotePrefix="1" applyAlignment="1">
      <alignment horizontal="center"/>
    </xf>
    <xf numFmtId="165" fontId="0" fillId="0" borderId="0" xfId="0" quotePrefix="1" applyNumberFormat="1" applyAlignment="1">
      <alignment horizontal="center" vertical="center"/>
    </xf>
    <xf numFmtId="165" fontId="0" fillId="0" borderId="0" xfId="0" quotePrefix="1" applyNumberFormat="1" applyAlignment="1">
      <alignment horizontal="center"/>
    </xf>
    <xf numFmtId="4" fontId="0" fillId="0" borderId="0" xfId="0" quotePrefix="1" applyNumberFormat="1" applyAlignment="1">
      <alignment horizontal="center" vertical="center"/>
    </xf>
    <xf numFmtId="15" fontId="0" fillId="0" borderId="0" xfId="0" quotePrefix="1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28/01/2019</v>
        <stp/>
        <stp>##V3_BDPV12</stp>
        <stp>XS1224953452 CORP</stp>
        <stp>NXT_CPN_DT</stp>
        <stp>[BondFloaters.xlsx]FLOATERS!R135C14</stp>
        <tr r="N135" s="1"/>
      </tp>
      <tp t="s">
        <v>12/02/2019</v>
        <stp/>
        <stp>##V3_BDPV12</stp>
        <stp>XS1771768188 CORP</stp>
        <stp>NXT_CPN_DT</stp>
        <stp>[BondFloaters.xlsx]FLOATERS!R113C14</stp>
        <tr r="N113" s="1"/>
      </tp>
      <tp>
        <v>0.38300000000000001</v>
        <stp/>
        <stp>##V3_BDPV12</stp>
        <stp>FR0013054020 CORP</stp>
        <stp>CPN</stp>
        <stp>[BondFloaters.xlsx]FLOATERS!R26C25</stp>
        <tr r="Y26" s="1"/>
      </tp>
      <tp>
        <v>0</v>
        <stp/>
        <stp>##V3_BDPV12</stp>
        <stp>XS1822301039 CORP</stp>
        <stp>CPN</stp>
        <stp>[BondFloaters.xlsx]FLOATERS!R15C25</stp>
        <tr r="Y15" s="1"/>
      </tp>
      <tp>
        <v>0</v>
        <stp/>
        <stp>##V3_BDPV12</stp>
        <stp>FR0012315133 CORP</stp>
        <stp>CPN</stp>
        <stp>[BondFloaters.xlsx]FLOATERS!R55C25</stp>
        <tr r="Y55" s="1"/>
      </tp>
      <tp t="s">
        <v>26/02/2019</v>
        <stp/>
        <stp>##V3_BDPV12</stp>
        <stp>XS1237187718 CORP</stp>
        <stp>NXT_CPN_DT</stp>
        <stp>[BondFloaters.xlsx]FLOATERS!R105C14</stp>
        <tr r="N105" s="1"/>
      </tp>
      <tp t="s">
        <v>15/02/2019</v>
        <stp/>
        <stp>##V3_BDPV12</stp>
        <stp>XS1717202730 CORP</stp>
        <stp>NXT_CPN_DT</stp>
        <stp>[BondFloaters.xlsx]FLOATERS!R128C14</stp>
        <tr r="N128" s="1"/>
      </tp>
      <tp>
        <v>38</v>
        <stp/>
        <stp>##V3_BDPV12</stp>
        <stp>DE000A1Z6M04 CORP</stp>
        <stp>FLT_SPREAD</stp>
        <stp>[BondFloaters.xlsx]FLOATERS!R129C17</stp>
        <tr r="Q129" s="1"/>
      </tp>
      <tp>
        <v>38</v>
        <stp/>
        <stp>##V3_BDPV12</stp>
        <stp>DE000A1Z6M04 CORP</stp>
        <stp>FLT_SPREAD</stp>
        <stp>[BondFloaters.xlsx]FLOATERS!R129C26</stp>
        <tr r="Z129" s="1"/>
      </tp>
      <tp t="s">
        <v>FR</v>
        <stp/>
        <stp>##V3_BDPV12</stp>
        <stp>FR0013216884 CORP</stp>
        <stp>CNTRY_OF_RISK</stp>
        <stp>[BondFloaters.xlsx]FLOATERS!R7C3</stp>
        <tr r="C7" s="1"/>
      </tp>
      <tp t="s">
        <v>EUR</v>
        <stp/>
        <stp>##V3_BDPV12</stp>
        <stp>XS1230926609 CORP</stp>
        <stp>CRNCY</stp>
        <stp>[BondFloaters.xlsx]FLOATERS!R126C2</stp>
        <tr r="B126" s="1"/>
      </tp>
      <tp t="s">
        <v>EUR</v>
        <stp/>
        <stp>##V3_BDPV12</stp>
        <stp>XS1717202730 CORP</stp>
        <stp>CRNCY</stp>
        <stp>[BondFloaters.xlsx]FLOATERS!R128C2</stp>
        <tr r="B128" s="1"/>
      </tp>
      <tp t="s">
        <v>EUR</v>
        <stp/>
        <stp>##V3_BDPV12</stp>
        <stp>XS1712180477 CORP</stp>
        <stp>CRNCY</stp>
        <stp>[BondFloaters.xlsx]FLOATERS!R137C2</stp>
        <tr r="B137" s="1"/>
      </tp>
      <tp t="s">
        <v>EUR</v>
        <stp/>
        <stp>##V3_BDPV12</stp>
        <stp>XS1234366448 CORP</stp>
        <stp>CRNCY</stp>
        <stp>[BondFloaters.xlsx]FLOATERS!R52C2</stp>
        <tr r="B52" s="1"/>
      </tp>
      <tp t="s">
        <v>EUR</v>
        <stp/>
        <stp>##V3_BDPV12</stp>
        <stp>XS1734547919 CORP</stp>
        <stp>CRNCY</stp>
        <stp>[BondFloaters.xlsx]FLOATERS!R11C2</stp>
        <tr r="B11" s="1"/>
      </tp>
      <tp t="s">
        <v>EUR</v>
        <stp/>
        <stp>##V3_BDPV12</stp>
        <stp>XS1398275112 CORP</stp>
        <stp>CRNCY</stp>
        <stp>[BondFloaters.xlsx]FLOATERS!R16C2</stp>
        <tr r="B16" s="1"/>
      </tp>
      <tp t="s">
        <v>EUR</v>
        <stp/>
        <stp>##V3_BDPV12</stp>
        <stp>FR0013054020 CORP</stp>
        <stp>CRNCY</stp>
        <stp>[BondFloaters.xlsx]FLOATERS!R26C2</stp>
        <tr r="B26" s="1"/>
      </tp>
      <tp t="s">
        <v>EUR</v>
        <stp/>
        <stp>##V3_BDPV12</stp>
        <stp>FR0013330107 CORP</stp>
        <stp>CRNCY</stp>
        <stp>[BondFloaters.xlsx]FLOATERS!R87C2</stp>
        <tr r="B87" s="1"/>
      </tp>
      <tp t="s">
        <v>EUR</v>
        <stp/>
        <stp>##V3_BDPV12</stp>
        <stp>XS1692846790 CORP</stp>
        <stp>CRNCY</stp>
        <stp>[BondFloaters.xlsx]FLOATERS!R94C2</stp>
        <tr r="B94" s="1"/>
      </tp>
      <tp t="s">
        <v>EUR</v>
        <stp/>
        <stp>##V3_BDPV12</stp>
        <stp>XS1822301039 CORP</stp>
        <stp>CRNCY</stp>
        <stp>[BondFloaters.xlsx]FLOATERS!R15C2</stp>
        <tr r="B15" s="1"/>
      </tp>
      <tp t="s">
        <v>EUR</v>
        <stp/>
        <stp>##V3_BDPV12</stp>
        <stp>XS1574156540 CORP</stp>
        <stp>CRNCY</stp>
        <stp>[BondFloaters.xlsx]FLOATERS!R90C2</stp>
        <tr r="B90" s="1"/>
      </tp>
      <tp>
        <v>0</v>
        <stp/>
        <stp>##V3_BDPV12</stp>
        <stp>FR0012969012 CORP</stp>
        <stp>CPN</stp>
        <stp>[BondFloaters.xlsx]FLOATERS!R22C25</stp>
        <tr r="Y22" s="1"/>
      </tp>
      <tp>
        <v>0.23099999999999998</v>
        <stp/>
        <stp>##V3_BDPV12</stp>
        <stp>XS1792505197 CORP</stp>
        <stp>CPN</stp>
        <stp>[BondFloaters.xlsx]FLOATERS!R96C25</stp>
        <tr r="Y96" s="1"/>
      </tp>
      <tp>
        <v>0</v>
        <stp/>
        <stp>##V3_BDPV12</stp>
        <stp>FR0013330107 CORP</stp>
        <stp>CPN</stp>
        <stp>[BondFloaters.xlsx]FLOATERS!R87C25</stp>
        <tr r="Y87" s="1"/>
      </tp>
      <tp>
        <v>0.184</v>
        <stp/>
        <stp>##V3_BDPV12</stp>
        <stp>XS1664643746 CORP</stp>
        <stp>CPN</stp>
        <stp>[BondFloaters.xlsx]FLOATERS!R73C25</stp>
        <tr r="Y73" s="1"/>
      </tp>
      <tp>
        <v>0.13900000000000001</v>
        <stp/>
        <stp>##V3_BDPV12</stp>
        <stp>XS1794195724 CORP</stp>
        <stp>CPN</stp>
        <stp>[BondFloaters.xlsx]FLOATERS!R12C25</stp>
        <tr r="Y12" s="1"/>
      </tp>
      <tp>
        <v>3.4000000000000002E-2</v>
        <stp/>
        <stp>##V3_BDPV12</stp>
        <stp>XS1564405741 CORP</stp>
        <stp>CPN</stp>
        <stp>[BondFloaters.xlsx]FLOATERS!R21C25</stp>
        <tr r="Y21" s="1"/>
      </tp>
      <tp t="s">
        <v>14/01/2019</v>
        <stp/>
        <stp>##V3_BDPV12</stp>
        <stp>XS1306411726 CORP</stp>
        <stp>NXT_CPN_DT</stp>
        <stp>[BondFloaters.xlsx]FLOATERS!R115C14</stp>
        <tr r="N115" s="1"/>
      </tp>
      <tp>
        <v>-0.123193</v>
        <stp/>
        <stp>##V3_BDPV12</stp>
        <stp>XS1678632487 CORP</stp>
        <stp>YAS_BOND_YLD</stp>
        <stp>[BondFloaters.xlsx]FLOATERS!R6C27</stp>
        <tr r="AA6" s="1"/>
      </tp>
      <tp>
        <v>0.112</v>
        <stp/>
        <stp>##V3_BDPV12</stp>
        <stp>XS1323463056 CORP</stp>
        <stp>CPN</stp>
        <stp>[BondFloaters.xlsx]FLOATERS!R83C25</stp>
        <tr r="Y83" s="1"/>
      </tp>
      <tp>
        <v>0.26600000000000001</v>
        <stp/>
        <stp>##V3_BDPV12</stp>
        <stp>FR0013322146 CORP</stp>
        <stp>CPN</stp>
        <stp>[BondFloaters.xlsx]FLOATERS!R95C25</stp>
        <tr r="Y95" s="1"/>
      </tp>
      <tp>
        <v>3.1E-2</v>
        <stp/>
        <stp>##V3_BDPV12</stp>
        <stp>XS1586555515 CORP</stp>
        <stp>CPN</stp>
        <stp>[BondFloaters.xlsx]FLOATERS!R53C25</stp>
        <tr r="Y53" s="1"/>
      </tp>
      <tp>
        <v>0.66900000000000004</v>
        <stp/>
        <stp>##V3_BDPV12</stp>
        <stp>XS1292513105 CORP</stp>
        <stp>CPN</stp>
        <stp>[BondFloaters.xlsx]FLOATERS!R69C25</stp>
        <tr r="Y69" s="1"/>
      </tp>
      <tp>
        <v>0.13400000000000001</v>
        <stp/>
        <stp>##V3_BDPV12</stp>
        <stp>XS1725668633 CORP</stp>
        <stp>CPN</stp>
        <stp>[BondFloaters.xlsx]FLOATERS!R17C25</stp>
        <tr r="Y17" s="1"/>
      </tp>
      <tp t="s">
        <v>18/03/2019</v>
        <stp/>
        <stp>##V3_BDPV12</stp>
        <stp>FR0013136330 CORP</stp>
        <stp>NXT_CPN_DT</stp>
        <stp>[BondFloaters.xlsx]FLOATERS!R103C14</stp>
        <tr r="N103" s="1"/>
      </tp>
      <tp t="s">
        <v>EUR</v>
        <stp/>
        <stp>##V3_BDPV12</stp>
        <stp>XS1171489476 CORP</stp>
        <stp>CRNCY</stp>
        <stp>[BondFloaters.xlsx]FLOATERS!R101C2</stp>
        <tr r="B101" s="1"/>
      </tp>
      <tp>
        <v>100.125</v>
        <stp/>
        <stp>##V3_BDPV12</stp>
        <stp>DE000A169GZ7 CORP</stp>
        <stp>YAS_BOND_PX</stp>
        <stp>[BondFloaters.xlsx]FLOATERS!R42C28</stp>
        <tr r="AB42" s="1"/>
      </tp>
      <tp t="s">
        <v>EUR</v>
        <stp/>
        <stp>##V3_BDPV12</stp>
        <stp>XS1363560548 CORP</stp>
        <stp>CRNCY</stp>
        <stp>[BondFloaters.xlsx]FLOATERS!R133C2</stp>
        <tr r="B133" s="1"/>
      </tp>
      <tp t="s">
        <v>EUR</v>
        <stp/>
        <stp>##V3_BDPV12</stp>
        <stp>XS1822824642 CORP</stp>
        <stp>CRNCY</stp>
        <stp>[BondFloaters.xlsx]FLOATERS!R116C2</stp>
        <tr r="B116" s="1"/>
      </tp>
      <tp t="s">
        <v>JP</v>
        <stp/>
        <stp>##V3_BDPV12</stp>
        <stp>XS1781813511 CORP</stp>
        <stp>CNTRY_OF_RISK</stp>
        <stp>[BondFloaters.xlsx]FLOATERS!R8C3</stp>
        <tr r="C8" s="1"/>
      </tp>
      <tp t="s">
        <v>EUR</v>
        <stp/>
        <stp>##V3_BDPV12</stp>
        <stp>XS1108681625 CORP</stp>
        <stp>CRNCY</stp>
        <stp>[BondFloaters.xlsx]FLOATERS!R40C2</stp>
        <tr r="B40" s="1"/>
      </tp>
      <tp t="s">
        <v>EUR</v>
        <stp/>
        <stp>##V3_BDPV12</stp>
        <stp>XS1612940988 CORP</stp>
        <stp>CRNCY</stp>
        <stp>[BondFloaters.xlsx]FLOATERS!R35C2</stp>
        <tr r="B35" s="1"/>
      </tp>
      <tp t="s">
        <v>EUR</v>
        <stp/>
        <stp>##V3_BDPV12</stp>
        <stp>XS1292468987 CORP</stp>
        <stp>CRNCY</stp>
        <stp>[BondFloaters.xlsx]FLOATERS!R18C2</stp>
        <tr r="B18" s="1"/>
      </tp>
      <tp t="s">
        <v>EUR</v>
        <stp/>
        <stp>##V3_BDPV12</stp>
        <stp>FR0012315133 CORP</stp>
        <stp>CRNCY</stp>
        <stp>[BondFloaters.xlsx]FLOATERS!R55C2</stp>
        <tr r="B55" s="1"/>
      </tp>
      <tp t="s">
        <v>EUR</v>
        <stp/>
        <stp>##V3_BDPV12</stp>
        <stp>XS1591430746 CORP</stp>
        <stp>CRNCY</stp>
        <stp>[BondFloaters.xlsx]FLOATERS!R64C2</stp>
        <tr r="B64" s="1"/>
      </tp>
      <tp t="s">
        <v>EUR</v>
        <stp/>
        <stp>##V3_BDPV12</stp>
        <stp>XS1651071521 CORP</stp>
        <stp>CRNCY</stp>
        <stp>[BondFloaters.xlsx]FLOATERS!R46C2</stp>
        <tr r="B46" s="1"/>
      </tp>
      <tp>
        <v>0</v>
        <stp/>
        <stp>##V3_BDPV12</stp>
        <stp>XS1107266782 CORP</stp>
        <stp>CPN</stp>
        <stp>[BondFloaters.xlsx]FLOATERS!R74C25</stp>
        <tr r="Y74" s="1"/>
      </tp>
      <tp t="s">
        <v>18/02/2019</v>
        <stp/>
        <stp>##V3_BDPV12</stp>
        <stp>XS1717567587 CORP</stp>
        <stp>NXT_CPN_DT</stp>
        <stp>[BondFloaters.xlsx]FLOATERS!R112C14</stp>
        <tr r="N112" s="1"/>
      </tp>
      <tp>
        <v>2.9161299999999999</v>
        <stp/>
        <stp>##V3_BDPV12</stp>
        <stp>XS1635905570 CORP</stp>
        <stp>CPN</stp>
        <stp>[BondFloaters.xlsx]FLOATERS!R79C25</stp>
        <tr r="Y79" s="1"/>
      </tp>
      <tp>
        <v>98.125</v>
        <stp/>
        <stp>##V3_BDPV12</stp>
        <stp>DE000A19UNN9 CORP</stp>
        <stp>YAS_BOND_PX</stp>
        <stp>[BondFloaters.xlsx]FLOATERS!R125C28</stp>
        <tr r="AB125" s="1"/>
      </tp>
      <tp>
        <v>0</v>
        <stp/>
        <stp>##V3_BDPV12</stp>
        <stp>XS1618349804 CORP</stp>
        <stp>CPN</stp>
        <stp>[BondFloaters.xlsx]FLOATERS!R60C25</stp>
        <tr r="Y60" s="1"/>
      </tp>
      <tp>
        <v>-0.328123</v>
        <stp/>
        <stp>##V3_BDPV12</stp>
        <stp>XS1046499981 CORP</stp>
        <stp>YAS_BOND_YLD</stp>
        <stp>[BondFloaters.xlsx]FLOATERS!R9C27</stp>
        <tr r="AA9" s="1"/>
      </tp>
      <tp>
        <v>2.9000000000000001E-2</v>
        <stp/>
        <stp>##V3_BDPV12</stp>
        <stp>XS1554462421 CORP</stp>
        <stp>CPN</stp>
        <stp>[BondFloaters.xlsx]FLOATERS!R49C25</stp>
        <tr r="Y49" s="1"/>
      </tp>
      <tp>
        <v>0.18099999999999999</v>
        <stp/>
        <stp>##V3_BDPV12</stp>
        <stp>XS1078028864 CORP</stp>
        <stp>CPN</stp>
        <stp>[BondFloaters.xlsx]FLOATERS!R41C25</stp>
        <tr r="Y41" s="1"/>
      </tp>
      <tp t="s">
        <v>25/02/2019</v>
        <stp/>
        <stp>##V3_BDPV12</stp>
        <stp>XS1372838083 CORP</stp>
        <stp>NXT_CPN_DT</stp>
        <stp>[BondFloaters.xlsx]FLOATERS!R130C14</stp>
        <tr r="N130" s="1"/>
      </tp>
      <tp>
        <v>0</v>
        <stp/>
        <stp>##V3_BDPV12</stp>
        <stp>XS1234366448 CORP</stp>
        <stp>CPN</stp>
        <stp>[BondFloaters.xlsx]FLOATERS!R52C25</stp>
        <tr r="Y52" s="1"/>
      </tp>
      <tp t="s">
        <v>07/01/2019</v>
        <stp/>
        <stp>##V3_BDPV12</stp>
        <stp>XS1642546078 CORP</stp>
        <stp>NXT_CPN_DT</stp>
        <stp>[BondFloaters.xlsx]FLOATERS!R107C14</stp>
        <tr r="N107" s="1"/>
      </tp>
      <tp t="s">
        <v>26/02/2019</v>
        <stp/>
        <stp>##V3_BDPV12</stp>
        <stp>XS1590503279 CORP</stp>
        <stp>NXT_CPN_DT</stp>
        <stp>[BondFloaters.xlsx]FLOATERS!R100C14</stp>
        <tr r="N100" s="1"/>
      </tp>
      <tp t="s">
        <v>15/01/2019</v>
        <stp/>
        <stp>##V3_BDPV12</stp>
        <stp>XS1346107433 CORP</stp>
        <stp>NXT_CPN_DT</stp>
        <stp>[BondFloaters.xlsx]FLOATERS!R134C14</stp>
        <tr r="N134" s="1"/>
      </tp>
      <tp>
        <v>-0.190358</v>
        <stp/>
        <stp>##V3_BDPV12</stp>
        <stp>DE000A14KJE8 CORP</stp>
        <stp>YAS_BOND_YLD</stp>
        <stp>[BondFloaters.xlsx]FLOATERS!R51C27</stp>
        <tr r="AA51" s="1"/>
      </tp>
      <tp t="s">
        <v>01/10/2018</v>
        <stp/>
        <stp>##V3_BDPV12</stp>
        <stp>DE000A14KJE8 CORP</stp>
        <stp>START_ACC_DT</stp>
        <stp>[BondFloaters.xlsx]FLOATERS!R51C12</stp>
        <tr r="L51" s="1"/>
      </tp>
      <tp t="s">
        <v>EUR</v>
        <stp/>
        <stp>##V3_BDPV12</stp>
        <stp>XS1642546078 CORP</stp>
        <stp>CRNCY</stp>
        <stp>[BondFloaters.xlsx]FLOATERS!R107C2</stp>
        <tr r="B107" s="1"/>
      </tp>
      <tp t="s">
        <v>EUR</v>
        <stp/>
        <stp>##V3_BDPV12</stp>
        <stp>XS1840614736 CORP</stp>
        <stp>CRNCY</stp>
        <stp>[BondFloaters.xlsx]FLOATERS!R132C2</stp>
        <tr r="B132" s="1"/>
      </tp>
      <tp t="s">
        <v>EUR</v>
        <stp/>
        <stp>##V3_BDPV12</stp>
        <stp>XS1485660895 CORP</stp>
        <stp>CRNCY</stp>
        <stp>[BondFloaters.xlsx]FLOATERS!R58C2</stp>
        <tr r="B58" s="1"/>
      </tp>
      <tp>
        <v>5.8999999999999997E-2</v>
        <stp/>
        <stp>##V3_BDPV12</stp>
        <stp>DE000A185WC9 CORP</stp>
        <stp>CPN</stp>
        <stp>[BondFloaters.xlsx]FLOATERS!R47C25</stp>
        <tr r="Y47" s="1"/>
      </tp>
      <tp t="s">
        <v>EUR</v>
        <stp/>
        <stp>##V3_BDPV12</stp>
        <stp>FR0013309606 CORP</stp>
        <stp>CRNCY</stp>
        <stp>[BondFloaters.xlsx]FLOATERS!R25C2</stp>
        <tr r="B25" s="1"/>
      </tp>
      <tp t="s">
        <v>EUR</v>
        <stp/>
        <stp>##V3_BDPV12</stp>
        <stp>XS1078028864 CORP</stp>
        <stp>CRNCY</stp>
        <stp>[BondFloaters.xlsx]FLOATERS!R41C2</stp>
        <tr r="B41" s="1"/>
      </tp>
      <tp t="s">
        <v>USD</v>
        <stp/>
        <stp>##V3_BDPV12</stp>
        <stp>XS1635905570 CORP</stp>
        <stp>CRNCY</stp>
        <stp>[BondFloaters.xlsx]FLOATERS!R79C2</stp>
        <tr r="B79" s="1"/>
      </tp>
      <tp t="s">
        <v>EUR</v>
        <stp/>
        <stp>##V3_BDPV12</stp>
        <stp>XS1637162246 CORP</stp>
        <stp>CRNCY</stp>
        <stp>[BondFloaters.xlsx]FLOATERS!R32C2</stp>
        <tr r="B32" s="1"/>
      </tp>
      <tp t="s">
        <v>EUR</v>
        <stp/>
        <stp>##V3_BDPV12</stp>
        <stp>XS1586555515 CORP</stp>
        <stp>CRNCY</stp>
        <stp>[BondFloaters.xlsx]FLOATERS!R53C2</stp>
        <tr r="B53" s="1"/>
      </tp>
      <tp>
        <v>8.3000000000000004E-2</v>
        <stp/>
        <stp>##V3_BDPV12</stp>
        <stp>XS1599109896 CORP</stp>
        <stp>CPN</stp>
        <stp>[BondFloaters.xlsx]FLOATERS!R97C25</stp>
        <tr r="Y97" s="1"/>
      </tp>
      <tp>
        <v>0.23200000000000001</v>
        <stp/>
        <stp>##V3_BDPV12</stp>
        <stp>XS1319814817 CORP</stp>
        <stp>CPN</stp>
        <stp>[BondFloaters.xlsx]FLOATERS!R77C25</stp>
        <tr r="Y77" s="1"/>
      </tp>
      <tp>
        <v>8.3000000000000004E-2</v>
        <stp/>
        <stp>##V3_BDPV12</stp>
        <stp>XS1756669740 CORP</stp>
        <stp>CPN</stp>
        <stp>[BondFloaters.xlsx]FLOATERS!R72C25</stp>
        <tr r="Y72" s="1"/>
      </tp>
      <tp t="s">
        <v>01/03/2019</v>
        <stp/>
        <stp>##V3_BDPV12</stp>
        <stp>XS1622634126 CORP</stp>
        <stp>NXT_CPN_DT</stp>
        <stp>[BondFloaters.xlsx]FLOATERS!R121C14</stp>
        <tr r="N121" s="1"/>
      </tp>
      <tp>
        <v>0</v>
        <stp/>
        <stp>##V3_BDPV12</stp>
        <stp>FR0013324316 CORP</stp>
        <stp>CPN</stp>
        <stp>[BondFloaters.xlsx]FLOATERS!R28C25</stp>
        <tr r="Y28" s="1"/>
      </tp>
      <tp>
        <v>100.096</v>
        <stp/>
        <stp>##V3_BDPV12</stp>
        <stp>DE000A19SE11 CORP</stp>
        <stp>YAS_BOND_PX</stp>
        <stp>[BondFloaters.xlsx]FLOATERS!R71C28</stp>
        <tr r="AB71" s="1"/>
      </tp>
      <tp>
        <v>6.0999999999999999E-2</v>
        <stp/>
        <stp>##V3_BDPV12</stp>
        <stp>FR0013266343 CORP</stp>
        <stp>CPN</stp>
        <stp>[BondFloaters.xlsx]FLOATERS!R91C25</stp>
        <tr r="Y91" s="1"/>
      </tp>
      <tp t="s">
        <v>15/03/2019</v>
        <stp/>
        <stp>##V3_BDPV12</stp>
        <stp>XS1683495052 CORP</stp>
        <stp>NXT_CPN_DT</stp>
        <stp>[BondFloaters.xlsx]FLOATERS!R117C14</stp>
        <tr r="N117" s="1"/>
      </tp>
      <tp>
        <v>0</v>
        <stp/>
        <stp>##V3_BDPV12</stp>
        <stp>XS1705553417 CORP</stp>
        <stp>CPN</stp>
        <stp>[BondFloaters.xlsx]FLOATERS!R85C25</stp>
        <tr r="Y85" s="1"/>
      </tp>
      <tp>
        <v>0.13200000000000001</v>
        <stp/>
        <stp>##V3_BDPV12</stp>
        <stp>FR0013241379 CORP</stp>
        <stp>CPN</stp>
        <stp>[BondFloaters.xlsx]FLOATERS!R38C25</stp>
        <tr r="Y38" s="1"/>
      </tp>
      <tp t="s">
        <v>USD</v>
        <stp/>
        <stp>##V3_BDPV12</stp>
        <stp>US30231GAE26 CORP</stp>
        <stp>CRNCY</stp>
        <stp>[BondFloaters.xlsx]FLOATERS!R27C2</stp>
        <tr r="B27" s="1"/>
      </tp>
      <tp>
        <v>0</v>
        <stp/>
        <stp>##V3_BDPV12</stp>
        <stp>XS1574156540 CORP</stp>
        <stp>CPN</stp>
        <stp>[BondFloaters.xlsx]FLOATERS!R90C25</stp>
        <tr r="Y90" s="1"/>
      </tp>
      <tp t="s">
        <v>15/01/2019</v>
        <stp/>
        <stp>##V3_BDPV12</stp>
        <stp>XS1057486471 CORP</stp>
        <stp>NXT_CPN_DT</stp>
        <stp>[BondFloaters.xlsx]FLOATERS!R131C14</stp>
        <tr r="N131" s="1"/>
      </tp>
      <tp>
        <v>12.064156421900957</v>
        <stp/>
        <stp>##V3_BDPV12</stp>
        <stp>DE000A14KJE8 CORP</stp>
        <stp>YAS_FLOATER_DISCOUNT_MARGIN</stp>
        <stp>[BondFloaters.xlsx]FLOATERS!R51C22</stp>
        <tr r="V51" s="1"/>
      </tp>
      <tp t="s">
        <v>EUR</v>
        <stp/>
        <stp>##V3_BDPV12</stp>
        <stp>XS1590503279 CORP</stp>
        <stp>CRNCY</stp>
        <stp>[BondFloaters.xlsx]FLOATERS!R100C2</stp>
        <tr r="B100" s="1"/>
      </tp>
      <tp>
        <v>0</v>
        <stp/>
        <stp>##V3_BDPV12</stp>
        <stp>DE000A2G8VS7 CORP</stp>
        <stp>CPN</stp>
        <stp>[BondFloaters.xlsx]FLOATERS!R43C25</stp>
        <tr r="Y43" s="1"/>
      </tp>
      <tp t="s">
        <v>EUR</v>
        <stp/>
        <stp>##V3_BDPV12</stp>
        <stp>XS1715323298 CORP</stp>
        <stp>CRNCY</stp>
        <stp>[BondFloaters.xlsx]FLOATERS!R111C2</stp>
        <tr r="B111" s="1"/>
      </tp>
      <tp>
        <v>25</v>
        <stp/>
        <stp>##V3_BDPV12</stp>
        <stp>DE000A19UNN9 CORP</stp>
        <stp>FLT_SPREAD</stp>
        <stp>[BondFloaters.xlsx]FLOATERS!R125C26</stp>
        <tr r="Z125" s="1"/>
      </tp>
      <tp>
        <v>25</v>
        <stp/>
        <stp>##V3_BDPV12</stp>
        <stp>DE000A19UNN9 CORP</stp>
        <stp>FLT_SPREAD</stp>
        <stp>[BondFloaters.xlsx]FLOATERS!R125C17</stp>
        <tr r="Q125" s="1"/>
      </tp>
      <tp t="s">
        <v>EUR</v>
        <stp/>
        <stp>##V3_BDPV12</stp>
        <stp>XS1782508508 CORP</stp>
        <stp>CRNCY</stp>
        <stp>[BondFloaters.xlsx]FLOATERS!R23C2</stp>
        <tr r="B23" s="1"/>
      </tp>
      <tp t="s">
        <v>EUR</v>
        <stp/>
        <stp>##V3_BDPV12</stp>
        <stp>FR0013266343 CORP</stp>
        <stp>CRNCY</stp>
        <stp>[BondFloaters.xlsx]FLOATERS!R91C2</stp>
        <tr r="B91" s="1"/>
      </tp>
      <tp t="s">
        <v>EUR</v>
        <stp/>
        <stp>##V3_BDPV12</stp>
        <stp>FR0011884899 CORP</stp>
        <stp>CRNCY</stp>
        <stp>[BondFloaters.xlsx]FLOATERS!R66C2</stp>
        <tr r="B66" s="1"/>
      </tp>
      <tp t="s">
        <v>21/02/2019</v>
        <stp/>
        <stp>##V3_BDPV12</stp>
        <stp>XS1822824642 CORP</stp>
        <stp>NXT_CPN_DT</stp>
        <stp>[BondFloaters.xlsx]FLOATERS!R116C14</stp>
        <tr r="N116" s="1"/>
      </tp>
      <tp>
        <v>0.35799999999999998</v>
        <stp/>
        <stp>##V3_BDPV12</stp>
        <stp>FR0013260486 CORP</stp>
        <stp>CPN</stp>
        <stp>[BondFloaters.xlsx]FLOATERS!R63C25</stp>
        <tr r="Y63" s="1"/>
      </tp>
      <tp t="s">
        <v>13/06/2018</v>
        <stp/>
        <stp>##V3_BDPV12</stp>
        <stp>DE000A185WC9 CORP</stp>
        <stp>START_ACC_DT</stp>
        <stp>[BondFloaters.xlsx]FLOATERS!R47C12</stp>
        <tr r="L47" s="1"/>
      </tp>
      <tp t="s">
        <v>#N/A N/A</v>
        <stp/>
        <stp>##V3_BDPV12</stp>
        <stp>DE000A185WC9 CORP</stp>
        <stp>YAS_BOND_YLD</stp>
        <stp>[BondFloaters.xlsx]FLOATERS!R47C27</stp>
        <tr r="AA47" s="1"/>
      </tp>
      <tp>
        <v>0.114</v>
        <stp/>
        <stp>##V3_BDPV12</stp>
        <stp>XS1723613581 CORP</stp>
        <stp>CPN</stp>
        <stp>[BondFloaters.xlsx]FLOATERS!R75C25</stp>
        <tr r="Y75" s="1"/>
      </tp>
      <tp>
        <v>0</v>
        <stp/>
        <stp>##V3_BDPV12</stp>
        <stp>XS1787517199 CORP</stp>
        <stp>CPN</stp>
        <stp>[BondFloaters.xlsx]FLOATERS!R81C25</stp>
        <tr r="Y81" s="1"/>
      </tp>
      <tp t="s">
        <v>15/03/2019</v>
        <stp/>
        <stp>##V3_BDPV12</stp>
        <stp>FR0013342664 CORP</stp>
        <stp>NXT_CPN_DT</stp>
        <stp>[BondFloaters.xlsx]FLOATERS!R122C14</stp>
        <tr r="N122" s="1"/>
      </tp>
      <tp>
        <v>0</v>
        <stp/>
        <stp>##V3_BDPV12</stp>
        <stp>XS1591430746 CORP</stp>
        <stp>CPN</stp>
        <stp>[BondFloaters.xlsx]FLOATERS!R64C25</stp>
        <tr r="Y64" s="1"/>
      </tp>
      <tp t="s">
        <v>08/02/2019</v>
        <stp/>
        <stp>##V3_BDPV12</stp>
        <stp>XS1715353105 CORP</stp>
        <stp>NXT_CPN_DT</stp>
        <stp>[BondFloaters.xlsx]FLOATERS!R120C14</stp>
        <tr r="N120" s="1"/>
      </tp>
      <tp t="s">
        <v>EUR</v>
        <stp/>
        <stp>##V3_BDPV12</stp>
        <stp>XS1830992563 CORP</stp>
        <stp>CRNCY</stp>
        <stp>[BondFloaters.xlsx]FLOATERS!R109C2</stp>
        <tr r="B109" s="1"/>
      </tp>
      <tp>
        <v>98.927999999999997</v>
        <stp/>
        <stp>##V3_BDPV12</stp>
        <stp>DE000A19HBM3 CORP</stp>
        <stp>YAS_BOND_PX</stp>
        <stp>[BondFloaters.xlsx]FLOATERS!R99C28</stp>
        <tr r="AB99" s="1"/>
      </tp>
      <tp t="s">
        <v>USD</v>
        <stp/>
        <stp>##V3_BDPV12</stp>
        <stp>XS1033649739 CORP</stp>
        <stp>CRNCY</stp>
        <stp>[BondFloaters.xlsx]FLOATERS!R44C2</stp>
        <tr r="B44" s="1"/>
      </tp>
      <tp t="s">
        <v>EUR</v>
        <stp/>
        <stp>##V3_BDPV12</stp>
        <stp>XS1794195724 CORP</stp>
        <stp>CRNCY</stp>
        <stp>[BondFloaters.xlsx]FLOATERS!R12C2</stp>
        <tr r="B12" s="1"/>
      </tp>
      <tp t="s">
        <v>EUR</v>
        <stp/>
        <stp>##V3_BDPV12</stp>
        <stp>XS1808497264 CORP</stp>
        <stp>CRNCY</stp>
        <stp>[BondFloaters.xlsx]FLOATERS!R13C2</stp>
        <tr r="B13" s="1"/>
      </tp>
      <tp t="s">
        <v>EUR</v>
        <stp/>
        <stp>##V3_BDPV12</stp>
        <stp>XS1705553417 CORP</stp>
        <stp>CRNCY</stp>
        <stp>[BondFloaters.xlsx]FLOATERS!R85C2</stp>
        <tr r="B85" s="1"/>
      </tp>
      <tp t="s">
        <v>EUR</v>
        <stp/>
        <stp>##V3_BDPV12</stp>
        <stp>XS1664643746 CORP</stp>
        <stp>CRNCY</stp>
        <stp>[BondFloaters.xlsx]FLOATERS!R73C2</stp>
        <tr r="B73" s="1"/>
      </tp>
      <tp t="s">
        <v>EUR</v>
        <stp/>
        <stp>##V3_BDPV12</stp>
        <stp>XS1564405741 CORP</stp>
        <stp>CRNCY</stp>
        <stp>[BondFloaters.xlsx]FLOATERS!R21C2</stp>
        <tr r="B21" s="1"/>
      </tp>
      <tp>
        <v>0</v>
        <stp/>
        <stp>##V3_BDPV12</stp>
        <stp>FR0013257599 CORP</stp>
        <stp>CPN</stp>
        <stp>[BondFloaters.xlsx]FLOATERS!R20C25</stp>
        <tr r="Y20" s="1"/>
      </tp>
      <tp t="s">
        <v>08/03/2019</v>
        <stp/>
        <stp>##V3_BDPV12</stp>
        <stp>XS1830992563 CORP</stp>
        <stp>NXT_CPN_DT</stp>
        <stp>[BondFloaters.xlsx]FLOATERS!R109C14</stp>
        <tr r="N109" s="1"/>
      </tp>
      <tp>
        <v>1.09938</v>
        <stp/>
        <stp>##V3_BDPV12</stp>
        <stp>XS1082839553 CORP</stp>
        <stp>CPN</stp>
        <stp>[BondFloaters.xlsx]FLOATERS!R61C25</stp>
        <tr r="Y61" s="1"/>
      </tp>
      <tp>
        <v>0</v>
        <stp/>
        <stp>##V3_BDPV12</stp>
        <stp>XS1671754650 CORP</stp>
        <stp>CPN</stp>
        <stp>[BondFloaters.xlsx]FLOATERS!R19C25</stp>
        <tr r="Y19" s="1"/>
      </tp>
      <tp t="s">
        <v>08/03/2019</v>
        <stp/>
        <stp>##V3_BDPV12</stp>
        <stp>XS1574667124 CORP</stp>
        <stp>NXT_CPN_DT</stp>
        <stp>[BondFloaters.xlsx]FLOATERS!R104C14</stp>
        <tr r="N104" s="1"/>
      </tp>
      <tp>
        <v>0</v>
        <stp/>
        <stp>##V3_BDPV12</stp>
        <stp>DE000A19UNN9 CORP</stp>
        <stp>CPN</stp>
        <stp>[BondFloaters.xlsx]FLOATERS!R125C25</stp>
        <tr r="Y125" s="1"/>
      </tp>
      <tp t="s">
        <v>#N/A N/A</v>
        <stp/>
        <stp>##V3_BDPV12</stp>
        <stp>BE6276038419 CORP</stp>
        <stp>YAS_BOND_PX</stp>
        <stp>[BondFloaters.xlsx]FLOATERS!R86C28</stp>
        <tr r="AB86" s="1"/>
      </tp>
      <tp>
        <v>2.4000000000000004E-2</v>
        <stp/>
        <stp>##V3_BDPV12</stp>
        <stp>XS1782508508 CORP</stp>
        <stp>CPN</stp>
        <stp>[BondFloaters.xlsx]FLOATERS!R23C25</stp>
        <tr r="Y23" s="1"/>
      </tp>
      <tp t="s">
        <v>#N/A Field Not Applicable</v>
        <stp/>
        <stp>##V3_BDPV12</stp>
        <stp>XS1171489476 CORP</stp>
        <stp>NXT_CPN_DT</stp>
        <stp>[BondFloaters.xlsx]FLOATERS!R101C14</stp>
        <tr r="N101" s="1"/>
      </tp>
      <tp t="s">
        <v>#N/A N/A</v>
        <stp/>
        <stp>##V3_BDPV12</stp>
        <stp>DE000A13SL18 CORP</stp>
        <stp>YAS_FLOATER_DISCOUNT_MARGIN</stp>
        <stp>[BondFloaters.xlsx]FLOATERS!R92C22</stp>
        <tr r="V92" s="1"/>
      </tp>
      <tp t="s">
        <v>EUR</v>
        <stp/>
        <stp>##V3_BDPV12</stp>
        <stp>XS1771768188 CORP</stp>
        <stp>CRNCY</stp>
        <stp>[BondFloaters.xlsx]FLOATERS!R113C2</stp>
        <tr r="B113" s="1"/>
      </tp>
      <tp t="s">
        <v>EUR</v>
        <stp/>
        <stp>##V3_BDPV12</stp>
        <stp>XS1683495052 CORP</stp>
        <stp>CRNCY</stp>
        <stp>[BondFloaters.xlsx]FLOATERS!R117C2</stp>
        <tr r="B117" s="1"/>
      </tp>
      <tp>
        <v>97.832999999999998</v>
        <stp/>
        <stp>##V3_BDPV12</stp>
        <stp>DE000A2GSCY9 CORP</stp>
        <stp>YAS_BOND_PX</stp>
        <stp>[BondFloaters.xlsx]FLOATERS!R14C28</stp>
        <tr r="AB14" s="1"/>
      </tp>
      <tp t="s">
        <v>EUR</v>
        <stp/>
        <stp>##V3_BDPV12</stp>
        <stp>BE6285450449 CORP</stp>
        <stp>CRNCY</stp>
        <stp>[BondFloaters.xlsx]FLOATERS!R37C2</stp>
        <tr r="B37" s="1"/>
      </tp>
      <tp t="s">
        <v>EUR</v>
        <stp/>
        <stp>##V3_BDPV12</stp>
        <stp>XS1362349869 CORP</stp>
        <stp>CRNCY</stp>
        <stp>[BondFloaters.xlsx]FLOATERS!R65C2</stp>
        <tr r="B65" s="1"/>
      </tp>
      <tp t="s">
        <v>EUR</v>
        <stp/>
        <stp>##V3_BDPV12</stp>
        <stp>XS1480176111 CORP</stp>
        <stp>CRNCY</stp>
        <stp>[BondFloaters.xlsx]FLOATERS!R5C2</stp>
        <tr r="B5" s="1"/>
      </tp>
      <tp t="s">
        <v>EUR</v>
        <stp/>
        <stp>##V3_BDPV12</stp>
        <stp>BE6276038419 CORP</stp>
        <stp>CRNCY</stp>
        <stp>[BondFloaters.xlsx]FLOATERS!R86C2</stp>
        <tr r="B86" s="1"/>
      </tp>
      <tp t="s">
        <v>EUR</v>
        <stp/>
        <stp>##V3_BDPV12</stp>
        <stp>DE000A19SE11 CORP</stp>
        <stp>CRNCY</stp>
        <stp>[BondFloaters.xlsx]FLOATERS!R71C2</stp>
        <tr r="B71" s="1"/>
      </tp>
      <tp t="s">
        <v>EUR</v>
        <stp/>
        <stp>##V3_BDPV12</stp>
        <stp>XS1756669740 CORP</stp>
        <stp>CRNCY</stp>
        <stp>[BondFloaters.xlsx]FLOATERS!R72C2</stp>
        <tr r="B72" s="1"/>
      </tp>
      <tp>
        <v>0.252</v>
        <stp/>
        <stp>##V3_BDPV12</stp>
        <stp>FR0013292687 CORP</stp>
        <stp>CPN</stp>
        <stp>[BondFloaters.xlsx]FLOATERS!R36C25</stp>
        <tr r="Y36" s="1"/>
      </tp>
      <tp>
        <v>0.33200000000000002</v>
        <stp/>
        <stp>##V3_BDPV12</stp>
        <stp>FR0013250685 CORP</stp>
        <stp>CPN</stp>
        <stp>[BondFloaters.xlsx]FLOATERS!R29C25</stp>
        <tr r="Y29" s="1"/>
      </tp>
      <tp t="s">
        <v>21/01/2019</v>
        <stp/>
        <stp>##V3_BDPV12</stp>
        <stp>XS1301773799 CORP</stp>
        <stp>NXT_CPN_DT</stp>
        <stp>[BondFloaters.xlsx]FLOATERS!R114C14</stp>
        <tr r="N114" s="1"/>
      </tp>
      <tp>
        <v>0.26400000000000001</v>
        <stp/>
        <stp>##V3_BDPV12</stp>
        <stp>XS1144084099 CORP</stp>
        <stp>CPN</stp>
        <stp>[BondFloaters.xlsx]FLOATERS!R82C25</stp>
        <tr r="Y82" s="1"/>
      </tp>
      <tp t="s">
        <v>14/02/2019</v>
        <stp/>
        <stp>##V3_BDPV12</stp>
        <stp>XS1230926609 CORP</stp>
        <stp>NXT_CPN_DT</stp>
        <stp>[BondFloaters.xlsx]FLOATERS!R126C14</stp>
        <tr r="N126" s="1"/>
      </tp>
      <tp>
        <v>3.2000000000000001E-2</v>
        <stp/>
        <stp>##V3_BDPV12</stp>
        <stp>XS1642545690 CORP</stp>
        <stp>CPN</stp>
        <stp>[BondFloaters.xlsx]FLOATERS!R76C25</stp>
        <tr r="Y76" s="1"/>
      </tp>
      <tp>
        <v>0</v>
        <stp/>
        <stp>##V3_BDPV12</stp>
        <stp>XS1651071521 CORP</stp>
        <stp>CPN</stp>
        <stp>[BondFloaters.xlsx]FLOATERS!R46C25</stp>
        <tr r="Y46" s="1"/>
      </tp>
      <tp>
        <v>0.112</v>
        <stp/>
        <stp>##V3_BDPV12</stp>
        <stp>FR0013309606 CORP</stp>
        <stp>CPN</stp>
        <stp>[BondFloaters.xlsx]FLOATERS!R25C25</stp>
        <tr r="Y25" s="1"/>
      </tp>
      <tp>
        <v>100.705</v>
        <stp/>
        <stp>##V3_BDPV12</stp>
        <stp>BE6285450449 CORP</stp>
        <stp>YAS_BOND_PX</stp>
        <stp>[BondFloaters.xlsx]FLOATERS!R37C28</stp>
        <tr r="AB37" s="1"/>
      </tp>
      <tp t="s">
        <v>15/03/2019</v>
        <stp/>
        <stp>##V3_BDPV12</stp>
        <stp>XS1712180477 CORP</stp>
        <stp>NXT_CPN_DT</stp>
        <stp>[BondFloaters.xlsx]FLOATERS!R137C14</stp>
        <tr r="N137" s="1"/>
      </tp>
      <tp>
        <v>1.2889999999999999</v>
        <stp/>
        <stp>##V3_BDPV12</stp>
        <stp>XS1381690574 CORP</stp>
        <stp>CPN</stp>
        <stp>[BondFloaters.xlsx]FLOATERS!R89C25</stp>
        <tr r="Y89" s="1"/>
      </tp>
      <tp t="s">
        <v>13/11/2018</v>
        <stp/>
        <stp>##V3_BDPV12</stp>
        <stp>DE000A19RXA1 CORP</stp>
        <stp>START_ACC_DT</stp>
        <stp>[BondFloaters.xlsx]FLOATERS!R62C12</stp>
        <tr r="L62" s="1"/>
      </tp>
      <tp>
        <v>-0.105938</v>
        <stp/>
        <stp>##V3_BDPV12</stp>
        <stp>DE000A19RXA1 CORP</stp>
        <stp>YAS_BOND_YLD</stp>
        <stp>[BondFloaters.xlsx]FLOATERS!R62C27</stp>
        <tr r="AA62" s="1"/>
      </tp>
      <tp>
        <v>0.23400000000000001</v>
        <stp/>
        <stp>##V3_BDPV12</stp>
        <stp>FR0013221652 CORP</stp>
        <stp>CPN</stp>
        <stp>[BondFloaters.xlsx]FLOATERS!R98C25</stp>
        <tr r="Y98" s="1"/>
      </tp>
      <tp t="s">
        <v>15/01/2019</v>
        <stp/>
        <stp>##V3_BDPV12</stp>
        <stp>XS1363560548 CORP</stp>
        <stp>NXT_CPN_DT</stp>
        <stp>[BondFloaters.xlsx]FLOATERS!R133C14</stp>
        <tr r="N133" s="1"/>
      </tp>
      <tp>
        <v>3.5695000000000001</v>
        <stp/>
        <stp>##V3_BDPV12</stp>
        <stp>XS1033649739 CORP</stp>
        <stp>CPN</stp>
        <stp>[BondFloaters.xlsx]FLOATERS!R44C25</stp>
        <tr r="Y44" s="1"/>
      </tp>
      <tp>
        <v>0</v>
        <stp/>
        <stp>##V3_BDPV12</stp>
        <stp>FR0012146751 CORP</stp>
        <stp>CPN</stp>
        <stp>[BondFloaters.xlsx]FLOATERS!R67C25</stp>
        <tr r="Y67" s="1"/>
      </tp>
      <tp t="s">
        <v>EUR</v>
        <stp/>
        <stp>##V3_BDPV12</stp>
        <stp>XS1288342147 CORP</stp>
        <stp>CRNCY</stp>
        <stp>[BondFloaters.xlsx]FLOATERS!R108C2</stp>
        <tr r="B108" s="1"/>
      </tp>
      <tp t="s">
        <v>EUR</v>
        <stp/>
        <stp>##V3_BDPV12</stp>
        <stp>XS1821814982 CORP</stp>
        <stp>CRNCY</stp>
        <stp>[BondFloaters.xlsx]FLOATERS!R102C2</stp>
        <tr r="B102" s="1"/>
      </tp>
      <tp t="s">
        <v>EUR</v>
        <stp/>
        <stp>##V3_BDPV12</stp>
        <stp>XS1301773799 CORP</stp>
        <stp>CRNCY</stp>
        <stp>[BondFloaters.xlsx]FLOATERS!R114C2</stp>
        <tr r="B114" s="1"/>
      </tp>
      <tp t="s">
        <v>EUR</v>
        <stp/>
        <stp>##V3_BDPV12</stp>
        <stp>DE000A13SL18 CORP</stp>
        <stp>CRNCY</stp>
        <stp>[BondFloaters.xlsx]FLOATERS!R92C2</stp>
        <tr r="B92" s="1"/>
      </tp>
      <tp t="s">
        <v>EUR</v>
        <stp/>
        <stp>##V3_BDPV12</stp>
        <stp>XS1618349804 CORP</stp>
        <stp>CRNCY</stp>
        <stp>[BondFloaters.xlsx]FLOATERS!R60C2</stp>
        <tr r="B60" s="1"/>
      </tp>
      <tp t="s">
        <v>EUR</v>
        <stp/>
        <stp>##V3_BDPV12</stp>
        <stp>XS1729872736 CORP</stp>
        <stp>CRNCY</stp>
        <stp>[BondFloaters.xlsx]FLOATERS!R88C2</stp>
        <tr r="B88" s="1"/>
      </tp>
      <tp t="s">
        <v>EUR</v>
        <stp/>
        <stp>##V3_BDPV12</stp>
        <stp>FR0013322146 CORP</stp>
        <stp>CRNCY</stp>
        <stp>[BondFloaters.xlsx]FLOATERS!R95C2</stp>
        <tr r="B95" s="1"/>
      </tp>
      <tp t="s">
        <v>18/03/2019</v>
        <stp/>
        <stp>##V3_BDPV12</stp>
        <stp>XS1753030490 CORP</stp>
        <stp>NXT_CPN_DT</stp>
        <stp>[BondFloaters.xlsx]FLOATERS!R106C14</stp>
        <tr r="N106" s="1"/>
      </tp>
      <tp t="s">
        <v>13/02/2019</v>
        <stp/>
        <stp>##V3_BDPV12</stp>
        <stp>XS1715323298 CORP</stp>
        <stp>NXT_CPN_DT</stp>
        <stp>[BondFloaters.xlsx]FLOATERS!R111C14</stp>
        <tr r="N111" s="1"/>
      </tp>
      <tp>
        <v>0.13400000000000001</v>
        <stp/>
        <stp>##V3_BDPV12</stp>
        <stp>XS1823165631 CORP</stp>
        <stp>CPN</stp>
        <stp>[BondFloaters.xlsx]FLOATERS!R70C25</stp>
        <tr r="Y70" s="1"/>
      </tp>
      <tp t="s">
        <v>27/12/2018</v>
        <stp/>
        <stp>##V3_BDPV12</stp>
        <stp>XS1840614736 CORP</stp>
        <stp>NXT_CPN_DT</stp>
        <stp>[BondFloaters.xlsx]FLOATERS!R132C14</stp>
        <tr r="N132" s="1"/>
      </tp>
      <tp>
        <v>0</v>
        <stp/>
        <stp>##V3_BDPV12</stp>
        <stp>XS1692846790 CORP</stp>
        <stp>CPN</stp>
        <stp>[BondFloaters.xlsx]FLOATERS!R94C25</stp>
        <tr r="Y94" s="1"/>
      </tp>
      <tp>
        <v>3.2000000000000001E-2</v>
        <stp/>
        <stp>##V3_BDPV12</stp>
        <stp>XS1806435324 CORP</stp>
        <stp>CPN</stp>
        <stp>[BondFloaters.xlsx]FLOATERS!R34C25</stp>
        <tr r="Y34" s="1"/>
      </tp>
      <tp t="s">
        <v>#N/A N/A</v>
        <stp/>
        <stp>##V3_BDPV12</stp>
        <stp>FR0013216884 CORP</stp>
        <stp>YAS_BOND_YLD</stp>
        <stp>[BondFloaters.xlsx]FLOATERS!R7C27</stp>
        <tr r="AA7" s="1"/>
      </tp>
      <tp>
        <v>0</v>
        <stp/>
        <stp>##V3_BDPV12</stp>
        <stp>XS1637162246 CORP</stp>
        <stp>CPN</stp>
        <stp>[BondFloaters.xlsx]FLOATERS!R32C25</stp>
        <tr r="Y32" s="1"/>
      </tp>
      <tp t="s">
        <v>SE</v>
        <stp/>
        <stp>##V3_BDPV12</stp>
        <stp>XS1678632487 CORP</stp>
        <stp>CNTRY_OF_RISK</stp>
        <stp>[BondFloaters.xlsx]FLOATERS!R6C3</stp>
        <tr r="C6" s="1"/>
      </tp>
      <tp t="s">
        <v>EUR</v>
        <stp/>
        <stp>##V3_BDPV12</stp>
        <stp>XS1057486471 CORP</stp>
        <stp>CRNCY</stp>
        <stp>[BondFloaters.xlsx]FLOATERS!R131C2</stp>
        <tr r="B131" s="1"/>
      </tp>
      <tp t="s">
        <v>EUR</v>
        <stp/>
        <stp>##V3_BDPV12</stp>
        <stp>XS1767087940 CORP</stp>
        <stp>CRNCY</stp>
        <stp>[BondFloaters.xlsx]FLOATERS!R127C2</stp>
        <tr r="B127" s="1"/>
      </tp>
      <tp t="s">
        <v>EUR</v>
        <stp/>
        <stp>##V3_BDPV12</stp>
        <stp>XS1823165631 CORP</stp>
        <stp>CRNCY</stp>
        <stp>[BondFloaters.xlsx]FLOATERS!R70C2</stp>
        <tr r="B70" s="1"/>
      </tp>
      <tp t="s">
        <v>EUR</v>
        <stp/>
        <stp>##V3_BDPV12</stp>
        <stp>XS1806435324 CORP</stp>
        <stp>CRNCY</stp>
        <stp>[BondFloaters.xlsx]FLOATERS!R34C2</stp>
        <tr r="B34" s="1"/>
      </tp>
      <tp t="s">
        <v>EUR</v>
        <stp/>
        <stp>##V3_BDPV12</stp>
        <stp>XS1828028677 CORP</stp>
        <stp>CRNCY</stp>
        <stp>[BondFloaters.xlsx]FLOATERS!R45C2</stp>
        <tr r="B45" s="1"/>
      </tp>
      <tp t="s">
        <v>EUR</v>
        <stp/>
        <stp>##V3_BDPV12</stp>
        <stp>XS1750116920 CORP</stp>
        <stp>CRNCY</stp>
        <stp>[BondFloaters.xlsx]FLOATERS!R31C2</stp>
        <tr r="B31" s="1"/>
      </tp>
      <tp t="s">
        <v>EUR</v>
        <stp/>
        <stp>##V3_BDPV12</stp>
        <stp>XS1609252645 CORP</stp>
        <stp>CRNCY</stp>
        <stp>[BondFloaters.xlsx]FLOATERS!R24C2</stp>
        <tr r="B24" s="1"/>
      </tp>
      <tp t="s">
        <v>EUR</v>
        <stp/>
        <stp>##V3_BDPV12</stp>
        <stp>FR0012146751 CORP</stp>
        <stp>CRNCY</stp>
        <stp>[BondFloaters.xlsx]FLOATERS!R67C2</stp>
        <tr r="B67" s="1"/>
      </tp>
      <tp t="s">
        <v>EUR</v>
        <stp/>
        <stp>##V3_BDPV12</stp>
        <stp>XS1046499981 CORP</stp>
        <stp>CRNCY</stp>
        <stp>[BondFloaters.xlsx]FLOATERS!R9C2</stp>
        <tr r="B9" s="1"/>
      </tp>
      <tp t="s">
        <v>EUR</v>
        <stp/>
        <stp>##V3_BDPV12</stp>
        <stp>XS1212467911 CORP</stp>
        <stp>CRNCY</stp>
        <stp>[BondFloaters.xlsx]FLOATERS!R57C2</stp>
        <tr r="B57" s="1"/>
      </tp>
      <tp t="s">
        <v>EUR</v>
        <stp/>
        <stp>##V3_BDPV12</stp>
        <stp>XS1323463056 CORP</stp>
        <stp>CRNCY</stp>
        <stp>[BondFloaters.xlsx]FLOATERS!R83C2</stp>
        <tr r="B83" s="1"/>
      </tp>
      <tp t="s">
        <v>EUR</v>
        <stp/>
        <stp>##V3_BDPV12</stp>
        <stp>XS1725668633 CORP</stp>
        <stp>CRNCY</stp>
        <stp>[BondFloaters.xlsx]FLOATERS!R17C2</stp>
        <tr r="B17" s="1"/>
      </tp>
      <tp t="s">
        <v>EUR</v>
        <stp/>
        <stp>##V3_BDPV12</stp>
        <stp>FR0013250685 CORP</stp>
        <stp>CRNCY</stp>
        <stp>[BondFloaters.xlsx]FLOATERS!R29C2</stp>
        <tr r="B29" s="1"/>
      </tp>
      <tp t="s">
        <v>EUR</v>
        <stp/>
        <stp>##V3_BDPV12</stp>
        <stp>XS1197832832 CORP</stp>
        <stp>CRNCY</stp>
        <stp>[BondFloaters.xlsx]FLOATERS!R39C2</stp>
        <tr r="B39" s="1"/>
      </tp>
      <tp>
        <v>0.251</v>
        <stp/>
        <stp>##V3_BDPV12</stp>
        <stp>FR0013264884 CORP</stp>
        <stp>CPN</stp>
        <stp>[BondFloaters.xlsx]FLOATERS!R93C25</stp>
        <tr r="Y93" s="1"/>
      </tp>
      <tp>
        <v>3.3000000000000002E-2</v>
        <stp/>
        <stp>##V3_BDPV12</stp>
        <stp>XS1382791892 CORP</stp>
        <stp>CPN</stp>
        <stp>[BondFloaters.xlsx]FLOATERS!R30C25</stp>
        <tr r="Y30" s="1"/>
      </tp>
      <tp>
        <v>0.55100000000000005</v>
        <stp/>
        <stp>##V3_BDPV12</stp>
        <stp>XS1522989869 CORP</stp>
        <stp>CPN</stp>
        <stp>[BondFloaters.xlsx]FLOATERS!R33C25</stp>
        <tr r="Y33" s="1"/>
      </tp>
      <tp>
        <v>8.2000000000000017E-2</v>
        <stp/>
        <stp>##V3_BDPV12</stp>
        <stp>XS1808497264 CORP</stp>
        <stp>CPN</stp>
        <stp>[BondFloaters.xlsx]FLOATERS!R13C25</stp>
        <tr r="Y13" s="1"/>
      </tp>
      <tp t="s">
        <v>15/02/2019</v>
        <stp/>
        <stp>##V3_BDPV12</stp>
        <stp>XS1821814982 CORP</stp>
        <stp>NXT_CPN_DT</stp>
        <stp>[BondFloaters.xlsx]FLOATERS!R102C14</stp>
        <tr r="N102" s="1"/>
      </tp>
      <tp>
        <v>0.85299999999999998</v>
        <stp/>
        <stp>##V3_BDPV12</stp>
        <stp>XS1362349869 CORP</stp>
        <stp>CPN</stp>
        <stp>[BondFloaters.xlsx]FLOATERS!R65C25</stp>
        <tr r="Y65" s="1"/>
      </tp>
      <tp>
        <v>0.184</v>
        <stp/>
        <stp>##V3_BDPV12</stp>
        <stp>XS1619284372 CORP</stp>
        <stp>CPN</stp>
        <stp>[BondFloaters.xlsx]FLOATERS!R68C25</stp>
        <tr r="Y68" s="1"/>
      </tp>
      <tp>
        <v>1.2E-2</v>
        <stp/>
        <stp>##V3_BDPV12</stp>
        <stp>FR0012432904 CORP</stp>
        <stp>CPN</stp>
        <stp>[BondFloaters.xlsx]FLOATERS!R48C25</stp>
        <tr r="Y48" s="1"/>
      </tp>
      <tp t="s">
        <v>CLEAN</v>
        <stp/>
        <stp>##V3_BDPV12</stp>
        <stp>DE000A19HBM3 CORP</stp>
        <stp>PX_DIRTY_CLEAN</stp>
        <stp>[BondFloaters.xlsx]FLOATERS!R99C19</stp>
        <tr r="S99" s="1"/>
      </tp>
      <tp t="s">
        <v>EUR</v>
        <stp/>
        <stp>##V3_BDPV12</stp>
        <stp>XS1237187718 CORP</stp>
        <stp>CRNCY</stp>
        <stp>[BondFloaters.xlsx]FLOATERS!R105C2</stp>
        <tr r="B105" s="1"/>
      </tp>
      <tp t="s">
        <v>EUR</v>
        <stp/>
        <stp>##V3_BDPV12</stp>
        <stp>XS1715353105 CORP</stp>
        <stp>CRNCY</stp>
        <stp>[BondFloaters.xlsx]FLOATERS!R120C2</stp>
        <tr r="B120" s="1"/>
      </tp>
      <tp t="s">
        <v>EUR</v>
        <stp/>
        <stp>##V3_BDPV12</stp>
        <stp>XS1568906421 CORP</stp>
        <stp>CRNCY</stp>
        <stp>[BondFloaters.xlsx]FLOATERS!R123C2</stp>
        <tr r="B123" s="1"/>
      </tp>
      <tp t="s">
        <v>EUR</v>
        <stp/>
        <stp>##V3_BDPV12</stp>
        <stp>XS1787517199 CORP</stp>
        <stp>CRNCY</stp>
        <stp>[BondFloaters.xlsx]FLOATERS!R81C2</stp>
        <tr r="B81" s="1"/>
      </tp>
      <tp t="s">
        <v>EUR</v>
        <stp/>
        <stp>##V3_BDPV12</stp>
        <stp>FR0013292687 CORP</stp>
        <stp>CRNCY</stp>
        <stp>[BondFloaters.xlsx]FLOATERS!R36C2</stp>
        <tr r="B36" s="1"/>
      </tp>
      <tp t="s">
        <v>EUR</v>
        <stp/>
        <stp>##V3_BDPV12</stp>
        <stp>XS1619284372 CORP</stp>
        <stp>CRNCY</stp>
        <stp>[BondFloaters.xlsx]FLOATERS!R68C2</stp>
        <tr r="B68" s="1"/>
      </tp>
      <tp t="s">
        <v>EUR</v>
        <stp/>
        <stp>##V3_BDPV12</stp>
        <stp>FR0012432904 CORP</stp>
        <stp>CRNCY</stp>
        <stp>[BondFloaters.xlsx]FLOATERS!R48C2</stp>
        <tr r="B48" s="1"/>
      </tp>
      <tp t="s">
        <v>EUR</v>
        <stp/>
        <stp>##V3_BDPV12</stp>
        <stp>XS1729872652 CORP</stp>
        <stp>CRNCY</stp>
        <stp>[BondFloaters.xlsx]FLOATERS!R80C2</stp>
        <tr r="B80" s="1"/>
      </tp>
      <tp>
        <v>0</v>
        <stp/>
        <stp>##V3_BDPV12</stp>
        <stp>XS1089831249 CORP</stp>
        <stp>CPN</stp>
        <stp>[BondFloaters.xlsx]FLOATERS!R56C25</stp>
        <tr r="Y56" s="1"/>
      </tp>
      <tp>
        <v>8.8999999999999996E-2</v>
        <stp/>
        <stp>##V3_BDPV12</stp>
        <stp>XS1292468987 CORP</stp>
        <stp>CPN</stp>
        <stp>[BondFloaters.xlsx]FLOATERS!R18C25</stp>
        <tr r="Y18" s="1"/>
      </tp>
      <tp>
        <v>4.0000000000000001E-3</v>
        <stp/>
        <stp>##V3_BDPV12</stp>
        <stp>XS1612940988 CORP</stp>
        <stp>CPN</stp>
        <stp>[BondFloaters.xlsx]FLOATERS!R35C25</stp>
        <tr r="Y35" s="1"/>
      </tp>
      <tp t="s">
        <v>11/03/2019</v>
        <stp/>
        <stp>##V3_BDPV12</stp>
        <stp>XS1288342147 CORP</stp>
        <stp>NXT_CPN_DT</stp>
        <stp>[BondFloaters.xlsx]FLOATERS!R108C14</stp>
        <tr r="N108" s="1"/>
      </tp>
      <tp>
        <v>-0.19045899999999999</v>
        <stp/>
        <stp>##V3_BDPV12</stp>
        <stp>XS1781813511 CORP</stp>
        <stp>YAS_BOND_YLD</stp>
        <stp>[BondFloaters.xlsx]FLOATERS!R8C27</stp>
        <tr r="AA8" s="1"/>
      </tp>
      <tp>
        <v>0.432</v>
        <stp/>
        <stp>##V3_BDPV12</stp>
        <stp>XS1212467911 CORP</stp>
        <stp>CPN</stp>
        <stp>[BondFloaters.xlsx]FLOATERS!R57C25</stp>
        <tr r="Y57" s="1"/>
      </tp>
      <tp>
        <v>19.087865341569294</v>
        <stp/>
        <stp>##V3_BDPV12</stp>
        <stp>BE6285450449 CORP</stp>
        <stp>YAS_FLOATER_DISCOUNT_MARGIN</stp>
        <stp>[BondFloaters.xlsx]FLOATERS!R37C22</stp>
        <tr r="V37" s="1"/>
      </tp>
      <tp t="s">
        <v>DE</v>
        <stp/>
        <stp>##V3_BDPV12</stp>
        <stp>XS1480176111 CORP</stp>
        <stp>CNTRY_OF_RISK</stp>
        <stp>[BondFloaters.xlsx]FLOATERS!R5C3</stp>
        <tr r="C5" s="1"/>
      </tp>
      <tp t="s">
        <v>EUR</v>
        <stp/>
        <stp>##V3_BDPV12</stp>
        <stp>FR0013241379 CORP</stp>
        <stp>CRNCY</stp>
        <stp>[BondFloaters.xlsx]FLOATERS!R38C2</stp>
        <tr r="B38" s="1"/>
      </tp>
      <tp t="s">
        <v>EUR</v>
        <stp/>
        <stp>##V3_BDPV12</stp>
        <stp>XS1249494086 CORP</stp>
        <stp>CRNCY</stp>
        <stp>[BondFloaters.xlsx]FLOATERS!R50C2</stp>
        <tr r="B50" s="1"/>
      </tp>
      <tp t="s">
        <v>EUR</v>
        <stp/>
        <stp>##V3_BDPV12</stp>
        <stp>FR0013263936 CORP</stp>
        <stp>CRNCY</stp>
        <stp>[BondFloaters.xlsx]FLOATERS!R136C2</stp>
        <tr r="B136" s="1"/>
      </tp>
      <tp t="s">
        <v>EUR</v>
        <stp/>
        <stp>##V3_BDPV12</stp>
        <stp>XS1821814800 CORP</stp>
        <stp>CRNCY</stp>
        <stp>[BondFloaters.xlsx]FLOATERS!R84C2</stp>
        <tr r="B84" s="1"/>
      </tp>
      <tp t="s">
        <v>EUR</v>
        <stp/>
        <stp>##V3_BDPV12</stp>
        <stp>XS1292513105 CORP</stp>
        <stp>CRNCY</stp>
        <stp>[BondFloaters.xlsx]FLOATERS!R69C2</stp>
        <tr r="B69" s="1"/>
      </tp>
      <tp t="s">
        <v>EUR</v>
        <stp/>
        <stp>##V3_BDPV12</stp>
        <stp>XS1522989869 CORP</stp>
        <stp>CRNCY</stp>
        <stp>[BondFloaters.xlsx]FLOATERS!R33C2</stp>
        <tr r="B33" s="1"/>
      </tp>
      <tp t="s">
        <v>GBP</v>
        <stp/>
        <stp>##V3_BDPV12</stp>
        <stp>XS1082839553 CORP</stp>
        <stp>CRNCY</stp>
        <stp>[BondFloaters.xlsx]FLOATERS!R61C2</stp>
        <tr r="B61" s="1"/>
      </tp>
      <tp>
        <v>0.31441000000000002</v>
        <stp/>
        <stp>##V3_BDPV12</stp>
        <stp>DE000A19HBM3 CORP</stp>
        <stp>YAS_BOND_YLD</stp>
        <stp>[BondFloaters.xlsx]FLOATERS!R99C27</stp>
        <tr r="AA99" s="1"/>
      </tp>
      <tp t="s">
        <v>12/11/2018</v>
        <stp/>
        <stp>##V3_BDPV12</stp>
        <stp>DE000A19HBM3 CORP</stp>
        <stp>START_ACC_DT</stp>
        <stp>[BondFloaters.xlsx]FLOATERS!R99C12</stp>
        <tr r="L99" s="1"/>
      </tp>
      <tp>
        <v>0.43099999999999999</v>
        <stp/>
        <stp>##V3_BDPV12</stp>
        <stp>FR0011884899 CORP</stp>
        <stp>CPN</stp>
        <stp>[BondFloaters.xlsx]FLOATERS!R66C25</stp>
        <tr r="Y66" s="1"/>
      </tp>
      <tp t="s">
        <v>#N/A N/A</v>
        <stp/>
        <stp>##V3_BDPV12</stp>
        <stp>DE000A13SL18 CORP</stp>
        <stp>YAS_BOND_PX</stp>
        <stp>[BondFloaters.xlsx]FLOATERS!R92C28</stp>
        <tr r="AB92" s="1"/>
      </tp>
      <tp t="s">
        <v>#N/A N/A</v>
        <stp/>
        <stp>##V3_BDPV12</stp>
        <stp>BE6276038419 CORP</stp>
        <stp>YAS_FLOATER_DISCOUNT_MARGIN</stp>
        <stp>[BondFloaters.xlsx]FLOATERS!R86C22</stp>
        <tr r="V86" s="1"/>
      </tp>
      <tp t="s">
        <v>EUR</v>
        <stp/>
        <stp>##V3_BDPV12</stp>
        <stp>DE000A19UNN9 CORP</stp>
        <stp>CRNCY</stp>
        <stp>[BondFloaters.xlsx]FLOATERS!R125C2</stp>
        <tr r="B125" s="1"/>
      </tp>
      <tp t="s">
        <v>EUR</v>
        <stp/>
        <stp>##V3_BDPV12</stp>
        <stp>XS1190623907 CORP</stp>
        <stp>CRNCY</stp>
        <stp>[BondFloaters.xlsx]FLOATERS!R59C2</stp>
        <tr r="B59" s="1"/>
      </tp>
      <tp>
        <v>84.208897247536399</v>
        <stp/>
        <stp>##V3_BDPV12</stp>
        <stp>DE000A2GSCY9 CORP</stp>
        <stp>YAS_FLOATER_DISCOUNT_MARGIN</stp>
        <stp>[BondFloaters.xlsx]FLOATERS!R14C22</stp>
        <tr r="V14" s="1"/>
      </tp>
      <tp t="s">
        <v>EUR</v>
        <stp/>
        <stp>##V3_BDPV12</stp>
        <stp>XS1599109896 CORP</stp>
        <stp>CRNCY</stp>
        <stp>[BondFloaters.xlsx]FLOATERS!R97C2</stp>
        <tr r="B97" s="1"/>
      </tp>
      <tp t="s">
        <v>EUR</v>
        <stp/>
        <stp>##V3_BDPV12</stp>
        <stp>XS1554462421 CORP</stp>
        <stp>CRNCY</stp>
        <stp>[BondFloaters.xlsx]FLOATERS!R49C2</stp>
        <tr r="B49" s="1"/>
      </tp>
      <tp t="s">
        <v>EUR</v>
        <stp/>
        <stp>##V3_BDPV12</stp>
        <stp>BE6301509012 CORP</stp>
        <stp>CRNCY</stp>
        <stp>[BondFloaters.xlsx]FLOATERS!R124C2</stp>
        <tr r="B124" s="1"/>
      </tp>
      <tp>
        <v>0.114</v>
        <stp/>
        <stp>##V3_BDPV12</stp>
        <stp>XS1821814800 CORP</stp>
        <stp>CPN</stp>
        <stp>[BondFloaters.xlsx]FLOATERS!R84C25</stp>
        <tr r="Y84" s="1"/>
      </tp>
      <tp>
        <v>0.18099999999999999</v>
        <stp/>
        <stp>##V3_BDPV12</stp>
        <stp>XS1249494086 CORP</stp>
        <stp>CPN</stp>
        <stp>[BondFloaters.xlsx]FLOATERS!R50C25</stp>
        <tr r="Y50" s="1"/>
      </tp>
      <tp>
        <v>0.28199999999999997</v>
        <stp/>
        <stp>##V3_BDPV12</stp>
        <stp>XS1750116920 CORP</stp>
        <stp>CPN</stp>
        <stp>[BondFloaters.xlsx]FLOATERS!R31C25</stp>
        <tr r="Y31" s="1"/>
      </tp>
      <tp>
        <v>3.3000000000000002E-2</v>
        <stp/>
        <stp>##V3_BDPV12</stp>
        <stp>XS1398275112 CORP</stp>
        <stp>CPN</stp>
        <stp>[BondFloaters.xlsx]FLOATERS!R16C25</stp>
        <tr r="Y16" s="1"/>
      </tp>
      <tp>
        <v>0</v>
        <stp/>
        <stp>##V3_BDPV12</stp>
        <stp>XS1190623907 CORP</stp>
        <stp>CPN</stp>
        <stp>[BondFloaters.xlsx]FLOATERS!R59C25</stp>
        <tr r="Y59" s="1"/>
      </tp>
      <tp t="s">
        <v>28/12/2018</v>
        <stp/>
        <stp>##V3_BDPV12</stp>
        <stp>FR0013263936 CORP</stp>
        <stp>NXT_CPN_DT</stp>
        <stp>[BondFloaters.xlsx]FLOATERS!R136C14</stp>
        <tr r="N136" s="1"/>
      </tp>
      <tp t="s">
        <v>CLEAN</v>
        <stp/>
        <stp>##V3_BDPV12</stp>
        <stp>DE000A14KJE8 CORP</stp>
        <stp>PX_DIRTY_CLEAN</stp>
        <stp>[BondFloaters.xlsx]FLOATERS!R51C19</stp>
        <tr r="S51" s="1"/>
      </tp>
      <tp t="s">
        <v>EUR</v>
        <stp/>
        <stp>##V3_BDPV12</stp>
        <stp>XS1679028479 CORP</stp>
        <stp>CRNCY</stp>
        <stp>[BondFloaters.xlsx]FLOATERS!R119C2</stp>
        <tr r="B119" s="1"/>
      </tp>
      <tp t="s">
        <v>EUR</v>
        <stp/>
        <stp>##V3_BDPV12</stp>
        <stp>XS1717567587 CORP</stp>
        <stp>CRNCY</stp>
        <stp>[BondFloaters.xlsx]FLOATERS!R112C2</stp>
        <tr r="B112" s="1"/>
      </tp>
      <tp>
        <v>62.541024847176985</v>
        <stp/>
        <stp>##V3_BDPV12</stp>
        <stp>DE000A19HBM3 CORP</stp>
        <stp>YAS_FLOATER_DISCOUNT_MARGIN</stp>
        <stp>[BondFloaters.xlsx]FLOATERS!R99C22</stp>
        <tr r="V99" s="1"/>
      </tp>
      <tp t="s">
        <v>EUR</v>
        <stp/>
        <stp>##V3_BDPV12</stp>
        <stp>XS1346107433 CORP</stp>
        <stp>CRNCY</stp>
        <stp>[BondFloaters.xlsx]FLOATERS!R134C2</stp>
        <tr r="B134" s="1"/>
      </tp>
      <tp t="s">
        <v>US</v>
        <stp/>
        <stp>##V3_BDPV12</stp>
        <stp>XS1046499981 CORP</stp>
        <stp>CNTRY_OF_RISK</stp>
        <stp>[BondFloaters.xlsx]FLOATERS!R9C3</stp>
        <tr r="C9" s="1"/>
      </tp>
      <tp t="s">
        <v>EUR</v>
        <stp/>
        <stp>##V3_BDPV12</stp>
        <stp>XS1382791892 CORP</stp>
        <stp>CRNCY</stp>
        <stp>[BondFloaters.xlsx]FLOATERS!R30C2</stp>
        <tr r="B30" s="1"/>
      </tp>
      <tp t="s">
        <v>EUR</v>
        <stp/>
        <stp>##V3_BDPV12</stp>
        <stp>XS1678632487 CORP</stp>
        <stp>CRNCY</stp>
        <stp>[BondFloaters.xlsx]FLOATERS!R6C2</stp>
        <tr r="B6" s="1"/>
      </tp>
      <tp t="s">
        <v>EUR</v>
        <stp/>
        <stp>##V3_BDPV12</stp>
        <stp>XS1107266782 CORP</stp>
        <stp>CRNCY</stp>
        <stp>[BondFloaters.xlsx]FLOATERS!R74C2</stp>
        <tr r="B74" s="1"/>
      </tp>
      <tp t="s">
        <v>EUR</v>
        <stp/>
        <stp>##V3_BDPV12</stp>
        <stp>XS1319814817 CORP</stp>
        <stp>CRNCY</stp>
        <stp>[BondFloaters.xlsx]FLOATERS!R77C2</stp>
        <tr r="B77" s="1"/>
      </tp>
      <tp t="s">
        <v>EUR</v>
        <stp/>
        <stp>##V3_BDPV12</stp>
        <stp>XS1139316555 CORP</stp>
        <stp>CRNCY</stp>
        <stp>[BondFloaters.xlsx]FLOATERS!R78C2</stp>
        <tr r="B78" s="1"/>
      </tp>
      <tp t="s">
        <v>EUR</v>
        <stp/>
        <stp>##V3_BDPV12</stp>
        <stp>FR0013221652 CORP</stp>
        <stp>CRNCY</stp>
        <stp>[BondFloaters.xlsx]FLOATERS!R98C2</stp>
        <tr r="B98" s="1"/>
      </tp>
      <tp>
        <v>0.38400000000000001</v>
        <stp/>
        <stp>##V3_BDPV12</stp>
        <stp>XS1729872736 CORP</stp>
        <stp>CPN</stp>
        <stp>[BondFloaters.xlsx]FLOATERS!R88C25</stp>
        <tr r="Y88" s="1"/>
      </tp>
      <tp t="s">
        <v>#N/A N/A</v>
        <stp/>
        <stp>##V3_BDPV12</stp>
        <stp>XS1480176111 CORP</stp>
        <stp>YAS_BOND_YLD</stp>
        <stp>[BondFloaters.xlsx]FLOATERS!R5C27</stp>
        <tr r="AA5" s="1"/>
      </tp>
      <tp t="s">
        <v>21/02/2019</v>
        <stp/>
        <stp>##V3_BDPV12</stp>
        <stp>XS1568906421 CORP</stp>
        <stp>NXT_CPN_DT</stp>
        <stp>[BondFloaters.xlsx]FLOATERS!R123C14</stp>
        <tr r="N123" s="1"/>
      </tp>
      <tp>
        <v>3.4000000000000002E-2</v>
        <stp/>
        <stp>##V3_BDPV12</stp>
        <stp>XS1828028677 CORP</stp>
        <stp>CPN</stp>
        <stp>[BondFloaters.xlsx]FLOATERS!R45C25</stp>
        <tr r="Y45" s="1"/>
      </tp>
      <tp>
        <v>0.23599999999999999</v>
        <stp/>
        <stp>##V3_BDPV12</stp>
        <stp>XS1108681625 CORP</stp>
        <stp>CPN</stp>
        <stp>[BondFloaters.xlsx]FLOATERS!R40C25</stp>
        <tr r="Y40" s="1"/>
      </tp>
      <tp>
        <v>25.054744645701298</v>
        <stp/>
        <stp>##V3_BDPV12</stp>
        <stp>DE000A19SE11 CORP</stp>
        <stp>YAS_FLOATER_DISCOUNT_MARGIN</stp>
        <stp>[BondFloaters.xlsx]FLOATERS!R71C22</stp>
        <tr r="V71" s="1"/>
      </tp>
      <tp t="s">
        <v>EUR</v>
        <stp/>
        <stp>##V3_BDPV12</stp>
        <stp>XS1372838083 CORP</stp>
        <stp>CRNCY</stp>
        <stp>[BondFloaters.xlsx]FLOATERS!R130C2</stp>
        <tr r="B130" s="1"/>
      </tp>
      <tp t="s">
        <v>EUR</v>
        <stp/>
        <stp>##V3_BDPV12</stp>
        <stp>XS1206712868 CORP</stp>
        <stp>CRNCY</stp>
        <stp>[BondFloaters.xlsx]FLOATERS!R118C2</stp>
        <tr r="B118" s="1"/>
      </tp>
      <tp t="s">
        <v>EUR</v>
        <stp/>
        <stp>##V3_BDPV12</stp>
        <stp>XS1574667124 CORP</stp>
        <stp>CRNCY</stp>
        <stp>[BondFloaters.xlsx]FLOATERS!R104C2</stp>
        <tr r="B104" s="1"/>
      </tp>
      <tp t="s">
        <v>EUR</v>
        <stp/>
        <stp>##V3_BDPV12</stp>
        <stp>DE000A19X793 CORP</stp>
        <stp>CRNCY</stp>
        <stp>[BondFloaters.xlsx]FLOATERS!R10C2</stp>
        <tr r="B10" s="1"/>
      </tp>
      <tp>
        <v>100.251</v>
        <stp/>
        <stp>##V3_BDPV12</stp>
        <stp>DE000A14KJE8 CORP</stp>
        <stp>YAS_BOND_PX</stp>
        <stp>[BondFloaters.xlsx]FLOATERS!R51C28</stp>
        <tr r="AB51" s="1"/>
      </tp>
      <tp t="s">
        <v>EUR</v>
        <stp/>
        <stp>##V3_BDPV12</stp>
        <stp>FR0013216884 CORP</stp>
        <stp>CRNCY</stp>
        <stp>[BondFloaters.xlsx]FLOATERS!R7C2</stp>
        <tr r="B7" s="1"/>
      </tp>
      <tp>
        <v>0</v>
        <stp/>
        <stp>##V3_BDPV12</stp>
        <stp>XS1197832832 CORP</stp>
        <stp>CPN</stp>
        <stp>[BondFloaters.xlsx]FLOATERS!R39C25</stp>
        <tr r="Y39" s="1"/>
      </tp>
      <tp>
        <v>5.4000000000000006E-2</v>
        <stp/>
        <stp>##V3_BDPV12</stp>
        <stp>XS1729872652 CORP</stp>
        <stp>CPN</stp>
        <stp>[BondFloaters.xlsx]FLOATERS!R80C25</stp>
        <tr r="Y80" s="1"/>
      </tp>
      <tp t="s">
        <v>11/03/2019</v>
        <stp/>
        <stp>##V3_BDPV12</stp>
        <stp>XS1679028479 CORP</stp>
        <stp>NXT_CPN_DT</stp>
        <stp>[BondFloaters.xlsx]FLOATERS!R119C14</stp>
        <tr r="N119" s="1"/>
      </tp>
      <tp>
        <v>0.36399999999999999</v>
        <stp/>
        <stp>##V3_BDPV12</stp>
        <stp>XS1609252645 CORP</stp>
        <stp>CPN</stp>
        <stp>[BondFloaters.xlsx]FLOATERS!R24C25</stp>
        <tr r="Y24" s="1"/>
      </tp>
      <tp>
        <v>30</v>
        <stp/>
        <stp>##V3_BDPV12</stp>
        <stp>BE6301509012 CORP</stp>
        <stp>FLT_SPREAD</stp>
        <stp>[BondFloaters.xlsx]FLOATERS!R124C26</stp>
        <tr r="Z124" s="1"/>
      </tp>
      <tp>
        <v>30</v>
        <stp/>
        <stp>##V3_BDPV12</stp>
        <stp>BE6301509012 CORP</stp>
        <stp>FLT_SPREAD</stp>
        <stp>[BondFloaters.xlsx]FLOATERS!R124C17</stp>
        <tr r="Q124" s="1"/>
      </tp>
      <tp t="s">
        <v>EUR</v>
        <stp/>
        <stp>##V3_BDPV12</stp>
        <stp>XS1622634126 CORP</stp>
        <stp>CRNCY</stp>
        <stp>[BondFloaters.xlsx]FLOATERS!R121C2</stp>
        <tr r="B121" s="1"/>
      </tp>
      <tp t="s">
        <v>EUR</v>
        <stp/>
        <stp>##V3_BDPV12</stp>
        <stp>XS1767930826 CORP</stp>
        <stp>CRNCY</stp>
        <stp>[BondFloaters.xlsx]FLOATERS!R110C2</stp>
        <tr r="B110" s="1"/>
      </tp>
      <tp t="s">
        <v>EUR</v>
        <stp/>
        <stp>##V3_BDPV12</stp>
        <stp>XS1577870808 CORP</stp>
        <stp>CRNCY</stp>
        <stp>[BondFloaters.xlsx]FLOATERS!R138C2</stp>
        <tr r="B138" s="1"/>
      </tp>
      <tp t="s">
        <v>EUR</v>
        <stp/>
        <stp>##V3_BDPV12</stp>
        <stp>XS1753030490 CORP</stp>
        <stp>CRNCY</stp>
        <stp>[BondFloaters.xlsx]FLOATERS!R106C2</stp>
        <tr r="B106" s="1"/>
      </tp>
      <tp t="s">
        <v>EUR</v>
        <stp/>
        <stp>##V3_BDPV12</stp>
        <stp>XS1381690574 CORP</stp>
        <stp>CRNCY</stp>
        <stp>[BondFloaters.xlsx]FLOATERS!R89C2</stp>
        <tr r="B89" s="1"/>
      </tp>
      <tp t="s">
        <v>EUR</v>
        <stp/>
        <stp>##V3_BDPV12</stp>
        <stp>FR0013342664 CORP</stp>
        <stp>CRNCY</stp>
        <stp>[BondFloaters.xlsx]FLOATERS!R122C2</stp>
        <tr r="B122" s="1"/>
      </tp>
      <tp>
        <v>0.28399999999999997</v>
        <stp/>
        <stp>##V3_BDPV12</stp>
        <stp>DE000A19RXA1 CORP</stp>
        <stp>CPN</stp>
        <stp>[BondFloaters.xlsx]FLOATERS!R62C25</stp>
        <tr r="Y62" s="1"/>
      </tp>
      <tp t="s">
        <v>EUR</v>
        <stp/>
        <stp>##V3_BDPV12</stp>
        <stp>FR0013264884 CORP</stp>
        <stp>CRNCY</stp>
        <stp>[BondFloaters.xlsx]FLOATERS!R93C2</stp>
        <tr r="B93" s="1"/>
      </tp>
      <tp t="s">
        <v>EUR</v>
        <stp/>
        <stp>##V3_BDPV12</stp>
        <stp>FR0013260486 CORP</stp>
        <stp>CRNCY</stp>
        <stp>[BondFloaters.xlsx]FLOATERS!R63C2</stp>
        <tr r="B63" s="1"/>
      </tp>
      <tp t="s">
        <v>EUR</v>
        <stp/>
        <stp>##V3_BDPV12</stp>
        <stp>XS1781813511 CORP</stp>
        <stp>CRNCY</stp>
        <stp>[BondFloaters.xlsx]FLOATERS!R8C2</stp>
        <tr r="B8" s="1"/>
      </tp>
      <tp t="s">
        <v>EUR</v>
        <stp/>
        <stp>##V3_BDPV12</stp>
        <stp>XS1718416586 CORP</stp>
        <stp>CRNCY</stp>
        <stp>[BondFloaters.xlsx]FLOATERS!R54C2</stp>
        <tr r="B54" s="1"/>
      </tp>
      <tp t="s">
        <v>08/02/2019</v>
        <stp/>
        <stp>##V3_BDPV12</stp>
        <stp>XS1767087940 CORP</stp>
        <stp>NXT_CPN_DT</stp>
        <stp>[BondFloaters.xlsx]FLOATERS!R127C14</stp>
        <tr r="N127" s="1"/>
      </tp>
      <tp>
        <v>0</v>
        <stp/>
        <stp>##V3_BDPV12</stp>
        <stp>XS1139316555 CORP</stp>
        <stp>CPN</stp>
        <stp>[BondFloaters.xlsx]FLOATERS!R78C25</stp>
        <tr r="Y78" s="1"/>
      </tp>
      <tp t="s">
        <v>20/03/2019</v>
        <stp/>
        <stp>##V3_BDPV12</stp>
        <stp>XS1206712868 CORP</stp>
        <stp>NXT_CPN_DT</stp>
        <stp>[BondFloaters.xlsx]FLOATERS!R118C14</stp>
        <tr r="N118" s="1"/>
      </tp>
      <tp t="s">
        <v>EUR</v>
        <stp/>
        <stp>##V3_BDPV12</stp>
        <stp>XS1306411726 CORP</stp>
        <stp>CRNCY</stp>
        <stp>[BondFloaters.xlsx]FLOATERS!R115C2</stp>
        <tr r="B115" s="1"/>
      </tp>
      <tp t="s">
        <v>EUR</v>
        <stp/>
        <stp>##V3_BDPV12</stp>
        <stp>XS1723613581 CORP</stp>
        <stp>CRNCY</stp>
        <stp>[BondFloaters.xlsx]FLOATERS!R75C2</stp>
        <tr r="B75" s="1"/>
      </tp>
      <tp t="s">
        <v>EUR</v>
        <stp/>
        <stp>##V3_BDPV12</stp>
        <stp>FR0013324316 CORP</stp>
        <stp>CRNCY</stp>
        <stp>[BondFloaters.xlsx]FLOATERS!R28C2</stp>
        <tr r="B28" s="1"/>
      </tp>
      <tp t="s">
        <v>EUR</v>
        <stp/>
        <stp>##V3_BDPV12</stp>
        <stp>FR0012969012 CORP</stp>
        <stp>CRNCY</stp>
        <stp>[BondFloaters.xlsx]FLOATERS!R22C2</stp>
        <tr r="B22" s="1"/>
      </tp>
      <tp>
        <v>-136.98978772651515</v>
        <stp/>
        <stp>##V3_BDPV12</stp>
        <stp>DE000A169GZ7 CORP</stp>
        <stp>YAS_FLOATER_DISCOUNT_MARGIN</stp>
        <stp>[BondFloaters.xlsx]FLOATERS!R42C22</stp>
        <tr r="V42" s="1"/>
      </tp>
      <tp t="s">
        <v>EUR</v>
        <stp/>
        <stp>##V3_BDPV12</stp>
        <stp>XS1671754650 CORP</stp>
        <stp>CRNCY</stp>
        <stp>[BondFloaters.xlsx]FLOATERS!R19C2</stp>
        <tr r="B19" s="1"/>
      </tp>
      <tp t="s">
        <v>EUR</v>
        <stp/>
        <stp>##V3_BDPV12</stp>
        <stp>XS1144084099 CORP</stp>
        <stp>CRNCY</stp>
        <stp>[BondFloaters.xlsx]FLOATERS!R82C2</stp>
        <tr r="B82" s="1"/>
      </tp>
      <tp t="s">
        <v>15/03/2019</v>
        <stp/>
        <stp>##V3_BDPV12</stp>
        <stp>XS1577870808 CORP</stp>
        <stp>NXT_CPN_DT</stp>
        <stp>[BondFloaters.xlsx]FLOATERS!R138C14</stp>
        <tr r="N138" s="1"/>
      </tp>
      <tp>
        <v>0.154</v>
        <stp/>
        <stp>##V3_BDPV12</stp>
        <stp>XS1485660895 CORP</stp>
        <stp>CPN</stp>
        <stp>[BondFloaters.xlsx]FLOATERS!R58C25</stp>
        <tr r="Y58" s="1"/>
      </tp>
      <tp>
        <v>0</v>
        <stp/>
        <stp>##V3_BDPV12</stp>
        <stp>XS1718416586 CORP</stp>
        <stp>CPN</stp>
        <stp>[BondFloaters.xlsx]FLOATERS!R54C25</stp>
        <tr r="Y54" s="1"/>
      </tp>
      <tp t="s">
        <v>07/03/2019</v>
        <stp/>
        <stp>##V3_BDPV12</stp>
        <stp>XS1767930826 CORP</stp>
        <stp>NXT_CPN_DT</stp>
        <stp>[BondFloaters.xlsx]FLOATERS!R110C14</stp>
        <tr r="N110" s="1"/>
      </tp>
      <tp>
        <v>0.109</v>
        <stp/>
        <stp>##V3_BDPV12</stp>
        <stp>XS1734547919 CORP</stp>
        <stp>CPN</stp>
        <stp>[BondFloaters.xlsx]FLOATERS!R11C25</stp>
        <tr r="Y11" s="1"/>
      </tp>
      <tp t="s">
        <v>EUR</v>
        <stp/>
        <stp>##V3_BDPV12</stp>
        <stp>XS1224953452 CORP</stp>
        <stp>CRNCY</stp>
        <stp>[BondFloaters.xlsx]FLOATERS!R135C2</stp>
        <tr r="B135" s="1"/>
      </tp>
      <tp t="s">
        <v>EUR</v>
        <stp/>
        <stp>##V3_BDPV12</stp>
        <stp>FR0013257599 CORP</stp>
        <stp>CRNCY</stp>
        <stp>[BondFloaters.xlsx]FLOATERS!R20C2</stp>
        <tr r="B20" s="1"/>
      </tp>
      <tp t="s">
        <v>EUR</v>
        <stp/>
        <stp>##V3_BDPV12</stp>
        <stp>XS1089831249 CORP</stp>
        <stp>CRNCY</stp>
        <stp>[BondFloaters.xlsx]FLOATERS!R56C2</stp>
        <tr r="B56" s="1"/>
      </tp>
      <tp t="s">
        <v>EUR</v>
        <stp/>
        <stp>##V3_BDPV12</stp>
        <stp>FR0013136330 CORP</stp>
        <stp>CRNCY</stp>
        <stp>[BondFloaters.xlsx]FLOATERS!R103C2</stp>
        <tr r="B103" s="1"/>
      </tp>
      <tp t="s">
        <v>EUR</v>
        <stp/>
        <stp>##V3_BDPV12</stp>
        <stp>XS1642545690 CORP</stp>
        <stp>CRNCY</stp>
        <stp>[BondFloaters.xlsx]FLOATERS!R76C2</stp>
        <tr r="B76" s="1"/>
      </tp>
      <tp t="s">
        <v>EUR</v>
        <stp/>
        <stp>##V3_BDPV12</stp>
        <stp>XS1792505197 CORP</stp>
        <stp>CRNCY</stp>
        <stp>[BondFloaters.xlsx]FLOATERS!R96C2</stp>
        <tr r="B96" s="1"/>
      </tp>
      <tp>
        <v>100.20399999999999</v>
        <stp/>
        <stp>##V3_BDPV12</stp>
        <stp>XS1319814817 CORP</stp>
        <stp>YAS_BOND_PX</stp>
        <stp>[BondFloaters.xlsx]FLOATERS!R77C28</stp>
        <tr r="AB77" s="1"/>
      </tp>
      <tp>
        <v>100.10299999999999</v>
        <stp/>
        <stp>##V3_BDPV12</stp>
        <stp>XS1599109896 CORP</stp>
        <stp>YAS_BOND_PX</stp>
        <stp>[BondFloaters.xlsx]FLOATERS!R97C28</stp>
        <tr r="AB97" s="1"/>
      </tp>
      <tp>
        <v>100.08199999999999</v>
        <stp/>
        <stp>##V3_BDPV12</stp>
        <stp>XS1574156540 CORP</stp>
        <stp>YAS_BOND_PX</stp>
        <stp>[BondFloaters.xlsx]FLOATERS!R90C28</stp>
        <tr r="AB90" s="1"/>
      </tp>
      <tp>
        <v>99.626999999999995</v>
        <stp/>
        <stp>##V3_BDPV12</stp>
        <stp>FR0013241379 CORP</stp>
        <stp>YAS_BOND_PX</stp>
        <stp>[BondFloaters.xlsx]FLOATERS!R38C28</stp>
        <tr r="AB38" s="1"/>
      </tp>
      <tp>
        <v>99.564999999999998</v>
        <stp/>
        <stp>##V3_BDPV12</stp>
        <stp>XS1705553417 CORP</stp>
        <stp>YAS_BOND_PX</stp>
        <stp>[BondFloaters.xlsx]FLOATERS!R85C28</stp>
        <tr r="AB85" s="1"/>
      </tp>
      <tp>
        <v>98.891000000000005</v>
        <stp/>
        <stp>##V3_BDPV12</stp>
        <stp>FR0013266343 CORP</stp>
        <stp>YAS_BOND_PX</stp>
        <stp>[BondFloaters.xlsx]FLOATERS!R91C28</stp>
        <tr r="AB91" s="1"/>
      </tp>
      <tp>
        <v>3.4000000000000002E-2</v>
        <stp/>
        <stp>##V3_BDPV12</stp>
        <stp>DE000A19SE11 CORP</stp>
        <stp>CPN</stp>
        <stp>[BondFloaters.xlsx]FLOATERS!R71C25</stp>
        <tr r="Y71" s="1"/>
      </tp>
      <tp>
        <v>100.29600000000001</v>
        <stp/>
        <stp>##V3_BDPV12</stp>
        <stp>FR0013324316 CORP</stp>
        <stp>YAS_BOND_PX</stp>
        <stp>[BondFloaters.xlsx]FLOATERS!R28C28</stp>
        <tr r="AB28" s="1"/>
      </tp>
      <tp>
        <v>99.902000000000001</v>
        <stp/>
        <stp>##V3_BDPV12</stp>
        <stp>XS1756669740 CORP</stp>
        <stp>YAS_BOND_PX</stp>
        <stp>[BondFloaters.xlsx]FLOATERS!R72C28</stp>
        <tr r="AB72" s="1"/>
      </tp>
      <tp>
        <v>8.6396456127866692</v>
        <stp/>
        <stp>##V3_BDPV12</stp>
        <stp>XS1108681625 CORP</stp>
        <stp>YAS_FLOATER_DISCOUNT_MARGIN</stp>
        <stp>[BondFloaters.xlsx]FLOATERS!R40C22</stp>
        <tr r="V40" s="1"/>
      </tp>
      <tp>
        <v>43.847842975282646</v>
        <stp/>
        <stp>##V3_BDPV12</stp>
        <stp>XS1828028677 CORP</stp>
        <stp>YAS_FLOATER_DISCOUNT_MARGIN</stp>
        <stp>[BondFloaters.xlsx]FLOATERS!R45C22</stp>
        <tr r="V45" s="1"/>
      </tp>
      <tp>
        <v>329.56519849729273</v>
        <stp/>
        <stp>##V3_BDPV12</stp>
        <stp>XS1729872736 CORP</stp>
        <stp>YAS_FLOATER_DISCOUNT_MARGIN</stp>
        <stp>[BondFloaters.xlsx]FLOATERS!R88C22</stp>
        <tr r="V88" s="1"/>
      </tp>
      <tp t="s">
        <v>JP</v>
        <stp/>
        <stp>##V3_BDPV12</stp>
        <stp>XS1033649739 CORP</stp>
        <stp>CNTRY_OF_RISK</stp>
        <stp>[BondFloaters.xlsx]FLOATERS!R44C3</stp>
        <tr r="C44" s="1"/>
      </tp>
      <tp t="s">
        <v>GB</v>
        <stp/>
        <stp>##V3_BDPV12</stp>
        <stp>XS1794195724 CORP</stp>
        <stp>CNTRY_OF_RISK</stp>
        <stp>[BondFloaters.xlsx]FLOATERS!R12C3</stp>
        <tr r="C12" s="1"/>
      </tp>
      <tp t="s">
        <v>SE</v>
        <stp/>
        <stp>##V3_BDPV12</stp>
        <stp>XS1564405741 CORP</stp>
        <stp>CNTRY_OF_RISK</stp>
        <stp>[BondFloaters.xlsx]FLOATERS!R21C3</stp>
        <tr r="C21" s="1"/>
      </tp>
      <tp t="s">
        <v>GB</v>
        <stp/>
        <stp>##V3_BDPV12</stp>
        <stp>XS1664643746 CORP</stp>
        <stp>CNTRY_OF_RISK</stp>
        <stp>[BondFloaters.xlsx]FLOATERS!R73C3</stp>
        <tr r="C73" s="1"/>
      </tp>
      <tp t="s">
        <v>NL</v>
        <stp/>
        <stp>##V3_BDPV12</stp>
        <stp>XS1705553417 CORP</stp>
        <stp>CNTRY_OF_RISK</stp>
        <stp>[BondFloaters.xlsx]FLOATERS!R85C3</stp>
        <tr r="C85" s="1"/>
      </tp>
      <tp t="s">
        <v>SE</v>
        <stp/>
        <stp>##V3_BDPV12</stp>
        <stp>XS1808497264 CORP</stp>
        <stp>CNTRY_OF_RISK</stp>
        <stp>[BondFloaters.xlsx]FLOATERS!R13C3</stp>
        <tr r="C13" s="1"/>
      </tp>
      <tp>
        <v>100.20699999999999</v>
        <stp/>
        <stp>##V3_BDPV12</stp>
        <stp>DE000A2G8VS7 CORP</stp>
        <stp>YAS_BOND_PX</stp>
        <stp>[BondFloaters.xlsx]FLOATERS!R43C28</stp>
        <tr r="AB43" s="1"/>
      </tp>
      <tp t="s">
        <v>DE</v>
        <stp/>
        <stp>##V3_BDPV12</stp>
        <stp>XS1363560548 CORP</stp>
        <stp>CNTRY_OF_RISK</stp>
        <stp>[BondFloaters.xlsx]FLOATERS!R133C3</stp>
        <tr r="C133" s="1"/>
      </tp>
      <tp t="s">
        <v>GB</v>
        <stp/>
        <stp>##V3_BDPV12</stp>
        <stp>XS1822824642 CORP</stp>
        <stp>CNTRY_OF_RISK</stp>
        <stp>[BondFloaters.xlsx]FLOATERS!R116C3</stp>
        <tr r="C116" s="1"/>
      </tp>
      <tp t="s">
        <v>US</v>
        <stp/>
        <stp>##V3_BDPV12</stp>
        <stp>XS1171489476 CORP</stp>
        <stp>CNTRY_OF_RISK</stp>
        <stp>[BondFloaters.xlsx]FLOATERS!R101C3</stp>
        <tr r="C101" s="1"/>
      </tp>
      <tp>
        <v>100.251</v>
        <stp/>
        <stp>##V3_BDPV12</stp>
        <stp>XS1635905570 CORP</stp>
        <stp>YAS_BOND_PX</stp>
        <stp>[BondFloaters.xlsx]FLOATERS!R79C28</stp>
        <tr r="AB79" s="1"/>
      </tp>
      <tp>
        <v>101.004</v>
        <stp/>
        <stp>##V3_BDPV12</stp>
        <stp>XS1107266782 CORP</stp>
        <stp>YAS_BOND_PX</stp>
        <stp>[BondFloaters.xlsx]FLOATERS!R74C28</stp>
        <tr r="AB74" s="1"/>
      </tp>
      <tp>
        <v>100.22499999999999</v>
        <stp/>
        <stp>##V3_BDPV12</stp>
        <stp>XS1234366448 CORP</stp>
        <stp>YAS_BOND_PX</stp>
        <stp>[BondFloaters.xlsx]FLOATERS!R52C28</stp>
        <tr r="AB52" s="1"/>
      </tp>
      <tp t="s">
        <v>#N/A N/A</v>
        <stp/>
        <stp>##V3_BDPV12</stp>
        <stp>XS1554462421 CORP</stp>
        <stp>YAS_BOND_PX</stp>
        <stp>[BondFloaters.xlsx]FLOATERS!R49C28</stp>
        <tr r="AB49" s="1"/>
      </tp>
      <tp>
        <v>100.232</v>
        <stp/>
        <stp>##V3_BDPV12</stp>
        <stp>XS1078028864 CORP</stp>
        <stp>YAS_BOND_PX</stp>
        <stp>[BondFloaters.xlsx]FLOATERS!R41C28</stp>
        <tr r="AB41" s="1"/>
      </tp>
      <tp>
        <v>100.137</v>
        <stp/>
        <stp>##V3_BDPV12</stp>
        <stp>XS1618349804 CORP</stp>
        <stp>YAS_BOND_PX</stp>
        <stp>[BondFloaters.xlsx]FLOATERS!R60C28</stp>
        <tr r="AB60" s="1"/>
      </tp>
      <tp>
        <v>30</v>
        <stp/>
        <stp>##V3_BDPV12</stp>
        <stp>FR0013263936 CORP</stp>
        <stp>FLT_SPREAD</stp>
        <stp>[BondFloaters.xlsx]FLOATERS!R136C17</stp>
        <tr r="Q136" s="1"/>
      </tp>
      <tp>
        <v>30</v>
        <stp/>
        <stp>##V3_BDPV12</stp>
        <stp>FR0013263936 CORP</stp>
        <stp>FLT_SPREAD</stp>
        <stp>[BondFloaters.xlsx]FLOATERS!R136C26</stp>
        <tr r="Z136" s="1"/>
      </tp>
      <tp>
        <v>161.11727012279704</v>
        <stp/>
        <stp>##V3_BDPV12</stp>
        <stp>XS1609252645 CORP</stp>
        <stp>YAS_FLOATER_DISCOUNT_MARGIN</stp>
        <stp>[BondFloaters.xlsx]FLOATERS!R24C22</stp>
        <tr r="V24" s="1"/>
      </tp>
      <tp>
        <v>3.6467203496146738</v>
        <stp/>
        <stp>##V3_BDPV12</stp>
        <stp>XS1197832832 CORP</stp>
        <stp>YAS_FLOATER_DISCOUNT_MARGIN</stp>
        <stp>[BondFloaters.xlsx]FLOATERS!R39C22</stp>
        <tr r="V39" s="1"/>
      </tp>
      <tp>
        <v>239.77929280311039</v>
        <stp/>
        <stp>##V3_BDPV12</stp>
        <stp>XS1729872652 CORP</stp>
        <stp>YAS_FLOATER_DISCOUNT_MARGIN</stp>
        <stp>[BondFloaters.xlsx]FLOATERS!R80C22</stp>
        <tr r="V80" s="1"/>
      </tp>
      <tp>
        <v>20.506246348423851</v>
        <stp/>
        <stp>##V3_BDPV12</stp>
        <stp>DE000A19RXA1 CORP</stp>
        <stp>YAS_FLOATER_DISCOUNT_MARGIN</stp>
        <stp>[BondFloaters.xlsx]FLOATERS!R62C22</stp>
        <tr r="V62" s="1"/>
      </tp>
      <tp t="s">
        <v>GB</v>
        <stp/>
        <stp>##V3_BDPV12</stp>
        <stp>XS1362349869 CORP</stp>
        <stp>CNTRY_OF_RISK</stp>
        <stp>[BondFloaters.xlsx]FLOATERS!R65C3</stp>
        <tr r="C65" s="1"/>
      </tp>
      <tp t="s">
        <v>BE</v>
        <stp/>
        <stp>##V3_BDPV12</stp>
        <stp>BE6285450449 CORP</stp>
        <stp>CNTRY_OF_RISK</stp>
        <stp>[BondFloaters.xlsx]FLOATERS!R37C3</stp>
        <tr r="C37" s="1"/>
      </tp>
      <tp t="s">
        <v>BE</v>
        <stp/>
        <stp>##V3_BDPV12</stp>
        <stp>BE6276038419 CORP</stp>
        <stp>CNTRY_OF_RISK</stp>
        <stp>[BondFloaters.xlsx]FLOATERS!R86C3</stp>
        <tr r="C86" s="1"/>
      </tp>
      <tp t="s">
        <v>DE</v>
        <stp/>
        <stp>##V3_BDPV12</stp>
        <stp>DE000A19SE11 CORP</stp>
        <stp>CNTRY_OF_RISK</stp>
        <stp>[BondFloaters.xlsx]FLOATERS!R71C3</stp>
        <tr r="C71" s="1"/>
      </tp>
      <tp t="s">
        <v>SE</v>
        <stp/>
        <stp>##V3_BDPV12</stp>
        <stp>XS1756669740 CORP</stp>
        <stp>CNTRY_OF_RISK</stp>
        <stp>[BondFloaters.xlsx]FLOATERS!R72C3</stp>
        <tr r="C72" s="1"/>
      </tp>
      <tp t="s">
        <v>GB</v>
        <stp/>
        <stp>##V3_BDPV12</stp>
        <stp>XS1717202730 CORP</stp>
        <stp>CNTRY_OF_RISK</stp>
        <stp>[BondFloaters.xlsx]FLOATERS!R128C3</stp>
        <tr r="C128" s="1"/>
      </tp>
      <tp t="s">
        <v>US</v>
        <stp/>
        <stp>##V3_BDPV12</stp>
        <stp>XS1712180477 CORP</stp>
        <stp>CNTRY_OF_RISK</stp>
        <stp>[BondFloaters.xlsx]FLOATERS!R137C3</stp>
        <tr r="C137" s="1"/>
      </tp>
      <tp t="s">
        <v>US</v>
        <stp/>
        <stp>##V3_BDPV12</stp>
        <stp>XS1230926609 CORP</stp>
        <stp>CNTRY_OF_RISK</stp>
        <stp>[BondFloaters.xlsx]FLOATERS!R126C3</stp>
        <tr r="C126" s="1"/>
      </tp>
      <tp t="s">
        <v>#N/A N/A</v>
        <stp/>
        <stp>##V3_BDPV12</stp>
        <stp>DE000A185WC9 CORP</stp>
        <stp>YAS_BOND_PX</stp>
        <stp>[BondFloaters.xlsx]FLOATERS!R47C28</stp>
        <tr r="AB47" s="1"/>
      </tp>
      <tp>
        <v>96.462999999999994</v>
        <stp/>
        <stp>##V3_BDPV12</stp>
        <stp>XS1792505197 CORP</stp>
        <stp>YAS_BOND_PX</stp>
        <stp>[BondFloaters.xlsx]FLOATERS!R96C28</stp>
        <tr r="AB96" s="1"/>
      </tp>
      <tp>
        <v>100.099</v>
        <stp/>
        <stp>##V3_BDPV12</stp>
        <stp>FR0012969012 CORP</stp>
        <stp>YAS_BOND_PX</stp>
        <stp>[BondFloaters.xlsx]FLOATERS!R22C28</stp>
        <tr r="AB22" s="1"/>
      </tp>
      <tp>
        <v>100.78400000000001</v>
        <stp/>
        <stp>##V3_BDPV12</stp>
        <stp>XS1725668633 CORP</stp>
        <stp>YAS_BOND_PX</stp>
        <stp>[BondFloaters.xlsx]FLOATERS!R17C28</stp>
        <tr r="AB17" s="1"/>
      </tp>
      <tp>
        <v>100.20099999999999</v>
        <stp/>
        <stp>##V3_BDPV12</stp>
        <stp>XS1292513105 CORP</stp>
        <stp>YAS_BOND_PX</stp>
        <stp>[BondFloaters.xlsx]FLOATERS!R69C28</stp>
        <tr r="AB69" s="1"/>
      </tp>
      <tp>
        <v>100.05</v>
        <stp/>
        <stp>##V3_BDPV12</stp>
        <stp>XS1586555515 CORP</stp>
        <stp>YAS_BOND_PX</stp>
        <stp>[BondFloaters.xlsx]FLOATERS!R53C28</stp>
        <tr r="AB53" s="1"/>
      </tp>
      <tp>
        <v>92.319000000000003</v>
        <stp/>
        <stp>##V3_BDPV12</stp>
        <stp>FR0013322146 CORP</stp>
        <stp>YAS_BOND_PX</stp>
        <stp>[BondFloaters.xlsx]FLOATERS!R95C28</stp>
        <tr r="AB95" s="1"/>
      </tp>
      <tp>
        <v>100.514</v>
        <stp/>
        <stp>##V3_BDPV12</stp>
        <stp>XS1323463056 CORP</stp>
        <stp>YAS_BOND_PX</stp>
        <stp>[BondFloaters.xlsx]FLOATERS!R83C28</stp>
        <tr r="AB83" s="1"/>
      </tp>
      <tp>
        <v>100.012</v>
        <stp/>
        <stp>##V3_BDPV12</stp>
        <stp>XS1564405741 CORP</stp>
        <stp>YAS_BOND_PX</stp>
        <stp>[BondFloaters.xlsx]FLOATERS!R21C28</stp>
        <tr r="AB21" s="1"/>
      </tp>
      <tp>
        <v>98.382000000000005</v>
        <stp/>
        <stp>##V3_BDPV12</stp>
        <stp>XS1794195724 CORP</stp>
        <stp>YAS_BOND_PX</stp>
        <stp>[BondFloaters.xlsx]FLOATERS!R12C28</stp>
        <tr r="AB12" s="1"/>
      </tp>
      <tp>
        <v>100.25700000000001</v>
        <stp/>
        <stp>##V3_BDPV12</stp>
        <stp>FR0013330107 CORP</stp>
        <stp>YAS_BOND_PX</stp>
        <stp>[BondFloaters.xlsx]FLOATERS!R87C28</stp>
        <tr r="AB87" s="1"/>
      </tp>
      <tp>
        <v>98.331000000000003</v>
        <stp/>
        <stp>##V3_BDPV12</stp>
        <stp>XS1664643746 CORP</stp>
        <stp>YAS_BOND_PX</stp>
        <stp>[BondFloaters.xlsx]FLOATERS!R73C28</stp>
        <tr r="AB73" s="1"/>
      </tp>
      <tp>
        <v>73</v>
        <stp/>
        <stp>##V3_BDPV12</stp>
        <stp>XS1821814982 CORP</stp>
        <stp>FLT_SPREAD</stp>
        <stp>[BondFloaters.xlsx]FLOATERS!R102C17</stp>
        <tr r="Q102" s="1"/>
      </tp>
      <tp>
        <v>73</v>
        <stp/>
        <stp>##V3_BDPV12</stp>
        <stp>XS1821814982 CORP</stp>
        <stp>FLT_SPREAD</stp>
        <stp>[BondFloaters.xlsx]FLOATERS!R102C26</stp>
        <tr r="Z102" s="1"/>
      </tp>
      <tp>
        <v>6.8308288267304205</v>
        <stp/>
        <stp>##V3_BDPV12</stp>
        <stp>XS1139316555 CORP</stp>
        <stp>YAS_FLOATER_DISCOUNT_MARGIN</stp>
        <stp>[BondFloaters.xlsx]FLOATERS!R78C22</stp>
        <tr r="V78" s="1"/>
      </tp>
      <tp t="s">
        <v>CLEAN</v>
        <stp/>
        <stp>##V3_BDPV12</stp>
        <stp>DE000A19RXA1 CORP</stp>
        <stp>PX_DIRTY_CLEAN</stp>
        <stp>[BondFloaters.xlsx]FLOATERS!R62C19</stp>
        <tr r="S62" s="1"/>
      </tp>
      <tp t="s">
        <v>CLEAN</v>
        <stp/>
        <stp>##V3_BDPV12</stp>
        <stp>US30231GAE26 CORP</stp>
        <stp>PX_DIRTY_CLEAN</stp>
        <stp>[BondFloaters.xlsx]FLOATERS!R27C19</stp>
        <tr r="S27" s="1"/>
      </tp>
      <tp>
        <v>0.21199999999999999</v>
        <stp/>
        <stp>##V3_BDPV12</stp>
        <stp>DE000A169GZ7 CORP</stp>
        <stp>CPN</stp>
        <stp>[BondFloaters.xlsx]FLOATERS!R42C25</stp>
        <tr r="Y42" s="1"/>
      </tp>
      <tp t="s">
        <v>DE</v>
        <stp/>
        <stp>##V3_BDPV12</stp>
        <stp>DE000A13SL18 CORP</stp>
        <stp>CNTRY_OF_RISK</stp>
        <stp>[BondFloaters.xlsx]FLOATERS!R92C3</stp>
        <tr r="C92" s="1"/>
      </tp>
      <tp t="s">
        <v>US</v>
        <stp/>
        <stp>##V3_BDPV12</stp>
        <stp>XS1729872736 CORP</stp>
        <stp>CNTRY_OF_RISK</stp>
        <stp>[BondFloaters.xlsx]FLOATERS!R88C3</stp>
        <tr r="C88" s="1"/>
      </tp>
      <tp t="s">
        <v>DE</v>
        <stp/>
        <stp>##V3_BDPV12</stp>
        <stp>XS1618349804 CORP</stp>
        <stp>CNTRY_OF_RISK</stp>
        <stp>[BondFloaters.xlsx]FLOATERS!R60C3</stp>
        <tr r="C60" s="1"/>
      </tp>
      <tp t="s">
        <v>FR</v>
        <stp/>
        <stp>##V3_BDPV12</stp>
        <stp>FR0013322146 CORP</stp>
        <stp>CNTRY_OF_RISK</stp>
        <stp>[BondFloaters.xlsx]FLOATERS!R95C3</stp>
        <tr r="C95" s="1"/>
      </tp>
      <tp t="s">
        <v>US</v>
        <stp/>
        <stp>##V3_BDPV12</stp>
        <stp>XS1715323298 CORP</stp>
        <stp>CNTRY_OF_RISK</stp>
        <stp>[BondFloaters.xlsx]FLOATERS!R111C3</stp>
        <tr r="C111" s="1"/>
      </tp>
      <tp t="s">
        <v>GB</v>
        <stp/>
        <stp>##V3_BDPV12</stp>
        <stp>XS1590503279 CORP</stp>
        <stp>CNTRY_OF_RISK</stp>
        <stp>[BondFloaters.xlsx]FLOATERS!R100C3</stp>
        <tr r="C100" s="1"/>
      </tp>
      <tp>
        <v>100.04</v>
        <stp/>
        <stp>##V3_BDPV12</stp>
        <stp>FR0012315133 CORP</stp>
        <stp>YAS_BOND_PX</stp>
        <stp>[BondFloaters.xlsx]FLOATERS!R55C28</stp>
        <tr r="AB55" s="1"/>
      </tp>
      <tp>
        <v>99.96</v>
        <stp/>
        <stp>##V3_BDPV12</stp>
        <stp>XS1822301039 CORP</stp>
        <stp>YAS_BOND_PX</stp>
        <stp>[BondFloaters.xlsx]FLOATERS!R15C28</stp>
        <tr r="AB15" s="1"/>
      </tp>
      <tp>
        <v>100.584</v>
        <stp/>
        <stp>##V3_BDPV12</stp>
        <stp>FR0013054020 CORP</stp>
        <stp>YAS_BOND_PX</stp>
        <stp>[BondFloaters.xlsx]FLOATERS!R26C28</stp>
        <tr r="AB26" s="1"/>
      </tp>
      <tp t="s">
        <v>26/11/2018</v>
        <stp/>
        <stp>##V3_BDPV12</stp>
        <stp>XS1781813511 CORP</stp>
        <stp>START_ACC_DT</stp>
        <stp>[BondFloaters.xlsx]FLOATERS!R8C12</stp>
        <tr r="L8" s="1"/>
      </tp>
      <tp>
        <v>101.36749819736775</v>
        <stp/>
        <stp>##V3_BDPV12</stp>
        <stp>XS1734547919 CORP</stp>
        <stp>YAS_FLOATER_DISCOUNT_MARGIN</stp>
        <stp>[BondFloaters.xlsx]FLOATERS!R11C22</stp>
        <tr r="V11" s="1"/>
      </tp>
      <tp>
        <v>40</v>
        <stp/>
        <stp>##V3_BDPV12</stp>
        <stp>XS1288342147 CORP</stp>
        <stp>FLT_SPREAD</stp>
        <stp>[BondFloaters.xlsx]FLOATERS!R108C26</stp>
        <tr r="Z108" s="1"/>
      </tp>
      <tp>
        <v>40</v>
        <stp/>
        <stp>##V3_BDPV12</stp>
        <stp>XS1288342147 CORP</stp>
        <stp>FLT_SPREAD</stp>
        <stp>[BondFloaters.xlsx]FLOATERS!R108C17</stp>
        <tr r="Q108" s="1"/>
      </tp>
      <tp>
        <v>7.3629558518067686</v>
        <stp/>
        <stp>##V3_BDPV12</stp>
        <stp>XS1718416586 CORP</stp>
        <stp>YAS_FLOATER_DISCOUNT_MARGIN</stp>
        <stp>[BondFloaters.xlsx]FLOATERS!R54C22</stp>
        <tr r="V54" s="1"/>
      </tp>
      <tp>
        <v>26.87773638892282</v>
        <stp/>
        <stp>##V3_BDPV12</stp>
        <stp>XS1485660895 CORP</stp>
        <stp>YAS_FLOATER_DISCOUNT_MARGIN</stp>
        <stp>[BondFloaters.xlsx]FLOATERS!R58C22</stp>
        <tr r="V58" s="1"/>
      </tp>
      <tp t="s">
        <v>CLEAN</v>
        <stp/>
        <stp>##V3_BDPV12</stp>
        <stp>DE000A13SL18 CORP</stp>
        <stp>PX_DIRTY_CLEAN</stp>
        <stp>[BondFloaters.xlsx]FLOATERS!R92C19</stp>
        <tr r="S92" s="1"/>
      </tp>
      <tp t="s">
        <v>CLEAN</v>
        <stp/>
        <stp>##V3_BDPV12</stp>
        <stp>DE000A2GSCY9 CORP</stp>
        <stp>PX_DIRTY_CLEAN</stp>
        <stp>[BondFloaters.xlsx]FLOATERS!R14C19</stp>
        <tr r="S14" s="1"/>
      </tp>
      <tp t="s">
        <v>CLEAN</v>
        <stp/>
        <stp>##V3_BDPV12</stp>
        <stp>DE000A19SE11 CORP</stp>
        <stp>PX_DIRTY_CLEAN</stp>
        <stp>[BondFloaters.xlsx]FLOATERS!R71C19</stp>
        <tr r="S71" s="1"/>
      </tp>
      <tp t="s">
        <v>US</v>
        <stp/>
        <stp>##V3_BDPV12</stp>
        <stp>XS1823165631 CORP</stp>
        <stp>CNTRY_OF_RISK</stp>
        <stp>[BondFloaters.xlsx]FLOATERS!R70C3</stp>
        <tr r="C70" s="1"/>
      </tp>
      <tp t="s">
        <v>DE</v>
        <stp/>
        <stp>##V3_BDPV12</stp>
        <stp>XS1806435324 CORP</stp>
        <stp>CNTRY_OF_RISK</stp>
        <stp>[BondFloaters.xlsx]FLOATERS!R34C3</stp>
        <tr r="C34" s="1"/>
      </tp>
      <tp t="s">
        <v>DE</v>
        <stp/>
        <stp>##V3_BDPV12</stp>
        <stp>XS1828028677 CORP</stp>
        <stp>CNTRY_OF_RISK</stp>
        <stp>[BondFloaters.xlsx]FLOATERS!R45C3</stp>
        <tr r="C45" s="1"/>
      </tp>
      <tp t="s">
        <v>US</v>
        <stp/>
        <stp>##V3_BDPV12</stp>
        <stp>XS1609252645 CORP</stp>
        <stp>CNTRY_OF_RISK</stp>
        <stp>[BondFloaters.xlsx]FLOATERS!R24C3</stp>
        <tr r="C24" s="1"/>
      </tp>
      <tp t="s">
        <v>DE</v>
        <stp/>
        <stp>##V3_BDPV12</stp>
        <stp>XS1750116920 CORP</stp>
        <stp>CNTRY_OF_RISK</stp>
        <stp>[BondFloaters.xlsx]FLOATERS!R31C3</stp>
        <tr r="C31" s="1"/>
      </tp>
      <tp t="s">
        <v>GB</v>
        <stp/>
        <stp>##V3_BDPV12</stp>
        <stp>XS1212467911 CORP</stp>
        <stp>CNTRY_OF_RISK</stp>
        <stp>[BondFloaters.xlsx]FLOATERS!R57C3</stp>
        <tr r="C57" s="1"/>
      </tp>
      <tp t="s">
        <v>FR</v>
        <stp/>
        <stp>##V3_BDPV12</stp>
        <stp>FR0012146751 CORP</stp>
        <stp>CNTRY_OF_RISK</stp>
        <stp>[BondFloaters.xlsx]FLOATERS!R67C3</stp>
        <tr r="C67" s="1"/>
      </tp>
      <tp t="s">
        <v>SE</v>
        <stp/>
        <stp>##V3_BDPV12</stp>
        <stp>XS1725668633 CORP</stp>
        <stp>CNTRY_OF_RISK</stp>
        <stp>[BondFloaters.xlsx]FLOATERS!R17C3</stp>
        <tr r="C17" s="1"/>
      </tp>
      <tp t="s">
        <v>US</v>
        <stp/>
        <stp>##V3_BDPV12</stp>
        <stp>XS1323463056 CORP</stp>
        <stp>CNTRY_OF_RISK</stp>
        <stp>[BondFloaters.xlsx]FLOATERS!R83C3</stp>
        <tr r="C83" s="1"/>
      </tp>
      <tp t="s">
        <v>US</v>
        <stp/>
        <stp>##V3_BDPV12</stp>
        <stp>XS1197832832 CORP</stp>
        <stp>CNTRY_OF_RISK</stp>
        <stp>[BondFloaters.xlsx]FLOATERS!R39C3</stp>
        <tr r="C39" s="1"/>
      </tp>
      <tp t="s">
        <v>FR</v>
        <stp/>
        <stp>##V3_BDPV12</stp>
        <stp>FR0013250685 CORP</stp>
        <stp>CNTRY_OF_RISK</stp>
        <stp>[BondFloaters.xlsx]FLOATERS!R29C3</stp>
        <tr r="C29" s="1"/>
      </tp>
      <tp t="s">
        <v>DE</v>
        <stp/>
        <stp>##V3_BDPV12</stp>
        <stp>XS1642546078 CORP</stp>
        <stp>CNTRY_OF_RISK</stp>
        <stp>[BondFloaters.xlsx]FLOATERS!R107C3</stp>
        <tr r="C107" s="1"/>
      </tp>
      <tp t="s">
        <v>DE</v>
        <stp/>
        <stp>##V3_BDPV12</stp>
        <stp>XS1840614736 CORP</stp>
        <stp>CNTRY_OF_RISK</stp>
        <stp>[BondFloaters.xlsx]FLOATERS!R132C3</stp>
        <tr r="C132" s="1"/>
      </tp>
      <tp>
        <v>99.733999999999995</v>
        <stp/>
        <stp>##V3_BDPV12</stp>
        <stp>XS1637162246 CORP</stp>
        <stp>YAS_BOND_PX</stp>
        <stp>[BondFloaters.xlsx]FLOATERS!R32C28</stp>
        <tr r="AB32" s="1"/>
      </tp>
      <tp>
        <v>100.03100000000001</v>
        <stp/>
        <stp>##V3_BDPV12</stp>
        <stp>XS1806435324 CORP</stp>
        <stp>YAS_BOND_PX</stp>
        <stp>[BondFloaters.xlsx]FLOATERS!R34C28</stp>
        <tr r="AB34" s="1"/>
      </tp>
      <tp>
        <v>99.655000000000001</v>
        <stp/>
        <stp>##V3_BDPV12</stp>
        <stp>XS1692846790 CORP</stp>
        <stp>YAS_BOND_PX</stp>
        <stp>[BondFloaters.xlsx]FLOATERS!R94C28</stp>
        <tr r="AB94" s="1"/>
      </tp>
      <tp>
        <v>100.383</v>
        <stp/>
        <stp>##V3_BDPV12</stp>
        <stp>XS1823165631 CORP</stp>
        <stp>YAS_BOND_PX</stp>
        <stp>[BondFloaters.xlsx]FLOATERS!R70C28</stp>
        <tr r="AB70" s="1"/>
      </tp>
      <tp>
        <v>50</v>
        <stp/>
        <stp>##V3_BDPV12</stp>
        <stp>XS1206712868 CORP</stp>
        <stp>FLT_SPREAD</stp>
        <stp>[BondFloaters.xlsx]FLOATERS!R118C17</stp>
        <tr r="Q118" s="1"/>
      </tp>
      <tp>
        <v>32.990746577989768</v>
        <stp/>
        <stp>##V3_BDPV12</stp>
        <stp>XS1808497264 CORP</stp>
        <stp>YAS_FLOATER_DISCOUNT_MARGIN</stp>
        <stp>[BondFloaters.xlsx]FLOATERS!R13C22</stp>
        <tr r="V13" s="1"/>
      </tp>
      <tp>
        <v>50</v>
        <stp/>
        <stp>##V3_BDPV12</stp>
        <stp>XS1206712868 CORP</stp>
        <stp>FLT_SPREAD</stp>
        <stp>[BondFloaters.xlsx]FLOATERS!R118C26</stp>
        <tr r="Z118" s="1"/>
      </tp>
      <tp>
        <v>56.126393985057774</v>
        <stp/>
        <stp>##V3_BDPV12</stp>
        <stp>XS1619284372 CORP</stp>
        <stp>YAS_FLOATER_DISCOUNT_MARGIN</stp>
        <stp>[BondFloaters.xlsx]FLOATERS!R68C22</stp>
        <tr r="V68" s="1"/>
      </tp>
      <tp t="s">
        <v>#N/A N/A</v>
        <stp/>
        <stp>##V3_BDPV12</stp>
        <stp>XS1362349869 CORP</stp>
        <stp>YAS_FLOATER_DISCOUNT_MARGIN</stp>
        <stp>[BondFloaters.xlsx]FLOATERS!R65C22</stp>
        <tr r="V65" s="1"/>
      </tp>
      <tp>
        <v>5.8038484715048577</v>
        <stp/>
        <stp>##V3_BDPV12</stp>
        <stp>FR0012432904 CORP</stp>
        <stp>YAS_FLOATER_DISCOUNT_MARGIN</stp>
        <stp>[BondFloaters.xlsx]FLOATERS!R48C22</stp>
        <tr r="V48" s="1"/>
      </tp>
      <tp>
        <v>37</v>
        <stp/>
        <stp>##V3_BDPV12</stp>
        <stp>XS1767087940 CORP</stp>
        <stp>FLT_SPREAD</stp>
        <stp>[BondFloaters.xlsx]FLOATERS!R127C17</stp>
        <tr r="Q127" s="1"/>
      </tp>
      <tp>
        <v>37</v>
        <stp/>
        <stp>##V3_BDPV12</stp>
        <stp>XS1767087940 CORP</stp>
        <stp>FLT_SPREAD</stp>
        <stp>[BondFloaters.xlsx]FLOATERS!R127C26</stp>
        <tr r="Z127" s="1"/>
      </tp>
      <tp>
        <v>58.345640626409121</v>
        <stp/>
        <stp>##V3_BDPV12</stp>
        <stp>FR0013264884 CORP</stp>
        <stp>YAS_FLOATER_DISCOUNT_MARGIN</stp>
        <stp>[BondFloaters.xlsx]FLOATERS!R93C22</stp>
        <tr r="V93" s="1"/>
      </tp>
      <tp t="s">
        <v>#N/A N/A</v>
        <stp/>
        <stp>##V3_BDPV12</stp>
        <stp>XS1522989869 CORP</stp>
        <stp>YAS_FLOATER_DISCOUNT_MARGIN</stp>
        <stp>[BondFloaters.xlsx]FLOATERS!R33C22</stp>
        <tr r="V33" s="1"/>
      </tp>
      <tp>
        <v>24.621281766838717</v>
        <stp/>
        <stp>##V3_BDPV12</stp>
        <stp>XS1382791892 CORP</stp>
        <stp>YAS_FLOATER_DISCOUNT_MARGIN</stp>
        <stp>[BondFloaters.xlsx]FLOATERS!R30C22</stp>
        <tr r="V30" s="1"/>
      </tp>
      <tp t="s">
        <v>US</v>
        <stp/>
        <stp>##V3_BDPV12</stp>
        <stp>XS1234366448 CORP</stp>
        <stp>CNTRY_OF_RISK</stp>
        <stp>[BondFloaters.xlsx]FLOATERS!R52C3</stp>
        <tr r="C52" s="1"/>
      </tp>
      <tp t="s">
        <v>DE</v>
        <stp/>
        <stp>##V3_BDPV12</stp>
        <stp>XS1734547919 CORP</stp>
        <stp>CNTRY_OF_RISK</stp>
        <stp>[BondFloaters.xlsx]FLOATERS!R11C3</stp>
        <tr r="C11" s="1"/>
      </tp>
      <tp t="s">
        <v>US</v>
        <stp/>
        <stp>##V3_BDPV12</stp>
        <stp>XS1398275112 CORP</stp>
        <stp>CNTRY_OF_RISK</stp>
        <stp>[BondFloaters.xlsx]FLOATERS!R16C3</stp>
        <tr r="C16" s="1"/>
      </tp>
      <tp t="s">
        <v>FR</v>
        <stp/>
        <stp>##V3_BDPV12</stp>
        <stp>FR0013330107 CORP</stp>
        <stp>CNTRY_OF_RISK</stp>
        <stp>[BondFloaters.xlsx]FLOATERS!R87C3</stp>
        <tr r="C87" s="1"/>
      </tp>
      <tp t="s">
        <v>FR</v>
        <stp/>
        <stp>##V3_BDPV12</stp>
        <stp>FR0013054020 CORP</stp>
        <stp>CNTRY_OF_RISK</stp>
        <stp>[BondFloaters.xlsx]FLOATERS!R26C3</stp>
        <tr r="C26" s="1"/>
      </tp>
      <tp t="s">
        <v>US</v>
        <stp/>
        <stp>##V3_BDPV12</stp>
        <stp>XS1692846790 CORP</stp>
        <stp>CNTRY_OF_RISK</stp>
        <stp>[BondFloaters.xlsx]FLOATERS!R94C3</stp>
        <tr r="C94" s="1"/>
      </tp>
      <tp t="s">
        <v>US</v>
        <stp/>
        <stp>##V3_BDPV12</stp>
        <stp>XS1574156540 CORP</stp>
        <stp>CNTRY_OF_RISK</stp>
        <stp>[BondFloaters.xlsx]FLOATERS!R90C3</stp>
        <tr r="C90" s="1"/>
      </tp>
      <tp t="s">
        <v>US</v>
        <stp/>
        <stp>##V3_BDPV12</stp>
        <stp>XS1822301039 CORP</stp>
        <stp>CNTRY_OF_RISK</stp>
        <stp>[BondFloaters.xlsx]FLOATERS!R15C3</stp>
        <tr r="C15" s="1"/>
      </tp>
      <tp t="s">
        <v>US</v>
        <stp/>
        <stp>##V3_BDPV12</stp>
        <stp>XS1771768188 CORP</stp>
        <stp>CNTRY_OF_RISK</stp>
        <stp>[BondFloaters.xlsx]FLOATERS!R113C3</stp>
        <tr r="C113" s="1"/>
      </tp>
      <tp t="s">
        <v>US</v>
        <stp/>
        <stp>##V3_BDPV12</stp>
        <stp>XS1683495052 CORP</stp>
        <stp>CNTRY_OF_RISK</stp>
        <stp>[BondFloaters.xlsx]FLOATERS!R117C3</stp>
        <tr r="C117" s="1"/>
      </tp>
      <tp>
        <v>100.047</v>
        <stp/>
        <stp>##V3_BDPV12</stp>
        <stp>XS1642545690 CORP</stp>
        <stp>YAS_BOND_PX</stp>
        <stp>[BondFloaters.xlsx]FLOATERS!R76C28</stp>
        <tr r="AB76" s="1"/>
      </tp>
      <tp>
        <v>100.205</v>
        <stp/>
        <stp>##V3_BDPV12</stp>
        <stp>XS1144084099 CORP</stp>
        <stp>YAS_BOND_PX</stp>
        <stp>[BondFloaters.xlsx]FLOATERS!R82C28</stp>
        <tr r="AB82" s="1"/>
      </tp>
      <tp>
        <v>92.942999999999998</v>
        <stp/>
        <stp>##V3_BDPV12</stp>
        <stp>FR0013292687 CORP</stp>
        <stp>YAS_BOND_PX</stp>
        <stp>[BondFloaters.xlsx]FLOATERS!R36C28</stp>
        <tr r="AB36" s="1"/>
      </tp>
      <tp>
        <v>99.051000000000002</v>
        <stp/>
        <stp>##V3_BDPV12</stp>
        <stp>FR0013250685 CORP</stp>
        <stp>YAS_BOND_PX</stp>
        <stp>[BondFloaters.xlsx]FLOATERS!R29C28</stp>
        <tr r="AB29" s="1"/>
      </tp>
      <tp>
        <v>100.092</v>
        <stp/>
        <stp>##V3_BDPV12</stp>
        <stp>XS1033649739 CORP</stp>
        <stp>YAS_BOND_PX</stp>
        <stp>[BondFloaters.xlsx]FLOATERS!R44C28</stp>
        <tr r="AB44" s="1"/>
      </tp>
      <tp t="s">
        <v>#N/A N/A</v>
        <stp/>
        <stp>##V3_BDPV12</stp>
        <stp>FR0012146751 CORP</stp>
        <stp>YAS_BOND_PX</stp>
        <stp>[BondFloaters.xlsx]FLOATERS!R67C28</stp>
        <tr r="AB67" s="1"/>
      </tp>
      <tp>
        <v>100.185</v>
        <stp/>
        <stp>##V3_BDPV12</stp>
        <stp>FR0013221652 CORP</stp>
        <stp>YAS_BOND_PX</stp>
        <stp>[BondFloaters.xlsx]FLOATERS!R98C28</stp>
        <tr r="AB98" s="1"/>
      </tp>
      <tp>
        <v>100.42400000000001</v>
        <stp/>
        <stp>##V3_BDPV12</stp>
        <stp>XS1381690574 CORP</stp>
        <stp>YAS_BOND_PX</stp>
        <stp>[BondFloaters.xlsx]FLOATERS!R89C28</stp>
        <tr r="AB89" s="1"/>
      </tp>
      <tp>
        <v>0.439</v>
        <stp/>
        <stp>##V3_BDPV12</stp>
        <stp>BE6285450449 CORP</stp>
        <stp>CPN</stp>
        <stp>[BondFloaters.xlsx]FLOATERS!R37C25</stp>
        <tr r="Y37" s="1"/>
      </tp>
      <tp>
        <v>100.158</v>
        <stp/>
        <stp>##V3_BDPV12</stp>
        <stp>XS1651071521 CORP</stp>
        <stp>YAS_BOND_PX</stp>
        <stp>[BondFloaters.xlsx]FLOATERS!R46C28</stp>
        <tr r="AB46" s="1"/>
      </tp>
      <tp>
        <v>95.298000000000002</v>
        <stp/>
        <stp>##V3_BDPV12</stp>
        <stp>FR0013309606 CORP</stp>
        <stp>YAS_BOND_PX</stp>
        <stp>[BondFloaters.xlsx]FLOATERS!R25C28</stp>
        <tr r="AB25" s="1"/>
      </tp>
      <tp>
        <v>45.419495571978921</v>
        <stp/>
        <stp>##V3_BDPV12</stp>
        <stp>XS1612940988 CORP</stp>
        <stp>YAS_FLOATER_DISCOUNT_MARGIN</stp>
        <stp>[BondFloaters.xlsx]FLOATERS!R35C22</stp>
        <tr r="V35" s="1"/>
      </tp>
      <tp>
        <v>30.466109923031549</v>
        <stp/>
        <stp>##V3_BDPV12</stp>
        <stp>XS1212467911 CORP</stp>
        <stp>YAS_FLOATER_DISCOUNT_MARGIN</stp>
        <stp>[BondFloaters.xlsx]FLOATERS!R57C22</stp>
        <tr r="V57" s="1"/>
      </tp>
      <tp>
        <v>35</v>
        <stp/>
        <stp>##V3_BDPV12</stp>
        <stp>XS1577870808 CORP</stp>
        <stp>FLT_SPREAD</stp>
        <stp>[BondFloaters.xlsx]FLOATERS!R138C17</stp>
        <tr r="Q138" s="1"/>
      </tp>
      <tp>
        <v>42</v>
        <stp/>
        <stp>##V3_BDPV12</stp>
        <stp>XS1767930826 CORP</stp>
        <stp>FLT_SPREAD</stp>
        <stp>[BondFloaters.xlsx]FLOATERS!R110C26</stp>
        <tr r="Z110" s="1"/>
      </tp>
      <tp>
        <v>35</v>
        <stp/>
        <stp>##V3_BDPV12</stp>
        <stp>XS1577870808 CORP</stp>
        <stp>FLT_SPREAD</stp>
        <stp>[BondFloaters.xlsx]FLOATERS!R138C26</stp>
        <tr r="Z138" s="1"/>
      </tp>
      <tp>
        <v>42</v>
        <stp/>
        <stp>##V3_BDPV12</stp>
        <stp>XS1767930826 CORP</stp>
        <stp>FLT_SPREAD</stp>
        <stp>[BondFloaters.xlsx]FLOATERS!R110C17</stp>
        <tr r="Q110" s="1"/>
      </tp>
      <tp>
        <v>1.7977300074859315</v>
        <stp/>
        <stp>##V3_BDPV12</stp>
        <stp>XS1089831249 CORP</stp>
        <stp>YAS_FLOATER_DISCOUNT_MARGIN</stp>
        <stp>[BondFloaters.xlsx]FLOATERS!R56C22</stp>
        <tr r="V56" s="1"/>
      </tp>
      <tp>
        <v>3.0576963967030748</v>
        <stp/>
        <stp>##V3_BDPV12</stp>
        <stp>XS1292468987 CORP</stp>
        <stp>YAS_FLOATER_DISCOUNT_MARGIN</stp>
        <stp>[BondFloaters.xlsx]FLOATERS!R18C22</stp>
        <tr r="V18" s="1"/>
      </tp>
      <tp t="s">
        <v>SE</v>
        <stp/>
        <stp>##V3_BDPV12</stp>
        <stp>XS1108681625 CORP</stp>
        <stp>CNTRY_OF_RISK</stp>
        <stp>[BondFloaters.xlsx]FLOATERS!R40C3</stp>
        <tr r="C40" s="1"/>
      </tp>
      <tp t="s">
        <v>GB</v>
        <stp/>
        <stp>##V3_BDPV12</stp>
        <stp>XS1612940988 CORP</stp>
        <stp>CNTRY_OF_RISK</stp>
        <stp>[BondFloaters.xlsx]FLOATERS!R35C3</stp>
        <tr r="C35" s="1"/>
      </tp>
      <tp t="s">
        <v>FR</v>
        <stp/>
        <stp>##V3_BDPV12</stp>
        <stp>FR0012315133 CORP</stp>
        <stp>CNTRY_OF_RISK</stp>
        <stp>[BondFloaters.xlsx]FLOATERS!R55C3</stp>
        <tr r="C55" s="1"/>
      </tp>
      <tp t="s">
        <v>NL</v>
        <stp/>
        <stp>##V3_BDPV12</stp>
        <stp>XS1292468987 CORP</stp>
        <stp>CNTRY_OF_RISK</stp>
        <stp>[BondFloaters.xlsx]FLOATERS!R18C3</stp>
        <tr r="C18" s="1"/>
      </tp>
      <tp t="s">
        <v>US</v>
        <stp/>
        <stp>##V3_BDPV12</stp>
        <stp>XS1651071521 CORP</stp>
        <stp>CNTRY_OF_RISK</stp>
        <stp>[BondFloaters.xlsx]FLOATERS!R46C3</stp>
        <tr r="C46" s="1"/>
      </tp>
      <tp t="s">
        <v>US</v>
        <stp/>
        <stp>##V3_BDPV12</stp>
        <stp>XS1591430746 CORP</stp>
        <stp>CNTRY_OF_RISK</stp>
        <stp>[BondFloaters.xlsx]FLOATERS!R64C3</stp>
        <tr r="C64" s="1"/>
      </tp>
      <tp t="s">
        <v>DE</v>
        <stp/>
        <stp>##V3_BDPV12</stp>
        <stp>XS1830992563 CORP</stp>
        <stp>CNTRY_OF_RISK</stp>
        <stp>[BondFloaters.xlsx]FLOATERS!R109C3</stp>
        <tr r="C109" s="1"/>
      </tp>
      <tp>
        <v>100.032</v>
        <stp/>
        <stp>##V3_BDPV12</stp>
        <stp>XS1082839553 CORP</stp>
        <stp>YAS_BOND_PX</stp>
        <stp>[BondFloaters.xlsx]FLOATERS!R61C28</stp>
        <tr r="AB61" s="1"/>
      </tp>
      <tp t="s">
        <v>23/05/2018</v>
        <stp/>
        <stp>##V3_BDPV12</stp>
        <stp>XS1480176111 CORP</stp>
        <stp>START_ACC_DT</stp>
        <stp>[BondFloaters.xlsx]FLOATERS!R5C12</stp>
        <tr r="L5" s="1"/>
      </tp>
      <tp t="s">
        <v>#N/A N/A</v>
        <stp/>
        <stp>##V3_BDPV12</stp>
        <stp>FR0013257599 CORP</stp>
        <stp>YAS_BOND_PX</stp>
        <stp>[BondFloaters.xlsx]FLOATERS!R20C28</stp>
        <tr r="AB20" s="1"/>
      </tp>
      <tp>
        <v>97.97</v>
        <stp/>
        <stp>##V3_BDPV12</stp>
        <stp>XS1782508508 CORP</stp>
        <stp>YAS_BOND_PX</stp>
        <stp>[BondFloaters.xlsx]FLOATERS!R23C28</stp>
        <tr r="AB23" s="1"/>
      </tp>
      <tp>
        <v>0</v>
        <stp/>
        <stp>##V3_BDPV12</stp>
        <stp>BE6276038419 CORP</stp>
        <stp>CPN</stp>
        <stp>[BondFloaters.xlsx]FLOATERS!R86C25</stp>
        <tr r="Y86" s="1"/>
      </tp>
      <tp>
        <v>100.17400000000001</v>
        <stp/>
        <stp>##V3_BDPV12</stp>
        <stp>XS1671754650 CORP</stp>
        <stp>YAS_BOND_PX</stp>
        <stp>[BondFloaters.xlsx]FLOATERS!R19C28</stp>
        <tr r="AB19" s="1"/>
      </tp>
      <tp>
        <v>0.38325974241851246</v>
        <stp/>
        <stp>##V3_BDPV12</stp>
        <stp>FR0011884899 CORP</stp>
        <stp>YAS_FLOATER_DISCOUNT_MARGIN</stp>
        <stp>[BondFloaters.xlsx]FLOATERS!R66C22</stp>
        <tr r="V66" s="1"/>
      </tp>
      <tp>
        <v>60</v>
        <stp/>
        <stp>##V3_BDPV12</stp>
        <stp>XS1568906421 CORP</stp>
        <stp>FLT_SPREAD</stp>
        <stp>[BondFloaters.xlsx]FLOATERS!R123C26</stp>
        <tr r="Z123" s="1"/>
      </tp>
      <tp>
        <v>60</v>
        <stp/>
        <stp>##V3_BDPV12</stp>
        <stp>XS1568906421 CORP</stp>
        <stp>FLT_SPREAD</stp>
        <stp>[BondFloaters.xlsx]FLOATERS!R123C17</stp>
        <tr r="Q123" s="1"/>
      </tp>
      <tp>
        <v>0.13300000000000001</v>
        <stp/>
        <stp>##V3_BDPV12</stp>
        <stp>DE000A2GSCY9 CORP</stp>
        <stp>CPN</stp>
        <stp>[BondFloaters.xlsx]FLOATERS!R14C25</stp>
        <tr r="Y14" s="1"/>
      </tp>
      <tp t="s">
        <v>US</v>
        <stp/>
        <stp>##V3_BDPV12</stp>
        <stp>XS1637162246 CORP</stp>
        <stp>CNTRY_OF_RISK</stp>
        <stp>[BondFloaters.xlsx]FLOATERS!R32C3</stp>
        <tr r="C32" s="1"/>
      </tp>
      <tp t="s">
        <v>JP</v>
        <stp/>
        <stp>##V3_BDPV12</stp>
        <stp>XS1635905570 CORP</stp>
        <stp>CNTRY_OF_RISK</stp>
        <stp>[BondFloaters.xlsx]FLOATERS!R79C3</stp>
        <tr r="C79" s="1"/>
      </tp>
      <tp t="s">
        <v>DE</v>
        <stp/>
        <stp>##V3_BDPV12</stp>
        <stp>XS1078028864 CORP</stp>
        <stp>CNTRY_OF_RISK</stp>
        <stp>[BondFloaters.xlsx]FLOATERS!R41C3</stp>
        <tr r="C41" s="1"/>
      </tp>
      <tp t="s">
        <v>FR</v>
        <stp/>
        <stp>##V3_BDPV12</stp>
        <stp>FR0013309606 CORP</stp>
        <stp>CNTRY_OF_RISK</stp>
        <stp>[BondFloaters.xlsx]FLOATERS!R25C3</stp>
        <tr r="C25" s="1"/>
      </tp>
      <tp t="s">
        <v>SE</v>
        <stp/>
        <stp>##V3_BDPV12</stp>
        <stp>XS1485660895 CORP</stp>
        <stp>CNTRY_OF_RISK</stp>
        <stp>[BondFloaters.xlsx]FLOATERS!R58C3</stp>
        <tr r="C58" s="1"/>
      </tp>
      <tp t="s">
        <v>DE</v>
        <stp/>
        <stp>##V3_BDPV12</stp>
        <stp>XS1586555515 CORP</stp>
        <stp>CNTRY_OF_RISK</stp>
        <stp>[BondFloaters.xlsx]FLOATERS!R53C3</stp>
        <tr r="C53" s="1"/>
      </tp>
      <tp t="s">
        <v>DE</v>
        <stp/>
        <stp>##V3_BDPV12</stp>
        <stp>XS1057486471 CORP</stp>
        <stp>CNTRY_OF_RISK</stp>
        <stp>[BondFloaters.xlsx]FLOATERS!R131C3</stp>
        <tr r="C131" s="1"/>
      </tp>
      <tp t="s">
        <v>IT</v>
        <stp/>
        <stp>##V3_BDPV12</stp>
        <stp>XS1767087940 CORP</stp>
        <stp>CNTRY_OF_RISK</stp>
        <stp>[BondFloaters.xlsx]FLOATERS!R127C3</stp>
        <tr r="C127" s="1"/>
      </tp>
      <tp>
        <v>100.063</v>
        <stp/>
        <stp>##V3_BDPV12</stp>
        <stp>XS1787517199 CORP</stp>
        <stp>YAS_BOND_PX</stp>
        <stp>[BondFloaters.xlsx]FLOATERS!R81C28</stp>
        <tr r="AB81" s="1"/>
      </tp>
      <tp>
        <v>99.555000000000007</v>
        <stp/>
        <stp>##V3_BDPV12</stp>
        <stp>XS1723613581 CORP</stp>
        <stp>YAS_BOND_PX</stp>
        <stp>[BondFloaters.xlsx]FLOATERS!R75C28</stp>
        <tr r="AB75" s="1"/>
      </tp>
      <tp>
        <v>97.522000000000006</v>
        <stp/>
        <stp>##V3_BDPV12</stp>
        <stp>FR0013260486 CORP</stp>
        <stp>YAS_BOND_PX</stp>
        <stp>[BondFloaters.xlsx]FLOATERS!R63C28</stp>
        <tr r="AB63" s="1"/>
      </tp>
      <tp>
        <v>100.05800000000001</v>
        <stp/>
        <stp>##V3_BDPV12</stp>
        <stp>XS1591430746 CORP</stp>
        <stp>YAS_BOND_PX</stp>
        <stp>[BondFloaters.xlsx]FLOATERS!R64C28</stp>
        <tr r="AB64" s="1"/>
      </tp>
      <tp t="s">
        <v>15/01/2019</v>
        <stp/>
        <stp>##V3_BDPV12</stp>
        <stp>BE6301509012 CORP</stp>
        <stp>NXT_CPN_DT</stp>
        <stp>[BondFloaters.xlsx]FLOATERS!R124C14</stp>
        <tr r="N124" s="1"/>
      </tp>
      <tp>
        <v>12.127321148225009</v>
        <stp/>
        <stp>##V3_BDPV12</stp>
        <stp>XS1398275112 CORP</stp>
        <stp>YAS_FLOATER_DISCOUNT_MARGIN</stp>
        <stp>[BondFloaters.xlsx]FLOATERS!R16C22</stp>
        <tr r="V16" s="1"/>
      </tp>
      <tp>
        <v>29.984373262296526</v>
        <stp/>
        <stp>##V3_BDPV12</stp>
        <stp>XS1750116920 CORP</stp>
        <stp>YAS_FLOATER_DISCOUNT_MARGIN</stp>
        <stp>[BondFloaters.xlsx]FLOATERS!R31C22</stp>
        <tr r="V31" s="1"/>
      </tp>
      <tp>
        <v>60</v>
        <stp/>
        <stp>##V3_BDPV12</stp>
        <stp>XS1679028479 CORP</stp>
        <stp>FLT_SPREAD</stp>
        <stp>[BondFloaters.xlsx]FLOATERS!R119C26</stp>
        <tr r="Z119" s="1"/>
      </tp>
      <tp>
        <v>60</v>
        <stp/>
        <stp>##V3_BDPV12</stp>
        <stp>XS1679028479 CORP</stp>
        <stp>FLT_SPREAD</stp>
        <stp>[BondFloaters.xlsx]FLOATERS!R119C17</stp>
        <tr r="Q119" s="1"/>
      </tp>
      <tp>
        <v>2.0825385283603781</v>
        <stp/>
        <stp>##V3_BDPV12</stp>
        <stp>XS1190623907 CORP</stp>
        <stp>YAS_FLOATER_DISCOUNT_MARGIN</stp>
        <stp>[BondFloaters.xlsx]FLOATERS!R59C22</stp>
        <tr r="V59" s="1"/>
      </tp>
      <tp>
        <v>190.44902342269367</v>
        <stp/>
        <stp>##V3_BDPV12</stp>
        <stp>XS1821814800 CORP</stp>
        <stp>YAS_FLOATER_DISCOUNT_MARGIN</stp>
        <stp>[BondFloaters.xlsx]FLOATERS!R84C22</stp>
        <tr r="V84" s="1"/>
      </tp>
      <tp>
        <v>10.228522460474368</v>
        <stp/>
        <stp>##V3_BDPV12</stp>
        <stp>XS1249494086 CORP</stp>
        <stp>YAS_FLOATER_DISCOUNT_MARGIN</stp>
        <stp>[BondFloaters.xlsx]FLOATERS!R50C22</stp>
        <tr r="V50" s="1"/>
      </tp>
      <tp t="s">
        <v>US</v>
        <stp/>
        <stp>##V3_BDPV12</stp>
        <stp>US30231GAE26 CORP</stp>
        <stp>CNTRY_OF_RISK</stp>
        <stp>[BondFloaters.xlsx]FLOATERS!R27C3</stp>
        <tr r="C27" s="1"/>
      </tp>
      <tp t="s">
        <v>FR</v>
        <stp/>
        <stp>##V3_BDPV12</stp>
        <stp>XS1782508508 CORP</stp>
        <stp>CNTRY_OF_RISK</stp>
        <stp>[BondFloaters.xlsx]FLOATERS!R23C3</stp>
        <tr r="C23" s="1"/>
      </tp>
      <tp t="s">
        <v>FR</v>
        <stp/>
        <stp>##V3_BDPV12</stp>
        <stp>FR0013266343 CORP</stp>
        <stp>CNTRY_OF_RISK</stp>
        <stp>[BondFloaters.xlsx]FLOATERS!R91C3</stp>
        <tr r="C91" s="1"/>
      </tp>
      <tp t="s">
        <v>FR</v>
        <stp/>
        <stp>##V3_BDPV12</stp>
        <stp>FR0011884899 CORP</stp>
        <stp>CNTRY_OF_RISK</stp>
        <stp>[BondFloaters.xlsx]FLOATERS!R66C3</stp>
        <tr r="C66" s="1"/>
      </tp>
      <tp t="s">
        <v>FR</v>
        <stp/>
        <stp>##V3_BDPV12</stp>
        <stp>XS1301773799 CORP</stp>
        <stp>CNTRY_OF_RISK</stp>
        <stp>[BondFloaters.xlsx]FLOATERS!R114C3</stp>
        <tr r="C114" s="1"/>
      </tp>
      <tp t="s">
        <v>13/12/2018</v>
        <stp/>
        <stp>##V3_BDPV12</stp>
        <stp>DE000A2G8VS7 CORP</stp>
        <stp>START_ACC_DT</stp>
        <stp>[BondFloaters.xlsx]FLOATERS!R43C12</stp>
        <tr r="L43" s="1"/>
      </tp>
      <tp>
        <v>-9.0903999999999999E-2</v>
        <stp/>
        <stp>##V3_BDPV12</stp>
        <stp>DE000A2G8VS7 CORP</stp>
        <stp>YAS_BOND_YLD</stp>
        <stp>[BondFloaters.xlsx]FLOATERS!R43C27</stp>
        <tr r="AA43" s="1"/>
      </tp>
      <tp t="s">
        <v>US</v>
        <stp/>
        <stp>##V3_BDPV12</stp>
        <stp>XS1821814982 CORP</stp>
        <stp>CNTRY_OF_RISK</stp>
        <stp>[BondFloaters.xlsx]FLOATERS!R102C3</stp>
        <tr r="C102" s="1"/>
      </tp>
      <tp>
        <v>0</v>
        <stp/>
        <stp>##V3_BDPV12</stp>
        <stp>DE000A19HBM3 CORP</stp>
        <stp>CPN</stp>
        <stp>[BondFloaters.xlsx]FLOATERS!R99C25</stp>
        <tr r="Y99" s="1"/>
      </tp>
      <tp t="s">
        <v>US</v>
        <stp/>
        <stp>##V3_BDPV12</stp>
        <stp>XS1288342147 CORP</stp>
        <stp>CNTRY_OF_RISK</stp>
        <stp>[BondFloaters.xlsx]FLOATERS!R108C3</stp>
        <tr r="C108" s="1"/>
      </tp>
      <tp>
        <v>100.20699999999999</v>
        <stp/>
        <stp>##V3_BDPV12</stp>
        <stp>XS1249494086 CORP</stp>
        <stp>YAS_BOND_PX</stp>
        <stp>[BondFloaters.xlsx]FLOATERS!R50C28</stp>
        <tr r="AB50" s="1"/>
      </tp>
      <tp>
        <v>96.483999999999995</v>
        <stp/>
        <stp>##V3_BDPV12</stp>
        <stp>XS1821814800 CORP</stp>
        <stp>YAS_BOND_PX</stp>
        <stp>[BondFloaters.xlsx]FLOATERS!R84C28</stp>
        <tr r="AB84" s="1"/>
      </tp>
      <tp t="s">
        <v>19/12/2018</v>
        <stp/>
        <stp>##V3_BDPV12</stp>
        <stp>XS1046499981 CORP</stp>
        <stp>START_ACC_DT</stp>
        <stp>[BondFloaters.xlsx]FLOATERS!R9C12</stp>
        <tr r="L9" s="1"/>
      </tp>
      <tp>
        <v>100.2</v>
        <stp/>
        <stp>##V3_BDPV12</stp>
        <stp>XS1190623907 CORP</stp>
        <stp>YAS_BOND_PX</stp>
        <stp>[BondFloaters.xlsx]FLOATERS!R59C28</stp>
        <tr r="AB59" s="1"/>
      </tp>
      <tp>
        <v>100.316</v>
        <stp/>
        <stp>##V3_BDPV12</stp>
        <stp>XS1398275112 CORP</stp>
        <stp>YAS_BOND_PX</stp>
        <stp>[BondFloaters.xlsx]FLOATERS!R16C28</stp>
        <tr r="AB16" s="1"/>
      </tp>
      <tp>
        <v>100.331</v>
        <stp/>
        <stp>##V3_BDPV12</stp>
        <stp>XS1750116920 CORP</stp>
        <stp>YAS_BOND_PX</stp>
        <stp>[BondFloaters.xlsx]FLOATERS!R31C28</stp>
        <tr r="AB31" s="1"/>
      </tp>
      <tp>
        <v>50</v>
        <stp/>
        <stp>##V3_BDPV12</stp>
        <stp>XS1590503279 CORP</stp>
        <stp>FLT_SPREAD</stp>
        <stp>[BondFloaters.xlsx]FLOATERS!R100C26</stp>
        <tr r="Z100" s="1"/>
      </tp>
      <tp>
        <v>45</v>
        <stp/>
        <stp>##V3_BDPV12</stp>
        <stp>XS1642546078 CORP</stp>
        <stp>FLT_SPREAD</stp>
        <stp>[BondFloaters.xlsx]FLOATERS!R107C26</stp>
        <tr r="Z107" s="1"/>
      </tp>
      <tp>
        <v>73</v>
        <stp/>
        <stp>##V3_BDPV12</stp>
        <stp>XS1346107433 CORP</stp>
        <stp>FLT_SPREAD</stp>
        <stp>[BondFloaters.xlsx]FLOATERS!R134C26</stp>
        <tr r="Z134" s="1"/>
      </tp>
      <tp>
        <v>13.040417511778884</v>
        <stp/>
        <stp>##V3_BDPV12</stp>
        <stp>XS1591430746 CORP</stp>
        <stp>YAS_FLOATER_DISCOUNT_MARGIN</stp>
        <stp>[BondFloaters.xlsx]FLOATERS!R64C22</stp>
        <tr r="V64" s="1"/>
      </tp>
      <tp>
        <v>95</v>
        <stp/>
        <stp>##V3_BDPV12</stp>
        <stp>XS1372838083 CORP</stp>
        <stp>FLT_SPREAD</stp>
        <stp>[BondFloaters.xlsx]FLOATERS!R130C17</stp>
        <tr r="Q130" s="1"/>
      </tp>
      <tp>
        <v>95</v>
        <stp/>
        <stp>##V3_BDPV12</stp>
        <stp>XS1372838083 CORP</stp>
        <stp>FLT_SPREAD</stp>
        <stp>[BondFloaters.xlsx]FLOATERS!R130C26</stp>
        <tr r="Z130" s="1"/>
      </tp>
      <tp>
        <v>50</v>
        <stp/>
        <stp>##V3_BDPV12</stp>
        <stp>XS1590503279 CORP</stp>
        <stp>FLT_SPREAD</stp>
        <stp>[BondFloaters.xlsx]FLOATERS!R100C17</stp>
        <tr r="Q100" s="1"/>
      </tp>
      <tp>
        <v>45</v>
        <stp/>
        <stp>##V3_BDPV12</stp>
        <stp>XS1642546078 CORP</stp>
        <stp>FLT_SPREAD</stp>
        <stp>[BondFloaters.xlsx]FLOATERS!R107C17</stp>
        <tr r="Q107" s="1"/>
      </tp>
      <tp>
        <v>73</v>
        <stp/>
        <stp>##V3_BDPV12</stp>
        <stp>XS1346107433 CORP</stp>
        <stp>FLT_SPREAD</stp>
        <stp>[BondFloaters.xlsx]FLOATERS!R134C17</stp>
        <tr r="Q134" s="1"/>
      </tp>
      <tp>
        <v>144.16082749579792</v>
        <stp/>
        <stp>##V3_BDPV12</stp>
        <stp>FR0013260486 CORP</stp>
        <stp>YAS_FLOATER_DISCOUNT_MARGIN</stp>
        <stp>[BondFloaters.xlsx]FLOATERS!R63C22</stp>
        <tr r="V63" s="1"/>
      </tp>
      <tp>
        <v>18</v>
        <stp/>
        <stp>##V3_BDPV12</stp>
        <stp>XS1717567587 CORP</stp>
        <stp>FLT_SPREAD</stp>
        <stp>[BondFloaters.xlsx]FLOATERS!R112C17</stp>
        <tr r="Q112" s="1"/>
      </tp>
      <tp>
        <v>28.342477258708414</v>
        <stp/>
        <stp>##V3_BDPV12</stp>
        <stp>XS1787517199 CORP</stp>
        <stp>YAS_FLOATER_DISCOUNT_MARGIN</stp>
        <stp>[BondFloaters.xlsx]FLOATERS!R81C22</stp>
        <tr r="V81" s="1"/>
      </tp>
      <tp>
        <v>65.829394734357251</v>
        <stp/>
        <stp>##V3_BDPV12</stp>
        <stp>XS1723613581 CORP</stp>
        <stp>YAS_FLOATER_DISCOUNT_MARGIN</stp>
        <stp>[BondFloaters.xlsx]FLOATERS!R75C22</stp>
        <tr r="V75" s="1"/>
      </tp>
      <tp>
        <v>18</v>
        <stp/>
        <stp>##V3_BDPV12</stp>
        <stp>XS1717567587 CORP</stp>
        <stp>FLT_SPREAD</stp>
        <stp>[BondFloaters.xlsx]FLOATERS!R112C26</stp>
        <tr r="Z112" s="1"/>
      </tp>
      <tp t="s">
        <v>CLEAN</v>
        <stp/>
        <stp>##V3_BDPV12</stp>
        <stp>DE000A19X793 CORP</stp>
        <stp>PX_DIRTY_CLEAN</stp>
        <stp>[BondFloaters.xlsx]FLOATERS!R10C19</stp>
        <tr r="S10" s="1"/>
      </tp>
      <tp t="s">
        <v>DE</v>
        <stp/>
        <stp>##V3_BDPV12</stp>
        <stp>DE000A19X793 CORP</stp>
        <stp>CNTRY_OF_RISK</stp>
        <stp>[BondFloaters.xlsx]FLOATERS!R10C3</stp>
        <tr r="C10" s="1"/>
      </tp>
      <tp t="s">
        <v>FR</v>
        <stp/>
        <stp>##V3_BDPV12</stp>
        <stp>FR0013263936 CORP</stp>
        <stp>CNTRY_OF_RISK</stp>
        <stp>[BondFloaters.xlsx]FLOATERS!R136C3</stp>
        <tr r="C136" s="1"/>
      </tp>
      <tp>
        <v>0</v>
        <stp/>
        <stp>##V3_BDPV12</stp>
        <stp>DE000A13SL18 CORP</stp>
        <stp>CPN</stp>
        <stp>[BondFloaters.xlsx]FLOATERS!R92C25</stp>
        <tr r="Y92" s="1"/>
      </tp>
      <tp>
        <v>100.214</v>
        <stp/>
        <stp>##V3_BDPV12</stp>
        <stp>FR0011884899 CORP</stp>
        <stp>YAS_BOND_PX</stp>
        <stp>[BondFloaters.xlsx]FLOATERS!R66C28</stp>
        <tr r="AB66" s="1"/>
      </tp>
      <tp>
        <v>18</v>
        <stp/>
        <stp>##V3_BDPV12</stp>
        <stp>XS1683495052 CORP</stp>
        <stp>FLT_SPREAD</stp>
        <stp>[BondFloaters.xlsx]FLOATERS!R117C17</stp>
        <tr r="Q117" s="1"/>
      </tp>
      <tp>
        <v>60</v>
        <stp/>
        <stp>##V3_BDPV12</stp>
        <stp>XS1057486471 CORP</stp>
        <stp>FLT_SPREAD</stp>
        <stp>[BondFloaters.xlsx]FLOATERS!R131C26</stp>
        <tr r="Z131" s="1"/>
      </tp>
      <tp>
        <v>60</v>
        <stp/>
        <stp>##V3_BDPV12</stp>
        <stp>XS1057486471 CORP</stp>
        <stp>FLT_SPREAD</stp>
        <stp>[BondFloaters.xlsx]FLOATERS!R131C17</stp>
        <tr r="Q131" s="1"/>
      </tp>
      <tp>
        <v>7.2505214014324553</v>
        <stp/>
        <stp>##V3_BDPV12</stp>
        <stp>XS1671754650 CORP</stp>
        <stp>YAS_FLOATER_DISCOUNT_MARGIN</stp>
        <stp>[BondFloaters.xlsx]FLOATERS!R19C22</stp>
        <tr r="V19" s="1"/>
      </tp>
      <tp>
        <v>18</v>
        <stp/>
        <stp>##V3_BDPV12</stp>
        <stp>XS1683495052 CORP</stp>
        <stp>FLT_SPREAD</stp>
        <stp>[BondFloaters.xlsx]FLOATERS!R117C26</stp>
        <tr r="Z117" s="1"/>
      </tp>
      <tp>
        <v>126.71539433376269</v>
        <stp/>
        <stp>##V3_BDPV12</stp>
        <stp>XS1782508508 CORP</stp>
        <stp>YAS_FLOATER_DISCOUNT_MARGIN</stp>
        <stp>[BondFloaters.xlsx]FLOATERS!R23C22</stp>
        <tr r="V23" s="1"/>
      </tp>
      <tp>
        <v>35</v>
        <stp/>
        <stp>##V3_BDPV12</stp>
        <stp>XS1622634126 CORP</stp>
        <stp>FLT_SPREAD</stp>
        <stp>[BondFloaters.xlsx]FLOATERS!R121C17</stp>
        <tr r="Q121" s="1"/>
      </tp>
      <tp>
        <v>35</v>
        <stp/>
        <stp>##V3_BDPV12</stp>
        <stp>XS1622634126 CORP</stp>
        <stp>FLT_SPREAD</stp>
        <stp>[BondFloaters.xlsx]FLOATERS!R121C26</stp>
        <tr r="Z121" s="1"/>
      </tp>
      <tp t="s">
        <v>#N/A N/A</v>
        <stp/>
        <stp>##V3_BDPV12</stp>
        <stp>FR0013257599 CORP</stp>
        <stp>YAS_FLOATER_DISCOUNT_MARGIN</stp>
        <stp>[BondFloaters.xlsx]FLOATERS!R20C22</stp>
        <tr r="V20" s="1"/>
      </tp>
      <tp>
        <v>24.561862542508315</v>
        <stp/>
        <stp>##V3_BDPV12</stp>
        <stp>XS1082839553 CORP</stp>
        <stp>YAS_FLOATER_DISCOUNT_MARGIN</stp>
        <stp>[BondFloaters.xlsx]FLOATERS!R61C22</stp>
        <tr r="V61" s="1"/>
      </tp>
      <tp t="s">
        <v>DK</v>
        <stp/>
        <stp>##V3_BDPV12</stp>
        <stp>XS1381690574 CORP</stp>
        <stp>CNTRY_OF_RISK</stp>
        <stp>[BondFloaters.xlsx]FLOATERS!R89C3</stp>
        <tr r="C89" s="1"/>
      </tp>
      <tp t="s">
        <v>FR</v>
        <stp/>
        <stp>##V3_BDPV12</stp>
        <stp>FR0013264884 CORP</stp>
        <stp>CNTRY_OF_RISK</stp>
        <stp>[BondFloaters.xlsx]FLOATERS!R93C3</stp>
        <tr r="C93" s="1"/>
      </tp>
      <tp t="s">
        <v>DE</v>
        <stp/>
        <stp>##V3_BDPV12</stp>
        <stp>XS1718416586 CORP</stp>
        <stp>CNTRY_OF_RISK</stp>
        <stp>[BondFloaters.xlsx]FLOATERS!R54C3</stp>
        <tr r="C54" s="1"/>
      </tp>
      <tp t="s">
        <v>FR</v>
        <stp/>
        <stp>##V3_BDPV12</stp>
        <stp>FR0013260486 CORP</stp>
        <stp>CNTRY_OF_RISK</stp>
        <stp>[BondFloaters.xlsx]FLOATERS!R63C3</stp>
        <tr r="C63" s="1"/>
      </tp>
      <tp t="s">
        <v>NL</v>
        <stp/>
        <stp>##V3_BDPV12</stp>
        <stp>XS1715353105 CORP</stp>
        <stp>CNTRY_OF_RISK</stp>
        <stp>[BondFloaters.xlsx]FLOATERS!R120C3</stp>
        <tr r="C120" s="1"/>
      </tp>
      <tp t="s">
        <v>IT</v>
        <stp/>
        <stp>##V3_BDPV12</stp>
        <stp>XS1568906421 CORP</stp>
        <stp>CNTRY_OF_RISK</stp>
        <stp>[BondFloaters.xlsx]FLOATERS!R123C3</stp>
        <tr r="C123" s="1"/>
      </tp>
      <tp t="s">
        <v>11/01/2019</v>
        <stp/>
        <stp>##V3_BDPV12</stp>
        <stp>DE000A19UNN9 CORP</stp>
        <stp>NXT_CPN_DT</stp>
        <stp>[BondFloaters.xlsx]FLOATERS!R125C14</stp>
        <tr r="N125" s="1"/>
      </tp>
      <tp t="s">
        <v>US</v>
        <stp/>
        <stp>##V3_BDPV12</stp>
        <stp>XS1237187718 CORP</stp>
        <stp>CNTRY_OF_RISK</stp>
        <stp>[BondFloaters.xlsx]FLOATERS!R105C3</stp>
        <tr r="C105" s="1"/>
      </tp>
      <tp>
        <v>100.48</v>
        <stp/>
        <stp>##V3_BDPV12</stp>
        <stp>XS1089831249 CORP</stp>
        <stp>YAS_BOND_PX</stp>
        <stp>[BondFloaters.xlsx]FLOATERS!R56C28</stp>
        <tr r="AB56" s="1"/>
      </tp>
      <tp>
        <v>100.276</v>
        <stp/>
        <stp>##V3_BDPV12</stp>
        <stp>XS1292468987 CORP</stp>
        <stp>YAS_BOND_PX</stp>
        <stp>[BondFloaters.xlsx]FLOATERS!R18C28</stp>
        <tr r="AB18" s="1"/>
      </tp>
      <tp>
        <v>100.583</v>
        <stp/>
        <stp>##V3_BDPV12</stp>
        <stp>XS1212467911 CORP</stp>
        <stp>YAS_BOND_PX</stp>
        <stp>[BondFloaters.xlsx]FLOATERS!R57C28</stp>
        <tr r="AB57" s="1"/>
      </tp>
      <tp t="s">
        <v>18/03/2019</v>
        <stp/>
        <stp>##V3_BDPV12</stp>
        <stp>DE000A1Z6M04 CORP</stp>
        <stp>NXT_CPN_DT</stp>
        <stp>[BondFloaters.xlsx]FLOATERS!R129C14</stp>
        <tr r="N129" s="1"/>
      </tp>
      <tp>
        <v>99.811000000000007</v>
        <stp/>
        <stp>##V3_BDPV12</stp>
        <stp>XS1612940988 CORP</stp>
        <stp>YAS_BOND_PX</stp>
        <stp>[BondFloaters.xlsx]FLOATERS!R35C28</stp>
        <tr r="AB35" s="1"/>
      </tp>
      <tp>
        <v>-13.096601627381215</v>
        <stp/>
        <stp>##V3_BDPV12</stp>
        <stp>XS1381690574 CORP</stp>
        <stp>YAS_FLOATER_DISCOUNT_MARGIN</stp>
        <stp>[BondFloaters.xlsx]FLOATERS!R89C22</stp>
        <tr r="V89" s="1"/>
      </tp>
      <tp>
        <v>40</v>
        <stp/>
        <stp>##V3_BDPV12</stp>
        <stp>XS1717202730 CORP</stp>
        <stp>FLT_SPREAD</stp>
        <stp>[BondFloaters.xlsx]FLOATERS!R128C17</stp>
        <tr r="Q128" s="1"/>
      </tp>
      <tp>
        <v>30</v>
        <stp/>
        <stp>##V3_BDPV12</stp>
        <stp>XS1237187718 CORP</stp>
        <stp>FLT_SPREAD</stp>
        <stp>[BondFloaters.xlsx]FLOATERS!R105C17</stp>
        <tr r="Q105" s="1"/>
      </tp>
      <tp>
        <v>30</v>
        <stp/>
        <stp>##V3_BDPV12</stp>
        <stp>XS1237187718 CORP</stp>
        <stp>FLT_SPREAD</stp>
        <stp>[BondFloaters.xlsx]FLOATERS!R105C26</stp>
        <tr r="Z105" s="1"/>
      </tp>
      <tp>
        <v>160.24470025184797</v>
        <stp/>
        <stp>##V3_BDPV12</stp>
        <stp>FR0013309606 CORP</stp>
        <stp>YAS_FLOATER_DISCOUNT_MARGIN</stp>
        <stp>[BondFloaters.xlsx]FLOATERS!R25C22</stp>
        <tr r="V25" s="1"/>
      </tp>
      <tp>
        <v>5.835783484753204</v>
        <stp/>
        <stp>##V3_BDPV12</stp>
        <stp>XS1651071521 CORP</stp>
        <stp>YAS_FLOATER_DISCOUNT_MARGIN</stp>
        <stp>[BondFloaters.xlsx]FLOATERS!R46C22</stp>
        <tr r="V46" s="1"/>
      </tp>
      <tp>
        <v>40</v>
        <stp/>
        <stp>##V3_BDPV12</stp>
        <stp>XS1717202730 CORP</stp>
        <stp>FLT_SPREAD</stp>
        <stp>[BondFloaters.xlsx]FLOATERS!R128C26</stp>
        <tr r="Z128" s="1"/>
      </tp>
      <tp>
        <v>41.870105794674075</v>
        <stp/>
        <stp>##V3_BDPV12</stp>
        <stp>XS1033649739 CORP</stp>
        <stp>YAS_FLOATER_DISCOUNT_MARGIN</stp>
        <stp>[BondFloaters.xlsx]FLOATERS!R44C22</stp>
        <tr r="V44" s="1"/>
      </tp>
      <tp t="s">
        <v>#N/A N/A</v>
        <stp/>
        <stp>##V3_BDPV12</stp>
        <stp>FR0012146751 CORP</stp>
        <stp>YAS_FLOATER_DISCOUNT_MARGIN</stp>
        <stp>[BondFloaters.xlsx]FLOATERS!R67C22</stp>
        <tr r="V67" s="1"/>
      </tp>
      <tp>
        <v>36.069388376421308</v>
        <stp/>
        <stp>##V3_BDPV12</stp>
        <stp>FR0013221652 CORP</stp>
        <stp>YAS_FLOATER_DISCOUNT_MARGIN</stp>
        <stp>[BondFloaters.xlsx]FLOATERS!R98C22</stp>
        <tr r="V98" s="1"/>
      </tp>
      <tp>
        <v>13.759179014664172</v>
        <stp/>
        <stp>##V3_BDPV12</stp>
        <stp>XS1144084099 CORP</stp>
        <stp>YAS_FLOATER_DISCOUNT_MARGIN</stp>
        <stp>[BondFloaters.xlsx]FLOATERS!R82C22</stp>
        <tr r="V82" s="1"/>
      </tp>
      <tp>
        <v>181.03258899464072</v>
        <stp/>
        <stp>##V3_BDPV12</stp>
        <stp>FR0013292687 CORP</stp>
        <stp>YAS_FLOATER_DISCOUNT_MARGIN</stp>
        <stp>[BondFloaters.xlsx]FLOATERS!R36C22</stp>
        <tr r="V36" s="1"/>
      </tp>
      <tp>
        <v>105.97855780476904</v>
        <stp/>
        <stp>##V3_BDPV12</stp>
        <stp>FR0013250685 CORP</stp>
        <stp>YAS_FLOATER_DISCOUNT_MARGIN</stp>
        <stp>[BondFloaters.xlsx]FLOATERS!R29C22</stp>
        <tr r="V29" s="1"/>
      </tp>
      <tp>
        <v>27.067656768480227</v>
        <stp/>
        <stp>##V3_BDPV12</stp>
        <stp>XS1642545690 CORP</stp>
        <stp>YAS_FLOATER_DISCOUNT_MARGIN</stp>
        <stp>[BondFloaters.xlsx]FLOATERS!R76C22</stp>
        <tr r="V76" s="1"/>
      </tp>
      <tp>
        <v>15</v>
        <stp/>
        <stp>##V3_BDPV12</stp>
        <stp>XS1771768188 CORP</stp>
        <stp>FLT_SPREAD</stp>
        <stp>[BondFloaters.xlsx]FLOATERS!R113C26</stp>
        <tr r="Z113" s="1"/>
      </tp>
      <tp>
        <v>35</v>
        <stp/>
        <stp>##V3_BDPV12</stp>
        <stp>XS1224953452 CORP</stp>
        <stp>FLT_SPREAD</stp>
        <stp>[BondFloaters.xlsx]FLOATERS!R135C17</stp>
        <tr r="Q135" s="1"/>
      </tp>
      <tp>
        <v>15</v>
        <stp/>
        <stp>##V3_BDPV12</stp>
        <stp>XS1771768188 CORP</stp>
        <stp>FLT_SPREAD</stp>
        <stp>[BondFloaters.xlsx]FLOATERS!R113C17</stp>
        <tr r="Q113" s="1"/>
      </tp>
      <tp>
        <v>35</v>
        <stp/>
        <stp>##V3_BDPV12</stp>
        <stp>XS1224953452 CORP</stp>
        <stp>FLT_SPREAD</stp>
        <stp>[BondFloaters.xlsx]FLOATERS!R135C26</stp>
        <tr r="Z135" s="1"/>
      </tp>
      <tp t="s">
        <v>FR</v>
        <stp/>
        <stp>##V3_BDPV12</stp>
        <stp>XS1723613581 CORP</stp>
        <stp>CNTRY_OF_RISK</stp>
        <stp>[BondFloaters.xlsx]FLOATERS!R75C3</stp>
        <tr r="C75" s="1"/>
      </tp>
      <tp t="s">
        <v>FR</v>
        <stp/>
        <stp>##V3_BDPV12</stp>
        <stp>FR0012969012 CORP</stp>
        <stp>CNTRY_OF_RISK</stp>
        <stp>[BondFloaters.xlsx]FLOATERS!R22C3</stp>
        <tr r="C22" s="1"/>
      </tp>
      <tp t="s">
        <v>FR</v>
        <stp/>
        <stp>##V3_BDPV12</stp>
        <stp>FR0013324316 CORP</stp>
        <stp>CNTRY_OF_RISK</stp>
        <stp>[BondFloaters.xlsx]FLOATERS!R28C3</stp>
        <tr r="C28" s="1"/>
      </tp>
      <tp t="s">
        <v>NL</v>
        <stp/>
        <stp>##V3_BDPV12</stp>
        <stp>XS1671754650 CORP</stp>
        <stp>CNTRY_OF_RISK</stp>
        <stp>[BondFloaters.xlsx]FLOATERS!R19C3</stp>
        <tr r="C19" s="1"/>
      </tp>
      <tp t="s">
        <v>US</v>
        <stp/>
        <stp>##V3_BDPV12</stp>
        <stp>XS1144084099 CORP</stp>
        <stp>CNTRY_OF_RISK</stp>
        <stp>[BondFloaters.xlsx]FLOATERS!R82C3</stp>
        <tr r="C82" s="1"/>
      </tp>
      <tp t="s">
        <v>US</v>
        <stp/>
        <stp>##V3_BDPV12</stp>
        <stp>XS1346107433 CORP</stp>
        <stp>CNTRY_OF_RISK</stp>
        <stp>[BondFloaters.xlsx]FLOATERS!R134C3</stp>
        <tr r="C134" s="1"/>
      </tp>
      <tp t="s">
        <v>GB</v>
        <stp/>
        <stp>##V3_BDPV12</stp>
        <stp>XS1717567587 CORP</stp>
        <stp>CNTRY_OF_RISK</stp>
        <stp>[BondFloaters.xlsx]FLOATERS!R112C3</stp>
        <tr r="C112" s="1"/>
      </tp>
      <tp t="s">
        <v>DE</v>
        <stp/>
        <stp>##V3_BDPV12</stp>
        <stp>XS1679028479 CORP</stp>
        <stp>CNTRY_OF_RISK</stp>
        <stp>[BondFloaters.xlsx]FLOATERS!R119C3</stp>
        <tr r="C119" s="1"/>
      </tp>
      <tp t="s">
        <v>#N/A N/A</v>
        <stp/>
        <stp>##V3_BDPV12</stp>
        <stp>XS1522989869 CORP</stp>
        <stp>YAS_BOND_PX</stp>
        <stp>[BondFloaters.xlsx]FLOATERS!R33C28</stp>
        <tr r="AB33" s="1"/>
      </tp>
      <tp>
        <v>100.13800000000001</v>
        <stp/>
        <stp>##V3_BDPV12</stp>
        <stp>XS1382791892 CORP</stp>
        <stp>YAS_BOND_PX</stp>
        <stp>[BondFloaters.xlsx]FLOATERS!R30C28</stp>
        <tr r="AB30" s="1"/>
      </tp>
      <tp>
        <v>99.966999999999999</v>
        <stp/>
        <stp>##V3_BDPV12</stp>
        <stp>FR0013264884 CORP</stp>
        <stp>YAS_BOND_PX</stp>
        <stp>[BondFloaters.xlsx]FLOATERS!R93C28</stp>
        <tr r="AB93" s="1"/>
      </tp>
      <tp t="s">
        <v>06/12/2018</v>
        <stp/>
        <stp>##V3_BDPV12</stp>
        <stp>XS1678632487 CORP</stp>
        <stp>START_ACC_DT</stp>
        <stp>[BondFloaters.xlsx]FLOATERS!R6C12</stp>
        <tr r="L6" s="1"/>
      </tp>
      <tp>
        <v>99.914000000000001</v>
        <stp/>
        <stp>##V3_BDPV12</stp>
        <stp>XS1619284372 CORP</stp>
        <stp>YAS_BOND_PX</stp>
        <stp>[BondFloaters.xlsx]FLOATERS!R68C28</stp>
        <tr r="AB68" s="1"/>
      </tp>
      <tp t="s">
        <v>#N/A N/A</v>
        <stp/>
        <stp>##V3_BDPV12</stp>
        <stp>XS1362349869 CORP</stp>
        <stp>YAS_BOND_PX</stp>
        <stp>[BondFloaters.xlsx]FLOATERS!R65C28</stp>
        <tr r="AB65" s="1"/>
      </tp>
      <tp>
        <v>100.29900000000001</v>
        <stp/>
        <stp>##V3_BDPV12</stp>
        <stp>FR0012432904 CORP</stp>
        <stp>YAS_BOND_PX</stp>
        <stp>[BondFloaters.xlsx]FLOATERS!R48C28</stp>
        <tr r="AB48" s="1"/>
      </tp>
      <tp t="s">
        <v>DE</v>
        <stp/>
        <stp>##V3_BDPV12</stp>
        <stp>DE000A19UNN9 CORP</stp>
        <stp>CNTRY_OF_RISK</stp>
        <stp>[BondFloaters.xlsx]FLOATERS!R125C3</stp>
        <tr r="C125" s="1"/>
      </tp>
      <tp>
        <v>100.13500000000001</v>
        <stp/>
        <stp>##V3_BDPV12</stp>
        <stp>XS1808497264 CORP</stp>
        <stp>YAS_BOND_PX</stp>
        <stp>[BondFloaters.xlsx]FLOATERS!R13C28</stp>
        <tr r="AB13" s="1"/>
      </tp>
      <tp>
        <v>40.157582731326698</v>
        <stp/>
        <stp>##V3_BDPV12</stp>
        <stp>XS1692846790 CORP</stp>
        <stp>YAS_FLOATER_DISCOUNT_MARGIN</stp>
        <stp>[BondFloaters.xlsx]FLOATERS!R94C22</stp>
        <tr r="V94" s="1"/>
      </tp>
      <tp>
        <v>100</v>
        <stp/>
        <stp>##V3_BDPV12</stp>
        <stp>FR0013136330 CORP</stp>
        <stp>FLT_SPREAD</stp>
        <stp>[BondFloaters.xlsx]FLOATERS!R103C26</stp>
        <tr r="Z103" s="1"/>
      </tp>
      <tp>
        <v>100</v>
        <stp/>
        <stp>##V3_BDPV12</stp>
        <stp>FR0013136330 CORP</stp>
        <stp>FLT_SPREAD</stp>
        <stp>[BondFloaters.xlsx]FLOATERS!R103C17</stp>
        <tr r="Q103" s="1"/>
      </tp>
      <tp>
        <v>29.504130180406523</v>
        <stp/>
        <stp>##V3_BDPV12</stp>
        <stp>XS1823165631 CORP</stp>
        <stp>YAS_FLOATER_DISCOUNT_MARGIN</stp>
        <stp>[BondFloaters.xlsx]FLOATERS!R70C22</stp>
        <tr r="V70" s="1"/>
      </tp>
      <tp>
        <v>38.593279380433721</v>
        <stp/>
        <stp>##V3_BDPV12</stp>
        <stp>XS1637162246 CORP</stp>
        <stp>YAS_FLOATER_DISCOUNT_MARGIN</stp>
        <stp>[BondFloaters.xlsx]FLOATERS!R32C22</stp>
        <tr r="V32" s="1"/>
      </tp>
      <tp>
        <v>43</v>
        <stp/>
        <stp>##V3_BDPV12</stp>
        <stp>XS1306411726 CORP</stp>
        <stp>FLT_SPREAD</stp>
        <stp>[BondFloaters.xlsx]FLOATERS!R115C26</stp>
        <tr r="Z115" s="1"/>
      </tp>
      <tp>
        <v>31.631409632294144</v>
        <stp/>
        <stp>##V3_BDPV12</stp>
        <stp>XS1806435324 CORP</stp>
        <stp>YAS_FLOATER_DISCOUNT_MARGIN</stp>
        <stp>[BondFloaters.xlsx]FLOATERS!R34C22</stp>
        <tr r="V34" s="1"/>
      </tp>
      <tp>
        <v>43</v>
        <stp/>
        <stp>##V3_BDPV12</stp>
        <stp>XS1306411726 CORP</stp>
        <stp>FLT_SPREAD</stp>
        <stp>[BondFloaters.xlsx]FLOATERS!R115C17</stp>
        <tr r="Q115" s="1"/>
      </tp>
      <tp t="s">
        <v>BE</v>
        <stp/>
        <stp>##V3_BDPV12</stp>
        <stp>BE6301509012 CORP</stp>
        <stp>CNTRY_OF_RISK</stp>
        <stp>[BondFloaters.xlsx]FLOATERS!R124C3</stp>
        <tr r="C124" s="1"/>
      </tp>
      <tp t="s">
        <v>FR</v>
        <stp/>
        <stp>##V3_BDPV12</stp>
        <stp>FR0013257599 CORP</stp>
        <stp>CNTRY_OF_RISK</stp>
        <stp>[BondFloaters.xlsx]FLOATERS!R20C3</stp>
        <tr r="C20" s="1"/>
      </tp>
      <tp t="s">
        <v>DE</v>
        <stp/>
        <stp>##V3_BDPV12</stp>
        <stp>XS1089831249 CORP</stp>
        <stp>CNTRY_OF_RISK</stp>
        <stp>[BondFloaters.xlsx]FLOATERS!R56C3</stp>
        <tr r="C56" s="1"/>
      </tp>
      <tp t="s">
        <v>DE</v>
        <stp/>
        <stp>##V3_BDPV12</stp>
        <stp>XS1642545690 CORP</stp>
        <stp>CNTRY_OF_RISK</stp>
        <stp>[BondFloaters.xlsx]FLOATERS!R76C3</stp>
        <tr r="C76" s="1"/>
      </tp>
      <tp t="s">
        <v>US</v>
        <stp/>
        <stp>##V3_BDPV12</stp>
        <stp>XS1792505197 CORP</stp>
        <stp>CNTRY_OF_RISK</stp>
        <stp>[BondFloaters.xlsx]FLOATERS!R96C3</stp>
        <tr r="C96" s="1"/>
      </tp>
      <tp>
        <v>100.223</v>
        <stp/>
        <stp>##V3_BDPV12</stp>
        <stp>XS1718416586 CORP</stp>
        <stp>YAS_BOND_PX</stp>
        <stp>[BondFloaters.xlsx]FLOATERS!R54C28</stp>
        <tr r="AB54" s="1"/>
      </tp>
      <tp>
        <v>100.146</v>
        <stp/>
        <stp>##V3_BDPV12</stp>
        <stp>XS1485660895 CORP</stp>
        <stp>YAS_BOND_PX</stp>
        <stp>[BondFloaters.xlsx]FLOATERS!R58C28</stp>
        <tr r="AB58" s="1"/>
      </tp>
      <tp>
        <v>98.52</v>
        <stp/>
        <stp>##V3_BDPV12</stp>
        <stp>XS1734547919 CORP</stp>
        <stp>YAS_BOND_PX</stp>
        <stp>[BondFloaters.xlsx]FLOATERS!R11C28</stp>
        <tr r="AB11" s="1"/>
      </tp>
      <tp>
        <v>8.3359958873586208</v>
        <stp/>
        <stp>##V3_BDPV12</stp>
        <stp>FR0012315133 CORP</stp>
        <stp>YAS_FLOATER_DISCOUNT_MARGIN</stp>
        <stp>[BondFloaters.xlsx]FLOATERS!R55C22</stp>
        <tr r="V55" s="1"/>
      </tp>
      <tp>
        <v>65</v>
        <stp/>
        <stp>##V3_BDPV12</stp>
        <stp>XS1363560548 CORP</stp>
        <stp>FLT_SPREAD</stp>
        <stp>[BondFloaters.xlsx]FLOATERS!R133C17</stp>
        <tr r="Q133" s="1"/>
      </tp>
      <tp>
        <v>34.178704170767141</v>
        <stp/>
        <stp>##V3_BDPV12</stp>
        <stp>XS1822301039 CORP</stp>
        <stp>YAS_FLOATER_DISCOUNT_MARGIN</stp>
        <stp>[BondFloaters.xlsx]FLOATERS!R15C22</stp>
        <tr r="V15" s="1"/>
      </tp>
      <tp>
        <v>14.839747692299227</v>
        <stp/>
        <stp>##V3_BDPV12</stp>
        <stp>FR0013054020 CORP</stp>
        <stp>YAS_FLOATER_DISCOUNT_MARGIN</stp>
        <stp>[BondFloaters.xlsx]FLOATERS!R26C22</stp>
        <tr r="V26" s="1"/>
      </tp>
      <tp>
        <v>65</v>
        <stp/>
        <stp>##V3_BDPV12</stp>
        <stp>XS1363560548 CORP</stp>
        <stp>FLT_SPREAD</stp>
        <stp>[BondFloaters.xlsx]FLOATERS!R133C26</stp>
        <tr r="Z133" s="1"/>
      </tp>
      <tp>
        <v>35</v>
        <stp/>
        <stp>##V3_BDPV12</stp>
        <stp>XS1712180477 CORP</stp>
        <stp>FLT_SPREAD</stp>
        <stp>[BondFloaters.xlsx]FLOATERS!R137C26</stp>
        <tr r="Z137" s="1"/>
      </tp>
      <tp>
        <v>-0.42956499999999997</v>
        <stp/>
        <stp>##V3_BDPV12</stp>
        <stp>DE000A1Z6M04 CORP</stp>
        <stp>YAS_BOND_YLD</stp>
        <stp>[BondFloaters.xlsx]FLOATERS!R129C27</stp>
        <tr r="AA129" s="1"/>
      </tp>
      <tp>
        <v>35</v>
        <stp/>
        <stp>##V3_BDPV12</stp>
        <stp>XS1712180477 CORP</stp>
        <stp>FLT_SPREAD</stp>
        <stp>[BondFloaters.xlsx]FLOATERS!R137C17</stp>
        <tr r="Q137" s="1"/>
      </tp>
      <tp>
        <v>23</v>
        <stp/>
        <stp>##V3_BDPV12</stp>
        <stp>XS1230926609 CORP</stp>
        <stp>FLT_SPREAD</stp>
        <stp>[BondFloaters.xlsx]FLOATERS!R126C17</stp>
        <tr r="Q126" s="1"/>
      </tp>
      <tp>
        <v>23</v>
        <stp/>
        <stp>##V3_BDPV12</stp>
        <stp>XS1230926609 CORP</stp>
        <stp>FLT_SPREAD</stp>
        <stp>[BondFloaters.xlsx]FLOATERS!R126C26</stp>
        <tr r="Z126" s="1"/>
      </tp>
      <tp>
        <v>88</v>
        <stp/>
        <stp>##V3_BDPV12</stp>
        <stp>XS1301773799 CORP</stp>
        <stp>FLT_SPREAD</stp>
        <stp>[BondFloaters.xlsx]FLOATERS!R114C26</stp>
        <tr r="Z114" s="1"/>
      </tp>
      <tp>
        <v>88</v>
        <stp/>
        <stp>##V3_BDPV12</stp>
        <stp>XS1301773799 CORP</stp>
        <stp>FLT_SPREAD</stp>
        <stp>[BondFloaters.xlsx]FLOATERS!R114C17</stp>
        <tr r="Q114" s="1"/>
      </tp>
      <tp t="s">
        <v>FR</v>
        <stp/>
        <stp>##V3_BDPV12</stp>
        <stp>FR0013292687 CORP</stp>
        <stp>CNTRY_OF_RISK</stp>
        <stp>[BondFloaters.xlsx]FLOATERS!R36C3</stp>
        <tr r="C36" s="1"/>
      </tp>
      <tp t="s">
        <v>NL</v>
        <stp/>
        <stp>##V3_BDPV12</stp>
        <stp>XS1787517199 CORP</stp>
        <stp>CNTRY_OF_RISK</stp>
        <stp>[BondFloaters.xlsx]FLOATERS!R81C3</stp>
        <tr r="C81" s="1"/>
      </tp>
      <tp t="s">
        <v>US</v>
        <stp/>
        <stp>##V3_BDPV12</stp>
        <stp>XS1619284372 CORP</stp>
        <stp>CNTRY_OF_RISK</stp>
        <stp>[BondFloaters.xlsx]FLOATERS!R68C3</stp>
        <tr r="C68" s="1"/>
      </tp>
      <tp t="s">
        <v>FR</v>
        <stp/>
        <stp>##V3_BDPV12</stp>
        <stp>FR0012432904 CORP</stp>
        <stp>CNTRY_OF_RISK</stp>
        <stp>[BondFloaters.xlsx]FLOATERS!R48C3</stp>
        <tr r="C48" s="1"/>
      </tp>
      <tp t="s">
        <v>US</v>
        <stp/>
        <stp>##V3_BDPV12</stp>
        <stp>XS1729872652 CORP</stp>
        <stp>CNTRY_OF_RISK</stp>
        <stp>[BondFloaters.xlsx]FLOATERS!R80C3</stp>
        <tr r="C80" s="1"/>
      </tp>
      <tp t="s">
        <v>FR</v>
        <stp/>
        <stp>##V3_BDPV12</stp>
        <stp>FR0013342664 CORP</stp>
        <stp>CNTRY_OF_RISK</stp>
        <stp>[BondFloaters.xlsx]FLOATERS!R122C3</stp>
        <tr r="C122" s="1"/>
      </tp>
      <tp t="s">
        <v>US</v>
        <stp/>
        <stp>##V3_BDPV12</stp>
        <stp>XS1767930826 CORP</stp>
        <stp>CNTRY_OF_RISK</stp>
        <stp>[BondFloaters.xlsx]FLOATERS!R110C3</stp>
        <tr r="C110" s="1"/>
      </tp>
      <tp t="s">
        <v>US</v>
        <stp/>
        <stp>##V3_BDPV12</stp>
        <stp>XS1622634126 CORP</stp>
        <stp>CNTRY_OF_RISK</stp>
        <stp>[BondFloaters.xlsx]FLOATERS!R121C3</stp>
        <tr r="C121" s="1"/>
      </tp>
      <tp t="s">
        <v>US</v>
        <stp/>
        <stp>##V3_BDPV12</stp>
        <stp>XS1577870808 CORP</stp>
        <stp>CNTRY_OF_RISK</stp>
        <stp>[BondFloaters.xlsx]FLOATERS!R138C3</stp>
        <tr r="C138" s="1"/>
      </tp>
      <tp t="s">
        <v>IT</v>
        <stp/>
        <stp>##V3_BDPV12</stp>
        <stp>XS1753030490 CORP</stp>
        <stp>CNTRY_OF_RISK</stp>
        <stp>[BondFloaters.xlsx]FLOATERS!R106C3</stp>
        <tr r="C106" s="1"/>
      </tp>
      <tp t="s">
        <v>12/10/2018</v>
        <stp/>
        <stp>##V3_BDPV12</stp>
        <stp>DE000A169GZ7 CORP</stp>
        <stp>START_ACC_DT</stp>
        <stp>[BondFloaters.xlsx]FLOATERS!R42C12</stp>
        <tr r="L42" s="1"/>
      </tp>
      <tp>
        <v>-1.7416369999999999</v>
        <stp/>
        <stp>##V3_BDPV12</stp>
        <stp>DE000A169GZ7 CORP</stp>
        <stp>YAS_BOND_YLD</stp>
        <stp>[BondFloaters.xlsx]FLOATERS!R42C27</stp>
        <tr r="AA42" s="1"/>
      </tp>
      <tp>
        <v>100.307</v>
        <stp/>
        <stp>##V3_BDPV12</stp>
        <stp>XS1139316555 CORP</stp>
        <stp>YAS_BOND_PX</stp>
        <stp>[BondFloaters.xlsx]FLOATERS!R78C28</stp>
        <tr r="AB78" s="1"/>
      </tp>
      <tp t="s">
        <v>03/08/2018</v>
        <stp/>
        <stp>##V3_BDPV12</stp>
        <stp>FR0013216884 CORP</stp>
        <stp>START_ACC_DT</stp>
        <stp>[BondFloaters.xlsx]FLOATERS!R7C12</stp>
        <tr r="L7" s="1"/>
      </tp>
      <tp>
        <v>11.054831873202206</v>
        <stp/>
        <stp>##V3_BDPV12</stp>
        <stp>XS1323463056 CORP</stp>
        <stp>YAS_FLOATER_DISCOUNT_MARGIN</stp>
        <stp>[BondFloaters.xlsx]FLOATERS!R83C22</stp>
        <tr r="V83" s="1"/>
      </tp>
      <tp>
        <v>29.696144645598739</v>
        <stp/>
        <stp>##V3_BDPV12</stp>
        <stp>XS1564405741 CORP</stp>
        <stp>YAS_FLOATER_DISCOUNT_MARGIN</stp>
        <stp>[BondFloaters.xlsx]FLOATERS!R21C22</stp>
        <tr r="V21" s="1"/>
      </tp>
      <tp>
        <v>95.367315182539599</v>
        <stp/>
        <stp>##V3_BDPV12</stp>
        <stp>XS1794195724 CORP</stp>
        <stp>YAS_FLOATER_DISCOUNT_MARGIN</stp>
        <stp>[BondFloaters.xlsx]FLOATERS!R12C22</stp>
        <tr r="V12" s="1"/>
      </tp>
      <tp>
        <v>12.471256198416707</v>
        <stp/>
        <stp>##V3_BDPV12</stp>
        <stp>FR0013330107 CORP</stp>
        <stp>YAS_FLOATER_DISCOUNT_MARGIN</stp>
        <stp>[BondFloaters.xlsx]FLOATERS!R87C22</stp>
        <tr r="V87" s="1"/>
      </tp>
      <tp>
        <v>112.60966947583404</v>
        <stp/>
        <stp>##V3_BDPV12</stp>
        <stp>XS1664643746 CORP</stp>
        <stp>YAS_FLOATER_DISCOUNT_MARGIN</stp>
        <stp>[BondFloaters.xlsx]FLOATERS!R73C22</stp>
        <tr r="V73" s="1"/>
      </tp>
      <tp>
        <v>-36.489136725420614</v>
        <stp/>
        <stp>##V3_BDPV12</stp>
        <stp>XS1725668633 CORP</stp>
        <stp>YAS_FLOATER_DISCOUNT_MARGIN</stp>
        <stp>[BondFloaters.xlsx]FLOATERS!R17C22</stp>
        <tr r="V17" s="1"/>
      </tp>
      <tp>
        <v>71.261689670036674</v>
        <stp/>
        <stp>##V3_BDPV12</stp>
        <stp>XS1292513105 CORP</stp>
        <stp>YAS_FLOATER_DISCOUNT_MARGIN</stp>
        <stp>[BondFloaters.xlsx]FLOATERS!R69C22</stp>
        <tr r="V69" s="1"/>
      </tp>
      <tp>
        <v>55</v>
        <stp/>
        <stp>##V3_BDPV12</stp>
        <stp>XS1840614736 CORP</stp>
        <stp>FLT_SPREAD</stp>
        <stp>[BondFloaters.xlsx]FLOATERS!R132C17</stp>
        <tr r="Q132" s="1"/>
      </tp>
      <tp>
        <v>18.030571713370495</v>
        <stp/>
        <stp>##V3_BDPV12</stp>
        <stp>XS1586555515 CORP</stp>
        <stp>YAS_FLOATER_DISCOUNT_MARGIN</stp>
        <stp>[BondFloaters.xlsx]FLOATERS!R53C22</stp>
        <tr r="V53" s="1"/>
      </tp>
      <tp>
        <v>185.91748604453801</v>
        <stp/>
        <stp>##V3_BDPV12</stp>
        <stp>FR0013322146 CORP</stp>
        <stp>YAS_FLOATER_DISCOUNT_MARGIN</stp>
        <stp>[BondFloaters.xlsx]FLOATERS!R95C22</stp>
        <tr r="V95" s="1"/>
      </tp>
      <tp>
        <v>55</v>
        <stp/>
        <stp>##V3_BDPV12</stp>
        <stp>XS1840614736 CORP</stp>
        <stp>FLT_SPREAD</stp>
        <stp>[BondFloaters.xlsx]FLOATERS!R132C26</stp>
        <tr r="Z132" s="1"/>
      </tp>
      <tp>
        <v>-5.976359566668588</v>
        <stp/>
        <stp>##V3_BDPV12</stp>
        <stp>FR0012969012 CORP</stp>
        <stp>YAS_FLOATER_DISCOUNT_MARGIN</stp>
        <stp>[BondFloaters.xlsx]FLOATERS!R22C22</stp>
        <tr r="V22" s="1"/>
      </tp>
      <tp>
        <v>15</v>
        <stp/>
        <stp>##V3_BDPV12</stp>
        <stp>XS1715323298 CORP</stp>
        <stp>FLT_SPREAD</stp>
        <stp>[BondFloaters.xlsx]FLOATERS!R111C26</stp>
        <tr r="Z111" s="1"/>
      </tp>
      <tp>
        <v>33</v>
        <stp/>
        <stp>##V3_BDPV12</stp>
        <stp>XS1753030490 CORP</stp>
        <stp>FLT_SPREAD</stp>
        <stp>[BondFloaters.xlsx]FLOATERS!R106C17</stp>
        <tr r="Q106" s="1"/>
      </tp>
      <tp>
        <v>15</v>
        <stp/>
        <stp>##V3_BDPV12</stp>
        <stp>XS1715323298 CORP</stp>
        <stp>FLT_SPREAD</stp>
        <stp>[BondFloaters.xlsx]FLOATERS!R111C17</stp>
        <tr r="Q111" s="1"/>
      </tp>
      <tp>
        <v>33</v>
        <stp/>
        <stp>##V3_BDPV12</stp>
        <stp>XS1753030490 CORP</stp>
        <stp>FLT_SPREAD</stp>
        <stp>[BondFloaters.xlsx]FLOATERS!R106C26</stp>
        <tr r="Z106" s="1"/>
      </tp>
      <tp>
        <v>164.30826005301142</v>
        <stp/>
        <stp>##V3_BDPV12</stp>
        <stp>XS1792505197 CORP</stp>
        <stp>YAS_FLOATER_DISCOUNT_MARGIN</stp>
        <stp>[BondFloaters.xlsx]FLOATERS!R96C22</stp>
        <tr r="V96" s="1"/>
      </tp>
      <tp t="s">
        <v>US</v>
        <stp/>
        <stp>##V3_BDPV12</stp>
        <stp>XS1249494086 CORP</stp>
        <stp>CNTRY_OF_RISK</stp>
        <stp>[BondFloaters.xlsx]FLOATERS!R50C3</stp>
        <tr r="C50" s="1"/>
      </tp>
      <tp t="s">
        <v>FR</v>
        <stp/>
        <stp>##V3_BDPV12</stp>
        <stp>FR0013241379 CORP</stp>
        <stp>CNTRY_OF_RISK</stp>
        <stp>[BondFloaters.xlsx]FLOATERS!R38C3</stp>
        <tr r="C38" s="1"/>
      </tp>
      <tp t="s">
        <v>US</v>
        <stp/>
        <stp>##V3_BDPV12</stp>
        <stp>XS1821814800 CORP</stp>
        <stp>CNTRY_OF_RISK</stp>
        <stp>[BondFloaters.xlsx]FLOATERS!R84C3</stp>
        <tr r="C84" s="1"/>
      </tp>
      <tp t="s">
        <v>GB</v>
        <stp/>
        <stp>##V3_BDPV12</stp>
        <stp>XS1292513105 CORP</stp>
        <stp>CNTRY_OF_RISK</stp>
        <stp>[BondFloaters.xlsx]FLOATERS!R69C3</stp>
        <tr r="C69" s="1"/>
      </tp>
      <tp t="s">
        <v>US</v>
        <stp/>
        <stp>##V3_BDPV12</stp>
        <stp>XS1522989869 CORP</stp>
        <stp>CNTRY_OF_RISK</stp>
        <stp>[BondFloaters.xlsx]FLOATERS!R33C3</stp>
        <tr r="C33" s="1"/>
      </tp>
      <tp t="s">
        <v>FR</v>
        <stp/>
        <stp>##V3_BDPV12</stp>
        <stp>XS1082839553 CORP</stp>
        <stp>CNTRY_OF_RISK</stp>
        <stp>[BondFloaters.xlsx]FLOATERS!R61C3</stp>
        <tr r="C61" s="1"/>
      </tp>
      <tp t="s">
        <v>FR</v>
        <stp/>
        <stp>##V3_BDPV12</stp>
        <stp>XS1206712868 CORP</stp>
        <stp>CNTRY_OF_RISK</stp>
        <stp>[BondFloaters.xlsx]FLOATERS!R118C3</stp>
        <tr r="C118" s="1"/>
      </tp>
      <tp t="s">
        <v>US</v>
        <stp/>
        <stp>##V3_BDPV12</stp>
        <stp>XS1574667124 CORP</stp>
        <stp>CNTRY_OF_RISK</stp>
        <stp>[BondFloaters.xlsx]FLOATERS!R104C3</stp>
        <tr r="C104" s="1"/>
      </tp>
      <tp t="s">
        <v>GB</v>
        <stp/>
        <stp>##V3_BDPV12</stp>
        <stp>XS1372838083 CORP</stp>
        <stp>CNTRY_OF_RISK</stp>
        <stp>[BondFloaters.xlsx]FLOATERS!R130C3</stp>
        <tr r="C130" s="1"/>
      </tp>
      <tp t="s">
        <v>03/10/2018</v>
        <stp/>
        <stp>##V3_BDPV12</stp>
        <stp>DE000A2GSCY9 CORP</stp>
        <stp>START_ACC_DT</stp>
        <stp>[BondFloaters.xlsx]FLOATERS!R14C12</stp>
        <tr r="L14" s="1"/>
      </tp>
      <tp>
        <v>0.53108900000000003</v>
        <stp/>
        <stp>##V3_BDPV12</stp>
        <stp>DE000A2GSCY9 CORP</stp>
        <stp>YAS_BOND_YLD</stp>
        <stp>[BondFloaters.xlsx]FLOATERS!R14C27</stp>
        <tr r="AA14" s="1"/>
      </tp>
      <tp>
        <v>94.144000000000005</v>
        <stp/>
        <stp>##V3_BDPV12</stp>
        <stp>XS1729872652 CORP</stp>
        <stp>YAS_BOND_PX</stp>
        <stp>[BondFloaters.xlsx]FLOATERS!R80C28</stp>
        <tr r="AB80" s="1"/>
      </tp>
      <tp>
        <v>100.203</v>
        <stp/>
        <stp>##V3_BDPV12</stp>
        <stp>XS1197832832 CORP</stp>
        <stp>YAS_BOND_PX</stp>
        <stp>[BondFloaters.xlsx]FLOATERS!R39C28</stp>
        <tr r="AB39" s="1"/>
      </tp>
      <tp>
        <v>97.78</v>
        <stp/>
        <stp>##V3_BDPV12</stp>
        <stp>XS1609252645 CORP</stp>
        <stp>YAS_BOND_PX</stp>
        <stp>[BondFloaters.xlsx]FLOATERS!R24C28</stp>
        <tr r="AB24" s="1"/>
      </tp>
      <tp>
        <v>77.165211387124003</v>
        <stp/>
        <stp>##V3_BDPV12</stp>
        <stp>DE000A19UNN9 CORP</stp>
        <stp>YAS_FLOATER_DISCOUNT_MARGIN</stp>
        <stp>[BondFloaters.xlsx]FLOATERS!R125C22</stp>
        <tr r="V125" s="1"/>
      </tp>
      <tp>
        <v>20</v>
        <stp/>
        <stp>##V3_BDPV12</stp>
        <stp>XS1715353105 CORP</stp>
        <stp>FLT_SPREAD</stp>
        <stp>[BondFloaters.xlsx]FLOATERS!R120C26</stp>
        <tr r="Z120" s="1"/>
      </tp>
      <tp>
        <v>16.928419987304874</v>
        <stp/>
        <stp>##V3_BDPV12</stp>
        <stp>XS1618349804 CORP</stp>
        <stp>YAS_FLOATER_DISCOUNT_MARGIN</stp>
        <stp>[BondFloaters.xlsx]FLOATERS!R60C22</stp>
        <tr r="V60" s="1"/>
      </tp>
      <tp>
        <v>20</v>
        <stp/>
        <stp>##V3_BDPV12</stp>
        <stp>XS1715353105 CORP</stp>
        <stp>FLT_SPREAD</stp>
        <stp>[BondFloaters.xlsx]FLOATERS!R120C17</stp>
        <tr r="Q120" s="1"/>
      </tp>
      <tp>
        <v>62</v>
        <stp/>
        <stp>##V3_BDPV12</stp>
        <stp>FR0013342664 CORP</stp>
        <stp>FLT_SPREAD</stp>
        <stp>[BondFloaters.xlsx]FLOATERS!R122C17</stp>
        <tr r="Q122" s="1"/>
      </tp>
      <tp>
        <v>15.662618405513323</v>
        <stp/>
        <stp>##V3_BDPV12</stp>
        <stp>XS1234366448 CORP</stp>
        <stp>YAS_FLOATER_DISCOUNT_MARGIN</stp>
        <stp>[BondFloaters.xlsx]FLOATERS!R52C22</stp>
        <tr r="V52" s="1"/>
      </tp>
      <tp>
        <v>62</v>
        <stp/>
        <stp>##V3_BDPV12</stp>
        <stp>FR0013342664 CORP</stp>
        <stp>FLT_SPREAD</stp>
        <stp>[BondFloaters.xlsx]FLOATERS!R122C26</stp>
        <tr r="Z122" s="1"/>
      </tp>
      <tp>
        <v>5.418183289739936</v>
        <stp/>
        <stp>##V3_BDPV12</stp>
        <stp>XS1078028864 CORP</stp>
        <stp>YAS_FLOATER_DISCOUNT_MARGIN</stp>
        <stp>[BondFloaters.xlsx]FLOATERS!R41C22</stp>
        <tr r="V41" s="1"/>
      </tp>
      <tp t="s">
        <v>#N/A N/A</v>
        <stp/>
        <stp>##V3_BDPV12</stp>
        <stp>XS1554462421 CORP</stp>
        <stp>YAS_FLOATER_DISCOUNT_MARGIN</stp>
        <stp>[BondFloaters.xlsx]FLOATERS!R49C22</stp>
        <tr r="V49" s="1"/>
      </tp>
      <tp>
        <v>4.6974006417836334</v>
        <stp/>
        <stp>##V3_BDPV12</stp>
        <stp>XS1107266782 CORP</stp>
        <stp>YAS_FLOATER_DISCOUNT_MARGIN</stp>
        <stp>[BondFloaters.xlsx]FLOATERS!R74C22</stp>
        <tr r="V74" s="1"/>
      </tp>
      <tp>
        <v>20</v>
        <stp/>
        <stp>##V3_BDPV12</stp>
        <stp>XS1822824642 CORP</stp>
        <stp>FLT_SPREAD</stp>
        <stp>[BondFloaters.xlsx]FLOATERS!R116C17</stp>
        <tr r="Q116" s="1"/>
      </tp>
      <tp>
        <v>20</v>
        <stp/>
        <stp>##V3_BDPV12</stp>
        <stp>XS1822824642 CORP</stp>
        <stp>FLT_SPREAD</stp>
        <stp>[BondFloaters.xlsx]FLOATERS!R116C26</stp>
        <tr r="Z116" s="1"/>
      </tp>
      <tp>
        <v>36.449217232220967</v>
        <stp/>
        <stp>##V3_BDPV12</stp>
        <stp>XS1635905570 CORP</stp>
        <stp>YAS_FLOATER_DISCOUNT_MARGIN</stp>
        <stp>[BondFloaters.xlsx]FLOATERS!R79C22</stp>
        <tr r="V79" s="1"/>
      </tp>
      <tp t="s">
        <v>#N/A N/A</v>
        <stp/>
        <stp>##V3_BDPV12</stp>
        <stp>DE000A185WC9 CORP</stp>
        <stp>YAS_FLOATER_DISCOUNT_MARGIN</stp>
        <stp>[BondFloaters.xlsx]FLOATERS!R47C22</stp>
        <tr r="V47" s="1"/>
      </tp>
      <tp t="s">
        <v>NO</v>
        <stp/>
        <stp>##V3_BDPV12</stp>
        <stp>XS1190623907 CORP</stp>
        <stp>CNTRY_OF_RISK</stp>
        <stp>[BondFloaters.xlsx]FLOATERS!R59C3</stp>
        <tr r="C59" s="1"/>
      </tp>
      <tp t="s">
        <v>FR</v>
        <stp/>
        <stp>##V3_BDPV12</stp>
        <stp>FR0013136330 CORP</stp>
        <stp>CNTRY_OF_RISK</stp>
        <stp>[BondFloaters.xlsx]FLOATERS!R103C3</stp>
        <tr r="C103" s="1"/>
      </tp>
      <tp t="s">
        <v>SE</v>
        <stp/>
        <stp>##V3_BDPV12</stp>
        <stp>XS1554462421 CORP</stp>
        <stp>CNTRY_OF_RISK</stp>
        <stp>[BondFloaters.xlsx]FLOATERS!R49C3</stp>
        <tr r="C49" s="1"/>
      </tp>
      <tp t="s">
        <v>SE</v>
        <stp/>
        <stp>##V3_BDPV12</stp>
        <stp>XS1599109896 CORP</stp>
        <stp>CNTRY_OF_RISK</stp>
        <stp>[BondFloaters.xlsx]FLOATERS!R97C3</stp>
        <tr r="C97" s="1"/>
      </tp>
      <tp t="s">
        <v>AU</v>
        <stp/>
        <stp>##V3_BDPV12</stp>
        <stp>XS1224953452 CORP</stp>
        <stp>CNTRY_OF_RISK</stp>
        <stp>[BondFloaters.xlsx]FLOATERS!R135C3</stp>
        <tr r="C135" s="1"/>
      </tp>
      <tp>
        <v>100.36499999999999</v>
        <stp/>
        <stp>##V3_BDPV12</stp>
        <stp>DE000A19RXA1 CORP</stp>
        <stp>YAS_BOND_PX</stp>
        <stp>[BondFloaters.xlsx]FLOATERS!R62C28</stp>
        <tr r="AB62" s="1"/>
      </tp>
      <tp t="s">
        <v>18/12/2018</v>
        <stp/>
        <stp>##V3_BDPV12</stp>
        <stp>DE000A1Z6M04 CORP</stp>
        <stp>START_ACC_DT</stp>
        <stp>[BondFloaters.xlsx]FLOATERS!R129C12</stp>
        <tr r="L129" s="1"/>
      </tp>
      <tp>
        <v>85.724000000000004</v>
        <stp/>
        <stp>##V3_BDPV12</stp>
        <stp>XS1729872736 CORP</stp>
        <stp>YAS_BOND_PX</stp>
        <stp>[BondFloaters.xlsx]FLOATERS!R88C28</stp>
        <tr r="AB88" s="1"/>
      </tp>
      <tp>
        <v>100.342</v>
        <stp/>
        <stp>##V3_BDPV12</stp>
        <stp>XS1108681625 CORP</stp>
        <stp>YAS_BOND_PX</stp>
        <stp>[BondFloaters.xlsx]FLOATERS!R40C28</stp>
        <tr r="AB40" s="1"/>
      </tp>
      <tp>
        <v>99.649000000000001</v>
        <stp/>
        <stp>##V3_BDPV12</stp>
        <stp>XS1828028677 CORP</stp>
        <stp>YAS_BOND_PX</stp>
        <stp>[BondFloaters.xlsx]FLOATERS!R45C28</stp>
        <tr r="AB45" s="1"/>
      </tp>
      <tp>
        <v>20</v>
        <stp/>
        <stp>##V3_BDPV12</stp>
        <stp>XS1171489476 CORP</stp>
        <stp>FLT_SPREAD</stp>
        <stp>[BondFloaters.xlsx]FLOATERS!R101C26</stp>
        <tr r="Z101" s="1"/>
      </tp>
      <tp>
        <v>7.8672537271235132</v>
        <stp/>
        <stp>##V3_BDPV12</stp>
        <stp>FR0013324316 CORP</stp>
        <stp>YAS_FLOATER_DISCOUNT_MARGIN</stp>
        <stp>[BondFloaters.xlsx]FLOATERS!R28C22</stp>
        <tr r="V28" s="1"/>
      </tp>
      <tp>
        <v>20</v>
        <stp/>
        <stp>##V3_BDPV12</stp>
        <stp>XS1171489476 CORP</stp>
        <stp>FLT_SPREAD</stp>
        <stp>[BondFloaters.xlsx]FLOATERS!R101C17</stp>
        <tr r="Q101" s="1"/>
      </tp>
      <tp>
        <v>49.252585082816729</v>
        <stp/>
        <stp>##V3_BDPV12</stp>
        <stp>XS1756669740 CORP</stp>
        <stp>YAS_FLOATER_DISCOUNT_MARGIN</stp>
        <stp>[BondFloaters.xlsx]FLOATERS!R72C22</stp>
        <tr r="V72" s="1"/>
      </tp>
      <tp>
        <v>-6.5436141662074787</v>
        <stp/>
        <stp>##V3_BDPV12</stp>
        <stp>XS1574156540 CORP</stp>
        <stp>YAS_FLOATER_DISCOUNT_MARGIN</stp>
        <stp>[BondFloaters.xlsx]FLOATERS!R90C22</stp>
        <tr r="V90" s="1"/>
      </tp>
      <tp>
        <v>68.95439907416916</v>
        <stp/>
        <stp>##V3_BDPV12</stp>
        <stp>FR0013241379 CORP</stp>
        <stp>YAS_FLOATER_DISCOUNT_MARGIN</stp>
        <stp>[BondFloaters.xlsx]FLOATERS!R38C22</stp>
        <tr r="V38" s="1"/>
      </tp>
      <tp>
        <v>42.405101826032812</v>
        <stp/>
        <stp>##V3_BDPV12</stp>
        <stp>XS1705553417 CORP</stp>
        <stp>YAS_FLOATER_DISCOUNT_MARGIN</stp>
        <stp>[BondFloaters.xlsx]FLOATERS!R85C22</stp>
        <tr r="V85" s="1"/>
      </tp>
      <tp>
        <v>25</v>
        <stp/>
        <stp>##V3_BDPV12</stp>
        <stp>XS1574667124 CORP</stp>
        <stp>FLT_SPREAD</stp>
        <stp>[BondFloaters.xlsx]FLOATERS!R104C17</stp>
        <tr r="Q104" s="1"/>
      </tp>
      <tp>
        <v>69.239353798830749</v>
        <stp/>
        <stp>##V3_BDPV12</stp>
        <stp>FR0013266343 CORP</stp>
        <stp>YAS_FLOATER_DISCOUNT_MARGIN</stp>
        <stp>[BondFloaters.xlsx]FLOATERS!R91C22</stp>
        <tr r="V91" s="1"/>
      </tp>
      <tp>
        <v>25</v>
        <stp/>
        <stp>##V3_BDPV12</stp>
        <stp>XS1574667124 CORP</stp>
        <stp>FLT_SPREAD</stp>
        <stp>[BondFloaters.xlsx]FLOATERS!R104C26</stp>
        <tr r="Z104" s="1"/>
      </tp>
      <tp>
        <v>-8.6869176862105544</v>
        <stp/>
        <stp>##V3_BDPV12</stp>
        <stp>XS1319814817 CORP</stp>
        <stp>YAS_FLOATER_DISCOUNT_MARGIN</stp>
        <stp>[BondFloaters.xlsx]FLOATERS!R77C22</stp>
        <tr r="V77" s="1"/>
      </tp>
      <tp>
        <v>32.736025238215369</v>
        <stp/>
        <stp>##V3_BDPV12</stp>
        <stp>XS1599109896 CORP</stp>
        <stp>YAS_FLOATER_DISCOUNT_MARGIN</stp>
        <stp>[BondFloaters.xlsx]FLOATERS!R97C22</stp>
        <tr r="V97" s="1"/>
      </tp>
      <tp>
        <v>70</v>
        <stp/>
        <stp>##V3_BDPV12</stp>
        <stp>XS1830992563 CORP</stp>
        <stp>FLT_SPREAD</stp>
        <stp>[BondFloaters.xlsx]FLOATERS!R109C26</stp>
        <tr r="Z109" s="1"/>
      </tp>
      <tp>
        <v>70</v>
        <stp/>
        <stp>##V3_BDPV12</stp>
        <stp>XS1830992563 CORP</stp>
        <stp>FLT_SPREAD</stp>
        <stp>[BondFloaters.xlsx]FLOATERS!R109C17</stp>
        <tr r="Q109" s="1"/>
      </tp>
      <tp t="s">
        <v>DE</v>
        <stp/>
        <stp>##V3_BDPV12</stp>
        <stp>XS1382791892 CORP</stp>
        <stp>CNTRY_OF_RISK</stp>
        <stp>[BondFloaters.xlsx]FLOATERS!R30C3</stp>
        <tr r="C30" s="1"/>
      </tp>
      <tp t="s">
        <v>DE</v>
        <stp/>
        <stp>##V3_BDPV12</stp>
        <stp>XS1107266782 CORP</stp>
        <stp>CNTRY_OF_RISK</stp>
        <stp>[BondFloaters.xlsx]FLOATERS!R74C3</stp>
        <tr r="C74" s="1"/>
      </tp>
      <tp t="s">
        <v>FR</v>
        <stp/>
        <stp>##V3_BDPV12</stp>
        <stp>XS1139316555 CORP</stp>
        <stp>CNTRY_OF_RISK</stp>
        <stp>[BondFloaters.xlsx]FLOATERS!R78C3</stp>
        <tr r="C78" s="1"/>
      </tp>
      <tp t="s">
        <v>US</v>
        <stp/>
        <stp>##V3_BDPV12</stp>
        <stp>XS1319814817 CORP</stp>
        <stp>CNTRY_OF_RISK</stp>
        <stp>[BondFloaters.xlsx]FLOATERS!R77C3</stp>
        <tr r="C77" s="1"/>
      </tp>
      <tp t="s">
        <v>FR</v>
        <stp/>
        <stp>##V3_BDPV12</stp>
        <stp>FR0013221652 CORP</stp>
        <stp>CNTRY_OF_RISK</stp>
        <stp>[BondFloaters.xlsx]FLOATERS!R98C3</stp>
        <tr r="C98" s="1"/>
      </tp>
      <tp>
        <v>22.009617817134618</v>
        <stp/>
        <stp>##V3_BDPV12</stp>
        <stp>DE000A2G8VS7 CORP</stp>
        <stp>YAS_FLOATER_DISCOUNT_MARGIN</stp>
        <stp>[BondFloaters.xlsx]FLOATERS!R43C22</stp>
        <tr r="V43" s="1"/>
      </tp>
      <tp t="s">
        <v>DE</v>
        <stp/>
        <stp>##V3_BDPV12</stp>
        <stp>XS1306411726 CORP</stp>
        <stp>CNTRY_OF_RISK</stp>
        <stp>[BondFloaters.xlsx]FLOATERS!R115C3</stp>
        <tr r="C115" s="1"/>
      </tp>
      <tp>
        <v>0</v>
        <stp/>
        <stp>##V3_BDPV12</stp>
        <stp>DE000A14KJE8 CORP</stp>
        <stp>CPN</stp>
        <stp>[BondFloaters.xlsx]FLOATERS!R51C25</stp>
        <tr r="Y51" s="1"/>
      </tp>
    </main>
    <main first="bloomberg.rtd">
      <tp t="s">
        <v>N</v>
        <stp/>
        <stp>##V3_BDPV12</stp>
        <stp>XS1782508508 CORP</stp>
        <stp>ZERO_CPN</stp>
        <stp>[BondFloaters.xlsx]FLOATERS!R23C8</stp>
        <tr r="H23" s="1"/>
      </tp>
      <tp t="s">
        <v>N</v>
        <stp/>
        <stp>##V3_BDPV12</stp>
        <stp>XS1725668633 CORP</stp>
        <stp>ZERO_CPN</stp>
        <stp>[BondFloaters.xlsx]FLOATERS!R17C8</stp>
        <tr r="H17" s="1"/>
      </tp>
      <tp t="s">
        <v>N</v>
        <stp/>
        <stp>##V3_BDPV12</stp>
        <stp>XS1705553417 CORP</stp>
        <stp>ZERO_CPN</stp>
        <stp>[BondFloaters.xlsx]FLOATERS!R85C8</stp>
        <tr r="H85" s="1"/>
      </tp>
      <tp t="s">
        <v>N</v>
        <stp/>
        <stp>##V3_BDPV12</stp>
        <stp>XS1139316555 CORP</stp>
        <stp>ZERO_CPN</stp>
        <stp>[BondFloaters.xlsx]FLOATERS!R78C8</stp>
        <tr r="H78" s="1"/>
      </tp>
      <tp t="s">
        <v>N</v>
        <stp/>
        <stp>##V3_BDPV12</stp>
        <stp>FR0013221652 CORP</stp>
        <stp>CALLABLE</stp>
        <stp>[BondFloaters.xlsx]FLOATERS!R98C7</stp>
        <tr r="G98" s="1"/>
      </tp>
      <tp t="s">
        <v>N</v>
        <stp/>
        <stp>##V3_BDPV12</stp>
        <stp>XS1734547919 CORP</stp>
        <stp>CALLABLE</stp>
        <stp>[BondFloaters.xlsx]FLOATERS!R11C7</stp>
        <tr r="G11" s="1"/>
      </tp>
      <tp t="s">
        <v>N</v>
        <stp/>
        <stp>##V3_BDPV12</stp>
        <stp>FR0013054020 CORP</stp>
        <stp>ZERO_CPN</stp>
        <stp>[BondFloaters.xlsx]FLOATERS!R26C8</stp>
        <tr r="H26" s="1"/>
      </tp>
      <tp t="s">
        <v>N</v>
        <stp/>
        <stp>##V3_BDPV12</stp>
        <stp>XS1212467911 CORP</stp>
        <stp>CALLABLE</stp>
        <stp>[BondFloaters.xlsx]FLOATERS!R57C7</stp>
        <tr r="G57" s="1"/>
      </tp>
      <tp t="s">
        <v>N</v>
        <stp/>
        <stp>##V3_BDPV12</stp>
        <stp>FR0013330107 CORP</stp>
        <stp>ZERO_CPN</stp>
        <stp>[BondFloaters.xlsx]FLOATERS!R87C8</stp>
        <tr r="H87" s="1"/>
      </tp>
      <tp t="s">
        <v>N</v>
        <stp/>
        <stp>##V3_BDPV12</stp>
        <stp>XS1107266782 CORP</stp>
        <stp>ZERO_CPN</stp>
        <stp>[BondFloaters.xlsx]FLOATERS!R74C8</stp>
        <tr r="H74" s="1"/>
      </tp>
      <tp t="s">
        <v>#N/A N/A</v>
        <stp/>
        <stp>##V3_BDPV12</stp>
        <stp>BE6276038419 CORP</stp>
        <stp>YAS_FLOATER_ASSUMED_RATE</stp>
        <stp>[BondFloaters.xlsx]FLOATERS!R86C23</stp>
        <tr r="W86" s="1"/>
      </tp>
      <tp>
        <v>-0.311</v>
        <stp/>
        <stp>##V3_BDPV12</stp>
        <stp>XS1806435324 CORP</stp>
        <stp>YAS_FLOATER_ASSUMED_RATE</stp>
        <stp>[BondFloaters.xlsx]FLOATERS!R34C23</stp>
        <tr r="W34" s="1"/>
      </tp>
      <tp t="s">
        <v>12/02/2018</v>
        <stp/>
        <stp>##V3_BDPV12</stp>
        <stp>XS1771768188 CORP</stp>
        <stp>ISSUE_DT</stp>
        <stp>[BondFloaters.xlsx]FLOATERS!R113C11</stp>
        <tr r="K113" s="1"/>
      </tp>
      <tp t="s">
        <v>15/04/2014</v>
        <stp/>
        <stp>##V3_BDPV12</stp>
        <stp>XS1057486471 CORP</stp>
        <stp>ISSUE_DT</stp>
        <stp>[BondFloaters.xlsx]FLOATERS!R131C11</stp>
        <tr r="K131" s="1"/>
      </tp>
      <tp t="s">
        <v>#N/A N/A</v>
        <stp/>
        <stp>##V3_BDPV12</stp>
        <stp>XS1554462421 CORP</stp>
        <stp>YAS_FLOATER_ASSUMED_RATE</stp>
        <stp>[BondFloaters.xlsx]FLOATERS!R49C23</stp>
        <tr r="W49" s="1"/>
      </tp>
      <tp>
        <v>-0.311</v>
        <stp/>
        <stp>##V3_BDPV12</stp>
        <stp>FR0013221652 CORP</stp>
        <stp>YAS_FLOATER_ASSUMED_RATE</stp>
        <stp>[BondFloaters.xlsx]FLOATERS!R98C23</stp>
        <tr r="W98" s="1"/>
      </tp>
      <tp>
        <v>-0.311</v>
        <stp/>
        <stp>##V3_BDPV12</stp>
        <stp>XS1609252645 CORP</stp>
        <stp>YAS_FLOATER_ASSUMED_RATE</stp>
        <stp>[BondFloaters.xlsx]FLOATERS!R24C23</stp>
        <tr r="W24" s="1"/>
      </tp>
      <tp>
        <v>-0.311</v>
        <stp/>
        <stp>##V3_BDPV12</stp>
        <stp>XS1078028864 CORP</stp>
        <stp>YAS_FLOATER_ASSUMED_RATE</stp>
        <stp>[BondFloaters.xlsx]FLOATERS!R41C23</stp>
        <tr r="W41" s="1"/>
      </tp>
      <tp>
        <v>-0.311</v>
        <stp/>
        <stp>##V3_BDPV12</stp>
        <stp>XS1139316555 CORP</stp>
        <stp>YAS_FLOATER_ASSUMED_RATE</stp>
        <stp>[BondFloaters.xlsx]FLOATERS!R78C23</stp>
        <tr r="W78" s="1"/>
      </tp>
      <tp t="s">
        <v>14/05/2015</v>
        <stp/>
        <stp>##V3_BDPV12</stp>
        <stp>XS1230926609 CORP</stp>
        <stp>ISSUE_DT</stp>
        <stp>[BondFloaters.xlsx]FLOATERS!R126C11</stp>
        <tr r="K126" s="1"/>
      </tp>
      <tp>
        <v>-0.311</v>
        <stp/>
        <stp>##V3_BDPV12</stp>
        <stp>FR0013322146 CORP</stp>
        <stp>YAS_FLOATER_ASSUMED_RATE</stp>
        <stp>[BondFloaters.xlsx]FLOATERS!R95C23</stp>
        <tr r="W95" s="1"/>
      </tp>
      <tp>
        <v>-0.311</v>
        <stp/>
        <stp>##V3_BDPV12</stp>
        <stp>XS1190623907 CORP</stp>
        <stp>YAS_FLOATER_ASSUMED_RATE</stp>
        <stp>[BondFloaters.xlsx]FLOATERS!R59C23</stp>
        <tr r="W59" s="1"/>
      </tp>
      <tp t="s">
        <v>15/09/2020</v>
        <stp/>
        <stp>##V3_BDPV12</stp>
        <stp>XS1683495052 CORP</stp>
        <stp>MATURITY</stp>
        <stp>[BondFloaters.xlsx]FLOATERS!R117C18</stp>
        <tr r="R117" s="1"/>
      </tp>
      <tp t="s">
        <v>15/09/2020</v>
        <stp/>
        <stp>##V3_BDPV12</stp>
        <stp>XS1683495052 CORP</stp>
        <stp>MATURITY</stp>
        <stp>[BondFloaters.xlsx]FLOATERS!R117C15</stp>
        <tr r="O117" s="1"/>
      </tp>
      <tp t="s">
        <v>19/03/2021</v>
        <stp/>
        <stp>##V3_BDPV12</stp>
        <stp>XS1787517199 CORP</stp>
        <stp>MATURITY</stp>
        <stp>[BondFloaters.xlsx]FLOATERS!R81C18</stp>
        <tr r="R81" s="1"/>
      </tp>
      <tp t="s">
        <v>19/03/2021</v>
        <stp/>
        <stp>##V3_BDPV12</stp>
        <stp>XS1787517199 CORP</stp>
        <stp>MATURITY</stp>
        <stp>[BondFloaters.xlsx]FLOATERS!R81C15</stp>
        <tr r="O81" s="1"/>
      </tp>
      <tp t="s">
        <v>11/09/2019</v>
        <stp/>
        <stp>##V3_BDPV12</stp>
        <stp>XS1679028479 CORP</stp>
        <stp>MATURITY</stp>
        <stp>[BondFloaters.xlsx]FLOATERS!R119C15</stp>
        <tr r="O119" s="1"/>
      </tp>
      <tp t="s">
        <v>11/09/2019</v>
        <stp/>
        <stp>##V3_BDPV12</stp>
        <stp>XS1679028479 CORP</stp>
        <stp>MATURITY</stp>
        <stp>[BondFloaters.xlsx]FLOATERS!R119C18</stp>
        <tr r="R119" s="1"/>
      </tp>
      <tp t="s">
        <v>24/06/2019</v>
        <stp/>
        <stp>##V3_BDPV12</stp>
        <stp>XS1249494086 CORP</stp>
        <stp>MATURITY</stp>
        <stp>[BondFloaters.xlsx]FLOATERS!R50C18</stp>
        <tr r="R50" s="1"/>
      </tp>
      <tp t="s">
        <v>24/06/2019</v>
        <stp/>
        <stp>##V3_BDPV12</stp>
        <stp>XS1249494086 CORP</stp>
        <stp>MATURITY</stp>
        <stp>[BondFloaters.xlsx]FLOATERS!R50C15</stp>
        <tr r="O50" s="1"/>
      </tp>
      <tp t="s">
        <v>23/07/2020</v>
        <stp/>
        <stp>##V3_BDPV12</stp>
        <stp>XS1089831249 CORP</stp>
        <stp>MATURITY</stp>
        <stp>[BondFloaters.xlsx]FLOATERS!R56C15</stp>
        <tr r="O56" s="1"/>
      </tp>
      <tp t="s">
        <v>23/07/2020</v>
        <stp/>
        <stp>##V3_BDPV12</stp>
        <stp>XS1089831249 CORP</stp>
        <stp>MATURITY</stp>
        <stp>[BondFloaters.xlsx]FLOATERS!R56C18</stp>
        <tr r="R56" s="1"/>
      </tp>
      <tp t="s">
        <v>15/07/2019</v>
        <stp/>
        <stp>##V3_BDPV12</stp>
        <stp>XS1363560548 CORP</stp>
        <stp>MATURITY</stp>
        <stp>[BondFloaters.xlsx]FLOATERS!R133C18</stp>
        <tr r="R133" s="1"/>
      </tp>
      <tp t="s">
        <v>15/07/2019</v>
        <stp/>
        <stp>##V3_BDPV12</stp>
        <stp>XS1363560548 CORP</stp>
        <stp>MATURITY</stp>
        <stp>[BondFloaters.xlsx]FLOATERS!R133C15</stp>
        <tr r="O133" s="1"/>
      </tp>
      <tp t="s">
        <v>15/09/2019</v>
        <stp/>
        <stp>##V3_BDPV12</stp>
        <stp>XS1292468987 CORP</stp>
        <stp>MATURITY</stp>
        <stp>[BondFloaters.xlsx]FLOATERS!R18C18</stp>
        <tr r="R18" s="1"/>
      </tp>
      <tp t="s">
        <v>15/09/2019</v>
        <stp/>
        <stp>##V3_BDPV12</stp>
        <stp>XS1292468987 CORP</stp>
        <stp>MATURITY</stp>
        <stp>[BondFloaters.xlsx]FLOATERS!R18C15</stp>
        <tr r="O18" s="1"/>
      </tp>
      <tp t="s">
        <v>06/07/2019</v>
        <stp/>
        <stp>##V3_BDPV12</stp>
        <stp>XS1642545690 CORP</stp>
        <stp>MATURITY</stp>
        <stp>[BondFloaters.xlsx]FLOATERS!R76C18</stp>
        <tr r="R76" s="1"/>
      </tp>
      <tp t="s">
        <v>06/07/2019</v>
        <stp/>
        <stp>##V3_BDPV12</stp>
        <stp>XS1642545690 CORP</stp>
        <stp>MATURITY</stp>
        <stp>[BondFloaters.xlsx]FLOATERS!R76C15</stp>
        <tr r="O76" s="1"/>
      </tp>
      <tp t="s">
        <v>21/10/2019</v>
        <stp/>
        <stp>##V3_BDPV12</stp>
        <stp>XS1301773799 CORP</stp>
        <stp>MATURITY</stp>
        <stp>[BondFloaters.xlsx]FLOATERS!R114C18</stp>
        <tr r="R114" s="1"/>
      </tp>
      <tp t="s">
        <v>21/10/2019</v>
        <stp/>
        <stp>##V3_BDPV12</stp>
        <stp>XS1301773799 CORP</stp>
        <stp>MATURITY</stp>
        <stp>[BondFloaters.xlsx]FLOATERS!R114C15</stp>
        <tr r="O114" s="1"/>
      </tp>
      <tp t="s">
        <v>13/11/2019</v>
        <stp/>
        <stp>##V3_BDPV12</stp>
        <stp>XS1715323298 CORP</stp>
        <stp>MATURITY</stp>
        <stp>[BondFloaters.xlsx]FLOATERS!R111C18</stp>
        <tr r="R111" s="1"/>
      </tp>
      <tp t="s">
        <v>13/11/2019</v>
        <stp/>
        <stp>##V3_BDPV12</stp>
        <stp>XS1715323298 CORP</stp>
        <stp>MATURITY</stp>
        <stp>[BondFloaters.xlsx]FLOATERS!R111C15</stp>
        <tr r="O111" s="1"/>
      </tp>
      <tp t="s">
        <v>26/03/2022</v>
        <stp/>
        <stp>##V3_BDPV12</stp>
        <stp>XS1792505197 CORP</stp>
        <stp>MATURITY</stp>
        <stp>[BondFloaters.xlsx]FLOATERS!R96C18</stp>
        <tr r="R96" s="1"/>
      </tp>
      <tp t="s">
        <v>15/11/2019</v>
        <stp/>
        <stp>##V3_BDPV12</stp>
        <stp>XS1718416586 CORP</stp>
        <stp>MATURITY</stp>
        <stp>[BondFloaters.xlsx]FLOATERS!R54C18</stp>
        <tr r="R54" s="1"/>
      </tp>
      <tp t="s">
        <v>15/11/2019</v>
        <stp/>
        <stp>##V3_BDPV12</stp>
        <stp>XS1718416586 CORP</stp>
        <stp>MATURITY</stp>
        <stp>[BondFloaters.xlsx]FLOATERS!R54C15</stp>
        <tr r="O54" s="1"/>
      </tp>
      <tp t="s">
        <v>26/03/2022</v>
        <stp/>
        <stp>##V3_BDPV12</stp>
        <stp>XS1792505197 CORP</stp>
        <stp>MATURITY</stp>
        <stp>[BondFloaters.xlsx]FLOATERS!R96C15</stp>
        <tr r="O96" s="1"/>
      </tp>
      <tp>
        <v>35</v>
        <stp/>
        <stp>##V3_BDPV12</stp>
        <stp>XS1586555515 CORP</stp>
        <stp>FLT_SPREAD</stp>
        <stp>[BondFloaters.xlsx]FLOATERS!R53C26</stp>
        <tr r="Z53" s="1"/>
      </tp>
      <tp>
        <v>35</v>
        <stp/>
        <stp>##V3_BDPV12</stp>
        <stp>XS1586555515 CORP</stp>
        <stp>FLT_SPREAD</stp>
        <stp>[BondFloaters.xlsx]FLOATERS!R53C17</stp>
        <tr r="Q53" s="1"/>
      </tp>
      <tp t="s">
        <v>N</v>
        <stp/>
        <stp>##V3_BDPV12</stp>
        <stp>XS1381690574 CORP</stp>
        <stp>CALLABLE</stp>
        <stp>[BondFloaters.xlsx]FLOATERS!R89C7</stp>
        <tr r="G89" s="1"/>
      </tp>
      <tp t="s">
        <v>DAIGR F 01/12/19 EMTn</v>
        <stp/>
        <stp>##V3_BDPV12</stp>
        <stp>DE000A169GZ7 CORP</stp>
        <stp>ID_BB_SEC_NUM_DES</stp>
        <stp>[BondFloaters.xlsx]FLOATERS!R42C9</stp>
        <tr r="I42" s="1"/>
      </tp>
      <tp t="s">
        <v>N</v>
        <stp/>
        <stp>##V3_BDPV12</stp>
        <stp>XS1823165631 CORP</stp>
        <stp>ZERO_CPN</stp>
        <stp>[BondFloaters.xlsx]FLOATERS!R70C8</stp>
        <tr r="H70" s="1"/>
      </tp>
      <tp t="s">
        <v>N</v>
        <stp/>
        <stp>##V3_BDPV12</stp>
        <stp>FR0013250685 CORP</stp>
        <stp>CALLABLE</stp>
        <stp>[BondFloaters.xlsx]FLOATERS!R29C7</stp>
        <tr r="G29" s="1"/>
      </tp>
      <tp t="s">
        <v>N</v>
        <stp/>
        <stp>##V3_BDPV12</stp>
        <stp>XS1792505197 CORP</stp>
        <stp>ZERO_CPN</stp>
        <stp>[BondFloaters.xlsx]FLOATERS!R96C8</stp>
        <tr r="H96" s="1"/>
      </tp>
      <tp t="s">
        <v>N</v>
        <stp/>
        <stp>##V3_BDPV12</stp>
        <stp>XS1821814800 CORP</stp>
        <stp>CALLABLE</stp>
        <stp>[BondFloaters.xlsx]FLOATERS!R84C7</stp>
        <tr r="G84" s="1"/>
      </tp>
      <tp t="s">
        <v>N</v>
        <stp/>
        <stp>##V3_BDPV12</stp>
        <stp>XS1485660895 CORP</stp>
        <stp>ZERO_CPN</stp>
        <stp>[BondFloaters.xlsx]FLOATERS!R58C8</stp>
        <tr r="H58" s="1"/>
      </tp>
      <tp t="s">
        <v>BMW F 03/18/19 EMTN</v>
        <stp/>
        <stp>##V3_BDPV12</stp>
        <stp>DE000A1Z6M04 CORP</stp>
        <stp>ID_BB_SEC_NUM_DES</stp>
        <stp>[BondFloaters.xlsx]FLOATERS!R129C9</stp>
        <tr r="I129" s="1"/>
      </tp>
      <tp t="s">
        <v>N</v>
        <stp/>
        <stp>##V3_BDPV12</stp>
        <stp>XS1089831249 CORP</stp>
        <stp>CALLABLE</stp>
        <stp>[BondFloaters.xlsx]FLOATERS!R56C7</stp>
        <tr r="G56" s="1"/>
      </tp>
      <tp t="s">
        <v>N</v>
        <stp/>
        <stp>##V3_BDPV12</stp>
        <stp>FR0013260486 CORP</stp>
        <stp>ZERO_CPN</stp>
        <stp>[BondFloaters.xlsx]FLOATERS!R63C8</stp>
        <tr r="H63" s="1"/>
      </tp>
      <tp t="s">
        <v>N</v>
        <stp/>
        <stp>##V3_BDPV12</stp>
        <stp>DE000A19RXA1 CORP</stp>
        <stp>CALLABLE</stp>
        <stp>[BondFloaters.xlsx]FLOATERS!R62C7</stp>
        <tr r="G62" s="1"/>
      </tp>
      <tp>
        <v>-0.311</v>
        <stp/>
        <stp>##V3_BDPV12</stp>
        <stp>BE6285450449 CORP</stp>
        <stp>YAS_FLOATER_ASSUMED_RATE</stp>
        <stp>[BondFloaters.xlsx]FLOATERS!R37C23</stp>
        <tr r="W37" s="1"/>
      </tp>
      <tp>
        <v>-0.311</v>
        <stp/>
        <stp>##V3_BDPV12</stp>
        <stp>XS1828028677 CORP</stp>
        <stp>YAS_FLOATER_ASSUMED_RATE</stp>
        <stp>[BondFloaters.xlsx]FLOATERS!R45C23</stp>
        <tr r="W45" s="1"/>
      </tp>
      <tp>
        <v>-0.311</v>
        <stp/>
        <stp>##V3_BDPV12</stp>
        <stp>XS1234366448 CORP</stp>
        <stp>YAS_FLOATER_ASSUMED_RATE</stp>
        <stp>[BondFloaters.xlsx]FLOATERS!R52C23</stp>
        <tr r="W52" s="1"/>
      </tp>
      <tp t="s">
        <v>13/12/2017</v>
        <stp/>
        <stp>##V3_BDPV12</stp>
        <stp>XS1712180477 CORP</stp>
        <stp>ISSUE_DT</stp>
        <stp>[BondFloaters.xlsx]FLOATERS!R137C11</stp>
        <tr r="K137" s="1"/>
      </tp>
      <tp t="s">
        <v>21/05/2018</v>
        <stp/>
        <stp>##V3_BDPV12</stp>
        <stp>XS1822824642 CORP</stp>
        <stp>ISSUE_DT</stp>
        <stp>[BondFloaters.xlsx]FLOATERS!R116C11</stp>
        <tr r="K116" s="1"/>
      </tp>
      <tp>
        <v>-0.311</v>
        <stp/>
        <stp>##V3_BDPV12</stp>
        <stp>FR0013266343 CORP</stp>
        <stp>YAS_FLOATER_ASSUMED_RATE</stp>
        <stp>[BondFloaters.xlsx]FLOATERS!R91C23</stp>
        <tr r="W91" s="1"/>
      </tp>
      <tp>
        <v>48</v>
        <stp/>
        <stp>##V3_BDPV12</stp>
        <stp>XS1046499981 CORP</stp>
        <stp>FLT_SPREAD</stp>
        <stp>[BondFloaters.xlsx]FLOATERS!R9C17</stp>
        <tr r="Q9" s="1"/>
      </tp>
      <tp>
        <v>48</v>
        <stp/>
        <stp>##V3_BDPV12</stp>
        <stp>XS1046499981 CORP</stp>
        <stp>FLT_SPREAD</stp>
        <stp>[BondFloaters.xlsx]FLOATERS!R9C26</stp>
        <tr r="Z9" s="1"/>
      </tp>
      <tp t="s">
        <v>26/08/2020</v>
        <stp/>
        <stp>##V3_BDPV12</stp>
        <stp>XS1590503279 CORP</stp>
        <stp>MATURITY</stp>
        <stp>[BondFloaters.xlsx]FLOATERS!R100C18</stp>
        <tr r="R100" s="1"/>
      </tp>
      <tp t="s">
        <v>26/08/2020</v>
        <stp/>
        <stp>##V3_BDPV12</stp>
        <stp>XS1590503279 CORP</stp>
        <stp>MATURITY</stp>
        <stp>[BondFloaters.xlsx]FLOATERS!R100C15</stp>
        <tr r="O100" s="1"/>
      </tp>
      <tp t="s">
        <v>01/12/2021</v>
        <stp/>
        <stp>##V3_BDPV12</stp>
        <stp>XS1729872652 CORP</stp>
        <stp>MATURITY</stp>
        <stp>[BondFloaters.xlsx]FLOATERS!R80C15</stp>
        <tr r="O80" s="1"/>
      </tp>
      <tp t="s">
        <v>01/12/2021</v>
        <stp/>
        <stp>##V3_BDPV12</stp>
        <stp>XS1729872652 CORP</stp>
        <stp>MATURITY</stp>
        <stp>[BondFloaters.xlsx]FLOATERS!R80C18</stp>
        <tr r="R80" s="1"/>
      </tp>
      <tp t="s">
        <v>01/07/2019</v>
        <stp/>
        <stp>##V3_BDPV12</stp>
        <stp>XS1082839553 CORP</stp>
        <stp>MATURITY</stp>
        <stp>[BondFloaters.xlsx]FLOATERS!R61C18</stp>
        <tr r="R61" s="1"/>
      </tp>
      <tp t="s">
        <v>01/07/2019</v>
        <stp/>
        <stp>##V3_BDPV12</stp>
        <stp>XS1082839553 CORP</stp>
        <stp>MATURITY</stp>
        <stp>[BondFloaters.xlsx]FLOATERS!R61C15</stp>
        <tr r="O61" s="1"/>
      </tp>
      <tp>
        <v>35</v>
        <stp/>
        <stp>##V3_BDPV12</stp>
        <stp>XS1398275112 CORP</stp>
        <stp>FLT_SPREAD</stp>
        <stp>[BondFloaters.xlsx]FLOATERS!R16C17</stp>
        <tr r="Q16" s="1"/>
      </tp>
      <tp>
        <v>35</v>
        <stp/>
        <stp>##V3_BDPV12</stp>
        <stp>XS1398275112 CORP</stp>
        <stp>FLT_SPREAD</stp>
        <stp>[BondFloaters.xlsx]FLOATERS!R16C26</stp>
        <tr r="Z16" s="1"/>
      </tp>
      <tp>
        <v>55</v>
        <stp/>
        <stp>##V3_BDPV12</stp>
        <stp>XS1792505197 CORP</stp>
        <stp>FLT_SPREAD</stp>
        <stp>[BondFloaters.xlsx]FLOATERS!R96C26</stp>
        <tr r="Z96" s="1"/>
      </tp>
      <tp>
        <v>45</v>
        <stp/>
        <stp>##V3_BDPV12</stp>
        <stp>XS1794195724 CORP</stp>
        <stp>FLT_SPREAD</stp>
        <stp>[BondFloaters.xlsx]FLOATERS!R12C26</stp>
        <tr r="Z12" s="1"/>
      </tp>
      <tp>
        <v>40</v>
        <stp/>
        <stp>##V3_BDPV12</stp>
        <stp>XS1756669740 CORP</stp>
        <stp>FLT_SPREAD</stp>
        <stp>[BondFloaters.xlsx]FLOATERS!R72C17</stp>
        <tr r="Q72" s="1"/>
      </tp>
      <tp>
        <v>40</v>
        <stp/>
        <stp>##V3_BDPV12</stp>
        <stp>XS1756669740 CORP</stp>
        <stp>FLT_SPREAD</stp>
        <stp>[BondFloaters.xlsx]FLOATERS!R72C26</stp>
        <tr r="Z72" s="1"/>
      </tp>
      <tp>
        <v>55</v>
        <stp/>
        <stp>##V3_BDPV12</stp>
        <stp>XS1792505197 CORP</stp>
        <stp>FLT_SPREAD</stp>
        <stp>[BondFloaters.xlsx]FLOATERS!R96C17</stp>
        <tr r="Q96" s="1"/>
      </tp>
      <tp>
        <v>45</v>
        <stp/>
        <stp>##V3_BDPV12</stp>
        <stp>XS1794195724 CORP</stp>
        <stp>FLT_SPREAD</stp>
        <stp>[BondFloaters.xlsx]FLOATERS!R12C17</stp>
        <tr r="Q12" s="1"/>
      </tp>
      <tp t="s">
        <v>N</v>
        <stp/>
        <stp>##V3_BDPV12</stp>
        <stp>XS1671754650 CORP</stp>
        <stp>CALLABLE</stp>
        <stp>[BondFloaters.xlsx]FLOATERS!R19C7</stp>
        <tr r="G19" s="1"/>
      </tp>
      <tp t="s">
        <v>N</v>
        <stp/>
        <stp>##V3_BDPV12</stp>
        <stp>FR0011884899 CORP</stp>
        <stp>CALLABLE</stp>
        <stp>[BondFloaters.xlsx]FLOATERS!R66C7</stp>
        <tr r="G66" s="1"/>
      </tp>
      <tp t="s">
        <v>N</v>
        <stp/>
        <stp>##V3_BDPV12</stp>
        <stp>XS1612940988 CORP</stp>
        <stp>CALLABLE</stp>
        <stp>[BondFloaters.xlsx]FLOATERS!R35C7</stp>
        <tr r="G35" s="1"/>
      </tp>
      <tp t="s">
        <v>N</v>
        <stp/>
        <stp>##V3_BDPV12</stp>
        <stp>FR0013322146 CORP</stp>
        <stp>ZERO_CPN</stp>
        <stp>[BondFloaters.xlsx]FLOATERS!R95C8</stp>
        <tr r="H95" s="1"/>
      </tp>
      <tp t="s">
        <v>N</v>
        <stp/>
        <stp>##V3_BDPV12</stp>
        <stp>XS1108681625 CORP</stp>
        <stp>CALLABLE</stp>
        <stp>[BondFloaters.xlsx]FLOATERS!R40C7</stp>
        <tr r="G40" s="1"/>
      </tp>
      <tp t="s">
        <v>N</v>
        <stp/>
        <stp>##V3_BDPV12</stp>
        <stp>XS1082839553 CORP</stp>
        <stp>ZERO_CPN</stp>
        <stp>[BondFloaters.xlsx]FLOATERS!R61C8</stp>
        <tr r="H61" s="1"/>
      </tp>
      <tp t="s">
        <v>N</v>
        <stp/>
        <stp>##V3_BDPV12</stp>
        <stp>XS1144084099 CORP</stp>
        <stp>ZERO_CPN</stp>
        <stp>[BondFloaters.xlsx]FLOATERS!R82C8</stp>
        <tr r="H82" s="1"/>
      </tp>
      <tp t="s">
        <v>N</v>
        <stp/>
        <stp>##V3_BDPV12</stp>
        <stp>XS1319814817 CORP</stp>
        <stp>ZERO_CPN</stp>
        <stp>[BondFloaters.xlsx]FLOATERS!R77C8</stp>
        <tr r="H77" s="1"/>
      </tp>
      <tp t="s">
        <v>N</v>
        <stp/>
        <stp>##V3_BDPV12</stp>
        <stp>XS1599109896 CORP</stp>
        <stp>ZERO_CPN</stp>
        <stp>[BondFloaters.xlsx]FLOATERS!R97C8</stp>
        <tr r="H97" s="1"/>
      </tp>
      <tp t="s">
        <v>N</v>
        <stp/>
        <stp>##V3_BDPV12</stp>
        <stp>XS1197832832 CORP</stp>
        <stp>ZERO_CPN</stp>
        <stp>[BondFloaters.xlsx]FLOATERS!R39C8</stp>
        <tr r="H39" s="1"/>
      </tp>
      <tp t="s">
        <v>N</v>
        <stp/>
        <stp>##V3_BDPV12</stp>
        <stp>XS1729872736 CORP</stp>
        <stp>ZERO_CPN</stp>
        <stp>[BondFloaters.xlsx]FLOATERS!R88C8</stp>
        <tr r="H88" s="1"/>
      </tp>
      <tp>
        <v>-0.311</v>
        <stp/>
        <stp>##V3_BDPV12</stp>
        <stp>XS1734547919 CORP</stp>
        <stp>YAS_FLOATER_ASSUMED_RATE</stp>
        <stp>[BondFloaters.xlsx]FLOATERS!R11C23</stp>
        <tr r="W11" s="1"/>
      </tp>
      <tp>
        <v>-0.311</v>
        <stp/>
        <stp>##V3_BDPV12</stp>
        <stp>FR0013241379 CORP</stp>
        <stp>YAS_FLOATER_ASSUMED_RATE</stp>
        <stp>[BondFloaters.xlsx]FLOATERS!R38C23</stp>
        <tr r="W38" s="1"/>
      </tp>
      <tp>
        <v>-0.311</v>
        <stp/>
        <stp>##V3_BDPV12</stp>
        <stp>XS1108681625 CORP</stp>
        <stp>YAS_FLOATER_ASSUMED_RATE</stp>
        <stp>[BondFloaters.xlsx]FLOATERS!R40C23</stp>
        <tr r="W40" s="1"/>
      </tp>
      <tp t="s">
        <v>20/03/2015</v>
        <stp/>
        <stp>##V3_BDPV12</stp>
        <stp>XS1206712868 CORP</stp>
        <stp>ISSUE_DT</stp>
        <stp>[BondFloaters.xlsx]FLOATERS!R118C11</stp>
        <tr r="K118" s="1"/>
      </tp>
      <tp t="s">
        <v>15/05/2018</v>
        <stp/>
        <stp>##V3_BDPV12</stp>
        <stp>XS1821814982 CORP</stp>
        <stp>ISSUE_DT</stp>
        <stp>[BondFloaters.xlsx]FLOATERS!R102C11</stp>
        <tr r="K102" s="1"/>
      </tp>
      <tp>
        <v>-0.311</v>
        <stp/>
        <stp>##V3_BDPV12</stp>
        <stp>XS1705553417 CORP</stp>
        <stp>YAS_FLOATER_ASSUMED_RATE</stp>
        <stp>[BondFloaters.xlsx]FLOATERS!R85C23</stp>
        <tr r="W85" s="1"/>
      </tp>
      <tp>
        <v>-0.311</v>
        <stp/>
        <stp>##V3_BDPV12</stp>
        <stp>XS1586555515 CORP</stp>
        <stp>YAS_FLOATER_ASSUMED_RATE</stp>
        <stp>[BondFloaters.xlsx]FLOATERS!R53C23</stp>
        <tr r="W53" s="1"/>
      </tp>
      <tp t="s">
        <v>20/07/2018</v>
        <stp/>
        <stp>##V3_BDPV12</stp>
        <stp>XS1171489476 CORP</stp>
        <stp>MATURITY</stp>
        <stp>[BondFloaters.xlsx]FLOATERS!R101C18</stp>
        <tr r="R101" s="1"/>
      </tp>
      <tp t="s">
        <v>20/07/2018</v>
        <stp/>
        <stp>##V3_BDPV12</stp>
        <stp>XS1171489476 CORP</stp>
        <stp>MATURITY</stp>
        <stp>[BondFloaters.xlsx]FLOATERS!R101C15</stp>
        <tr r="O101" s="1"/>
      </tp>
      <tp t="s">
        <v>03/04/2020</v>
        <stp/>
        <stp>##V3_BDPV12</stp>
        <stp>XS1382791892 CORP</stp>
        <stp>MATURITY</stp>
        <stp>[BondFloaters.xlsx]FLOATERS!R30C15</stp>
        <tr r="O30" s="1"/>
      </tp>
      <tp t="s">
        <v>03/04/2020</v>
        <stp/>
        <stp>##V3_BDPV12</stp>
        <stp>XS1382791892 CORP</stp>
        <stp>MATURITY</stp>
        <stp>[BondFloaters.xlsx]FLOATERS!R30C18</stp>
        <tr r="R30" s="1"/>
      </tp>
      <tp t="s">
        <v>27/11/2020</v>
        <stp/>
        <stp>##V3_BDPV12</stp>
        <stp>XS1723613581 CORP</stp>
        <stp>MATURITY</stp>
        <stp>[BondFloaters.xlsx]FLOATERS!R75C18</stp>
        <tr r="R75" s="1"/>
      </tp>
      <tp t="s">
        <v>27/11/2020</v>
        <stp/>
        <stp>##V3_BDPV12</stp>
        <stp>XS1723613581 CORP</stp>
        <stp>MATURITY</stp>
        <stp>[BondFloaters.xlsx]FLOATERS!R75C15</stp>
        <tr r="O75" s="1"/>
      </tp>
      <tp t="s">
        <v>29/06/2020</v>
        <stp/>
        <stp>##V3_BDPV12</stp>
        <stp>XS1635905570 CORP</stp>
        <stp>MATURITY</stp>
        <stp>[BondFloaters.xlsx]FLOATERS!R79C18</stp>
        <tr r="R79" s="1"/>
      </tp>
      <tp t="s">
        <v>29/06/2020</v>
        <stp/>
        <stp>##V3_BDPV12</stp>
        <stp>XS1635905570 CORP</stp>
        <stp>MATURITY</stp>
        <stp>[BondFloaters.xlsx]FLOATERS!R79C15</stp>
        <tr r="O79" s="1"/>
      </tp>
      <tp t="s">
        <v>08/02/2023</v>
        <stp/>
        <stp>##V3_BDPV12</stp>
        <stp>XS1767087940 CORP</stp>
        <stp>MATURITY</stp>
        <stp>[BondFloaters.xlsx]FLOATERS!R127C15</stp>
        <tr r="O127" s="1"/>
      </tp>
      <tp t="s">
        <v>08/02/2023</v>
        <stp/>
        <stp>##V3_BDPV12</stp>
        <stp>XS1767087940 CORP</stp>
        <stp>MATURITY</stp>
        <stp>[BondFloaters.xlsx]FLOATERS!R127C18</stp>
        <tr r="R127" s="1"/>
      </tp>
      <tp t="s">
        <v>26/06/2022</v>
        <stp/>
        <stp>##V3_BDPV12</stp>
        <stp>XS1840614736 CORP</stp>
        <stp>MATURITY</stp>
        <stp>[BondFloaters.xlsx]FLOATERS!R132C18</stp>
        <tr r="R132" s="1"/>
      </tp>
      <tp t="s">
        <v>26/06/2022</v>
        <stp/>
        <stp>##V3_BDPV12</stp>
        <stp>XS1840614736 CORP</stp>
        <stp>MATURITY</stp>
        <stp>[BondFloaters.xlsx]FLOATERS!R132C15</stp>
        <tr r="O132" s="1"/>
      </tp>
      <tp>
        <v>118</v>
        <stp/>
        <stp>##V3_BDPV12</stp>
        <stp>XS1362349869 CORP</stp>
        <stp>FLT_SPREAD</stp>
        <stp>[BondFloaters.xlsx]FLOATERS!R65C26</stp>
        <tr r="Z65" s="1"/>
      </tp>
      <tp>
        <v>118</v>
        <stp/>
        <stp>##V3_BDPV12</stp>
        <stp>XS1362349869 CORP</stp>
        <stp>FLT_SPREAD</stp>
        <stp>[BondFloaters.xlsx]FLOATERS!R65C17</stp>
        <tr r="Q65" s="1"/>
      </tp>
      <tp>
        <v>50</v>
        <stp/>
        <stp>##V3_BDPV12</stp>
        <stp>XS1078028864 CORP</stp>
        <stp>FLT_SPREAD</stp>
        <stp>[BondFloaters.xlsx]FLOATERS!R41C17</stp>
        <tr r="Q41" s="1"/>
      </tp>
      <tp>
        <v>50</v>
        <stp/>
        <stp>##V3_BDPV12</stp>
        <stp>XS1078028864 CORP</stp>
        <stp>FLT_SPREAD</stp>
        <stp>[BondFloaters.xlsx]FLOATERS!R41C26</stp>
        <tr r="Z41" s="1"/>
      </tp>
      <tp>
        <v>18</v>
        <stp/>
        <stp>##V3_BDPV12</stp>
        <stp>XS1787517199 CORP</stp>
        <stp>FLT_SPREAD</stp>
        <stp>[BondFloaters.xlsx]FLOATERS!R81C26</stp>
        <tr r="Z81" s="1"/>
      </tp>
      <tp>
        <v>27</v>
        <stp/>
        <stp>##V3_BDPV12</stp>
        <stp>XS1692846790 CORP</stp>
        <stp>FLT_SPREAD</stp>
        <stp>[BondFloaters.xlsx]FLOATERS!R94C17</stp>
        <tr r="Q94" s="1"/>
      </tp>
      <tp>
        <v>18</v>
        <stp/>
        <stp>##V3_BDPV12</stp>
        <stp>XS1787517199 CORP</stp>
        <stp>FLT_SPREAD</stp>
        <stp>[BondFloaters.xlsx]FLOATERS!R81C17</stp>
        <tr r="Q81" s="1"/>
      </tp>
      <tp>
        <v>27</v>
        <stp/>
        <stp>##V3_BDPV12</stp>
        <stp>XS1692846790 CORP</stp>
        <stp>FLT_SPREAD</stp>
        <stp>[BondFloaters.xlsx]FLOATERS!R94C26</stp>
        <tr r="Z94" s="1"/>
      </tp>
      <tp t="s">
        <v>N</v>
        <stp/>
        <stp>##V3_BDPV12</stp>
        <stp>XS1637162246 CORP</stp>
        <stp>ZERO_CPN</stp>
        <stp>[BondFloaters.xlsx]FLOATERS!R32C8</stp>
        <tr r="H32" s="1"/>
      </tp>
      <tp t="s">
        <v>N</v>
        <stp/>
        <stp>##V3_BDPV12</stp>
        <stp>XS1398275112 CORP</stp>
        <stp>CALLABLE</stp>
        <stp>[BondFloaters.xlsx]FLOATERS!R16C7</stp>
        <tr r="G16" s="1"/>
      </tp>
      <tp t="s">
        <v>N</v>
        <stp/>
        <stp>##V3_BDPV12</stp>
        <stp>FR0012315133 CORP</stp>
        <stp>ZERO_CPN</stp>
        <stp>[BondFloaters.xlsx]FLOATERS!R55C8</stp>
        <tr r="H55" s="1"/>
      </tp>
      <tp t="s">
        <v>N</v>
        <stp/>
        <stp>##V3_BDPV12</stp>
        <stp>XS1822301039 CORP</stp>
        <stp>ZERO_CPN</stp>
        <stp>[BondFloaters.xlsx]FLOATERS!R15C8</stp>
        <tr r="H15" s="1"/>
      </tp>
      <tp t="s">
        <v>N</v>
        <stp/>
        <stp>##V3_BDPV12</stp>
        <stp>XS1362349869 CORP</stp>
        <stp>CALLABLE</stp>
        <stp>[BondFloaters.xlsx]FLOATERS!R65C7</stp>
        <tr r="G65" s="1"/>
      </tp>
      <tp t="s">
        <v>N</v>
        <stp/>
        <stp>##V3_BDPV12</stp>
        <stp>XS1787517199 CORP</stp>
        <stp>ZERO_CPN</stp>
        <stp>[BondFloaters.xlsx]FLOATERS!R81C8</stp>
        <tr r="H81" s="1"/>
      </tp>
      <tp t="s">
        <v>N</v>
        <stp/>
        <stp>##V3_BDPV12</stp>
        <stp>XS1729872652 CORP</stp>
        <stp>CALLABLE</stp>
        <stp>[BondFloaters.xlsx]FLOATERS!R80C7</stp>
        <tr r="G80" s="1"/>
      </tp>
      <tp t="s">
        <v>N</v>
        <stp/>
        <stp>##V3_BDPV12</stp>
        <stp>FR0013257599 CORP</stp>
        <stp>ZERO_CPN</stp>
        <stp>[BondFloaters.xlsx]FLOATERS!R20C8</stp>
        <tr r="H20" s="1"/>
      </tp>
      <tp>
        <v>-0.311</v>
        <stp/>
        <stp>##V3_BDPV12</stp>
        <stp>XS1782508508 CORP</stp>
        <stp>YAS_FLOATER_ASSUMED_RATE</stp>
        <stp>[BondFloaters.xlsx]FLOATERS!R23C23</stp>
        <tr r="W23" s="1"/>
      </tp>
      <tp t="s">
        <v>#N/A N/A</v>
        <stp/>
        <stp>##V3_BDPV12</stp>
        <stp>XS1362349869 CORP</stp>
        <stp>YAS_FLOATER_ASSUMED_RATE</stp>
        <stp>[BondFloaters.xlsx]FLOATERS!R65C23</stp>
        <tr r="W65" s="1"/>
      </tp>
      <tp t="s">
        <v>N</v>
        <stp/>
        <stp>##V3_BDPV12</stp>
        <stp>DE000A185WC9 CORP</stp>
        <stp>ZERO_CPN</stp>
        <stp>[BondFloaters.xlsx]FLOATERS!R47C8</stp>
        <tr r="H47" s="1"/>
      </tp>
      <tp>
        <v>2.8036300000000001</v>
        <stp/>
        <stp>##V3_BDPV12</stp>
        <stp>XS1033649739 CORP</stp>
        <stp>YAS_FLOATER_ASSUMED_RATE</stp>
        <stp>[BondFloaters.xlsx]FLOATERS!R44C23</stp>
        <tr r="W44" s="1"/>
      </tp>
      <tp>
        <v>-0.311</v>
        <stp/>
        <stp>##V3_BDPV12</stp>
        <stp>XS1619284372 CORP</stp>
        <stp>YAS_FLOATER_ASSUMED_RATE</stp>
        <stp>[BondFloaters.xlsx]FLOATERS!R68C23</stp>
        <tr r="W68" s="1"/>
      </tp>
      <tp t="s">
        <v>06/07/2017</v>
        <stp/>
        <stp>##V3_BDPV12</stp>
        <stp>XS1642546078 CORP</stp>
        <stp>ISSUE_DT</stp>
        <stp>[BondFloaters.xlsx]FLOATERS!R107C11</stp>
        <tr r="K107" s="1"/>
      </tp>
      <tp>
        <v>-0.311</v>
        <stp/>
        <stp>##V3_BDPV12</stp>
        <stp>XS1725668633 CORP</stp>
        <stp>YAS_FLOATER_ASSUMED_RATE</stp>
        <stp>[BondFloaters.xlsx]FLOATERS!R17C23</stp>
        <tr r="W17" s="1"/>
      </tp>
      <tp>
        <v>-0.311</v>
        <stp/>
        <stp>##V3_BDPV12</stp>
        <stp>XS1574156540 CORP</stp>
        <stp>YAS_FLOATER_ASSUMED_RATE</stp>
        <stp>[BondFloaters.xlsx]FLOATERS!R90C23</stp>
        <tr r="W90" s="1"/>
      </tp>
      <tp>
        <v>-0.311</v>
        <stp/>
        <stp>##V3_BDPV12</stp>
        <stp>FR0012432904 CORP</stp>
        <stp>YAS_FLOATER_ASSUMED_RATE</stp>
        <stp>[BondFloaters.xlsx]FLOATERS!R48C23</stp>
        <tr r="W48" s="1"/>
      </tp>
      <tp t="s">
        <v>15/03/2017</v>
        <stp/>
        <stp>##V3_BDPV12</stp>
        <stp>XS1577870808 CORP</stp>
        <stp>ISSUE_DT</stp>
        <stp>[BondFloaters.xlsx]FLOATERS!R138C11</stp>
        <tr r="K138" s="1"/>
      </tp>
      <tp>
        <v>-0.311</v>
        <stp/>
        <stp>##V3_BDPV12</stp>
        <stp>XS1637162246 CORP</stp>
        <stp>YAS_FLOATER_ASSUMED_RATE</stp>
        <stp>[BondFloaters.xlsx]FLOATERS!R32C23</stp>
        <tr r="W32" s="1"/>
      </tp>
      <tp>
        <v>-0.311</v>
        <stp/>
        <stp>##V3_BDPV12</stp>
        <stp>XS1292513105 CORP</stp>
        <stp>YAS_FLOATER_ASSUMED_RATE</stp>
        <stp>[BondFloaters.xlsx]FLOATERS!R69C23</stp>
        <tr r="W69" s="1"/>
      </tp>
      <tp t="s">
        <v>#N/A N/A</v>
        <stp/>
        <stp>##V3_BDPV12</stp>
        <stp>FR0012146751 CORP</stp>
        <stp>YAS_FLOATER_ASSUMED_RATE</stp>
        <stp>[BondFloaters.xlsx]FLOATERS!R67C23</stp>
        <tr r="W67" s="1"/>
      </tp>
      <tp>
        <v>-0.311</v>
        <stp/>
        <stp>##V3_BDPV12</stp>
        <stp>XS1212467911 CORP</stp>
        <stp>YAS_FLOATER_ASSUMED_RATE</stp>
        <stp>[BondFloaters.xlsx]FLOATERS!R57C23</stp>
        <tr r="W57" s="1"/>
      </tp>
      <tp t="s">
        <v>06/09/2019</v>
        <stp/>
        <stp>##V3_BDPV12</stp>
        <stp>XS1485660895 CORP</stp>
        <stp>MATURITY</stp>
        <stp>[BondFloaters.xlsx]FLOATERS!R58C15</stp>
        <tr r="O58" s="1"/>
      </tp>
      <tp t="s">
        <v>06/09/2019</v>
        <stp/>
        <stp>##V3_BDPV12</stp>
        <stp>XS1485660895 CORP</stp>
        <stp>MATURITY</stp>
        <stp>[BondFloaters.xlsx]FLOATERS!R58C18</stp>
        <tr r="R58" s="1"/>
      </tp>
      <tp t="s">
        <v>22/11/2018</v>
        <stp/>
        <stp>##V3_BDPV12</stp>
        <stp>XS1522989869 CORP</stp>
        <stp>MATURITY</stp>
        <stp>[BondFloaters.xlsx]FLOATERS!R33C15</stp>
        <tr r="O33" s="1"/>
      </tp>
      <tp t="s">
        <v>22/11/2018</v>
        <stp/>
        <stp>##V3_BDPV12</stp>
        <stp>XS1522989869 CORP</stp>
        <stp>MATURITY</stp>
        <stp>[BondFloaters.xlsx]FLOATERS!R33C18</stp>
        <tr r="R33" s="1"/>
      </tp>
      <tp t="s">
        <v>18/03/2019</v>
        <stp/>
        <stp>##V3_BDPV12</stp>
        <stp>BE6285450449 CORP</stp>
        <stp>NXT_CPN_DT</stp>
        <stp>[BondFloaters.xlsx]FLOATERS!R37C14</stp>
        <tr r="N37" s="1"/>
      </tp>
      <tp>
        <v>12.054144791107973</v>
        <stp/>
        <stp>##V3_BDPV12</stp>
        <stp>XS1781813511 CORP</stp>
        <stp>YAS_FLOATER_DISCOUNT_MARGIN</stp>
        <stp>[BondFloaters.xlsx]FLOATERS!R8C22</stp>
        <tr r="V8" s="1"/>
      </tp>
      <tp>
        <v>0</v>
        <stp/>
        <stp>##V3_BDPV12</stp>
        <stp>FR0013216884 CORP</stp>
        <stp>CPN</stp>
        <stp>[BondFloaters.xlsx]FLOATERS!R7C25</stp>
        <tr r="Y7" s="1"/>
      </tp>
      <tp t="s">
        <v>EK8558422</v>
        <stp/>
        <stp>##V3_BDPV12</stp>
        <stp>BE6276038419 CORP</stp>
        <stp>ID_CUSIP</stp>
        <stp>[BondFloaters.xlsx]FLOATERS!R86C1</stp>
        <tr r="A86" s="1"/>
      </tp>
      <tp>
        <v>21</v>
        <stp/>
        <stp>##V3_BDPV12</stp>
        <stp>BE6276038419 CORP</stp>
        <stp>CALC_TYP</stp>
        <stp>[BondFloaters.xlsx]FLOATERS!R86C6</stp>
        <tr r="F86" s="1"/>
      </tp>
      <tp t="s">
        <v>N</v>
        <stp/>
        <stp>##V3_BDPV12</stp>
        <stp>XS1033649739 CORP</stp>
        <stp>ZERO_CPN</stp>
        <stp>[BondFloaters.xlsx]FLOATERS!R44C8</stp>
        <tr r="H44" s="1"/>
      </tp>
      <tp t="s">
        <v>N</v>
        <stp/>
        <stp>##V3_BDPV12</stp>
        <stp>XS1750116920 CORP</stp>
        <stp>CALLABLE</stp>
        <stp>[BondFloaters.xlsx]FLOATERS!R31C7</stp>
        <tr r="G31" s="1"/>
      </tp>
      <tp t="s">
        <v>N</v>
        <stp/>
        <stp>##V3_BDPV12</stp>
        <stp>XS1586555515 CORP</stp>
        <stp>ZERO_CPN</stp>
        <stp>[BondFloaters.xlsx]FLOATERS!R53C8</stp>
        <tr r="H53" s="1"/>
      </tp>
      <tp t="s">
        <v>N</v>
        <stp/>
        <stp>##V3_BDPV12</stp>
        <stp>FR0013266343 CORP</stp>
        <stp>ZERO_CPN</stp>
        <stp>[BondFloaters.xlsx]FLOATERS!R91C8</stp>
        <tr r="H91" s="1"/>
      </tp>
      <tp t="s">
        <v>N</v>
        <stp/>
        <stp>##V3_BDPV12</stp>
        <stp>XS1190623907 CORP</stp>
        <stp>ZERO_CPN</stp>
        <stp>[BondFloaters.xlsx]FLOATERS!R59C8</stp>
        <tr r="H59" s="1"/>
      </tp>
      <tp t="s">
        <v>N</v>
        <stp/>
        <stp>##V3_BDPV12</stp>
        <stp>XS1323463056 CORP</stp>
        <stp>ZERO_CPN</stp>
        <stp>[BondFloaters.xlsx]FLOATERS!R83C8</stp>
        <tr r="H83" s="1"/>
      </tp>
      <tp t="s">
        <v>N</v>
        <stp/>
        <stp>##V3_BDPV12</stp>
        <stp>XS1618349804 CORP</stp>
        <stp>ZERO_CPN</stp>
        <stp>[BondFloaters.xlsx]FLOATERS!R60C8</stp>
        <tr r="H60" s="1"/>
      </tp>
      <tp t="s">
        <v>N</v>
        <stp/>
        <stp>##V3_BDPV12</stp>
        <stp>XS1664643746 CORP</stp>
        <stp>ZERO_CPN</stp>
        <stp>[BondFloaters.xlsx]FLOATERS!R73C8</stp>
        <tr r="H73" s="1"/>
      </tp>
      <tp>
        <v>-0.311</v>
        <stp/>
        <stp>##V3_BDPV12</stp>
        <stp>XS1823165631 CORP</stp>
        <stp>YAS_FLOATER_ASSUMED_RATE</stp>
        <stp>[BondFloaters.xlsx]FLOATERS!R70C23</stp>
        <tr r="W70" s="1"/>
      </tp>
      <tp t="s">
        <v>11/09/2017</v>
        <stp/>
        <stp>##V3_BDPV12</stp>
        <stp>XS1679028479 CORP</stp>
        <stp>ISSUE_DT</stp>
        <stp>[BondFloaters.xlsx]FLOATERS!R119C11</stp>
        <tr r="K119" s="1"/>
      </tp>
      <tp t="s">
        <v>JV5034311</v>
        <stp/>
        <stp>##V3_BDPV12</stp>
        <stp>DE000A169GZ7 CORP</stp>
        <stp>ID_CUSIP</stp>
        <stp>[BondFloaters.xlsx]FLOATERS!R42C1</stp>
        <tr r="A42" s="1"/>
      </tp>
      <tp>
        <v>21</v>
        <stp/>
        <stp>##V3_BDPV12</stp>
        <stp>DE000A169GZ7 CORP</stp>
        <stp>CALC_TYP</stp>
        <stp>[BondFloaters.xlsx]FLOATERS!R42C6</stp>
        <tr r="F42" s="1"/>
      </tp>
      <tp t="s">
        <v>15/09/2017</v>
        <stp/>
        <stp>##V3_BDPV12</stp>
        <stp>XS1683495052 CORP</stp>
        <stp>ISSUE_DT</stp>
        <stp>[BondFloaters.xlsx]FLOATERS!R117C11</stp>
        <tr r="K117" s="1"/>
      </tp>
      <tp t="s">
        <v>13/11/2017</v>
        <stp/>
        <stp>##V3_BDPV12</stp>
        <stp>XS1715323298 CORP</stp>
        <stp>ISSUE_DT</stp>
        <stp>[BondFloaters.xlsx]FLOATERS!R111C11</stp>
        <tr r="K111" s="1"/>
      </tp>
      <tp>
        <v>-0.311</v>
        <stp/>
        <stp>##V3_BDPV12</stp>
        <stp>XS1671754650 CORP</stp>
        <stp>YAS_FLOATER_ASSUMED_RATE</stp>
        <stp>[BondFloaters.xlsx]FLOATERS!R19C23</stp>
        <tr r="W19" s="1"/>
      </tp>
      <tp t="s">
        <v>19/10/2015</v>
        <stp/>
        <stp>##V3_BDPV12</stp>
        <stp>XS1301773799 CORP</stp>
        <stp>ISSUE_DT</stp>
        <stp>[BondFloaters.xlsx]FLOATERS!R114C11</stp>
        <tr r="K114" s="1"/>
      </tp>
      <tp>
        <v>-0.311</v>
        <stp/>
        <stp>##V3_BDPV12</stp>
        <stp>XS1756669740 CORP</stp>
        <stp>YAS_FLOATER_ASSUMED_RATE</stp>
        <stp>[BondFloaters.xlsx]FLOATERS!R72C23</stp>
        <tr r="W72" s="1"/>
      </tp>
      <tp>
        <v>-0.311</v>
        <stp/>
        <stp>##V3_BDPV12</stp>
        <stp>XS1651071521 CORP</stp>
        <stp>YAS_FLOATER_ASSUMED_RATE</stp>
        <stp>[BondFloaters.xlsx]FLOATERS!R46C23</stp>
        <tr r="W46" s="1"/>
      </tp>
      <tp t="s">
        <v>15/02/2016</v>
        <stp/>
        <stp>##V3_BDPV12</stp>
        <stp>XS1363560548 CORP</stp>
        <stp>ISSUE_DT</stp>
        <stp>[BondFloaters.xlsx]FLOATERS!R133C11</stp>
        <tr r="K133" s="1"/>
      </tp>
      <tp>
        <v>-0.311</v>
        <stp/>
        <stp>##V3_BDPV12</stp>
        <stp>FR0013309606 CORP</stp>
        <stp>YAS_FLOATER_ASSUMED_RATE</stp>
        <stp>[BondFloaters.xlsx]FLOATERS!R25C23</stp>
        <tr r="W25" s="1"/>
      </tp>
      <tp>
        <v>-0.311</v>
        <stp/>
        <stp>##V3_BDPV12</stp>
        <stp>XS1808497264 CORP</stp>
        <stp>YAS_FLOATER_ASSUMED_RATE</stp>
        <stp>[BondFloaters.xlsx]FLOATERS!R13C23</stp>
        <tr r="W13" s="1"/>
      </tp>
      <tp>
        <v>-0.311</v>
        <stp/>
        <stp>##V3_BDPV12</stp>
        <stp>FR0013330107 CORP</stp>
        <stp>YAS_FLOATER_ASSUMED_RATE</stp>
        <stp>[BondFloaters.xlsx]FLOATERS!R87C23</stp>
        <tr r="W87" s="1"/>
      </tp>
      <tp>
        <v>-0.311</v>
        <stp/>
        <stp>##V3_BDPV12</stp>
        <stp>XS1664643746 CORP</stp>
        <stp>YAS_FLOATER_ASSUMED_RATE</stp>
        <stp>[BondFloaters.xlsx]FLOATERS!R73C23</stp>
        <tr r="W73" s="1"/>
      </tp>
      <tp t="s">
        <v>12/02/2020</v>
        <stp/>
        <stp>##V3_BDPV12</stp>
        <stp>XS1771768188 CORP</stp>
        <stp>MATURITY</stp>
        <stp>[BondFloaters.xlsx]FLOATERS!R113C18</stp>
        <tr r="R113" s="1"/>
      </tp>
      <tp t="s">
        <v>12/02/2020</v>
        <stp/>
        <stp>##V3_BDPV12</stp>
        <stp>XS1771768188 CORP</stp>
        <stp>MATURITY</stp>
        <stp>[BondFloaters.xlsx]FLOATERS!R113C15</stp>
        <tr r="O113" s="1"/>
      </tp>
      <tp t="s">
        <v>14/05/2021</v>
        <stp/>
        <stp>##V3_BDPV12</stp>
        <stp>XS1821814800 CORP</stp>
        <stp>MATURITY</stp>
        <stp>[BondFloaters.xlsx]FLOATERS!R84C15</stp>
        <tr r="O84" s="1"/>
      </tp>
      <tp t="s">
        <v>14/05/2021</v>
        <stp/>
        <stp>##V3_BDPV12</stp>
        <stp>XS1821814800 CORP</stp>
        <stp>MATURITY</stp>
        <stp>[BondFloaters.xlsx]FLOATERS!R84C18</stp>
        <tr r="R84" s="1"/>
      </tp>
      <tp t="s">
        <v>14/05/2019</v>
        <stp/>
        <stp>##V3_BDPV12</stp>
        <stp>XS1230926609 CORP</stp>
        <stp>MATURITY</stp>
        <stp>[BondFloaters.xlsx]FLOATERS!R126C18</stp>
        <tr r="R126" s="1"/>
      </tp>
      <tp t="s">
        <v>14/05/2019</v>
        <stp/>
        <stp>##V3_BDPV12</stp>
        <stp>XS1230926609 CORP</stp>
        <stp>MATURITY</stp>
        <stp>[BondFloaters.xlsx]FLOATERS!R126C15</stp>
        <tr r="O126" s="1"/>
      </tp>
      <tp t="s">
        <v>20/04/2020</v>
        <stp/>
        <stp>##V3_BDPV12</stp>
        <stp>XS1599109896 CORP</stp>
        <stp>MATURITY</stp>
        <stp>[BondFloaters.xlsx]FLOATERS!R97C15</stp>
        <tr r="O97" s="1"/>
      </tp>
      <tp t="s">
        <v>20/04/2020</v>
        <stp/>
        <stp>##V3_BDPV12</stp>
        <stp>XS1599109896 CORP</stp>
        <stp>MATURITY</stp>
        <stp>[BondFloaters.xlsx]FLOATERS!R97C18</stp>
        <tr r="R97" s="1"/>
      </tp>
      <tp t="s">
        <v>15/04/2019</v>
        <stp/>
        <stp>##V3_BDPV12</stp>
        <stp>XS1057486471 CORP</stp>
        <stp>MATURITY</stp>
        <stp>[BondFloaters.xlsx]FLOATERS!R131C18</stp>
        <tr r="R131" s="1"/>
      </tp>
      <tp t="s">
        <v>15/04/2019</v>
        <stp/>
        <stp>##V3_BDPV12</stp>
        <stp>XS1057486471 CORP</stp>
        <stp>MATURITY</stp>
        <stp>[BondFloaters.xlsx]FLOATERS!R131C15</stp>
        <tr r="O131" s="1"/>
      </tp>
      <tp>
        <v>30</v>
        <stp/>
        <stp>##V3_BDPV12</stp>
        <stp>XS1089831249 CORP</stp>
        <stp>FLT_SPREAD</stp>
        <stp>[BondFloaters.xlsx]FLOATERS!R56C26</stp>
        <tr r="Z56" s="1"/>
      </tp>
      <tp>
        <v>35</v>
        <stp/>
        <stp>##V3_BDPV12</stp>
        <stp>XS1382791892 CORP</stp>
        <stp>FLT_SPREAD</stp>
        <stp>[BondFloaters.xlsx]FLOATERS!R30C26</stp>
        <tr r="Z30" s="1"/>
      </tp>
      <tp>
        <v>35</v>
        <stp/>
        <stp>##V3_BDPV12</stp>
        <stp>XS1382791892 CORP</stp>
        <stp>FLT_SPREAD</stp>
        <stp>[BondFloaters.xlsx]FLOATERS!R30C17</stp>
        <tr r="Q30" s="1"/>
      </tp>
      <tp t="s">
        <v>12/01/2019</v>
        <stp/>
        <stp>##V3_BDPV12</stp>
        <stp>DE000A169GZ7 CORP</stp>
        <stp>NXT_CPN_DT</stp>
        <stp>[BondFloaters.xlsx]FLOATERS!R42C14</stp>
        <tr r="N42" s="1"/>
      </tp>
      <tp>
        <v>30</v>
        <stp/>
        <stp>##V3_BDPV12</stp>
        <stp>XS1089831249 CORP</stp>
        <stp>FLT_SPREAD</stp>
        <stp>[BondFloaters.xlsx]FLOATERS!R56C17</stp>
        <tr r="Q56" s="1"/>
      </tp>
      <tp t="s">
        <v>#N/A Field Not Applicable</v>
        <stp/>
        <stp>##V3_BDPV12</stp>
        <stp>BE6276038419 CORP</stp>
        <stp>NXT_CPN_DT</stp>
        <stp>[BondFloaters.xlsx]FLOATERS!R86C14</stp>
        <tr r="N86" s="1"/>
      </tp>
      <tp>
        <v>23</v>
        <stp/>
        <stp>##V3_BDPV12</stp>
        <stp>XS1591430746 CORP</stp>
        <stp>FLT_SPREAD</stp>
        <stp>[BondFloaters.xlsx]FLOATERS!R64C26</stp>
        <tr r="Z64" s="1"/>
      </tp>
      <tp>
        <v>23</v>
        <stp/>
        <stp>##V3_BDPV12</stp>
        <stp>XS1591430746 CORP</stp>
        <stp>FLT_SPREAD</stp>
        <stp>[BondFloaters.xlsx]FLOATERS!R64C17</stp>
        <tr r="Q64" s="1"/>
      </tp>
      <tp t="s">
        <v>AP9994108</v>
        <stp/>
        <stp>##V3_BDPV12</stp>
        <stp>DE000A19SE11 CORP</stp>
        <stp>ID_CUSIP</stp>
        <stp>[BondFloaters.xlsx]FLOATERS!R71C1</stp>
        <tr r="A71" s="1"/>
      </tp>
      <tp>
        <v>21</v>
        <stp/>
        <stp>##V3_BDPV12</stp>
        <stp>DE000A19SE11 CORP</stp>
        <stp>CALC_TYP</stp>
        <stp>[BondFloaters.xlsx]FLOATERS!R71C6</stp>
        <tr r="F71" s="1"/>
      </tp>
      <tp t="s">
        <v>N</v>
        <stp/>
        <stp>##V3_BDPV12</stp>
        <stp>XS1808497264 CORP</stp>
        <stp>CALLABLE</stp>
        <stp>[BondFloaters.xlsx]FLOATERS!R13C7</stp>
        <tr r="G13" s="1"/>
      </tp>
      <tp t="s">
        <v>N</v>
        <stp/>
        <stp>##V3_BDPV12</stp>
        <stp>XS1574156540 CORP</stp>
        <stp>ZERO_CPN</stp>
        <stp>[BondFloaters.xlsx]FLOATERS!R90C8</stp>
        <tr r="H90" s="1"/>
      </tp>
      <tp t="s">
        <v>N</v>
        <stp/>
        <stp>##V3_BDPV12</stp>
        <stp>FR0013324316 CORP</stp>
        <stp>CALLABLE</stp>
        <stp>[BondFloaters.xlsx]FLOATERS!R28C7</stp>
        <tr r="G28" s="1"/>
      </tp>
      <tp t="s">
        <v>N</v>
        <stp/>
        <stp>##V3_BDPV12</stp>
        <stp>XS1806435324 CORP</stp>
        <stp>ZERO_CPN</stp>
        <stp>[BondFloaters.xlsx]FLOATERS!R34C8</stp>
        <tr r="H34" s="1"/>
      </tp>
      <tp t="s">
        <v>N</v>
        <stp/>
        <stp>##V3_BDPV12</stp>
        <stp>XS1078028864 CORP</stp>
        <stp>ZERO_CPN</stp>
        <stp>[BondFloaters.xlsx]FLOATERS!R41C8</stp>
        <tr r="H41" s="1"/>
      </tp>
      <tp t="s">
        <v>N</v>
        <stp/>
        <stp>##V3_BDPV12</stp>
        <stp>XS1554462421 CORP</stp>
        <stp>CALLABLE</stp>
        <stp>[BondFloaters.xlsx]FLOATERS!R49C7</stp>
        <tr r="G49" s="1"/>
      </tp>
      <tp t="s">
        <v>N</v>
        <stp/>
        <stp>##V3_BDPV12</stp>
        <stp>XS1692846790 CORP</stp>
        <stp>ZERO_CPN</stp>
        <stp>[BondFloaters.xlsx]FLOATERS!R94C8</stp>
        <tr r="H94" s="1"/>
      </tp>
      <tp t="s">
        <v>N</v>
        <stp/>
        <stp>##V3_BDPV12</stp>
        <stp>XS1794195724 CORP</stp>
        <stp>ZERO_CPN</stp>
        <stp>[BondFloaters.xlsx]FLOATERS!R12C8</stp>
        <tr r="H12" s="1"/>
      </tp>
      <tp t="s">
        <v>N</v>
        <stp/>
        <stp>##V3_BDPV12</stp>
        <stp>FR0013241379 CORP</stp>
        <stp>CALLABLE</stp>
        <stp>[BondFloaters.xlsx]FLOATERS!R38C7</stp>
        <tr r="G38" s="1"/>
      </tp>
      <tp t="s">
        <v>N</v>
        <stp/>
        <stp>##V3_BDPV12</stp>
        <stp>FR0013309606 CORP</stp>
        <stp>ZERO_CPN</stp>
        <stp>[BondFloaters.xlsx]FLOATERS!R25C8</stp>
        <tr r="H25" s="1"/>
      </tp>
      <tp t="s">
        <v>N</v>
        <stp/>
        <stp>##V3_BDPV12</stp>
        <stp>FR0013264884 CORP</stp>
        <stp>CALLABLE</stp>
        <stp>[BondFloaters.xlsx]FLOATERS!R93C7</stp>
        <tr r="G93" s="1"/>
      </tp>
      <tp t="s">
        <v>N</v>
        <stp/>
        <stp>##V3_BDPV12</stp>
        <stp>XS1635905570 CORP</stp>
        <stp>CALLABLE</stp>
        <stp>[BondFloaters.xlsx]FLOATERS!R79C7</stp>
        <tr r="G79" s="1"/>
      </tp>
      <tp t="s">
        <v>N</v>
        <stp/>
        <stp>##V3_BDPV12</stp>
        <stp>FR0012969012 CORP</stp>
        <stp>ZERO_CPN</stp>
        <stp>[BondFloaters.xlsx]FLOATERS!R22C8</stp>
        <tr r="H22" s="1"/>
      </tp>
      <tp t="s">
        <v>N</v>
        <stp/>
        <stp>##V3_BDPV12</stp>
        <stp>XS1522989869 CORP</stp>
        <stp>CALLABLE</stp>
        <stp>[BondFloaters.xlsx]FLOATERS!R33C7</stp>
        <tr r="G33" s="1"/>
      </tp>
      <tp t="s">
        <v>N</v>
        <stp/>
        <stp>##V3_BDPV12</stp>
        <stp>XS1718416586 CORP</stp>
        <stp>CALLABLE</stp>
        <stp>[BondFloaters.xlsx]FLOATERS!R54C7</stp>
        <tr r="G54" s="1"/>
      </tp>
      <tp t="s">
        <v>N</v>
        <stp/>
        <stp>##V3_BDPV12</stp>
        <stp>XS1249494086 CORP</stp>
        <stp>CALLABLE</stp>
        <stp>[BondFloaters.xlsx]FLOATERS!R50C7</stp>
        <tr r="G50" s="1"/>
      </tp>
      <tp t="s">
        <v>31/03/2017</v>
        <stp/>
        <stp>##V3_BDPV12</stp>
        <stp>XS1590503279 CORP</stp>
        <stp>ISSUE_DT</stp>
        <stp>[BondFloaters.xlsx]FLOATERS!R100C11</stp>
        <tr r="K100" s="1"/>
      </tp>
      <tp>
        <v>-0.311</v>
        <stp/>
        <stp>##V3_BDPV12</stp>
        <stp>XS1794195724 CORP</stp>
        <stp>YAS_FLOATER_ASSUMED_RATE</stp>
        <stp>[BondFloaters.xlsx]FLOATERS!R12C23</stp>
        <tr r="W12" s="1"/>
      </tp>
      <tp>
        <v>-0.311</v>
        <stp/>
        <stp>##V3_BDPV12</stp>
        <stp>XS1750116920 CORP</stp>
        <stp>YAS_FLOATER_ASSUMED_RATE</stp>
        <stp>[BondFloaters.xlsx]FLOATERS!R31C23</stp>
        <tr r="W31" s="1"/>
      </tp>
      <tp>
        <v>-0.311</v>
        <stp/>
        <stp>##V3_BDPV12</stp>
        <stp>XS1618349804 CORP</stp>
        <stp>YAS_FLOATER_ASSUMED_RATE</stp>
        <stp>[BondFloaters.xlsx]FLOATERS!R60C23</stp>
        <tr r="W60" s="1"/>
      </tp>
      <tp>
        <v>-0.311</v>
        <stp/>
        <stp>##V3_BDPV12</stp>
        <stp>XS1398275112 CORP</stp>
        <stp>YAS_FLOATER_ASSUMED_RATE</stp>
        <stp>[BondFloaters.xlsx]FLOATERS!R16C23</stp>
        <tr r="W16" s="1"/>
      </tp>
      <tp t="s">
        <v>19/03/2019</v>
        <stp/>
        <stp>##V3_BDPV12</stp>
        <stp>XS1046499981 CORP</stp>
        <stp>NXT_CPN_DT</stp>
        <stp>[BondFloaters.xlsx]FLOATERS!R9C14</stp>
        <tr r="N9" s="1"/>
      </tp>
      <tp>
        <v>-0.311</v>
        <stp/>
        <stp>##V3_BDPV12</stp>
        <stp>FR0013054020 CORP</stp>
        <stp>YAS_FLOATER_ASSUMED_RATE</stp>
        <stp>[BondFloaters.xlsx]FLOATERS!R26C23</stp>
        <tr r="W26" s="1"/>
      </tp>
      <tp>
        <v>-0.311</v>
        <stp/>
        <stp>##V3_BDPV12</stp>
        <stp>FR0013324316 CORP</stp>
        <stp>YAS_FLOATER_ASSUMED_RATE</stp>
        <stp>[BondFloaters.xlsx]FLOATERS!R28C23</stp>
        <tr r="W28" s="1"/>
      </tp>
      <tp t="s">
        <v>22/12/2022</v>
        <stp/>
        <stp>##V3_BDPV12</stp>
        <stp>DE000A19X793 CORP</stp>
        <stp>MATURITY</stp>
        <stp>[BondFloaters.xlsx]FLOATERS!R10C18</stp>
        <tr r="R10" s="1"/>
      </tp>
      <tp t="s">
        <v>22/12/2022</v>
        <stp/>
        <stp>##V3_BDPV12</stp>
        <stp>DE000A19X793 CORP</stp>
        <stp>MATURITY</stp>
        <stp>[BondFloaters.xlsx]FLOATERS!R10C15</stp>
        <tr r="O10" s="1"/>
      </tp>
      <tp t="s">
        <v>11/04/2019</v>
        <stp/>
        <stp>##V3_BDPV12</stp>
        <stp>XS1319814817 CORP</stp>
        <stp>MATURITY</stp>
        <stp>[BondFloaters.xlsx]FLOATERS!R77C18</stp>
        <tr r="R77" s="1"/>
      </tp>
      <tp t="s">
        <v>11/04/2019</v>
        <stp/>
        <stp>##V3_BDPV12</stp>
        <stp>XS1319814817 CORP</stp>
        <stp>MATURITY</stp>
        <stp>[BondFloaters.xlsx]FLOATERS!R77C15</stp>
        <tr r="O77" s="1"/>
      </tp>
      <tp t="s">
        <v>21/05/2020</v>
        <stp/>
        <stp>##V3_BDPV12</stp>
        <stp>XS1822824642 CORP</stp>
        <stp>MATURITY</stp>
        <stp>[BondFloaters.xlsx]FLOATERS!R116C18</stp>
        <tr r="R116" s="1"/>
      </tp>
      <tp t="s">
        <v>21/05/2020</v>
        <stp/>
        <stp>##V3_BDPV12</stp>
        <stp>XS1822824642 CORP</stp>
        <stp>MATURITY</stp>
        <stp>[BondFloaters.xlsx]FLOATERS!R116C15</stp>
        <tr r="O116" s="1"/>
      </tp>
      <tp t="s">
        <v>22/03/2019</v>
        <stp/>
        <stp>##V3_BDPV12</stp>
        <stp>FR0012969012 CORP</stp>
        <stp>MATURITY</stp>
        <stp>[BondFloaters.xlsx]FLOATERS!R22C18</stp>
        <tr r="R22" s="1"/>
      </tp>
      <tp t="s">
        <v>22/03/2019</v>
        <stp/>
        <stp>##V3_BDPV12</stp>
        <stp>FR0012969012 CORP</stp>
        <stp>MATURITY</stp>
        <stp>[BondFloaters.xlsx]FLOATERS!R22C15</stp>
        <tr r="O22" s="1"/>
      </tp>
      <tp t="s">
        <v>15/03/2019</v>
        <stp/>
        <stp>##V3_BDPV12</stp>
        <stp>XS1712180477 CORP</stp>
        <stp>MATURITY</stp>
        <stp>[BondFloaters.xlsx]FLOATERS!R137C18</stp>
        <tr r="R137" s="1"/>
      </tp>
      <tp t="s">
        <v>15/03/2019</v>
        <stp/>
        <stp>##V3_BDPV12</stp>
        <stp>XS1712180477 CORP</stp>
        <stp>MATURITY</stp>
        <stp>[BondFloaters.xlsx]FLOATERS!R137C15</stp>
        <tr r="O137" s="1"/>
      </tp>
      <tp t="s">
        <v>04/06/2019</v>
        <stp/>
        <stp>##V3_BDPV12</stp>
        <stp>XS1144084099 CORP</stp>
        <stp>MATURITY</stp>
        <stp>[BondFloaters.xlsx]FLOATERS!R82C15</stp>
        <tr r="O82" s="1"/>
      </tp>
      <tp t="s">
        <v>04/06/2019</v>
        <stp/>
        <stp>##V3_BDPV12</stp>
        <stp>XS1144084099 CORP</stp>
        <stp>MATURITY</stp>
        <stp>[BondFloaters.xlsx]FLOATERS!R82C18</stp>
        <tr r="R82" s="1"/>
      </tp>
      <tp>
        <v>-1.6289624960651339</v>
        <stp/>
        <stp>##V3_BDPV12</stp>
        <stp>XS1046499981 CORP</stp>
        <stp>YAS_FLOATER_DISCOUNT_MARGIN</stp>
        <stp>[BondFloaters.xlsx]FLOATERS!R9C22</stp>
        <tr r="V9" s="1"/>
      </tp>
      <tp>
        <v>47</v>
        <stp/>
        <stp>##V3_BDPV12</stp>
        <stp>XS1485660895 CORP</stp>
        <stp>FLT_SPREAD</stp>
        <stp>[BondFloaters.xlsx]FLOATERS!R58C17</stp>
        <tr r="Q58" s="1"/>
      </tp>
      <tp>
        <v>47</v>
        <stp/>
        <stp>##V3_BDPV12</stp>
        <stp>XS1485660895 CORP</stp>
        <stp>FLT_SPREAD</stp>
        <stp>[BondFloaters.xlsx]FLOATERS!R58C26</stp>
        <tr r="Z58" s="1"/>
      </tp>
      <tp>
        <v>25</v>
        <stp/>
        <stp>##V3_BDPV12</stp>
        <stp>XS1618349804 CORP</stp>
        <stp>FLT_SPREAD</stp>
        <stp>[BondFloaters.xlsx]FLOATERS!R60C17</stp>
        <tr r="Q60" s="1"/>
      </tp>
      <tp>
        <v>25</v>
        <stp/>
        <stp>##V3_BDPV12</stp>
        <stp>XS1618349804 CORP</stp>
        <stp>FLT_SPREAD</stp>
        <stp>[BondFloaters.xlsx]FLOATERS!R60C26</stp>
        <tr r="Z60" s="1"/>
      </tp>
      <tp>
        <v>160</v>
        <stp/>
        <stp>##V3_BDPV12</stp>
        <stp>XS1381690574 CORP</stp>
        <stp>FLT_SPREAD</stp>
        <stp>[BondFloaters.xlsx]FLOATERS!R89C17</stp>
        <tr r="Q89" s="1"/>
      </tp>
      <tp>
        <v>160</v>
        <stp/>
        <stp>##V3_BDPV12</stp>
        <stp>XS1381690574 CORP</stp>
        <stp>FLT_SPREAD</stp>
        <stp>[BondFloaters.xlsx]FLOATERS!R89C26</stp>
        <tr r="Z89" s="1"/>
      </tp>
      <tp t="s">
        <v>13/03/2019</v>
        <stp/>
        <stp>##V3_BDPV12</stp>
        <stp>DE000A2G8VS7 CORP</stp>
        <stp>NXT_CPN_DT</stp>
        <stp>[BondFloaters.xlsx]FLOATERS!R43C14</stp>
        <tr r="N43" s="1"/>
      </tp>
      <tp>
        <v>21</v>
        <stp/>
        <stp>##V3_BDPV12</stp>
        <stp>BE6285450449 CORP</stp>
        <stp>CALC_TYP</stp>
        <stp>[BondFloaters.xlsx]FLOATERS!R37C6</stp>
        <tr r="F37" s="1"/>
      </tp>
      <tp t="s">
        <v>JK4822546</v>
        <stp/>
        <stp>##V3_BDPV12</stp>
        <stp>BE6285450449 CORP</stp>
        <stp>ID_CUSIP</stp>
        <stp>[BondFloaters.xlsx]FLOATERS!R37C1</stp>
        <tr r="A37" s="1"/>
      </tp>
      <tp t="s">
        <v>N</v>
        <stp/>
        <stp>##V3_BDPV12</stp>
        <stp>XS1619284372 CORP</stp>
        <stp>ZERO_CPN</stp>
        <stp>[BondFloaters.xlsx]FLOATERS!R68C8</stp>
        <tr r="H68" s="1"/>
      </tp>
      <tp t="s">
        <v>N</v>
        <stp/>
        <stp>##V3_BDPV12</stp>
        <stp>FR0012432904 CORP</stp>
        <stp>ZERO_CPN</stp>
        <stp>[BondFloaters.xlsx]FLOATERS!R48C8</stp>
        <tr r="H48" s="1"/>
      </tp>
      <tp t="s">
        <v>N</v>
        <stp/>
        <stp>##V3_BDPV12</stp>
        <stp>XS1234366448 CORP</stp>
        <stp>ZERO_CPN</stp>
        <stp>[BondFloaters.xlsx]FLOATERS!R52C8</stp>
        <tr r="H52" s="1"/>
      </tp>
      <tp t="s">
        <v>N</v>
        <stp/>
        <stp>##V3_BDPV12</stp>
        <stp>XS1591430746 CORP</stp>
        <stp>ZERO_CPN</stp>
        <stp>[BondFloaters.xlsx]FLOATERS!R64C8</stp>
        <tr r="H64" s="1"/>
      </tp>
      <tp t="s">
        <v>N</v>
        <stp/>
        <stp>##V3_BDPV12</stp>
        <stp>XS1564405741 CORP</stp>
        <stp>ZERO_CPN</stp>
        <stp>[BondFloaters.xlsx]FLOATERS!R21C8</stp>
        <tr r="H21" s="1"/>
      </tp>
      <tp t="s">
        <v>N</v>
        <stp/>
        <stp>##V3_BDPV12</stp>
        <stp>XS1292513105 CORP</stp>
        <stp>CALLABLE</stp>
        <stp>[BondFloaters.xlsx]FLOATERS!R69C7</stp>
        <tr r="G69" s="1"/>
      </tp>
      <tp t="s">
        <v>N</v>
        <stp/>
        <stp>##V3_BDPV12</stp>
        <stp>XS1651071521 CORP</stp>
        <stp>ZERO_CPN</stp>
        <stp>[BondFloaters.xlsx]FLOATERS!R46C8</stp>
        <tr r="H46" s="1"/>
      </tp>
      <tp t="s">
        <v>N</v>
        <stp/>
        <stp>##V3_BDPV12</stp>
        <stp>XS1642545690 CORP</stp>
        <stp>ZERO_CPN</stp>
        <stp>[BondFloaters.xlsx]FLOATERS!R76C8</stp>
        <tr r="H76" s="1"/>
      </tp>
      <tp t="s">
        <v>N</v>
        <stp/>
        <stp>##V3_BDPV12</stp>
        <stp>XS1382791892 CORP</stp>
        <stp>CALLABLE</stp>
        <stp>[BondFloaters.xlsx]FLOATERS!R30C7</stp>
        <tr r="G30" s="1"/>
      </tp>
      <tp t="s">
        <v>N</v>
        <stp/>
        <stp>##V3_BDPV12</stp>
        <stp>FR0013292687 CORP</stp>
        <stp>ZERO_CPN</stp>
        <stp>[BondFloaters.xlsx]FLOATERS!R36C8</stp>
        <tr r="H36" s="1"/>
      </tp>
      <tp t="s">
        <v>21/01/2015</v>
        <stp/>
        <stp>##V3_BDPV12</stp>
        <stp>XS1171489476 CORP</stp>
        <stp>ISSUE_DT</stp>
        <stp>[BondFloaters.xlsx]FLOATERS!R101C11</stp>
        <tr r="K101" s="1"/>
      </tp>
      <tp>
        <v>21</v>
        <stp/>
        <stp>##V3_BDPV12</stp>
        <stp>DE000A2GSCY9 CORP</stp>
        <stp>CALC_TYP</stp>
        <stp>[BondFloaters.xlsx]FLOATERS!R14C6</stp>
        <tr r="F14" s="1"/>
      </tp>
      <tp t="s">
        <v>AO1138863</v>
        <stp/>
        <stp>##V3_BDPV12</stp>
        <stp>DE000A2GSCY9 CORP</stp>
        <stp>ID_CUSIP</stp>
        <stp>[BondFloaters.xlsx]FLOATERS!R14C1</stp>
        <tr r="A14" s="1"/>
      </tp>
      <tp t="s">
        <v>26/06/2018</v>
        <stp/>
        <stp>##V3_BDPV12</stp>
        <stp>XS1840614736 CORP</stp>
        <stp>ISSUE_DT</stp>
        <stp>[BondFloaters.xlsx]FLOATERS!R132C11</stp>
        <tr r="K132" s="1"/>
      </tp>
      <tp>
        <v>-0.311</v>
        <stp/>
        <stp>##V3_BDPV12</stp>
        <stp>FR0011884899 CORP</stp>
        <stp>YAS_FLOATER_ASSUMED_RATE</stp>
        <stp>[BondFloaters.xlsx]FLOATERS!R66C23</stp>
        <tr r="W66" s="1"/>
      </tp>
      <tp>
        <v>-0.311</v>
        <stp/>
        <stp>##V3_BDPV12</stp>
        <stp>XS1822301039 CORP</stp>
        <stp>YAS_FLOATER_ASSUMED_RATE</stp>
        <stp>[BondFloaters.xlsx]FLOATERS!R15C23</stp>
        <tr r="W15" s="1"/>
      </tp>
      <tp t="s">
        <v>08/02/2018</v>
        <stp/>
        <stp>##V3_BDPV12</stp>
        <stp>XS1767087940 CORP</stp>
        <stp>ISSUE_DT</stp>
        <stp>[BondFloaters.xlsx]FLOATERS!R127C11</stp>
        <tr r="K127" s="1"/>
      </tp>
      <tp>
        <v>-0.311</v>
        <stp/>
        <stp>##V3_BDPV12</stp>
        <stp>XS1591430746 CORP</stp>
        <stp>YAS_FLOATER_ASSUMED_RATE</stp>
        <stp>[BondFloaters.xlsx]FLOATERS!R64C23</stp>
        <tr r="W64" s="1"/>
      </tp>
      <tp>
        <v>-0.311</v>
        <stp/>
        <stp>##V3_BDPV12</stp>
        <stp>XS1564405741 CORP</stp>
        <stp>YAS_FLOATER_ASSUMED_RATE</stp>
        <stp>[BondFloaters.xlsx]FLOATERS!R21C23</stp>
        <tr r="W21" s="1"/>
      </tp>
      <tp t="s">
        <v>26/11/2018</v>
        <stp/>
        <stp>##V3_BDPV12</stp>
        <stp>FR0013257599 CORP</stp>
        <stp>MATURITY</stp>
        <stp>[BondFloaters.xlsx]FLOATERS!R20C15</stp>
        <tr r="O20" s="1"/>
      </tp>
      <tp t="s">
        <v>26/11/2018</v>
        <stp/>
        <stp>##V3_BDPV12</stp>
        <stp>FR0013257599 CORP</stp>
        <stp>MATURITY</stp>
        <stp>[BondFloaters.xlsx]FLOATERS!R20C18</stp>
        <tr r="R20" s="1"/>
      </tp>
      <tp t="s">
        <v>N</v>
        <stp/>
        <stp>##V3_BDPV12</stp>
        <stp>DE000A2G8VS7 CORP</stp>
        <stp>ZERO_CPN</stp>
        <stp>[BondFloaters.xlsx]FLOATERS!R43C8</stp>
        <tr r="H43" s="1"/>
      </tp>
      <tp t="s">
        <v>09/09/2022</v>
        <stp/>
        <stp>##V3_BDPV12</stp>
        <stp>XS1107266782 CORP</stp>
        <stp>MATURITY</stp>
        <stp>[BondFloaters.xlsx]FLOATERS!R74C18</stp>
        <tr r="R74" s="1"/>
      </tp>
      <tp t="s">
        <v>09/09/2022</v>
        <stp/>
        <stp>##V3_BDPV12</stp>
        <stp>XS1107266782 CORP</stp>
        <stp>MATURITY</stp>
        <stp>[BondFloaters.xlsx]FLOATERS!R74C15</stp>
        <tr r="O74" s="1"/>
      </tp>
      <tp t="s">
        <v>15/11/2023</v>
        <stp/>
        <stp>##V3_BDPV12</stp>
        <stp>XS1821814982 CORP</stp>
        <stp>MATURITY</stp>
        <stp>[BondFloaters.xlsx]FLOATERS!R102C15</stp>
        <tr r="O102" s="1"/>
      </tp>
      <tp t="s">
        <v>15/11/2023</v>
        <stp/>
        <stp>##V3_BDPV12</stp>
        <stp>XS1821814982 CORP</stp>
        <stp>MATURITY</stp>
        <stp>[BondFloaters.xlsx]FLOATERS!R102C18</stp>
        <tr r="R102" s="1"/>
      </tp>
      <tp t="s">
        <v>20/03/2020</v>
        <stp/>
        <stp>##V3_BDPV12</stp>
        <stp>XS1206712868 CORP</stp>
        <stp>MATURITY</stp>
        <stp>[BondFloaters.xlsx]FLOATERS!R118C15</stp>
        <tr r="O118" s="1"/>
      </tp>
      <tp t="s">
        <v>20/03/2020</v>
        <stp/>
        <stp>##V3_BDPV12</stp>
        <stp>XS1206712868 CORP</stp>
        <stp>MATURITY</stp>
        <stp>[BondFloaters.xlsx]FLOATERS!R118C18</stp>
        <tr r="R118" s="1"/>
      </tp>
      <tp>
        <v>87</v>
        <stp/>
        <stp>##V3_BDPV12</stp>
        <stp>XS1522989869 CORP</stp>
        <stp>FLT_SPREAD</stp>
        <stp>[BondFloaters.xlsx]FLOATERS!R33C26</stp>
        <tr r="Z33" s="1"/>
      </tp>
      <tp>
        <v>87</v>
        <stp/>
        <stp>##V3_BDPV12</stp>
        <stp>XS1522989869 CORP</stp>
        <stp>FLT_SPREAD</stp>
        <stp>[BondFloaters.xlsx]FLOATERS!R33C17</stp>
        <tr r="Q33" s="1"/>
      </tp>
      <tp>
        <v>23</v>
        <stp/>
        <stp>##V3_BDPV12</stp>
        <stp>XS1197832832 CORP</stp>
        <stp>FLT_SPREAD</stp>
        <stp>[BondFloaters.xlsx]FLOATERS!R39C26</stp>
        <tr r="Z39" s="1"/>
      </tp>
      <tp>
        <v>23</v>
        <stp/>
        <stp>##V3_BDPV12</stp>
        <stp>XS1197832832 CORP</stp>
        <stp>FLT_SPREAD</stp>
        <stp>[BondFloaters.xlsx]FLOATERS!R39C17</stp>
        <tr r="Q39" s="1"/>
      </tp>
      <tp t="s">
        <v>#N/A N/A</v>
        <stp/>
        <stp>##V3_BDPV12</stp>
        <stp>XS1480176111 CORP</stp>
        <stp>YAS_FLOATER_DISCOUNT_MARGIN</stp>
        <stp>[BondFloaters.xlsx]FLOATERS!R5C22</stp>
        <tr r="V5" s="1"/>
      </tp>
      <tp>
        <v>21</v>
        <stp/>
        <stp>##V3_BDPV12</stp>
        <stp>DE000A19UNN9 CORP</stp>
        <stp>CALC_TYP</stp>
        <stp>[BondFloaters.xlsx]FLOATERS!R125C6</stp>
        <tr r="F125" s="1"/>
      </tp>
      <tp t="s">
        <v>N</v>
        <stp/>
        <stp>##V3_BDPV12</stp>
        <stp>FR0012146751 CORP</stp>
        <stp>ZERO_CPN</stp>
        <stp>[BondFloaters.xlsx]FLOATERS!R67C8</stp>
        <tr r="H67" s="1"/>
      </tp>
      <tp t="s">
        <v>AQ6097366</v>
        <stp/>
        <stp>##V3_BDPV12</stp>
        <stp>DE000A19UNN9 CORP</stp>
        <stp>ID_CUSIP</stp>
        <stp>[BondFloaters.xlsx]FLOATERS!R125C1</stp>
        <tr r="A125" s="1"/>
      </tp>
      <tp t="s">
        <v>N</v>
        <stp/>
        <stp>##V3_BDPV12</stp>
        <stp>XS1609252645 CORP</stp>
        <stp>CALLABLE</stp>
        <stp>[BondFloaters.xlsx]FLOATERS!R24C7</stp>
        <tr r="G24" s="1"/>
      </tp>
      <tp t="s">
        <v>N</v>
        <stp/>
        <stp>##V3_BDPV12</stp>
        <stp>XS1828028677 CORP</stp>
        <stp>CALLABLE</stp>
        <stp>[BondFloaters.xlsx]FLOATERS!R45C7</stp>
        <tr r="G45" s="1"/>
      </tp>
      <tp t="s">
        <v>N</v>
        <stp/>
        <stp>##V3_BDPV12</stp>
        <stp>XS1756669740 CORP</stp>
        <stp>ZERO_CPN</stp>
        <stp>[BondFloaters.xlsx]FLOATERS!R72C8</stp>
        <tr r="H72" s="1"/>
      </tp>
      <tp t="s">
        <v>N</v>
        <stp/>
        <stp>##V3_BDPV12</stp>
        <stp>XS1292468987 CORP</stp>
        <stp>ZERO_CPN</stp>
        <stp>[BondFloaters.xlsx]FLOATERS!R18C8</stp>
        <tr r="H18" s="1"/>
      </tp>
      <tp>
        <v>2.8036300000000001</v>
        <stp/>
        <stp>##V3_BDPV12</stp>
        <stp>US30231GAE26 CORP</stp>
        <stp>YAS_FLOATER_ASSUMED_RATE</stp>
        <stp>[BondFloaters.xlsx]FLOATERS!R27C23</stp>
        <tr r="W27" s="1"/>
      </tp>
      <tp t="s">
        <v>N</v>
        <stp/>
        <stp>##V3_BDPV12</stp>
        <stp>XS1723613581 CORP</stp>
        <stp>ZERO_CPN</stp>
        <stp>[BondFloaters.xlsx]FLOATERS!R75C8</stp>
        <tr r="H75" s="1"/>
      </tp>
      <tp t="s">
        <v>#N/A N/A</v>
        <stp/>
        <stp>##V3_BDPV12</stp>
        <stp>DE000A13SL18 CORP</stp>
        <stp>YAS_FLOATER_ASSUMED_RATE</stp>
        <stp>[BondFloaters.xlsx]FLOATERS!R92C23</stp>
        <tr r="W92" s="1"/>
      </tp>
      <tp>
        <v>-0.311</v>
        <stp/>
        <stp>##V3_BDPV12</stp>
        <stp>XS1612940988 CORP</stp>
        <stp>YAS_FLOATER_ASSUMED_RATE</stp>
        <stp>[BondFloaters.xlsx]FLOATERS!R35C23</stp>
        <tr r="W35" s="1"/>
      </tp>
      <tp>
        <v>-0.311</v>
        <stp/>
        <stp>##V3_BDPV12</stp>
        <stp>DE000A19SE11 CORP</stp>
        <stp>YAS_FLOATER_ASSUMED_RATE</stp>
        <stp>[BondFloaters.xlsx]FLOATERS!R71C23</stp>
        <tr r="W71" s="1"/>
      </tp>
      <tp>
        <v>-0.311</v>
        <stp/>
        <stp>##V3_BDPV12</stp>
        <stp>XS1381690574 CORP</stp>
        <stp>YAS_FLOATER_ASSUMED_RATE</stp>
        <stp>[BondFloaters.xlsx]FLOATERS!R89C23</stp>
        <tr r="W89" s="1"/>
      </tp>
      <tp t="s">
        <v>DAIGR F 07/03/24 EMTN</v>
        <stp/>
        <stp>##V3_BDPV12</stp>
        <stp>DE000A2GSCY9 CORP</stp>
        <stp>ID_BB_SEC_NUM_DES</stp>
        <stp>[BondFloaters.xlsx]FLOATERS!R14C9</stp>
        <tr r="I14" s="1"/>
      </tp>
      <tp>
        <v>-0.311</v>
        <stp/>
        <stp>##V3_BDPV12</stp>
        <stp>XS1323463056 CORP</stp>
        <stp>YAS_FLOATER_ASSUMED_RATE</stp>
        <stp>[BondFloaters.xlsx]FLOATERS!R83C23</stp>
        <tr r="W83" s="1"/>
      </tp>
      <tp>
        <v>-0.311</v>
        <stp/>
        <stp>##V3_BDPV12</stp>
        <stp>FR0012315133 CORP</stp>
        <stp>YAS_FLOATER_ASSUMED_RATE</stp>
        <stp>[BondFloaters.xlsx]FLOATERS!R55C23</stp>
        <tr r="W55" s="1"/>
      </tp>
      <tp>
        <v>-0.311</v>
        <stp/>
        <stp>##V3_BDPV12</stp>
        <stp>XS1692846790 CORP</stp>
        <stp>YAS_FLOATER_ASSUMED_RATE</stp>
        <stp>[BondFloaters.xlsx]FLOATERS!R94C23</stp>
        <tr r="W94" s="1"/>
      </tp>
      <tp t="s">
        <v>04/11/2024</v>
        <stp/>
        <stp>##V3_BDPV12</stp>
        <stp>FR0013292687 CORP</stp>
        <stp>MATURITY</stp>
        <stp>[BondFloaters.xlsx]FLOATERS!R36C15</stp>
        <tr r="O36" s="1"/>
      </tp>
      <tp t="s">
        <v>04/11/2024</v>
        <stp/>
        <stp>##V3_BDPV12</stp>
        <stp>FR0013292687 CORP</stp>
        <stp>MATURITY</stp>
        <stp>[BondFloaters.xlsx]FLOATERS!R36C18</stp>
        <tr r="R36" s="1"/>
      </tp>
      <tp t="s">
        <v>01/12/2024</v>
        <stp/>
        <stp>##V3_BDPV12</stp>
        <stp>XS1729872736 CORP</stp>
        <stp>MATURITY</stp>
        <stp>[BondFloaters.xlsx]FLOATERS!R88C15</stp>
        <tr r="O88" s="1"/>
      </tp>
      <tp t="s">
        <v>01/12/2024</v>
        <stp/>
        <stp>##V3_BDPV12</stp>
        <stp>XS1729872736 CORP</stp>
        <stp>MATURITY</stp>
        <stp>[BondFloaters.xlsx]FLOATERS!R88C18</stp>
        <tr r="R88" s="1"/>
      </tp>
      <tp t="s">
        <v>15/03/2019</v>
        <stp/>
        <stp>##V3_BDPV12</stp>
        <stp>XS1577870808 CORP</stp>
        <stp>MATURITY</stp>
        <stp>[BondFloaters.xlsx]FLOATERS!R138C15</stp>
        <tr r="O138" s="1"/>
      </tp>
      <tp t="s">
        <v>15/03/2019</v>
        <stp/>
        <stp>##V3_BDPV12</stp>
        <stp>XS1577870808 CORP</stp>
        <stp>MATURITY</stp>
        <stp>[BondFloaters.xlsx]FLOATERS!R138C18</stp>
        <tr r="R138" s="1"/>
      </tp>
      <tp t="s">
        <v>28/06/2021</v>
        <stp/>
        <stp>##V3_BDPV12</stp>
        <stp>FR0013264884 CORP</stp>
        <stp>MATURITY</stp>
        <stp>[BondFloaters.xlsx]FLOATERS!R93C18</stp>
        <tr r="R93" s="1"/>
      </tp>
      <tp t="s">
        <v>28/06/2021</v>
        <stp/>
        <stp>##V3_BDPV12</stp>
        <stp>FR0013264884 CORP</stp>
        <stp>MATURITY</stp>
        <stp>[BondFloaters.xlsx]FLOATERS!R93C15</stp>
        <tr r="O93" s="1"/>
      </tp>
      <tp t="s">
        <v>06/07/2021</v>
        <stp/>
        <stp>##V3_BDPV12</stp>
        <stp>XS1642546078 CORP</stp>
        <stp>MATURITY</stp>
        <stp>[BondFloaters.xlsx]FLOATERS!R107C18</stp>
        <tr r="R107" s="1"/>
      </tp>
      <tp t="s">
        <v>06/07/2021</v>
        <stp/>
        <stp>##V3_BDPV12</stp>
        <stp>XS1642546078 CORP</stp>
        <stp>MATURITY</stp>
        <stp>[BondFloaters.xlsx]FLOATERS!R107C15</stp>
        <tr r="O107" s="1"/>
      </tp>
      <tp t="s">
        <v>14/03/2022</v>
        <stp/>
        <stp>##V3_BDPV12</stp>
        <stp>FR0013260486 CORP</stp>
        <stp>MATURITY</stp>
        <stp>[BondFloaters.xlsx]FLOATERS!R63C15</stp>
        <tr r="O63" s="1"/>
      </tp>
      <tp t="s">
        <v>12/04/2021</v>
        <stp/>
        <stp>##V3_BDPV12</stp>
        <stp>FR0013250685 CORP</stp>
        <stp>MATURITY</stp>
        <stp>[BondFloaters.xlsx]FLOATERS!R29C15</stp>
        <tr r="O29" s="1"/>
      </tp>
      <tp t="s">
        <v>12/04/2021</v>
        <stp/>
        <stp>##V3_BDPV12</stp>
        <stp>FR0013250685 CORP</stp>
        <stp>MATURITY</stp>
        <stp>[BondFloaters.xlsx]FLOATERS!R29C18</stp>
        <tr r="R29" s="1"/>
      </tp>
      <tp t="s">
        <v>14/03/2022</v>
        <stp/>
        <stp>##V3_BDPV12</stp>
        <stp>FR0013260486 CORP</stp>
        <stp>MATURITY</stp>
        <stp>[BondFloaters.xlsx]FLOATERS!R63C18</stp>
        <tr r="R63" s="1"/>
      </tp>
      <tp t="s">
        <v>09/09/2019</v>
        <stp/>
        <stp>##V3_BDPV12</stp>
        <stp>XS1197832832 CORP</stp>
        <stp>MATURITY</stp>
        <stp>[BondFloaters.xlsx]FLOATERS!R39C15</stp>
        <tr r="O39" s="1"/>
      </tp>
      <tp t="s">
        <v>09/09/2019</v>
        <stp/>
        <stp>##V3_BDPV12</stp>
        <stp>XS1197832832 CORP</stp>
        <stp>MATURITY</stp>
        <stp>[BondFloaters.xlsx]FLOATERS!R39C18</stp>
        <tr r="R39" s="1"/>
      </tp>
      <tp>
        <v>20</v>
        <stp/>
        <stp>##V3_BDPV12</stp>
        <stp>XS1190623907 CORP</stp>
        <stp>FLT_SPREAD</stp>
        <stp>[BondFloaters.xlsx]FLOATERS!R59C17</stp>
        <tr r="Q59" s="1"/>
      </tp>
      <tp>
        <v>20</v>
        <stp/>
        <stp>##V3_BDPV12</stp>
        <stp>XS1190623907 CORP</stp>
        <stp>FLT_SPREAD</stp>
        <stp>[BondFloaters.xlsx]FLOATERS!R59C26</stp>
        <tr r="Z59" s="1"/>
      </tp>
      <tp>
        <v>35</v>
        <stp/>
        <stp>##V3_BDPV12</stp>
        <stp>XS1828028677 CORP</stp>
        <stp>FLT_SPREAD</stp>
        <stp>[BondFloaters.xlsx]FLOATERS!R45C26</stp>
        <tr r="Z45" s="1"/>
      </tp>
      <tp>
        <v>35</v>
        <stp/>
        <stp>##V3_BDPV12</stp>
        <stp>XS1828028677 CORP</stp>
        <stp>FLT_SPREAD</stp>
        <stp>[BondFloaters.xlsx]FLOATERS!R45C17</stp>
        <tr r="Q45" s="1"/>
      </tp>
      <tp>
        <v>45</v>
        <stp/>
        <stp>##V3_BDPV12</stp>
        <stp>XS1725668633 CORP</stp>
        <stp>FLT_SPREAD</stp>
        <stp>[BondFloaters.xlsx]FLOATERS!R17C26</stp>
        <tr r="Z17" s="1"/>
      </tp>
      <tp>
        <v>98</v>
        <stp/>
        <stp>##V3_BDPV12</stp>
        <stp>XS1292513105 CORP</stp>
        <stp>FLT_SPREAD</stp>
        <stp>[BondFloaters.xlsx]FLOATERS!R69C26</stp>
        <tr r="Z69" s="1"/>
      </tp>
      <tp>
        <v>45</v>
        <stp/>
        <stp>##V3_BDPV12</stp>
        <stp>XS1725668633 CORP</stp>
        <stp>FLT_SPREAD</stp>
        <stp>[BondFloaters.xlsx]FLOATERS!R17C17</stp>
        <tr r="Q17" s="1"/>
      </tp>
      <tp>
        <v>98</v>
        <stp/>
        <stp>##V3_BDPV12</stp>
        <stp>XS1292513105 CORP</stp>
        <stp>FLT_SPREAD</stp>
        <stp>[BondFloaters.xlsx]FLOATERS!R69C17</stp>
        <tr r="Q69" s="1"/>
      </tp>
      <tp>
        <v>92.5</v>
        <stp/>
        <stp>##V3_BDPV12</stp>
        <stp>XS1033649739 CORP</stp>
        <stp>FLT_SPREAD</stp>
        <stp>[BondFloaters.xlsx]FLOATERS!R44C17</stp>
        <tr r="Q44" s="1"/>
      </tp>
      <tp>
        <v>92.5</v>
        <stp/>
        <stp>##V3_BDPV12</stp>
        <stp>XS1033649739 CORP</stp>
        <stp>FLT_SPREAD</stp>
        <stp>[BondFloaters.xlsx]FLOATERS!R44C26</stp>
        <tr r="Z44" s="1"/>
      </tp>
      <tp t="s">
        <v>24/12/2018</v>
        <stp/>
        <stp>##V3_BDPV12</stp>
        <stp>FR0012969012 CORP</stp>
        <stp>NXT_CPN_DT</stp>
        <stp>[BondFloaters.xlsx]FLOATERS!R22C14</stp>
        <tr r="N22" s="1"/>
      </tp>
      <tp t="s">
        <v>14/01/2019</v>
        <stp/>
        <stp>##V3_BDPV12</stp>
        <stp>FR0013309606 CORP</stp>
        <stp>NXT_CPN_DT</stp>
        <stp>[BondFloaters.xlsx]FLOATERS!R25C14</stp>
        <tr r="N25" s="1"/>
      </tp>
      <tp t="s">
        <v>N</v>
        <stp/>
        <stp>##V3_BDPV12</stp>
        <stp>FR0013330107 CORP</stp>
        <stp>CALLABLE</stp>
        <stp>[BondFloaters.xlsx]FLOATERS!R87C7</stp>
        <tr r="G87" s="1"/>
      </tp>
      <tp t="s">
        <v>N</v>
        <stp/>
        <stp>##V3_BDPV12</stp>
        <stp>XS1212467911 CORP</stp>
        <stp>ZERO_CPN</stp>
        <stp>[BondFloaters.xlsx]FLOATERS!R57C8</stp>
        <tr r="H57" s="1"/>
      </tp>
      <tp t="s">
        <v>N</v>
        <stp/>
        <stp>##V3_BDPV12</stp>
        <stp>XS1734547919 CORP</stp>
        <stp>ZERO_CPN</stp>
        <stp>[BondFloaters.xlsx]FLOATERS!R11C8</stp>
        <tr r="H11" s="1"/>
      </tp>
      <tp t="s">
        <v>N</v>
        <stp/>
        <stp>##V3_BDPV12</stp>
        <stp>FR0013054020 CORP</stp>
        <stp>CALLABLE</stp>
        <stp>[BondFloaters.xlsx]FLOATERS!R26C7</stp>
        <tr r="G26" s="1"/>
      </tp>
      <tp t="s">
        <v>N</v>
        <stp/>
        <stp>##V3_BDPV12</stp>
        <stp>FR0013221652 CORP</stp>
        <stp>ZERO_CPN</stp>
        <stp>[BondFloaters.xlsx]FLOATERS!R98C8</stp>
        <tr r="H98" s="1"/>
      </tp>
      <tp t="s">
        <v>N</v>
        <stp/>
        <stp>##V3_BDPV12</stp>
        <stp>XS1139316555 CORP</stp>
        <stp>CALLABLE</stp>
        <stp>[BondFloaters.xlsx]FLOATERS!R78C7</stp>
        <tr r="G78" s="1"/>
      </tp>
      <tp t="s">
        <v>N</v>
        <stp/>
        <stp>##V3_BDPV12</stp>
        <stp>XS1705553417 CORP</stp>
        <stp>CALLABLE</stp>
        <stp>[BondFloaters.xlsx]FLOATERS!R85C7</stp>
        <tr r="G85" s="1"/>
      </tp>
      <tp t="s">
        <v>N</v>
        <stp/>
        <stp>##V3_BDPV12</stp>
        <stp>XS1725668633 CORP</stp>
        <stp>CALLABLE</stp>
        <stp>[BondFloaters.xlsx]FLOATERS!R17C7</stp>
        <tr r="G17" s="1"/>
      </tp>
      <tp t="s">
        <v>N</v>
        <stp/>
        <stp>##V3_BDPV12</stp>
        <stp>XS1782508508 CORP</stp>
        <stp>CALLABLE</stp>
        <stp>[BondFloaters.xlsx]FLOATERS!R23C7</stp>
        <tr r="G23" s="1"/>
      </tp>
      <tp t="s">
        <v>N</v>
        <stp/>
        <stp>##V3_BDPV12</stp>
        <stp>XS1107266782 CORP</stp>
        <stp>CALLABLE</stp>
        <stp>[BondFloaters.xlsx]FLOATERS!R74C7</stp>
        <tr r="G74" s="1"/>
      </tp>
      <tp t="s">
        <v>11/09/2015</v>
        <stp/>
        <stp>##V3_BDPV12</stp>
        <stp>XS1288342147 CORP</stp>
        <stp>ISSUE_DT</stp>
        <stp>[BondFloaters.xlsx]FLOATERS!R108C11</stp>
        <tr r="K108" s="1"/>
      </tp>
      <tp>
        <v>-0.311</v>
        <stp/>
        <stp>##V3_BDPV12</stp>
        <stp>XS1382791892 CORP</stp>
        <stp>YAS_FLOATER_ASSUMED_RATE</stp>
        <stp>[BondFloaters.xlsx]FLOATERS!R30C23</stp>
        <tr r="W30" s="1"/>
      </tp>
      <tp>
        <v>-0.311</v>
        <stp/>
        <stp>##V3_BDPV12</stp>
        <stp>XS1723613581 CORP</stp>
        <stp>YAS_FLOATER_ASSUMED_RATE</stp>
        <stp>[BondFloaters.xlsx]FLOATERS!R75C23</stp>
        <tr r="W75" s="1"/>
      </tp>
      <tp>
        <v>2.8036300000000001</v>
        <stp/>
        <stp>##V3_BDPV12</stp>
        <stp>XS1635905570 CORP</stp>
        <stp>YAS_FLOATER_ASSUMED_RATE</stp>
        <stp>[BondFloaters.xlsx]FLOATERS!R79C23</stp>
        <tr r="W79" s="1"/>
      </tp>
      <tp t="s">
        <v>08/07/2020</v>
        <stp/>
        <stp>##V3_BDPV12</stp>
        <stp>FR0013241379 CORP</stp>
        <stp>MATURITY</stp>
        <stp>[BondFloaters.xlsx]FLOATERS!R38C15</stp>
        <tr r="O38" s="1"/>
      </tp>
      <tp t="s">
        <v>08/07/2020</v>
        <stp/>
        <stp>##V3_BDPV12</stp>
        <stp>FR0013241379 CORP</stp>
        <stp>MATURITY</stp>
        <stp>[BondFloaters.xlsx]FLOATERS!R38C18</stp>
        <tr r="R38" s="1"/>
      </tp>
      <tp t="s">
        <v>12/09/2019</v>
        <stp/>
        <stp>##V3_BDPV12</stp>
        <stp>XS1108681625 CORP</stp>
        <stp>MATURITY</stp>
        <stp>[BondFloaters.xlsx]FLOATERS!R40C18</stp>
        <tr r="R40" s="1"/>
      </tp>
      <tp t="s">
        <v>12/09/2019</v>
        <stp/>
        <stp>##V3_BDPV12</stp>
        <stp>XS1108681625 CORP</stp>
        <stp>MATURITY</stp>
        <stp>[BondFloaters.xlsx]FLOATERS!R40C15</stp>
        <tr r="O40" s="1"/>
      </tp>
      <tp t="s">
        <v>15/06/2021</v>
        <stp/>
        <stp>##V3_BDPV12</stp>
        <stp>XS1734547919 CORP</stp>
        <stp>MATURITY</stp>
        <stp>[BondFloaters.xlsx]FLOATERS!R11C18</stp>
        <tr r="R11" s="1"/>
      </tp>
      <tp t="s">
        <v>15/06/2021</v>
        <stp/>
        <stp>##V3_BDPV12</stp>
        <stp>XS1734547919 CORP</stp>
        <stp>MATURITY</stp>
        <stp>[BondFloaters.xlsx]FLOATERS!R11C15</stp>
        <tr r="O11" s="1"/>
      </tp>
      <tp t="s">
        <v>23/01/2018</v>
        <stp/>
        <stp>##V3_BDPV12</stp>
        <stp>BE6301509012 CORP</stp>
        <stp>ISSUE_DT</stp>
        <stp>[BondFloaters.xlsx]FLOATERS!R124C11</stp>
        <tr r="K124" s="1"/>
      </tp>
      <tp t="s">
        <v>#N/A Field Not Applicable</v>
        <stp/>
        <stp>##V3_BDPV12</stp>
        <stp>FR0013216884 CORP</stp>
        <stp>NXT_CPN_DT</stp>
        <stp>[BondFloaters.xlsx]FLOATERS!R7C14</stp>
        <tr r="N7" s="1"/>
      </tp>
      <tp t="s">
        <v>30/03/2019</v>
        <stp/>
        <stp>##V3_BDPV12</stp>
        <stp>XS1586555515 CORP</stp>
        <stp>MATURITY</stp>
        <stp>[BondFloaters.xlsx]FLOATERS!R53C15</stp>
        <tr r="O53" s="1"/>
      </tp>
      <tp t="s">
        <v>24/10/2022</v>
        <stp/>
        <stp>##V3_BDPV12</stp>
        <stp>XS1705553417 CORP</stp>
        <stp>MATURITY</stp>
        <stp>[BondFloaters.xlsx]FLOATERS!R85C15</stp>
        <tr r="O85" s="1"/>
      </tp>
      <tp t="s">
        <v>30/03/2019</v>
        <stp/>
        <stp>##V3_BDPV12</stp>
        <stp>XS1586555515 CORP</stp>
        <stp>MATURITY</stp>
        <stp>[BondFloaters.xlsx]FLOATERS!R53C18</stp>
        <tr r="R53" s="1"/>
      </tp>
      <tp t="s">
        <v>24/10/2022</v>
        <stp/>
        <stp>##V3_BDPV12</stp>
        <stp>XS1705553417 CORP</stp>
        <stp>MATURITY</stp>
        <stp>[BondFloaters.xlsx]FLOATERS!R85C18</stp>
        <tr r="R85" s="1"/>
      </tp>
      <tp t="s">
        <v>28/04/2020</v>
        <stp/>
        <stp>##V3_BDPV12</stp>
        <stp>XS1224953452 CORP</stp>
        <stp>MATURITY</stp>
        <stp>[BondFloaters.xlsx]FLOATERS!R135C18</stp>
        <tr r="R135" s="1"/>
      </tp>
      <tp t="s">
        <v>28/04/2020</v>
        <stp/>
        <stp>##V3_BDPV12</stp>
        <stp>XS1224953452 CORP</stp>
        <stp>MATURITY</stp>
        <stp>[BondFloaters.xlsx]FLOATERS!R135C15</stp>
        <tr r="O135" s="1"/>
      </tp>
      <tp>
        <v>50</v>
        <stp/>
        <stp>##V3_BDPV12</stp>
        <stp>XS1619284372 CORP</stp>
        <stp>FLT_SPREAD</stp>
        <stp>[BondFloaters.xlsx]FLOATERS!R68C26</stp>
        <tr r="Z68" s="1"/>
      </tp>
      <tp>
        <v>50</v>
        <stp/>
        <stp>##V3_BDPV12</stp>
        <stp>XS1619284372 CORP</stp>
        <stp>FLT_SPREAD</stp>
        <stp>[BondFloaters.xlsx]FLOATERS!R68C17</stp>
        <tr r="Q68" s="1"/>
      </tp>
      <tp>
        <v>30</v>
        <stp/>
        <stp>##V3_BDPV12</stp>
        <stp>XS1139316555 CORP</stp>
        <stp>FLT_SPREAD</stp>
        <stp>[BondFloaters.xlsx]FLOATERS!R78C17</stp>
        <tr r="Q78" s="1"/>
      </tp>
      <tp>
        <v>30</v>
        <stp/>
        <stp>##V3_BDPV12</stp>
        <stp>XS1139316555 CORP</stp>
        <stp>FLT_SPREAD</stp>
        <stp>[BondFloaters.xlsx]FLOATERS!R78C26</stp>
        <tr r="Z78" s="1"/>
      </tp>
      <tp>
        <v>50</v>
        <stp/>
        <stp>##V3_BDPV12</stp>
        <stp>XS1664643746 CORP</stp>
        <stp>FLT_SPREAD</stp>
        <stp>[BondFloaters.xlsx]FLOATERS!R73C26</stp>
        <tr r="Z73" s="1"/>
      </tp>
      <tp>
        <v>23</v>
        <stp/>
        <stp>##V3_BDPV12</stp>
        <stp>XS1234366448 CORP</stp>
        <stp>FLT_SPREAD</stp>
        <stp>[BondFloaters.xlsx]FLOATERS!R52C17</stp>
        <tr r="Q52" s="1"/>
      </tp>
      <tp t="s">
        <v>#N/A N/A</v>
        <stp/>
        <stp>##V3_BDPV12</stp>
        <stp>FR0013216884 CORP</stp>
        <stp>YAS_BOND_PX</stp>
        <stp>[BondFloaters.xlsx]FLOATERS!R7C28</stp>
        <tr r="AB7" s="1"/>
      </tp>
      <tp>
        <v>55</v>
        <stp/>
        <stp>##V3_BDPV12</stp>
        <stp>XS1319814817 CORP</stp>
        <stp>FLT_SPREAD</stp>
        <stp>[BondFloaters.xlsx]FLOATERS!R77C17</stp>
        <tr r="Q77" s="1"/>
      </tp>
      <tp>
        <v>55</v>
        <stp/>
        <stp>##V3_BDPV12</stp>
        <stp>XS1319814817 CORP</stp>
        <stp>FLT_SPREAD</stp>
        <stp>[BondFloaters.xlsx]FLOATERS!R77C26</stp>
        <tr r="Z77" s="1"/>
      </tp>
      <tp>
        <v>50</v>
        <stp/>
        <stp>##V3_BDPV12</stp>
        <stp>XS1664643746 CORP</stp>
        <stp>FLT_SPREAD</stp>
        <stp>[BondFloaters.xlsx]FLOATERS!R73C17</stp>
        <tr r="Q73" s="1"/>
      </tp>
      <tp>
        <v>23</v>
        <stp/>
        <stp>##V3_BDPV12</stp>
        <stp>XS1234366448 CORP</stp>
        <stp>FLT_SPREAD</stp>
        <stp>[BondFloaters.xlsx]FLOATERS!R52C26</stp>
        <tr r="Z52" s="1"/>
      </tp>
      <tp>
        <v>35</v>
        <stp/>
        <stp>##V3_BDPV12</stp>
        <stp>XS1806435324 CORP</stp>
        <stp>FLT_SPREAD</stp>
        <stp>[BondFloaters.xlsx]FLOATERS!R34C17</stp>
        <tr r="Q34" s="1"/>
      </tp>
      <tp>
        <v>35</v>
        <stp/>
        <stp>##V3_BDPV12</stp>
        <stp>XS1806435324 CORP</stp>
        <stp>FLT_SPREAD</stp>
        <stp>[BondFloaters.xlsx]FLOATERS!R34C26</stp>
        <tr r="Z34" s="1"/>
      </tp>
      <tp t="s">
        <v>#N/A Field Not Applicable</v>
        <stp/>
        <stp>##V3_BDPV12</stp>
        <stp>DE000A185WC9 CORP</stp>
        <stp>NXT_CPN_DT</stp>
        <stp>[BondFloaters.xlsx]FLOATERS!R47C14</stp>
        <tr r="N47" s="1"/>
      </tp>
      <tp t="s">
        <v>31/12/2018</v>
        <stp/>
        <stp>##V3_BDPV12</stp>
        <stp>FR0013266343 CORP</stp>
        <stp>NXT_CPN_DT</stp>
        <stp>[BondFloaters.xlsx]FLOATERS!R91C14</stp>
        <tr r="N91" s="1"/>
      </tp>
      <tp t="s">
        <v>#N/A Field Not Applicable</v>
        <stp/>
        <stp>##V3_BDPV12</stp>
        <stp>FR0012146751 CORP</stp>
        <stp>NXT_CPN_DT</stp>
        <stp>[BondFloaters.xlsx]FLOATERS!R67C14</stp>
        <tr r="N67" s="1"/>
      </tp>
      <tp t="s">
        <v>N</v>
        <stp/>
        <stp>##V3_BDPV12</stp>
        <stp>XS1823165631 CORP</stp>
        <stp>CALLABLE</stp>
        <stp>[BondFloaters.xlsx]FLOATERS!R70C7</stp>
        <tr r="G70" s="1"/>
      </tp>
      <tp t="s">
        <v>11/01/2018</v>
        <stp/>
        <stp>##V3_BDPV12</stp>
        <stp>DE000A19UNN9 CORP</stp>
        <stp>ISSUE_DT</stp>
        <stp>[BondFloaters.xlsx]FLOATERS!R125C11</stp>
        <tr r="K125" s="1"/>
      </tp>
      <tp t="s">
        <v>N</v>
        <stp/>
        <stp>##V3_BDPV12</stp>
        <stp>XS1381690574 CORP</stp>
        <stp>ZERO_CPN</stp>
        <stp>[BondFloaters.xlsx]FLOATERS!R89C8</stp>
        <tr r="H89" s="1"/>
      </tp>
      <tp t="s">
        <v>N</v>
        <stp/>
        <stp>##V3_BDPV12</stp>
        <stp>XS1089831249 CORP</stp>
        <stp>ZERO_CPN</stp>
        <stp>[BondFloaters.xlsx]FLOATERS!R56C8</stp>
        <tr r="H56" s="1"/>
      </tp>
      <tp t="s">
        <v>N</v>
        <stp/>
        <stp>##V3_BDPV12</stp>
        <stp>FR0013260486 CORP</stp>
        <stp>CALLABLE</stp>
        <stp>[BondFloaters.xlsx]FLOATERS!R63C7</stp>
        <tr r="G63" s="1"/>
      </tp>
      <tp t="s">
        <v>N</v>
        <stp/>
        <stp>##V3_BDPV12</stp>
        <stp>XS1821814800 CORP</stp>
        <stp>ZERO_CPN</stp>
        <stp>[BondFloaters.xlsx]FLOATERS!R84C8</stp>
        <tr r="H84" s="1"/>
      </tp>
      <tp t="s">
        <v>N</v>
        <stp/>
        <stp>##V3_BDPV12</stp>
        <stp>XS1485660895 CORP</stp>
        <stp>CALLABLE</stp>
        <stp>[BondFloaters.xlsx]FLOATERS!R58C7</stp>
        <tr r="G58" s="1"/>
      </tp>
      <tp t="s">
        <v>N</v>
        <stp/>
        <stp>##V3_BDPV12</stp>
        <stp>XS1792505197 CORP</stp>
        <stp>CALLABLE</stp>
        <stp>[BondFloaters.xlsx]FLOATERS!R96C7</stp>
        <tr r="G96" s="1"/>
      </tp>
      <tp t="s">
        <v>N</v>
        <stp/>
        <stp>##V3_BDPV12</stp>
        <stp>FR0013250685 CORP</stp>
        <stp>ZERO_CPN</stp>
        <stp>[BondFloaters.xlsx]FLOATERS!R29C8</stp>
        <tr r="H29" s="1"/>
      </tp>
      <tp t="s">
        <v>N</v>
        <stp/>
        <stp>##V3_BDPV12</stp>
        <stp>DE000A19RXA1 CORP</stp>
        <stp>ZERO_CPN</stp>
        <stp>[BondFloaters.xlsx]FLOATERS!R62C8</stp>
        <tr r="H62" s="1"/>
      </tp>
      <tp t="s">
        <v>15/01/2016</v>
        <stp/>
        <stp>##V3_BDPV12</stp>
        <stp>XS1346107433 CORP</stp>
        <stp>ISSUE_DT</stp>
        <stp>[BondFloaters.xlsx]FLOATERS!R134C11</stp>
        <tr r="K134" s="1"/>
      </tp>
      <tp>
        <v>-0.311</v>
        <stp/>
        <stp>##V3_BDPV12</stp>
        <stp>XS1485660895 CORP</stp>
        <stp>YAS_FLOATER_ASSUMED_RATE</stp>
        <stp>[BondFloaters.xlsx]FLOATERS!R58C23</stp>
        <tr r="W58" s="1"/>
      </tp>
      <tp t="s">
        <v>#N/A N/A</v>
        <stp/>
        <stp>##V3_BDPV12</stp>
        <stp>XS1522989869 CORP</stp>
        <stp>YAS_FLOATER_ASSUMED_RATE</stp>
        <stp>[BondFloaters.xlsx]FLOATERS!R33C23</stp>
        <tr r="W33" s="1"/>
      </tp>
      <tp t="s">
        <v>26/02/2021</v>
        <stp/>
        <stp>##V3_BDPV12</stp>
        <stp>XS1782508508 CORP</stp>
        <stp>MATURITY</stp>
        <stp>[BondFloaters.xlsx]FLOATERS!R23C18</stp>
        <tr r="R23" s="1"/>
      </tp>
      <tp t="s">
        <v>26/02/2021</v>
        <stp/>
        <stp>##V3_BDPV12</stp>
        <stp>XS1782508508 CORP</stp>
        <stp>MATURITY</stp>
        <stp>[BondFloaters.xlsx]FLOATERS!R23C15</stp>
        <tr r="O23" s="1"/>
      </tp>
      <tp t="s">
        <v>13/08/2018</v>
        <stp/>
        <stp>##V3_BDPV12</stp>
        <stp>XS1362349869 CORP</stp>
        <stp>MATURITY</stp>
        <stp>[BondFloaters.xlsx]FLOATERS!R65C15</stp>
        <tr r="O65" s="1"/>
      </tp>
      <tp t="s">
        <v>13/08/2018</v>
        <stp/>
        <stp>##V3_BDPV12</stp>
        <stp>XS1362349869 CORP</stp>
        <stp>MATURITY</stp>
        <stp>[BondFloaters.xlsx]FLOATERS!R65C18</stp>
        <tr r="R65" s="1"/>
      </tp>
      <tp t="s">
        <v>20/02/2019</v>
        <stp/>
        <stp>##V3_BDPV12</stp>
        <stp>XS1033649739 CORP</stp>
        <stp>MATURITY</stp>
        <stp>[BondFloaters.xlsx]FLOATERS!R44C15</stp>
        <tr r="O44" s="1"/>
      </tp>
      <tp t="s">
        <v>20/02/2019</v>
        <stp/>
        <stp>##V3_BDPV12</stp>
        <stp>XS1033649739 CORP</stp>
        <stp>MATURITY</stp>
        <stp>[BondFloaters.xlsx]FLOATERS!R44C18</stp>
        <tr r="R44" s="1"/>
      </tp>
      <tp t="s">
        <v>24/05/2020</v>
        <stp/>
        <stp>##V3_BDPV12</stp>
        <stp>XS1619284372 CORP</stp>
        <stp>MATURITY</stp>
        <stp>[BondFloaters.xlsx]FLOATERS!R68C18</stp>
        <tr r="R68" s="1"/>
      </tp>
      <tp t="s">
        <v>24/05/2020</v>
        <stp/>
        <stp>##V3_BDPV12</stp>
        <stp>XS1619284372 CORP</stp>
        <stp>MATURITY</stp>
        <stp>[BondFloaters.xlsx]FLOATERS!R68C15</stp>
        <tr r="O68" s="1"/>
      </tp>
      <tp t="s">
        <v>28/06/2017</v>
        <stp/>
        <stp>##V3_BDPV12</stp>
        <stp>FR0013263936 CORP</stp>
        <stp>ISSUE_DT</stp>
        <stp>[BondFloaters.xlsx]FLOATERS!R136C11</stp>
        <tr r="K136" s="1"/>
      </tp>
      <tp t="s">
        <v>15/06/2018</v>
        <stp/>
        <stp>##V3_BDPV12</stp>
        <stp>FR0013342664 CORP</stp>
        <stp>ISSUE_DT</stp>
        <stp>[BondFloaters.xlsx]FLOATERS!R122C11</stp>
        <tr r="K122" s="1"/>
      </tp>
      <tp t="s">
        <v>17/06/2021</v>
        <stp/>
        <stp>##V3_BDPV12</stp>
        <stp>XS1753030490 CORP</stp>
        <stp>MATURITY</stp>
        <stp>[BondFloaters.xlsx]FLOATERS!R106C18</stp>
        <tr r="R106" s="1"/>
      </tp>
      <tp t="s">
        <v>17/06/2021</v>
        <stp/>
        <stp>##V3_BDPV12</stp>
        <stp>XS1753030490 CORP</stp>
        <stp>MATURITY</stp>
        <stp>[BondFloaters.xlsx]FLOATERS!R106C15</stp>
        <tr r="O106" s="1"/>
      </tp>
      <tp t="s">
        <v>14/01/2020</v>
        <stp/>
        <stp>##V3_BDPV12</stp>
        <stp>FR0012432904 CORP</stp>
        <stp>MATURITY</stp>
        <stp>[BondFloaters.xlsx]FLOATERS!R48C15</stp>
        <tr r="O48" s="1"/>
      </tp>
      <tp t="s">
        <v>14/01/2020</v>
        <stp/>
        <stp>##V3_BDPV12</stp>
        <stp>FR0012432904 CORP</stp>
        <stp>MATURITY</stp>
        <stp>[BondFloaters.xlsx]FLOATERS!R48C18</stp>
        <tr r="R48" s="1"/>
      </tp>
      <tp t="s">
        <v>17/09/2019</v>
        <stp/>
        <stp>##V3_BDPV12</stp>
        <stp>XS1292513105 CORP</stp>
        <stp>MATURITY</stp>
        <stp>[BondFloaters.xlsx]FLOATERS!R69C15</stp>
        <tr r="O69" s="1"/>
      </tp>
      <tp t="s">
        <v>30/06/2022</v>
        <stp/>
        <stp>##V3_BDPV12</stp>
        <stp>XS1637162246 CORP</stp>
        <stp>MATURITY</stp>
        <stp>[BondFloaters.xlsx]FLOATERS!R32C18</stp>
        <tr r="R32" s="1"/>
      </tp>
      <tp t="s">
        <v>17/09/2019</v>
        <stp/>
        <stp>##V3_BDPV12</stp>
        <stp>XS1292513105 CORP</stp>
        <stp>MATURITY</stp>
        <stp>[BondFloaters.xlsx]FLOATERS!R69C18</stp>
        <tr r="R69" s="1"/>
      </tp>
      <tp t="s">
        <v>30/06/2022</v>
        <stp/>
        <stp>##V3_BDPV12</stp>
        <stp>XS1637162246 CORP</stp>
        <stp>MATURITY</stp>
        <stp>[BondFloaters.xlsx]FLOATERS!R32C15</stp>
        <tr r="O32" s="1"/>
      </tp>
      <tp t="s">
        <v>10/09/2018</v>
        <stp/>
        <stp>##V3_BDPV12</stp>
        <stp>FR0012146751 CORP</stp>
        <stp>MATURITY</stp>
        <stp>[BondFloaters.xlsx]FLOATERS!R67C15</stp>
        <tr r="O67" s="1"/>
      </tp>
      <tp t="s">
        <v>10/09/2018</v>
        <stp/>
        <stp>##V3_BDPV12</stp>
        <stp>FR0012146751 CORP</stp>
        <stp>MATURITY</stp>
        <stp>[BondFloaters.xlsx]FLOATERS!R67C18</stp>
        <tr r="R67" s="1"/>
      </tp>
      <tp t="s">
        <v>01/04/2020</v>
        <stp/>
        <stp>##V3_BDPV12</stp>
        <stp>XS1212467911 CORP</stp>
        <stp>MATURITY</stp>
        <stp>[BondFloaters.xlsx]FLOATERS!R57C18</stp>
        <tr r="R57" s="1"/>
      </tp>
      <tp t="s">
        <v>01/04/2020</v>
        <stp/>
        <stp>##V3_BDPV12</stp>
        <stp>XS1212467911 CORP</stp>
        <stp>MATURITY</stp>
        <stp>[BondFloaters.xlsx]FLOATERS!R57C15</stp>
        <tr r="O57" s="1"/>
      </tp>
      <tp t="s">
        <v>13/10/2023</v>
        <stp/>
        <stp>##V3_BDPV12</stp>
        <stp>XS1306411726 CORP</stp>
        <stp>MATURITY</stp>
        <stp>[BondFloaters.xlsx]FLOATERS!R115C18</stp>
        <tr r="R115" s="1"/>
      </tp>
      <tp t="s">
        <v>13/10/2023</v>
        <stp/>
        <stp>##V3_BDPV12</stp>
        <stp>XS1306411726 CORP</stp>
        <stp>MATURITY</stp>
        <stp>[BondFloaters.xlsx]FLOATERS!R115C15</stp>
        <tr r="O115" s="1"/>
      </tp>
      <tp t="s">
        <v>21/02/2022</v>
        <stp/>
        <stp>##V3_BDPV12</stp>
        <stp>XS1568906421 CORP</stp>
        <stp>MATURITY</stp>
        <stp>[BondFloaters.xlsx]FLOATERS!R123C15</stp>
        <tr r="O123" s="1"/>
      </tp>
      <tp t="s">
        <v>21/02/2022</v>
        <stp/>
        <stp>##V3_BDPV12</stp>
        <stp>XS1568906421 CORP</stp>
        <stp>MATURITY</stp>
        <stp>[BondFloaters.xlsx]FLOATERS!R123C18</stp>
        <tr r="R123" s="1"/>
      </tp>
      <tp t="s">
        <v>28/11/2019</v>
        <stp/>
        <stp>##V3_BDPV12</stp>
        <stp>XS1725668633 CORP</stp>
        <stp>MATURITY</stp>
        <stp>[BondFloaters.xlsx]FLOATERS!R17C15</stp>
        <tr r="O17" s="1"/>
      </tp>
      <tp t="s">
        <v>28/11/2019</v>
        <stp/>
        <stp>##V3_BDPV12</stp>
        <stp>XS1725668633 CORP</stp>
        <stp>MATURITY</stp>
        <stp>[BondFloaters.xlsx]FLOATERS!R17C18</stp>
        <tr r="R17" s="1"/>
      </tp>
      <tp t="s">
        <v>06/03/2019</v>
        <stp/>
        <stp>##V3_BDPV12</stp>
        <stp>XS1574156540 CORP</stp>
        <stp>MATURITY</stp>
        <stp>[BondFloaters.xlsx]FLOATERS!R90C15</stp>
        <tr r="O90" s="1"/>
      </tp>
      <tp t="s">
        <v>06/03/2019</v>
        <stp/>
        <stp>##V3_BDPV12</stp>
        <stp>XS1574156540 CORP</stp>
        <stp>MATURITY</stp>
        <stp>[BondFloaters.xlsx]FLOATERS!R90C18</stp>
        <tr r="R90" s="1"/>
      </tp>
      <tp>
        <v>42</v>
        <stp/>
        <stp>##V3_BDPV12</stp>
        <stp>XS1734547919 CORP</stp>
        <stp>FLT_SPREAD</stp>
        <stp>[BondFloaters.xlsx]FLOATERS!R11C17</stp>
        <tr r="Q11" s="1"/>
      </tp>
      <tp>
        <v>42</v>
        <stp/>
        <stp>##V3_BDPV12</stp>
        <stp>XS1734547919 CORP</stp>
        <stp>FLT_SPREAD</stp>
        <stp>[BondFloaters.xlsx]FLOATERS!R11C26</stp>
        <tr r="Z11" s="1"/>
      </tp>
      <tp>
        <v>23</v>
        <stp/>
        <stp>##V3_BDPV12</stp>
        <stp>XS1651071521 CORP</stp>
        <stp>FLT_SPREAD</stp>
        <stp>[BondFloaters.xlsx]FLOATERS!R46C17</stp>
        <tr r="Q46" s="1"/>
      </tp>
      <tp>
        <v>23</v>
        <stp/>
        <stp>##V3_BDPV12</stp>
        <stp>XS1651071521 CORP</stp>
        <stp>FLT_SPREAD</stp>
        <stp>[BondFloaters.xlsx]FLOATERS!R46C26</stp>
        <tr r="Z46" s="1"/>
      </tp>
      <tp t="s">
        <v>#N/A Field Not Applicable</v>
        <stp/>
        <stp>##V3_BDPV12</stp>
        <stp>FR0013257599 CORP</stp>
        <stp>NXT_CPN_DT</stp>
        <stp>[BondFloaters.xlsx]FLOATERS!R20C14</stp>
        <tr r="N20" s="1"/>
      </tp>
      <tp t="s">
        <v>N</v>
        <stp/>
        <stp>##V3_BDPV12</stp>
        <stp>XS1108681625 CORP</stp>
        <stp>ZERO_CPN</stp>
        <stp>[BondFloaters.xlsx]FLOATERS!R40C8</stp>
        <tr r="H40" s="1"/>
      </tp>
      <tp t="s">
        <v>N</v>
        <stp/>
        <stp>##V3_BDPV12</stp>
        <stp>XS1612940988 CORP</stp>
        <stp>ZERO_CPN</stp>
        <stp>[BondFloaters.xlsx]FLOATERS!R35C8</stp>
        <tr r="H35" s="1"/>
      </tp>
      <tp t="s">
        <v>N</v>
        <stp/>
        <stp>##V3_BDPV12</stp>
        <stp>FR0013322146 CORP</stp>
        <stp>CALLABLE</stp>
        <stp>[BondFloaters.xlsx]FLOATERS!R95C7</stp>
        <tr r="G95" s="1"/>
      </tp>
      <tp t="s">
        <v>N</v>
        <stp/>
        <stp>##V3_BDPV12</stp>
        <stp>FR0011884899 CORP</stp>
        <stp>ZERO_CPN</stp>
        <stp>[BondFloaters.xlsx]FLOATERS!R66C8</stp>
        <tr r="H66" s="1"/>
      </tp>
      <tp t="s">
        <v>N</v>
        <stp/>
        <stp>##V3_BDPV12</stp>
        <stp>XS1671754650 CORP</stp>
        <stp>ZERO_CPN</stp>
        <stp>[BondFloaters.xlsx]FLOATERS!R19C8</stp>
        <tr r="H19" s="1"/>
      </tp>
      <tp t="s">
        <v>N</v>
        <stp/>
        <stp>##V3_BDPV12</stp>
        <stp>XS1197832832 CORP</stp>
        <stp>CALLABLE</stp>
        <stp>[BondFloaters.xlsx]FLOATERS!R39C7</stp>
        <tr r="G39" s="1"/>
      </tp>
      <tp t="s">
        <v>N</v>
        <stp/>
        <stp>##V3_BDPV12</stp>
        <stp>XS1729872736 CORP</stp>
        <stp>CALLABLE</stp>
        <stp>[BondFloaters.xlsx]FLOATERS!R88C7</stp>
        <tr r="G88" s="1"/>
      </tp>
      <tp t="s">
        <v>N</v>
        <stp/>
        <stp>##V3_BDPV12</stp>
        <stp>XS1599109896 CORP</stp>
        <stp>CALLABLE</stp>
        <stp>[BondFloaters.xlsx]FLOATERS!R97C7</stp>
        <tr r="G97" s="1"/>
      </tp>
      <tp t="s">
        <v>N</v>
        <stp/>
        <stp>##V3_BDPV12</stp>
        <stp>XS1144084099 CORP</stp>
        <stp>CALLABLE</stp>
        <stp>[BondFloaters.xlsx]FLOATERS!R82C7</stp>
        <tr r="G82" s="1"/>
      </tp>
      <tp t="s">
        <v>N</v>
        <stp/>
        <stp>##V3_BDPV12</stp>
        <stp>XS1319814817 CORP</stp>
        <stp>CALLABLE</stp>
        <stp>[BondFloaters.xlsx]FLOATERS!R77C7</stp>
        <tr r="G77" s="1"/>
      </tp>
      <tp t="s">
        <v>N</v>
        <stp/>
        <stp>##V3_BDPV12</stp>
        <stp>XS1082839553 CORP</stp>
        <stp>CALLABLE</stp>
        <stp>[BondFloaters.xlsx]FLOATERS!R61C7</stp>
        <tr r="G61" s="1"/>
      </tp>
      <tp>
        <v>-0.311</v>
        <stp/>
        <stp>##V3_BDPV12</stp>
        <stp>XS1089831249 CORP</stp>
        <stp>YAS_FLOATER_ASSUMED_RATE</stp>
        <stp>[BondFloaters.xlsx]FLOATERS!R56C23</stp>
        <tr r="W56" s="1"/>
      </tp>
      <tp>
        <v>-0.311</v>
        <stp/>
        <stp>##V3_BDPV12</stp>
        <stp>XS1787517199 CORP</stp>
        <stp>YAS_FLOATER_ASSUMED_RATE</stp>
        <stp>[BondFloaters.xlsx]FLOATERS!R81C23</stp>
        <tr r="W81" s="1"/>
      </tp>
      <tp t="s">
        <v>25/02/2016</v>
        <stp/>
        <stp>##V3_BDPV12</stp>
        <stp>XS1372838083 CORP</stp>
        <stp>ISSUE_DT</stp>
        <stp>[BondFloaters.xlsx]FLOATERS!R130C11</stp>
        <tr r="K130" s="1"/>
      </tp>
      <tp t="s">
        <v>SAPGR F 03/13/21</v>
        <stp/>
        <stp>##V3_BDPV12</stp>
        <stp>DE000A2G8VS7 CORP</stp>
        <stp>ID_BB_SEC_NUM_DES</stp>
        <stp>[BondFloaters.xlsx]FLOATERS!R43C9</stp>
        <tr r="I43" s="1"/>
      </tp>
      <tp>
        <v>-0.311</v>
        <stp/>
        <stp>##V3_BDPV12</stp>
        <stp>XS1249494086 CORP</stp>
        <stp>YAS_FLOATER_ASSUMED_RATE</stp>
        <stp>[BondFloaters.xlsx]FLOATERS!R50C23</stp>
        <tr r="W50" s="1"/>
      </tp>
      <tp>
        <v>-0.311</v>
        <stp/>
        <stp>##V3_BDPV12</stp>
        <stp>XS1292468987 CORP</stp>
        <stp>YAS_FLOATER_ASSUMED_RATE</stp>
        <stp>[BondFloaters.xlsx]FLOATERS!R18C23</stp>
        <tr r="W18" s="1"/>
      </tp>
      <tp>
        <v>-0.311</v>
        <stp/>
        <stp>##V3_BDPV12</stp>
        <stp>XS1642545690 CORP</stp>
        <stp>YAS_FLOATER_ASSUMED_RATE</stp>
        <stp>[BondFloaters.xlsx]FLOATERS!R76C23</stp>
        <tr r="W76" s="1"/>
      </tp>
      <tp>
        <v>-0.311</v>
        <stp/>
        <stp>##V3_BDPV12</stp>
        <stp>XS1718416586 CORP</stp>
        <stp>YAS_FLOATER_ASSUMED_RATE</stp>
        <stp>[BondFloaters.xlsx]FLOATERS!R54C23</stp>
        <tr r="W54" s="1"/>
      </tp>
      <tp>
        <v>-0.311</v>
        <stp/>
        <stp>##V3_BDPV12</stp>
        <stp>XS1792505197 CORP</stp>
        <stp>YAS_FLOATER_ASSUMED_RATE</stp>
        <stp>[BondFloaters.xlsx]FLOATERS!R96C23</stp>
        <tr r="W96" s="1"/>
      </tp>
      <tp t="s">
        <v>26/02/2019</v>
        <stp/>
        <stp>##V3_BDPV12</stp>
        <stp>XS1781813511 CORP</stp>
        <stp>NXT_CPN_DT</stp>
        <stp>[BondFloaters.xlsx]FLOATERS!R8C14</stp>
        <tr r="N8" s="1"/>
      </tp>
      <tp t="s">
        <v>26/05/2017</v>
        <stp/>
        <stp>##V3_BDPV12</stp>
        <stp>XS1622634126 CORP</stp>
        <stp>ISSUE_DT</stp>
        <stp>[BondFloaters.xlsx]FLOATERS!R121C11</stp>
        <tr r="K121" s="1"/>
      </tp>
      <tp t="s">
        <v>11/10/2019</v>
        <stp/>
        <stp>##V3_BDPV12</stp>
        <stp>XS1806435324 CORP</stp>
        <stp>MATURITY</stp>
        <stp>[BondFloaters.xlsx]FLOATERS!R34C18</stp>
        <tr r="R34" s="1"/>
      </tp>
      <tp t="s">
        <v>11/10/2019</v>
        <stp/>
        <stp>##V3_BDPV12</stp>
        <stp>XS1806435324 CORP</stp>
        <stp>MATURITY</stp>
        <stp>[BondFloaters.xlsx]FLOATERS!R34C15</stp>
        <tr r="O34" s="1"/>
      </tp>
      <tp t="s">
        <v>AN4621396</v>
        <stp/>
        <stp>##V3_BDPV12</stp>
        <stp>DE000A19HBM3 CORP</stp>
        <stp>ID_CUSIP</stp>
        <stp>[BondFloaters.xlsx]FLOATERS!R99C1</stp>
        <tr r="A99" s="1"/>
      </tp>
      <tp>
        <v>21</v>
        <stp/>
        <stp>##V3_BDPV12</stp>
        <stp>DE000A19HBM3 CORP</stp>
        <stp>CALC_TYP</stp>
        <stp>[BondFloaters.xlsx]FLOATERS!R99C6</stp>
        <tr r="F99" s="1"/>
      </tp>
      <tp t="s">
        <v>18/03/2016</v>
        <stp/>
        <stp>##V3_BDPV12</stp>
        <stp>FR0013136330 CORP</stp>
        <stp>ISSUE_DT</stp>
        <stp>[BondFloaters.xlsx]FLOATERS!R103C11</stp>
        <tr r="K103" s="1"/>
      </tp>
      <tp t="s">
        <v>19/10/2018</v>
        <stp/>
        <stp>##V3_BDPV12</stp>
        <stp>BE6276038419 CORP</stp>
        <stp>MATURITY</stp>
        <stp>[BondFloaters.xlsx]FLOATERS!R86C15</stp>
        <tr r="O86" s="1"/>
      </tp>
      <tp t="s">
        <v>19/10/2018</v>
        <stp/>
        <stp>##V3_BDPV12</stp>
        <stp>BE6276038419 CORP</stp>
        <stp>MATURITY</stp>
        <stp>[BondFloaters.xlsx]FLOATERS!R86C18</stp>
        <tr r="R86" s="1"/>
      </tp>
      <tp>
        <v>21</v>
        <stp/>
        <stp>##V3_BDPV12</stp>
        <stp>DE000A14KJE8 CORP</stp>
        <stp>CALC_TYP</stp>
        <stp>[BondFloaters.xlsx]FLOATERS!R51C6</stp>
        <tr r="F51" s="1"/>
      </tp>
      <tp t="s">
        <v>EK8273956</v>
        <stp/>
        <stp>##V3_BDPV12</stp>
        <stp>DE000A14KJE8 CORP</stp>
        <stp>ID_CUSIP</stp>
        <stp>[BondFloaters.xlsx]FLOATERS!R51C1</stp>
        <tr r="A51" s="1"/>
      </tp>
      <tp t="s">
        <v>24/06/2019</v>
        <stp/>
        <stp>##V3_BDPV12</stp>
        <stp>XS1078028864 CORP</stp>
        <stp>MATURITY</stp>
        <stp>[BondFloaters.xlsx]FLOATERS!R41C15</stp>
        <tr r="O41" s="1"/>
      </tp>
      <tp t="s">
        <v>10/05/2021</v>
        <stp/>
        <stp>##V3_BDPV12</stp>
        <stp>XS1609252645 CORP</stp>
        <stp>MATURITY</stp>
        <stp>[BondFloaters.xlsx]FLOATERS!R24C18</stp>
        <tr r="R24" s="1"/>
      </tp>
      <tp t="s">
        <v>10/05/2021</v>
        <stp/>
        <stp>##V3_BDPV12</stp>
        <stp>XS1609252645 CORP</stp>
        <stp>MATURITY</stp>
        <stp>[BondFloaters.xlsx]FLOATERS!R24C15</stp>
        <tr r="O24" s="1"/>
      </tp>
      <tp t="s">
        <v>24/06/2019</v>
        <stp/>
        <stp>##V3_BDPV12</stp>
        <stp>XS1078028864 CORP</stp>
        <stp>MATURITY</stp>
        <stp>[BondFloaters.xlsx]FLOATERS!R41C18</stp>
        <tr r="R41" s="1"/>
      </tp>
      <tp t="s">
        <v>19/03/2020</v>
        <stp/>
        <stp>##V3_BDPV12</stp>
        <stp>XS1139316555 CORP</stp>
        <stp>MATURITY</stp>
        <stp>[BondFloaters.xlsx]FLOATERS!R78C18</stp>
        <tr r="R78" s="1"/>
      </tp>
      <tp t="s">
        <v>19/03/2020</v>
        <stp/>
        <stp>##V3_BDPV12</stp>
        <stp>XS1139316555 CORP</stp>
        <stp>MATURITY</stp>
        <stp>[BondFloaters.xlsx]FLOATERS!R78C15</stp>
        <tr r="O78" s="1"/>
      </tp>
      <tp t="s">
        <v>12/03/2025</v>
        <stp/>
        <stp>##V3_BDPV12</stp>
        <stp>FR0013322146 CORP</stp>
        <stp>MATURITY</stp>
        <stp>[BondFloaters.xlsx]FLOATERS!R95C18</stp>
        <tr r="R95" s="1"/>
      </tp>
      <tp t="s">
        <v>12/03/2025</v>
        <stp/>
        <stp>##V3_BDPV12</stp>
        <stp>FR0013322146 CORP</stp>
        <stp>MATURITY</stp>
        <stp>[BondFloaters.xlsx]FLOATERS!R95C15</stp>
        <tr r="O95" s="1"/>
      </tp>
      <tp t="s">
        <v>19/08/2019</v>
        <stp/>
        <stp>##V3_BDPV12</stp>
        <stp>XS1190623907 CORP</stp>
        <stp>MATURITY</stp>
        <stp>[BondFloaters.xlsx]FLOATERS!R59C15</stp>
        <tr r="O59" s="1"/>
      </tp>
      <tp t="s">
        <v>19/08/2019</v>
        <stp/>
        <stp>##V3_BDPV12</stp>
        <stp>XS1190623907 CORP</stp>
        <stp>MATURITY</stp>
        <stp>[BondFloaters.xlsx]FLOATERS!R59C18</stp>
        <tr r="R59" s="1"/>
      </tp>
      <tp t="s">
        <v>08/03/2019</v>
        <stp/>
        <stp>##V3_BDPV12</stp>
        <stp>XS1574667124 CORP</stp>
        <stp>MATURITY</stp>
        <stp>[BondFloaters.xlsx]FLOATERS!R104C18</stp>
        <tr r="R104" s="1"/>
      </tp>
      <tp t="s">
        <v>08/03/2019</v>
        <stp/>
        <stp>##V3_BDPV12</stp>
        <stp>XS1574667124 CORP</stp>
        <stp>MATURITY</stp>
        <stp>[BondFloaters.xlsx]FLOATERS!R104C15</stp>
        <tr r="O104" s="1"/>
      </tp>
      <tp t="s">
        <v>24/10/2018</v>
        <stp/>
        <stp>##V3_BDPV12</stp>
        <stp>XS1554462421 CORP</stp>
        <stp>MATURITY</stp>
        <stp>[BondFloaters.xlsx]FLOATERS!R49C18</stp>
        <tr r="R49" s="1"/>
      </tp>
      <tp t="s">
        <v>24/10/2018</v>
        <stp/>
        <stp>##V3_BDPV12</stp>
        <stp>XS1554462421 CORP</stp>
        <stp>MATURITY</stp>
        <stp>[BondFloaters.xlsx]FLOATERS!R49C15</stp>
        <tr r="O49" s="1"/>
      </tp>
      <tp t="s">
        <v>15/05/2020</v>
        <stp/>
        <stp>##V3_BDPV12</stp>
        <stp>XS1717202730 CORP</stp>
        <stp>MATURITY</stp>
        <stp>[BondFloaters.xlsx]FLOATERS!R128C18</stp>
        <tr r="R128" s="1"/>
      </tp>
      <tp t="s">
        <v>15/05/2020</v>
        <stp/>
        <stp>##V3_BDPV12</stp>
        <stp>XS1717202730 CORP</stp>
        <stp>MATURITY</stp>
        <stp>[BondFloaters.xlsx]FLOATERS!R128C15</stp>
        <tr r="O128" s="1"/>
      </tp>
      <tp t="s">
        <v>08/11/2019</v>
        <stp/>
        <stp>##V3_BDPV12</stp>
        <stp>XS1715353105 CORP</stp>
        <stp>MATURITY</stp>
        <stp>[BondFloaters.xlsx]FLOATERS!R120C18</stp>
        <tr r="R120" s="1"/>
      </tp>
      <tp t="s">
        <v>08/11/2019</v>
        <stp/>
        <stp>##V3_BDPV12</stp>
        <stp>XS1715353105 CORP</stp>
        <stp>MATURITY</stp>
        <stp>[BondFloaters.xlsx]FLOATERS!R120C15</stp>
        <tr r="O120" s="1"/>
      </tp>
      <tp t="s">
        <v>05/12/2019</v>
        <stp/>
        <stp>##V3_BDPV12</stp>
        <stp>FR0013221652 CORP</stp>
        <stp>MATURITY</stp>
        <stp>[BondFloaters.xlsx]FLOATERS!R98C18</stp>
        <tr r="R98" s="1"/>
      </tp>
      <tp t="s">
        <v>05/12/2019</v>
        <stp/>
        <stp>##V3_BDPV12</stp>
        <stp>FR0013221652 CORP</stp>
        <stp>MATURITY</stp>
        <stp>[BondFloaters.xlsx]FLOATERS!R98C15</stp>
        <tr r="O98" s="1"/>
      </tp>
      <tp>
        <v>40</v>
        <stp/>
        <stp>##V3_BDPV12</stp>
        <stp>XS1808497264 CORP</stp>
        <stp>FLT_SPREAD</stp>
        <stp>[BondFloaters.xlsx]FLOATERS!R13C26</stp>
        <tr r="Z13" s="1"/>
      </tp>
      <tp>
        <v>40</v>
        <stp/>
        <stp>##V3_BDPV12</stp>
        <stp>XS1808497264 CORP</stp>
        <stp>FLT_SPREAD</stp>
        <stp>[BondFloaters.xlsx]FLOATERS!R13C17</stp>
        <tr r="Q13" s="1"/>
      </tp>
      <tp>
        <v>20</v>
        <stp/>
        <stp>##V3_BDPV12</stp>
        <stp>XS1718416586 CORP</stp>
        <stp>FLT_SPREAD</stp>
        <stp>[BondFloaters.xlsx]FLOATERS!R54C17</stp>
        <tr r="Q54" s="1"/>
      </tp>
      <tp>
        <v>20</v>
        <stp/>
        <stp>##V3_BDPV12</stp>
        <stp>XS1718416586 CORP</stp>
        <stp>FLT_SPREAD</stp>
        <stp>[BondFloaters.xlsx]FLOATERS!R54C26</stp>
        <tr r="Z54" s="1"/>
      </tp>
      <tp>
        <v>35</v>
        <stp/>
        <stp>##V3_BDPV12</stp>
        <stp>XS1554462421 CORP</stp>
        <stp>FLT_SPREAD</stp>
        <stp>[BondFloaters.xlsx]FLOATERS!R49C17</stp>
        <tr r="Q49" s="1"/>
      </tp>
      <tp>
        <v>35</v>
        <stp/>
        <stp>##V3_BDPV12</stp>
        <stp>XS1554462421 CORP</stp>
        <stp>FLT_SPREAD</stp>
        <stp>[BondFloaters.xlsx]FLOATERS!R49C26</stp>
        <tr r="Z49" s="1"/>
      </tp>
      <tp>
        <v>45</v>
        <stp/>
        <stp>##V3_BDPV12</stp>
        <stp>XS1823165631 CORP</stp>
        <stp>FLT_SPREAD</stp>
        <stp>[BondFloaters.xlsx]FLOATERS!R70C17</stp>
        <tr r="Q70" s="1"/>
      </tp>
      <tp>
        <v>45</v>
        <stp/>
        <stp>##V3_BDPV12</stp>
        <stp>XS1823165631 CORP</stp>
        <stp>FLT_SPREAD</stp>
        <stp>[BondFloaters.xlsx]FLOATERS!R70C26</stp>
        <tr r="Z70" s="1"/>
      </tp>
      <tp t="s">
        <v>03/01/2019</v>
        <stp/>
        <stp>##V3_BDPV12</stp>
        <stp>FR0013054020 CORP</stp>
        <stp>NXT_CPN_DT</stp>
        <stp>[BondFloaters.xlsx]FLOATERS!R26C14</stp>
        <tr r="N26" s="1"/>
      </tp>
      <tp t="s">
        <v>21/12/2018</v>
        <stp/>
        <stp>##V3_BDPV12</stp>
        <stp>FR0013324316 CORP</stp>
        <stp>NXT_CPN_DT</stp>
        <stp>[BondFloaters.xlsx]FLOATERS!R28C14</stp>
        <tr r="N28" s="1"/>
      </tp>
      <tp t="s">
        <v>28/12/2018</v>
        <stp/>
        <stp>##V3_BDPV12</stp>
        <stp>FR0013264884 CORP</stp>
        <stp>NXT_CPN_DT</stp>
        <stp>[BondFloaters.xlsx]FLOATERS!R93C14</stp>
        <tr r="N93" s="1"/>
      </tp>
      <tp t="s">
        <v>31/12/2018</v>
        <stp/>
        <stp>##V3_BDPV12</stp>
        <stp>FR0011884899 CORP</stp>
        <stp>NXT_CPN_DT</stp>
        <stp>[BondFloaters.xlsx]FLOATERS!R66C14</stp>
        <tr r="N66" s="1"/>
      </tp>
      <tp t="s">
        <v>N</v>
        <stp/>
        <stp>##V3_BDPV12</stp>
        <stp>XS1362349869 CORP</stp>
        <stp>ZERO_CPN</stp>
        <stp>[BondFloaters.xlsx]FLOATERS!R65C8</stp>
        <tr r="H65" s="1"/>
      </tp>
      <tp t="s">
        <v>N</v>
        <stp/>
        <stp>##V3_BDPV12</stp>
        <stp>XS1822301039 CORP</stp>
        <stp>CALLABLE</stp>
        <stp>[BondFloaters.xlsx]FLOATERS!R15C7</stp>
        <tr r="G15" s="1"/>
      </tp>
      <tp t="s">
        <v>N</v>
        <stp/>
        <stp>##V3_BDPV12</stp>
        <stp>FR0012315133 CORP</stp>
        <stp>CALLABLE</stp>
        <stp>[BondFloaters.xlsx]FLOATERS!R55C7</stp>
        <tr r="G55" s="1"/>
      </tp>
      <tp t="s">
        <v>N</v>
        <stp/>
        <stp>##V3_BDPV12</stp>
        <stp>XS1398275112 CORP</stp>
        <stp>ZERO_CPN</stp>
        <stp>[BondFloaters.xlsx]FLOATERS!R16C8</stp>
        <tr r="H16" s="1"/>
      </tp>
      <tp t="s">
        <v>N</v>
        <stp/>
        <stp>##V3_BDPV12</stp>
        <stp>XS1637162246 CORP</stp>
        <stp>CALLABLE</stp>
        <stp>[BondFloaters.xlsx]FLOATERS!R32C7</stp>
        <tr r="G32" s="1"/>
      </tp>
      <tp t="s">
        <v>N</v>
        <stp/>
        <stp>##V3_BDPV12</stp>
        <stp>XS1729872652 CORP</stp>
        <stp>ZERO_CPN</stp>
        <stp>[BondFloaters.xlsx]FLOATERS!R80C8</stp>
        <tr r="H80" s="1"/>
      </tp>
      <tp t="s">
        <v>N</v>
        <stp/>
        <stp>##V3_BDPV12</stp>
        <stp>FR0013257599 CORP</stp>
        <stp>CALLABLE</stp>
        <stp>[BondFloaters.xlsx]FLOATERS!R20C7</stp>
        <tr r="G20" s="1"/>
      </tp>
      <tp t="s">
        <v>N</v>
        <stp/>
        <stp>##V3_BDPV12</stp>
        <stp>XS1787517199 CORP</stp>
        <stp>CALLABLE</stp>
        <stp>[BondFloaters.xlsx]FLOATERS!R81C7</stp>
        <tr r="G81" s="1"/>
      </tp>
      <tp t="s">
        <v>N</v>
        <stp/>
        <stp>##V3_BDPV12</stp>
        <stp>DE000A185WC9 CORP</stp>
        <stp>CALLABLE</stp>
        <stp>[BondFloaters.xlsx]FLOATERS!R47C7</stp>
        <tr r="G47" s="1"/>
      </tp>
      <tp>
        <v>-0.311</v>
        <stp/>
        <stp>##V3_BDPV12</stp>
        <stp>XS1729872652 CORP</stp>
        <stp>YAS_FLOATER_ASSUMED_RATE</stp>
        <stp>[BondFloaters.xlsx]FLOATERS!R80C23</stp>
        <tr r="W80" s="1"/>
      </tp>
      <tp t="s">
        <v>08/06/2018</v>
        <stp/>
        <stp>##V3_BDPV12</stp>
        <stp>XS1830992563 CORP</stp>
        <stp>ISSUE_DT</stp>
        <stp>[BondFloaters.xlsx]FLOATERS!R109C11</stp>
        <tr r="K109" s="1"/>
      </tp>
      <tp>
        <v>0.90637999999999996</v>
        <stp/>
        <stp>##V3_BDPV12</stp>
        <stp>XS1082839553 CORP</stp>
        <stp>YAS_FLOATER_ASSUMED_RATE</stp>
        <stp>[BondFloaters.xlsx]FLOATERS!R61C23</stp>
        <tr r="W61" s="1"/>
      </tp>
      <tp t="s">
        <v>07/02/2018</v>
        <stp/>
        <stp>##V3_BDPV12</stp>
        <stp>XS1767930826 CORP</stp>
        <stp>ISSUE_DT</stp>
        <stp>[BondFloaters.xlsx]FLOATERS!R110C11</stp>
        <tr r="K110" s="1"/>
      </tp>
      <tp t="s">
        <v>26/05/2015</v>
        <stp/>
        <stp>##V3_BDPV12</stp>
        <stp>XS1237187718 CORP</stp>
        <stp>ISSUE_DT</stp>
        <stp>[BondFloaters.xlsx]FLOATERS!R105C11</stp>
        <tr r="K105" s="1"/>
      </tp>
      <tp t="s">
        <v>17/03/2020</v>
        <stp/>
        <stp>##V3_BDPV12</stp>
        <stp>BE6285450449 CORP</stp>
        <stp>MATURITY</stp>
        <stp>[BondFloaters.xlsx]FLOATERS!R37C18</stp>
        <tr r="R37" s="1"/>
      </tp>
      <tp t="s">
        <v>17/03/2020</v>
        <stp/>
        <stp>##V3_BDPV12</stp>
        <stp>BE6285450449 CORP</stp>
        <stp>MATURITY</stp>
        <stp>[BondFloaters.xlsx]FLOATERS!R37C15</stp>
        <tr r="O37" s="1"/>
      </tp>
      <tp>
        <v>50</v>
        <stp/>
        <stp>##V3_BDPV12</stp>
        <stp>XS1480176111 CORP</stp>
        <stp>FLT_SPREAD</stp>
        <stp>[BondFloaters.xlsx]FLOATERS!R5C26</stp>
        <tr r="Z5" s="1"/>
      </tp>
      <tp t="s">
        <v>01/12/2022</v>
        <stp/>
        <stp>##V3_BDPV12</stp>
        <stp>XS1828028677 CORP</stp>
        <stp>MATURITY</stp>
        <stp>[BondFloaters.xlsx]FLOATERS!R45C15</stp>
        <tr r="O45" s="1"/>
      </tp>
      <tp t="s">
        <v>01/12/2022</v>
        <stp/>
        <stp>##V3_BDPV12</stp>
        <stp>XS1828028677 CORP</stp>
        <stp>MATURITY</stp>
        <stp>[BondFloaters.xlsx]FLOATERS!R45C18</stp>
        <tr r="R45" s="1"/>
      </tp>
      <tp>
        <v>50</v>
        <stp/>
        <stp>##V3_BDPV12</stp>
        <stp>XS1480176111 CORP</stp>
        <stp>FLT_SPREAD</stp>
        <stp>[BondFloaters.xlsx]FLOATERS!R5C17</stp>
        <tr r="Q5" s="1"/>
      </tp>
      <tp t="s">
        <v>15/05/2020</v>
        <stp/>
        <stp>##V3_BDPV12</stp>
        <stp>XS1234366448 CORP</stp>
        <stp>MATURITY</stp>
        <stp>[BondFloaters.xlsx]FLOATERS!R52C18</stp>
        <tr r="R52" s="1"/>
      </tp>
      <tp t="s">
        <v>15/05/2020</v>
        <stp/>
        <stp>##V3_BDPV12</stp>
        <stp>XS1234366448 CORP</stp>
        <stp>MATURITY</stp>
        <stp>[BondFloaters.xlsx]FLOATERS!R52C15</stp>
        <tr r="O52" s="1"/>
      </tp>
      <tp>
        <v>35</v>
        <stp/>
        <stp>##V3_BDPV12</stp>
        <stp>XS1678632487 CORP</stp>
        <stp>FLT_SPREAD</stp>
        <stp>[BondFloaters.xlsx]FLOATERS!R6C17</stp>
        <tr r="Q6" s="1"/>
      </tp>
      <tp t="s">
        <v>30/06/2022</v>
        <stp/>
        <stp>##V3_BDPV12</stp>
        <stp>FR0013266343 CORP</stp>
        <stp>MATURITY</stp>
        <stp>[BondFloaters.xlsx]FLOATERS!R91C18</stp>
        <tr r="R91" s="1"/>
      </tp>
      <tp t="s">
        <v>30/06/2022</v>
        <stp/>
        <stp>##V3_BDPV12</stp>
        <stp>FR0013266343 CORP</stp>
        <stp>MATURITY</stp>
        <stp>[BondFloaters.xlsx]FLOATERS!R91C15</stp>
        <tr r="O91" s="1"/>
      </tp>
      <tp>
        <v>35</v>
        <stp/>
        <stp>##V3_BDPV12</stp>
        <stp>XS1678632487 CORP</stp>
        <stp>FLT_SPREAD</stp>
        <stp>[BondFloaters.xlsx]FLOATERS!R6C26</stp>
        <tr r="Z6" s="1"/>
      </tp>
      <tp t="s">
        <v>16/11/2021</v>
        <stp/>
        <stp>##V3_BDPV12</stp>
        <stp>XS1717567587 CORP</stp>
        <stp>MATURITY</stp>
        <stp>[BondFloaters.xlsx]FLOATERS!R112C18</stp>
        <tr r="R112" s="1"/>
      </tp>
      <tp t="s">
        <v>16/11/2021</v>
        <stp/>
        <stp>##V3_BDPV12</stp>
        <stp>XS1717567587 CORP</stp>
        <stp>MATURITY</stp>
        <stp>[BondFloaters.xlsx]FLOATERS!R112C15</stp>
        <tr r="O112" s="1"/>
      </tp>
      <tp>
        <v>75</v>
        <stp/>
        <stp>##V3_BDPV12</stp>
        <stp>XS1212467911 CORP</stp>
        <stp>FLT_SPREAD</stp>
        <stp>[BondFloaters.xlsx]FLOATERS!R57C26</stp>
        <tr r="Z57" s="1"/>
      </tp>
      <tp>
        <v>43</v>
        <stp/>
        <stp>##V3_BDPV12</stp>
        <stp>XS1821814800 CORP</stp>
        <stp>FLT_SPREAD</stp>
        <stp>[BondFloaters.xlsx]FLOATERS!R84C17</stp>
        <tr r="Q84" s="1"/>
      </tp>
      <tp>
        <v>43</v>
        <stp/>
        <stp>##V3_BDPV12</stp>
        <stp>XS1821814800 CORP</stp>
        <stp>FLT_SPREAD</stp>
        <stp>[BondFloaters.xlsx]FLOATERS!R84C26</stp>
        <tr r="Z84" s="1"/>
      </tp>
      <tp>
        <v>75</v>
        <stp/>
        <stp>##V3_BDPV12</stp>
        <stp>XS1212467911 CORP</stp>
        <stp>FLT_SPREAD</stp>
        <stp>[BondFloaters.xlsx]FLOATERS!R57C17</stp>
        <tr r="Q57" s="1"/>
      </tp>
      <tp>
        <v>28</v>
        <stp/>
        <stp>##V3_BDPV12</stp>
        <stp>XS1107266782 CORP</stp>
        <stp>FLT_SPREAD</stp>
        <stp>[BondFloaters.xlsx]FLOATERS!R74C17</stp>
        <tr r="Q74" s="1"/>
      </tp>
      <tp>
        <v>53</v>
        <stp/>
        <stp>##V3_BDPV12</stp>
        <stp>XS1635905570 CORP</stp>
        <stp>FLT_SPREAD</stp>
        <stp>[BondFloaters.xlsx]FLOATERS!R79C17</stp>
        <tr r="Q79" s="1"/>
      </tp>
      <tp>
        <v>28</v>
        <stp/>
        <stp>##V3_BDPV12</stp>
        <stp>XS1107266782 CORP</stp>
        <stp>FLT_SPREAD</stp>
        <stp>[BondFloaters.xlsx]FLOATERS!R74C26</stp>
        <tr r="Z74" s="1"/>
      </tp>
      <tp>
        <v>53</v>
        <stp/>
        <stp>##V3_BDPV12</stp>
        <stp>XS1635905570 CORP</stp>
        <stp>FLT_SPREAD</stp>
        <stp>[BondFloaters.xlsx]FLOATERS!R79C26</stp>
        <tr r="Z79" s="1"/>
      </tp>
      <tp t="s">
        <v>14/02/2019</v>
        <stp/>
        <stp>##V3_BDPV12</stp>
        <stp>FR0012315133 CORP</stp>
        <stp>NXT_CPN_DT</stp>
        <stp>[BondFloaters.xlsx]FLOATERS!R55C14</stp>
        <tr r="N55" s="1"/>
      </tp>
      <tp t="s">
        <v>N</v>
        <stp/>
        <stp>##V3_BDPV12</stp>
        <stp>XS1664643746 CORP</stp>
        <stp>CALLABLE</stp>
        <stp>[BondFloaters.xlsx]FLOATERS!R73C7</stp>
        <tr r="G73" s="1"/>
      </tp>
      <tp t="s">
        <v>N</v>
        <stp/>
        <stp>##V3_BDPV12</stp>
        <stp>XS1618349804 CORP</stp>
        <stp>CALLABLE</stp>
        <stp>[BondFloaters.xlsx]FLOATERS!R60C7</stp>
        <tr r="G60" s="1"/>
      </tp>
      <tp t="s">
        <v>N</v>
        <stp/>
        <stp>##V3_BDPV12</stp>
        <stp>XS1323463056 CORP</stp>
        <stp>CALLABLE</stp>
        <stp>[BondFloaters.xlsx]FLOATERS!R83C7</stp>
        <tr r="G83" s="1"/>
      </tp>
      <tp t="s">
        <v>N</v>
        <stp/>
        <stp>##V3_BDPV12</stp>
        <stp>XS1190623907 CORP</stp>
        <stp>CALLABLE</stp>
        <stp>[BondFloaters.xlsx]FLOATERS!R59C7</stp>
        <tr r="G59" s="1"/>
      </tp>
      <tp t="s">
        <v>N</v>
        <stp/>
        <stp>##V3_BDPV12</stp>
        <stp>FR0013266343 CORP</stp>
        <stp>CALLABLE</stp>
        <stp>[BondFloaters.xlsx]FLOATERS!R91C7</stp>
        <tr r="G91" s="1"/>
      </tp>
      <tp t="s">
        <v>N</v>
        <stp/>
        <stp>##V3_BDPV12</stp>
        <stp>XS1586555515 CORP</stp>
        <stp>CALLABLE</stp>
        <stp>[BondFloaters.xlsx]FLOATERS!R53C7</stp>
        <tr r="G53" s="1"/>
      </tp>
      <tp t="s">
        <v>N</v>
        <stp/>
        <stp>##V3_BDPV12</stp>
        <stp>XS1750116920 CORP</stp>
        <stp>ZERO_CPN</stp>
        <stp>[BondFloaters.xlsx]FLOATERS!R31C8</stp>
        <tr r="H31" s="1"/>
      </tp>
      <tp t="s">
        <v>N</v>
        <stp/>
        <stp>##V3_BDPV12</stp>
        <stp>XS1033649739 CORP</stp>
        <stp>CALLABLE</stp>
        <stp>[BondFloaters.xlsx]FLOATERS!R44C7</stp>
        <tr r="G44" s="1"/>
      </tp>
      <tp>
        <v>15</v>
        <stp/>
        <stp>##V3_BDPV12</stp>
        <stp>FR0013216884 CORP</stp>
        <stp>FLT_SPREAD</stp>
        <stp>[BondFloaters.xlsx]FLOATERS!R7C17</stp>
        <tr r="Q7" s="1"/>
      </tp>
      <tp>
        <v>15</v>
        <stp/>
        <stp>##V3_BDPV12</stp>
        <stp>FR0013216884 CORP</stp>
        <stp>FLT_SPREAD</stp>
        <stp>[BondFloaters.xlsx]FLOATERS!R7C26</stp>
        <tr r="Z7" s="1"/>
      </tp>
      <tp t="s">
        <v>#N/A N/A</v>
        <stp/>
        <stp>##V3_BDPV12</stp>
        <stp>FR0013257599 CORP</stp>
        <stp>YAS_FLOATER_ASSUMED_RATE</stp>
        <stp>[BondFloaters.xlsx]FLOATERS!R20C23</stp>
        <tr r="W20" s="1"/>
      </tp>
      <tp t="s">
        <v>28/04/2015</v>
        <stp/>
        <stp>##V3_BDPV12</stp>
        <stp>XS1224953452 CORP</stp>
        <stp>ISSUE_DT</stp>
        <stp>[BondFloaters.xlsx]FLOATERS!R135C11</stp>
        <tr r="K135" s="1"/>
      </tp>
      <tp t="s">
        <v>15/04/2024</v>
        <stp/>
        <stp>##V3_BDPV12</stp>
        <stp>BE6301509012 CORP</stp>
        <stp>MATURITY</stp>
        <stp>[BondFloaters.xlsx]FLOATERS!R124C18</stp>
        <tr r="R124" s="1"/>
      </tp>
      <tp t="s">
        <v>15/04/2024</v>
        <stp/>
        <stp>##V3_BDPV12</stp>
        <stp>BE6301509012 CORP</stp>
        <stp>MATURITY</stp>
        <stp>[BondFloaters.xlsx]FLOATERS!R124C15</stp>
        <tr r="O124" s="1"/>
      </tp>
      <tp>
        <v>-0.311</v>
        <stp/>
        <stp>##V3_BDPV12</stp>
        <stp>XS1107266782 CORP</stp>
        <stp>YAS_FLOATER_ASSUMED_RATE</stp>
        <stp>[BondFloaters.xlsx]FLOATERS!R74C23</stp>
        <tr r="W74" s="1"/>
      </tp>
      <tp t="s">
        <v>11/03/2019</v>
        <stp/>
        <stp>##V3_BDPV12</stp>
        <stp>XS1288342147 CORP</stp>
        <stp>MATURITY</stp>
        <stp>[BondFloaters.xlsx]FLOATERS!R108C15</stp>
        <tr r="O108" s="1"/>
      </tp>
      <tp t="s">
        <v>11/03/2019</v>
        <stp/>
        <stp>##V3_BDPV12</stp>
        <stp>XS1288342147 CORP</stp>
        <stp>MATURITY</stp>
        <stp>[BondFloaters.xlsx]FLOATERS!R108C18</stp>
        <tr r="R108" s="1"/>
      </tp>
      <tp t="s">
        <v>13/02/2019</v>
        <stp/>
        <stp>##V3_BDPV12</stp>
        <stp>XS1564405741 CORP</stp>
        <stp>MATURITY</stp>
        <stp>[BondFloaters.xlsx]FLOATERS!R21C18</stp>
        <tr r="R21" s="1"/>
      </tp>
      <tp t="s">
        <v>13/02/2019</v>
        <stp/>
        <stp>##V3_BDPV12</stp>
        <stp>XS1564405741 CORP</stp>
        <stp>MATURITY</stp>
        <stp>[BondFloaters.xlsx]FLOATERS!R21C15</stp>
        <tr r="O21" s="1"/>
      </tp>
      <tp t="s">
        <v>31/03/2019</v>
        <stp/>
        <stp>##V3_BDPV12</stp>
        <stp>FR0011884899 CORP</stp>
        <stp>MATURITY</stp>
        <stp>[BondFloaters.xlsx]FLOATERS!R66C15</stp>
        <tr r="O66" s="1"/>
      </tp>
      <tp t="s">
        <v>31/03/2019</v>
        <stp/>
        <stp>##V3_BDPV12</stp>
        <stp>FR0011884899 CORP</stp>
        <stp>MATURITY</stp>
        <stp>[BondFloaters.xlsx]FLOATERS!R66C18</stp>
        <tr r="R66" s="1"/>
      </tp>
      <tp t="s">
        <v>18/05/2020</v>
        <stp/>
        <stp>##V3_BDPV12</stp>
        <stp>XS1822301039 CORP</stp>
        <stp>MATURITY</stp>
        <stp>[BondFloaters.xlsx]FLOATERS!R15C18</stp>
        <tr r="R15" s="1"/>
      </tp>
      <tp t="s">
        <v>18/05/2020</v>
        <stp/>
        <stp>##V3_BDPV12</stp>
        <stp>XS1822301039 CORP</stp>
        <stp>MATURITY</stp>
        <stp>[BondFloaters.xlsx]FLOATERS!R15C15</stp>
        <tr r="O15" s="1"/>
      </tp>
      <tp t="s">
        <v>05/04/2019</v>
        <stp/>
        <stp>##V3_BDPV12</stp>
        <stp>XS1591430746 CORP</stp>
        <stp>MATURITY</stp>
        <stp>[BondFloaters.xlsx]FLOATERS!R64C15</stp>
        <tr r="O64" s="1"/>
      </tp>
      <tp t="s">
        <v>05/04/2019</v>
        <stp/>
        <stp>##V3_BDPV12</stp>
        <stp>XS1591430746 CORP</stp>
        <stp>MATURITY</stp>
        <stp>[BondFloaters.xlsx]FLOATERS!R64C18</stp>
        <tr r="R64" s="1"/>
      </tp>
      <tp>
        <v>32</v>
        <stp/>
        <stp>##V3_BDPV12</stp>
        <stp>XS1612940988 CORP</stp>
        <stp>FLT_SPREAD</stp>
        <stp>[BondFloaters.xlsx]FLOATERS!R35C26</stp>
        <tr r="Z35" s="1"/>
      </tp>
      <tp>
        <v>40</v>
        <stp/>
        <stp>##V3_BDPV12</stp>
        <stp>XS1292468987 CORP</stp>
        <stp>FLT_SPREAD</stp>
        <stp>[BondFloaters.xlsx]FLOATERS!R18C26</stp>
        <tr r="Z18" s="1"/>
      </tp>
      <tp>
        <v>32</v>
        <stp/>
        <stp>##V3_BDPV12</stp>
        <stp>XS1612940988 CORP</stp>
        <stp>FLT_SPREAD</stp>
        <stp>[BondFloaters.xlsx]FLOATERS!R35C17</stp>
        <tr r="Q35" s="1"/>
      </tp>
      <tp>
        <v>40</v>
        <stp/>
        <stp>##V3_BDPV12</stp>
        <stp>XS1292468987 CORP</stp>
        <stp>FLT_SPREAD</stp>
        <stp>[BondFloaters.xlsx]FLOATERS!R18C17</stp>
        <tr r="Q18" s="1"/>
      </tp>
      <tp>
        <v>55</v>
        <stp/>
        <stp>##V3_BDPV12</stp>
        <stp>XS1108681625 CORP</stp>
        <stp>FLT_SPREAD</stp>
        <stp>[BondFloaters.xlsx]FLOATERS!R40C26</stp>
        <tr r="Z40" s="1"/>
      </tp>
      <tp>
        <v>55</v>
        <stp/>
        <stp>##V3_BDPV12</stp>
        <stp>XS1108681625 CORP</stp>
        <stp>FLT_SPREAD</stp>
        <stp>[BondFloaters.xlsx]FLOATERS!R40C17</stp>
        <tr r="Q40" s="1"/>
      </tp>
      <tp>
        <v>43</v>
        <stp/>
        <stp>##V3_BDPV12</stp>
        <stp>XS1323463056 CORP</stp>
        <stp>FLT_SPREAD</stp>
        <stp>[BondFloaters.xlsx]FLOATERS!R83C26</stp>
        <tr r="Z83" s="1"/>
      </tp>
      <tp>
        <v>20</v>
        <stp/>
        <stp>##V3_BDPV12</stp>
        <stp>XS1574156540 CORP</stp>
        <stp>FLT_SPREAD</stp>
        <stp>[BondFloaters.xlsx]FLOATERS!R90C17</stp>
        <tr r="Q90" s="1"/>
      </tp>
      <tp>
        <v>20</v>
        <stp/>
        <stp>##V3_BDPV12</stp>
        <stp>XS1574156540 CORP</stp>
        <stp>FLT_SPREAD</stp>
        <stp>[BondFloaters.xlsx]FLOATERS!R90C26</stp>
        <tr r="Z90" s="1"/>
      </tp>
      <tp>
        <v>43</v>
        <stp/>
        <stp>##V3_BDPV12</stp>
        <stp>XS1323463056 CORP</stp>
        <stp>FLT_SPREAD</stp>
        <stp>[BondFloaters.xlsx]FLOATERS!R83C17</stp>
        <tr r="Q83" s="1"/>
      </tp>
      <tp>
        <v>30</v>
        <stp/>
        <stp>##V3_BDPV12</stp>
        <stp>XS1082839553 CORP</stp>
        <stp>FLT_SPREAD</stp>
        <stp>[BondFloaters.xlsx]FLOATERS!R61C26</stp>
        <tr r="Z61" s="1"/>
      </tp>
      <tp>
        <v>35</v>
        <stp/>
        <stp>##V3_BDPV12</stp>
        <stp>XS1642545690 CORP</stp>
        <stp>FLT_SPREAD</stp>
        <stp>[BondFloaters.xlsx]FLOATERS!R76C17</stp>
        <tr r="Q76" s="1"/>
      </tp>
      <tp>
        <v>30</v>
        <stp/>
        <stp>##V3_BDPV12</stp>
        <stp>XS1637162246 CORP</stp>
        <stp>FLT_SPREAD</stp>
        <stp>[BondFloaters.xlsx]FLOATERS!R32C17</stp>
        <tr r="Q32" s="1"/>
      </tp>
      <tp>
        <v>43</v>
        <stp/>
        <stp>##V3_BDPV12</stp>
        <stp>XS1723613581 CORP</stp>
        <stp>FLT_SPREAD</stp>
        <stp>[BondFloaters.xlsx]FLOATERS!R75C26</stp>
        <tr r="Z75" s="1"/>
      </tp>
      <tp>
        <v>30</v>
        <stp/>
        <stp>##V3_BDPV12</stp>
        <stp>XS1637162246 CORP</stp>
        <stp>FLT_SPREAD</stp>
        <stp>[BondFloaters.xlsx]FLOATERS!R32C26</stp>
        <tr r="Z32" s="1"/>
      </tp>
      <tp>
        <v>43</v>
        <stp/>
        <stp>##V3_BDPV12</stp>
        <stp>XS1723613581 CORP</stp>
        <stp>FLT_SPREAD</stp>
        <stp>[BondFloaters.xlsx]FLOATERS!R75C17</stp>
        <tr r="Q75" s="1"/>
      </tp>
      <tp>
        <v>35</v>
        <stp/>
        <stp>##V3_BDPV12</stp>
        <stp>XS1642545690 CORP</stp>
        <stp>FLT_SPREAD</stp>
        <stp>[BondFloaters.xlsx]FLOATERS!R76C26</stp>
        <tr r="Z76" s="1"/>
      </tp>
      <tp>
        <v>30</v>
        <stp/>
        <stp>##V3_BDPV12</stp>
        <stp>XS1082839553 CORP</stp>
        <stp>FLT_SPREAD</stp>
        <stp>[BondFloaters.xlsx]FLOATERS!R61C17</stp>
        <tr r="Q61" s="1"/>
      </tp>
      <tp t="s">
        <v>12/03/2019</v>
        <stp/>
        <stp>##V3_BDPV12</stp>
        <stp>FR0013322146 CORP</stp>
        <stp>NXT_CPN_DT</stp>
        <stp>[BondFloaters.xlsx]FLOATERS!R95C14</stp>
        <tr r="N95" s="1"/>
      </tp>
      <tp t="s">
        <v>04/02/2019</v>
        <stp/>
        <stp>##V3_BDPV12</stp>
        <stp>FR0013292687 CORP</stp>
        <stp>NXT_CPN_DT</stp>
        <stp>[BondFloaters.xlsx]FLOATERS!R36C14</stp>
        <tr r="N36" s="1"/>
      </tp>
      <tp t="s">
        <v>14/01/2019</v>
        <stp/>
        <stp>##V3_BDPV12</stp>
        <stp>FR0012432904 CORP</stp>
        <stp>NXT_CPN_DT</stp>
        <stp>[BondFloaters.xlsx]FLOATERS!R48C14</stp>
        <tr r="N48" s="1"/>
      </tp>
      <tp t="s">
        <v>11/01/2023</v>
        <stp/>
        <stp>##V3_BDPV12</stp>
        <stp>DE000A19UNN9 CORP</stp>
        <stp>MATURITY</stp>
        <stp>[BondFloaters.xlsx]FLOATERS!R125C15</stp>
        <tr r="O125" s="1"/>
      </tp>
      <tp t="s">
        <v>11/01/2023</v>
        <stp/>
        <stp>##V3_BDPV12</stp>
        <stp>DE000A19UNN9 CORP</stp>
        <stp>MATURITY</stp>
        <stp>[BondFloaters.xlsx]FLOATERS!R125C18</stp>
        <tr r="R125" s="1"/>
      </tp>
      <tp t="s">
        <v>15/03/2019</v>
        <stp/>
        <stp>##V3_BDPV12</stp>
        <stp>US30231GAE26 CORP</stp>
        <stp>MATURITY</stp>
        <stp>[BondFloaters.xlsx]FLOATERS!R27C15</stp>
        <tr r="O27" s="1"/>
      </tp>
      <tp t="s">
        <v>15/03/2019</v>
        <stp/>
        <stp>##V3_BDPV12</stp>
        <stp>US30231GAE26 CORP</stp>
        <stp>MATURITY</stp>
        <stp>[BondFloaters.xlsx]FLOATERS!R27C18</stp>
        <tr r="R27" s="1"/>
      </tp>
      <tp t="s">
        <v>N</v>
        <stp/>
        <stp>##V3_BDPV12</stp>
        <stp>FR0013309606 CORP</stp>
        <stp>CALLABLE</stp>
        <stp>[BondFloaters.xlsx]FLOATERS!R25C7</stp>
        <tr r="G25" s="1"/>
      </tp>
      <tp t="s">
        <v>N</v>
        <stp/>
        <stp>##V3_BDPV12</stp>
        <stp>FR0013241379 CORP</stp>
        <stp>ZERO_CPN</stp>
        <stp>[BondFloaters.xlsx]FLOATERS!R38C8</stp>
        <tr r="H38" s="1"/>
      </tp>
      <tp t="s">
        <v>N</v>
        <stp/>
        <stp>##V3_BDPV12</stp>
        <stp>XS1794195724 CORP</stp>
        <stp>CALLABLE</stp>
        <stp>[BondFloaters.xlsx]FLOATERS!R12C7</stp>
        <tr r="G12" s="1"/>
      </tp>
      <tp t="s">
        <v>N</v>
        <stp/>
        <stp>##V3_BDPV12</stp>
        <stp>XS1692846790 CORP</stp>
        <stp>CALLABLE</stp>
        <stp>[BondFloaters.xlsx]FLOATERS!R94C7</stp>
        <tr r="G94" s="1"/>
      </tp>
      <tp t="s">
        <v>N</v>
        <stp/>
        <stp>##V3_BDPV12</stp>
        <stp>XS1554462421 CORP</stp>
        <stp>ZERO_CPN</stp>
        <stp>[BondFloaters.xlsx]FLOATERS!R49C8</stp>
        <tr r="H49" s="1"/>
      </tp>
      <tp t="s">
        <v>N</v>
        <stp/>
        <stp>##V3_BDPV12</stp>
        <stp>XS1078028864 CORP</stp>
        <stp>CALLABLE</stp>
        <stp>[BondFloaters.xlsx]FLOATERS!R41C7</stp>
        <tr r="G41" s="1"/>
      </tp>
      <tp t="s">
        <v>N</v>
        <stp/>
        <stp>##V3_BDPV12</stp>
        <stp>XS1806435324 CORP</stp>
        <stp>CALLABLE</stp>
        <stp>[BondFloaters.xlsx]FLOATERS!R34C7</stp>
        <tr r="G34" s="1"/>
      </tp>
      <tp t="s">
        <v>N</v>
        <stp/>
        <stp>##V3_BDPV12</stp>
        <stp>FR0013324316 CORP</stp>
        <stp>ZERO_CPN</stp>
        <stp>[BondFloaters.xlsx]FLOATERS!R28C8</stp>
        <tr r="H28" s="1"/>
      </tp>
      <tp t="s">
        <v>N</v>
        <stp/>
        <stp>##V3_BDPV12</stp>
        <stp>XS1574156540 CORP</stp>
        <stp>CALLABLE</stp>
        <stp>[BondFloaters.xlsx]FLOATERS!R90C7</stp>
        <tr r="G90" s="1"/>
      </tp>
      <tp t="s">
        <v>N</v>
        <stp/>
        <stp>##V3_BDPV12</stp>
        <stp>XS1808497264 CORP</stp>
        <stp>ZERO_CPN</stp>
        <stp>[BondFloaters.xlsx]FLOATERS!R13C8</stp>
        <tr r="H13" s="1"/>
      </tp>
      <tp t="s">
        <v>N</v>
        <stp/>
        <stp>##V3_BDPV12</stp>
        <stp>XS1249494086 CORP</stp>
        <stp>ZERO_CPN</stp>
        <stp>[BondFloaters.xlsx]FLOATERS!R50C8</stp>
        <tr r="H50" s="1"/>
      </tp>
      <tp t="s">
        <v>N</v>
        <stp/>
        <stp>##V3_BDPV12</stp>
        <stp>XS1718416586 CORP</stp>
        <stp>ZERO_CPN</stp>
        <stp>[BondFloaters.xlsx]FLOATERS!R54C8</stp>
        <tr r="H54" s="1"/>
      </tp>
      <tp t="s">
        <v>N</v>
        <stp/>
        <stp>##V3_BDPV12</stp>
        <stp>XS1522989869 CORP</stp>
        <stp>ZERO_CPN</stp>
        <stp>[BondFloaters.xlsx]FLOATERS!R33C8</stp>
        <tr r="H33" s="1"/>
      </tp>
      <tp t="s">
        <v>N</v>
        <stp/>
        <stp>##V3_BDPV12</stp>
        <stp>FR0012969012 CORP</stp>
        <stp>CALLABLE</stp>
        <stp>[BondFloaters.xlsx]FLOATERS!R22C7</stp>
        <tr r="G22" s="1"/>
      </tp>
      <tp t="s">
        <v>N</v>
        <stp/>
        <stp>##V3_BDPV12</stp>
        <stp>XS1635905570 CORP</stp>
        <stp>ZERO_CPN</stp>
        <stp>[BondFloaters.xlsx]FLOATERS!R79C8</stp>
        <tr r="H79" s="1"/>
      </tp>
      <tp t="s">
        <v>N</v>
        <stp/>
        <stp>##V3_BDPV12</stp>
        <stp>FR0013264884 CORP</stp>
        <stp>ZERO_CPN</stp>
        <stp>[BondFloaters.xlsx]FLOATERS!R93C8</stp>
        <tr r="H93" s="1"/>
      </tp>
      <tp t="s">
        <v>15/06/2022</v>
        <stp/>
        <stp>##V3_BDPV12</stp>
        <stp>FR0013342664 CORP</stp>
        <stp>MATURITY</stp>
        <stp>[BondFloaters.xlsx]FLOATERS!R122C18</stp>
        <tr r="R122" s="1"/>
      </tp>
      <tp t="s">
        <v>15/06/2022</v>
        <stp/>
        <stp>##V3_BDPV12</stp>
        <stp>FR0013342664 CORP</stp>
        <stp>MATURITY</stp>
        <stp>[BondFloaters.xlsx]FLOATERS!R122C15</stp>
        <tr r="O122" s="1"/>
      </tp>
      <tp t="s">
        <v>28/06/2019</v>
        <stp/>
        <stp>##V3_BDPV12</stp>
        <stp>FR0013263936 CORP</stp>
        <stp>MATURITY</stp>
        <stp>[BondFloaters.xlsx]FLOATERS!R136C15</stp>
        <tr r="O136" s="1"/>
      </tp>
      <tp t="s">
        <v>28/06/2019</v>
        <stp/>
        <stp>##V3_BDPV12</stp>
        <stp>FR0013263936 CORP</stp>
        <stp>MATURITY</stp>
        <stp>[BondFloaters.xlsx]FLOATERS!R136C18</stp>
        <tr r="R136" s="1"/>
      </tp>
      <tp>
        <v>-0.311</v>
        <stp/>
        <stp>##V3_BDPV12</stp>
        <stp>FR0013292687 CORP</stp>
        <stp>YAS_FLOATER_ASSUMED_RATE</stp>
        <stp>[BondFloaters.xlsx]FLOATERS!R36C23</stp>
        <tr r="W36" s="1"/>
      </tp>
      <tp>
        <v>-0.311</v>
        <stp/>
        <stp>##V3_BDPV12</stp>
        <stp>FR0013264884 CORP</stp>
        <stp>YAS_FLOATER_ASSUMED_RATE</stp>
        <stp>[BondFloaters.xlsx]FLOATERS!R93C23</stp>
        <tr r="W93" s="1"/>
      </tp>
      <tp t="s">
        <v>21/02/2017</v>
        <stp/>
        <stp>##V3_BDPV12</stp>
        <stp>XS1568906421 CORP</stp>
        <stp>ISSUE_DT</stp>
        <stp>[BondFloaters.xlsx]FLOATERS!R123C11</stp>
        <tr r="K123" s="1"/>
      </tp>
      <tp t="s">
        <v>13/10/2015</v>
        <stp/>
        <stp>##V3_BDPV12</stp>
        <stp>XS1306411726 CORP</stp>
        <stp>ISSUE_DT</stp>
        <stp>[BondFloaters.xlsx]FLOATERS!R115C11</stp>
        <tr r="K115" s="1"/>
      </tp>
      <tp>
        <v>-0.311</v>
        <stp/>
        <stp>##V3_BDPV12</stp>
        <stp>FR0013260486 CORP</stp>
        <stp>YAS_FLOATER_ASSUMED_RATE</stp>
        <stp>[BondFloaters.xlsx]FLOATERS!R63C23</stp>
        <tr r="W63" s="1"/>
      </tp>
      <tp>
        <v>-0.311</v>
        <stp/>
        <stp>##V3_BDPV12</stp>
        <stp>FR0013250685 CORP</stp>
        <stp>YAS_FLOATER_ASSUMED_RATE</stp>
        <stp>[BondFloaters.xlsx]FLOATERS!R29C23</stp>
        <tr r="W29" s="1"/>
      </tp>
      <tp>
        <v>-0.311</v>
        <stp/>
        <stp>##V3_BDPV12</stp>
        <stp>XS1197832832 CORP</stp>
        <stp>YAS_FLOATER_ASSUMED_RATE</stp>
        <stp>[BondFloaters.xlsx]FLOATERS!R39C23</stp>
        <tr r="W39" s="1"/>
      </tp>
      <tp>
        <v>-0.311</v>
        <stp/>
        <stp>##V3_BDPV12</stp>
        <stp>XS1729872736 CORP</stp>
        <stp>YAS_FLOATER_ASSUMED_RATE</stp>
        <stp>[BondFloaters.xlsx]FLOATERS!R88C23</stp>
        <tr r="W88" s="1"/>
      </tp>
      <tp t="s">
        <v>17/01/2018</v>
        <stp/>
        <stp>##V3_BDPV12</stp>
        <stp>XS1753030490 CORP</stp>
        <stp>ISSUE_DT</stp>
        <stp>[BondFloaters.xlsx]FLOATERS!R106C11</stp>
        <tr r="K106" s="1"/>
      </tp>
      <tp t="s">
        <v>18/03/2019</v>
        <stp/>
        <stp>##V3_BDPV12</stp>
        <stp>XS1381690574 CORP</stp>
        <stp>MATURITY</stp>
        <stp>[BondFloaters.xlsx]FLOATERS!R89C18</stp>
        <tr r="R89" s="1"/>
      </tp>
      <tp t="s">
        <v>18/03/2019</v>
        <stp/>
        <stp>##V3_BDPV12</stp>
        <stp>XS1381690574 CORP</stp>
        <stp>MATURITY</stp>
        <stp>[BondFloaters.xlsx]FLOATERS!R89C15</stp>
        <tr r="O89" s="1"/>
      </tp>
      <tp t="s">
        <v>20/11/2018</v>
        <stp/>
        <stp>##V3_BDPV12</stp>
        <stp>DE000A13SL18 CORP</stp>
        <stp>MATURITY</stp>
        <stp>[BondFloaters.xlsx]FLOATERS!R92C18</stp>
        <tr r="R92" s="1"/>
      </tp>
      <tp t="s">
        <v>20/11/2018</v>
        <stp/>
        <stp>##V3_BDPV12</stp>
        <stp>DE000A13SL18 CORP</stp>
        <stp>MATURITY</stp>
        <stp>[BondFloaters.xlsx]FLOATERS!R92C15</stp>
        <tr r="O92" s="1"/>
      </tp>
      <tp t="s">
        <v>18/05/2020</v>
        <stp/>
        <stp>##V3_BDPV12</stp>
        <stp>XS1612940988 CORP</stp>
        <stp>MATURITY</stp>
        <stp>[BondFloaters.xlsx]FLOATERS!R35C18</stp>
        <tr r="R35" s="1"/>
      </tp>
      <tp t="s">
        <v>18/05/2020</v>
        <stp/>
        <stp>##V3_BDPV12</stp>
        <stp>XS1612940988 CORP</stp>
        <stp>MATURITY</stp>
        <stp>[BondFloaters.xlsx]FLOATERS!R35C15</stp>
        <tr r="O35" s="1"/>
      </tp>
      <tp t="s">
        <v>20/11/2019</v>
        <stp/>
        <stp>##V3_BDPV12</stp>
        <stp>DE000A19SE11 CORP</stp>
        <stp>MATURITY</stp>
        <stp>[BondFloaters.xlsx]FLOATERS!R71C15</stp>
        <tr r="O71" s="1"/>
      </tp>
      <tp t="s">
        <v>20/11/2019</v>
        <stp/>
        <stp>##V3_BDPV12</stp>
        <stp>DE000A19SE11 CORP</stp>
        <stp>MATURITY</stp>
        <stp>[BondFloaters.xlsx]FLOATERS!R71C18</stp>
        <tr r="R71" s="1"/>
      </tp>
      <tp t="s">
        <v>15/07/2020</v>
        <stp/>
        <stp>##V3_BDPV12</stp>
        <stp>XS1323463056 CORP</stp>
        <stp>MATURITY</stp>
        <stp>[BondFloaters.xlsx]FLOATERS!R83C15</stp>
        <tr r="O83" s="1"/>
      </tp>
      <tp t="s">
        <v>15/07/2020</v>
        <stp/>
        <stp>##V3_BDPV12</stp>
        <stp>XS1323463056 CORP</stp>
        <stp>MATURITY</stp>
        <stp>[BondFloaters.xlsx]FLOATERS!R83C18</stp>
        <tr r="R83" s="1"/>
      </tp>
      <tp t="s">
        <v>14/02/2019</v>
        <stp/>
        <stp>##V3_BDPV12</stp>
        <stp>FR0012315133 CORP</stp>
        <stp>MATURITY</stp>
        <stp>[BondFloaters.xlsx]FLOATERS!R55C15</stp>
        <tr r="O55" s="1"/>
      </tp>
      <tp t="s">
        <v>14/02/2019</v>
        <stp/>
        <stp>##V3_BDPV12</stp>
        <stp>FR0012315133 CORP</stp>
        <stp>MATURITY</stp>
        <stp>[BondFloaters.xlsx]FLOATERS!R55C18</stp>
        <tr r="R55" s="1"/>
      </tp>
      <tp t="s">
        <v>03/10/2022</v>
        <stp/>
        <stp>##V3_BDPV12</stp>
        <stp>XS1692846790 CORP</stp>
        <stp>MATURITY</stp>
        <stp>[BondFloaters.xlsx]FLOATERS!R94C18</stp>
        <tr r="R94" s="1"/>
      </tp>
      <tp t="s">
        <v>03/10/2022</v>
        <stp/>
        <stp>##V3_BDPV12</stp>
        <stp>XS1692846790 CORP</stp>
        <stp>MATURITY</stp>
        <stp>[BondFloaters.xlsx]FLOATERS!R94C15</stp>
        <tr r="O94" s="1"/>
      </tp>
      <tp t="s">
        <v>15/01/2020</v>
        <stp/>
        <stp>##V3_BDPV12</stp>
        <stp>XS1346107433 CORP</stp>
        <stp>MATURITY</stp>
        <stp>[BondFloaters.xlsx]FLOATERS!R134C18</stp>
        <tr r="R134" s="1"/>
      </tp>
      <tp t="s">
        <v>15/01/2020</v>
        <stp/>
        <stp>##V3_BDPV12</stp>
        <stp>XS1346107433 CORP</stp>
        <stp>MATURITY</stp>
        <stp>[BondFloaters.xlsx]FLOATERS!R134C15</stp>
        <tr r="O134" s="1"/>
      </tp>
      <tp>
        <v>18.780679590790157</v>
        <stp/>
        <stp>##V3_BDPV12</stp>
        <stp>XS1678632487 CORP</stp>
        <stp>YAS_FLOATER_DISCOUNT_MARGIN</stp>
        <stp>[BondFloaters.xlsx]FLOATERS!R6C22</stp>
        <tr r="V6" s="1"/>
      </tp>
      <tp>
        <v>50</v>
        <stp/>
        <stp>##V3_BDPV12</stp>
        <stp>XS1249494086 CORP</stp>
        <stp>FLT_SPREAD</stp>
        <stp>[BondFloaters.xlsx]FLOATERS!R50C17</stp>
        <tr r="Q50" s="1"/>
      </tp>
      <tp>
        <v>50</v>
        <stp/>
        <stp>##V3_BDPV12</stp>
        <stp>XS1249494086 CORP</stp>
        <stp>FLT_SPREAD</stp>
        <stp>[BondFloaters.xlsx]FLOATERS!R50C26</stp>
        <tr r="Z50" s="1"/>
      </tp>
      <tp>
        <v>37</v>
        <stp/>
        <stp>##V3_BDPV12</stp>
        <stp>XS1729872652 CORP</stp>
        <stp>FLT_SPREAD</stp>
        <stp>[BondFloaters.xlsx]FLOATERS!R80C26</stp>
        <tr r="Z80" s="1"/>
      </tp>
      <tp>
        <v>70</v>
        <stp/>
        <stp>##V3_BDPV12</stp>
        <stp>XS1729872736 CORP</stp>
        <stp>FLT_SPREAD</stp>
        <stp>[BondFloaters.xlsx]FLOATERS!R88C26</stp>
        <tr r="Z88" s="1"/>
      </tp>
      <tp>
        <v>70</v>
        <stp/>
        <stp>##V3_BDPV12</stp>
        <stp>XS1729872736 CORP</stp>
        <stp>FLT_SPREAD</stp>
        <stp>[BondFloaters.xlsx]FLOATERS!R88C17</stp>
        <tr r="Q88" s="1"/>
      </tp>
      <tp>
        <v>37</v>
        <stp/>
        <stp>##V3_BDPV12</stp>
        <stp>XS1729872652 CORP</stp>
        <stp>FLT_SPREAD</stp>
        <stp>[BondFloaters.xlsx]FLOATERS!R80C17</stp>
        <tr r="Q80" s="1"/>
      </tp>
      <tp>
        <v>40</v>
        <stp/>
        <stp>##V3_BDPV12</stp>
        <stp>XS1599109896 CORP</stp>
        <stp>FLT_SPREAD</stp>
        <stp>[BondFloaters.xlsx]FLOATERS!R97C17</stp>
        <tr r="Q97" s="1"/>
      </tp>
      <tp>
        <v>40</v>
        <stp/>
        <stp>##V3_BDPV12</stp>
        <stp>XS1599109896 CORP</stp>
        <stp>FLT_SPREAD</stp>
        <stp>[BondFloaters.xlsx]FLOATERS!R97C26</stp>
        <tr r="Z97" s="1"/>
      </tp>
      <tp>
        <v>34</v>
        <stp/>
        <stp>##V3_BDPV12</stp>
        <stp>XS1782508508 CORP</stp>
        <stp>FLT_SPREAD</stp>
        <stp>[BondFloaters.xlsx]FLOATERS!R23C26</stp>
        <tr r="Z23" s="1"/>
      </tp>
      <tp>
        <v>58</v>
        <stp/>
        <stp>##V3_BDPV12</stp>
        <stp>XS1144084099 CORP</stp>
        <stp>FLT_SPREAD</stp>
        <stp>[BondFloaters.xlsx]FLOATERS!R82C17</stp>
        <tr r="Q82" s="1"/>
      </tp>
      <tp>
        <v>34</v>
        <stp/>
        <stp>##V3_BDPV12</stp>
        <stp>XS1782508508 CORP</stp>
        <stp>FLT_SPREAD</stp>
        <stp>[BondFloaters.xlsx]FLOATERS!R23C17</stp>
        <tr r="Q23" s="1"/>
      </tp>
      <tp>
        <v>58</v>
        <stp/>
        <stp>##V3_BDPV12</stp>
        <stp>XS1144084099 CORP</stp>
        <stp>FLT_SPREAD</stp>
        <stp>[BondFloaters.xlsx]FLOATERS!R82C26</stp>
        <tr r="Z82" s="1"/>
      </tp>
      <tp t="s">
        <v>N</v>
        <stp/>
        <stp>##V3_BDPV12</stp>
        <stp>XS1651071521 CORP</stp>
        <stp>CALLABLE</stp>
        <stp>[BondFloaters.xlsx]FLOATERS!R46C7</stp>
        <tr r="G46" s="1"/>
      </tp>
      <tp t="s">
        <v>N</v>
        <stp/>
        <stp>##V3_BDPV12</stp>
        <stp>XS1292513105 CORP</stp>
        <stp>ZERO_CPN</stp>
        <stp>[BondFloaters.xlsx]FLOATERS!R69C8</stp>
        <tr r="H69" s="1"/>
      </tp>
      <tp t="s">
        <v>N</v>
        <stp/>
        <stp>##V3_BDPV12</stp>
        <stp>XS1591430746 CORP</stp>
        <stp>CALLABLE</stp>
        <stp>[BondFloaters.xlsx]FLOATERS!R64C7</stp>
        <tr r="G64" s="1"/>
      </tp>
      <tp t="s">
        <v>N</v>
        <stp/>
        <stp>##V3_BDPV12</stp>
        <stp>XS1564405741 CORP</stp>
        <stp>CALLABLE</stp>
        <stp>[BondFloaters.xlsx]FLOATERS!R21C7</stp>
        <tr r="G21" s="1"/>
      </tp>
      <tp t="s">
        <v>N</v>
        <stp/>
        <stp>##V3_BDPV12</stp>
        <stp>XS1234366448 CORP</stp>
        <stp>CALLABLE</stp>
        <stp>[BondFloaters.xlsx]FLOATERS!R52C7</stp>
        <tr r="G52" s="1"/>
      </tp>
      <tp t="s">
        <v>N</v>
        <stp/>
        <stp>##V3_BDPV12</stp>
        <stp>FR0012432904 CORP</stp>
        <stp>CALLABLE</stp>
        <stp>[BondFloaters.xlsx]FLOATERS!R48C7</stp>
        <tr r="G48" s="1"/>
      </tp>
      <tp t="s">
        <v>N</v>
        <stp/>
        <stp>##V3_BDPV12</stp>
        <stp>XS1619284372 CORP</stp>
        <stp>CALLABLE</stp>
        <stp>[BondFloaters.xlsx]FLOATERS!R68C7</stp>
        <tr r="G68" s="1"/>
      </tp>
      <tp t="s">
        <v>N</v>
        <stp/>
        <stp>##V3_BDPV12</stp>
        <stp>FR0013292687 CORP</stp>
        <stp>CALLABLE</stp>
        <stp>[BondFloaters.xlsx]FLOATERS!R36C7</stp>
        <tr r="G36" s="1"/>
      </tp>
      <tp t="s">
        <v>N</v>
        <stp/>
        <stp>##V3_BDPV12</stp>
        <stp>XS1382791892 CORP</stp>
        <stp>ZERO_CPN</stp>
        <stp>[BondFloaters.xlsx]FLOATERS!R30C8</stp>
        <tr r="H30" s="1"/>
      </tp>
      <tp t="s">
        <v>N</v>
        <stp/>
        <stp>##V3_BDPV12</stp>
        <stp>XS1642545690 CORP</stp>
        <stp>CALLABLE</stp>
        <stp>[BondFloaters.xlsx]FLOATERS!R76C7</stp>
        <tr r="G76" s="1"/>
      </tp>
      <tp>
        <v>-0.311</v>
        <stp/>
        <stp>##V3_BDPV12</stp>
        <stp>XS1821814800 CORP</stp>
        <stp>YAS_FLOATER_ASSUMED_RATE</stp>
        <stp>[BondFloaters.xlsx]FLOATERS!R84C23</stp>
        <tr r="W84" s="1"/>
      </tp>
      <tp t="s">
        <v>18/03/2019</v>
        <stp/>
        <stp>##V3_BDPV12</stp>
        <stp>FR0013136330 CORP</stp>
        <stp>MATURITY</stp>
        <stp>[BondFloaters.xlsx]FLOATERS!R103C18</stp>
        <tr r="R103" s="1"/>
      </tp>
      <tp t="s">
        <v>18/03/2019</v>
        <stp/>
        <stp>##V3_BDPV12</stp>
        <stp>FR0013136330 CORP</stp>
        <stp>MATURITY</stp>
        <stp>[BondFloaters.xlsx]FLOATERS!R103C15</stp>
        <tr r="O103" s="1"/>
      </tp>
      <tp t="s">
        <v>10/11/2017</v>
        <stp/>
        <stp>##V3_BDPV12</stp>
        <stp>XS1715353105 CORP</stp>
        <stp>ISSUE_DT</stp>
        <stp>[BondFloaters.xlsx]FLOATERS!R120C11</stp>
        <tr r="K120" s="1"/>
      </tp>
      <tp>
        <v>-0.311</v>
        <stp/>
        <stp>##V3_BDPV12</stp>
        <stp>XS1599109896 CORP</stp>
        <stp>YAS_FLOATER_ASSUMED_RATE</stp>
        <stp>[BondFloaters.xlsx]FLOATERS!R97C23</stp>
        <tr r="W97" s="1"/>
      </tp>
      <tp t="s">
        <v>15/11/2017</v>
        <stp/>
        <stp>##V3_BDPV12</stp>
        <stp>XS1717202730 CORP</stp>
        <stp>ISSUE_DT</stp>
        <stp>[BondFloaters.xlsx]FLOATERS!R128C11</stp>
        <tr r="K128" s="1"/>
      </tp>
      <tp t="s">
        <v>09/03/2017</v>
        <stp/>
        <stp>##V3_BDPV12</stp>
        <stp>XS1574667124 CORP</stp>
        <stp>ISSUE_DT</stp>
        <stp>[BondFloaters.xlsx]FLOATERS!R104C11</stp>
        <tr r="K104" s="1"/>
      </tp>
      <tp t="s">
        <v>18/05/2021</v>
        <stp/>
        <stp>##V3_BDPV12</stp>
        <stp>XS1823165631 CORP</stp>
        <stp>MATURITY</stp>
        <stp>[BondFloaters.xlsx]FLOATERS!R70C18</stp>
        <tr r="R70" s="1"/>
      </tp>
      <tp t="s">
        <v>18/05/2021</v>
        <stp/>
        <stp>##V3_BDPV12</stp>
        <stp>XS1823165631 CORP</stp>
        <stp>MATURITY</stp>
        <stp>[BondFloaters.xlsx]FLOATERS!R70C15</stp>
        <tr r="O70" s="1"/>
      </tp>
      <tp t="s">
        <v>25/02/2019</v>
        <stp/>
        <stp>##V3_BDPV12</stp>
        <stp>XS1372838083 CORP</stp>
        <stp>MATURITY</stp>
        <stp>[BondFloaters.xlsx]FLOATERS!R130C18</stp>
        <tr r="R130" s="1"/>
      </tp>
      <tp t="s">
        <v>25/02/2019</v>
        <stp/>
        <stp>##V3_BDPV12</stp>
        <stp>XS1372838083 CORP</stp>
        <stp>MATURITY</stp>
        <stp>[BondFloaters.xlsx]FLOATERS!R130C15</stp>
        <tr r="O130" s="1"/>
      </tp>
      <tp t="s">
        <v>N</v>
        <stp/>
        <stp>##V3_BDPV12</stp>
        <stp>DE000A2G8VS7 CORP</stp>
        <stp>CALLABLE</stp>
        <stp>[BondFloaters.xlsx]FLOATERS!R43C7</stp>
        <tr r="G43" s="1"/>
      </tp>
      <tp>
        <v>20</v>
        <stp/>
        <stp>##V3_BDPV12</stp>
        <stp>XS1781813511 CORP</stp>
        <stp>FLT_SPREAD</stp>
        <stp>[BondFloaters.xlsx]FLOATERS!R8C26</stp>
        <tr r="Z8" s="1"/>
      </tp>
      <tp>
        <v>20</v>
        <stp/>
        <stp>##V3_BDPV12</stp>
        <stp>XS1781813511 CORP</stp>
        <stp>FLT_SPREAD</stp>
        <stp>[BondFloaters.xlsx]FLOATERS!R8C17</stp>
        <tr r="Q8" s="1"/>
      </tp>
      <tp t="s">
        <v>12/01/2023</v>
        <stp/>
        <stp>##V3_BDPV12</stp>
        <stp>FR0013309606 CORP</stp>
        <stp>MATURITY</stp>
        <stp>[BondFloaters.xlsx]FLOATERS!R25C18</stp>
        <tr r="R25" s="1"/>
      </tp>
      <tp t="s">
        <v>12/01/2023</v>
        <stp/>
        <stp>##V3_BDPV12</stp>
        <stp>FR0013309606 CORP</stp>
        <stp>MATURITY</stp>
        <stp>[BondFloaters.xlsx]FLOATERS!R25C15</stp>
        <tr r="O25" s="1"/>
      </tp>
      <tp t="s">
        <v>19/10/2020</v>
        <stp/>
        <stp>##V3_BDPV12</stp>
        <stp>XS1808497264 CORP</stp>
        <stp>MATURITY</stp>
        <stp>[BondFloaters.xlsx]FLOATERS!R13C18</stp>
        <tr r="R13" s="1"/>
      </tp>
      <tp t="s">
        <v>19/10/2020</v>
        <stp/>
        <stp>##V3_BDPV12</stp>
        <stp>XS1808497264 CORP</stp>
        <stp>MATURITY</stp>
        <stp>[BondFloaters.xlsx]FLOATERS!R13C15</stp>
        <tr r="O13" s="1"/>
      </tp>
      <tp t="s">
        <v>01/06/2019</v>
        <stp/>
        <stp>##V3_BDPV12</stp>
        <stp>XS1622634126 CORP</stp>
        <stp>MATURITY</stp>
        <stp>[BondFloaters.xlsx]FLOATERS!R121C18</stp>
        <tr r="R121" s="1"/>
      </tp>
      <tp t="s">
        <v>01/06/2019</v>
        <stp/>
        <stp>##V3_BDPV12</stp>
        <stp>XS1622634126 CORP</stp>
        <stp>MATURITY</stp>
        <stp>[BondFloaters.xlsx]FLOATERS!R121C15</stp>
        <tr r="O121" s="1"/>
      </tp>
      <tp t="s">
        <v>19/04/2020</v>
        <stp/>
        <stp>##V3_BDPV12</stp>
        <stp>FR0013330107 CORP</stp>
        <stp>MATURITY</stp>
        <stp>[BondFloaters.xlsx]FLOATERS!R87C18</stp>
        <tr r="R87" s="1"/>
      </tp>
      <tp t="s">
        <v>19/04/2020</v>
        <stp/>
        <stp>##V3_BDPV12</stp>
        <stp>FR0013330107 CORP</stp>
        <stp>MATURITY</stp>
        <stp>[BondFloaters.xlsx]FLOATERS!R87C15</stp>
        <tr r="O87" s="1"/>
      </tp>
      <tp t="s">
        <v>16/08/2021</v>
        <stp/>
        <stp>##V3_BDPV12</stp>
        <stp>XS1664643746 CORP</stp>
        <stp>MATURITY</stp>
        <stp>[BondFloaters.xlsx]FLOATERS!R73C18</stp>
        <tr r="R73" s="1"/>
      </tp>
      <tp t="s">
        <v>16/08/2021</v>
        <stp/>
        <stp>##V3_BDPV12</stp>
        <stp>XS1664643746 CORP</stp>
        <stp>MATURITY</stp>
        <stp>[BondFloaters.xlsx]FLOATERS!R73C15</stp>
        <tr r="O73" s="1"/>
      </tp>
      <tp t="s">
        <v>06/09/2019</v>
        <stp/>
        <stp>##V3_BDPV12</stp>
        <stp>XS1671754650 CORP</stp>
        <stp>MATURITY</stp>
        <stp>[BondFloaters.xlsx]FLOATERS!R19C18</stp>
        <tr r="R19" s="1"/>
      </tp>
      <tp t="s">
        <v>06/09/2019</v>
        <stp/>
        <stp>##V3_BDPV12</stp>
        <stp>XS1671754650 CORP</stp>
        <stp>MATURITY</stp>
        <stp>[BondFloaters.xlsx]FLOATERS!R19C15</stp>
        <tr r="O19" s="1"/>
      </tp>
      <tp t="s">
        <v>23/01/2020</v>
        <stp/>
        <stp>##V3_BDPV12</stp>
        <stp>XS1756669740 CORP</stp>
        <stp>MATURITY</stp>
        <stp>[BondFloaters.xlsx]FLOATERS!R72C15</stp>
        <tr r="O72" s="1"/>
      </tp>
      <tp t="s">
        <v>23/01/2020</v>
        <stp/>
        <stp>##V3_BDPV12</stp>
        <stp>XS1756669740 CORP</stp>
        <stp>MATURITY</stp>
        <stp>[BondFloaters.xlsx]FLOATERS!R72C18</stp>
        <tr r="R72" s="1"/>
      </tp>
      <tp t="s">
        <v>24/07/2019</v>
        <stp/>
        <stp>##V3_BDPV12</stp>
        <stp>XS1651071521 CORP</stp>
        <stp>MATURITY</stp>
        <stp>[BondFloaters.xlsx]FLOATERS!R46C18</stp>
        <tr r="R46" s="1"/>
      </tp>
      <tp t="s">
        <v>24/07/2019</v>
        <stp/>
        <stp>##V3_BDPV12</stp>
        <stp>XS1651071521 CORP</stp>
        <stp>MATURITY</stp>
        <stp>[BondFloaters.xlsx]FLOATERS!R46C15</stp>
        <tr r="O46" s="1"/>
      </tp>
      <tp>
        <v>60</v>
        <stp/>
        <stp>##V3_BDPV12</stp>
        <stp>XS1750116920 CORP</stp>
        <stp>FLT_SPREAD</stp>
        <stp>[BondFloaters.xlsx]FLOATERS!R31C17</stp>
        <tr r="Q31" s="1"/>
      </tp>
      <tp>
        <v>60</v>
        <stp/>
        <stp>##V3_BDPV12</stp>
        <stp>XS1750116920 CORP</stp>
        <stp>FLT_SPREAD</stp>
        <stp>[BondFloaters.xlsx]FLOATERS!R31C26</stp>
        <tr r="Z31" s="1"/>
      </tp>
      <tp>
        <v>35</v>
        <stp/>
        <stp>##V3_BDPV12</stp>
        <stp>XS1564405741 CORP</stp>
        <stp>FLT_SPREAD</stp>
        <stp>[BondFloaters.xlsx]FLOATERS!R21C26</stp>
        <tr r="Z21" s="1"/>
      </tp>
      <tp>
        <v>20</v>
        <stp/>
        <stp>##V3_BDPV12</stp>
        <stp>XS1822301039 CORP</stp>
        <stp>FLT_SPREAD</stp>
        <stp>[BondFloaters.xlsx]FLOATERS!R15C26</stp>
        <tr r="Z15" s="1"/>
      </tp>
      <tp>
        <v>27</v>
        <stp/>
        <stp>##V3_BDPV12</stp>
        <stp>XS1705553417 CORP</stp>
        <stp>FLT_SPREAD</stp>
        <stp>[BondFloaters.xlsx]FLOATERS!R85C17</stp>
        <tr r="Q85" s="1"/>
      </tp>
      <tp>
        <v>20</v>
        <stp/>
        <stp>##V3_BDPV12</stp>
        <stp>XS1822301039 CORP</stp>
        <stp>FLT_SPREAD</stp>
        <stp>[BondFloaters.xlsx]FLOATERS!R15C17</stp>
        <tr r="Q15" s="1"/>
      </tp>
      <tp>
        <v>27</v>
        <stp/>
        <stp>##V3_BDPV12</stp>
        <stp>XS1705553417 CORP</stp>
        <stp>FLT_SPREAD</stp>
        <stp>[BondFloaters.xlsx]FLOATERS!R85C26</stp>
        <tr r="Z85" s="1"/>
      </tp>
      <tp>
        <v>35</v>
        <stp/>
        <stp>##V3_BDPV12</stp>
        <stp>XS1564405741 CORP</stp>
        <stp>FLT_SPREAD</stp>
        <stp>[BondFloaters.xlsx]FLOATERS!R21C17</stp>
        <tr r="Q21" s="1"/>
      </tp>
      <tp>
        <v>20</v>
        <stp/>
        <stp>##V3_BDPV12</stp>
        <stp>XS1671754650 CORP</stp>
        <stp>FLT_SPREAD</stp>
        <stp>[BondFloaters.xlsx]FLOATERS!R19C26</stp>
        <tr r="Z19" s="1"/>
      </tp>
      <tp>
        <v>20</v>
        <stp/>
        <stp>##V3_BDPV12</stp>
        <stp>XS1671754650 CORP</stp>
        <stp>FLT_SPREAD</stp>
        <stp>[BondFloaters.xlsx]FLOATERS!R19C17</stp>
        <tr r="Q19" s="1"/>
      </tp>
      <tp t="s">
        <v>19/01/2019</v>
        <stp/>
        <stp>##V3_BDPV12</stp>
        <stp>FR0013330107 CORP</stp>
        <stp>NXT_CPN_DT</stp>
        <stp>[BondFloaters.xlsx]FLOATERS!R87C14</stp>
        <tr r="N87" s="1"/>
      </tp>
      <tp t="s">
        <v>14/03/2019</v>
        <stp/>
        <stp>##V3_BDPV12</stp>
        <stp>FR0013260486 CORP</stp>
        <stp>NXT_CPN_DT</stp>
        <stp>[BondFloaters.xlsx]FLOATERS!R63C14</stp>
        <tr r="N63" s="1"/>
      </tp>
      <tp t="s">
        <v>12/01/2019</v>
        <stp/>
        <stp>##V3_BDPV12</stp>
        <stp>FR0013250685 CORP</stp>
        <stp>NXT_CPN_DT</stp>
        <stp>[BondFloaters.xlsx]FLOATERS!R29C14</stp>
        <tr r="N29" s="1"/>
      </tp>
      <tp t="s">
        <v>EK6022546</v>
        <stp/>
        <stp>##V3_BDPV12</stp>
        <stp>DE000A13SL18 CORP</stp>
        <stp>ID_CUSIP</stp>
        <stp>[BondFloaters.xlsx]FLOATERS!R92C1</stp>
        <tr r="A92" s="1"/>
      </tp>
      <tp>
        <v>21</v>
        <stp/>
        <stp>##V3_BDPV12</stp>
        <stp>DE000A13SL18 CORP</stp>
        <stp>CALC_TYP</stp>
        <stp>[BondFloaters.xlsx]FLOATERS!R92C6</stp>
        <tr r="F92" s="1"/>
      </tp>
      <tp t="s">
        <v>N</v>
        <stp/>
        <stp>##V3_BDPV12</stp>
        <stp>XS1756669740 CORP</stp>
        <stp>CALLABLE</stp>
        <stp>[BondFloaters.xlsx]FLOATERS!R72C7</stp>
        <tr r="G72" s="1"/>
      </tp>
      <tp t="s">
        <v>N</v>
        <stp/>
        <stp>##V3_BDPV12</stp>
        <stp>XS1828028677 CORP</stp>
        <stp>ZERO_CPN</stp>
        <stp>[BondFloaters.xlsx]FLOATERS!R45C8</stp>
        <tr r="H45" s="1"/>
      </tp>
      <tp t="s">
        <v>N</v>
        <stp/>
        <stp>##V3_BDPV12</stp>
        <stp>XS1609252645 CORP</stp>
        <stp>ZERO_CPN</stp>
        <stp>[BondFloaters.xlsx]FLOATERS!R24C8</stp>
        <tr r="H24" s="1"/>
      </tp>
      <tp t="s">
        <v>N</v>
        <stp/>
        <stp>##V3_BDPV12</stp>
        <stp>FR0012146751 CORP</stp>
        <stp>CALLABLE</stp>
        <stp>[BondFloaters.xlsx]FLOATERS!R67C7</stp>
        <tr r="G67" s="1"/>
      </tp>
      <tp t="s">
        <v>N</v>
        <stp/>
        <stp>##V3_BDPV12</stp>
        <stp>XS1723613581 CORP</stp>
        <stp>CALLABLE</stp>
        <stp>[BondFloaters.xlsx]FLOATERS!R75C7</stp>
        <tr r="G75" s="1"/>
      </tp>
      <tp t="s">
        <v>N</v>
        <stp/>
        <stp>##V3_BDPV12</stp>
        <stp>XS1292468987 CORP</stp>
        <stp>CALLABLE</stp>
        <stp>[BondFloaters.xlsx]FLOATERS!R18C7</stp>
        <tr r="G18" s="1"/>
      </tp>
      <tp>
        <v>-0.311</v>
        <stp/>
        <stp>##V3_BDPV12</stp>
        <stp>DE000A19X793 CORP</stp>
        <stp>YAS_FLOATER_ASSUMED_RATE</stp>
        <stp>[BondFloaters.xlsx]FLOATERS!R10C23</stp>
        <tr r="W10" s="1"/>
      </tp>
      <tp t="s">
        <v>06/03/2019</v>
        <stp/>
        <stp>##V3_BDPV12</stp>
        <stp>XS1678632487 CORP</stp>
        <stp>NXT_CPN_DT</stp>
        <stp>[BondFloaters.xlsx]FLOATERS!R6C14</stp>
        <tr r="N6" s="1"/>
      </tp>
      <tp>
        <v>-0.311</v>
        <stp/>
        <stp>##V3_BDPV12</stp>
        <stp>XS1144084099 CORP</stp>
        <stp>YAS_FLOATER_ASSUMED_RATE</stp>
        <stp>[BondFloaters.xlsx]FLOATERS!R82C23</stp>
        <tr r="W82" s="1"/>
      </tp>
      <tp t="s">
        <v>16/11/2017</v>
        <stp/>
        <stp>##V3_BDPV12</stp>
        <stp>XS1717567587 CORP</stp>
        <stp>ISSUE_DT</stp>
        <stp>[BondFloaters.xlsx]FLOATERS!R112C11</stp>
        <tr r="K112" s="1"/>
      </tp>
      <tp>
        <v>-0.311</v>
        <stp/>
        <stp>##V3_BDPV12</stp>
        <stp>XS1319814817 CORP</stp>
        <stp>YAS_FLOATER_ASSUMED_RATE</stp>
        <stp>[BondFloaters.xlsx]FLOATERS!R77C23</stp>
        <tr r="W77" s="1"/>
      </tp>
      <tp t="s">
        <v>#N/A Field Not Applicable</v>
        <stp/>
        <stp>##V3_BDPV12</stp>
        <stp>XS1480176111 CORP</stp>
        <stp>NXT_CPN_DT</stp>
        <stp>[BondFloaters.xlsx]FLOATERS!R5C14</stp>
        <tr r="N5" s="1"/>
      </tp>
      <tp>
        <v>-0.311</v>
        <stp/>
        <stp>##V3_BDPV12</stp>
        <stp>FR0012969012 CORP</stp>
        <stp>YAS_FLOATER_ASSUMED_RATE</stp>
        <stp>[BondFloaters.xlsx]FLOATERS!R22C23</stp>
        <tr r="W22" s="1"/>
      </tp>
      <tp t="s">
        <v>20/03/2022</v>
        <stp/>
        <stp>##V3_BDPV12</stp>
        <stp>XS1794195724 CORP</stp>
        <stp>MATURITY</stp>
        <stp>[BondFloaters.xlsx]FLOATERS!R12C15</stp>
        <tr r="O12" s="1"/>
      </tp>
      <tp t="s">
        <v>20/03/2022</v>
        <stp/>
        <stp>##V3_BDPV12</stp>
        <stp>XS1794195724 CORP</stp>
        <stp>MATURITY</stp>
        <stp>[BondFloaters.xlsx]FLOATERS!R12C18</stp>
        <tr r="R12" s="1"/>
      </tp>
      <tp t="s">
        <v>26/08/2019</v>
        <stp/>
        <stp>##V3_BDPV12</stp>
        <stp>XS1237187718 CORP</stp>
        <stp>MATURITY</stp>
        <stp>[BondFloaters.xlsx]FLOATERS!R105C18</stp>
        <tr r="R105" s="1"/>
      </tp>
      <tp t="s">
        <v>26/08/2019</v>
        <stp/>
        <stp>##V3_BDPV12</stp>
        <stp>XS1237187718 CORP</stp>
        <stp>MATURITY</stp>
        <stp>[BondFloaters.xlsx]FLOATERS!R105C15</stp>
        <tr r="O105" s="1"/>
      </tp>
      <tp t="s">
        <v>16/01/2020</v>
        <stp/>
        <stp>##V3_BDPV12</stp>
        <stp>XS1750116920 CORP</stp>
        <stp>MATURITY</stp>
        <stp>[BondFloaters.xlsx]FLOATERS!R31C18</stp>
        <tr r="R31" s="1"/>
      </tp>
      <tp t="s">
        <v>21/04/2020</v>
        <stp/>
        <stp>##V3_BDPV12</stp>
        <stp>XS1398275112 CORP</stp>
        <stp>MATURITY</stp>
        <stp>[BondFloaters.xlsx]FLOATERS!R16C15</stp>
        <tr r="O16" s="1"/>
      </tp>
      <tp t="s">
        <v>22/11/2019</v>
        <stp/>
        <stp>##V3_BDPV12</stp>
        <stp>XS1618349804 CORP</stp>
        <stp>MATURITY</stp>
        <stp>[BondFloaters.xlsx]FLOATERS!R60C15</stp>
        <tr r="O60" s="1"/>
      </tp>
      <tp t="s">
        <v>16/01/2020</v>
        <stp/>
        <stp>##V3_BDPV12</stp>
        <stp>XS1750116920 CORP</stp>
        <stp>MATURITY</stp>
        <stp>[BondFloaters.xlsx]FLOATERS!R31C15</stp>
        <tr r="O31" s="1"/>
      </tp>
      <tp t="s">
        <v>21/04/2020</v>
        <stp/>
        <stp>##V3_BDPV12</stp>
        <stp>XS1398275112 CORP</stp>
        <stp>MATURITY</stp>
        <stp>[BondFloaters.xlsx]FLOATERS!R16C18</stp>
        <tr r="R16" s="1"/>
      </tp>
      <tp t="s">
        <v>22/11/2019</v>
        <stp/>
        <stp>##V3_BDPV12</stp>
        <stp>XS1618349804 CORP</stp>
        <stp>MATURITY</stp>
        <stp>[BondFloaters.xlsx]FLOATERS!R60C18</stp>
        <tr r="R60" s="1"/>
      </tp>
      <tp t="s">
        <v>03/01/2020</v>
        <stp/>
        <stp>##V3_BDPV12</stp>
        <stp>FR0013054020 CORP</stp>
        <stp>MATURITY</stp>
        <stp>[BondFloaters.xlsx]FLOATERS!R26C15</stp>
        <tr r="O26" s="1"/>
      </tp>
      <tp t="s">
        <v>03/01/2020</v>
        <stp/>
        <stp>##V3_BDPV12</stp>
        <stp>FR0013054020 CORP</stp>
        <stp>MATURITY</stp>
        <stp>[BondFloaters.xlsx]FLOATERS!R26C18</stp>
        <tr r="R26" s="1"/>
      </tp>
      <tp t="s">
        <v>07/12/2022</v>
        <stp/>
        <stp>##V3_BDPV12</stp>
        <stp>XS1767930826 CORP</stp>
        <stp>MATURITY</stp>
        <stp>[BondFloaters.xlsx]FLOATERS!R110C15</stp>
        <tr r="O110" s="1"/>
      </tp>
      <tp t="s">
        <v>07/12/2022</v>
        <stp/>
        <stp>##V3_BDPV12</stp>
        <stp>XS1767930826 CORP</stp>
        <stp>MATURITY</stp>
        <stp>[BondFloaters.xlsx]FLOATERS!R110C18</stp>
        <tr r="R110" s="1"/>
      </tp>
      <tp t="s">
        <v>21/03/2020</v>
        <stp/>
        <stp>##V3_BDPV12</stp>
        <stp>FR0013324316 CORP</stp>
        <stp>MATURITY</stp>
        <stp>[BondFloaters.xlsx]FLOATERS!R28C15</stp>
        <tr r="O28" s="1"/>
      </tp>
      <tp t="s">
        <v>21/03/2020</v>
        <stp/>
        <stp>##V3_BDPV12</stp>
        <stp>FR0013324316 CORP</stp>
        <stp>MATURITY</stp>
        <stp>[BondFloaters.xlsx]FLOATERS!R28C18</stp>
        <tr r="R28" s="1"/>
      </tp>
      <tp t="s">
        <v>08/12/2021</v>
        <stp/>
        <stp>##V3_BDPV12</stp>
        <stp>XS1830992563 CORP</stp>
        <stp>MATURITY</stp>
        <stp>[BondFloaters.xlsx]FLOATERS!R109C18</stp>
        <tr r="R109" s="1"/>
      </tp>
      <tp t="s">
        <v>08/12/2021</v>
        <stp/>
        <stp>##V3_BDPV12</stp>
        <stp>XS1830992563 CORP</stp>
        <stp>MATURITY</stp>
        <stp>[BondFloaters.xlsx]FLOATERS!R109C15</stp>
        <tr r="O109" s="1"/>
      </tp>
      <tp>
        <v>68</v>
        <stp/>
        <stp>##V3_BDPV12</stp>
        <stp>XS1609252645 CORP</stp>
        <stp>FLT_SPREAD</stp>
        <stp>[BondFloaters.xlsx]FLOATERS!R24C26</stp>
        <tr r="Z24" s="1"/>
      </tp>
      <tp>
        <v>68</v>
        <stp/>
        <stp>##V3_BDPV12</stp>
        <stp>XS1609252645 CORP</stp>
        <stp>FLT_SPREAD</stp>
        <stp>[BondFloaters.xlsx]FLOATERS!R24C17</stp>
        <tr r="Q24" s="1"/>
      </tp>
      <tp t="s">
        <v>08/01/2019</v>
        <stp/>
        <stp>##V3_BDPV12</stp>
        <stp>FR0013241379 CORP</stp>
        <stp>NXT_CPN_DT</stp>
        <stp>[BondFloaters.xlsx]FLOATERS!R38C14</stp>
        <tr r="N38" s="1"/>
      </tp>
      <tp t="s">
        <v>05/03/2019</v>
        <stp/>
        <stp>##V3_BDPV12</stp>
        <stp>FR0013221652 CORP</stp>
        <stp>NXT_CPN_DT</stp>
        <stp>[BondFloaters.xlsx]FLOATERS!R98C14</stp>
        <tr r="N98" s="1"/>
      </tp>
      <tp t="s">
        <v>EK3522597</v>
        <stp/>
        <stp>##V3_BDPV12</stp>
        <stp>XS1082839553 CORP</stp>
        <stp>ID_CUSIP</stp>
        <stp>[BondFloaters.xlsx]FLOATERS!R61C1</stp>
        <tr r="A61" s="1"/>
      </tp>
      <tp>
        <v>21</v>
        <stp/>
        <stp>##V3_BDPV12</stp>
        <stp>XS1082839553 CORP</stp>
        <stp>CALC_TYP</stp>
        <stp>[BondFloaters.xlsx]FLOATERS!R61C6</stp>
        <tr r="F61" s="1"/>
      </tp>
      <tp t="s">
        <v>AN2178027</v>
        <stp/>
        <stp>##V3_BDPV12</stp>
        <stp>XS1599109896 CORP</stp>
        <stp>ID_CUSIP</stp>
        <stp>[BondFloaters.xlsx]FLOATERS!R97C1</stp>
        <tr r="A97" s="1"/>
      </tp>
      <tp>
        <v>21</v>
        <stp/>
        <stp>##V3_BDPV12</stp>
        <stp>XS1599109896 CORP</stp>
        <stp>CALC_TYP</stp>
        <stp>[BondFloaters.xlsx]FLOATERS!R97C6</stp>
        <tr r="F97" s="1"/>
      </tp>
      <tp t="s">
        <v>EK6173513</v>
        <stp/>
        <stp>##V3_BDPV12</stp>
        <stp>XS1144084099 CORP</stp>
        <stp>ID_CUSIP</stp>
        <stp>[BondFloaters.xlsx]FLOATERS!R82C1</stp>
        <tr r="A82" s="1"/>
      </tp>
      <tp>
        <v>21</v>
        <stp/>
        <stp>##V3_BDPV12</stp>
        <stp>XS1319814817 CORP</stp>
        <stp>CALC_TYP</stp>
        <stp>[BondFloaters.xlsx]FLOATERS!R77C6</stp>
        <tr r="F77" s="1"/>
      </tp>
      <tp>
        <v>21</v>
        <stp/>
        <stp>##V3_BDPV12</stp>
        <stp>XS1144084099 CORP</stp>
        <stp>CALC_TYP</stp>
        <stp>[BondFloaters.xlsx]FLOATERS!R82C6</stp>
        <tr r="F82" s="1"/>
      </tp>
      <tp t="s">
        <v>31428XBH8</v>
        <stp/>
        <stp>##V3_BDPV12</stp>
        <stp>XS1319814817 CORP</stp>
        <stp>ID_CUSIP</stp>
        <stp>[BondFloaters.xlsx]FLOATERS!R77C1</stp>
        <tr r="A77" s="1"/>
      </tp>
      <tp t="s">
        <v>EK7749899</v>
        <stp/>
        <stp>##V3_BDPV12</stp>
        <stp>XS1197832832 CORP</stp>
        <stp>ID_CUSIP</stp>
        <stp>[BondFloaters.xlsx]FLOATERS!R39C1</stp>
        <tr r="A39" s="1"/>
      </tp>
      <tp>
        <v>21</v>
        <stp/>
        <stp>##V3_BDPV12</stp>
        <stp>XS1729872736 CORP</stp>
        <stp>CALC_TYP</stp>
        <stp>[BondFloaters.xlsx]FLOATERS!R88C6</stp>
        <tr r="F88" s="1"/>
      </tp>
      <tp>
        <v>21</v>
        <stp/>
        <stp>##V3_BDPV12</stp>
        <stp>XS1197832832 CORP</stp>
        <stp>CALC_TYP</stp>
        <stp>[BondFloaters.xlsx]FLOATERS!R39C6</stp>
        <tr r="F39" s="1"/>
      </tp>
      <tp t="s">
        <v>AQ1998519</v>
        <stp/>
        <stp>##V3_BDPV12</stp>
        <stp>XS1729872736 CORP</stp>
        <stp>ID_CUSIP</stp>
        <stp>[BondFloaters.xlsx]FLOATERS!R88C1</stp>
        <tr r="A88" s="1"/>
      </tp>
      <tp>
        <v>21</v>
        <stp/>
        <stp>##V3_BDPV12</stp>
        <stp>FR0013322146 CORP</stp>
        <stp>CALC_TYP</stp>
        <stp>[BondFloaters.xlsx]FLOATERS!R95C6</stp>
        <tr r="F95" s="1"/>
      </tp>
      <tp t="s">
        <v>AR5462932</v>
        <stp/>
        <stp>##V3_BDPV12</stp>
        <stp>FR0013322146 CORP</stp>
        <stp>ID_CUSIP</stp>
        <stp>[BondFloaters.xlsx]FLOATERS!R95C1</stp>
        <tr r="A95" s="1"/>
      </tp>
      <tp>
        <v>-0.33929999999999999</v>
        <stp/>
        <stp>##V3_BDPV12</stp>
        <stp>XS1234366448 CORP</stp>
        <stp>YAS_FLOATER_INDEX_TO_NEXT_COUPON</stp>
        <stp>[BondFloaters.xlsx]FLOATERS!R52C24</stp>
        <tr r="X52" s="1"/>
      </tp>
      <tp>
        <v>-0.32683333333333336</v>
        <stp/>
        <stp>##V3_BDPV12</stp>
        <stp>XS1828028677 CORP</stp>
        <stp>YAS_FLOATER_INDEX_TO_NEXT_COUPON</stp>
        <stp>[BondFloaters.xlsx]FLOATERS!R45C24</stp>
        <tr r="X45" s="1"/>
      </tp>
      <tp>
        <v>-0.31266666666666665</v>
        <stp/>
        <stp>##V3_BDPV12</stp>
        <stp>BE6285450449 CORP</stp>
        <stp>YAS_FLOATER_INDEX_TO_NEXT_COUPON</stp>
        <stp>[BondFloaters.xlsx]FLOATERS!R37C24</stp>
        <tr r="X37" s="1"/>
      </tp>
      <tp>
        <v>-0.31516666666666665</v>
        <stp/>
        <stp>##V3_BDPV12</stp>
        <stp>XS1683495052 CORP</stp>
        <stp>YAS_FLOATER_INDEX_TO_NEXT_COUPON</stp>
        <stp>[BondFloaters.xlsx]FLOATERS!R117C24</stp>
        <tr r="X117" s="1"/>
      </tp>
      <tp>
        <v>-0.31850000000000001</v>
        <stp/>
        <stp>##V3_BDPV12</stp>
        <stp>XS1679028479 CORP</stp>
        <stp>YAS_FLOATER_INDEX_TO_NEXT_COUPON</stp>
        <stp>[BondFloaters.xlsx]FLOATERS!R119C24</stp>
        <tr r="X119" s="1"/>
      </tp>
      <tp t="s">
        <v>N</v>
        <stp/>
        <stp>##V3_BDPV12</stp>
        <stp>DE000A14KJE8 CORP</stp>
        <stp>CALLABLE</stp>
        <stp>[BondFloaters.xlsx]FLOATERS!R51C7</stp>
        <tr r="G51" s="1"/>
      </tp>
      <tp>
        <v>-0.37643478260869567</v>
        <stp/>
        <stp>##V3_BDPV12</stp>
        <stp>FR0013266343 CORP</stp>
        <stp>YAS_FLOATER_INDEX_TO_NEXT_COUPON</stp>
        <stp>[BondFloaters.xlsx]FLOATERS!R91C24</stp>
        <tr r="X91" s="1"/>
      </tp>
      <tp>
        <v>-0.36680000000000001</v>
        <stp/>
        <stp>##V3_BDPV12</stp>
        <stp>XS1301773799 CORP</stp>
        <stp>YAS_FLOATER_INDEX_TO_NEXT_COUPON</stp>
        <stp>[BondFloaters.xlsx]FLOATERS!R114C24</stp>
        <tr r="X114" s="1"/>
      </tp>
      <tp>
        <v>-0.34150000000000003</v>
        <stp/>
        <stp>##V3_BDPV12</stp>
        <stp>XS1715323298 CORP</stp>
        <stp>YAS_FLOATER_INDEX_TO_NEXT_COUPON</stp>
        <stp>[BondFloaters.xlsx]FLOATERS!R111C24</stp>
        <tr r="X111" s="1"/>
      </tp>
      <tp>
        <v>-0.37056521739130432</v>
        <stp/>
        <stp>##V3_BDPV12</stp>
        <stp>XS1363560548 CORP</stp>
        <stp>YAS_FLOATER_INDEX_TO_NEXT_COUPON</stp>
        <stp>[BondFloaters.xlsx]FLOATERS!R133C24</stp>
        <tr r="X133" s="1"/>
      </tp>
      <tp t="s">
        <v>N</v>
        <stp/>
        <stp>##V3_BDPV12</stp>
        <stp>DE000A19HBM3 CORP</stp>
        <stp>CALLABLE</stp>
        <stp>[BondFloaters.xlsx]FLOATERS!R99C7</stp>
        <tr r="G99" s="1"/>
      </tp>
      <tp>
        <v>-0.311</v>
        <stp/>
        <stp>##V3_BDPV12</stp>
        <stp>XS1642546078 CORP</stp>
        <stp>YAS_FLOATER_ASSUMED_RATE</stp>
        <stp>[BondFloaters.xlsx]FLOATERS!R107C23</stp>
        <tr r="W107" s="1"/>
      </tp>
      <tp>
        <v>-0.311</v>
        <stp/>
        <stp>##V3_BDPV12</stp>
        <stp>XS1577870808 CORP</stp>
        <stp>YAS_FLOATER_ASSUMED_RATE</stp>
        <stp>[BondFloaters.xlsx]FLOATERS!R138C23</stp>
        <tr r="W138" s="1"/>
      </tp>
      <tp t="s">
        <v>06/09/2016</v>
        <stp/>
        <stp>##V3_BDPV12</stp>
        <stp>XS1485660895 CORP</stp>
        <stp>ISSUE_DT</stp>
        <stp>[BondFloaters.xlsx]FLOATERS!R58C11</stp>
        <tr r="K58" s="1"/>
      </tp>
      <tp t="s">
        <v>22/11/2016</v>
        <stp/>
        <stp>##V3_BDPV12</stp>
        <stp>XS1522989869 CORP</stp>
        <stp>ISSUE_DT</stp>
        <stp>[BondFloaters.xlsx]FLOATERS!R33C11</stp>
        <tr r="K33" s="1"/>
      </tp>
      <tp>
        <v>33</v>
        <stp/>
        <stp>##V3_BDPV12</stp>
        <stp>FR0012432904 CORP</stp>
        <stp>FLT_SPREAD</stp>
        <stp>[BondFloaters.xlsx]FLOATERS!R48C26</stp>
        <tr r="Z48" s="1"/>
      </tp>
      <tp>
        <v>33</v>
        <stp/>
        <stp>##V3_BDPV12</stp>
        <stp>FR0012432904 CORP</stp>
        <stp>FLT_SPREAD</stp>
        <stp>[BondFloaters.xlsx]FLOATERS!R48C17</stp>
        <tr r="Q48" s="1"/>
      </tp>
      <tp>
        <v>58</v>
        <stp/>
        <stp>##V3_BDPV12</stp>
        <stp>FR0013322146 CORP</stp>
        <stp>FLT_SPREAD</stp>
        <stp>[BondFloaters.xlsx]FLOATERS!R95C26</stp>
        <tr r="Z95" s="1"/>
      </tp>
      <tp>
        <v>58</v>
        <stp/>
        <stp>##V3_BDPV12</stp>
        <stp>FR0013322146 CORP</stp>
        <stp>FLT_SPREAD</stp>
        <stp>[BondFloaters.xlsx]FLOATERS!R95C17</stp>
        <tr r="Q95" s="1"/>
      </tp>
      <tp>
        <v>57</v>
        <stp/>
        <stp>##V3_BDPV12</stp>
        <stp>FR0013292687 CORP</stp>
        <stp>FLT_SPREAD</stp>
        <stp>[BondFloaters.xlsx]FLOATERS!R36C17</stp>
        <tr r="Q36" s="1"/>
      </tp>
      <tp>
        <v>57</v>
        <stp/>
        <stp>##V3_BDPV12</stp>
        <stp>FR0013292687 CORP</stp>
        <stp>FLT_SPREAD</stp>
        <stp>[BondFloaters.xlsx]FLOATERS!R36C26</stp>
        <tr r="Z36" s="1"/>
      </tp>
      <tp t="s">
        <v>15/01/2019</v>
        <stp/>
        <stp>##V3_BDPV12</stp>
        <stp>XS1323463056 CORP</stp>
        <stp>NXT_CPN_DT</stp>
        <stp>[BondFloaters.xlsx]FLOATERS!R83C14</stp>
        <tr r="N83" s="1"/>
      </tp>
      <tp t="s">
        <v>06/03/2019</v>
        <stp/>
        <stp>##V3_BDPV12</stp>
        <stp>XS1574156540 CORP</stp>
        <stp>NXT_CPN_DT</stp>
        <stp>[BondFloaters.xlsx]FLOATERS!R90C14</stp>
        <tr r="N90" s="1"/>
      </tp>
      <tp t="s">
        <v>27/02/2019</v>
        <stp/>
        <stp>##V3_BDPV12</stp>
        <stp>XS1723613581 CORP</stp>
        <stp>NXT_CPN_DT</stp>
        <stp>[BondFloaters.xlsx]FLOATERS!R75C14</stp>
        <tr r="N75" s="1"/>
      </tp>
      <tp t="s">
        <v>02/01/2019</v>
        <stp/>
        <stp>##V3_BDPV12</stp>
        <stp>XS1082839553 CORP</stp>
        <stp>NXT_CPN_DT</stp>
        <stp>[BondFloaters.xlsx]FLOATERS!R61C14</stp>
        <tr r="N61" s="1"/>
      </tp>
      <tp t="s">
        <v>07/01/2019</v>
        <stp/>
        <stp>##V3_BDPV12</stp>
        <stp>XS1642545690 CORP</stp>
        <stp>NXT_CPN_DT</stp>
        <stp>[BondFloaters.xlsx]FLOATERS!R76C14</stp>
        <tr r="N76" s="1"/>
      </tp>
      <tp t="s">
        <v>31/12/2018</v>
        <stp/>
        <stp>##V3_BDPV12</stp>
        <stp>XS1637162246 CORP</stp>
        <stp>NXT_CPN_DT</stp>
        <stp>[BondFloaters.xlsx]FLOATERS!R32C14</stp>
        <tr r="N32" s="1"/>
      </tp>
      <tp t="s">
        <v>15/03/2019</v>
        <stp/>
        <stp>##V3_BDPV12</stp>
        <stp>XS1292468987 CORP</stp>
        <stp>NXT_CPN_DT</stp>
        <stp>[BondFloaters.xlsx]FLOATERS!R18C14</stp>
        <tr r="N18" s="1"/>
      </tp>
      <tp t="s">
        <v>18/02/2019</v>
        <stp/>
        <stp>##V3_BDPV12</stp>
        <stp>XS1612940988 CORP</stp>
        <stp>NXT_CPN_DT</stp>
        <stp>[BondFloaters.xlsx]FLOATERS!R35C14</stp>
        <tr r="N35" s="1"/>
      </tp>
      <tp t="s">
        <v>12/03/2019</v>
        <stp/>
        <stp>##V3_BDPV12</stp>
        <stp>XS1108681625 CORP</stp>
        <stp>NXT_CPN_DT</stp>
        <stp>[BondFloaters.xlsx]FLOATERS!R40C14</stp>
        <tr r="N40" s="1"/>
      </tp>
      <tp>
        <v>21</v>
        <stp/>
        <stp>##V3_BDPV12</stp>
        <stp>XS1787517199 CORP</stp>
        <stp>CALC_TYP</stp>
        <stp>[BondFloaters.xlsx]FLOATERS!R81C6</stp>
        <tr r="F81" s="1"/>
      </tp>
      <tp t="s">
        <v>AR7173297</v>
        <stp/>
        <stp>##V3_BDPV12</stp>
        <stp>XS1787517199 CORP</stp>
        <stp>ID_CUSIP</stp>
        <stp>[BondFloaters.xlsx]FLOATERS!R81C1</stp>
        <tr r="A81" s="1"/>
      </tp>
      <tp>
        <v>21</v>
        <stp/>
        <stp>##V3_BDPV12</stp>
        <stp>FR0013257599 CORP</stp>
        <stp>CALC_TYP</stp>
        <stp>[BondFloaters.xlsx]FLOATERS!R20C6</stp>
        <tr r="F20" s="1"/>
      </tp>
      <tp t="s">
        <v>AN6298011</v>
        <stp/>
        <stp>##V3_BDPV12</stp>
        <stp>FR0013257599 CORP</stp>
        <stp>ID_CUSIP</stp>
        <stp>[BondFloaters.xlsx]FLOATERS!R20C1</stp>
        <tr r="A20" s="1"/>
      </tp>
      <tp>
        <v>21</v>
        <stp/>
        <stp>##V3_BDPV12</stp>
        <stp>XS1637162246 CORP</stp>
        <stp>CALC_TYP</stp>
        <stp>[BondFloaters.xlsx]FLOATERS!R32C6</stp>
        <tr r="F32" s="1"/>
      </tp>
      <tp t="s">
        <v>AO0211513</v>
        <stp/>
        <stp>##V3_BDPV12</stp>
        <stp>XS1637162246 CORP</stp>
        <stp>ID_CUSIP</stp>
        <stp>[BondFloaters.xlsx]FLOATERS!R32C1</stp>
        <tr r="A32" s="1"/>
      </tp>
      <tp t="s">
        <v>913017CT4</v>
        <stp/>
        <stp>##V3_BDPV12</stp>
        <stp>XS1822301039 CORP</stp>
        <stp>ID_CUSIP</stp>
        <stp>[BondFloaters.xlsx]FLOATERS!R15C1</stp>
        <tr r="A15" s="1"/>
      </tp>
      <tp>
        <v>21</v>
        <stp/>
        <stp>##V3_BDPV12</stp>
        <stp>XS1822301039 CORP</stp>
        <stp>CALC_TYP</stp>
        <stp>[BondFloaters.xlsx]FLOATERS!R15C6</stp>
        <tr r="F15" s="1"/>
      </tp>
      <tp t="s">
        <v>EK5918892</v>
        <stp/>
        <stp>##V3_BDPV12</stp>
        <stp>FR0012315133 CORP</stp>
        <stp>ID_CUSIP</stp>
        <stp>[BondFloaters.xlsx]FLOATERS!R55C1</stp>
        <tr r="A55" s="1"/>
      </tp>
      <tp>
        <v>21</v>
        <stp/>
        <stp>##V3_BDPV12</stp>
        <stp>FR0012315133 CORP</stp>
        <stp>CALC_TYP</stp>
        <stp>[BondFloaters.xlsx]FLOATERS!R55C6</stp>
        <tr r="F55" s="1"/>
      </tp>
      <tp>
        <v>-0.32933333333333337</v>
        <stp/>
        <stp>##V3_BDPV12</stp>
        <stp>XS1590503279 CORP</stp>
        <stp>YAS_FLOATER_INDEX_TO_NEXT_COUPON</stp>
        <stp>[BondFloaters.xlsx]FLOATERS!R100C24</stp>
        <tr r="X100" s="1"/>
      </tp>
      <tp>
        <v>-0.37213043478260871</v>
        <stp/>
        <stp>##V3_BDPV12</stp>
        <stp>XS1806435324 CORP</stp>
        <stp>YAS_FLOATER_INDEX_TO_NEXT_COUPON</stp>
        <stp>[BondFloaters.xlsx]FLOATERS!R34C24</stp>
        <tr r="X34" s="1"/>
      </tp>
      <tp t="s">
        <v>#N/A N/A</v>
        <stp/>
        <stp>##V3_BDPV12</stp>
        <stp>BE6276038419 CORP</stp>
        <stp>YAS_FLOATER_INDEX_TO_NEXT_COUPON</stp>
        <stp>[BondFloaters.xlsx]FLOATERS!R86C24</stp>
        <tr r="X86" s="1"/>
      </tp>
      <tp>
        <v>-0.33600000000000002</v>
        <stp/>
        <stp>##V3_BDPV12</stp>
        <stp>XS1190623907 CORP</stp>
        <stp>YAS_FLOATER_INDEX_TO_NEXT_COUPON</stp>
        <stp>[BondFloaters.xlsx]FLOATERS!R59C24</stp>
        <tr r="X59" s="1"/>
      </tp>
      <tp>
        <v>-0.31766666666666665</v>
        <stp/>
        <stp>##V3_BDPV12</stp>
        <stp>FR0013322146 CORP</stp>
        <stp>YAS_FLOATER_INDEX_TO_NEXT_COUPON</stp>
        <stp>[BondFloaters.xlsx]FLOATERS!R95C24</stp>
        <tr r="X95" s="1"/>
      </tp>
      <tp>
        <v>-0.31183333333333335</v>
        <stp/>
        <stp>##V3_BDPV12</stp>
        <stp>XS1139316555 CORP</stp>
        <stp>YAS_FLOATER_INDEX_TO_NEXT_COUPON</stp>
        <stp>[BondFloaters.xlsx]FLOATERS!R78C24</stp>
        <tr r="X78" s="1"/>
      </tp>
      <tp>
        <v>-0.378</v>
        <stp/>
        <stp>##V3_BDPV12</stp>
        <stp>XS1078028864 CORP</stp>
        <stp>YAS_FLOATER_INDEX_TO_NEXT_COUPON</stp>
        <stp>[BondFloaters.xlsx]FLOATERS!R41C24</stp>
        <tr r="X41" s="1"/>
      </tp>
      <tp>
        <v>-0.34370000000000001</v>
        <stp/>
        <stp>##V3_BDPV12</stp>
        <stp>XS1609252645 CORP</stp>
        <stp>YAS_FLOATER_INDEX_TO_NEXT_COUPON</stp>
        <stp>[BondFloaters.xlsx]FLOATERS!R24C24</stp>
        <tr r="X24" s="1"/>
      </tp>
      <tp>
        <v>-0.32350000000000001</v>
        <stp/>
        <stp>##V3_BDPV12</stp>
        <stp>FR0013221652 CORP</stp>
        <stp>YAS_FLOATER_INDEX_TO_NEXT_COUPON</stp>
        <stp>[BondFloaters.xlsx]FLOATERS!R98C24</stp>
        <tr r="X98" s="1"/>
      </tp>
      <tp t="s">
        <v>#N/A N/A</v>
        <stp/>
        <stp>##V3_BDPV12</stp>
        <stp>XS1554462421 CORP</stp>
        <stp>YAS_FLOATER_INDEX_TO_NEXT_COUPON</stp>
        <stp>[BondFloaters.xlsx]FLOATERS!R49C24</stp>
        <tr r="X49" s="1"/>
      </tp>
      <tp>
        <v>-0.311</v>
        <stp/>
        <stp>##V3_BDPV12</stp>
        <stp>XS1206712868 CORP</stp>
        <stp>YAS_FLOATER_ASSUMED_RATE</stp>
        <stp>[BondFloaters.xlsx]FLOATERS!R118C23</stp>
        <tr r="W118" s="1"/>
      </tp>
      <tp t="s">
        <v>23/03/2016</v>
        <stp/>
        <stp>##V3_BDPV12</stp>
        <stp>XS1382791892 CORP</stp>
        <stp>ISSUE_DT</stp>
        <stp>[BondFloaters.xlsx]FLOATERS!R30C11</stp>
        <tr r="K30" s="1"/>
      </tp>
      <tp>
        <v>-0.311</v>
        <stp/>
        <stp>##V3_BDPV12</stp>
        <stp>XS1821814982 CORP</stp>
        <stp>YAS_FLOATER_ASSUMED_RATE</stp>
        <stp>[BondFloaters.xlsx]FLOATERS!R102C23</stp>
        <tr r="W102" s="1"/>
      </tp>
      <tp t="s">
        <v>27/11/2017</v>
        <stp/>
        <stp>##V3_BDPV12</stp>
        <stp>XS1723613581 CORP</stp>
        <stp>ISSUE_DT</stp>
        <stp>[BondFloaters.xlsx]FLOATERS!R75C11</stp>
        <tr r="K75" s="1"/>
      </tp>
      <tp t="s">
        <v>29/06/2017</v>
        <stp/>
        <stp>##V3_BDPV12</stp>
        <stp>XS1635905570 CORP</stp>
        <stp>ISSUE_DT</stp>
        <stp>[BondFloaters.xlsx]FLOATERS!R79C11</stp>
        <tr r="K79" s="1"/>
      </tp>
      <tp t="s">
        <v>QZ4701087</v>
        <stp/>
        <stp>##V3_BDPV12</stp>
        <stp>DE000A185WC9 CORP</stp>
        <stp>ID_CUSIP</stp>
        <stp>[BondFloaters.xlsx]FLOATERS!R47C1</stp>
        <tr r="A47" s="1"/>
      </tp>
      <tp>
        <v>21</v>
        <stp/>
        <stp>##V3_BDPV12</stp>
        <stp>DE000A185WC9 CORP</stp>
        <stp>CALC_TYP</stp>
        <stp>[BondFloaters.xlsx]FLOATERS!R47C6</stp>
        <tr r="F47" s="1"/>
      </tp>
      <tp t="s">
        <v>#N/A N/A</v>
        <stp/>
        <stp>##V3_BDPV12</stp>
        <stp>FR0013216884 CORP</stp>
        <stp>YAS_FLOATER_DISCOUNT_MARGIN</stp>
        <stp>[BondFloaters.xlsx]FLOATERS!R7C22</stp>
        <tr r="V7" s="1"/>
      </tp>
      <tp t="s">
        <v>21/01/2019</v>
        <stp/>
        <stp>##V3_BDPV12</stp>
        <stp>XS1599109896 CORP</stp>
        <stp>NXT_CPN_DT</stp>
        <stp>[BondFloaters.xlsx]FLOATERS!R97C14</stp>
        <tr r="N97" s="1"/>
      </tp>
      <tp>
        <v>0</v>
        <stp/>
        <stp>##V3_BDPV12</stp>
        <stp>XS1781813511 CORP</stp>
        <stp>CPN</stp>
        <stp>[BondFloaters.xlsx]FLOATERS!R8C25</stp>
        <tr r="Y8" s="1"/>
      </tp>
      <tp t="s">
        <v>26/02/2019</v>
        <stp/>
        <stp>##V3_BDPV12</stp>
        <stp>XS1782508508 CORP</stp>
        <stp>NXT_CPN_DT</stp>
        <stp>[BondFloaters.xlsx]FLOATERS!R23C14</stp>
        <tr r="N23" s="1"/>
      </tp>
      <tp t="s">
        <v>04/03/2019</v>
        <stp/>
        <stp>##V3_BDPV12</stp>
        <stp>XS1144084099 CORP</stp>
        <stp>NXT_CPN_DT</stp>
        <stp>[BondFloaters.xlsx]FLOATERS!R82C14</stp>
        <tr r="N82" s="1"/>
      </tp>
      <tp t="s">
        <v>24/12/2018</v>
        <stp/>
        <stp>##V3_BDPV12</stp>
        <stp>XS1249494086 CORP</stp>
        <stp>NXT_CPN_DT</stp>
        <stp>[BondFloaters.xlsx]FLOATERS!R50C14</stp>
        <tr r="N50" s="1"/>
      </tp>
      <tp t="s">
        <v>01/03/2019</v>
        <stp/>
        <stp>##V3_BDPV12</stp>
        <stp>XS1729872736 CORP</stp>
        <stp>NXT_CPN_DT</stp>
        <stp>[BondFloaters.xlsx]FLOATERS!R88C14</stp>
        <tr r="N88" s="1"/>
      </tp>
      <tp t="s">
        <v>01/03/2019</v>
        <stp/>
        <stp>##V3_BDPV12</stp>
        <stp>XS1729872652 CORP</stp>
        <stp>NXT_CPN_DT</stp>
        <stp>[BondFloaters.xlsx]FLOATERS!R80C14</stp>
        <tr r="N80" s="1"/>
      </tp>
      <tp>
        <v>21</v>
        <stp/>
        <stp>##V3_BDPV12</stp>
        <stp>XS1107266782 CORP</stp>
        <stp>CALC_TYP</stp>
        <stp>[BondFloaters.xlsx]FLOATERS!R74C6</stp>
        <tr r="F74" s="1"/>
      </tp>
      <tp t="s">
        <v>EK4676111</v>
        <stp/>
        <stp>##V3_BDPV12</stp>
        <stp>XS1107266782 CORP</stp>
        <stp>ID_CUSIP</stp>
        <stp>[BondFloaters.xlsx]FLOATERS!R74C1</stp>
        <tr r="A74" s="1"/>
      </tp>
      <tp>
        <v>21</v>
        <stp/>
        <stp>##V3_BDPV12</stp>
        <stp>XS1705553417 CORP</stp>
        <stp>CALC_TYP</stp>
        <stp>[BondFloaters.xlsx]FLOATERS!R85C6</stp>
        <tr r="F85" s="1"/>
      </tp>
      <tp t="s">
        <v>AP4669010</v>
        <stp/>
        <stp>##V3_BDPV12</stp>
        <stp>XS1705553417 CORP</stp>
        <stp>ID_CUSIP</stp>
        <stp>[BondFloaters.xlsx]FLOATERS!R85C1</stp>
        <tr r="A85" s="1"/>
      </tp>
      <tp t="s">
        <v>AQ1295890</v>
        <stp/>
        <stp>##V3_BDPV12</stp>
        <stp>XS1725668633 CORP</stp>
        <stp>ID_CUSIP</stp>
        <stp>[BondFloaters.xlsx]FLOATERS!R17C1</stp>
        <tr r="A17" s="1"/>
      </tp>
      <tp>
        <v>21</v>
        <stp/>
        <stp>##V3_BDPV12</stp>
        <stp>XS1725668633 CORP</stp>
        <stp>CALC_TYP</stp>
        <stp>[BondFloaters.xlsx]FLOATERS!R17C6</stp>
        <tr r="F17" s="1"/>
      </tp>
      <tp>
        <v>21</v>
        <stp/>
        <stp>##V3_BDPV12</stp>
        <stp>XS1782508508 CORP</stp>
        <stp>CALC_TYP</stp>
        <stp>[BondFloaters.xlsx]FLOATERS!R23C6</stp>
        <tr r="F23" s="1"/>
      </tp>
      <tp t="s">
        <v>AR4048740</v>
        <stp/>
        <stp>##V3_BDPV12</stp>
        <stp>XS1782508508 CORP</stp>
        <stp>ID_CUSIP</stp>
        <stp>[BondFloaters.xlsx]FLOATERS!R23C1</stp>
        <tr r="A23" s="1"/>
      </tp>
      <tp>
        <v>21</v>
        <stp/>
        <stp>##V3_BDPV12</stp>
        <stp>XS1139316555 CORP</stp>
        <stp>CALC_TYP</stp>
        <stp>[BondFloaters.xlsx]FLOATERS!R78C6</stp>
        <tr r="F78" s="1"/>
      </tp>
      <tp t="s">
        <v>EK6001276</v>
        <stp/>
        <stp>##V3_BDPV12</stp>
        <stp>XS1139316555 CORP</stp>
        <stp>ID_CUSIP</stp>
        <stp>[BondFloaters.xlsx]FLOATERS!R78C1</stp>
        <tr r="A78" s="1"/>
      </tp>
      <tp>
        <v>21</v>
        <stp/>
        <stp>##V3_BDPV12</stp>
        <stp>FR0013330107 CORP</stp>
        <stp>CALC_TYP</stp>
        <stp>[BondFloaters.xlsx]FLOATERS!R87C6</stp>
        <tr r="F87" s="1"/>
      </tp>
      <tp t="s">
        <v>AS1988862</v>
        <stp/>
        <stp>##V3_BDPV12</stp>
        <stp>FR0013330107 CORP</stp>
        <stp>ID_CUSIP</stp>
        <stp>[BondFloaters.xlsx]FLOATERS!R87C1</stp>
        <tr r="A87" s="1"/>
      </tp>
      <tp>
        <v>21</v>
        <stp/>
        <stp>##V3_BDPV12</stp>
        <stp>FR0013054020 CORP</stp>
        <stp>CALC_TYP</stp>
        <stp>[BondFloaters.xlsx]FLOATERS!R26C6</stp>
        <tr r="F26" s="1"/>
      </tp>
      <tp t="s">
        <v>QJ7360713</v>
        <stp/>
        <stp>##V3_BDPV12</stp>
        <stp>FR0013054020 CORP</stp>
        <stp>ID_CUSIP</stp>
        <stp>[BondFloaters.xlsx]FLOATERS!R26C1</stp>
        <tr r="A26" s="1"/>
      </tp>
      <tp>
        <v>-0.33100000000000002</v>
        <stp/>
        <stp>##V3_BDPV12</stp>
        <stp>XS1619284372 CORP</stp>
        <stp>YAS_FLOATER_INDEX_TO_NEXT_COUPON</stp>
        <stp>[BondFloaters.xlsx]FLOATERS!R68C24</stp>
        <tr r="X68" s="1"/>
      </tp>
      <tp>
        <v>2.6048300000000002</v>
        <stp/>
        <stp>##V3_BDPV12</stp>
        <stp>XS1033649739 CORP</stp>
        <stp>YAS_FLOATER_INDEX_TO_NEXT_COUPON</stp>
        <stp>[BondFloaters.xlsx]FLOATERS!R44C24</stp>
        <tr r="X44" s="1"/>
      </tp>
      <tp t="s">
        <v>#N/A N/A</v>
        <stp/>
        <stp>##V3_BDPV12</stp>
        <stp>XS1362349869 CORP</stp>
        <stp>YAS_FLOATER_INDEX_TO_NEXT_COUPON</stp>
        <stp>[BondFloaters.xlsx]FLOATERS!R65C24</stp>
        <tr r="X65" s="1"/>
      </tp>
      <tp>
        <v>-0.32933333333333337</v>
        <stp/>
        <stp>##V3_BDPV12</stp>
        <stp>XS1782508508 CORP</stp>
        <stp>YAS_FLOATER_INDEX_TO_NEXT_COUPON</stp>
        <stp>[BondFloaters.xlsx]FLOATERS!R23C24</stp>
        <tr r="X23" s="1"/>
      </tp>
      <tp t="s">
        <v>#N/A N/A</v>
        <stp/>
        <stp>##V3_BDPV12</stp>
        <stp>XS1171489476 CORP</stp>
        <stp>YAS_FLOATER_INDEX_TO_NEXT_COUPON</stp>
        <stp>[BondFloaters.xlsx]FLOATERS!R101C24</stp>
        <tr r="X101" s="1"/>
      </tp>
      <tp>
        <v>-0.34700000000000003</v>
        <stp/>
        <stp>##V3_BDPV12</stp>
        <stp>XS1767087940 CORP</stp>
        <stp>YAS_FLOATER_INDEX_TO_NEXT_COUPON</stp>
        <stp>[BondFloaters.xlsx]FLOATERS!R127C24</stp>
        <tr r="X127" s="1"/>
      </tp>
      <tp>
        <v>-0.378</v>
        <stp/>
        <stp>##V3_BDPV12</stp>
        <stp>XS1840614736 CORP</stp>
        <stp>YAS_FLOATER_INDEX_TO_NEXT_COUPON</stp>
        <stp>[BondFloaters.xlsx]FLOATERS!R132C24</stp>
        <tr r="X132" s="1"/>
      </tp>
      <tp>
        <v>-0.37565217391304345</v>
        <stp/>
        <stp>##V3_BDPV12</stp>
        <stp>XS1212467911 CORP</stp>
        <stp>YAS_FLOATER_INDEX_TO_NEXT_COUPON</stp>
        <stp>[BondFloaters.xlsx]FLOATERS!R57C24</stp>
        <tr r="X57" s="1"/>
      </tp>
      <tp t="s">
        <v>#N/A N/A</v>
        <stp/>
        <stp>##V3_BDPV12</stp>
        <stp>FR0012146751 CORP</stp>
        <stp>YAS_FLOATER_INDEX_TO_NEXT_COUPON</stp>
        <stp>[BondFloaters.xlsx]FLOATERS!R67C24</stp>
        <tr r="X67" s="1"/>
      </tp>
      <tp>
        <v>-0.31266666666666665</v>
        <stp/>
        <stp>##V3_BDPV12</stp>
        <stp>XS1292513105 CORP</stp>
        <stp>YAS_FLOATER_INDEX_TO_NEXT_COUPON</stp>
        <stp>[BondFloaters.xlsx]FLOATERS!R69C24</stp>
        <tr r="X69" s="1"/>
      </tp>
      <tp>
        <v>-0.37643478260869567</v>
        <stp/>
        <stp>##V3_BDPV12</stp>
        <stp>XS1637162246 CORP</stp>
        <stp>YAS_FLOATER_INDEX_TO_NEXT_COUPON</stp>
        <stp>[BondFloaters.xlsx]FLOATERS!R32C24</stp>
        <tr r="X32" s="1"/>
      </tp>
      <tp>
        <v>-0.37095652173913041</v>
        <stp/>
        <stp>##V3_BDPV12</stp>
        <stp>FR0012432904 CORP</stp>
        <stp>YAS_FLOATER_INDEX_TO_NEXT_COUPON</stp>
        <stp>[BondFloaters.xlsx]FLOATERS!R48C24</stp>
        <tr r="X48" s="1"/>
      </tp>
      <tp>
        <v>-0.32266666666666666</v>
        <stp/>
        <stp>##V3_BDPV12</stp>
        <stp>XS1574156540 CORP</stp>
        <stp>YAS_FLOATER_INDEX_TO_NEXT_COUPON</stp>
        <stp>[BondFloaters.xlsx]FLOATERS!R90C24</stp>
        <tr r="X90" s="1"/>
      </tp>
      <tp>
        <v>-0.32766666666666666</v>
        <stp/>
        <stp>##V3_BDPV12</stp>
        <stp>XS1725668633 CORP</stp>
        <stp>YAS_FLOATER_INDEX_TO_NEXT_COUPON</stp>
        <stp>[BondFloaters.xlsx]FLOATERS!R17C24</stp>
        <tr r="X17" s="1"/>
      </tp>
      <tp>
        <v>-0.311</v>
        <stp/>
        <stp>##V3_BDPV12</stp>
        <stp>XS1712180477 CORP</stp>
        <stp>YAS_FLOATER_ASSUMED_RATE</stp>
        <stp>[BondFloaters.xlsx]FLOATERS!R137C23</stp>
        <tr r="W137" s="1"/>
      </tp>
      <tp>
        <v>-0.311</v>
        <stp/>
        <stp>##V3_BDPV12</stp>
        <stp>XS1822824642 CORP</stp>
        <stp>YAS_FLOATER_ASSUMED_RATE</stp>
        <stp>[BondFloaters.xlsx]FLOATERS!R116C23</stp>
        <tr r="W116" s="1"/>
      </tp>
      <tp t="s">
        <v>01/12/2017</v>
        <stp/>
        <stp>##V3_BDPV12</stp>
        <stp>XS1729872652 CORP</stp>
        <stp>ISSUE_DT</stp>
        <stp>[BondFloaters.xlsx]FLOATERS!R80C11</stp>
        <tr r="K80" s="1"/>
      </tp>
      <tp t="s">
        <v>01/07/2014</v>
        <stp/>
        <stp>##V3_BDPV12</stp>
        <stp>XS1082839553 CORP</stp>
        <stp>ISSUE_DT</stp>
        <stp>[BondFloaters.xlsx]FLOATERS!R61C11</stp>
        <tr r="K61" s="1"/>
      </tp>
      <tp>
        <v>20</v>
        <stp/>
        <stp>##V3_BDPV12</stp>
        <stp>FR0013330107 CORP</stp>
        <stp>FLT_SPREAD</stp>
        <stp>[BondFloaters.xlsx]FLOATERS!R87C26</stp>
        <tr r="Z87" s="1"/>
      </tp>
      <tp>
        <v>20</v>
        <stp/>
        <stp>##V3_BDPV12</stp>
        <stp>FR0013330107 CORP</stp>
        <stp>FLT_SPREAD</stp>
        <stp>[BondFloaters.xlsx]FLOATERS!R87C17</stp>
        <tr r="Q87" s="1"/>
      </tp>
      <tp>
        <v>65</v>
        <stp/>
        <stp>##V3_BDPV12</stp>
        <stp>FR0013250685 CORP</stp>
        <stp>FLT_SPREAD</stp>
        <stp>[BondFloaters.xlsx]FLOATERS!R29C17</stp>
        <tr r="Q29" s="1"/>
      </tp>
      <tp>
        <v>67</v>
        <stp/>
        <stp>##V3_BDPV12</stp>
        <stp>FR0013260486 CORP</stp>
        <stp>FLT_SPREAD</stp>
        <stp>[BondFloaters.xlsx]FLOATERS!R63C26</stp>
        <tr r="Z63" s="1"/>
      </tp>
      <tp>
        <v>67</v>
        <stp/>
        <stp>##V3_BDPV12</stp>
        <stp>FR0013260486 CORP</stp>
        <stp>FLT_SPREAD</stp>
        <stp>[BondFloaters.xlsx]FLOATERS!R63C17</stp>
        <tr r="Q63" s="1"/>
      </tp>
      <tp>
        <v>65</v>
        <stp/>
        <stp>##V3_BDPV12</stp>
        <stp>FR0013250685 CORP</stp>
        <stp>FLT_SPREAD</stp>
        <stp>[BondFloaters.xlsx]FLOATERS!R29C26</stp>
        <tr r="Z29" s="1"/>
      </tp>
      <tp t="s">
        <v>18/02/2019</v>
        <stp/>
        <stp>##V3_BDPV12</stp>
        <stp>XS1822301039 CORP</stp>
        <stp>NXT_CPN_DT</stp>
        <stp>[BondFloaters.xlsx]FLOATERS!R15C14</stp>
        <tr r="N15" s="1"/>
      </tp>
      <tp t="s">
        <v>13/02/2019</v>
        <stp/>
        <stp>##V3_BDPV12</stp>
        <stp>XS1564405741 CORP</stp>
        <stp>NXT_CPN_DT</stp>
        <stp>[BondFloaters.xlsx]FLOATERS!R21C14</stp>
        <tr r="N21" s="1"/>
      </tp>
      <tp t="s">
        <v>24/01/2019</v>
        <stp/>
        <stp>##V3_BDPV12</stp>
        <stp>XS1705553417 CORP</stp>
        <stp>NXT_CPN_DT</stp>
        <stp>[BondFloaters.xlsx]FLOATERS!R85C14</stp>
        <tr r="N85" s="1"/>
      </tp>
      <tp t="s">
        <v>06/03/2019</v>
        <stp/>
        <stp>##V3_BDPV12</stp>
        <stp>XS1671754650 CORP</stp>
        <stp>NXT_CPN_DT</stp>
        <stp>[BondFloaters.xlsx]FLOATERS!R19C14</stp>
        <tr r="N19" s="1"/>
      </tp>
      <tp t="s">
        <v>16/01/2019</v>
        <stp/>
        <stp>##V3_BDPV12</stp>
        <stp>XS1750116920 CORP</stp>
        <stp>NXT_CPN_DT</stp>
        <stp>[BondFloaters.xlsx]FLOATERS!R31C14</stp>
        <tr r="N31" s="1"/>
      </tp>
      <tp t="s">
        <v>AR8109225</v>
        <stp/>
        <stp>##V3_BDPV12</stp>
        <stp>XS1792505197 CORP</stp>
        <stp>ID_CUSIP</stp>
        <stp>[BondFloaters.xlsx]FLOATERS!R96C1</stp>
        <tr r="A96" s="1"/>
      </tp>
      <tp>
        <v>21</v>
        <stp/>
        <stp>##V3_BDPV12</stp>
        <stp>XS1792505197 CORP</stp>
        <stp>CALC_TYP</stp>
        <stp>[BondFloaters.xlsx]FLOATERS!R96C6</stp>
        <tr r="F96" s="1"/>
      </tp>
      <tp>
        <v>21</v>
        <stp/>
        <stp>##V3_BDPV12</stp>
        <stp>XS1485660895 CORP</stp>
        <stp>CALC_TYP</stp>
        <stp>[BondFloaters.xlsx]FLOATERS!R58C6</stp>
        <tr r="F58" s="1"/>
      </tp>
      <tp t="s">
        <v>QZ3956831</v>
        <stp/>
        <stp>##V3_BDPV12</stp>
        <stp>XS1485660895 CORP</stp>
        <stp>ID_CUSIP</stp>
        <stp>[BondFloaters.xlsx]FLOATERS!R58C1</stp>
        <tr r="A58" s="1"/>
      </tp>
      <tp t="s">
        <v>AN8052770</v>
        <stp/>
        <stp>##V3_BDPV12</stp>
        <stp>FR0013260486 CORP</stp>
        <stp>ID_CUSIP</stp>
        <stp>[BondFloaters.xlsx]FLOATERS!R63C1</stp>
        <tr r="A63" s="1"/>
      </tp>
      <tp>
        <v>21</v>
        <stp/>
        <stp>##V3_BDPV12</stp>
        <stp>FR0013260486 CORP</stp>
        <stp>CALC_TYP</stp>
        <stp>[BondFloaters.xlsx]FLOATERS!R63C6</stp>
        <tr r="F63" s="1"/>
      </tp>
      <tp>
        <v>21</v>
        <stp/>
        <stp>##V3_BDPV12</stp>
        <stp>XS1823165631 CORP</stp>
        <stp>CALC_TYP</stp>
        <stp>[BondFloaters.xlsx]FLOATERS!R70C6</stp>
        <tr r="F70" s="1"/>
      </tp>
      <tp t="s">
        <v>AS4757843</v>
        <stp/>
        <stp>##V3_BDPV12</stp>
        <stp>XS1823165631 CORP</stp>
        <stp>ID_CUSIP</stp>
        <stp>[BondFloaters.xlsx]FLOATERS!R70C1</stp>
        <tr r="A70" s="1"/>
      </tp>
      <tp>
        <v>-0.31766666666666665</v>
        <stp/>
        <stp>##V3_BDPV12</stp>
        <stp>XS1108681625 CORP</stp>
        <stp>YAS_FLOATER_INDEX_TO_NEXT_COUPON</stp>
        <stp>[BondFloaters.xlsx]FLOATERS!R40C24</stp>
        <tr r="X40" s="1"/>
      </tp>
      <tp>
        <v>-0.37330434782608696</v>
        <stp/>
        <stp>##V3_BDPV12</stp>
        <stp>FR0013241379 CORP</stp>
        <stp>YAS_FLOATER_INDEX_TO_NEXT_COUPON</stp>
        <stp>[BondFloaters.xlsx]FLOATERS!R38C24</stp>
        <tr r="X38" s="1"/>
      </tp>
      <tp>
        <v>-0.31516666666666665</v>
        <stp/>
        <stp>##V3_BDPV12</stp>
        <stp>XS1734547919 CORP</stp>
        <stp>YAS_FLOATER_INDEX_TO_NEXT_COUPON</stp>
        <stp>[BondFloaters.xlsx]FLOATERS!R11C24</stp>
        <tr r="X11" s="1"/>
      </tp>
      <tp>
        <v>-0.36349999999999999</v>
        <stp/>
        <stp>##V3_BDPV12</stp>
        <stp>XS1705553417 CORP</stp>
        <stp>YAS_FLOATER_INDEX_TO_NEXT_COUPON</stp>
        <stp>[BondFloaters.xlsx]FLOATERS!R85C24</stp>
        <tr r="X85" s="1"/>
      </tp>
      <tp>
        <v>-0.37643478260869567</v>
        <stp/>
        <stp>##V3_BDPV12</stp>
        <stp>XS1586555515 CORP</stp>
        <stp>YAS_FLOATER_INDEX_TO_NEXT_COUPON</stp>
        <stp>[BondFloaters.xlsx]FLOATERS!R53C24</stp>
        <tr r="X53" s="1"/>
      </tp>
      <tp>
        <v>-0.311</v>
        <stp/>
        <stp>##V3_BDPV12</stp>
        <stp>XS1057486471 CORP</stp>
        <stp>YAS_FLOATER_ASSUMED_RATE</stp>
        <stp>[BondFloaters.xlsx]FLOATERS!R131C23</stp>
        <tr r="W131" s="1"/>
      </tp>
      <tp t="s">
        <v>23/07/2014</v>
        <stp/>
        <stp>##V3_BDPV12</stp>
        <stp>XS1089831249 CORP</stp>
        <stp>ISSUE_DT</stp>
        <stp>[BondFloaters.xlsx]FLOATERS!R56C11</stp>
        <tr r="K56" s="1"/>
      </tp>
      <tp t="s">
        <v>19/03/2018</v>
        <stp/>
        <stp>##V3_BDPV12</stp>
        <stp>XS1787517199 CORP</stp>
        <stp>ISSUE_DT</stp>
        <stp>[BondFloaters.xlsx]FLOATERS!R81C11</stp>
        <tr r="K81" s="1"/>
      </tp>
      <tp>
        <v>-0.311</v>
        <stp/>
        <stp>##V3_BDPV12</stp>
        <stp>XS1230926609 CORP</stp>
        <stp>YAS_FLOATER_ASSUMED_RATE</stp>
        <stp>[BondFloaters.xlsx]FLOATERS!R126C23</stp>
        <tr r="W126" s="1"/>
      </tp>
      <tp t="s">
        <v>24/06/2015</v>
        <stp/>
        <stp>##V3_BDPV12</stp>
        <stp>XS1249494086 CORP</stp>
        <stp>ISSUE_DT</stp>
        <stp>[BondFloaters.xlsx]FLOATERS!R50C11</stp>
        <tr r="K50" s="1"/>
      </tp>
      <tp t="s">
        <v>15/09/2015</v>
        <stp/>
        <stp>##V3_BDPV12</stp>
        <stp>XS1292468987 CORP</stp>
        <stp>ISSUE_DT</stp>
        <stp>[BondFloaters.xlsx]FLOATERS!R18C11</stp>
        <tr r="K18" s="1"/>
      </tp>
      <tp t="s">
        <v>06/07/2017</v>
        <stp/>
        <stp>##V3_BDPV12</stp>
        <stp>XS1642545690 CORP</stp>
        <stp>ISSUE_DT</stp>
        <stp>[BondFloaters.xlsx]FLOATERS!R76C11</stp>
        <tr r="K76" s="1"/>
      </tp>
      <tp t="s">
        <v>15/11/2017</v>
        <stp/>
        <stp>##V3_BDPV12</stp>
        <stp>XS1718416586 CORP</stp>
        <stp>ISSUE_DT</stp>
        <stp>[BondFloaters.xlsx]FLOATERS!R54C11</stp>
        <tr r="K54" s="1"/>
      </tp>
      <tp t="s">
        <v>26/03/2018</v>
        <stp/>
        <stp>##V3_BDPV12</stp>
        <stp>XS1792505197 CORP</stp>
        <stp>ISSUE_DT</stp>
        <stp>[BondFloaters.xlsx]FLOATERS!R96C11</stp>
        <tr r="K96" s="1"/>
      </tp>
      <tp>
        <v>-0.311</v>
        <stp/>
        <stp>##V3_BDPV12</stp>
        <stp>XS1771768188 CORP</stp>
        <stp>YAS_FLOATER_ASSUMED_RATE</stp>
        <stp>[BondFloaters.xlsx]FLOATERS!R113C23</stp>
        <tr r="W113" s="1"/>
      </tp>
      <tp>
        <v>45</v>
        <stp/>
        <stp>##V3_BDPV12</stp>
        <stp>FR0013241379 CORP</stp>
        <stp>FLT_SPREAD</stp>
        <stp>[BondFloaters.xlsx]FLOATERS!R38C17</stp>
        <tr r="Q38" s="1"/>
      </tp>
      <tp>
        <v>45</v>
        <stp/>
        <stp>##V3_BDPV12</stp>
        <stp>FR0013241379 CORP</stp>
        <stp>FLT_SPREAD</stp>
        <stp>[BondFloaters.xlsx]FLOATERS!R38C26</stp>
        <tr r="Z38" s="1"/>
      </tp>
      <tp>
        <v>55</v>
        <stp/>
        <stp>##V3_BDPV12</stp>
        <stp>FR0013221652 CORP</stp>
        <stp>FLT_SPREAD</stp>
        <stp>[BondFloaters.xlsx]FLOATERS!R98C17</stp>
        <tr r="Q98" s="1"/>
      </tp>
      <tp>
        <v>55</v>
        <stp/>
        <stp>##V3_BDPV12</stp>
        <stp>FR0013221652 CORP</stp>
        <stp>FLT_SPREAD</stp>
        <stp>[BondFloaters.xlsx]FLOATERS!R98C26</stp>
        <tr r="Z98" s="1"/>
      </tp>
      <tp t="s">
        <v>11/02/2019</v>
        <stp/>
        <stp>##V3_BDPV12</stp>
        <stp>XS1609252645 CORP</stp>
        <stp>NXT_CPN_DT</stp>
        <stp>[BondFloaters.xlsx]FLOATERS!R24C14</stp>
        <tr r="N24" s="1"/>
      </tp>
      <tp t="s">
        <v>AO1671400</v>
        <stp/>
        <stp>##V3_BDPV12</stp>
        <stp>XS1642545690 CORP</stp>
        <stp>ID_CUSIP</stp>
        <stp>[BondFloaters.xlsx]FLOATERS!R76C1</stp>
        <tr r="A76" s="1"/>
      </tp>
      <tp>
        <v>21</v>
        <stp/>
        <stp>##V3_BDPV12</stp>
        <stp>XS1642545690 CORP</stp>
        <stp>CALC_TYP</stp>
        <stp>[BondFloaters.xlsx]FLOATERS!R76C6</stp>
        <tr r="F76" s="1"/>
      </tp>
      <tp>
        <v>21</v>
        <stp/>
        <stp>##V3_BDPV12</stp>
        <stp>FR0013292687 CORP</stp>
        <stp>CALC_TYP</stp>
        <stp>[BondFloaters.xlsx]FLOATERS!R36C6</stp>
        <tr r="F36" s="1"/>
      </tp>
      <tp t="s">
        <v>AP6913796</v>
        <stp/>
        <stp>##V3_BDPV12</stp>
        <stp>FR0013292687 CORP</stp>
        <stp>ID_CUSIP</stp>
        <stp>[BondFloaters.xlsx]FLOATERS!R36C1</stp>
        <tr r="A36" s="1"/>
      </tp>
      <tp>
        <v>21</v>
        <stp/>
        <stp>##V3_BDPV12</stp>
        <stp>FR0012432904 CORP</stp>
        <stp>CALC_TYP</stp>
        <stp>[BondFloaters.xlsx]FLOATERS!R48C6</stp>
        <tr r="F48" s="1"/>
      </tp>
      <tp t="s">
        <v>EK6862511</v>
        <stp/>
        <stp>##V3_BDPV12</stp>
        <stp>FR0012432904 CORP</stp>
        <stp>ID_CUSIP</stp>
        <stp>[BondFloaters.xlsx]FLOATERS!R48C1</stp>
        <tr r="A48" s="1"/>
      </tp>
      <tp>
        <v>21</v>
        <stp/>
        <stp>##V3_BDPV12</stp>
        <stp>XS1619284372 CORP</stp>
        <stp>CALC_TYP</stp>
        <stp>[BondFloaters.xlsx]FLOATERS!R68C6</stp>
        <tr r="F68" s="1"/>
      </tp>
      <tp t="s">
        <v>AN6467483</v>
        <stp/>
        <stp>##V3_BDPV12</stp>
        <stp>XS1619284372 CORP</stp>
        <stp>ID_CUSIP</stp>
        <stp>[BondFloaters.xlsx]FLOATERS!R68C1</stp>
        <tr r="A68" s="1"/>
      </tp>
      <tp>
        <v>21</v>
        <stp/>
        <stp>##V3_BDPV12</stp>
        <stp>XS1234366448 CORP</stp>
        <stp>CALC_TYP</stp>
        <stp>[BondFloaters.xlsx]FLOATERS!R52C6</stp>
        <tr r="F52" s="1"/>
      </tp>
      <tp t="s">
        <v>EK9141145</v>
        <stp/>
        <stp>##V3_BDPV12</stp>
        <stp>XS1234366448 CORP</stp>
        <stp>ID_CUSIP</stp>
        <stp>[BondFloaters.xlsx]FLOATERS!R52C1</stp>
        <tr r="A52" s="1"/>
      </tp>
      <tp t="s">
        <v>AN0736297</v>
        <stp/>
        <stp>##V3_BDPV12</stp>
        <stp>XS1591430746 CORP</stp>
        <stp>ID_CUSIP</stp>
        <stp>[BondFloaters.xlsx]FLOATERS!R64C1</stp>
        <tr r="A64" s="1"/>
      </tp>
      <tp>
        <v>21</v>
        <stp/>
        <stp>##V3_BDPV12</stp>
        <stp>XS1564405741 CORP</stp>
        <stp>CALC_TYP</stp>
        <stp>[BondFloaters.xlsx]FLOATERS!R21C6</stp>
        <tr r="F21" s="1"/>
      </tp>
      <tp t="s">
        <v>AM4041761</v>
        <stp/>
        <stp>##V3_BDPV12</stp>
        <stp>XS1564405741 CORP</stp>
        <stp>ID_CUSIP</stp>
        <stp>[BondFloaters.xlsx]FLOATERS!R21C1</stp>
        <tr r="A21" s="1"/>
      </tp>
      <tp>
        <v>21</v>
        <stp/>
        <stp>##V3_BDPV12</stp>
        <stp>XS1591430746 CORP</stp>
        <stp>CALC_TYP</stp>
        <stp>[BondFloaters.xlsx]FLOATERS!R64C6</stp>
        <tr r="F64" s="1"/>
      </tp>
      <tp t="s">
        <v>883556BT8</v>
        <stp/>
        <stp>##V3_BDPV12</stp>
        <stp>XS1651071521 CORP</stp>
        <stp>ID_CUSIP</stp>
        <stp>[BondFloaters.xlsx]FLOATERS!R46C1</stp>
        <tr r="A46" s="1"/>
      </tp>
      <tp>
        <v>21</v>
        <stp/>
        <stp>##V3_BDPV12</stp>
        <stp>XS1651071521 CORP</stp>
        <stp>CALC_TYP</stp>
        <stp>[BondFloaters.xlsx]FLOATERS!R46C6</stp>
        <tr r="F46" s="1"/>
      </tp>
      <tp t="s">
        <v>N</v>
        <stp/>
        <stp>##V3_BDPV12</stp>
        <stp>BE6285450449 CORP</stp>
        <stp>ZERO_CPN</stp>
        <stp>[BondFloaters.xlsx]FLOATERS!R37C8</stp>
        <tr r="H37" s="1"/>
      </tp>
      <tp>
        <v>-0.34260000000000002</v>
        <stp/>
        <stp>##V3_BDPV12</stp>
        <stp>XS1771768188 CORP</stp>
        <stp>YAS_FLOATER_INDEX_TO_NEXT_COUPON</stp>
        <stp>[BondFloaters.xlsx]FLOATERS!R113C24</stp>
        <tr r="X113" s="1"/>
      </tp>
      <tp>
        <v>-0.311</v>
        <stp/>
        <stp>##V3_BDPV12</stp>
        <stp>XS1794195724 CORP</stp>
        <stp>YAS_FLOATER_INDEX_TO_NEXT_COUPON</stp>
        <stp>[BondFloaters.xlsx]FLOATERS!R12C24</stp>
        <tr r="X12" s="1"/>
      </tp>
      <tp>
        <v>-0.378</v>
        <stp/>
        <stp>##V3_BDPV12</stp>
        <stp>FR0013324316 CORP</stp>
        <stp>YAS_FLOATER_INDEX_TO_NEXT_COUPON</stp>
        <stp>[BondFloaters.xlsx]FLOATERS!R28C24</stp>
        <tr r="X28" s="1"/>
      </tp>
      <tp>
        <v>-0.37526086956521737</v>
        <stp/>
        <stp>##V3_BDPV12</stp>
        <stp>FR0013054020 CORP</stp>
        <stp>YAS_FLOATER_INDEX_TO_NEXT_COUPON</stp>
        <stp>[BondFloaters.xlsx]FLOATERS!R26C24</stp>
        <tr r="X26" s="1"/>
      </tp>
      <tp>
        <v>-0.37056521739130432</v>
        <stp/>
        <stp>##V3_BDPV12</stp>
        <stp>XS1057486471 CORP</stp>
        <stp>YAS_FLOATER_INDEX_TO_NEXT_COUPON</stp>
        <stp>[BondFloaters.xlsx]FLOATERS!R131C24</stp>
        <tr r="X131" s="1"/>
      </tp>
      <tp>
        <v>-0.33266666666666667</v>
        <stp/>
        <stp>##V3_BDPV12</stp>
        <stp>XS1618349804 CORP</stp>
        <stp>YAS_FLOATER_INDEX_TO_NEXT_COUPON</stp>
        <stp>[BondFloaters.xlsx]FLOATERS!R60C24</stp>
        <tr r="X60" s="1"/>
      </tp>
      <tp>
        <v>-0.36570000000000003</v>
        <stp/>
        <stp>##V3_BDPV12</stp>
        <stp>XS1398275112 CORP</stp>
        <stp>YAS_FLOATER_INDEX_TO_NEXT_COUPON</stp>
        <stp>[BondFloaters.xlsx]FLOATERS!R16C24</stp>
        <tr r="X16" s="1"/>
      </tp>
      <tp>
        <v>-0.37017391304347824</v>
        <stp/>
        <stp>##V3_BDPV12</stp>
        <stp>XS1750116920 CORP</stp>
        <stp>YAS_FLOATER_INDEX_TO_NEXT_COUPON</stp>
        <stp>[BondFloaters.xlsx]FLOATERS!R31C24</stp>
        <tr r="X31" s="1"/>
      </tp>
      <tp>
        <v>-0.34040000000000004</v>
        <stp/>
        <stp>##V3_BDPV12</stp>
        <stp>XS1230926609 CORP</stp>
        <stp>YAS_FLOATER_INDEX_TO_NEXT_COUPON</stp>
        <stp>[BondFloaters.xlsx]FLOATERS!R126C24</stp>
        <tr r="X126" s="1"/>
      </tp>
      <tp t="s">
        <v>AR6510606</v>
        <stp/>
        <stp>##V3_BDPV12</stp>
        <stp>DE000A2G8VS7 CORP</stp>
        <stp>ID_CUSIP</stp>
        <stp>[BondFloaters.xlsx]FLOATERS!R43C1</stp>
        <tr r="A43" s="1"/>
      </tp>
      <tp>
        <v>21</v>
        <stp/>
        <stp>##V3_BDPV12</stp>
        <stp>DE000A2G8VS7 CORP</stp>
        <stp>CALC_TYP</stp>
        <stp>[BondFloaters.xlsx]FLOATERS!R43C6</stp>
        <tr r="F43" s="1"/>
      </tp>
      <tp t="s">
        <v>02/11/2017</v>
        <stp/>
        <stp>##V3_BDPV12</stp>
        <stp>FR0013292687 CORP</stp>
        <stp>ISSUE_DT</stp>
        <stp>[BondFloaters.xlsx]FLOATERS!R36C11</stp>
        <tr r="K36" s="1"/>
      </tp>
      <tp t="s">
        <v>28/06/2017</v>
        <stp/>
        <stp>##V3_BDPV12</stp>
        <stp>FR0013264884 CORP</stp>
        <stp>ISSUE_DT</stp>
        <stp>[BondFloaters.xlsx]FLOATERS!R93C11</stp>
        <tr r="K93" s="1"/>
      </tp>
      <tp t="s">
        <v>09/03/2015</v>
        <stp/>
        <stp>##V3_BDPV12</stp>
        <stp>XS1197832832 CORP</stp>
        <stp>ISSUE_DT</stp>
        <stp>[BondFloaters.xlsx]FLOATERS!R39C11</stp>
        <tr r="K39" s="1"/>
      </tp>
      <tp t="s">
        <v>14/06/2017</v>
        <stp/>
        <stp>##V3_BDPV12</stp>
        <stp>FR0013260486 CORP</stp>
        <stp>ISSUE_DT</stp>
        <stp>[BondFloaters.xlsx]FLOATERS!R63C11</stp>
        <tr r="K63" s="1"/>
      </tp>
      <tp t="s">
        <v>12/04/2017</v>
        <stp/>
        <stp>##V3_BDPV12</stp>
        <stp>FR0013250685 CORP</stp>
        <stp>ISSUE_DT</stp>
        <stp>[BondFloaters.xlsx]FLOATERS!R29C11</stp>
        <tr r="K29" s="1"/>
      </tp>
      <tp t="s">
        <v>01/12/2017</v>
        <stp/>
        <stp>##V3_BDPV12</stp>
        <stp>XS1729872736 CORP</stp>
        <stp>ISSUE_DT</stp>
        <stp>[BondFloaters.xlsx]FLOATERS!R88C11</stp>
        <tr r="K88" s="1"/>
      </tp>
      <tp t="s">
        <v>N</v>
        <stp/>
        <stp>##V3_BDPV12</stp>
        <stp>DE000A2GSCY9 CORP</stp>
        <stp>ZERO_CPN</stp>
        <stp>[BondFloaters.xlsx]FLOATERS!R14C8</stp>
        <tr r="H14" s="1"/>
      </tp>
      <tp>
        <v>38</v>
        <stp/>
        <stp>##V3_BDPV12</stp>
        <stp>DE000A185WC9 CORP</stp>
        <stp>FLT_SPREAD</stp>
        <stp>[BondFloaters.xlsx]FLOATERS!R47C17</stp>
        <tr r="Q47" s="1"/>
      </tp>
      <tp>
        <v>38</v>
        <stp/>
        <stp>##V3_BDPV12</stp>
        <stp>FR0013266343 CORP</stp>
        <stp>FLT_SPREAD</stp>
        <stp>[BondFloaters.xlsx]FLOATERS!R91C17</stp>
        <tr r="Q91" s="1"/>
      </tp>
      <tp>
        <v>38</v>
        <stp/>
        <stp>##V3_BDPV12</stp>
        <stp>FR0013266343 CORP</stp>
        <stp>FLT_SPREAD</stp>
        <stp>[BondFloaters.xlsx]FLOATERS!R91C26</stp>
        <tr r="Z91" s="1"/>
      </tp>
      <tp>
        <v>38</v>
        <stp/>
        <stp>##V3_BDPV12</stp>
        <stp>DE000A185WC9 CORP</stp>
        <stp>FLT_SPREAD</stp>
        <stp>[BondFloaters.xlsx]FLOATERS!R47C26</stp>
        <tr r="Z47" s="1"/>
      </tp>
      <tp>
        <v>23</v>
        <stp/>
        <stp>##V3_BDPV12</stp>
        <stp>FR0012146751 CORP</stp>
        <stp>FLT_SPREAD</stp>
        <stp>[BondFloaters.xlsx]FLOATERS!R67C17</stp>
        <tr r="Q67" s="1"/>
      </tp>
      <tp>
        <v>100.11799999999999</v>
        <stp/>
        <stp>##V3_BDPV12</stp>
        <stp>XS1678632487 CORP</stp>
        <stp>YAS_BOND_PX</stp>
        <stp>[BondFloaters.xlsx]FLOATERS!R6C28</stp>
        <tr r="AB6" s="1"/>
      </tp>
      <tp>
        <v>23</v>
        <stp/>
        <stp>##V3_BDPV12</stp>
        <stp>FR0012146751 CORP</stp>
        <stp>FLT_SPREAD</stp>
        <stp>[BondFloaters.xlsx]FLOATERS!R67C26</stp>
        <tr r="Z67" s="1"/>
      </tp>
      <tp>
        <v>0.17499999999999999</v>
        <stp/>
        <stp>##V3_BDPV12</stp>
        <stp>XS1480176111 CORP</stp>
        <stp>CPN</stp>
        <stp>[BondFloaters.xlsx]FLOATERS!R5C25</stp>
        <tr r="Y5" s="1"/>
      </tp>
      <tp t="s">
        <v>18/02/2019</v>
        <stp/>
        <stp>##V3_BDPV12</stp>
        <stp>XS1664643746 CORP</stp>
        <stp>NXT_CPN_DT</stp>
        <stp>[BondFloaters.xlsx]FLOATERS!R73C14</stp>
        <tr r="N73" s="1"/>
      </tp>
      <tp t="s">
        <v>15/02/2019</v>
        <stp/>
        <stp>##V3_BDPV12</stp>
        <stp>XS1234366448 CORP</stp>
        <stp>NXT_CPN_DT</stp>
        <stp>[BondFloaters.xlsx]FLOATERS!R52C14</stp>
        <tr r="N52" s="1"/>
      </tp>
      <tp t="s">
        <v>11/01/2019</v>
        <stp/>
        <stp>##V3_BDPV12</stp>
        <stp>XS1319814817 CORP</stp>
        <stp>NXT_CPN_DT</stp>
        <stp>[BondFloaters.xlsx]FLOATERS!R77C14</stp>
        <tr r="N77" s="1"/>
      </tp>
      <tp t="s">
        <v>11/01/2019</v>
        <stp/>
        <stp>##V3_BDPV12</stp>
        <stp>XS1806435324 CORP</stp>
        <stp>NXT_CPN_DT</stp>
        <stp>[BondFloaters.xlsx]FLOATERS!R34C14</stp>
        <tr r="N34" s="1"/>
      </tp>
      <tp t="s">
        <v>24/02/2019</v>
        <stp/>
        <stp>##V3_BDPV12</stp>
        <stp>XS1619284372 CORP</stp>
        <stp>NXT_CPN_DT</stp>
        <stp>[BondFloaters.xlsx]FLOATERS!R68C14</stp>
        <tr r="N68" s="1"/>
      </tp>
      <tp t="s">
        <v>19/03/2019</v>
        <stp/>
        <stp>##V3_BDPV12</stp>
        <stp>XS1139316555 CORP</stp>
        <stp>NXT_CPN_DT</stp>
        <stp>[BondFloaters.xlsx]FLOATERS!R78C14</stp>
        <tr r="N78" s="1"/>
      </tp>
      <tp t="s">
        <v>UV8435652</v>
        <stp/>
        <stp>##V3_BDPV12</stp>
        <stp>XS1292468987 CORP</stp>
        <stp>ID_CUSIP</stp>
        <stp>[BondFloaters.xlsx]FLOATERS!R18C1</stp>
        <tr r="A18" s="1"/>
      </tp>
      <tp>
        <v>21</v>
        <stp/>
        <stp>##V3_BDPV12</stp>
        <stp>XS1292468987 CORP</stp>
        <stp>CALC_TYP</stp>
        <stp>[BondFloaters.xlsx]FLOATERS!R18C6</stp>
        <tr r="F18" s="1"/>
      </tp>
      <tp>
        <v>21</v>
        <stp/>
        <stp>##V3_BDPV12</stp>
        <stp>XS1723613581 CORP</stp>
        <stp>CALC_TYP</stp>
        <stp>[BondFloaters.xlsx]FLOATERS!R75C6</stp>
        <tr r="F75" s="1"/>
      </tp>
      <tp t="s">
        <v>AQ0770323</v>
        <stp/>
        <stp>##V3_BDPV12</stp>
        <stp>XS1723613581 CORP</stp>
        <stp>ID_CUSIP</stp>
        <stp>[BondFloaters.xlsx]FLOATERS!R75C1</stp>
        <tr r="A75" s="1"/>
      </tp>
      <tp>
        <v>21</v>
        <stp/>
        <stp>##V3_BDPV12</stp>
        <stp>FR0012146751 CORP</stp>
        <stp>CALC_TYP</stp>
        <stp>[BondFloaters.xlsx]FLOATERS!R67C6</stp>
        <tr r="F67" s="1"/>
      </tp>
      <tp t="s">
        <v>EK4729191</v>
        <stp/>
        <stp>##V3_BDPV12</stp>
        <stp>FR0012146751 CORP</stp>
        <stp>ID_CUSIP</stp>
        <stp>[BondFloaters.xlsx]FLOATERS!R67C1</stp>
        <tr r="A67" s="1"/>
      </tp>
      <tp t="s">
        <v>AQ8079206</v>
        <stp/>
        <stp>##V3_BDPV12</stp>
        <stp>XS1756669740 CORP</stp>
        <stp>ID_CUSIP</stp>
        <stp>[BondFloaters.xlsx]FLOATERS!R72C1</stp>
        <tr r="A72" s="1"/>
      </tp>
      <tp>
        <v>21</v>
        <stp/>
        <stp>##V3_BDPV12</stp>
        <stp>XS1756669740 CORP</stp>
        <stp>CALC_TYP</stp>
        <stp>[BondFloaters.xlsx]FLOATERS!R72C6</stp>
        <tr r="F72" s="1"/>
      </tp>
      <tp t="s">
        <v>N</v>
        <stp/>
        <stp>##V3_BDPV12</stp>
        <stp>DE000A13SL18 CORP</stp>
        <stp>CALLABLE</stp>
        <stp>[BondFloaters.xlsx]FLOATERS!R92C7</stp>
        <tr r="G92" s="1"/>
      </tp>
      <tp>
        <v>-0.33600000000000002</v>
        <stp/>
        <stp>##V3_BDPV12</stp>
        <stp>XS1823165631 CORP</stp>
        <stp>YAS_FLOATER_INDEX_TO_NEXT_COUPON</stp>
        <stp>[BondFloaters.xlsx]FLOATERS!R70C24</stp>
        <tr r="X70" s="1"/>
      </tp>
      <tp>
        <v>-0.31516666666666665</v>
        <stp/>
        <stp>##V3_BDPV12</stp>
        <stp>XS1712180477 CORP</stp>
        <stp>YAS_FLOATER_INDEX_TO_NEXT_COUPON</stp>
        <stp>[BondFloaters.xlsx]FLOATERS!R137C24</stp>
        <tr r="X137" s="1"/>
      </tp>
      <tp>
        <v>-0.33600000000000002</v>
        <stp/>
        <stp>##V3_BDPV12</stp>
        <stp>XS1664643746 CORP</stp>
        <stp>YAS_FLOATER_INDEX_TO_NEXT_COUPON</stp>
        <stp>[BondFloaters.xlsx]FLOATERS!R73C24</stp>
        <tr r="X73" s="1"/>
      </tp>
      <tp>
        <v>-0.36899999999999999</v>
        <stp/>
        <stp>##V3_BDPV12</stp>
        <stp>FR0013330107 CORP</stp>
        <stp>YAS_FLOATER_INDEX_TO_NEXT_COUPON</stp>
        <stp>[BondFloaters.xlsx]FLOATERS!R87C24</stp>
        <tr r="X87" s="1"/>
      </tp>
      <tp>
        <v>-0.36680000000000001</v>
        <stp/>
        <stp>##V3_BDPV12</stp>
        <stp>XS1808497264 CORP</stp>
        <stp>YAS_FLOATER_INDEX_TO_NEXT_COUPON</stp>
        <stp>[BondFloaters.xlsx]FLOATERS!R13C24</stp>
        <tr r="X13" s="1"/>
      </tp>
      <tp>
        <v>-0.37095652173913041</v>
        <stp/>
        <stp>##V3_BDPV12</stp>
        <stp>FR0013309606 CORP</stp>
        <stp>YAS_FLOATER_INDEX_TO_NEXT_COUPON</stp>
        <stp>[BondFloaters.xlsx]FLOATERS!R25C24</stp>
        <tr r="X25" s="1"/>
      </tp>
      <tp>
        <v>-0.36349999999999999</v>
        <stp/>
        <stp>##V3_BDPV12</stp>
        <stp>XS1651071521 CORP</stp>
        <stp>YAS_FLOATER_INDEX_TO_NEXT_COUPON</stp>
        <stp>[BondFloaters.xlsx]FLOATERS!R46C24</stp>
        <tr r="X46" s="1"/>
      </tp>
      <tp>
        <v>-0.36459999999999998</v>
        <stp/>
        <stp>##V3_BDPV12</stp>
        <stp>XS1756669740 CORP</stp>
        <stp>YAS_FLOATER_INDEX_TO_NEXT_COUPON</stp>
        <stp>[BondFloaters.xlsx]FLOATERS!R72C24</stp>
        <tr r="X72" s="1"/>
      </tp>
      <tp>
        <v>-0.33350000000000002</v>
        <stp/>
        <stp>##V3_BDPV12</stp>
        <stp>XS1822824642 CORP</stp>
        <stp>YAS_FLOATER_INDEX_TO_NEXT_COUPON</stp>
        <stp>[BondFloaters.xlsx]FLOATERS!R116C24</stp>
        <tr r="X116" s="1"/>
      </tp>
      <tp>
        <v>-0.32266666666666666</v>
        <stp/>
        <stp>##V3_BDPV12</stp>
        <stp>XS1671754650 CORP</stp>
        <stp>YAS_FLOATER_INDEX_TO_NEXT_COUPON</stp>
        <stp>[BondFloaters.xlsx]FLOATERS!R19C24</stp>
        <tr r="X19" s="1"/>
      </tp>
      <tp>
        <v>-0.311</v>
        <stp/>
        <stp>##V3_BDPV12</stp>
        <stp>XS1767087940 CORP</stp>
        <stp>YAS_FLOATER_ASSUMED_RATE</stp>
        <stp>[BondFloaters.xlsx]FLOATERS!R127C23</stp>
        <tr r="W127" s="1"/>
      </tp>
      <tp>
        <v>-0.311</v>
        <stp/>
        <stp>##V3_BDPV12</stp>
        <stp>XS1840614736 CORP</stp>
        <stp>YAS_FLOATER_ASSUMED_RATE</stp>
        <stp>[BondFloaters.xlsx]FLOATERS!R132C23</stp>
        <tr r="W132" s="1"/>
      </tp>
      <tp t="s">
        <v>26/05/2017</v>
        <stp/>
        <stp>##V3_BDPV12</stp>
        <stp>FR0013257599 CORP</stp>
        <stp>ISSUE_DT</stp>
        <stp>[BondFloaters.xlsx]FLOATERS!R20C11</stp>
        <tr r="K20" s="1"/>
      </tp>
      <tp t="s">
        <v>#N/A N/A</v>
        <stp/>
        <stp>##V3_BDPV12</stp>
        <stp>XS1171489476 CORP</stp>
        <stp>YAS_FLOATER_ASSUMED_RATE</stp>
        <stp>[BondFloaters.xlsx]FLOATERS!R101C23</stp>
        <tr r="W101" s="1"/>
      </tp>
      <tp t="s">
        <v>09/09/2014</v>
        <stp/>
        <stp>##V3_BDPV12</stp>
        <stp>XS1107266782 CORP</stp>
        <stp>ISSUE_DT</stp>
        <stp>[BondFloaters.xlsx]FLOATERS!R74C11</stp>
        <tr r="K74" s="1"/>
      </tp>
      <tp>
        <v>10</v>
        <stp/>
        <stp>##V3_BDPV12</stp>
        <stp>FR0013257599 CORP</stp>
        <stp>FLT_SPREAD</stp>
        <stp>[BondFloaters.xlsx]FLOATERS!R20C26</stp>
        <tr r="Z20" s="1"/>
      </tp>
      <tp>
        <v>10</v>
        <stp/>
        <stp>##V3_BDPV12</stp>
        <stp>FR0013257599 CORP</stp>
        <stp>FLT_SPREAD</stp>
        <stp>[BondFloaters.xlsx]FLOATERS!R20C17</stp>
        <tr r="Q20" s="1"/>
      </tp>
      <tp t="s">
        <v>24/01/2019</v>
        <stp/>
        <stp>##V3_BDPV12</stp>
        <stp>XS1651071521 CORP</stp>
        <stp>NXT_CPN_DT</stp>
        <stp>[BondFloaters.xlsx]FLOATERS!R46C14</stp>
        <tr r="N46" s="1"/>
      </tp>
      <tp t="s">
        <v>15/03/2019</v>
        <stp/>
        <stp>##V3_BDPV12</stp>
        <stp>XS1734547919 CORP</stp>
        <stp>NXT_CPN_DT</stp>
        <stp>[BondFloaters.xlsx]FLOATERS!R11C14</stp>
        <tr r="N11" s="1"/>
      </tp>
      <tp>
        <v>21</v>
        <stp/>
        <stp>##V3_BDPV12</stp>
        <stp>XS1586555515 CORP</stp>
        <stp>CALC_TYP</stp>
        <stp>[BondFloaters.xlsx]FLOATERS!R53C6</stp>
        <tr r="F53" s="1"/>
      </tp>
      <tp t="s">
        <v>AM9627366</v>
        <stp/>
        <stp>##V3_BDPV12</stp>
        <stp>XS1586555515 CORP</stp>
        <stp>ID_CUSIP</stp>
        <stp>[BondFloaters.xlsx]FLOATERS!R53C1</stp>
        <tr r="A53" s="1"/>
      </tp>
      <tp>
        <v>21</v>
        <stp/>
        <stp>##V3_BDPV12</stp>
        <stp>XS1033649739 CORP</stp>
        <stp>CALC_TYP</stp>
        <stp>[BondFloaters.xlsx]FLOATERS!R44C6</stp>
        <tr r="F44" s="1"/>
      </tp>
      <tp t="s">
        <v>EK0629619</v>
        <stp/>
        <stp>##V3_BDPV12</stp>
        <stp>XS1033649739 CORP</stp>
        <stp>ID_CUSIP</stp>
        <stp>[BondFloaters.xlsx]FLOATERS!R44C1</stp>
        <tr r="A44" s="1"/>
      </tp>
      <tp>
        <v>21</v>
        <stp/>
        <stp>##V3_BDPV12</stp>
        <stp>XS1190623907 CORP</stp>
        <stp>CALC_TYP</stp>
        <stp>[BondFloaters.xlsx]FLOATERS!R59C6</stp>
        <tr r="F59" s="1"/>
      </tp>
      <tp t="s">
        <v>EK7472013</v>
        <stp/>
        <stp>##V3_BDPV12</stp>
        <stp>XS1190623907 CORP</stp>
        <stp>ID_CUSIP</stp>
        <stp>[BondFloaters.xlsx]FLOATERS!R59C1</stp>
        <tr r="A59" s="1"/>
      </tp>
      <tp>
        <v>21</v>
        <stp/>
        <stp>##V3_BDPV12</stp>
        <stp>FR0013266343 CORP</stp>
        <stp>CALC_TYP</stp>
        <stp>[BondFloaters.xlsx]FLOATERS!R91C6</stp>
        <tr r="F91" s="1"/>
      </tp>
      <tp t="s">
        <v>AO0689544</v>
        <stp/>
        <stp>##V3_BDPV12</stp>
        <stp>FR0013266343 CORP</stp>
        <stp>ID_CUSIP</stp>
        <stp>[BondFloaters.xlsx]FLOATERS!R91C1</stp>
        <tr r="A91" s="1"/>
      </tp>
      <tp t="s">
        <v>911312AU0</v>
        <stp/>
        <stp>##V3_BDPV12</stp>
        <stp>XS1323463056 CORP</stp>
        <stp>ID_CUSIP</stp>
        <stp>[BondFloaters.xlsx]FLOATERS!R83C1</stp>
        <tr r="A83" s="1"/>
      </tp>
      <tp>
        <v>21</v>
        <stp/>
        <stp>##V3_BDPV12</stp>
        <stp>XS1323463056 CORP</stp>
        <stp>CALC_TYP</stp>
        <stp>[BondFloaters.xlsx]FLOATERS!R83C6</stp>
        <tr r="F83" s="1"/>
      </tp>
      <tp>
        <v>21</v>
        <stp/>
        <stp>##V3_BDPV12</stp>
        <stp>XS1664643746 CORP</stp>
        <stp>CALC_TYP</stp>
        <stp>[BondFloaters.xlsx]FLOATERS!R73C6</stp>
        <tr r="F73" s="1"/>
      </tp>
      <tp t="s">
        <v>AO6442708</v>
        <stp/>
        <stp>##V3_BDPV12</stp>
        <stp>XS1664643746 CORP</stp>
        <stp>ID_CUSIP</stp>
        <stp>[BondFloaters.xlsx]FLOATERS!R73C1</stp>
        <tr r="A73" s="1"/>
      </tp>
      <tp>
        <v>21</v>
        <stp/>
        <stp>##V3_BDPV12</stp>
        <stp>XS1618349804 CORP</stp>
        <stp>CALC_TYP</stp>
        <stp>[BondFloaters.xlsx]FLOATERS!R60C6</stp>
        <tr r="F60" s="1"/>
      </tp>
      <tp t="s">
        <v>AN6434210</v>
        <stp/>
        <stp>##V3_BDPV12</stp>
        <stp>XS1618349804 CORP</stp>
        <stp>ID_CUSIP</stp>
        <stp>[BondFloaters.xlsx]FLOATERS!R60C1</stp>
        <tr r="A60" s="1"/>
      </tp>
      <tp t="s">
        <v>N</v>
        <stp/>
        <stp>##V3_BDPV12</stp>
        <stp>BE6276038419 CORP</stp>
        <stp>ZERO_CPN</stp>
        <stp>[BondFloaters.xlsx]FLOATERS!R86C8</stp>
        <tr r="H86" s="1"/>
      </tp>
      <tp>
        <v>2.7681300000000002</v>
        <stp/>
        <stp>##V3_BDPV12</stp>
        <stp>US30231GAE26 CORP</stp>
        <stp>YAS_FLOATER_INDEX_TO_NEXT_COUPON</stp>
        <stp>[BondFloaters.xlsx]FLOATERS!R27C24</stp>
        <tr r="X27" s="1"/>
      </tp>
      <tp>
        <v>-0.31266666666666665</v>
        <stp/>
        <stp>##V3_BDPV12</stp>
        <stp>XS1381690574 CORP</stp>
        <stp>YAS_FLOATER_INDEX_TO_NEXT_COUPON</stp>
        <stp>[BondFloaters.xlsx]FLOATERS!R89C24</stp>
        <tr r="X89" s="1"/>
      </tp>
      <tp>
        <v>-0.33433333333333337</v>
        <stp/>
        <stp>##V3_BDPV12</stp>
        <stp>DE000A19SE11 CORP</stp>
        <stp>YAS_FLOATER_INDEX_TO_NEXT_COUPON</stp>
        <stp>[BondFloaters.xlsx]FLOATERS!R71C24</stp>
        <tr r="X71" s="1"/>
      </tp>
      <tp>
        <v>-0.33600000000000002</v>
        <stp/>
        <stp>##V3_BDPV12</stp>
        <stp>XS1612940988 CORP</stp>
        <stp>YAS_FLOATER_INDEX_TO_NEXT_COUPON</stp>
        <stp>[BondFloaters.xlsx]FLOATERS!R35C24</stp>
        <tr r="X35" s="1"/>
      </tp>
      <tp t="s">
        <v>#N/A N/A</v>
        <stp/>
        <stp>##V3_BDPV12</stp>
        <stp>DE000A13SL18 CORP</stp>
        <stp>YAS_FLOATER_INDEX_TO_NEXT_COUPON</stp>
        <stp>[BondFloaters.xlsx]FLOATERS!R92C24</stp>
        <tr r="X92" s="1"/>
      </tp>
      <tp>
        <v>-0.311</v>
        <stp/>
        <stp>##V3_BDPV12</stp>
        <stp>XS1206712868 CORP</stp>
        <stp>YAS_FLOATER_INDEX_TO_NEXT_COUPON</stp>
        <stp>[BondFloaters.xlsx]FLOATERS!R118C24</stp>
        <tr r="X118" s="1"/>
      </tp>
      <tp>
        <v>-0.37526086956521737</v>
        <stp/>
        <stp>##V3_BDPV12</stp>
        <stp>XS1692846790 CORP</stp>
        <stp>YAS_FLOATER_INDEX_TO_NEXT_COUPON</stp>
        <stp>[BondFloaters.xlsx]FLOATERS!R94C24</stp>
        <tr r="X94" s="1"/>
      </tp>
      <tp>
        <v>-0.34040000000000004</v>
        <stp/>
        <stp>##V3_BDPV12</stp>
        <stp>FR0012315133 CORP</stp>
        <stp>YAS_FLOATER_INDEX_TO_NEXT_COUPON</stp>
        <stp>[BondFloaters.xlsx]FLOATERS!R55C24</stp>
        <tr r="X55" s="1"/>
      </tp>
      <tp>
        <v>-0.33929999999999999</v>
        <stp/>
        <stp>##V3_BDPV12</stp>
        <stp>XS1821814982 CORP</stp>
        <stp>YAS_FLOATER_INDEX_TO_NEXT_COUPON</stp>
        <stp>[BondFloaters.xlsx]FLOATERS!R102C24</stp>
        <tr r="X102" s="1"/>
      </tp>
      <tp>
        <v>-0.37056521739130432</v>
        <stp/>
        <stp>##V3_BDPV12</stp>
        <stp>XS1323463056 CORP</stp>
        <stp>YAS_FLOATER_INDEX_TO_NEXT_COUPON</stp>
        <stp>[BondFloaters.xlsx]FLOATERS!R83C24</stp>
        <tr r="X83" s="1"/>
      </tp>
      <tp t="s">
        <v>22/03/2018</v>
        <stp/>
        <stp>##V3_BDPV12</stp>
        <stp>DE000A19X793 CORP</stp>
        <stp>ISSUE_DT</stp>
        <stp>[BondFloaters.xlsx]FLOATERS!R10C11</stp>
        <tr r="K10" s="1"/>
      </tp>
      <tp>
        <v>-0.311</v>
        <stp/>
        <stp>##V3_BDPV12</stp>
        <stp>XS1590503279 CORP</stp>
        <stp>YAS_FLOATER_ASSUMED_RATE</stp>
        <stp>[BondFloaters.xlsx]FLOATERS!R100C23</stp>
        <tr r="W100" s="1"/>
      </tp>
      <tp t="s">
        <v>02/12/2014</v>
        <stp/>
        <stp>##V3_BDPV12</stp>
        <stp>XS1144084099 CORP</stp>
        <stp>ISSUE_DT</stp>
        <stp>[BondFloaters.xlsx]FLOATERS!R82C11</stp>
        <tr r="K82" s="1"/>
      </tp>
      <tp t="s">
        <v>11/04/2016</v>
        <stp/>
        <stp>##V3_BDPV12</stp>
        <stp>XS1319814817 CORP</stp>
        <stp>ISSUE_DT</stp>
        <stp>[BondFloaters.xlsx]FLOATERS!R77C11</stp>
        <tr r="K77" s="1"/>
      </tp>
      <tp t="s">
        <v>N</v>
        <stp/>
        <stp>##V3_BDPV12</stp>
        <stp>DE000A169GZ7 CORP</stp>
        <stp>ZERO_CPN</stp>
        <stp>[BondFloaters.xlsx]FLOATERS!R42C8</stp>
        <tr r="H42" s="1"/>
      </tp>
      <tp t="s">
        <v>22/09/2015</v>
        <stp/>
        <stp>##V3_BDPV12</stp>
        <stp>FR0012969012 CORP</stp>
        <stp>ISSUE_DT</stp>
        <stp>[BondFloaters.xlsx]FLOATERS!R22C11</stp>
        <tr r="K22" s="1"/>
      </tp>
      <tp>
        <v>75</v>
        <stp/>
        <stp>##V3_BDPV12</stp>
        <stp>FR0011884899 CORP</stp>
        <stp>FLT_SPREAD</stp>
        <stp>[BondFloaters.xlsx]FLOATERS!R66C17</stp>
        <tr r="Q66" s="1"/>
      </tp>
      <tp>
        <v>57</v>
        <stp/>
        <stp>##V3_BDPV12</stp>
        <stp>FR0013264884 CORP</stp>
        <stp>FLT_SPREAD</stp>
        <stp>[BondFloaters.xlsx]FLOATERS!R93C26</stp>
        <tr r="Z93" s="1"/>
      </tp>
      <tp>
        <v>57</v>
        <stp/>
        <stp>##V3_BDPV12</stp>
        <stp>FR0013264884 CORP</stp>
        <stp>FLT_SPREAD</stp>
        <stp>[BondFloaters.xlsx]FLOATERS!R93C17</stp>
        <tr r="Q93" s="1"/>
      </tp>
      <tp>
        <v>75</v>
        <stp/>
        <stp>##V3_BDPV12</stp>
        <stp>FR0011884899 CORP</stp>
        <stp>FLT_SPREAD</stp>
        <stp>[BondFloaters.xlsx]FLOATERS!R66C26</stp>
        <tr r="Z66" s="1"/>
      </tp>
      <tp>
        <v>70</v>
        <stp/>
        <stp>##V3_BDPV12</stp>
        <stp>FR0013054020 CORP</stp>
        <stp>FLT_SPREAD</stp>
        <stp>[BondFloaters.xlsx]FLOATERS!R26C26</stp>
        <tr r="Z26" s="1"/>
      </tp>
      <tp>
        <v>15</v>
        <stp/>
        <stp>##V3_BDPV12</stp>
        <stp>FR0013324316 CORP</stp>
        <stp>FLT_SPREAD</stp>
        <stp>[BondFloaters.xlsx]FLOATERS!R28C17</stp>
        <tr r="Q28" s="1"/>
      </tp>
      <tp>
        <v>15</v>
        <stp/>
        <stp>##V3_BDPV12</stp>
        <stp>FR0013324316 CORP</stp>
        <stp>FLT_SPREAD</stp>
        <stp>[BondFloaters.xlsx]FLOATERS!R28C26</stp>
        <tr r="Z28" s="1"/>
      </tp>
      <tp>
        <v>70</v>
        <stp/>
        <stp>##V3_BDPV12</stp>
        <stp>FR0013054020 CORP</stp>
        <stp>FLT_SPREAD</stp>
        <stp>[BondFloaters.xlsx]FLOATERS!R26C17</stp>
        <tr r="Q26" s="1"/>
      </tp>
      <tp t="s">
        <v>#N/A Field Not Applicable</v>
        <stp/>
        <stp>##V3_BDPV12</stp>
        <stp>XS1554462421 CORP</stp>
        <stp>NXT_CPN_DT</stp>
        <stp>[BondFloaters.xlsx]FLOATERS!R49C14</stp>
        <tr r="N49" s="1"/>
      </tp>
      <tp t="s">
        <v>18/02/2019</v>
        <stp/>
        <stp>##V3_BDPV12</stp>
        <stp>XS1823165631 CORP</stp>
        <stp>NXT_CPN_DT</stp>
        <stp>[BondFloaters.xlsx]FLOATERS!R70C14</stp>
        <tr r="N70" s="1"/>
      </tp>
      <tp t="s">
        <v>21/01/2019</v>
        <stp/>
        <stp>##V3_BDPV12</stp>
        <stp>XS1808497264 CORP</stp>
        <stp>NXT_CPN_DT</stp>
        <stp>[BondFloaters.xlsx]FLOATERS!R13C14</stp>
        <tr r="N13" s="1"/>
      </tp>
      <tp t="s">
        <v>15/02/2019</v>
        <stp/>
        <stp>##V3_BDPV12</stp>
        <stp>XS1718416586 CORP</stp>
        <stp>NXT_CPN_DT</stp>
        <stp>[BondFloaters.xlsx]FLOATERS!R54C14</stp>
        <tr r="N54" s="1"/>
      </tp>
      <tp>
        <v>21</v>
        <stp/>
        <stp>##V3_BDPV12</stp>
        <stp>FR0012969012 CORP</stp>
        <stp>CALC_TYP</stp>
        <stp>[BondFloaters.xlsx]FLOATERS!R22C6</stp>
        <tr r="F22" s="1"/>
      </tp>
      <tp t="s">
        <v>UV8674656</v>
        <stp/>
        <stp>##V3_BDPV12</stp>
        <stp>FR0012969012 CORP</stp>
        <stp>ID_CUSIP</stp>
        <stp>[BondFloaters.xlsx]FLOATERS!R22C1</stp>
        <tr r="A22" s="1"/>
      </tp>
      <tp t="s">
        <v>717081EE9</v>
        <stp/>
        <stp>##V3_BDPV12</stp>
        <stp>XS1574156540 CORP</stp>
        <stp>ID_CUSIP</stp>
        <stp>[BondFloaters.xlsx]FLOATERS!R90C1</stp>
        <tr r="A90" s="1"/>
      </tp>
      <tp>
        <v>21</v>
        <stp/>
        <stp>##V3_BDPV12</stp>
        <stp>XS1574156540 CORP</stp>
        <stp>CALC_TYP</stp>
        <stp>[BondFloaters.xlsx]FLOATERS!R90C6</stp>
        <tr r="F90" s="1"/>
      </tp>
      <tp>
        <v>21</v>
        <stp/>
        <stp>##V3_BDPV12</stp>
        <stp>XS1078028864 CORP</stp>
        <stp>CALC_TYP</stp>
        <stp>[BondFloaters.xlsx]FLOATERS!R41C6</stp>
        <tr r="F41" s="1"/>
      </tp>
      <tp t="s">
        <v>EK3271948</v>
        <stp/>
        <stp>##V3_BDPV12</stp>
        <stp>XS1078028864 CORP</stp>
        <stp>ID_CUSIP</stp>
        <stp>[BondFloaters.xlsx]FLOATERS!R41C1</stp>
        <tr r="A41" s="1"/>
      </tp>
      <tp>
        <v>21</v>
        <stp/>
        <stp>##V3_BDPV12</stp>
        <stp>XS1806435324 CORP</stp>
        <stp>CALC_TYP</stp>
        <stp>[BondFloaters.xlsx]FLOATERS!R34C6</stp>
        <tr r="F34" s="1"/>
      </tp>
      <tp t="s">
        <v>AS0915676</v>
        <stp/>
        <stp>##V3_BDPV12</stp>
        <stp>XS1806435324 CORP</stp>
        <stp>ID_CUSIP</stp>
        <stp>[BondFloaters.xlsx]FLOATERS!R34C1</stp>
        <tr r="A34" s="1"/>
      </tp>
      <tp t="s">
        <v>AP3064536</v>
        <stp/>
        <stp>##V3_BDPV12</stp>
        <stp>XS1692846790 CORP</stp>
        <stp>ID_CUSIP</stp>
        <stp>[BondFloaters.xlsx]FLOATERS!R94C1</stp>
        <tr r="A94" s="1"/>
      </tp>
      <tp>
        <v>21</v>
        <stp/>
        <stp>##V3_BDPV12</stp>
        <stp>XS1692846790 CORP</stp>
        <stp>CALC_TYP</stp>
        <stp>[BondFloaters.xlsx]FLOATERS!R94C6</stp>
        <tr r="F94" s="1"/>
      </tp>
      <tp>
        <v>21</v>
        <stp/>
        <stp>##V3_BDPV12</stp>
        <stp>FR0013309606 CORP</stp>
        <stp>CALC_TYP</stp>
        <stp>[BondFloaters.xlsx]FLOATERS!R25C6</stp>
        <tr r="F25" s="1"/>
      </tp>
      <tp t="s">
        <v>AQ5976081</v>
        <stp/>
        <stp>##V3_BDPV12</stp>
        <stp>FR0013309606 CORP</stp>
        <stp>ID_CUSIP</stp>
        <stp>[BondFloaters.xlsx]FLOATERS!R25C1</stp>
        <tr r="A25" s="1"/>
      </tp>
      <tp t="s">
        <v>AR7400369</v>
        <stp/>
        <stp>##V3_BDPV12</stp>
        <stp>XS1794195724 CORP</stp>
        <stp>ID_CUSIP</stp>
        <stp>[BondFloaters.xlsx]FLOATERS!R12C1</stp>
        <tr r="A12" s="1"/>
      </tp>
      <tp>
        <v>21</v>
        <stp/>
        <stp>##V3_BDPV12</stp>
        <stp>XS1794195724 CORP</stp>
        <stp>CALC_TYP</stp>
        <stp>[BondFloaters.xlsx]FLOATERS!R12C6</stp>
        <tr r="F12" s="1"/>
      </tp>
      <tp t="s">
        <v>N</v>
        <stp/>
        <stp>##V3_BDPV12</stp>
        <stp>DE000A19SE11 CORP</stp>
        <stp>ZERO_CPN</stp>
        <stp>[BondFloaters.xlsx]FLOATERS!R71C8</stp>
        <tr r="H71" s="1"/>
      </tp>
      <tp>
        <v>-0.34150000000000003</v>
        <stp/>
        <stp>##V3_BDPV12</stp>
        <stp>XS1564405741 CORP</stp>
        <stp>YAS_FLOATER_INDEX_TO_NEXT_COUPON</stp>
        <stp>[BondFloaters.xlsx]FLOATERS!R21C24</stp>
        <tr r="X21" s="1"/>
      </tp>
      <tp>
        <v>-0.37369565217391304</v>
        <stp/>
        <stp>##V3_BDPV12</stp>
        <stp>XS1642546078 CORP</stp>
        <stp>YAS_FLOATER_INDEX_TO_NEXT_COUPON</stp>
        <stp>[BondFloaters.xlsx]FLOATERS!R107C24</stp>
        <tr r="X107" s="1"/>
      </tp>
      <tp>
        <v>-0.37369565217391304</v>
        <stp/>
        <stp>##V3_BDPV12</stp>
        <stp>XS1591430746 CORP</stp>
        <stp>YAS_FLOATER_INDEX_TO_NEXT_COUPON</stp>
        <stp>[BondFloaters.xlsx]FLOATERS!R64C24</stp>
        <tr r="X64" s="1"/>
      </tp>
      <tp>
        <v>-0.33600000000000002</v>
        <stp/>
        <stp>##V3_BDPV12</stp>
        <stp>XS1822301039 CORP</stp>
        <stp>YAS_FLOATER_INDEX_TO_NEXT_COUPON</stp>
        <stp>[BondFloaters.xlsx]FLOATERS!R15C24</stp>
        <tr r="X15" s="1"/>
      </tp>
      <tp>
        <v>-0.37643478260869567</v>
        <stp/>
        <stp>##V3_BDPV12</stp>
        <stp>FR0011884899 CORP</stp>
        <stp>YAS_FLOATER_INDEX_TO_NEXT_COUPON</stp>
        <stp>[BondFloaters.xlsx]FLOATERS!R66C24</stp>
        <tr r="X66" s="1"/>
      </tp>
      <tp>
        <v>-0.31516666666666665</v>
        <stp/>
        <stp>##V3_BDPV12</stp>
        <stp>XS1577870808 CORP</stp>
        <stp>YAS_FLOATER_INDEX_TO_NEXT_COUPON</stp>
        <stp>[BondFloaters.xlsx]FLOATERS!R138C24</stp>
        <tr r="X138" s="1"/>
      </tp>
      <tp>
        <v>-0.311</v>
        <stp/>
        <stp>##V3_BDPV12</stp>
        <stp>XS1301773799 CORP</stp>
        <stp>YAS_FLOATER_ASSUMED_RATE</stp>
        <stp>[BondFloaters.xlsx]FLOATERS!R114C23</stp>
        <tr r="W114" s="1"/>
      </tp>
      <tp>
        <v>-0.311</v>
        <stp/>
        <stp>##V3_BDPV12</stp>
        <stp>XS1715323298 CORP</stp>
        <stp>YAS_FLOATER_ASSUMED_RATE</stp>
        <stp>[BondFloaters.xlsx]FLOATERS!R111C23</stp>
        <tr r="W111" s="1"/>
      </tp>
      <tp t="s">
        <v>15/05/2018</v>
        <stp/>
        <stp>##V3_BDPV12</stp>
        <stp>XS1821814800 CORP</stp>
        <stp>ISSUE_DT</stp>
        <stp>[BondFloaters.xlsx]FLOATERS!R84C11</stp>
        <tr r="K84" s="1"/>
      </tp>
      <tp>
        <v>-0.311</v>
        <stp/>
        <stp>##V3_BDPV12</stp>
        <stp>XS1363560548 CORP</stp>
        <stp>YAS_FLOATER_ASSUMED_RATE</stp>
        <stp>[BondFloaters.xlsx]FLOATERS!R133C23</stp>
        <tr r="W133" s="1"/>
      </tp>
      <tp t="s">
        <v>20/04/2017</v>
        <stp/>
        <stp>##V3_BDPV12</stp>
        <stp>XS1599109896 CORP</stp>
        <stp>ISSUE_DT</stp>
        <stp>[BondFloaters.xlsx]FLOATERS!R97C11</stp>
        <tr r="K97" s="1"/>
      </tp>
      <tp>
        <v>-0.311</v>
        <stp/>
        <stp>##V3_BDPV12</stp>
        <stp>XS1679028479 CORP</stp>
        <stp>YAS_FLOATER_ASSUMED_RATE</stp>
        <stp>[BondFloaters.xlsx]FLOATERS!R119C23</stp>
        <tr r="W119" s="1"/>
      </tp>
      <tp>
        <v>-0.311</v>
        <stp/>
        <stp>##V3_BDPV12</stp>
        <stp>XS1683495052 CORP</stp>
        <stp>YAS_FLOATER_ASSUMED_RATE</stp>
        <stp>[BondFloaters.xlsx]FLOATERS!R117C23</stp>
        <tr r="W117" s="1"/>
      </tp>
      <tp>
        <v>23</v>
        <stp/>
        <stp>##V3_BDPV12</stp>
        <stp>FR0012315133 CORP</stp>
        <stp>FLT_SPREAD</stp>
        <stp>[BondFloaters.xlsx]FLOATERS!R55C26</stp>
        <tr r="Z55" s="1"/>
      </tp>
      <tp>
        <v>23</v>
        <stp/>
        <stp>##V3_BDPV12</stp>
        <stp>FR0012315133 CORP</stp>
        <stp>FLT_SPREAD</stp>
        <stp>[BondFloaters.xlsx]FLOATERS!R55C17</stp>
        <tr r="Q55" s="1"/>
      </tp>
      <tp t="s">
        <v>31/12/2018</v>
        <stp/>
        <stp>##V3_BDPV12</stp>
        <stp>XS1635905570 CORP</stp>
        <stp>NXT_CPN_DT</stp>
        <stp>[BondFloaters.xlsx]FLOATERS!R79C14</stp>
        <tr r="N79" s="1"/>
      </tp>
      <tp t="s">
        <v>11/03/2019</v>
        <stp/>
        <stp>##V3_BDPV12</stp>
        <stp>XS1107266782 CORP</stp>
        <stp>NXT_CPN_DT</stp>
        <stp>[BondFloaters.xlsx]FLOATERS!R74C14</stp>
        <tr r="N74" s="1"/>
      </tp>
      <tp t="s">
        <v>02/01/2019</v>
        <stp/>
        <stp>##V3_BDPV12</stp>
        <stp>XS1212467911 CORP</stp>
        <stp>NXT_CPN_DT</stp>
        <stp>[BondFloaters.xlsx]FLOATERS!R57C14</stp>
        <tr r="N57" s="1"/>
      </tp>
      <tp t="s">
        <v>14/02/2019</v>
        <stp/>
        <stp>##V3_BDPV12</stp>
        <stp>XS1821814800 CORP</stp>
        <stp>NXT_CPN_DT</stp>
        <stp>[BondFloaters.xlsx]FLOATERS!R84C14</stp>
        <tr r="N84" s="1"/>
      </tp>
      <tp>
        <v>0.16900000000000001</v>
        <stp/>
        <stp>##V3_BDPV12</stp>
        <stp>XS1046499981 CORP</stp>
        <stp>CPN</stp>
        <stp>[BondFloaters.xlsx]FLOATERS!R9C25</stp>
        <tr r="Y9" s="1"/>
      </tp>
      <tp>
        <v>21</v>
        <stp/>
        <stp>##V3_BDPV12</stp>
        <stp>XS1108681625 CORP</stp>
        <stp>CALC_TYP</stp>
        <stp>[BondFloaters.xlsx]FLOATERS!R40C6</stp>
        <tr r="F40" s="1"/>
      </tp>
      <tp t="s">
        <v>EK4614443</v>
        <stp/>
        <stp>##V3_BDPV12</stp>
        <stp>XS1108681625 CORP</stp>
        <stp>ID_CUSIP</stp>
        <stp>[BondFloaters.xlsx]FLOATERS!R40C1</stp>
        <tr r="A40" s="1"/>
      </tp>
      <tp t="s">
        <v>EK2483783</v>
        <stp/>
        <stp>##V3_BDPV12</stp>
        <stp>FR0011884899 CORP</stp>
        <stp>ID_CUSIP</stp>
        <stp>[BondFloaters.xlsx]FLOATERS!R66C1</stp>
        <tr r="A66" s="1"/>
      </tp>
      <tp>
        <v>21</v>
        <stp/>
        <stp>##V3_BDPV12</stp>
        <stp>FR0011884899 CORP</stp>
        <stp>CALC_TYP</stp>
        <stp>[BondFloaters.xlsx]FLOATERS!R66C6</stp>
        <tr r="F66" s="1"/>
      </tp>
      <tp t="s">
        <v>AN5282842</v>
        <stp/>
        <stp>##V3_BDPV12</stp>
        <stp>XS1612940988 CORP</stp>
        <stp>ID_CUSIP</stp>
        <stp>[BondFloaters.xlsx]FLOATERS!R35C1</stp>
        <tr r="A35" s="1"/>
      </tp>
      <tp>
        <v>21</v>
        <stp/>
        <stp>##V3_BDPV12</stp>
        <stp>XS1612940988 CORP</stp>
        <stp>CALC_TYP</stp>
        <stp>[BondFloaters.xlsx]FLOATERS!R35C6</stp>
        <tr r="F35" s="1"/>
      </tp>
      <tp t="s">
        <v>AO8926294</v>
        <stp/>
        <stp>##V3_BDPV12</stp>
        <stp>XS1671754650 CORP</stp>
        <stp>ID_CUSIP</stp>
        <stp>[BondFloaters.xlsx]FLOATERS!R19C1</stp>
        <tr r="A19" s="1"/>
      </tp>
      <tp>
        <v>21</v>
        <stp/>
        <stp>##V3_BDPV12</stp>
        <stp>XS1671754650 CORP</stp>
        <stp>CALC_TYP</stp>
        <stp>[BondFloaters.xlsx]FLOATERS!R19C6</stp>
        <tr r="F19" s="1"/>
      </tp>
      <tp t="s">
        <v>N</v>
        <stp/>
        <stp>##V3_BDPV12</stp>
        <stp>DE000A14KJE8 CORP</stp>
        <stp>ZERO_CPN</stp>
        <stp>[BondFloaters.xlsx]FLOATERS!R51C8</stp>
        <tr r="H51" s="1"/>
      </tp>
      <tp>
        <v>-0.35909999999999997</v>
        <stp/>
        <stp>##V3_BDPV12</stp>
        <stp>XS1224953452 CORP</stp>
        <stp>YAS_FLOATER_INDEX_TO_NEXT_COUPON</stp>
        <stp>[BondFloaters.xlsx]FLOATERS!R135C24</stp>
        <tr r="X135" s="1"/>
      </tp>
      <tp t="s">
        <v>#N/A N/A</v>
        <stp/>
        <stp>##V3_BDPV12</stp>
        <stp>XS1522989869 CORP</stp>
        <stp>YAS_FLOATER_INDEX_TO_NEXT_COUPON</stp>
        <stp>[BondFloaters.xlsx]FLOATERS!R33C24</stp>
        <tr r="X33" s="1"/>
      </tp>
      <tp t="s">
        <v>N</v>
        <stp/>
        <stp>##V3_BDPV12</stp>
        <stp>DE000A19HBM3 CORP</stp>
        <stp>ZERO_CPN</stp>
        <stp>[BondFloaters.xlsx]FLOATERS!R99C8</stp>
        <tr r="H99" s="1"/>
      </tp>
      <tp>
        <v>-0.32266666666666666</v>
        <stp/>
        <stp>##V3_BDPV12</stp>
        <stp>XS1485660895 CORP</stp>
        <stp>YAS_FLOATER_INDEX_TO_NEXT_COUPON</stp>
        <stp>[BondFloaters.xlsx]FLOATERS!R58C24</stp>
        <tr r="X58" s="1"/>
      </tp>
      <tp>
        <v>-0.311</v>
        <stp/>
        <stp>##V3_BDPV12</stp>
        <stp>XS1830992563 CORP</stp>
        <stp>YAS_FLOATER_ASSUMED_RATE</stp>
        <stp>[BondFloaters.xlsx]FLOATERS!R109C23</stp>
        <tr r="W109" s="1"/>
      </tp>
      <tp>
        <v>-0.311</v>
        <stp/>
        <stp>##V3_BDPV12</stp>
        <stp>XS1767930826 CORP</stp>
        <stp>YAS_FLOATER_ASSUMED_RATE</stp>
        <stp>[BondFloaters.xlsx]FLOATERS!R110C23</stp>
        <tr r="W110" s="1"/>
      </tp>
      <tp t="s">
        <v>29/03/2016</v>
        <stp/>
        <stp>##V3_BDPV12</stp>
        <stp>BE6285450449 CORP</stp>
        <stp>ISSUE_DT</stp>
        <stp>[BondFloaters.xlsx]FLOATERS!R37C11</stp>
        <tr r="K37" s="1"/>
      </tp>
      <tp t="s">
        <v>01/06/2018</v>
        <stp/>
        <stp>##V3_BDPV12</stp>
        <stp>XS1828028677 CORP</stp>
        <stp>ISSUE_DT</stp>
        <stp>[BondFloaters.xlsx]FLOATERS!R45C11</stp>
        <tr r="K45" s="1"/>
      </tp>
      <tp>
        <v>-0.311</v>
        <stp/>
        <stp>##V3_BDPV12</stp>
        <stp>XS1237187718 CORP</stp>
        <stp>YAS_FLOATER_ASSUMED_RATE</stp>
        <stp>[BondFloaters.xlsx]FLOATERS!R105C23</stp>
        <tr r="W105" s="1"/>
      </tp>
      <tp t="s">
        <v>20/05/2015</v>
        <stp/>
        <stp>##V3_BDPV12</stp>
        <stp>XS1234366448 CORP</stp>
        <stp>ISSUE_DT</stp>
        <stp>[BondFloaters.xlsx]FLOATERS!R52C11</stp>
        <tr r="K52" s="1"/>
      </tp>
      <tp t="s">
        <v>30/06/2017</v>
        <stp/>
        <stp>##V3_BDPV12</stp>
        <stp>FR0013266343 CORP</stp>
        <stp>ISSUE_DT</stp>
        <stp>[BondFloaters.xlsx]FLOATERS!R91C11</stp>
        <tr r="K91" s="1"/>
      </tp>
      <tp t="s">
        <v>07/01/2019</v>
        <stp/>
        <stp>##V3_BDPV12</stp>
        <stp>XS1591430746 CORP</stp>
        <stp>NXT_CPN_DT</stp>
        <stp>[BondFloaters.xlsx]FLOATERS!R64C14</stp>
        <tr r="N64" s="1"/>
      </tp>
      <tp t="s">
        <v>03/01/2019</v>
        <stp/>
        <stp>##V3_BDPV12</stp>
        <stp>XS1382791892 CORP</stp>
        <stp>NXT_CPN_DT</stp>
        <stp>[BondFloaters.xlsx]FLOATERS!R30C14</stp>
        <tr r="N30" s="1"/>
      </tp>
      <tp>
        <v>53</v>
        <stp/>
        <stp>##V3_BDPV12</stp>
        <stp>DE000A169GZ7 CORP</stp>
        <stp>FLT_SPREAD</stp>
        <stp>[BondFloaters.xlsx]FLOATERS!R42C17</stp>
        <tr r="Q42" s="1"/>
      </tp>
      <tp t="s">
        <v>23/01/2019</v>
        <stp/>
        <stp>##V3_BDPV12</stp>
        <stp>XS1089831249 CORP</stp>
        <stp>NXT_CPN_DT</stp>
        <stp>[BondFloaters.xlsx]FLOATERS!R56C14</stp>
        <tr r="N56" s="1"/>
      </tp>
      <tp>
        <v>53</v>
        <stp/>
        <stp>##V3_BDPV12</stp>
        <stp>DE000A169GZ7 CORP</stp>
        <stp>FLT_SPREAD</stp>
        <stp>[BondFloaters.xlsx]FLOATERS!R42C26</stp>
        <tr r="Z42" s="1"/>
      </tp>
      <tp>
        <v>25</v>
        <stp/>
        <stp>##V3_BDPV12</stp>
        <stp>BE6276038419 CORP</stp>
        <stp>FLT_SPREAD</stp>
        <stp>[BondFloaters.xlsx]FLOATERS!R86C17</stp>
        <tr r="Q86" s="1"/>
      </tp>
      <tp>
        <v>25</v>
        <stp/>
        <stp>##V3_BDPV12</stp>
        <stp>BE6276038419 CORP</stp>
        <stp>FLT_SPREAD</stp>
        <stp>[BondFloaters.xlsx]FLOATERS!R86C26</stp>
        <tr r="Z86" s="1"/>
      </tp>
      <tp t="s">
        <v>AQ1998113</v>
        <stp/>
        <stp>##V3_BDPV12</stp>
        <stp>XS1729872652 CORP</stp>
        <stp>ID_CUSIP</stp>
        <stp>[BondFloaters.xlsx]FLOATERS!R80C1</stp>
        <tr r="A80" s="1"/>
      </tp>
      <tp>
        <v>21</v>
        <stp/>
        <stp>##V3_BDPV12</stp>
        <stp>XS1729872652 CORP</stp>
        <stp>CALC_TYP</stp>
        <stp>[BondFloaters.xlsx]FLOATERS!R80C6</stp>
        <tr r="F80" s="1"/>
      </tp>
      <tp t="s">
        <v>N</v>
        <stp/>
        <stp>##V3_BDPV12</stp>
        <stp>DE000A19UNN9 CORP</stp>
        <stp>CALLABLE</stp>
        <stp>[BondFloaters.xlsx]FLOATERS!R125C7</stp>
        <tr r="G125" s="1"/>
      </tp>
      <tp>
        <v>21</v>
        <stp/>
        <stp>##V3_BDPV12</stp>
        <stp>XS1362349869 CORP</stp>
        <stp>CALC_TYP</stp>
        <stp>[BondFloaters.xlsx]FLOATERS!R65C6</stp>
        <tr r="F65" s="1"/>
      </tp>
      <tp t="s">
        <v>JV9576762</v>
        <stp/>
        <stp>##V3_BDPV12</stp>
        <stp>XS1362349869 CORP</stp>
        <stp>ID_CUSIP</stp>
        <stp>[BondFloaters.xlsx]FLOATERS!R65C1</stp>
        <tr r="A65" s="1"/>
      </tp>
      <tp>
        <v>21</v>
        <stp/>
        <stp>##V3_BDPV12</stp>
        <stp>XS1398275112 CORP</stp>
        <stp>CALC_TYP</stp>
        <stp>[BondFloaters.xlsx]FLOATERS!R16C6</stp>
        <tr r="F16" s="1"/>
      </tp>
      <tp t="s">
        <v>JK6826917</v>
        <stp/>
        <stp>##V3_BDPV12</stp>
        <stp>XS1398275112 CORP</stp>
        <stp>ID_CUSIP</stp>
        <stp>[BondFloaters.xlsx]FLOATERS!R16C1</stp>
        <tr r="A16" s="1"/>
      </tp>
      <tp>
        <v>-0.37526086956521737</v>
        <stp/>
        <stp>##V3_BDPV12</stp>
        <stp>XS1382791892 CORP</stp>
        <stp>YAS_FLOATER_INDEX_TO_NEXT_COUPON</stp>
        <stp>[BondFloaters.xlsx]FLOATERS!R30C24</stp>
        <tr r="X30" s="1"/>
      </tp>
      <tp>
        <v>-0.37095652173913041</v>
        <stp/>
        <stp>##V3_BDPV12</stp>
        <stp>XS1306411726 CORP</stp>
        <stp>YAS_FLOATER_INDEX_TO_NEXT_COUPON</stp>
        <stp>[BondFloaters.xlsx]FLOATERS!R115C24</stp>
        <tr r="X115" s="1"/>
      </tp>
      <tp>
        <v>-0.33350000000000002</v>
        <stp/>
        <stp>##V3_BDPV12</stp>
        <stp>XS1568906421 CORP</stp>
        <stp>YAS_FLOATER_INDEX_TO_NEXT_COUPON</stp>
        <stp>[BondFloaters.xlsx]FLOATERS!R123C24</stp>
        <tr r="X123" s="1"/>
      </tp>
      <tp>
        <v>-0.311</v>
        <stp/>
        <stp>##V3_BDPV12</stp>
        <stp>FR0013136330 CORP</stp>
        <stp>YAS_FLOATER_ASSUMED_RATE</stp>
        <stp>[BondFloaters.xlsx]FLOATERS!R103C23</stp>
        <tr r="W103" s="1"/>
      </tp>
      <tp>
        <v>2.3286747826086955</v>
        <stp/>
        <stp>##V3_BDPV12</stp>
        <stp>XS1635905570 CORP</stp>
        <stp>YAS_FLOATER_INDEX_TO_NEXT_COUPON</stp>
        <stp>[BondFloaters.xlsx]FLOATERS!R79C24</stp>
        <tr r="X79" s="1"/>
      </tp>
      <tp>
        <v>-0.32850000000000001</v>
        <stp/>
        <stp>##V3_BDPV12</stp>
        <stp>XS1723613581 CORP</stp>
        <stp>YAS_FLOATER_INDEX_TO_NEXT_COUPON</stp>
        <stp>[BondFloaters.xlsx]FLOATERS!R75C24</stp>
        <tr r="X75" s="1"/>
      </tp>
      <tp>
        <v>-0.31266666666666665</v>
        <stp/>
        <stp>##V3_BDPV12</stp>
        <stp>XS1753030490 CORP</stp>
        <stp>YAS_FLOATER_INDEX_TO_NEXT_COUPON</stp>
        <stp>[BondFloaters.xlsx]FLOATERS!R106C24</stp>
        <tr r="X106" s="1"/>
      </tp>
      <tp t="s">
        <v>20/04/2015</v>
        <stp/>
        <stp>##V3_BDPV12</stp>
        <stp>BE6276038419 CORP</stp>
        <stp>ISSUE_DT</stp>
        <stp>[BondFloaters.xlsx]FLOATERS!R86C11</stp>
        <tr r="K86" s="1"/>
      </tp>
      <tp t="s">
        <v>12/04/2018</v>
        <stp/>
        <stp>##V3_BDPV12</stp>
        <stp>XS1806435324 CORP</stp>
        <stp>ISSUE_DT</stp>
        <stp>[BondFloaters.xlsx]FLOATERS!R34C11</stp>
        <tr r="K34" s="1"/>
      </tp>
      <tp>
        <v>-0.311</v>
        <stp/>
        <stp>##V3_BDPV12</stp>
        <stp>XS1622634126 CORP</stp>
        <stp>YAS_FLOATER_ASSUMED_RATE</stp>
        <stp>[BondFloaters.xlsx]FLOATERS!R121C23</stp>
        <tr r="W121" s="1"/>
      </tp>
      <tp t="s">
        <v>24/01/2017</v>
        <stp/>
        <stp>##V3_BDPV12</stp>
        <stp>XS1554462421 CORP</stp>
        <stp>ISSUE_DT</stp>
        <stp>[BondFloaters.xlsx]FLOATERS!R49C11</stp>
        <tr r="K49" s="1"/>
      </tp>
      <tp t="s">
        <v>05/12/2016</v>
        <stp/>
        <stp>##V3_BDPV12</stp>
        <stp>FR0013221652 CORP</stp>
        <stp>ISSUE_DT</stp>
        <stp>[BondFloaters.xlsx]FLOATERS!R98C11</stp>
        <tr r="K98" s="1"/>
      </tp>
      <tp>
        <v>-0.311</v>
        <stp/>
        <stp>##V3_BDPV12</stp>
        <stp>XS1372838083 CORP</stp>
        <stp>YAS_FLOATER_ASSUMED_RATE</stp>
        <stp>[BondFloaters.xlsx]FLOATERS!R130C23</stp>
        <tr r="W130" s="1"/>
      </tp>
      <tp t="s">
        <v>24/06/2014</v>
        <stp/>
        <stp>##V3_BDPV12</stp>
        <stp>XS1078028864 CORP</stp>
        <stp>ISSUE_DT</stp>
        <stp>[BondFloaters.xlsx]FLOATERS!R41C11</stp>
        <tr r="K41" s="1"/>
      </tp>
      <tp t="s">
        <v>10/05/2017</v>
        <stp/>
        <stp>##V3_BDPV12</stp>
        <stp>XS1609252645 CORP</stp>
        <stp>ISSUE_DT</stp>
        <stp>[BondFloaters.xlsx]FLOATERS!R24C11</stp>
        <tr r="K24" s="1"/>
      </tp>
      <tp t="s">
        <v>19/11/2014</v>
        <stp/>
        <stp>##V3_BDPV12</stp>
        <stp>XS1139316555 CORP</stp>
        <stp>ISSUE_DT</stp>
        <stp>[BondFloaters.xlsx]FLOATERS!R78C11</stp>
        <tr r="K78" s="1"/>
      </tp>
      <tp t="s">
        <v>17/02/2015</v>
        <stp/>
        <stp>##V3_BDPV12</stp>
        <stp>XS1190623907 CORP</stp>
        <stp>ISSUE_DT</stp>
        <stp>[BondFloaters.xlsx]FLOATERS!R59C11</stp>
        <tr r="K59" s="1"/>
      </tp>
      <tp t="s">
        <v>12/03/2018</v>
        <stp/>
        <stp>##V3_BDPV12</stp>
        <stp>FR0013322146 CORP</stp>
        <stp>ISSUE_DT</stp>
        <stp>[BondFloaters.xlsx]FLOATERS!R95C11</stp>
        <tr r="K95" s="1"/>
      </tp>
      <tp>
        <v>15</v>
        <stp/>
        <stp>##V3_BDPV12</stp>
        <stp>DE000A2G8VS7 CORP</stp>
        <stp>FLT_SPREAD</stp>
        <stp>[BondFloaters.xlsx]FLOATERS!R43C17</stp>
        <tr r="Q43" s="1"/>
      </tp>
      <tp>
        <v>15</v>
        <stp/>
        <stp>##V3_BDPV12</stp>
        <stp>DE000A2G8VS7 CORP</stp>
        <stp>FLT_SPREAD</stp>
        <stp>[BondFloaters.xlsx]FLOATERS!R43C26</stp>
        <tr r="Z43" s="1"/>
      </tp>
      <tp t="s">
        <v>22/02/2019</v>
        <stp/>
        <stp>##V3_BDPV12</stp>
        <stp>XS1618349804 CORP</stp>
        <stp>NXT_CPN_DT</stp>
        <stp>[BondFloaters.xlsx]FLOATERS!R60C14</stp>
        <tr r="N60" s="1"/>
      </tp>
      <tp t="s">
        <v>18/03/2019</v>
        <stp/>
        <stp>##V3_BDPV12</stp>
        <stp>XS1381690574 CORP</stp>
        <stp>NXT_CPN_DT</stp>
        <stp>[BondFloaters.xlsx]FLOATERS!R89C14</stp>
        <tr r="N89" s="1"/>
      </tp>
      <tp t="s">
        <v>06/03/2019</v>
        <stp/>
        <stp>##V3_BDPV12</stp>
        <stp>XS1485660895 CORP</stp>
        <stp>NXT_CPN_DT</stp>
        <stp>[BondFloaters.xlsx]FLOATERS!R58C14</stp>
        <tr r="N58" s="1"/>
      </tp>
      <tp t="s">
        <v>AQ3261353</v>
        <stp/>
        <stp>##V3_BDPV12</stp>
        <stp>XS1734547919 CORP</stp>
        <stp>ID_CUSIP</stp>
        <stp>[BondFloaters.xlsx]FLOATERS!R11C1</stp>
        <tr r="A11" s="1"/>
      </tp>
      <tp>
        <v>21</v>
        <stp/>
        <stp>##V3_BDPV12</stp>
        <stp>XS1734547919 CORP</stp>
        <stp>CALC_TYP</stp>
        <stp>[BondFloaters.xlsx]FLOATERS!R11C6</stp>
        <tr r="F11" s="1"/>
      </tp>
      <tp>
        <v>21</v>
        <stp/>
        <stp>##V3_BDPV12</stp>
        <stp>XS1212467911 CORP</stp>
        <stp>CALC_TYP</stp>
        <stp>[BondFloaters.xlsx]FLOATERS!R57C6</stp>
        <tr r="F57" s="1"/>
      </tp>
      <tp t="s">
        <v>EK8294507</v>
        <stp/>
        <stp>##V3_BDPV12</stp>
        <stp>XS1212467911 CORP</stp>
        <stp>ID_CUSIP</stp>
        <stp>[BondFloaters.xlsx]FLOATERS!R57C1</stp>
        <tr r="A57" s="1"/>
      </tp>
      <tp>
        <v>-0.311</v>
        <stp/>
        <stp>##V3_BDPV12</stp>
        <stp>DE000A19UNN9 CORP</stp>
        <stp>YAS_FLOATER_ASSUMED_RATE</stp>
        <stp>[BondFloaters.xlsx]FLOATERS!R125C23</stp>
        <tr r="W125" s="1"/>
      </tp>
      <tp t="s">
        <v>AL4342070</v>
        <stp/>
        <stp>##V3_BDPV12</stp>
        <stp>FR0013221652 CORP</stp>
        <stp>ID_CUSIP</stp>
        <stp>[BondFloaters.xlsx]FLOATERS!R98C1</stp>
        <tr r="A98" s="1"/>
      </tp>
      <tp>
        <v>21</v>
        <stp/>
        <stp>##V3_BDPV12</stp>
        <stp>FR0013221652 CORP</stp>
        <stp>CALC_TYP</stp>
        <stp>[BondFloaters.xlsx]FLOATERS!R98C6</stp>
        <tr r="F98" s="1"/>
      </tp>
      <tp t="s">
        <v>DAIGR F 11/13/19 EMTN</v>
        <stp/>
        <stp>##V3_BDPV12</stp>
        <stp>DE000A19RXA1 CORP</stp>
        <stp>ID_BB_SEC_NUM_DES</stp>
        <stp>[BondFloaters.xlsx]FLOATERS!R62C9</stp>
        <tr r="I62" s="1"/>
      </tp>
      <tp>
        <v>-0.32100000000000001</v>
        <stp/>
        <stp>##V3_BDPV12</stp>
        <stp>XS1574667124 CORP</stp>
        <stp>YAS_FLOATER_INDEX_TO_NEXT_COUPON</stp>
        <stp>[BondFloaters.xlsx]FLOATERS!R104C24</stp>
        <tr r="X104" s="1"/>
      </tp>
      <tp>
        <v>-0.33929999999999999</v>
        <stp/>
        <stp>##V3_BDPV12</stp>
        <stp>XS1717202730 CORP</stp>
        <stp>YAS_FLOATER_INDEX_TO_NEXT_COUPON</stp>
        <stp>[BondFloaters.xlsx]FLOATERS!R128C24</stp>
        <tr r="X128" s="1"/>
      </tp>
      <tp>
        <v>-0.34700000000000003</v>
        <stp/>
        <stp>##V3_BDPV12</stp>
        <stp>XS1715353105 CORP</stp>
        <stp>YAS_FLOATER_INDEX_TO_NEXT_COUPON</stp>
        <stp>[BondFloaters.xlsx]FLOATERS!R120C24</stp>
        <tr r="X120" s="1"/>
      </tp>
      <tp>
        <v>0.71334608695652169</v>
        <stp/>
        <stp>##V3_BDPV12</stp>
        <stp>XS1082839553 CORP</stp>
        <stp>YAS_FLOATER_INDEX_TO_NEXT_COUPON</stp>
        <stp>[BondFloaters.xlsx]FLOATERS!R61C24</stp>
        <tr r="X61" s="1"/>
      </tp>
      <tp>
        <v>-0.311</v>
        <stp/>
        <stp>##V3_BDPV12</stp>
        <stp>FR0013342664 CORP</stp>
        <stp>YAS_FLOATER_ASSUMED_RATE</stp>
        <stp>[BondFloaters.xlsx]FLOATERS!R122C23</stp>
        <tr r="W122" s="1"/>
      </tp>
      <tp>
        <v>-0.32683333333333336</v>
        <stp/>
        <stp>##V3_BDPV12</stp>
        <stp>XS1729872652 CORP</stp>
        <stp>YAS_FLOATER_INDEX_TO_NEXT_COUPON</stp>
        <stp>[BondFloaters.xlsx]FLOATERS!R80C24</stp>
        <tr r="X80" s="1"/>
      </tp>
      <tp>
        <v>-0.311</v>
        <stp/>
        <stp>##V3_BDPV12</stp>
        <stp>FR0013263936 CORP</stp>
        <stp>YAS_FLOATER_ASSUMED_RATE</stp>
        <stp>[BondFloaters.xlsx]FLOATERS!R136C23</stp>
        <tr r="W136" s="1"/>
      </tp>
      <tp>
        <v>-0.311</v>
        <stp/>
        <stp>##V3_BDPV12</stp>
        <stp>XS1346107433 CORP</stp>
        <stp>YAS_FLOATER_ASSUMED_RATE</stp>
        <stp>[BondFloaters.xlsx]FLOATERS!R134C23</stp>
        <tr r="W134" s="1"/>
      </tp>
      <tp t="s">
        <v>26/02/2018</v>
        <stp/>
        <stp>##V3_BDPV12</stp>
        <stp>XS1782508508 CORP</stp>
        <stp>ISSUE_DT</stp>
        <stp>[BondFloaters.xlsx]FLOATERS!R23C11</stp>
        <tr r="K23" s="1"/>
      </tp>
      <tp t="s">
        <v>11/02/2016</v>
        <stp/>
        <stp>##V3_BDPV12</stp>
        <stp>XS1362349869 CORP</stp>
        <stp>ISSUE_DT</stp>
        <stp>[BondFloaters.xlsx]FLOATERS!R65C11</stp>
        <tr r="K65" s="1"/>
      </tp>
      <tp t="s">
        <v>20/02/2014</v>
        <stp/>
        <stp>##V3_BDPV12</stp>
        <stp>XS1033649739 CORP</stp>
        <stp>ISSUE_DT</stp>
        <stp>[BondFloaters.xlsx]FLOATERS!R44C11</stp>
        <tr r="K44" s="1"/>
      </tp>
      <tp t="s">
        <v>24/05/2017</v>
        <stp/>
        <stp>##V3_BDPV12</stp>
        <stp>XS1619284372 CORP</stp>
        <stp>ISSUE_DT</stp>
        <stp>[BondFloaters.xlsx]FLOATERS!R68C11</stp>
        <tr r="K68" s="1"/>
      </tp>
      <tp t="s">
        <v>28/11/2017</v>
        <stp/>
        <stp>##V3_BDPV12</stp>
        <stp>XS1725668633 CORP</stp>
        <stp>ISSUE_DT</stp>
        <stp>[BondFloaters.xlsx]FLOATERS!R17C11</stp>
        <tr r="K17" s="1"/>
      </tp>
      <tp t="s">
        <v>06/03/2017</v>
        <stp/>
        <stp>##V3_BDPV12</stp>
        <stp>XS1574156540 CORP</stp>
        <stp>ISSUE_DT</stp>
        <stp>[BondFloaters.xlsx]FLOATERS!R90C11</stp>
        <tr r="K90" s="1"/>
      </tp>
      <tp t="s">
        <v>14/01/2015</v>
        <stp/>
        <stp>##V3_BDPV12</stp>
        <stp>FR0012432904 CORP</stp>
        <stp>ISSUE_DT</stp>
        <stp>[BondFloaters.xlsx]FLOATERS!R48C11</stp>
        <tr r="K48" s="1"/>
      </tp>
      <tp t="s">
        <v>17/09/2015</v>
        <stp/>
        <stp>##V3_BDPV12</stp>
        <stp>XS1292513105 CORP</stp>
        <stp>ISSUE_DT</stp>
        <stp>[BondFloaters.xlsx]FLOATERS!R69C11</stp>
        <tr r="K69" s="1"/>
      </tp>
      <tp t="s">
        <v>30/06/2017</v>
        <stp/>
        <stp>##V3_BDPV12</stp>
        <stp>XS1637162246 CORP</stp>
        <stp>ISSUE_DT</stp>
        <stp>[BondFloaters.xlsx]FLOATERS!R32C11</stp>
        <tr r="K32" s="1"/>
      </tp>
      <tp t="s">
        <v>01/04/2015</v>
        <stp/>
        <stp>##V3_BDPV12</stp>
        <stp>XS1212467911 CORP</stp>
        <stp>ISSUE_DT</stp>
        <stp>[BondFloaters.xlsx]FLOATERS!R57C11</stp>
        <tr r="K57" s="1"/>
      </tp>
      <tp t="s">
        <v>10/09/2014</v>
        <stp/>
        <stp>##V3_BDPV12</stp>
        <stp>FR0012146751 CORP</stp>
        <stp>ISSUE_DT</stp>
        <stp>[BondFloaters.xlsx]FLOATERS!R67C11</stp>
        <tr r="K67" s="1"/>
      </tp>
      <tp>
        <v>100.233</v>
        <stp/>
        <stp>##V3_BDPV12</stp>
        <stp>XS1781813511 CORP</stp>
        <stp>YAS_BOND_PX</stp>
        <stp>[BondFloaters.xlsx]FLOATERS!R8C28</stp>
        <tr r="AB8" s="1"/>
      </tp>
      <tp t="s">
        <v>#N/A Field Not Applicable</v>
        <stp/>
        <stp>##V3_BDPV12</stp>
        <stp>XS1522989869 CORP</stp>
        <stp>NXT_CPN_DT</stp>
        <stp>[BondFloaters.xlsx]FLOATERS!R33C14</stp>
        <tr r="N33" s="1"/>
      </tp>
      <tp t="s">
        <v>11/03/2019</v>
        <stp/>
        <stp>##V3_BDPV12</stp>
        <stp>XS1197832832 CORP</stp>
        <stp>NXT_CPN_DT</stp>
        <stp>[BondFloaters.xlsx]FLOATERS!R39C14</stp>
        <tr r="N39" s="1"/>
      </tp>
      <tp t="s">
        <v>EK3874691</v>
        <stp/>
        <stp>##V3_BDPV12</stp>
        <stp>XS1089831249 CORP</stp>
        <stp>ID_CUSIP</stp>
        <stp>[BondFloaters.xlsx]FLOATERS!R56C1</stp>
        <tr r="A56" s="1"/>
      </tp>
      <tp>
        <v>21</v>
        <stp/>
        <stp>##V3_BDPV12</stp>
        <stp>XS1089831249 CORP</stp>
        <stp>CALC_TYP</stp>
        <stp>[BondFloaters.xlsx]FLOATERS!R56C6</stp>
        <tr r="F56" s="1"/>
      </tp>
      <tp t="s">
        <v>AS5803299</v>
        <stp/>
        <stp>##V3_BDPV12</stp>
        <stp>XS1821814800 CORP</stp>
        <stp>ID_CUSIP</stp>
        <stp>[BondFloaters.xlsx]FLOATERS!R84C1</stp>
        <tr r="A84" s="1"/>
      </tp>
      <tp>
        <v>21</v>
        <stp/>
        <stp>##V3_BDPV12</stp>
        <stp>XS1821814800 CORP</stp>
        <stp>CALC_TYP</stp>
        <stp>[BondFloaters.xlsx]FLOATERS!R84C6</stp>
        <tr r="F84" s="1"/>
      </tp>
      <tp t="s">
        <v>AN1033835</v>
        <stp/>
        <stp>##V3_BDPV12</stp>
        <stp>FR0013250685 CORP</stp>
        <stp>ID_CUSIP</stp>
        <stp>[BondFloaters.xlsx]FLOATERS!R29C1</stp>
        <tr r="A29" s="1"/>
      </tp>
      <tp>
        <v>21</v>
        <stp/>
        <stp>##V3_BDPV12</stp>
        <stp>FR0013250685 CORP</stp>
        <stp>CALC_TYP</stp>
        <stp>[BondFloaters.xlsx]FLOATERS!R29C6</stp>
        <tr r="F29" s="1"/>
      </tp>
      <tp>
        <v>21</v>
        <stp/>
        <stp>##V3_BDPV12</stp>
        <stp>XS1381690574 CORP</stp>
        <stp>CALC_TYP</stp>
        <stp>[BondFloaters.xlsx]FLOATERS!R89C6</stp>
        <tr r="F89" s="1"/>
      </tp>
      <tp t="s">
        <v>JK4260176</v>
        <stp/>
        <stp>##V3_BDPV12</stp>
        <stp>XS1381690574 CORP</stp>
        <stp>ID_CUSIP</stp>
        <stp>[BondFloaters.xlsx]FLOATERS!R89C1</stp>
        <tr r="A89" s="1"/>
      </tp>
      <tp>
        <v>-0.311</v>
        <stp/>
        <stp>##V3_BDPV12</stp>
        <stp>BE6301509012 CORP</stp>
        <stp>YAS_FLOATER_ASSUMED_RATE</stp>
        <stp>[BondFloaters.xlsx]FLOATERS!R124C23</stp>
        <tr r="W124" s="1"/>
      </tp>
      <tp>
        <v>-0.378</v>
        <stp/>
        <stp>##V3_BDPV12</stp>
        <stp>XS1249494086 CORP</stp>
        <stp>YAS_FLOATER_INDEX_TO_NEXT_COUPON</stp>
        <stp>[BondFloaters.xlsx]FLOATERS!R50C24</stp>
        <tr r="X50" s="1"/>
      </tp>
      <tp>
        <v>-0.31183333333333335</v>
        <stp/>
        <stp>##V3_BDPV12</stp>
        <stp>XS1787517199 CORP</stp>
        <stp>YAS_FLOATER_INDEX_TO_NEXT_COUPON</stp>
        <stp>[BondFloaters.xlsx]FLOATERS!R81C24</stp>
        <tr r="X81" s="1"/>
      </tp>
      <tp>
        <v>-0.36459999999999998</v>
        <stp/>
        <stp>##V3_BDPV12</stp>
        <stp>XS1089831249 CORP</stp>
        <stp>YAS_FLOATER_INDEX_TO_NEXT_COUPON</stp>
        <stp>[BondFloaters.xlsx]FLOATERS!R56C24</stp>
        <tr r="X56" s="1"/>
      </tp>
      <tp>
        <v>-0.378</v>
        <stp/>
        <stp>##V3_BDPV12</stp>
        <stp>XS1792505197 CORP</stp>
        <stp>YAS_FLOATER_INDEX_TO_NEXT_COUPON</stp>
        <stp>[BondFloaters.xlsx]FLOATERS!R96C24</stp>
        <tr r="X96" s="1"/>
      </tp>
      <tp>
        <v>-0.33929999999999999</v>
        <stp/>
        <stp>##V3_BDPV12</stp>
        <stp>XS1718416586 CORP</stp>
        <stp>YAS_FLOATER_INDEX_TO_NEXT_COUPON</stp>
        <stp>[BondFloaters.xlsx]FLOATERS!R54C24</stp>
        <tr r="X54" s="1"/>
      </tp>
      <tp>
        <v>-0.37369565217391304</v>
        <stp/>
        <stp>##V3_BDPV12</stp>
        <stp>XS1642545690 CORP</stp>
        <stp>YAS_FLOATER_INDEX_TO_NEXT_COUPON</stp>
        <stp>[BondFloaters.xlsx]FLOATERS!R76C24</stp>
        <tr r="X76" s="1"/>
      </tp>
      <tp>
        <v>-0.33600000000000002</v>
        <stp/>
        <stp>##V3_BDPV12</stp>
        <stp>XS1717567587 CORP</stp>
        <stp>YAS_FLOATER_INDEX_TO_NEXT_COUPON</stp>
        <stp>[BondFloaters.xlsx]FLOATERS!R112C24</stp>
        <tr r="X112" s="1"/>
      </tp>
      <tp>
        <v>-0.31516666666666665</v>
        <stp/>
        <stp>##V3_BDPV12</stp>
        <stp>XS1292468987 CORP</stp>
        <stp>YAS_FLOATER_INDEX_TO_NEXT_COUPON</stp>
        <stp>[BondFloaters.xlsx]FLOATERS!R18C24</stp>
        <tr r="X18" s="1"/>
      </tp>
      <tp t="s">
        <v>15/12/2017</v>
        <stp/>
        <stp>##V3_BDPV12</stp>
        <stp>XS1734547919 CORP</stp>
        <stp>ISSUE_DT</stp>
        <stp>[BondFloaters.xlsx]FLOATERS!R11C11</stp>
        <tr r="K11" s="1"/>
      </tp>
      <tp t="s">
        <v>08/03/2017</v>
        <stp/>
        <stp>##V3_BDPV12</stp>
        <stp>FR0013241379 CORP</stp>
        <stp>ISSUE_DT</stp>
        <stp>[BondFloaters.xlsx]FLOATERS!R38C11</stp>
        <tr r="K38" s="1"/>
      </tp>
      <tp t="s">
        <v>12/09/2014</v>
        <stp/>
        <stp>##V3_BDPV12</stp>
        <stp>XS1108681625 CORP</stp>
        <stp>ISSUE_DT</stp>
        <stp>[BondFloaters.xlsx]FLOATERS!R40C11</stp>
        <tr r="K40" s="1"/>
      </tp>
      <tp>
        <v>-0.311</v>
        <stp/>
        <stp>##V3_BDPV12</stp>
        <stp>XS1288342147 CORP</stp>
        <stp>YAS_FLOATER_ASSUMED_RATE</stp>
        <stp>[BondFloaters.xlsx]FLOATERS!R108C23</stp>
        <tr r="W108" s="1"/>
      </tp>
      <tp t="s">
        <v>AP8384806</v>
        <stp/>
        <stp>##V3_BDPV12</stp>
        <stp>DE000A19RXA1 CORP</stp>
        <stp>ID_CUSIP</stp>
        <stp>[BondFloaters.xlsx]FLOATERS!R62C1</stp>
        <tr r="A62" s="1"/>
      </tp>
      <tp>
        <v>21</v>
        <stp/>
        <stp>##V3_BDPV12</stp>
        <stp>DE000A19RXA1 CORP</stp>
        <stp>CALC_TYP</stp>
        <stp>[BondFloaters.xlsx]FLOATERS!R62C6</stp>
        <tr r="F62" s="1"/>
      </tp>
      <tp t="s">
        <v>24/10/2017</v>
        <stp/>
        <stp>##V3_BDPV12</stp>
        <stp>XS1705553417 CORP</stp>
        <stp>ISSUE_DT</stp>
        <stp>[BondFloaters.xlsx]FLOATERS!R85C11</stp>
        <tr r="K85" s="1"/>
      </tp>
      <tp t="s">
        <v>30/03/2017</v>
        <stp/>
        <stp>##V3_BDPV12</stp>
        <stp>XS1586555515 CORP</stp>
        <stp>ISSUE_DT</stp>
        <stp>[BondFloaters.xlsx]FLOATERS!R53C11</stp>
        <tr r="K53" s="1"/>
      </tp>
      <tp>
        <v>30</v>
        <stp/>
        <stp>##V3_BDPV12</stp>
        <stp>FR0012969012 CORP</stp>
        <stp>FLT_SPREAD</stp>
        <stp>[BondFloaters.xlsx]FLOATERS!R22C26</stp>
        <tr r="Z22" s="1"/>
      </tp>
      <tp>
        <v>30</v>
        <stp/>
        <stp>##V3_BDPV12</stp>
        <stp>FR0012969012 CORP</stp>
        <stp>FLT_SPREAD</stp>
        <stp>[BondFloaters.xlsx]FLOATERS!R22C17</stp>
        <tr r="Q22" s="1"/>
      </tp>
      <tp>
        <v>43</v>
        <stp/>
        <stp>##V3_BDPV12</stp>
        <stp>FR0013309606 CORP</stp>
        <stp>FLT_SPREAD</stp>
        <stp>[BondFloaters.xlsx]FLOATERS!R25C17</stp>
        <tr r="Q25" s="1"/>
      </tp>
      <tp>
        <v>43</v>
        <stp/>
        <stp>##V3_BDPV12</stp>
        <stp>FR0013309606 CORP</stp>
        <stp>FLT_SPREAD</stp>
        <stp>[BondFloaters.xlsx]FLOATERS!R25C26</stp>
        <tr r="Z25" s="1"/>
      </tp>
      <tp t="s">
        <v>18/03/2019</v>
        <stp/>
        <stp>##V3_BDPV12</stp>
        <stp>XS1292513105 CORP</stp>
        <stp>NXT_CPN_DT</stp>
        <stp>[BondFloaters.xlsx]FLOATERS!R69C14</stp>
        <tr r="N69" s="1"/>
      </tp>
      <tp t="s">
        <v>28/02/2019</v>
        <stp/>
        <stp>##V3_BDPV12</stp>
        <stp>XS1725668633 CORP</stp>
        <stp>NXT_CPN_DT</stp>
        <stp>[BondFloaters.xlsx]FLOATERS!R17C14</stp>
        <tr r="N17" s="1"/>
      </tp>
      <tp t="s">
        <v>20/02/2019</v>
        <stp/>
        <stp>##V3_BDPV12</stp>
        <stp>XS1033649739 CORP</stp>
        <stp>NXT_CPN_DT</stp>
        <stp>[BondFloaters.xlsx]FLOATERS!R44C14</stp>
        <tr r="N44" s="1"/>
      </tp>
      <tp t="s">
        <v>18/02/2019</v>
        <stp/>
        <stp>##V3_BDPV12</stp>
        <stp>XS1190623907 CORP</stp>
        <stp>NXT_CPN_DT</stp>
        <stp>[BondFloaters.xlsx]FLOATERS!R59C14</stp>
        <tr r="N59" s="1"/>
      </tp>
      <tp t="s">
        <v>01/03/2019</v>
        <stp/>
        <stp>##V3_BDPV12</stp>
        <stp>XS1828028677 CORP</stp>
        <stp>NXT_CPN_DT</stp>
        <stp>[BondFloaters.xlsx]FLOATERS!R45C14</stp>
        <tr r="N45" s="1"/>
      </tp>
      <tp t="s">
        <v>JK4459638</v>
        <stp/>
        <stp>##V3_BDPV12</stp>
        <stp>XS1382791892 CORP</stp>
        <stp>ID_CUSIP</stp>
        <stp>[BondFloaters.xlsx]FLOATERS!R30C1</stp>
        <tr r="A30" s="1"/>
      </tp>
      <tp>
        <v>21</v>
        <stp/>
        <stp>##V3_BDPV12</stp>
        <stp>XS1382791892 CORP</stp>
        <stp>CALC_TYP</stp>
        <stp>[BondFloaters.xlsx]FLOATERS!R30C6</stp>
        <tr r="F30" s="1"/>
      </tp>
      <tp>
        <v>21</v>
        <stp/>
        <stp>##V3_BDPV12</stp>
        <stp>XS1292513105 CORP</stp>
        <stp>CALC_TYP</stp>
        <stp>[BondFloaters.xlsx]FLOATERS!R69C6</stp>
        <tr r="F69" s="1"/>
      </tp>
      <tp t="s">
        <v>UV8435488</v>
        <stp/>
        <stp>##V3_BDPV12</stp>
        <stp>XS1292513105 CORP</stp>
        <stp>ID_CUSIP</stp>
        <stp>[BondFloaters.xlsx]FLOATERS!R69C1</stp>
        <tr r="A69" s="1"/>
      </tp>
      <tp t="s">
        <v>N</v>
        <stp/>
        <stp>##V3_BDPV12</stp>
        <stp>BE6285450449 CORP</stp>
        <stp>CALLABLE</stp>
        <stp>[BondFloaters.xlsx]FLOATERS!R37C7</stp>
        <tr r="G37" s="1"/>
      </tp>
      <tp>
        <v>-0.35139999999999999</v>
        <stp/>
        <stp>##V3_BDPV12</stp>
        <stp>FR0013292687 CORP</stp>
        <stp>YAS_FLOATER_INDEX_TO_NEXT_COUPON</stp>
        <stp>[BondFloaters.xlsx]FLOATERS!R36C24</stp>
        <tr r="X36" s="1"/>
      </tp>
      <tp>
        <v>-0.31850000000000001</v>
        <stp/>
        <stp>##V3_BDPV12</stp>
        <stp>XS1288342147 CORP</stp>
        <stp>YAS_FLOATER_INDEX_TO_NEXT_COUPON</stp>
        <stp>[BondFloaters.xlsx]FLOATERS!R108C24</stp>
        <tr r="X108" s="1"/>
      </tp>
      <tp>
        <v>-0.32683333333333336</v>
        <stp/>
        <stp>##V3_BDPV12</stp>
        <stp>XS1729872736 CORP</stp>
        <stp>YAS_FLOATER_INDEX_TO_NEXT_COUPON</stp>
        <stp>[BondFloaters.xlsx]FLOATERS!R88C24</stp>
        <tr r="X88" s="1"/>
      </tp>
      <tp>
        <v>-0.31850000000000001</v>
        <stp/>
        <stp>##V3_BDPV12</stp>
        <stp>XS1197832832 CORP</stp>
        <stp>YAS_FLOATER_INDEX_TO_NEXT_COUPON</stp>
        <stp>[BondFloaters.xlsx]FLOATERS!R39C24</stp>
        <tr r="X39" s="1"/>
      </tp>
      <tp>
        <v>-0.37173913043478263</v>
        <stp/>
        <stp>##V3_BDPV12</stp>
        <stp>FR0013250685 CORP</stp>
        <stp>YAS_FLOATER_INDEX_TO_NEXT_COUPON</stp>
        <stp>[BondFloaters.xlsx]FLOATERS!R29C24</stp>
        <tr r="X29" s="1"/>
      </tp>
      <tp>
        <v>-0.316</v>
        <stp/>
        <stp>##V3_BDPV12</stp>
        <stp>FR0013260486 CORP</stp>
        <stp>YAS_FLOATER_INDEX_TO_NEXT_COUPON</stp>
        <stp>[BondFloaters.xlsx]FLOATERS!R63C24</stp>
        <tr r="X63" s="1"/>
      </tp>
      <tp>
        <v>-0.37760869565217392</v>
        <stp/>
        <stp>##V3_BDPV12</stp>
        <stp>FR0013264884 CORP</stp>
        <stp>YAS_FLOATER_INDEX_TO_NEXT_COUPON</stp>
        <stp>[BondFloaters.xlsx]FLOATERS!R93C24</stp>
        <tr r="X93" s="1"/>
      </tp>
      <tp t="s">
        <v>20/03/2018</v>
        <stp/>
        <stp>##V3_BDPV12</stp>
        <stp>XS1794195724 CORP</stp>
        <stp>ISSUE_DT</stp>
        <stp>[BondFloaters.xlsx]FLOATERS!R12C11</stp>
        <tr r="K12" s="1"/>
      </tp>
      <tp>
        <v>-0.311</v>
        <stp/>
        <stp>##V3_BDPV12</stp>
        <stp>XS1717567587 CORP</stp>
        <stp>YAS_FLOATER_ASSUMED_RATE</stp>
        <stp>[BondFloaters.xlsx]FLOATERS!R112C23</stp>
        <tr r="W112" s="1"/>
      </tp>
      <tp t="s">
        <v>N</v>
        <stp/>
        <stp>##V3_BDPV12</stp>
        <stp>DE000A2GSCY9 CORP</stp>
        <stp>CALLABLE</stp>
        <stp>[BondFloaters.xlsx]FLOATERS!R14C7</stp>
        <tr r="G14" s="1"/>
      </tp>
      <tp>
        <v>-0.37056521739130432</v>
        <stp/>
        <stp>##V3_BDPV12</stp>
        <stp>BE6301509012 CORP</stp>
        <stp>YAS_FLOATER_INDEX_TO_NEXT_COUPON</stp>
        <stp>[BondFloaters.xlsx]FLOATERS!R124C24</stp>
        <tr r="X124" s="1"/>
      </tp>
      <tp t="s">
        <v>22/05/2017</v>
        <stp/>
        <stp>##V3_BDPV12</stp>
        <stp>XS1618349804 CORP</stp>
        <stp>ISSUE_DT</stp>
        <stp>[BondFloaters.xlsx]FLOATERS!R60C11</stp>
        <tr r="K60" s="1"/>
      </tp>
      <tp t="s">
        <v>21/04/2016</v>
        <stp/>
        <stp>##V3_BDPV12</stp>
        <stp>XS1398275112 CORP</stp>
        <stp>ISSUE_DT</stp>
        <stp>[BondFloaters.xlsx]FLOATERS!R16C11</stp>
        <tr r="K16" s="1"/>
      </tp>
      <tp t="s">
        <v>16/01/2018</v>
        <stp/>
        <stp>##V3_BDPV12</stp>
        <stp>XS1750116920 CORP</stp>
        <stp>ISSUE_DT</stp>
        <stp>[BondFloaters.xlsx]FLOATERS!R31C11</stp>
        <tr r="K31" s="1"/>
      </tp>
      <tp t="s">
        <v>20/11/2015</v>
        <stp/>
        <stp>##V3_BDPV12</stp>
        <stp>FR0013054020 CORP</stp>
        <stp>ISSUE_DT</stp>
        <stp>[BondFloaters.xlsx]FLOATERS!R26C11</stp>
        <tr r="K26" s="1"/>
      </tp>
      <tp t="s">
        <v>21/03/2018</v>
        <stp/>
        <stp>##V3_BDPV12</stp>
        <stp>FR0013324316 CORP</stp>
        <stp>ISSUE_DT</stp>
        <stp>[BondFloaters.xlsx]FLOATERS!R28C11</stp>
        <tr r="K28" s="1"/>
      </tp>
      <tp>
        <v>100.123</v>
        <stp/>
        <stp>##V3_BDPV12</stp>
        <stp>XS1046499981 CORP</stp>
        <stp>YAS_BOND_PX</stp>
        <stp>[BondFloaters.xlsx]FLOATERS!R9C28</stp>
        <tr r="AB9" s="1"/>
      </tp>
      <tp t="s">
        <v>31/12/2018</v>
        <stp/>
        <stp>##V3_BDPV12</stp>
        <stp>XS1586555515 CORP</stp>
        <stp>NXT_CPN_DT</stp>
        <stp>[BondFloaters.xlsx]FLOATERS!R53C14</stp>
        <tr r="N53" s="1"/>
      </tp>
      <tp>
        <v>21</v>
        <stp/>
        <stp>##V3_BDPV12</stp>
        <stp>XS1609252645 CORP</stp>
        <stp>CALC_TYP</stp>
        <stp>[BondFloaters.xlsx]FLOATERS!R24C6</stp>
        <tr r="F24" s="1"/>
      </tp>
      <tp t="s">
        <v>AN4430921</v>
        <stp/>
        <stp>##V3_BDPV12</stp>
        <stp>XS1609252645 CORP</stp>
        <stp>ID_CUSIP</stp>
        <stp>[BondFloaters.xlsx]FLOATERS!R24C1</stp>
        <tr r="A24" s="1"/>
      </tp>
      <tp>
        <v>21</v>
        <stp/>
        <stp>##V3_BDPV12</stp>
        <stp>XS1828028677 CORP</stp>
        <stp>CALC_TYP</stp>
        <stp>[BondFloaters.xlsx]FLOATERS!R45C6</stp>
        <tr r="F45" s="1"/>
      </tp>
      <tp t="s">
        <v>AS7502170</v>
        <stp/>
        <stp>##V3_BDPV12</stp>
        <stp>XS1828028677 CORP</stp>
        <stp>ID_CUSIP</stp>
        <stp>[BondFloaters.xlsx]FLOATERS!R45C1</stp>
        <tr r="A45" s="1"/>
      </tp>
      <tp>
        <v>-0.37213043478260871</v>
        <stp/>
        <stp>##V3_BDPV12</stp>
        <stp>DE000A19UNN9 CORP</stp>
        <stp>YAS_FLOATER_INDEX_TO_NEXT_COUPON</stp>
        <stp>[BondFloaters.xlsx]FLOATERS!R125C24</stp>
        <tr r="X125" s="1"/>
      </tp>
      <tp t="s">
        <v>N</v>
        <stp/>
        <stp>##V3_BDPV12</stp>
        <stp>DE000A13SL18 CORP</stp>
        <stp>ZERO_CPN</stp>
        <stp>[BondFloaters.xlsx]FLOATERS!R92C8</stp>
        <tr r="H92" s="1"/>
      </tp>
      <tp t="s">
        <v>ANNGR F 09/13/18 EMTN</v>
        <stp/>
        <stp>##V3_BDPV12</stp>
        <stp>DE000A185WC9 CORP</stp>
        <stp>ID_BB_SEC_NUM_DES</stp>
        <stp>[BondFloaters.xlsx]FLOATERS!R47C9</stp>
        <tr r="I47" s="1"/>
      </tp>
      <tp t="s">
        <v>SAPGR F 04/01/20 eMTN</v>
        <stp/>
        <stp>##V3_BDPV12</stp>
        <stp>DE000A14KJE8 CORP</stp>
        <stp>ID_BB_SEC_NUM_DES</stp>
        <stp>[BondFloaters.xlsx]FLOATERS!R51C9</stp>
        <tr r="I51" s="1"/>
      </tp>
      <tp t="s">
        <v>DAIGR F 05/11/22 EMTN</v>
        <stp/>
        <stp>##V3_BDPV12</stp>
        <stp>DE000A19HBM3 CORP</stp>
        <stp>ID_BB_SEC_NUM_DES</stp>
        <stp>[BondFloaters.xlsx]FLOATERS!R99C9</stp>
        <tr r="I99" s="1"/>
      </tp>
      <tp t="s">
        <v>#N/A N/A</v>
        <stp/>
        <stp>##V3_BDPV12</stp>
        <stp>FR0013257599 CORP</stp>
        <stp>YAS_FLOATER_INDEX_TO_NEXT_COUPON</stp>
        <stp>[BondFloaters.xlsx]FLOATERS!R20C24</stp>
        <tr r="X20" s="1"/>
      </tp>
      <tp>
        <v>-0.31850000000000001</v>
        <stp/>
        <stp>##V3_BDPV12</stp>
        <stp>XS1107266782 CORP</stp>
        <stp>YAS_FLOATER_INDEX_TO_NEXT_COUPON</stp>
        <stp>[BondFloaters.xlsx]FLOATERS!R74C24</stp>
        <tr r="X74" s="1"/>
      </tp>
      <tp>
        <v>-0.37056521739130432</v>
        <stp/>
        <stp>##V3_BDPV12</stp>
        <stp>XS1346107433 CORP</stp>
        <stp>YAS_FLOATER_INDEX_TO_NEXT_COUPON</stp>
        <stp>[BondFloaters.xlsx]FLOATERS!R134C24</stp>
        <tr r="X134" s="1"/>
      </tp>
      <tp>
        <v>-0.311</v>
        <stp/>
        <stp>##V3_BDPV12</stp>
        <stp>XS1717202730 CORP</stp>
        <stp>YAS_FLOATER_ASSUMED_RATE</stp>
        <stp>[BondFloaters.xlsx]FLOATERS!R128C23</stp>
        <tr r="W128" s="1"/>
      </tp>
      <tp>
        <v>-0.311</v>
        <stp/>
        <stp>##V3_BDPV12</stp>
        <stp>XS1715353105 CORP</stp>
        <stp>YAS_FLOATER_ASSUMED_RATE</stp>
        <stp>[BondFloaters.xlsx]FLOATERS!R120C23</stp>
        <tr r="W120" s="1"/>
      </tp>
      <tp>
        <v>-0.311</v>
        <stp/>
        <stp>##V3_BDPV12</stp>
        <stp>XS1574667124 CORP</stp>
        <stp>YAS_FLOATER_ASSUMED_RATE</stp>
        <stp>[BondFloaters.xlsx]FLOATERS!R104C23</stp>
        <tr r="W104" s="1"/>
      </tp>
      <tp>
        <v>-0.31516666666666665</v>
        <stp/>
        <stp>##V3_BDPV12</stp>
        <stp>FR0013342664 CORP</stp>
        <stp>YAS_FLOATER_INDEX_TO_NEXT_COUPON</stp>
        <stp>[BondFloaters.xlsx]FLOATERS!R122C24</stp>
        <tr r="X122" s="1"/>
      </tp>
      <tp t="s">
        <v>18/05/2018</v>
        <stp/>
        <stp>##V3_BDPV12</stp>
        <stp>XS1823165631 CORP</stp>
        <stp>ISSUE_DT</stp>
        <stp>[BondFloaters.xlsx]FLOATERS!R70C11</stp>
        <tr r="K70" s="1"/>
      </tp>
      <tp>
        <v>-0.37760869565217392</v>
        <stp/>
        <stp>##V3_BDPV12</stp>
        <stp>FR0013263936 CORP</stp>
        <stp>YAS_FLOATER_INDEX_TO_NEXT_COUPON</stp>
        <stp>[BondFloaters.xlsx]FLOATERS!R136C24</stp>
        <tr r="X136" s="1"/>
      </tp>
      <tp t="s">
        <v>06/09/2017</v>
        <stp/>
        <stp>##V3_BDPV12</stp>
        <stp>XS1671754650 CORP</stp>
        <stp>ISSUE_DT</stp>
        <stp>[BondFloaters.xlsx]FLOATERS!R19C11</stp>
        <tr r="K19" s="1"/>
      </tp>
      <tp t="s">
        <v>23/01/2018</v>
        <stp/>
        <stp>##V3_BDPV12</stp>
        <stp>XS1756669740 CORP</stp>
        <stp>ISSUE_DT</stp>
        <stp>[BondFloaters.xlsx]FLOATERS!R72C11</stp>
        <tr r="K72" s="1"/>
      </tp>
      <tp t="s">
        <v>24/07/2017</v>
        <stp/>
        <stp>##V3_BDPV12</stp>
        <stp>XS1651071521 CORP</stp>
        <stp>ISSUE_DT</stp>
        <stp>[BondFloaters.xlsx]FLOATERS!R46C11</stp>
        <tr r="K46" s="1"/>
      </tp>
      <tp t="s">
        <v>12/01/2018</v>
        <stp/>
        <stp>##V3_BDPV12</stp>
        <stp>FR0013309606 CORP</stp>
        <stp>ISSUE_DT</stp>
        <stp>[BondFloaters.xlsx]FLOATERS!R25C11</stp>
        <tr r="K25" s="1"/>
      </tp>
      <tp t="s">
        <v>19/04/2018</v>
        <stp/>
        <stp>##V3_BDPV12</stp>
        <stp>XS1808497264 CORP</stp>
        <stp>ISSUE_DT</stp>
        <stp>[BondFloaters.xlsx]FLOATERS!R13C11</stp>
        <tr r="K13" s="1"/>
      </tp>
      <tp t="s">
        <v>16/08/2017</v>
        <stp/>
        <stp>##V3_BDPV12</stp>
        <stp>XS1664643746 CORP</stp>
        <stp>ISSUE_DT</stp>
        <stp>[BondFloaters.xlsx]FLOATERS!R73C11</stp>
        <tr r="K73" s="1"/>
      </tp>
      <tp t="s">
        <v>19/04/2018</v>
        <stp/>
        <stp>##V3_BDPV12</stp>
        <stp>FR0013330107 CORP</stp>
        <stp>ISSUE_DT</stp>
        <stp>[BondFloaters.xlsx]FLOATERS!R87C11</stp>
        <tr r="K87" s="1"/>
      </tp>
      <tp t="s">
        <v>20/03/2019</v>
        <stp/>
        <stp>##V3_BDPV12</stp>
        <stp>XS1794195724 CORP</stp>
        <stp>NXT_CPN_DT</stp>
        <stp>[BondFloaters.xlsx]FLOATERS!R12C14</stp>
        <tr r="N12" s="1"/>
      </tp>
      <tp t="s">
        <v>26/12/2018</v>
        <stp/>
        <stp>##V3_BDPV12</stp>
        <stp>XS1792505197 CORP</stp>
        <stp>NXT_CPN_DT</stp>
        <stp>[BondFloaters.xlsx]FLOATERS!R96C14</stp>
        <tr r="N96" s="1"/>
      </tp>
      <tp t="s">
        <v>23/01/2019</v>
        <stp/>
        <stp>##V3_BDPV12</stp>
        <stp>XS1756669740 CORP</stp>
        <stp>NXT_CPN_DT</stp>
        <stp>[BondFloaters.xlsx]FLOATERS!R72C14</stp>
        <tr r="N72" s="1"/>
      </tp>
      <tp t="s">
        <v>22/01/2019</v>
        <stp/>
        <stp>##V3_BDPV12</stp>
        <stp>XS1398275112 CORP</stp>
        <stp>NXT_CPN_DT</stp>
        <stp>[BondFloaters.xlsx]FLOATERS!R16C14</stp>
        <tr r="N16" s="1"/>
      </tp>
      <tp t="s">
        <v>N</v>
        <stp/>
        <stp>##V3_BDPV12</stp>
        <stp>DE000A19UNN9 CORP</stp>
        <stp>ZERO_CPN</stp>
        <stp>[BondFloaters.xlsx]FLOATERS!R125C8</stp>
        <tr r="H125" s="1"/>
      </tp>
      <tp t="s">
        <v>20/03/2014</v>
        <stp/>
        <stp>##V3_BDPV12</stp>
        <stp>US30231GAE26 CORP</stp>
        <stp>ISSUE_DT</stp>
        <stp>[BondFloaters.xlsx]FLOATERS!R27C11</stp>
        <tr r="K27" s="1"/>
      </tp>
      <tp>
        <v>21</v>
        <stp/>
        <stp>##V3_BDPV12</stp>
        <stp>XS1750116920 CORP</stp>
        <stp>CALC_TYP</stp>
        <stp>[BondFloaters.xlsx]FLOATERS!R31C6</stp>
        <tr r="F31" s="1"/>
      </tp>
      <tp t="s">
        <v>AQ6644472</v>
        <stp/>
        <stp>##V3_BDPV12</stp>
        <stp>XS1750116920 CORP</stp>
        <stp>ID_CUSIP</stp>
        <stp>[BondFloaters.xlsx]FLOATERS!R31C1</stp>
        <tr r="A31" s="1"/>
      </tp>
      <tp t="s">
        <v>N</v>
        <stp/>
        <stp>##V3_BDPV12</stp>
        <stp>BE6276038419 CORP</stp>
        <stp>CALLABLE</stp>
        <stp>[BondFloaters.xlsx]FLOATERS!R86C7</stp>
        <tr r="G86" s="1"/>
      </tp>
      <tp>
        <v>-0.33016666666666666</v>
        <stp/>
        <stp>##V3_BDPV12</stp>
        <stp>XS1372838083 CORP</stp>
        <stp>YAS_FLOATER_INDEX_TO_NEXT_COUPON</stp>
        <stp>[BondFloaters.xlsx]FLOATERS!R130C24</stp>
        <tr r="X130" s="1"/>
      </tp>
      <tp>
        <v>-0.378</v>
        <stp/>
        <stp>##V3_BDPV12</stp>
        <stp>DE000A19X793 CORP</stp>
        <stp>YAS_FLOATER_INDEX_TO_NEXT_COUPON</stp>
        <stp>[BondFloaters.xlsx]FLOATERS!R10C24</stp>
        <tr r="X10" s="1"/>
      </tp>
      <tp>
        <v>-0.378</v>
        <stp/>
        <stp>##V3_BDPV12</stp>
        <stp>FR0012969012 CORP</stp>
        <stp>YAS_FLOATER_INDEX_TO_NEXT_COUPON</stp>
        <stp>[BondFloaters.xlsx]FLOATERS!R22C24</stp>
        <tr r="X22" s="1"/>
      </tp>
      <tp>
        <v>-0.37213043478260871</v>
        <stp/>
        <stp>##V3_BDPV12</stp>
        <stp>XS1319814817 CORP</stp>
        <stp>YAS_FLOATER_INDEX_TO_NEXT_COUPON</stp>
        <stp>[BondFloaters.xlsx]FLOATERS!R77C24</stp>
        <tr r="X77" s="1"/>
      </tp>
      <tp>
        <v>-0.32433333333333336</v>
        <stp/>
        <stp>##V3_BDPV12</stp>
        <stp>XS1144084099 CORP</stp>
        <stp>YAS_FLOATER_INDEX_TO_NEXT_COUPON</stp>
        <stp>[BondFloaters.xlsx]FLOATERS!R82C24</stp>
        <tr r="X82" s="1"/>
      </tp>
      <tp>
        <v>-0.32683333333333336</v>
        <stp/>
        <stp>##V3_BDPV12</stp>
        <stp>XS1622634126 CORP</stp>
        <stp>YAS_FLOATER_INDEX_TO_NEXT_COUPON</stp>
        <stp>[BondFloaters.xlsx]FLOATERS!R121C24</stp>
        <tr r="X121" s="1"/>
      </tp>
      <tp>
        <v>-0.31266666666666665</v>
        <stp/>
        <stp>##V3_BDPV12</stp>
        <stp>FR0013136330 CORP</stp>
        <stp>YAS_FLOATER_INDEX_TO_NEXT_COUPON</stp>
        <stp>[BondFloaters.xlsx]FLOATERS!R103C24</stp>
        <tr r="X103" s="1"/>
      </tp>
      <tp t="s">
        <v>20/11/2014</v>
        <stp/>
        <stp>##V3_BDPV12</stp>
        <stp>DE000A13SL18 CORP</stp>
        <stp>ISSUE_DT</stp>
        <stp>[BondFloaters.xlsx]FLOATERS!R92C11</stp>
        <tr r="K92" s="1"/>
      </tp>
      <tp t="s">
        <v>18/05/2017</v>
        <stp/>
        <stp>##V3_BDPV12</stp>
        <stp>XS1612940988 CORP</stp>
        <stp>ISSUE_DT</stp>
        <stp>[BondFloaters.xlsx]FLOATERS!R35C11</stp>
        <tr r="K35" s="1"/>
      </tp>
      <tp>
        <v>-0.311</v>
        <stp/>
        <stp>##V3_BDPV12</stp>
        <stp>XS1306411726 CORP</stp>
        <stp>YAS_FLOATER_ASSUMED_RATE</stp>
        <stp>[BondFloaters.xlsx]FLOATERS!R115C23</stp>
        <tr r="W115" s="1"/>
      </tp>
      <tp>
        <v>-0.311</v>
        <stp/>
        <stp>##V3_BDPV12</stp>
        <stp>XS1568906421 CORP</stp>
        <stp>YAS_FLOATER_ASSUMED_RATE</stp>
        <stp>[BondFloaters.xlsx]FLOATERS!R123C23</stp>
        <tr r="W123" s="1"/>
      </tp>
      <tp t="s">
        <v>20/11/2017</v>
        <stp/>
        <stp>##V3_BDPV12</stp>
        <stp>DE000A19SE11 CORP</stp>
        <stp>ISSUE_DT</stp>
        <stp>[BondFloaters.xlsx]FLOATERS!R71C11</stp>
        <tr r="K71" s="1"/>
      </tp>
      <tp t="s">
        <v>18/03/2016</v>
        <stp/>
        <stp>##V3_BDPV12</stp>
        <stp>XS1381690574 CORP</stp>
        <stp>ISSUE_DT</stp>
        <stp>[BondFloaters.xlsx]FLOATERS!R89C11</stp>
        <tr r="K89" s="1"/>
      </tp>
      <tp>
        <v>-0.311</v>
        <stp/>
        <stp>##V3_BDPV12</stp>
        <stp>XS1753030490 CORP</stp>
        <stp>YAS_FLOATER_ASSUMED_RATE</stp>
        <stp>[BondFloaters.xlsx]FLOATERS!R106C23</stp>
        <tr r="W106" s="1"/>
      </tp>
      <tp t="s">
        <v>20/11/2015</v>
        <stp/>
        <stp>##V3_BDPV12</stp>
        <stp>XS1323463056 CORP</stp>
        <stp>ISSUE_DT</stp>
        <stp>[BondFloaters.xlsx]FLOATERS!R83C11</stp>
        <tr r="K83" s="1"/>
      </tp>
      <tp t="s">
        <v>N</v>
        <stp/>
        <stp>##V3_BDPV12</stp>
        <stp>DE000A169GZ7 CORP</stp>
        <stp>CALLABLE</stp>
        <stp>[BondFloaters.xlsx]FLOATERS!R42C7</stp>
        <tr r="G42" s="1"/>
      </tp>
      <tp t="s">
        <v>03/10/2017</v>
        <stp/>
        <stp>##V3_BDPV12</stp>
        <stp>XS1692846790 CORP</stp>
        <stp>ISSUE_DT</stp>
        <stp>[BondFloaters.xlsx]FLOATERS!R94C11</stp>
        <tr r="K94" s="1"/>
      </tp>
      <tp t="s">
        <v>14/11/2014</v>
        <stp/>
        <stp>##V3_BDPV12</stp>
        <stp>FR0012315133 CORP</stp>
        <stp>ISSUE_DT</stp>
        <stp>[BondFloaters.xlsx]FLOATERS!R55C11</stp>
        <tr r="K55" s="1"/>
      </tp>
      <tp t="s">
        <v>24/12/2018</v>
        <stp/>
        <stp>##V3_BDPV12</stp>
        <stp>XS1078028864 CORP</stp>
        <stp>NXT_CPN_DT</stp>
        <stp>[BondFloaters.xlsx]FLOATERS!R41C14</stp>
        <tr r="N41" s="1"/>
      </tp>
      <tp t="s">
        <v>19/03/2019</v>
        <stp/>
        <stp>##V3_BDPV12</stp>
        <stp>XS1787517199 CORP</stp>
        <stp>NXT_CPN_DT</stp>
        <stp>[BondFloaters.xlsx]FLOATERS!R81C14</stp>
        <tr r="N81" s="1"/>
      </tp>
      <tp t="s">
        <v>03/01/2019</v>
        <stp/>
        <stp>##V3_BDPV12</stp>
        <stp>XS1692846790 CORP</stp>
        <stp>NXT_CPN_DT</stp>
        <stp>[BondFloaters.xlsx]FLOATERS!R94C14</stp>
        <tr r="N94" s="1"/>
      </tp>
      <tp t="s">
        <v>#N/A Field Not Applicable</v>
        <stp/>
        <stp>##V3_BDPV12</stp>
        <stp>XS1362349869 CORP</stp>
        <stp>NXT_CPN_DT</stp>
        <stp>[BondFloaters.xlsx]FLOATERS!R65C14</stp>
        <tr r="N65" s="1"/>
      </tp>
      <tp t="s">
        <v>AP9350228</v>
        <stp/>
        <stp>##V3_BDPV12</stp>
        <stp>XS1718416586 CORP</stp>
        <stp>ID_CUSIP</stp>
        <stp>[BondFloaters.xlsx]FLOATERS!R54C1</stp>
        <tr r="A54" s="1"/>
      </tp>
      <tp>
        <v>21</v>
        <stp/>
        <stp>##V3_BDPV12</stp>
        <stp>XS1718416586 CORP</stp>
        <stp>CALC_TYP</stp>
        <stp>[BondFloaters.xlsx]FLOATERS!R54C6</stp>
        <tr r="F54" s="1"/>
      </tp>
      <tp>
        <v>21</v>
        <stp/>
        <stp>##V3_BDPV12</stp>
        <stp>XS1249494086 CORP</stp>
        <stp>CALC_TYP</stp>
        <stp>[BondFloaters.xlsx]FLOATERS!R50C6</stp>
        <tr r="F50" s="1"/>
      </tp>
      <tp t="s">
        <v>039483BJ0</v>
        <stp/>
        <stp>##V3_BDPV12</stp>
        <stp>XS1249494086 CORP</stp>
        <stp>ID_CUSIP</stp>
        <stp>[BondFloaters.xlsx]FLOATERS!R50C1</stp>
        <tr r="A50" s="1"/>
      </tp>
      <tp>
        <v>21</v>
        <stp/>
        <stp>##V3_BDPV12</stp>
        <stp>XS1635905570 CORP</stp>
        <stp>CALC_TYP</stp>
        <stp>[BondFloaters.xlsx]FLOATERS!R79C6</stp>
        <tr r="F79" s="1"/>
      </tp>
      <tp t="s">
        <v>AO0809928</v>
        <stp/>
        <stp>##V3_BDPV12</stp>
        <stp>XS1635905570 CORP</stp>
        <stp>ID_CUSIP</stp>
        <stp>[BondFloaters.xlsx]FLOATERS!R79C1</stp>
        <tr r="A79" s="1"/>
      </tp>
      <tp>
        <v>21</v>
        <stp/>
        <stp>##V3_BDPV12</stp>
        <stp>XS1522989869 CORP</stp>
        <stp>CALC_TYP</stp>
        <stp>[BondFloaters.xlsx]FLOATERS!R33C6</stp>
        <tr r="F33" s="1"/>
      </tp>
      <tp t="s">
        <v>QZ4991506</v>
        <stp/>
        <stp>##V3_BDPV12</stp>
        <stp>XS1522989869 CORP</stp>
        <stp>ID_CUSIP</stp>
        <stp>[BondFloaters.xlsx]FLOATERS!R33C1</stp>
        <tr r="A33" s="1"/>
      </tp>
      <tp t="s">
        <v>AO0657814</v>
        <stp/>
        <stp>##V3_BDPV12</stp>
        <stp>FR0013264884 CORP</stp>
        <stp>ID_CUSIP</stp>
        <stp>[BondFloaters.xlsx]FLOATERS!R93C1</stp>
        <tr r="A93" s="1"/>
      </tp>
      <tp>
        <v>21</v>
        <stp/>
        <stp>##V3_BDPV12</stp>
        <stp>FR0013264884 CORP</stp>
        <stp>CALC_TYP</stp>
        <stp>[BondFloaters.xlsx]FLOATERS!R93C6</stp>
        <tr r="F93" s="1"/>
      </tp>
      <tp>
        <v>21</v>
        <stp/>
        <stp>##V3_BDPV12</stp>
        <stp>FR0013241379 CORP</stp>
        <stp>CALC_TYP</stp>
        <stp>[BondFloaters.xlsx]FLOATERS!R38C6</stp>
        <tr r="F38" s="1"/>
      </tp>
      <tp t="s">
        <v>AM6927785</v>
        <stp/>
        <stp>##V3_BDPV12</stp>
        <stp>FR0013241379 CORP</stp>
        <stp>ID_CUSIP</stp>
        <stp>[BondFloaters.xlsx]FLOATERS!R38C1</stp>
        <tr r="A38" s="1"/>
      </tp>
      <tp t="s">
        <v>AM1889873</v>
        <stp/>
        <stp>##V3_BDPV12</stp>
        <stp>XS1554462421 CORP</stp>
        <stp>ID_CUSIP</stp>
        <stp>[BondFloaters.xlsx]FLOATERS!R49C1</stp>
        <tr r="A49" s="1"/>
      </tp>
      <tp>
        <v>21</v>
        <stp/>
        <stp>##V3_BDPV12</stp>
        <stp>XS1554462421 CORP</stp>
        <stp>CALC_TYP</stp>
        <stp>[BondFloaters.xlsx]FLOATERS!R49C6</stp>
        <tr r="F49" s="1"/>
      </tp>
      <tp>
        <v>21</v>
        <stp/>
        <stp>##V3_BDPV12</stp>
        <stp>XS1808497264 CORP</stp>
        <stp>CALC_TYP</stp>
        <stp>[BondFloaters.xlsx]FLOATERS!R13C6</stp>
        <tr r="F13" s="1"/>
      </tp>
      <tp t="s">
        <v>AS1805546</v>
        <stp/>
        <stp>##V3_BDPV12</stp>
        <stp>XS1808497264 CORP</stp>
        <stp>ID_CUSIP</stp>
        <stp>[BondFloaters.xlsx]FLOATERS!R13C1</stp>
        <tr r="A13" s="1"/>
      </tp>
      <tp>
        <v>21</v>
        <stp/>
        <stp>##V3_BDPV12</stp>
        <stp>FR0013324316 CORP</stp>
        <stp>CALC_TYP</stp>
        <stp>[BondFloaters.xlsx]FLOATERS!R28C6</stp>
        <tr r="F28" s="1"/>
      </tp>
      <tp t="s">
        <v>AR7570146</v>
        <stp/>
        <stp>##V3_BDPV12</stp>
        <stp>FR0013324316 CORP</stp>
        <stp>ID_CUSIP</stp>
        <stp>[BondFloaters.xlsx]FLOATERS!R28C1</stp>
        <tr r="A28" s="1"/>
      </tp>
      <tp t="s">
        <v>N</v>
        <stp/>
        <stp>##V3_BDPV12</stp>
        <stp>DE000A19SE11 CORP</stp>
        <stp>CALLABLE</stp>
        <stp>[BondFloaters.xlsx]FLOATERS!R71C7</stp>
        <tr r="G71" s="1"/>
      </tp>
      <tp>
        <v>-0.34040000000000004</v>
        <stp/>
        <stp>##V3_BDPV12</stp>
        <stp>XS1821814800 CORP</stp>
        <stp>YAS_FLOATER_INDEX_TO_NEXT_COUPON</stp>
        <stp>[BondFloaters.xlsx]FLOATERS!R84C24</stp>
        <tr r="X84" s="1"/>
      </tp>
      <tp>
        <v>-0.32100000000000001</v>
        <stp/>
        <stp>##V3_BDPV12</stp>
        <stp>XS1830992563 CORP</stp>
        <stp>YAS_FLOATER_INDEX_TO_NEXT_COUPON</stp>
        <stp>[BondFloaters.xlsx]FLOATERS!R109C24</stp>
        <tr r="X109" s="1"/>
      </tp>
      <tp>
        <v>-0.32933333333333337</v>
        <stp/>
        <stp>##V3_BDPV12</stp>
        <stp>XS1237187718 CORP</stp>
        <stp>YAS_FLOATER_INDEX_TO_NEXT_COUPON</stp>
        <stp>[BondFloaters.xlsx]FLOATERS!R105C24</stp>
        <tr r="X105" s="1"/>
      </tp>
      <tp>
        <v>-0.32183333333333336</v>
        <stp/>
        <stp>##V3_BDPV12</stp>
        <stp>XS1767930826 CORP</stp>
        <stp>YAS_FLOATER_INDEX_TO_NEXT_COUPON</stp>
        <stp>[BondFloaters.xlsx]FLOATERS!R110C24</stp>
        <tr r="X110" s="1"/>
      </tp>
      <tp>
        <v>-0.36680000000000001</v>
        <stp/>
        <stp>##V3_BDPV12</stp>
        <stp>XS1599109896 CORP</stp>
        <stp>YAS_FLOATER_INDEX_TO_NEXT_COUPON</stp>
        <stp>[BondFloaters.xlsx]FLOATERS!R97C24</stp>
        <tr r="X97" s="1"/>
      </tp>
      <tp>
        <v>-0.311</v>
        <stp/>
        <stp>##V3_BDPV12</stp>
        <stp>XS1224953452 CORP</stp>
        <stp>YAS_FLOATER_ASSUMED_RATE</stp>
        <stp>[BondFloaters.xlsx]FLOATERS!R135C23</stp>
        <tr r="W135" s="1"/>
      </tp>
      <tp t="s">
        <v>18/05/2018</v>
        <stp/>
        <stp>##V3_BDPV12</stp>
        <stp>XS1822301039 CORP</stp>
        <stp>ISSUE_DT</stp>
        <stp>[BondFloaters.xlsx]FLOATERS!R15C11</stp>
        <tr r="K15" s="1"/>
      </tp>
      <tp t="s">
        <v>12/05/2014</v>
        <stp/>
        <stp>##V3_BDPV12</stp>
        <stp>FR0011884899 CORP</stp>
        <stp>ISSUE_DT</stp>
        <stp>[BondFloaters.xlsx]FLOATERS!R66C11</stp>
        <tr r="K66" s="1"/>
      </tp>
      <tp t="s">
        <v>05/04/2017</v>
        <stp/>
        <stp>##V3_BDPV12</stp>
        <stp>XS1591430746 CORP</stp>
        <stp>ISSUE_DT</stp>
        <stp>[BondFloaters.xlsx]FLOATERS!R64C11</stp>
        <tr r="K64" s="1"/>
      </tp>
      <tp t="s">
        <v>13/02/2017</v>
        <stp/>
        <stp>##V3_BDPV12</stp>
        <stp>XS1564405741 CORP</stp>
        <stp>ISSUE_DT</stp>
        <stp>[BondFloaters.xlsx]FLOATERS!R21C11</stp>
        <tr r="K21" s="1"/>
      </tp>
      <tp t="s">
        <v>#N/A N/A</v>
        <stp/>
        <stp>##V3_BDPV12</stp>
        <stp>XS1480176111 CORP</stp>
        <stp>YAS_BOND_PX</stp>
        <stp>[BondFloaters.xlsx]FLOATERS!R5C28</stp>
        <tr r="AB5" s="1"/>
      </tp>
      <tp>
        <v>3.4000000000000002E-2</v>
        <stp/>
        <stp>##V3_BDPV12</stp>
        <stp>XS1678632487 CORP</stp>
        <stp>CPN</stp>
        <stp>[BondFloaters.xlsx]FLOATERS!R6C25</stp>
        <tr r="Y6" s="1"/>
      </tp>
      <tp>
        <v>75</v>
        <stp/>
        <stp>##V3_BDPV12</stp>
        <stp>BE6285450449 CORP</stp>
        <stp>FLT_SPREAD</stp>
        <stp>[BondFloaters.xlsx]FLOATERS!R37C26</stp>
        <tr r="Z37" s="1"/>
      </tp>
      <tp>
        <v>75</v>
        <stp/>
        <stp>##V3_BDPV12</stp>
        <stp>BE6285450449 CORP</stp>
        <stp>FLT_SPREAD</stp>
        <stp>[BondFloaters.xlsx]FLOATERS!R37C17</stp>
        <tr r="Q37" s="1"/>
      </tp>
      <tp t="s">
        <v>N</v>
        <stp/>
        <stp>##V3_BDPV12</stp>
        <stp>XS1622634126 CORP</stp>
        <stp>ZERO_CPN</stp>
        <stp>[BondFloaters.xlsx]FLOATERS!R121C8</stp>
        <tr r="H121" s="1"/>
      </tp>
      <tp t="s">
        <v>N</v>
        <stp/>
        <stp>##V3_BDPV12</stp>
        <stp>XS1237187718 CORP</stp>
        <stp>ZERO_CPN</stp>
        <stp>[BondFloaters.xlsx]FLOATERS!R105C8</stp>
        <tr r="H105" s="1"/>
      </tp>
      <tp t="s">
        <v>N</v>
        <stp/>
        <stp>##V3_BDPV12</stp>
        <stp>XS1642546078 CORP</stp>
        <stp>ZERO_CPN</stp>
        <stp>[BondFloaters.xlsx]FLOATERS!R107C8</stp>
        <tr r="H107" s="1"/>
      </tp>
      <tp t="s">
        <v>N</v>
        <stp/>
        <stp>##V3_BDPV12</stp>
        <stp>XS1171489476 CORP</stp>
        <stp>CALLABLE</stp>
        <stp>[BondFloaters.xlsx]FLOATERS!R101C7</stp>
        <tr r="G101" s="1"/>
      </tp>
      <tp t="s">
        <v>N</v>
        <stp/>
        <stp>##V3_BDPV12</stp>
        <stp>XS1590503279 CORP</stp>
        <stp>CALLABLE</stp>
        <stp>[BondFloaters.xlsx]FLOATERS!R100C7</stp>
        <tr r="G100" s="1"/>
      </tp>
      <tp t="s">
        <v>N</v>
        <stp/>
        <stp>##V3_BDPV12</stp>
        <stp>XS1363560548 CORP</stp>
        <stp>CALLABLE</stp>
        <stp>[BondFloaters.xlsx]FLOATERS!R133C7</stp>
        <tr r="G133" s="1"/>
      </tp>
      <tp t="s">
        <v>N</v>
        <stp/>
        <stp>##V3_BDPV12</stp>
        <stp>XS1821814982 CORP</stp>
        <stp>CALLABLE</stp>
        <stp>[BondFloaters.xlsx]FLOATERS!R102C7</stp>
        <tr r="G102" s="1"/>
      </tp>
      <tp t="s">
        <v>N</v>
        <stp/>
        <stp>##V3_BDPV12</stp>
        <stp>XS1057486471 CORP</stp>
        <stp>CALLABLE</stp>
        <stp>[BondFloaters.xlsx]FLOATERS!R131C7</stp>
        <tr r="G131" s="1"/>
      </tp>
      <tp t="s">
        <v>SAFFP F 06/28/19</v>
        <stp/>
        <stp>##V3_BDPV12</stp>
        <stp>FR0013263936 CORP</stp>
        <stp>ID_BB_SEC_NUM_DES</stp>
        <stp>[BondFloaters.xlsx]FLOATERS!R136C9</stp>
        <tr r="I136" s="1"/>
      </tp>
      <tp t="s">
        <v>ANNGR F 12/22/22 EMTN</v>
        <stp/>
        <stp>##V3_BDPV12</stp>
        <stp>DE000A19X793 CORP</stp>
        <stp>ID_BB_SEC_NUM_DES</stp>
        <stp>[BondFloaters.xlsx]FLOATERS!R10C9</stp>
        <tr r="I10" s="1"/>
      </tp>
      <tp t="s">
        <v>N</v>
        <stp/>
        <stp>##V3_BDPV12</stp>
        <stp>XS1715353105 CORP</stp>
        <stp>CALLABLE</stp>
        <stp>[BondFloaters.xlsx]FLOATERS!R120C7</stp>
        <tr r="G120" s="1"/>
      </tp>
      <tp t="s">
        <v>N</v>
        <stp/>
        <stp>##V3_BDPV12</stp>
        <stp>XS1306411726 CORP</stp>
        <stp>CALLABLE</stp>
        <stp>[BondFloaters.xlsx]FLOATERS!R115C7</stp>
        <tr r="G115" s="1"/>
      </tp>
      <tp t="s">
        <v>MCD F 08/26/19 GMTN</v>
        <stp/>
        <stp>##V3_BDPV12</stp>
        <stp>XS1237187718 CORP</stp>
        <stp>ID_BB_SEC_NUM_DES</stp>
        <stp>[BondFloaters.xlsx]FLOATERS!R105C9</stp>
        <tr r="I105" s="1"/>
      </tp>
      <tp t="s">
        <v>AKZANA F 11/08/19 EMTN</v>
        <stp/>
        <stp>##V3_BDPV12</stp>
        <stp>XS1715353105 CORP</stp>
        <stp>ID_BB_SEC_NUM_DES</stp>
        <stp>[BondFloaters.xlsx]FLOATERS!R120C9</stp>
        <tr r="I120" s="1"/>
      </tp>
      <tp t="s">
        <v>SRGIM F 02/21/22 EMTN</v>
        <stp/>
        <stp>##V3_BDPV12</stp>
        <stp>XS1568906421 CORP</stp>
        <stp>ID_BB_SEC_NUM_DES</stp>
        <stp>[BondFloaters.xlsx]FLOATERS!R123C9</stp>
        <tr r="I123" s="1"/>
      </tp>
      <tp t="s">
        <v>N</v>
        <stp/>
        <stp>##V3_BDPV12</stp>
        <stp>XS1767087940 CORP</stp>
        <stp>CALLABLE</stp>
        <stp>[BondFloaters.xlsx]FLOATERS!R127C7</stp>
        <tr r="G127" s="1"/>
      </tp>
      <tp t="s">
        <v>SAFFP F 06/28/21 .</v>
        <stp/>
        <stp>##V3_BDPV12</stp>
        <stp>FR0013264884 CORP</stp>
        <stp>ID_BB_SEC_NUM_DES</stp>
        <stp>[BondFloaters.xlsx]FLOATERS!R93C9</stp>
        <tr r="I93" s="1"/>
      </tp>
      <tp t="s">
        <v>RENAUL F 03/14/22 EMTN</v>
        <stp/>
        <stp>##V3_BDPV12</stp>
        <stp>FR0013260486 CORP</stp>
        <stp>ID_BB_SEC_NUM_DES</stp>
        <stp>[BondFloaters.xlsx]FLOATERS!R63C9</stp>
        <tr r="I63" s="1"/>
      </tp>
      <tp t="s">
        <v>BASGR F 11/15/19 DIP</v>
        <stp/>
        <stp>##V3_BDPV12</stp>
        <stp>XS1718416586 CORP</stp>
        <stp>ID_BB_SEC_NUM_DES</stp>
        <stp>[BondFloaters.xlsx]FLOATERS!R54C9</stp>
        <tr r="I54" s="1"/>
      </tp>
      <tp t="s">
        <v>MAERSK F 03/18/19 EMtn</v>
        <stp/>
        <stp>##V3_BDPV12</stp>
        <stp>XS1381690574 CORP</stp>
        <stp>ID_BB_SEC_NUM_DES</stp>
        <stp>[BondFloaters.xlsx]FLOATERS!R89C9</stp>
        <tr r="I89" s="1"/>
      </tp>
      <tp t="s">
        <v>CCE F 11/16/21</v>
        <stp/>
        <stp>##V3_BDPV12</stp>
        <stp>XS1717567587 CORP</stp>
        <stp>ID_BB_SEC_NUM_DES</stp>
        <stp>[BondFloaters.xlsx]FLOATERS!R112C9</stp>
        <tr r="I112" s="1"/>
      </tp>
      <tp t="s">
        <v>N</v>
        <stp/>
        <stp>##V3_BDPV12</stp>
        <stp>XS1574667124 CORP</stp>
        <stp>CALLABLE</stp>
        <stp>[BondFloaters.xlsx]FLOATERS!R104C7</stp>
        <tr r="G104" s="1"/>
      </tp>
      <tp t="s">
        <v>N</v>
        <stp/>
        <stp>##V3_BDPV12</stp>
        <stp>BE6301509012 CORP</stp>
        <stp>ZERO_CPN</stp>
        <stp>[BondFloaters.xlsx]FLOATERS!R124C8</stp>
        <tr r="H124" s="1"/>
      </tp>
      <tp t="s">
        <v>N</v>
        <stp/>
        <stp>##V3_BDPV12</stp>
        <stp>FR0013136330 CORP</stp>
        <stp>CALLABLE</stp>
        <stp>[BondFloaters.xlsx]FLOATERS!R103C7</stp>
        <tr r="G103" s="1"/>
      </tp>
      <tp t="s">
        <v>N</v>
        <stp/>
        <stp>##V3_BDPV12</stp>
        <stp>XS1372838083 CORP</stp>
        <stp>CALLABLE</stp>
        <stp>[BondFloaters.xlsx]FLOATERS!R130C7</stp>
        <tr r="G130" s="1"/>
      </tp>
      <tp t="s">
        <v>GIS F 01/15/20</v>
        <stp/>
        <stp>##V3_BDPV12</stp>
        <stp>XS1346107433 CORP</stp>
        <stp>ID_BB_SEC_NUM_DES</stp>
        <stp>[BondFloaters.xlsx]FLOATERS!R134C9</stp>
        <tr r="I134" s="1"/>
      </tp>
      <tp t="s">
        <v>DAIGR F 09/11/19 EMTN</v>
        <stp/>
        <stp>##V3_BDPV12</stp>
        <stp>XS1679028479 CORP</stp>
        <stp>ID_BB_SEC_NUM_DES</stp>
        <stp>[BondFloaters.xlsx]FLOATERS!R119C9</stp>
        <tr r="I119" s="1"/>
      </tp>
      <tp t="s">
        <v>N</v>
        <stp/>
        <stp>##V3_BDPV12</stp>
        <stp>XS1840614736 CORP</stp>
        <stp>ZERO_CPN</stp>
        <stp>[BondFloaters.xlsx]FLOATERS!R132C8</stp>
        <tr r="H132" s="1"/>
      </tp>
      <tp t="s">
        <v>N</v>
        <stp/>
        <stp>##V3_BDPV12</stp>
        <stp>XS1577870808 CORP</stp>
        <stp>CALLABLE</stp>
        <stp>[BondFloaters.xlsx]FLOATERS!R138C7</stp>
        <tr r="G138" s="1"/>
      </tp>
      <tp t="s">
        <v>ALDFP F 11/27/20 EMTN</v>
        <stp/>
        <stp>##V3_BDPV12</stp>
        <stp>XS1723613581 CORP</stp>
        <stp>ID_BB_SEC_NUM_DES</stp>
        <stp>[BondFloaters.xlsx]FLOATERS!R75C9</stp>
        <tr r="I75" s="1"/>
      </tp>
      <tp t="s">
        <v>SANFP F 03/21/20 EMtn</v>
        <stp/>
        <stp>##V3_BDPV12</stp>
        <stp>FR0013324316 CORP</stp>
        <stp>ID_BB_SEC_NUM_DES</stp>
        <stp>[BondFloaters.xlsx]FLOATERS!R28C9</stp>
        <tr r="I28" s="1"/>
      </tp>
      <tp t="s">
        <v>SANFP F 03/22/19 EMTN</v>
        <stp/>
        <stp>##V3_BDPV12</stp>
        <stp>FR0012969012 CORP</stp>
        <stp>ID_BB_SEC_NUM_DES</stp>
        <stp>[BondFloaters.xlsx]FLOATERS!R22C9</stp>
        <tr r="I22" s="1"/>
      </tp>
      <tp t="s">
        <v>PHIANA F 09/06/19</v>
        <stp/>
        <stp>##V3_BDPV12</stp>
        <stp>XS1671754650 CORP</stp>
        <stp>ID_BB_SEC_NUM_DES</stp>
        <stp>[BondFloaters.xlsx]FLOATERS!R19C9</stp>
        <tr r="I19" s="1"/>
      </tp>
      <tp t="s">
        <v>T F 06/04/19</v>
        <stp/>
        <stp>##V3_BDPV12</stp>
        <stp>XS1144084099 CORP</stp>
        <stp>ID_BB_SEC_NUM_DES</stp>
        <stp>[BondFloaters.xlsx]FLOATERS!R82C9</stp>
        <tr r="I82" s="1"/>
      </tp>
      <tp>
        <v>-0.37565217391304345</v>
        <stp/>
        <stp>##V3_BDPV12</stp>
        <stp>DE000A14KJE8 CORP</stp>
        <stp>YAS_FLOATER_INDEX_TO_NEXT_COUPON</stp>
        <stp>[BondFloaters.xlsx]FLOATERS!R51C24</stp>
        <tr r="X51" s="1"/>
      </tp>
      <tp t="s">
        <v>11/05/2017</v>
        <stp/>
        <stp>##V3_BDPV12</stp>
        <stp>DE000A19HBM3 CORP</stp>
        <stp>ISSUE_DT</stp>
        <stp>[BondFloaters.xlsx]FLOATERS!R99C11</stp>
        <tr r="K99" s="1"/>
      </tp>
      <tp t="s">
        <v>#N/A N/A</v>
        <stp/>
        <stp>##V3_BDPV12</stp>
        <stp>FR0013216884 CORP</stp>
        <stp>YAS_FLOATER_ASSUMED_RATE</stp>
        <stp>[BondFloaters.xlsx]FLOATERS!R7C23</stp>
        <tr r="W7" s="1"/>
      </tp>
      <tp t="s">
        <v>N</v>
        <stp/>
        <stp>##V3_BDPV12</stp>
        <stp>XS1830992563 CORP</stp>
        <stp>ZERO_CPN</stp>
        <stp>[BondFloaters.xlsx]FLOATERS!R109C8</stp>
        <tr r="H109" s="1"/>
      </tp>
      <tp t="s">
        <v>N</v>
        <stp/>
        <stp>##V3_BDPV12</stp>
        <stp>FR0013263936 CORP</stp>
        <stp>ZERO_CPN</stp>
        <stp>[BondFloaters.xlsx]FLOATERS!R136C8</stp>
        <tr r="H136" s="1"/>
      </tp>
      <tp t="s">
        <v>N</v>
        <stp/>
        <stp>##V3_BDPV12</stp>
        <stp>FR0013342664 CORP</stp>
        <stp>ZERO_CPN</stp>
        <stp>[BondFloaters.xlsx]FLOATERS!R122C8</stp>
        <tr r="H122" s="1"/>
      </tp>
      <tp t="s">
        <v>N</v>
        <stp/>
        <stp>##V3_BDPV12</stp>
        <stp>XS1346107433 CORP</stp>
        <stp>ZERO_CPN</stp>
        <stp>[BondFloaters.xlsx]FLOATERS!R134C8</stp>
        <tr r="H134" s="1"/>
      </tp>
      <tp t="s">
        <v>N</v>
        <stp/>
        <stp>##V3_BDPV12</stp>
        <stp>XS1712180477 CORP</stp>
        <stp>CALLABLE</stp>
        <stp>[BondFloaters.xlsx]FLOATERS!R137C7</stp>
        <tr r="G137" s="1"/>
      </tp>
      <tp t="s">
        <v>N</v>
        <stp/>
        <stp>##V3_BDPV12</stp>
        <stp>XS1683495052 CORP</stp>
        <stp>ZERO_CPN</stp>
        <stp>[BondFloaters.xlsx]FLOATERS!R117C8</stp>
        <tr r="H117" s="1"/>
      </tp>
      <tp t="s">
        <v>VW F 07/06/19 EMTN</v>
        <stp/>
        <stp>##V3_BDPV12</stp>
        <stp>XS1642545690 CORP</stp>
        <stp>ID_BB_SEC_NUM_DES</stp>
        <stp>[BondFloaters.xlsx]FLOATERS!R76C9</stp>
        <tr r="I76" s="1"/>
      </tp>
      <tp t="s">
        <v>ABIBB F 04/15/24 EMTN</v>
        <stp/>
        <stp>##V3_BDPV12</stp>
        <stp>BE6301509012 CORP</stp>
        <stp>ID_BB_SEC_NUM_DES</stp>
        <stp>[BondFloaters.xlsx]FLOATERS!R124C9</stp>
        <tr r="I124" s="1"/>
      </tp>
      <tp t="s">
        <v>GM F 03/26/22 EMTN</v>
        <stp/>
        <stp>##V3_BDPV12</stp>
        <stp>XS1792505197 CORP</stp>
        <stp>ID_BB_SEC_NUM_DES</stp>
        <stp>[BondFloaters.xlsx]FLOATERS!R96C9</stp>
        <tr r="I96" s="1"/>
      </tp>
      <tp t="s">
        <v>MCFP F 11/26/18 EMTN</v>
        <stp/>
        <stp>##V3_BDPV12</stp>
        <stp>FR0013257599 CORP</stp>
        <stp>ID_BB_SEC_NUM_DES</stp>
        <stp>[BondFloaters.xlsx]FLOATERS!R20C9</stp>
        <tr r="I20" s="1"/>
      </tp>
      <tp t="s">
        <v>DBHNGR F 07/23/20 EMTN</v>
        <stp/>
        <stp>##V3_BDPV12</stp>
        <stp>XS1089831249 CORP</stp>
        <stp>ID_BB_SEC_NUM_DES</stp>
        <stp>[BondFloaters.xlsx]FLOATERS!R56C9</stp>
        <tr r="I56" s="1"/>
      </tp>
      <tp t="s">
        <v>18/03/2019</v>
        <stp/>
        <stp>##V3_BDPV12</stp>
        <stp>DE000A1Z6M04 CORP</stp>
        <stp>MATURITY</stp>
        <stp>[BondFloaters.xlsx]FLOATERS!R129C15</stp>
        <tr r="O129" s="1"/>
      </tp>
      <tp t="s">
        <v>18/03/2019</v>
        <stp/>
        <stp>##V3_BDPV12</stp>
        <stp>DE000A1Z6M04 CORP</stp>
        <stp>MATURITY</stp>
        <stp>[BondFloaters.xlsx]FLOATERS!R129C18</stp>
        <tr r="R129" s="1"/>
      </tp>
      <tp t="s">
        <v>DAIGR F 01/11/23 EMTN</v>
        <stp/>
        <stp>##V3_BDPV12</stp>
        <stp>DE000A19UNN9 CORP</stp>
        <stp>ID_BB_SEC_NUM_DES</stp>
        <stp>[BondFloaters.xlsx]FLOATERS!R125C9</stp>
        <tr r="I125" s="1"/>
      </tp>
      <tp t="s">
        <v>F F 12/07/22 EMTN</v>
        <stp/>
        <stp>##V3_BDPV12</stp>
        <stp>XS1767930826 CORP</stp>
        <stp>ID_BB_SEC_NUM_DES</stp>
        <stp>[BondFloaters.xlsx]FLOATERS!R110C9</stp>
        <tr r="I110" s="1"/>
      </tp>
      <tp t="s">
        <v>AGN F 06/01/19</v>
        <stp/>
        <stp>##V3_BDPV12</stp>
        <stp>XS1622634126 CORP</stp>
        <stp>ID_BB_SEC_NUM_DES</stp>
        <stp>[BondFloaters.xlsx]FLOATERS!R121C9</stp>
        <tr r="I121" s="1"/>
      </tp>
      <tp t="s">
        <v>TAP F 03/15/19 REGS</v>
        <stp/>
        <stp>##V3_BDPV12</stp>
        <stp>XS1577870808 CORP</stp>
        <stp>ID_BB_SEC_NUM_DES</stp>
        <stp>[BondFloaters.xlsx]FLOATERS!R138C9</stp>
        <tr r="I138" s="1"/>
      </tp>
      <tp t="s">
        <v>FCABNK F 06/17/21 EMTN</v>
        <stp/>
        <stp>##V3_BDPV12</stp>
        <stp>XS1753030490 CORP</stp>
        <stp>ID_BB_SEC_NUM_DES</stp>
        <stp>[BondFloaters.xlsx]FLOATERS!R106C9</stp>
        <tr r="I106" s="1"/>
      </tp>
      <tp t="s">
        <v>N</v>
        <stp/>
        <stp>##V3_BDPV12</stp>
        <stp>XS1830992563 CORP</stp>
        <stp>CALLABLE</stp>
        <stp>[BondFloaters.xlsx]FLOATERS!R109C7</stp>
        <tr r="G109" s="1"/>
      </tp>
      <tp t="s">
        <v>Y</v>
        <stp/>
        <stp>##V3_BDPV12</stp>
        <stp>FR0013342664 CORP</stp>
        <stp>CALLABLE</stp>
        <stp>[BondFloaters.xlsx]FLOATERS!R122C7</stp>
        <tr r="G122" s="1"/>
      </tp>
      <tp t="s">
        <v>N</v>
        <stp/>
        <stp>##V3_BDPV12</stp>
        <stp>FR0013263936 CORP</stp>
        <stp>CALLABLE</stp>
        <stp>[BondFloaters.xlsx]FLOATERS!R136C7</stp>
        <tr r="G136" s="1"/>
      </tp>
      <tp t="s">
        <v>N</v>
        <stp/>
        <stp>##V3_BDPV12</stp>
        <stp>XS1346107433 CORP</stp>
        <stp>CALLABLE</stp>
        <stp>[BondFloaters.xlsx]FLOATERS!R134C7</stp>
        <tr r="G134" s="1"/>
      </tp>
      <tp t="s">
        <v>N</v>
        <stp/>
        <stp>##V3_BDPV12</stp>
        <stp>XS1683495052 CORP</stp>
        <stp>CALLABLE</stp>
        <stp>[BondFloaters.xlsx]FLOATERS!R117C7</stp>
        <tr r="G117" s="1"/>
      </tp>
      <tp t="s">
        <v>N</v>
        <stp/>
        <stp>##V3_BDPV12</stp>
        <stp>XS1712180477 CORP</stp>
        <stp>ZERO_CPN</stp>
        <stp>[BondFloaters.xlsx]FLOATERS!R137C8</stp>
        <tr r="H137" s="1"/>
      </tp>
      <tp t="s">
        <v>BNFP F 01/14/20 EMTN</v>
        <stp/>
        <stp>##V3_BDPV12</stp>
        <stp>FR0012432904 CORP</stp>
        <stp>ID_BB_SEC_NUM_DES</stp>
        <stp>[BondFloaters.xlsx]FLOATERS!R48C9</stp>
        <tr r="I48" s="1"/>
      </tp>
      <tp t="s">
        <v>F F 12/01/21 EMTN</v>
        <stp/>
        <stp>##V3_BDPV12</stp>
        <stp>XS1729872652 CORP</stp>
        <stp>ID_BB_SEC_NUM_DES</stp>
        <stp>[BondFloaters.xlsx]FLOATERS!R80C9</stp>
        <tr r="I80" s="1"/>
      </tp>
      <tp t="s">
        <v>RENAUL F 11/04/24 EMTN</v>
        <stp/>
        <stp>##V3_BDPV12</stp>
        <stp>FR0013292687 CORP</stp>
        <stp>ID_BB_SEC_NUM_DES</stp>
        <stp>[BondFloaters.xlsx]FLOATERS!R36C9</stp>
        <tr r="I36" s="1"/>
      </tp>
      <tp t="s">
        <v>ADNA F 03/19/21</v>
        <stp/>
        <stp>##V3_BDPV12</stp>
        <stp>XS1787517199 CORP</stp>
        <stp>ID_BB_SEC_NUM_DES</stp>
        <stp>[BondFloaters.xlsx]FLOATERS!R81C9</stp>
        <tr r="I81" s="1"/>
      </tp>
      <tp t="s">
        <v>MYL F 05/24/20</v>
        <stp/>
        <stp>##V3_BDPV12</stp>
        <stp>XS1619284372 CORP</stp>
        <stp>ID_BB_SEC_NUM_DES</stp>
        <stp>[BondFloaters.xlsx]FLOATERS!R68C9</stp>
        <tr r="I68" s="1"/>
      </tp>
      <tp t="s">
        <v>CAFP F 06/15/22 EMTN</v>
        <stp/>
        <stp>##V3_BDPV12</stp>
        <stp>FR0013342664 CORP</stp>
        <stp>ID_BB_SEC_NUM_DES</stp>
        <stp>[BondFloaters.xlsx]FLOATERS!R122C9</stp>
        <tr r="I122" s="1"/>
      </tp>
      <tp t="s">
        <v>N</v>
        <stp/>
        <stp>##V3_BDPV12</stp>
        <stp>DE000A19X793 CORP</stp>
        <stp>ZERO_CPN</stp>
        <stp>[BondFloaters.xlsx]FLOATERS!R10C8</stp>
        <tr r="H10" s="1"/>
      </tp>
      <tp t="s">
        <v>#N/A N/A</v>
        <stp/>
        <stp>##V3_BDPV12</stp>
        <stp>DE000A185WC9 CORP</stp>
        <stp>YAS_FLOATER_INDEX_TO_NEXT_COUPON</stp>
        <stp>[BondFloaters.xlsx]FLOATERS!R47C24</stp>
        <tr r="X47" s="1"/>
      </tp>
      <tp>
        <v>-0.311</v>
        <stp/>
        <stp>##V3_BDPV12</stp>
        <stp>XS1678632487 CORP</stp>
        <stp>YAS_FLOATER_ASSUMED_RATE</stp>
        <stp>[BondFloaters.xlsx]FLOATERS!R6C23</stp>
        <tr r="W6" s="1"/>
      </tp>
      <tp t="s">
        <v>22/12/2018</v>
        <stp/>
        <stp>##V3_BDPV12</stp>
        <stp>DE000A19X793 CORP</stp>
        <stp>NXT_CPN_DT</stp>
        <stp>[BondFloaters.xlsx]FLOATERS!R10C14</stp>
        <tr r="N10" s="1"/>
      </tp>
      <tp t="s">
        <v>N</v>
        <stp/>
        <stp>##V3_BDPV12</stp>
        <stp>FR0013136330 CORP</stp>
        <stp>ZERO_CPN</stp>
        <stp>[BondFloaters.xlsx]FLOATERS!R103C8</stp>
        <tr r="H103" s="1"/>
      </tp>
      <tp t="s">
        <v>N</v>
        <stp/>
        <stp>##V3_BDPV12</stp>
        <stp>XS1372838083 CORP</stp>
        <stp>ZERO_CPN</stp>
        <stp>[BondFloaters.xlsx]FLOATERS!R130C8</stp>
        <tr r="H130" s="1"/>
      </tp>
      <tp t="s">
        <v>N</v>
        <stp/>
        <stp>##V3_BDPV12</stp>
        <stp>XS1574667124 CORP</stp>
        <stp>ZERO_CPN</stp>
        <stp>[BondFloaters.xlsx]FLOATERS!R104C8</stp>
        <tr r="H104" s="1"/>
      </tp>
      <tp t="s">
        <v>CAFP F 03/20/20</v>
        <stp/>
        <stp>##V3_BDPV12</stp>
        <stp>XS1206712868 CORP</stp>
        <stp>ID_BB_SEC_NUM_DES</stp>
        <stp>[BondFloaters.xlsx]FLOATERS!R118C9</stp>
        <tr r="I118" s="1"/>
      </tp>
      <tp t="s">
        <v>KO F 03/08/19</v>
        <stp/>
        <stp>##V3_BDPV12</stp>
        <stp>XS1574667124 CORP</stp>
        <stp>ID_BB_SEC_NUM_DES</stp>
        <stp>[BondFloaters.xlsx]FLOATERS!R104C9</stp>
        <tr r="I104" s="1"/>
      </tp>
      <tp t="s">
        <v>N</v>
        <stp/>
        <stp>##V3_BDPV12</stp>
        <stp>BE6301509012 CORP</stp>
        <stp>CALLABLE</stp>
        <stp>[BondFloaters.xlsx]FLOATERS!R124C7</stp>
        <tr r="G124" s="1"/>
      </tp>
      <tp t="s">
        <v>N</v>
        <stp/>
        <stp>##V3_BDPV12</stp>
        <stp>XS1577870808 CORP</stp>
        <stp>ZERO_CPN</stp>
        <stp>[BondFloaters.xlsx]FLOATERS!R138C8</stp>
        <tr r="H138" s="1"/>
      </tp>
      <tp t="s">
        <v>N</v>
        <stp/>
        <stp>##V3_BDPV12</stp>
        <stp>XS1840614736 CORP</stp>
        <stp>CALLABLE</stp>
        <stp>[BondFloaters.xlsx]FLOATERS!R132C7</stp>
        <tr r="G132" s="1"/>
      </tp>
      <tp t="s">
        <v>VOD F 02/25/19 EMTN</v>
        <stp/>
        <stp>##V3_BDPV12</stp>
        <stp>XS1372838083 CORP</stp>
        <stp>ID_BB_SEC_NUM_DES</stp>
        <stp>[BondFloaters.xlsx]FLOATERS!R130C9</stp>
        <tr r="I130" s="1"/>
      </tp>
      <tp t="s">
        <v>F F 09/17/19 EMTN</v>
        <stp/>
        <stp>##V3_BDPV12</stp>
        <stp>XS1292513105 CORP</stp>
        <stp>ID_BB_SEC_NUM_DES</stp>
        <stp>[BondFloaters.xlsx]FLOATERS!R69C9</stp>
        <tr r="I69" s="1"/>
      </tp>
      <tp t="s">
        <v>MYL F 11/22/18</v>
        <stp/>
        <stp>##V3_BDPV12</stp>
        <stp>XS1522989869 CORP</stp>
        <stp>ID_BB_SEC_NUM_DES</stp>
        <stp>[BondFloaters.xlsx]FLOATERS!R33C9</stp>
        <tr r="I33" s="1"/>
      </tp>
      <tp t="s">
        <v>TOTAL F 07/01/19 EMTn</v>
        <stp/>
        <stp>##V3_BDPV12</stp>
        <stp>XS1082839553 CORP</stp>
        <stp>ID_BB_SEC_NUM_DES</stp>
        <stp>[BondFloaters.xlsx]FLOATERS!R61C9</stp>
        <tr r="I61" s="1"/>
      </tp>
      <tp t="s">
        <v>BMW F 08/23/18 emtn</v>
        <stp/>
        <stp>##V3_BDPV12</stp>
        <stp>XS1480176111 CORP</stp>
        <stp>ID_BB_SEC_NUM_DES</stp>
        <stp>[BondFloaters.xlsx]FLOATERS!R5C9</stp>
        <tr r="I5" s="1"/>
      </tp>
      <tp t="s">
        <v>RENAUL F 07/08/20 EMTN</v>
        <stp/>
        <stp>##V3_BDPV12</stp>
        <stp>FR0013241379 CORP</stp>
        <stp>ID_BB_SEC_NUM_DES</stp>
        <stp>[BondFloaters.xlsx]FLOATERS!R38C9</stp>
        <tr r="I38" s="1"/>
      </tp>
      <tp t="s">
        <v>ADM F 06/24/19</v>
        <stp/>
        <stp>##V3_BDPV12</stp>
        <stp>XS1249494086 CORP</stp>
        <stp>ID_BB_SEC_NUM_DES</stp>
        <stp>[BondFloaters.xlsx]FLOATERS!R50C9</stp>
        <tr r="I50" s="1"/>
      </tp>
      <tp t="s">
        <v>CLEAN</v>
        <stp/>
        <stp>##V3_BDPV12</stp>
        <stp>DE000A19UNN9 CORP</stp>
        <stp>PX_DIRTY_CLEAN</stp>
        <stp>[BondFloaters.xlsx]FLOATERS!R125C19</stp>
        <tr r="S125" s="1"/>
      </tp>
      <tp t="s">
        <v>F F 05/14/21 EMTN</v>
        <stp/>
        <stp>##V3_BDPV12</stp>
        <stp>XS1821814800 CORP</stp>
        <stp>ID_BB_SEC_NUM_DES</stp>
        <stp>[BondFloaters.xlsx]FLOATERS!R84C9</stp>
        <tr r="I84" s="1"/>
      </tp>
      <tp t="s">
        <v>03/07/2024</v>
        <stp/>
        <stp>##V3_BDPV12</stp>
        <stp>DE000A2GSCY9 CORP</stp>
        <stp>MATURITY</stp>
        <stp>[BondFloaters.xlsx]FLOATERS!R14C15</stp>
        <tr r="O14" s="1"/>
      </tp>
      <tp t="s">
        <v>03/07/2024</v>
        <stp/>
        <stp>##V3_BDPV12</stp>
        <stp>DE000A2GSCY9 CORP</stp>
        <stp>MATURITY</stp>
        <stp>[BondFloaters.xlsx]FLOATERS!R14C18</stp>
        <tr r="R14" s="1"/>
      </tp>
      <tp t="s">
        <v>N</v>
        <stp/>
        <stp>##V3_BDPV12</stp>
        <stp>XS1715353105 CORP</stp>
        <stp>ZERO_CPN</stp>
        <stp>[BondFloaters.xlsx]FLOATERS!R120C8</stp>
        <tr r="H120" s="1"/>
      </tp>
      <tp t="s">
        <v>N</v>
        <stp/>
        <stp>##V3_BDPV12</stp>
        <stp>XS1306411726 CORP</stp>
        <stp>ZERO_CPN</stp>
        <stp>[BondFloaters.xlsx]FLOATERS!R115C8</stp>
        <tr r="H115" s="1"/>
      </tp>
      <tp t="s">
        <v>BHP F 04/28/20 15</v>
        <stp/>
        <stp>##V3_BDPV12</stp>
        <stp>XS1224953452 CORP</stp>
        <stp>ID_BB_SEC_NUM_DES</stp>
        <stp>[BondFloaters.xlsx]FLOATERS!R135C9</stp>
        <tr r="I135" s="1"/>
      </tp>
      <tp t="s">
        <v>N</v>
        <stp/>
        <stp>##V3_BDPV12</stp>
        <stp>XS1767087940 CORP</stp>
        <stp>ZERO_CPN</stp>
        <stp>[BondFloaters.xlsx]FLOATERS!R127C8</stp>
        <tr r="H127" s="1"/>
      </tp>
      <tp t="s">
        <v>EQNR F 08/19/19 EMTN</v>
        <stp/>
        <stp>##V3_BDPV12</stp>
        <stp>XS1190623907 CORP</stp>
        <stp>ID_BB_SEC_NUM_DES</stp>
        <stp>[BondFloaters.xlsx]FLOATERS!R59C9</stp>
        <tr r="I59" s="1"/>
      </tp>
      <tp t="s">
        <v>SCANIA F 10/24/18 EMTN</v>
        <stp/>
        <stp>##V3_BDPV12</stp>
        <stp>XS1554462421 CORP</stp>
        <stp>ID_BB_SEC_NUM_DES</stp>
        <stp>[BondFloaters.xlsx]FLOATERS!R49C9</stp>
        <tr r="I49" s="1"/>
      </tp>
      <tp t="s">
        <v>SCANIA F 04/20/20 EMTN</v>
        <stp/>
        <stp>##V3_BDPV12</stp>
        <stp>XS1599109896 CORP</stp>
        <stp>ID_BB_SEC_NUM_DES</stp>
        <stp>[BondFloaters.xlsx]FLOATERS!R97C9</stp>
        <tr r="I97" s="1"/>
      </tp>
      <tp>
        <v>-0.311</v>
        <stp/>
        <stp>##V3_BDPV12</stp>
        <stp>DE000A2G8VS7 CORP</stp>
        <stp>YAS_FLOATER_ASSUMED_RATE</stp>
        <stp>[BondFloaters.xlsx]FLOATERS!R43C23</stp>
        <tr r="W43" s="1"/>
      </tp>
      <tp t="s">
        <v>RENAUL F 03/18/19 EMTN</v>
        <stp/>
        <stp>##V3_BDPV12</stp>
        <stp>FR0013136330 CORP</stp>
        <stp>ID_BB_SEC_NUM_DES</stp>
        <stp>[BondFloaters.xlsx]FLOATERS!R103C9</stp>
        <tr r="I103" s="1"/>
      </tp>
      <tp t="s">
        <v>CLEAN</v>
        <stp/>
        <stp>##V3_BDPV12</stp>
        <stp>DE000A1Z6M04 CORP</stp>
        <stp>PX_DIRTY_CLEAN</stp>
        <stp>[BondFloaters.xlsx]FLOATERS!R129C19</stp>
        <tr r="S129" s="1"/>
      </tp>
      <tp>
        <v>-0.34150000000000003</v>
        <stp/>
        <stp>##V3_BDPV12</stp>
        <stp>DE000A19RXA1 CORP</stp>
        <stp>YAS_FLOATER_INDEX_TO_NEXT_COUPON</stp>
        <stp>[BondFloaters.xlsx]FLOATERS!R62C24</stp>
        <tr r="X62" s="1"/>
      </tp>
      <tp t="s">
        <v>12/01/2019</v>
        <stp/>
        <stp>##V3_BDPV12</stp>
        <stp>DE000A169GZ7 CORP</stp>
        <stp>MATURITY</stp>
        <stp>[BondFloaters.xlsx]FLOATERS!R42C18</stp>
        <tr r="R42" s="1"/>
      </tp>
      <tp t="s">
        <v>12/01/2019</v>
        <stp/>
        <stp>##V3_BDPV12</stp>
        <stp>DE000A169GZ7 CORP</stp>
        <stp>MATURITY</stp>
        <stp>[BondFloaters.xlsx]FLOATERS!R42C15</stp>
        <tr r="O42" s="1"/>
      </tp>
      <tp t="s">
        <v>N</v>
        <stp/>
        <stp>##V3_BDPV12</stp>
        <stp>XS1237187718 CORP</stp>
        <stp>CALLABLE</stp>
        <stp>[BondFloaters.xlsx]FLOATERS!R105C7</stp>
        <tr r="G105" s="1"/>
      </tp>
      <tp t="s">
        <v>N</v>
        <stp/>
        <stp>##V3_BDPV12</stp>
        <stp>XS1622634126 CORP</stp>
        <stp>CALLABLE</stp>
        <stp>[BondFloaters.xlsx]FLOATERS!R121C7</stp>
        <tr r="G121" s="1"/>
      </tp>
      <tp t="s">
        <v>DBHNGR F 10/13/23 EMTN</v>
        <stp/>
        <stp>##V3_BDPV12</stp>
        <stp>XS1306411726 CORP</stp>
        <stp>ID_BB_SEC_NUM_DES</stp>
        <stp>[BondFloaters.xlsx]FLOATERS!R115C9</stp>
        <tr r="I115" s="1"/>
      </tp>
      <tp t="s">
        <v>N</v>
        <stp/>
        <stp>##V3_BDPV12</stp>
        <stp>XS1821814982 CORP</stp>
        <stp>ZERO_CPN</stp>
        <stp>[BondFloaters.xlsx]FLOATERS!R102C8</stp>
        <tr r="H102" s="1"/>
      </tp>
      <tp t="s">
        <v>N</v>
        <stp/>
        <stp>##V3_BDPV12</stp>
        <stp>XS1057486471 CORP</stp>
        <stp>ZERO_CPN</stp>
        <stp>[BondFloaters.xlsx]FLOATERS!R131C8</stp>
        <tr r="H131" s="1"/>
      </tp>
      <tp t="s">
        <v>N</v>
        <stp/>
        <stp>##V3_BDPV12</stp>
        <stp>XS1171489476 CORP</stp>
        <stp>ZERO_CPN</stp>
        <stp>[BondFloaters.xlsx]FLOATERS!R101C8</stp>
        <tr r="H101" s="1"/>
      </tp>
      <tp t="s">
        <v>N</v>
        <stp/>
        <stp>##V3_BDPV12</stp>
        <stp>XS1642546078 CORP</stp>
        <stp>CALLABLE</stp>
        <stp>[BondFloaters.xlsx]FLOATERS!R107C7</stp>
        <tr r="G107" s="1"/>
      </tp>
      <tp t="s">
        <v>30231GAE2</v>
        <stp/>
        <stp>##V3_BDPV12</stp>
        <stp>US30231GAE26 CORP</stp>
        <stp>ID_CUSIP</stp>
        <stp>[BondFloaters.xlsx]FLOATERS!R27C1</stp>
        <tr r="A27" s="1"/>
      </tp>
      <tp>
        <v>21</v>
        <stp/>
        <stp>##V3_BDPV12</stp>
        <stp>US30231GAE26 CORP</stp>
        <stp>CALC_TYP</stp>
        <stp>[BondFloaters.xlsx]FLOATERS!R27C6</stp>
        <tr r="F27" s="1"/>
      </tp>
      <tp t="s">
        <v>N</v>
        <stp/>
        <stp>##V3_BDPV12</stp>
        <stp>XS1363560548 CORP</stp>
        <stp>ZERO_CPN</stp>
        <stp>[BondFloaters.xlsx]FLOATERS!R133C8</stp>
        <tr r="H133" s="1"/>
      </tp>
      <tp t="s">
        <v>N</v>
        <stp/>
        <stp>##V3_BDPV12</stp>
        <stp>XS1590503279 CORP</stp>
        <stp>ZERO_CPN</stp>
        <stp>[BondFloaters.xlsx]FLOATERS!R100C8</stp>
        <tr r="H100" s="1"/>
      </tp>
      <tp t="s">
        <v>FDX F 04/11/19</v>
        <stp/>
        <stp>##V3_BDPV12</stp>
        <stp>XS1319814817 CORP</stp>
        <stp>ID_BB_SEC_NUM_DES</stp>
        <stp>[BondFloaters.xlsx]FLOATERS!R77C9</stp>
        <tr r="I77" s="1"/>
      </tp>
      <tp t="s">
        <v>TOTAL F 03/19/20 EMTN</v>
        <stp/>
        <stp>##V3_BDPV12</stp>
        <stp>XS1139316555 CORP</stp>
        <stp>ID_BB_SEC_NUM_DES</stp>
        <stp>[BondFloaters.xlsx]FLOATERS!R78C9</stp>
        <tr r="I78" s="1"/>
      </tp>
      <tp t="s">
        <v>DBHNGR F 09/09/22 EMTN</v>
        <stp/>
        <stp>##V3_BDPV12</stp>
        <stp>XS1107266782 CORP</stp>
        <stp>ID_BB_SEC_NUM_DES</stp>
        <stp>[BondFloaters.xlsx]FLOATERS!R74C9</stp>
        <tr r="I74" s="1"/>
      </tp>
      <tp t="s">
        <v>RENAUL F 12/05/19 EMTN</v>
        <stp/>
        <stp>##V3_BDPV12</stp>
        <stp>FR0013221652 CORP</stp>
        <stp>ID_BB_SEC_NUM_DES</stp>
        <stp>[BondFloaters.xlsx]FLOATERS!R98C9</stp>
        <tr r="I98" s="1"/>
      </tp>
      <tp t="s">
        <v>DE F 03/19/19 EMTN</v>
        <stp/>
        <stp>##V3_BDPV12</stp>
        <stp>XS1046499981 CORP</stp>
        <stp>ID_BB_SEC_NUM_DES</stp>
        <stp>[BondFloaters.xlsx]FLOATERS!R9C9</stp>
        <tr r="I9" s="1"/>
      </tp>
      <tp t="s">
        <v>DT F 04/03/20 EMTN</v>
        <stp/>
        <stp>##V3_BDPV12</stp>
        <stp>XS1382791892 CORP</stp>
        <stp>ID_BB_SEC_NUM_DES</stp>
        <stp>[BondFloaters.xlsx]FLOATERS!R30C9</stp>
        <tr r="I30" s="1"/>
      </tp>
      <tp t="s">
        <v>18/09/2015</v>
        <stp/>
        <stp>##V3_BDPV12</stp>
        <stp>DE000A1Z6M04 CORP</stp>
        <stp>ISSUE_DT</stp>
        <stp>[BondFloaters.xlsx]FLOATERS!R129C11</stp>
        <tr r="K129" s="1"/>
      </tp>
      <tp>
        <v>-0.311</v>
        <stp/>
        <stp>##V3_BDPV12</stp>
        <stp>XS1046499981 CORP</stp>
        <stp>YAS_FLOATER_ASSUMED_RATE</stp>
        <stp>[BondFloaters.xlsx]FLOATERS!R9C23</stp>
        <tr r="W9" s="1"/>
      </tp>
      <tp t="s">
        <v>GSK F 05/21/20 EMTN</v>
        <stp/>
        <stp>##V3_BDPV12</stp>
        <stp>XS1822824642 CORP</stp>
        <stp>ID_BB_SEC_NUM_DES</stp>
        <stp>[BondFloaters.xlsx]FLOATERS!R116C9</stp>
        <tr r="I116" s="1"/>
      </tp>
      <tp t="s">
        <v>BMW F 07/15/19 EMTN</v>
        <stp/>
        <stp>##V3_BDPV12</stp>
        <stp>XS1363560548 CORP</stp>
        <stp>ID_BB_SEC_NUM_DES</stp>
        <stp>[BondFloaters.xlsx]FLOATERS!R133C9</stp>
        <tr r="I133" s="1"/>
      </tp>
      <tp t="s">
        <v>TOYOTA F 07/20/18 EMTN</v>
        <stp/>
        <stp>##V3_BDPV12</stp>
        <stp>XS1171489476 CORP</stp>
        <stp>ID_BB_SEC_NUM_DES</stp>
        <stp>[BondFloaters.xlsx]FLOATERS!R101C9</stp>
        <tr r="I101" s="1"/>
      </tp>
      <tp t="s">
        <v>N</v>
        <stp/>
        <stp>##V3_BDPV12</stp>
        <stp>XS1301773799 CORP</stp>
        <stp>CALLABLE</stp>
        <stp>[BondFloaters.xlsx]FLOATERS!R114C7</stp>
        <tr r="G114" s="1"/>
      </tp>
      <tp t="s">
        <v>N</v>
        <stp/>
        <stp>##V3_BDPV12</stp>
        <stp>XS1822824642 CORP</stp>
        <stp>CALLABLE</stp>
        <stp>[BondFloaters.xlsx]FLOATERS!R116C7</stp>
        <tr r="G116" s="1"/>
      </tp>
      <tp t="s">
        <v>BATSLN F 08/16/21 EMTN</v>
        <stp/>
        <stp>##V3_BDPV12</stp>
        <stp>XS1664643746 CORP</stp>
        <stp>ID_BB_SEC_NUM_DES</stp>
        <stp>[BondFloaters.xlsx]FLOATERS!R73C9</stp>
        <tr r="I73" s="1"/>
      </tp>
      <tp t="s">
        <v>SCANIA F 02/13/19 EMTN</v>
        <stp/>
        <stp>##V3_BDPV12</stp>
        <stp>XS1564405741 CORP</stp>
        <stp>ID_BB_SEC_NUM_DES</stp>
        <stp>[BondFloaters.xlsx]FLOATERS!R21C9</stp>
        <tr r="I21" s="1"/>
      </tp>
      <tp t="s">
        <v>SCANIA F 10/19/20 EMTN</v>
        <stp/>
        <stp>##V3_BDPV12</stp>
        <stp>XS1808497264 CORP</stp>
        <stp>ID_BB_SEC_NUM_DES</stp>
        <stp>[BondFloaters.xlsx]FLOATERS!R13C9</stp>
        <tr r="I13" s="1"/>
      </tp>
      <tp t="s">
        <v>STEDIN F 10/24/22 EMTn</v>
        <stp/>
        <stp>##V3_BDPV12</stp>
        <stp>XS1705553417 CORP</stp>
        <stp>ID_BB_SEC_NUM_DES</stp>
        <stp>[BondFloaters.xlsx]FLOATERS!R85C9</stp>
        <tr r="I85" s="1"/>
      </tp>
      <tp t="s">
        <v>MUFJLF F 02/20/19 EMTN</v>
        <stp/>
        <stp>##V3_BDPV12</stp>
        <stp>XS1033649739 CORP</stp>
        <stp>ID_BB_SEC_NUM_DES</stp>
        <stp>[BondFloaters.xlsx]FLOATERS!R44C9</stp>
        <tr r="I44" s="1"/>
      </tp>
      <tp t="s">
        <v>WPPLN F 03/20/22 EMTN</v>
        <stp/>
        <stp>##V3_BDPV12</stp>
        <stp>XS1794195724 CORP</stp>
        <stp>ID_BB_SEC_NUM_DES</stp>
        <stp>[BondFloaters.xlsx]FLOATERS!R12C9</stp>
        <tr r="I12" s="1"/>
      </tp>
      <tp t="s">
        <v>CL F 05/14/19</v>
        <stp/>
        <stp>##V3_BDPV12</stp>
        <stp>XS1230926609 CORP</stp>
        <stp>ID_BB_SEC_NUM_DES</stp>
        <stp>[BondFloaters.xlsx]FLOATERS!R126C9</stp>
        <tr r="I126" s="1"/>
      </tp>
      <tp t="s">
        <v>N</v>
        <stp/>
        <stp>##V3_BDPV12</stp>
        <stp>XS1767930826 CORP</stp>
        <stp>CALLABLE</stp>
        <stp>[BondFloaters.xlsx]FLOATERS!R110C7</stp>
        <tr r="G110" s="1"/>
      </tp>
      <tp t="s">
        <v>NEXLN F 05/15/20 EMTN</v>
        <stp/>
        <stp>##V3_BDPV12</stp>
        <stp>XS1717202730 CORP</stp>
        <stp>ID_BB_SEC_NUM_DES</stp>
        <stp>[BondFloaters.xlsx]FLOATERS!R128C9</stp>
        <tr r="I128" s="1"/>
      </tp>
      <tp t="s">
        <v>TAP F 03/15/19</v>
        <stp/>
        <stp>##V3_BDPV12</stp>
        <stp>XS1712180477 CORP</stp>
        <stp>ID_BB_SEC_NUM_DES</stp>
        <stp>[BondFloaters.xlsx]FLOATERS!R137C9</stp>
        <tr r="I137" s="1"/>
      </tp>
      <tp t="s">
        <v>N</v>
        <stp/>
        <stp>##V3_BDPV12</stp>
        <stp>XS1771768188 CORP</stp>
        <stp>ZERO_CPN</stp>
        <stp>[BondFloaters.xlsx]FLOATERS!R113C8</stp>
        <tr r="H113" s="1"/>
      </tp>
      <tp t="s">
        <v>N</v>
        <stp/>
        <stp>##V3_BDPV12</stp>
        <stp>XS1715323298 CORP</stp>
        <stp>CALLABLE</stp>
        <stp>[BondFloaters.xlsx]FLOATERS!R111C7</stp>
        <tr r="G111" s="1"/>
      </tp>
      <tp t="s">
        <v>SCANIA F 01/23/20 EMTN</v>
        <stp/>
        <stp>##V3_BDPV12</stp>
        <stp>XS1756669740 CORP</stp>
        <stp>ID_BB_SEC_NUM_DES</stp>
        <stp>[BondFloaters.xlsx]FLOATERS!R72C9</stp>
        <tr r="I72" s="1"/>
      </tp>
      <tp t="s">
        <v>ABIBB F 03/17/20 EMTn</v>
        <stp/>
        <stp>##V3_BDPV12</stp>
        <stp>BE6285450449 CORP</stp>
        <stp>ID_BB_SEC_NUM_DES</stp>
        <stp>[BondFloaters.xlsx]FLOATERS!R37C9</stp>
        <tr r="I37" s="1"/>
      </tp>
      <tp t="s">
        <v>F F 08/13/18 EMTN</v>
        <stp/>
        <stp>##V3_BDPV12</stp>
        <stp>XS1362349869 CORP</stp>
        <stp>ID_BB_SEC_NUM_DES</stp>
        <stp>[BondFloaters.xlsx]FLOATERS!R65C9</stp>
        <tr r="I65" s="1"/>
      </tp>
      <tp t="s">
        <v>ANNGR F 11/20/19</v>
        <stp/>
        <stp>##V3_BDPV12</stp>
        <stp>DE000A19SE11 CORP</stp>
        <stp>ID_BB_SEC_NUM_DES</stp>
        <stp>[BondFloaters.xlsx]FLOATERS!R71C9</stp>
        <tr r="I71" s="1"/>
      </tp>
      <tp t="s">
        <v>ABIBB F 10/19/18 EMTN</v>
        <stp/>
        <stp>##V3_BDPV12</stp>
        <stp>BE6276038419 CORP</stp>
        <stp>ID_BB_SEC_NUM_DES</stp>
        <stp>[BondFloaters.xlsx]FLOATERS!R86C9</stp>
        <tr r="I86" s="1"/>
      </tp>
      <tp t="s">
        <v>#N/A N/A</v>
        <stp/>
        <stp>##V3_BDPV12</stp>
        <stp>XS1480176111 CORP</stp>
        <stp>YAS_FLOATER_ASSUMED_RATE</stp>
        <stp>[BondFloaters.xlsx]FLOATERS!R5C23</stp>
        <tr r="W5" s="1"/>
      </tp>
      <tp>
        <v>30</v>
        <stp/>
        <stp>##V3_BDPV12</stp>
        <stp>DE000A19HBM3 CORP</stp>
        <stp>FLT_SPREAD</stp>
        <stp>[BondFloaters.xlsx]FLOATERS!R99C17</stp>
        <tr r="Q99" s="1"/>
      </tp>
      <tp>
        <v>30</v>
        <stp/>
        <stp>##V3_BDPV12</stp>
        <stp>DE000A19HBM3 CORP</stp>
        <stp>FLT_SPREAD</stp>
        <stp>[BondFloaters.xlsx]FLOATERS!R99C26</stp>
        <tr r="Z99" s="1"/>
      </tp>
      <tp t="s">
        <v>N</v>
        <stp/>
        <stp>##V3_BDPV12</stp>
        <stp>XS1568906421 CORP</stp>
        <stp>CALLABLE</stp>
        <stp>[BondFloaters.xlsx]FLOATERS!R123C7</stp>
        <tr r="G123" s="1"/>
      </tp>
      <tp t="s">
        <v>N</v>
        <stp/>
        <stp>##V3_BDPV12</stp>
        <stp>XS1288342147 CORP</stp>
        <stp>ZERO_CPN</stp>
        <stp>[BondFloaters.xlsx]FLOATERS!R108C8</stp>
        <tr r="H108" s="1"/>
      </tp>
      <tp t="s">
        <v>UTX F 11/13/19 EMTN</v>
        <stp/>
        <stp>##V3_BDPV12</stp>
        <stp>XS1715323298 CORP</stp>
        <stp>ID_BB_SEC_NUM_DES</stp>
        <stp>[BondFloaters.xlsx]FLOATERS!R111C9</stp>
        <tr r="I111" s="1"/>
      </tp>
      <tp t="s">
        <v>N</v>
        <stp/>
        <stp>##V3_BDPV12</stp>
        <stp>XS1717567587 CORP</stp>
        <stp>ZERO_CPN</stp>
        <stp>[BondFloaters.xlsx]FLOATERS!R112C8</stp>
        <tr r="H112" s="1"/>
      </tp>
      <tp t="s">
        <v>N</v>
        <stp/>
        <stp>##V3_BDPV12</stp>
        <stp>XS1753030490 CORP</stp>
        <stp>ZERO_CPN</stp>
        <stp>[BondFloaters.xlsx]FLOATERS!R106C8</stp>
        <tr r="H106" s="1"/>
      </tp>
      <tp t="s">
        <v>N</v>
        <stp/>
        <stp>##V3_BDPV12</stp>
        <stp>XS1230926609 CORP</stp>
        <stp>ZERO_CPN</stp>
        <stp>[BondFloaters.xlsx]FLOATERS!R126C8</stp>
        <tr r="H126" s="1"/>
      </tp>
      <tp t="s">
        <v>F F 08/26/20 EMTN</v>
        <stp/>
        <stp>##V3_BDPV12</stp>
        <stp>XS1590503279 CORP</stp>
        <stp>ID_BB_SEC_NUM_DES</stp>
        <stp>[BondFloaters.xlsx]FLOATERS!R100C9</stp>
        <tr r="I100" s="1"/>
      </tp>
      <tp t="s">
        <v>BMW F 11/22/19 EMTN</v>
        <stp/>
        <stp>##V3_BDPV12</stp>
        <stp>XS1618349804 CORP</stp>
        <stp>ID_BB_SEC_NUM_DES</stp>
        <stp>[BondFloaters.xlsx]FLOATERS!R60C9</stp>
        <tr r="I60" s="1"/>
      </tp>
      <tp t="s">
        <v>F F 12/01/24 EMTN</v>
        <stp/>
        <stp>##V3_BDPV12</stp>
        <stp>XS1729872736 CORP</stp>
        <stp>ID_BB_SEC_NUM_DES</stp>
        <stp>[BondFloaters.xlsx]FLOATERS!R88C9</stp>
        <tr r="I88" s="1"/>
      </tp>
      <tp t="s">
        <v>RENAUL F 03/12/25 emtn</v>
        <stp/>
        <stp>##V3_BDPV12</stp>
        <stp>FR0013322146 CORP</stp>
        <stp>ID_BB_SEC_NUM_DES</stp>
        <stp>[BondFloaters.xlsx]FLOATERS!R95C9</stp>
        <tr r="I95" s="1"/>
      </tp>
      <tp t="s">
        <v>SAPGR F 11/20/18 EMTN</v>
        <stp/>
        <stp>##V3_BDPV12</stp>
        <stp>DE000A13SL18 CORP</stp>
        <stp>ID_BB_SEC_NUM_DES</stp>
        <stp>[BondFloaters.xlsx]FLOATERS!R92C9</stp>
        <tr r="I92" s="1"/>
      </tp>
      <tp>
        <v>-0.34370000000000001</v>
        <stp/>
        <stp>##V3_BDPV12</stp>
        <stp>DE000A19HBM3 CORP</stp>
        <stp>YAS_FLOATER_INDEX_TO_NEXT_COUPON</stp>
        <stp>[BondFloaters.xlsx]FLOATERS!R99C24</stp>
        <tr r="X99" s="1"/>
      </tp>
      <tp t="s">
        <v>01/04/2015</v>
        <stp/>
        <stp>##V3_BDPV12</stp>
        <stp>DE000A14KJE8 CORP</stp>
        <stp>ISSUE_DT</stp>
        <stp>[BondFloaters.xlsx]FLOATERS!R51C11</stp>
        <tr r="K51" s="1"/>
      </tp>
      <tp>
        <v>30</v>
        <stp/>
        <stp>##V3_BDPV12</stp>
        <stp>DE000A14KJE8 CORP</stp>
        <stp>FLT_SPREAD</stp>
        <stp>[BondFloaters.xlsx]FLOATERS!R51C17</stp>
        <tr r="Q51" s="1"/>
      </tp>
      <tp>
        <v>30</v>
        <stp/>
        <stp>##V3_BDPV12</stp>
        <stp>DE000A14KJE8 CORP</stp>
        <stp>FLT_SPREAD</stp>
        <stp>[BondFloaters.xlsx]FLOATERS!R51C26</stp>
        <tr r="Z51" s="1"/>
      </tp>
      <tp t="s">
        <v>N</v>
        <stp/>
        <stp>##V3_BDPV12</stp>
        <stp>XS1717202730 CORP</stp>
        <stp>CALLABLE</stp>
        <stp>[BondFloaters.xlsx]FLOATERS!R128C7</stp>
        <tr r="G128" s="1"/>
      </tp>
      <tp t="s">
        <v>N</v>
        <stp/>
        <stp>##V3_BDPV12</stp>
        <stp>XS1224953452 CORP</stp>
        <stp>CALLABLE</stp>
        <stp>[BondFloaters.xlsx]FLOATERS!R135C7</stp>
        <tr r="G135" s="1"/>
      </tp>
      <tp t="s">
        <v>VW F 07/06/21 EMTN</v>
        <stp/>
        <stp>##V3_BDPV12</stp>
        <stp>XS1642546078 CORP</stp>
        <stp>ID_BB_SEC_NUM_DES</stp>
        <stp>[BondFloaters.xlsx]FLOATERS!R107C9</stp>
        <tr r="I107" s="1"/>
      </tp>
      <tp t="s">
        <v>BAYNGR F 06/26/22</v>
        <stp/>
        <stp>##V3_BDPV12</stp>
        <stp>XS1840614736 CORP</stp>
        <stp>ID_BB_SEC_NUM_DES</stp>
        <stp>[BondFloaters.xlsx]FLOATERS!R132C9</stp>
        <tr r="I132" s="1"/>
      </tp>
      <tp t="s">
        <v>N</v>
        <stp/>
        <stp>##V3_BDPV12</stp>
        <stp>XS1206712868 CORP</stp>
        <stp>CALLABLE</stp>
        <stp>[BondFloaters.xlsx]FLOATERS!R118C7</stp>
        <tr r="G118" s="1"/>
      </tp>
      <tp t="s">
        <v>N</v>
        <stp/>
        <stp>##V3_BDPV12</stp>
        <stp>XS1679028479 CORP</stp>
        <stp>ZERO_CPN</stp>
        <stp>[BondFloaters.xlsx]FLOATERS!R119C8</stp>
        <tr r="H119" s="1"/>
      </tp>
      <tp t="s">
        <v>GM F 05/10/21 EMTN</v>
        <stp/>
        <stp>##V3_BDPV12</stp>
        <stp>XS1609252645 CORP</stp>
        <stp>ID_BB_SEC_NUM_DES</stp>
        <stp>[BondFloaters.xlsx]FLOATERS!R24C9</stp>
        <tr r="I24" s="1"/>
      </tp>
      <tp t="s">
        <v>DAIGR F 01/16/20 EMTN</v>
        <stp/>
        <stp>##V3_BDPV12</stp>
        <stp>XS1750116920 CORP</stp>
        <stp>ID_BB_SEC_NUM_DES</stp>
        <stp>[BondFloaters.xlsx]FLOATERS!R31C9</stp>
        <tr r="I31" s="1"/>
      </tp>
      <tp t="s">
        <v>SANFP F 09/10/18 EMTN</v>
        <stp/>
        <stp>##V3_BDPV12</stp>
        <stp>FR0012146751 CORP</stp>
        <stp>ID_BB_SEC_NUM_DES</stp>
        <stp>[BondFloaters.xlsx]FLOATERS!R67C9</stp>
        <tr r="I67" s="1"/>
      </tp>
      <tp t="s">
        <v>SKYLN F 04/01/20 EMTN</v>
        <stp/>
        <stp>##V3_BDPV12</stp>
        <stp>XS1212467911 CORP</stp>
        <stp>ID_BB_SEC_NUM_DES</stp>
        <stp>[BondFloaters.xlsx]FLOATERS!R57C9</stp>
        <tr r="I57" s="1"/>
      </tp>
      <tp t="s">
        <v>SCANIA F 09/06/19 EMTN</v>
        <stp/>
        <stp>##V3_BDPV12</stp>
        <stp>XS1678632487 CORP</stp>
        <stp>ID_BB_SEC_NUM_DES</stp>
        <stp>[BondFloaters.xlsx]FLOATERS!R6C9</stp>
        <tr r="I6" s="1"/>
      </tp>
      <tp t="s">
        <v>VLVY F 11/28/19 EMTN</v>
        <stp/>
        <stp>##V3_BDPV12</stp>
        <stp>XS1725668633 CORP</stp>
        <stp>ID_BB_SEC_NUM_DES</stp>
        <stp>[BondFloaters.xlsx]FLOATERS!R17C9</stp>
        <tr r="I17" s="1"/>
      </tp>
      <tp t="s">
        <v>UPS F 07/15/20</v>
        <stp/>
        <stp>##V3_BDPV12</stp>
        <stp>XS1323463056 CORP</stp>
        <stp>ID_BB_SEC_NUM_DES</stp>
        <stp>[BondFloaters.xlsx]FLOATERS!R83C9</stp>
        <tr r="I83" s="1"/>
      </tp>
      <tp t="s">
        <v>RENAUL F 04/12/21 EMTN</v>
        <stp/>
        <stp>##V3_BDPV12</stp>
        <stp>FR0013250685 CORP</stp>
        <stp>ID_BB_SEC_NUM_DES</stp>
        <stp>[BondFloaters.xlsx]FLOATERS!R29C9</stp>
        <tr r="I29" s="1"/>
      </tp>
      <tp t="s">
        <v>KO F 09/09/19</v>
        <stp/>
        <stp>##V3_BDPV12</stp>
        <stp>XS1197832832 CORP</stp>
        <stp>ID_BB_SEC_NUM_DES</stp>
        <stp>[BondFloaters.xlsx]FLOATERS!R39C9</stp>
        <tr r="I39" s="1"/>
      </tp>
      <tp t="s">
        <v>VW F 10/11/19 EMTN</v>
        <stp/>
        <stp>##V3_BDPV12</stp>
        <stp>XS1806435324 CORP</stp>
        <stp>ID_BB_SEC_NUM_DES</stp>
        <stp>[BondFloaters.xlsx]FLOATERS!R34C9</stp>
        <tr r="I34" s="1"/>
      </tp>
      <tp t="s">
        <v>PCAR F 05/18/21 EMTN</v>
        <stp/>
        <stp>##V3_BDPV12</stp>
        <stp>XS1823165631 CORP</stp>
        <stp>ID_BB_SEC_NUM_DES</stp>
        <stp>[BondFloaters.xlsx]FLOATERS!R70C9</stp>
        <tr r="I70" s="1"/>
      </tp>
      <tp t="s">
        <v>DT F 12/01/22 EMTN</v>
        <stp/>
        <stp>##V3_BDPV12</stp>
        <stp>XS1828028677 CORP</stp>
        <stp>ID_BB_SEC_NUM_DES</stp>
        <stp>[BondFloaters.xlsx]FLOATERS!R45C9</stp>
        <tr r="I45" s="1"/>
      </tp>
      <tp t="s">
        <v>CLEAN</v>
        <stp/>
        <stp>##V3_BDPV12</stp>
        <stp>BE6301509012 CORP</stp>
        <stp>PX_DIRTY_CLEAN</stp>
        <stp>[BondFloaters.xlsx]FLOATERS!R124C19</stp>
        <tr r="S124" s="1"/>
      </tp>
      <tp t="s">
        <v>N</v>
        <stp/>
        <stp>##V3_BDPV12</stp>
        <stp>DE000A1Z6M04 CORP</stp>
        <stp>CALLABLE</stp>
        <stp>[BondFloaters.xlsx]FLOATERS!R129C7</stp>
        <tr r="G129" s="1"/>
      </tp>
      <tp t="s">
        <v>N</v>
        <stp/>
        <stp>##V3_BDPV12</stp>
        <stp>XS1717202730 CORP</stp>
        <stp>ZERO_CPN</stp>
        <stp>[BondFloaters.xlsx]FLOATERS!R128C8</stp>
        <tr r="H128" s="1"/>
      </tp>
      <tp t="s">
        <v>N</v>
        <stp/>
        <stp>##V3_BDPV12</stp>
        <stp>XS1224953452 CORP</stp>
        <stp>ZERO_CPN</stp>
        <stp>[BondFloaters.xlsx]FLOATERS!R135C8</stp>
        <tr r="H135" s="1"/>
      </tp>
      <tp t="s">
        <v>N</v>
        <stp/>
        <stp>##V3_BDPV12</stp>
        <stp>XS1206712868 CORP</stp>
        <stp>ZERO_CPN</stp>
        <stp>[BondFloaters.xlsx]FLOATERS!R118C8</stp>
        <tr r="H118" s="1"/>
      </tp>
      <tp t="s">
        <v>MCK F 02/12/20</v>
        <stp/>
        <stp>##V3_BDPV12</stp>
        <stp>XS1771768188 CORP</stp>
        <stp>ID_BB_SEC_NUM_DES</stp>
        <stp>[BondFloaters.xlsx]FLOATERS!R113C9</stp>
        <tr r="I113" s="1"/>
      </tp>
      <tp t="s">
        <v>N</v>
        <stp/>
        <stp>##V3_BDPV12</stp>
        <stp>XS1679028479 CORP</stp>
        <stp>CALLABLE</stp>
        <stp>[BondFloaters.xlsx]FLOATERS!R119C7</stp>
        <tr r="G119" s="1"/>
      </tp>
      <tp t="s">
        <v>DE F 09/15/20 EMTN</v>
        <stp/>
        <stp>##V3_BDPV12</stp>
        <stp>XS1683495052 CORP</stp>
        <stp>ID_BB_SEC_NUM_DES</stp>
        <stp>[BondFloaters.xlsx]FLOATERS!R117C9</stp>
        <tr r="I117" s="1"/>
      </tp>
      <tp t="s">
        <v>13/03/2021</v>
        <stp/>
        <stp>##V3_BDPV12</stp>
        <stp>DE000A2G8VS7 CORP</stp>
        <stp>MATURITY</stp>
        <stp>[BondFloaters.xlsx]FLOATERS!R43C18</stp>
        <tr r="R43" s="1"/>
      </tp>
      <tp t="s">
        <v>13/03/2021</v>
        <stp/>
        <stp>##V3_BDPV12</stp>
        <stp>DE000A2G8VS7 CORP</stp>
        <stp>MATURITY</stp>
        <stp>[BondFloaters.xlsx]FLOATERS!R43C15</stp>
        <tr r="O43" s="1"/>
      </tp>
      <tp t="s">
        <v>DE F 04/21/20 EMTN</v>
        <stp/>
        <stp>##V3_BDPV12</stp>
        <stp>XS1398275112 CORP</stp>
        <stp>ID_BB_SEC_NUM_DES</stp>
        <stp>[BondFloaters.xlsx]FLOATERS!R16C9</stp>
        <tr r="I16" s="1"/>
      </tp>
      <tp t="s">
        <v>BNFP F 11/03/18 EMTN</v>
        <stp/>
        <stp>##V3_BDPV12</stp>
        <stp>FR0013216884 CORP</stp>
        <stp>ID_BB_SEC_NUM_DES</stp>
        <stp>[BondFloaters.xlsx]FLOATERS!R7C9</stp>
        <tr r="I7" s="1"/>
      </tp>
      <tp t="s">
        <v>HOFP F 04/19/20 EMTN</v>
        <stp/>
        <stp>##V3_BDPV12</stp>
        <stp>FR0013330107 CORP</stp>
        <stp>ID_BB_SEC_NUM_DES</stp>
        <stp>[BondFloaters.xlsx]FLOATERS!R87C9</stp>
        <tr r="I87" s="1"/>
      </tp>
      <tp t="s">
        <v>ARRFP F 01/03/20 EMTN</v>
        <stp/>
        <stp>##V3_BDPV12</stp>
        <stp>FR0013054020 CORP</stp>
        <stp>ID_BB_SEC_NUM_DES</stp>
        <stp>[BondFloaters.xlsx]FLOATERS!R26C9</stp>
        <tr r="I26" s="1"/>
      </tp>
      <tp t="s">
        <v>DE F 10/03/22 EMTN</v>
        <stp/>
        <stp>##V3_BDPV12</stp>
        <stp>XS1692846790 CORP</stp>
        <stp>ID_BB_SEC_NUM_DES</stp>
        <stp>[BondFloaters.xlsx]FLOATERS!R94C9</stp>
        <tr r="I94" s="1"/>
      </tp>
      <tp>
        <v>-0.311</v>
        <stp/>
        <stp>##V3_BDPV12</stp>
        <stp>DE000A2GSCY9 CORP</stp>
        <stp>YAS_FLOATER_ASSUMED_RATE</stp>
        <stp>[BondFloaters.xlsx]FLOATERS!R14C23</stp>
        <tr r="W14" s="1"/>
      </tp>
      <tp t="s">
        <v>PFE F 03/06/19</v>
        <stp/>
        <stp>##V3_BDPV12</stp>
        <stp>XS1574156540 CORP</stp>
        <stp>ID_BB_SEC_NUM_DES</stp>
        <stp>[BondFloaters.xlsx]FLOATERS!R90C9</stp>
        <tr r="I90" s="1"/>
      </tp>
      <tp t="s">
        <v>UTX F 05/18/20</v>
        <stp/>
        <stp>##V3_BDPV12</stp>
        <stp>XS1822301039 CORP</stp>
        <stp>ID_BB_SEC_NUM_DES</stp>
        <stp>[BondFloaters.xlsx]FLOATERS!R15C9</stp>
        <tr r="I15" s="1"/>
      </tp>
      <tp t="s">
        <v>MMM F 05/15/20 EMTN</v>
        <stp/>
        <stp>##V3_BDPV12</stp>
        <stp>XS1234366448 CORP</stp>
        <stp>ID_BB_SEC_NUM_DES</stp>
        <stp>[BondFloaters.xlsx]FLOATERS!R52C9</stp>
        <tr r="I52" s="1"/>
      </tp>
      <tp t="s">
        <v>N</v>
        <stp/>
        <stp>##V3_BDPV12</stp>
        <stp>DE000A19X793 CORP</stp>
        <stp>CALLABLE</stp>
        <stp>[BondFloaters.xlsx]FLOATERS!R10C7</stp>
        <tr r="G10" s="1"/>
      </tp>
      <tp t="s">
        <v>VW F 06/15/21 EMTN</v>
        <stp/>
        <stp>##V3_BDPV12</stp>
        <stp>XS1734547919 CORP</stp>
        <stp>ID_BB_SEC_NUM_DES</stp>
        <stp>[BondFloaters.xlsx]FLOATERS!R11C9</stp>
        <tr r="I11" s="1"/>
      </tp>
      <tp>
        <v>-0.311</v>
        <stp/>
        <stp>##V3_BDPV12</stp>
        <stp>DE000A169GZ7 CORP</stp>
        <stp>YAS_FLOATER_ASSUMED_RATE</stp>
        <stp>[BondFloaters.xlsx]FLOATERS!R42C23</stp>
        <tr r="W42" s="1"/>
      </tp>
      <tp t="s">
        <v>N</v>
        <stp/>
        <stp>##V3_BDPV12</stp>
        <stp>DE000A1Z6M04 CORP</stp>
        <stp>ZERO_CPN</stp>
        <stp>[BondFloaters.xlsx]FLOATERS!R129C8</stp>
        <tr r="H129" s="1"/>
      </tp>
      <tp t="s">
        <v>13/09/2016</v>
        <stp/>
        <stp>##V3_BDPV12</stp>
        <stp>DE000A185WC9 CORP</stp>
        <stp>ISSUE_DT</stp>
        <stp>[BondFloaters.xlsx]FLOATERS!R47C11</stp>
        <tr r="K47" s="1"/>
      </tp>
      <tp>
        <v>-0.311</v>
        <stp/>
        <stp>##V3_BDPV12</stp>
        <stp>XS1781813511 CORP</stp>
        <stp>YAS_FLOATER_ASSUMED_RATE</stp>
        <stp>[BondFloaters.xlsx]FLOATERS!R8C23</stp>
        <tr r="W8" s="1"/>
      </tp>
      <tp t="s">
        <v>N</v>
        <stp/>
        <stp>##V3_BDPV12</stp>
        <stp>XS1717567587 CORP</stp>
        <stp>CALLABLE</stp>
        <stp>[BondFloaters.xlsx]FLOATERS!R112C7</stp>
        <tr r="G112" s="1"/>
      </tp>
      <tp t="s">
        <v>N</v>
        <stp/>
        <stp>##V3_BDPV12</stp>
        <stp>XS1753030490 CORP</stp>
        <stp>CALLABLE</stp>
        <stp>[BondFloaters.xlsx]FLOATERS!R106C7</stp>
        <tr r="G106" s="1"/>
      </tp>
      <tp t="s">
        <v>N</v>
        <stp/>
        <stp>##V3_BDPV12</stp>
        <stp>XS1288342147 CORP</stp>
        <stp>CALLABLE</stp>
        <stp>[BondFloaters.xlsx]FLOATERS!R108C7</stp>
        <tr r="G108" s="1"/>
      </tp>
      <tp t="s">
        <v>N</v>
        <stp/>
        <stp>##V3_BDPV12</stp>
        <stp>XS1568906421 CORP</stp>
        <stp>ZERO_CPN</stp>
        <stp>[BondFloaters.xlsx]FLOATERS!R123C8</stp>
        <tr r="H123" s="1"/>
      </tp>
      <tp t="s">
        <v>VW F 12/08/21 EMTN</v>
        <stp/>
        <stp>##V3_BDPV12</stp>
        <stp>XS1830992563 CORP</stp>
        <stp>ID_BB_SEC_NUM_DES</stp>
        <stp>[BondFloaters.xlsx]FLOATERS!R109C9</stp>
        <tr r="I109" s="1"/>
      </tp>
      <tp t="s">
        <v>N</v>
        <stp/>
        <stp>##V3_BDPV12</stp>
        <stp>XS1230926609 CORP</stp>
        <stp>CALLABLE</stp>
        <stp>[BondFloaters.xlsx]FLOATERS!R126C7</stp>
        <tr r="G126" s="1"/>
      </tp>
      <tp t="s">
        <v>TOYOTA F 02/26/20 EMTN</v>
        <stp/>
        <stp>##V3_BDPV12</stp>
        <stp>XS1781813511 CORP</stp>
        <stp>ID_BB_SEC_NUM_DES</stp>
        <stp>[BondFloaters.xlsx]FLOATERS!R8C9</stp>
        <tr r="I8" s="1"/>
      </tp>
      <tp t="s">
        <v>MCFP F 02/14/19 EMTN</v>
        <stp/>
        <stp>##V3_BDPV12</stp>
        <stp>FR0012315133 CORP</stp>
        <stp>ID_BB_SEC_NUM_DES</stp>
        <stp>[BondFloaters.xlsx]FLOATERS!R55C9</stp>
        <tr r="I55" s="1"/>
      </tp>
      <tp t="s">
        <v>RDSALN F 09/15/19 EMTN</v>
        <stp/>
        <stp>##V3_BDPV12</stp>
        <stp>XS1292468987 CORP</stp>
        <stp>ID_BB_SEC_NUM_DES</stp>
        <stp>[BondFloaters.xlsx]FLOATERS!R18C9</stp>
        <tr r="I18" s="1"/>
      </tp>
      <tp t="s">
        <v>MCD F 04/05/19 GMTN</v>
        <stp/>
        <stp>##V3_BDPV12</stp>
        <stp>XS1591430746 CORP</stp>
        <stp>ID_BB_SEC_NUM_DES</stp>
        <stp>[BondFloaters.xlsx]FLOATERS!R64C9</stp>
        <tr r="I64" s="1"/>
      </tp>
      <tp t="s">
        <v>TMO F 07/24/19</v>
        <stp/>
        <stp>##V3_BDPV12</stp>
        <stp>XS1651071521 CORP</stp>
        <stp>ID_BB_SEC_NUM_DES</stp>
        <stp>[BondFloaters.xlsx]FLOATERS!R46C9</stp>
        <tr r="I46" s="1"/>
      </tp>
      <tp t="s">
        <v>ALFASS F 09/12/19 EMTN</v>
        <stp/>
        <stp>##V3_BDPV12</stp>
        <stp>XS1108681625 CORP</stp>
        <stp>ID_BB_SEC_NUM_DES</stp>
        <stp>[BondFloaters.xlsx]FLOATERS!R40C9</stp>
        <tr r="I40" s="1"/>
      </tp>
      <tp t="s">
        <v>WPPLN F 05/18/20 EMTN</v>
        <stp/>
        <stp>##V3_BDPV12</stp>
        <stp>XS1612940988 CORP</stp>
        <stp>ID_BB_SEC_NUM_DES</stp>
        <stp>[BondFloaters.xlsx]FLOATERS!R35C9</stp>
        <tr r="I35" s="1"/>
      </tp>
      <tp t="s">
        <v>N</v>
        <stp/>
        <stp>##V3_BDPV12</stp>
        <stp>XS1767930826 CORP</stp>
        <stp>ZERO_CPN</stp>
        <stp>[BondFloaters.xlsx]FLOATERS!R110C8</stp>
        <tr r="H110" s="1"/>
      </tp>
      <tp t="s">
        <v>VW F 04/15/19 EMTN</v>
        <stp/>
        <stp>##V3_BDPV12</stp>
        <stp>XS1057486471 CORP</stp>
        <stp>ID_BB_SEC_NUM_DES</stp>
        <stp>[BondFloaters.xlsx]FLOATERS!R131C9</stp>
        <tr r="I131" s="1"/>
      </tp>
      <tp t="s">
        <v>ACEIM F 02/08/23 EMTN</v>
        <stp/>
        <stp>##V3_BDPV12</stp>
        <stp>XS1767087940 CORP</stp>
        <stp>ID_BB_SEC_NUM_DES</stp>
        <stp>[BondFloaters.xlsx]FLOATERS!R127C9</stp>
        <tr r="I127" s="1"/>
      </tp>
      <tp t="s">
        <v>N</v>
        <stp/>
        <stp>##V3_BDPV12</stp>
        <stp>XS1715323298 CORP</stp>
        <stp>ZERO_CPN</stp>
        <stp>[BondFloaters.xlsx]FLOATERS!R111C8</stp>
        <tr r="H111" s="1"/>
      </tp>
      <tp t="s">
        <v>N</v>
        <stp/>
        <stp>##V3_BDPV12</stp>
        <stp>XS1771768188 CORP</stp>
        <stp>CALLABLE</stp>
        <stp>[BondFloaters.xlsx]FLOATERS!R113C7</stp>
        <tr r="G113" s="1"/>
      </tp>
      <tp t="s">
        <v>RENAUL F 01/12/23 EMTN</v>
        <stp/>
        <stp>##V3_BDPV12</stp>
        <stp>FR0013309606 CORP</stp>
        <stp>ID_BB_SEC_NUM_DES</stp>
        <stp>[BondFloaters.xlsx]FLOATERS!R25C9</stp>
        <tr r="I25" s="1"/>
      </tp>
      <tp t="s">
        <v>DAIGR F 06/24/19 EMTn</v>
        <stp/>
        <stp>##V3_BDPV12</stp>
        <stp>XS1078028864 CORP</stp>
        <stp>ID_BB_SEC_NUM_DES</stp>
        <stp>[BondFloaters.xlsx]FLOATERS!R41C9</stp>
        <tr r="I41" s="1"/>
      </tp>
      <tp t="s">
        <v>NTT F 06/29/20 EMTN</v>
        <stp/>
        <stp>##V3_BDPV12</stp>
        <stp>XS1635905570 CORP</stp>
        <stp>ID_BB_SEC_NUM_DES</stp>
        <stp>[BondFloaters.xlsx]FLOATERS!R79C9</stp>
        <tr r="I79" s="1"/>
      </tp>
      <tp t="s">
        <v>DHR F 06/30/22</v>
        <stp/>
        <stp>##V3_BDPV12</stp>
        <stp>XS1637162246 CORP</stp>
        <stp>ID_BB_SEC_NUM_DES</stp>
        <stp>[BondFloaters.xlsx]FLOATERS!R32C9</stp>
        <tr r="I32" s="1"/>
      </tp>
      <tp t="s">
        <v>VLVY F 09/06/19 EMTN</v>
        <stp/>
        <stp>##V3_BDPV12</stp>
        <stp>XS1485660895 CORP</stp>
        <stp>ID_BB_SEC_NUM_DES</stp>
        <stp>[BondFloaters.xlsx]FLOATERS!R58C9</stp>
        <tr r="I58" s="1"/>
      </tp>
      <tp t="s">
        <v>VW F 03/30/19</v>
        <stp/>
        <stp>##V3_BDPV12</stp>
        <stp>XS1586555515 CORP</stp>
        <stp>ID_BB_SEC_NUM_DES</stp>
        <stp>[BondFloaters.xlsx]FLOATERS!R53C9</stp>
        <tr r="I53" s="1"/>
      </tp>
      <tp t="s">
        <v>13/11/2017</v>
        <stp/>
        <stp>##V3_BDPV12</stp>
        <stp>DE000A19RXA1 CORP</stp>
        <stp>ISSUE_DT</stp>
        <stp>[BondFloaters.xlsx]FLOATERS!R62C11</stp>
        <tr r="K62" s="1"/>
      </tp>
      <tp t="s">
        <v>20/02/2019</v>
        <stp/>
        <stp>##V3_BDPV12</stp>
        <stp>DE000A19SE11 CORP</stp>
        <stp>NXT_CPN_DT</stp>
        <stp>[BondFloaters.xlsx]FLOATERS!R71C14</stp>
        <tr r="N71" s="1"/>
      </tp>
      <tp t="s">
        <v>03/01/2019</v>
        <stp/>
        <stp>##V3_BDPV12</stp>
        <stp>DE000A2GSCY9 CORP</stp>
        <stp>NXT_CPN_DT</stp>
        <stp>[BondFloaters.xlsx]FLOATERS!R14C14</stp>
        <tr r="N14" s="1"/>
      </tp>
      <tp t="s">
        <v>#N/A Field Not Applicable</v>
        <stp/>
        <stp>##V3_BDPV12</stp>
        <stp>DE000A13SL18 CORP</stp>
        <stp>NXT_CPN_DT</stp>
        <stp>[BondFloaters.xlsx]FLOATERS!R92C14</stp>
        <tr r="N92" s="1"/>
      </tp>
      <tp t="s">
        <v>15/03/2019</v>
        <stp/>
        <stp>##V3_BDPV12</stp>
        <stp>US30231GAE26 CORP</stp>
        <stp>NXT_CPN_DT</stp>
        <stp>[BondFloaters.xlsx]FLOATERS!R27C14</stp>
        <tr r="N27" s="1"/>
      </tp>
      <tp t="s">
        <v>F F 11/15/23 EMTN</v>
        <stp/>
        <stp>##V3_BDPV12</stp>
        <stp>XS1821814982 CORP</stp>
        <stp>ID_BB_SEC_NUM_DES</stp>
        <stp>[BondFloaters.xlsx]FLOATERS!R102C9</stp>
        <tr r="I102" s="1"/>
      </tp>
      <tp t="s">
        <v>CAFP F 10/21/19</v>
        <stp/>
        <stp>##V3_BDPV12</stp>
        <stp>XS1301773799 CORP</stp>
        <stp>ID_BB_SEC_NUM_DES</stp>
        <stp>[BondFloaters.xlsx]FLOATERS!R114C9</stp>
        <tr r="I114" s="1"/>
      </tp>
      <tp t="s">
        <v>N</v>
        <stp/>
        <stp>##V3_BDPV12</stp>
        <stp>XS1822824642 CORP</stp>
        <stp>ZERO_CPN</stp>
        <stp>[BondFloaters.xlsx]FLOATERS!R116C8</stp>
        <tr r="H116" s="1"/>
      </tp>
      <tp t="s">
        <v>HNDA F 03/11/19 EMTN</v>
        <stp/>
        <stp>##V3_BDPV12</stp>
        <stp>XS1288342147 CORP</stp>
        <stp>ID_BB_SEC_NUM_DES</stp>
        <stp>[BondFloaters.xlsx]FLOATERS!R108C9</stp>
        <tr r="I108" s="1"/>
      </tp>
      <tp t="s">
        <v>N</v>
        <stp/>
        <stp>##V3_BDPV12</stp>
        <stp>XS1301773799 CORP</stp>
        <stp>ZERO_CPN</stp>
        <stp>[BondFloaters.xlsx]FLOATERS!R114C8</stp>
        <tr r="H114" s="1"/>
      </tp>
      <tp t="s">
        <v>GFCFP F 06/30/22 EMTN</v>
        <stp/>
        <stp>##V3_BDPV12</stp>
        <stp>FR0013266343 CORP</stp>
        <stp>ID_BB_SEC_NUM_DES</stp>
        <stp>[BondFloaters.xlsx]FLOATERS!R91C9</stp>
        <tr r="I91" s="1"/>
      </tp>
      <tp t="s">
        <v>ARRFP F 03/31/19 EMTN</v>
        <stp/>
        <stp>##V3_BDPV12</stp>
        <stp>FR0011884899 CORP</stp>
        <stp>ID_BB_SEC_NUM_DES</stp>
        <stp>[BondFloaters.xlsx]FLOATERS!R66C9</stp>
        <tr r="I66" s="1"/>
      </tp>
      <tp t="s">
        <v>ALDFP F 02/26/21 EMTN</v>
        <stp/>
        <stp>##V3_BDPV12</stp>
        <stp>XS1782508508 CORP</stp>
        <stp>ID_BB_SEC_NUM_DES</stp>
        <stp>[BondFloaters.xlsx]FLOATERS!R23C9</stp>
        <tr r="I23" s="1"/>
      </tp>
      <tp t="s">
        <v>XOM F 03/15/19</v>
        <stp/>
        <stp>##V3_BDPV12</stp>
        <stp>US30231GAE26 CORP</stp>
        <stp>ID_BB_SEC_NUM_DES</stp>
        <stp>[BondFloaters.xlsx]FLOATERS!R27C9</stp>
        <tr r="I27" s="1"/>
      </tp>
      <tp t="s">
        <v>13/02/2019</v>
        <stp/>
        <stp>##V3_BDPV12</stp>
        <stp>DE000A19RXA1 CORP</stp>
        <stp>NXT_CPN_DT</stp>
        <stp>[BondFloaters.xlsx]FLOATERS!R62C14</stp>
        <tr r="N62" s="1"/>
      </tp>
      <tp>
        <v>21</v>
        <stp/>
        <stp>##V3_BDPV12</stp>
        <stp>XS1771768188 CORP</stp>
        <stp>CALC_TYP</stp>
        <stp>[BondFloaters.xlsx]FLOATERS!R113C6</stp>
        <tr r="F113" s="1"/>
      </tp>
      <tp t="s">
        <v>AR1711845</v>
        <stp/>
        <stp>##V3_BDPV12</stp>
        <stp>XS1771768188 CORP</stp>
        <stp>ID_CUSIP</stp>
        <stp>[BondFloaters.xlsx]FLOATERS!R113C1</stp>
        <tr r="A113" s="1"/>
      </tp>
      <tp t="s">
        <v>CLEAN</v>
        <stp/>
        <stp>##V3_BDPV12</stp>
        <stp>XS1568906421 CORP</stp>
        <stp>PX_DIRTY_CLEAN</stp>
        <stp>[BondFloaters.xlsx]FLOATERS!R123C19</stp>
        <tr r="S123" s="1"/>
      </tp>
      <tp t="s">
        <v>03/11/2018</v>
        <stp/>
        <stp>##V3_BDPV12</stp>
        <stp>FR0013216884 CORP</stp>
        <stp>MATURITY</stp>
        <stp>[BondFloaters.xlsx]FLOATERS!R7C18</stp>
        <tr r="R7" s="1"/>
      </tp>
      <tp t="s">
        <v>03/11/2018</v>
        <stp/>
        <stp>##V3_BDPV12</stp>
        <stp>FR0013216884 CORP</stp>
        <stp>MATURITY</stp>
        <stp>[BondFloaters.xlsx]FLOATERS!R7C15</stp>
        <tr r="O7" s="1"/>
      </tp>
      <tp t="s">
        <v>CLEAN</v>
        <stp/>
        <stp>##V3_BDPV12</stp>
        <stp>XS1679028479 CORP</stp>
        <stp>PX_DIRTY_CLEAN</stp>
        <stp>[BondFloaters.xlsx]FLOATERS!R119C19</stp>
        <tr r="S119" s="1"/>
      </tp>
      <tp t="s">
        <v>11/05/2022</v>
        <stp/>
        <stp>##V3_BDPV12</stp>
        <stp>DE000A19HBM3 CORP</stp>
        <stp>MATURITY</stp>
        <stp>[BondFloaters.xlsx]FLOATERS!R99C15</stp>
        <tr r="O99" s="1"/>
      </tp>
      <tp t="s">
        <v>11/05/2022</v>
        <stp/>
        <stp>##V3_BDPV12</stp>
        <stp>DE000A19HBM3 CORP</stp>
        <stp>MATURITY</stp>
        <stp>[BondFloaters.xlsx]FLOATERS!R99C18</stp>
        <tr r="R99" s="1"/>
      </tp>
      <tp>
        <v>21</v>
        <stp/>
        <stp>##V3_BDPV12</stp>
        <stp>XS1679028479 CORP</stp>
        <stp>CALC_TYP</stp>
        <stp>[BondFloaters.xlsx]FLOATERS!R119C6</stp>
        <tr r="F119" s="1"/>
      </tp>
      <tp t="s">
        <v>AO9711687</v>
        <stp/>
        <stp>##V3_BDPV12</stp>
        <stp>XS1679028479 CORP</stp>
        <stp>ID_CUSIP</stp>
        <stp>[BondFloaters.xlsx]FLOATERS!R119C1</stp>
        <tr r="A119" s="1"/>
      </tp>
      <tp t="s">
        <v>CLEAN</v>
        <stp/>
        <stp>##V3_BDPV12</stp>
        <stp>XS1206712868 CORP</stp>
        <stp>PX_DIRTY_CLEAN</stp>
        <stp>[BondFloaters.xlsx]FLOATERS!R118C19</stp>
        <tr r="S118" s="1"/>
      </tp>
      <tp t="s">
        <v>CLEAN</v>
        <stp/>
        <stp>##V3_BDPV12</stp>
        <stp>XS1767087940 CORP</stp>
        <stp>PX_DIRTY_CLEAN</stp>
        <stp>[BondFloaters.xlsx]FLOATERS!R127C19</stp>
        <tr r="S127" s="1"/>
      </tp>
      <tp>
        <v>30</v>
        <stp/>
        <stp>##V3_BDPV12</stp>
        <stp>DE000A13SL18 CORP</stp>
        <stp>FLT_SPREAD</stp>
        <stp>[BondFloaters.xlsx]FLOATERS!R92C26</stp>
        <tr r="Z92" s="1"/>
      </tp>
      <tp>
        <v>30</v>
        <stp/>
        <stp>##V3_BDPV12</stp>
        <stp>DE000A13SL18 CORP</stp>
        <stp>FLT_SPREAD</stp>
        <stp>[BondFloaters.xlsx]FLOATERS!R92C17</stp>
        <tr r="Q92" s="1"/>
      </tp>
      <tp>
        <v>35</v>
        <stp/>
        <stp>##V3_BDPV12</stp>
        <stp>DE000A19SE11 CORP</stp>
        <stp>FLT_SPREAD</stp>
        <stp>[BondFloaters.xlsx]FLOATERS!R71C26</stp>
        <tr r="Z71" s="1"/>
      </tp>
      <tp>
        <v>35</v>
        <stp/>
        <stp>##V3_BDPV12</stp>
        <stp>DE000A19SE11 CORP</stp>
        <stp>FLT_SPREAD</stp>
        <stp>[BondFloaters.xlsx]FLOATERS!R71C17</stp>
        <tr r="Q71" s="1"/>
      </tp>
      <tp>
        <v>45</v>
        <stp/>
        <stp>##V3_BDPV12</stp>
        <stp>DE000A2GSCY9 CORP</stp>
        <stp>FLT_SPREAD</stp>
        <stp>[BondFloaters.xlsx]FLOATERS!R14C17</stp>
        <tr r="Q14" s="1"/>
      </tp>
      <tp>
        <v>45</v>
        <stp/>
        <stp>##V3_BDPV12</stp>
        <stp>DE000A2GSCY9 CORP</stp>
        <stp>FLT_SPREAD</stp>
        <stp>[BondFloaters.xlsx]FLOATERS!R14C26</stp>
        <tr r="Z14" s="1"/>
      </tp>
      <tp>
        <v>15</v>
        <stp/>
        <stp>##V3_BDPV12</stp>
        <stp>US30231GAE26 CORP</stp>
        <stp>FLT_SPREAD</stp>
        <stp>[BondFloaters.xlsx]FLOATERS!R27C26</stp>
        <tr r="Z27" s="1"/>
      </tp>
      <tp>
        <v>15</v>
        <stp/>
        <stp>##V3_BDPV12</stp>
        <stp>US30231GAE26 CORP</stp>
        <stp>FLT_SPREAD</stp>
        <stp>[BondFloaters.xlsx]FLOATERS!R27C17</stp>
        <tr r="Q27" s="1"/>
      </tp>
      <tp>
        <v>21</v>
        <stp/>
        <stp>##V3_BDPV12</stp>
        <stp>XS1288342147 CORP</stp>
        <stp>CALC_TYP</stp>
        <stp>[BondFloaters.xlsx]FLOATERS!R108C6</stp>
        <tr r="F108" s="1"/>
      </tp>
      <tp t="s">
        <v>UV7718553</v>
        <stp/>
        <stp>##V3_BDPV12</stp>
        <stp>XS1288342147 CORP</stp>
        <stp>ID_CUSIP</stp>
        <stp>[BondFloaters.xlsx]FLOATERS!R108C1</stp>
        <tr r="A108" s="1"/>
      </tp>
      <tp>
        <v>21</v>
        <stp/>
        <stp>##V3_BDPV12</stp>
        <stp>XS1753030490 CORP</stp>
        <stp>CALC_TYP</stp>
        <stp>[BondFloaters.xlsx]FLOATERS!R106C6</stp>
        <tr r="F106" s="1"/>
      </tp>
      <tp t="s">
        <v>AP9543053</v>
        <stp/>
        <stp>##V3_BDPV12</stp>
        <stp>XS1717567587 CORP</stp>
        <stp>ID_CUSIP</stp>
        <stp>[BondFloaters.xlsx]FLOATERS!R112C1</stp>
        <tr r="A112" s="1"/>
      </tp>
      <tp>
        <v>21</v>
        <stp/>
        <stp>##V3_BDPV12</stp>
        <stp>XS1717567587 CORP</stp>
        <stp>CALC_TYP</stp>
        <stp>[BondFloaters.xlsx]FLOATERS!R112C6</stp>
        <tr r="F112" s="1"/>
      </tp>
      <tp t="s">
        <v>AQ7116546</v>
        <stp/>
        <stp>##V3_BDPV12</stp>
        <stp>XS1753030490 CORP</stp>
        <stp>ID_CUSIP</stp>
        <stp>[BondFloaters.xlsx]FLOATERS!R106C1</stp>
        <tr r="A106" s="1"/>
      </tp>
      <tp>
        <v>21</v>
        <stp/>
        <stp>##V3_BDPV12</stp>
        <stp>XS1230926609 CORP</stp>
        <stp>CALC_TYP</stp>
        <stp>[BondFloaters.xlsx]FLOATERS!R126C6</stp>
        <tr r="F126" s="1"/>
      </tp>
      <tp t="s">
        <v>EK9031791</v>
        <stp/>
        <stp>##V3_BDPV12</stp>
        <stp>XS1230926609 CORP</stp>
        <stp>ID_CUSIP</stp>
        <stp>[BondFloaters.xlsx]FLOATERS!R126C1</stp>
        <tr r="A126" s="1"/>
      </tp>
      <tp>
        <v>-0.311</v>
        <stp/>
        <stp>##V3_BDPV12</stp>
        <stp>DE000A14KJE8 CORP</stp>
        <stp>YAS_FLOATER_ASSUMED_RATE</stp>
        <stp>[BondFloaters.xlsx]FLOATERS!R51C23</stp>
        <tr r="W51" s="1"/>
      </tp>
      <tp t="s">
        <v>26/02/2018</v>
        <stp/>
        <stp>##V3_BDPV12</stp>
        <stp>XS1781813511 CORP</stp>
        <stp>ISSUE_DT</stp>
        <stp>[BondFloaters.xlsx]FLOATERS!R8C11</stp>
        <tr r="K8" s="1"/>
      </tp>
      <tp t="s">
        <v>CLEAN</v>
        <stp/>
        <stp>##V3_BDPV12</stp>
        <stp>XS1767930826 CORP</stp>
        <stp>PX_DIRTY_CLEAN</stp>
        <stp>[BondFloaters.xlsx]FLOATERS!R110C19</stp>
        <tr r="S110" s="1"/>
      </tp>
      <tp t="s">
        <v>CLEAN</v>
        <stp/>
        <stp>##V3_BDPV12</stp>
        <stp>XS1577870808 CORP</stp>
        <stp>PX_DIRTY_CLEAN</stp>
        <stp>[BondFloaters.xlsx]FLOATERS!R138C19</stp>
        <tr r="S138" s="1"/>
      </tp>
      <tp>
        <v>-0.31266666666666665</v>
        <stp/>
        <stp>##V3_BDPV12</stp>
        <stp>DE000A1Z6M04 CORP</stp>
        <stp>YAS_FLOATER_INDEX_TO_NEXT_COUPON</stp>
        <stp>[BondFloaters.xlsx]FLOATERS!R129C24</stp>
        <tr r="X129" s="1"/>
      </tp>
      <tp>
        <v>60</v>
        <stp/>
        <stp>##V3_BDPV12</stp>
        <stp>DE000A19RXA1 CORP</stp>
        <stp>FLT_SPREAD</stp>
        <stp>[BondFloaters.xlsx]FLOATERS!R62C26</stp>
        <tr r="Z62" s="1"/>
      </tp>
      <tp>
        <v>60</v>
        <stp/>
        <stp>##V3_BDPV12</stp>
        <stp>DE000A19RXA1 CORP</stp>
        <stp>FLT_SPREAD</stp>
        <stp>[BondFloaters.xlsx]FLOATERS!R62C17</stp>
        <tr r="Q62" s="1"/>
      </tp>
      <tp>
        <v>21</v>
        <stp/>
        <stp>##V3_BDPV12</stp>
        <stp>XS1568906421 CORP</stp>
        <stp>CALC_TYP</stp>
        <stp>[BondFloaters.xlsx]FLOATERS!R123C6</stp>
        <tr r="F123" s="1"/>
      </tp>
      <tp t="s">
        <v>AM5142717</v>
        <stp/>
        <stp>##V3_BDPV12</stp>
        <stp>XS1568906421 CORP</stp>
        <stp>ID_CUSIP</stp>
        <stp>[BondFloaters.xlsx]FLOATERS!R123C1</stp>
        <tr r="A123" s="1"/>
      </tp>
      <tp t="s">
        <v>CLEAN</v>
        <stp/>
        <stp>##V3_BDPV12</stp>
        <stp>XS1821814982 CORP</stp>
        <stp>PX_DIRTY_CLEAN</stp>
        <stp>[BondFloaters.xlsx]FLOATERS!R102C19</stp>
        <tr r="S102" s="1"/>
      </tp>
      <tp>
        <v>-0.311</v>
        <stp/>
        <stp>##V3_BDPV12</stp>
        <stp>DE000A1Z6M04 CORP</stp>
        <stp>YAS_FLOATER_ASSUMED_RATE</stp>
        <stp>[BondFloaters.xlsx]FLOATERS!R129C23</stp>
        <tr r="W129" s="1"/>
      </tp>
      <tp t="s">
        <v>03/07/2017</v>
        <stp/>
        <stp>##V3_BDPV12</stp>
        <stp>DE000A2GSCY9 CORP</stp>
        <stp>ISSUE_DT</stp>
        <stp>[BondFloaters.xlsx]FLOATERS!R14C11</stp>
        <tr r="K14" s="1"/>
      </tp>
      <tp t="s">
        <v>N</v>
        <stp/>
        <stp>##V3_BDPV12</stp>
        <stp>US30231GAE26 CORP</stp>
        <stp>ZERO_CPN</stp>
        <stp>[BondFloaters.xlsx]FLOATERS!R27C8</stp>
        <tr r="H27" s="1"/>
      </tp>
      <tp t="s">
        <v>AP9115019</v>
        <stp/>
        <stp>##V3_BDPV12</stp>
        <stp>XS1717202730 CORP</stp>
        <stp>ID_CUSIP</stp>
        <stp>[BondFloaters.xlsx]FLOATERS!R128C1</stp>
        <tr r="A128" s="1"/>
      </tp>
      <tp>
        <v>21</v>
        <stp/>
        <stp>##V3_BDPV12</stp>
        <stp>XS1224953452 CORP</stp>
        <stp>CALC_TYP</stp>
        <stp>[BondFloaters.xlsx]FLOATERS!R135C6</stp>
        <tr r="F135" s="1"/>
      </tp>
      <tp t="s">
        <v>EK8757206</v>
        <stp/>
        <stp>##V3_BDPV12</stp>
        <stp>XS1224953452 CORP</stp>
        <stp>ID_CUSIP</stp>
        <stp>[BondFloaters.xlsx]FLOATERS!R135C1</stp>
        <tr r="A135" s="1"/>
      </tp>
      <tp>
        <v>21</v>
        <stp/>
        <stp>##V3_BDPV12</stp>
        <stp>XS1717202730 CORP</stp>
        <stp>CALC_TYP</stp>
        <stp>[BondFloaters.xlsx]FLOATERS!R128C6</stp>
        <tr r="F128" s="1"/>
      </tp>
      <tp t="s">
        <v>EK7816961</v>
        <stp/>
        <stp>##V3_BDPV12</stp>
        <stp>XS1206712868 CORP</stp>
        <stp>ID_CUSIP</stp>
        <stp>[BondFloaters.xlsx]FLOATERS!R118C1</stp>
        <tr r="A118" s="1"/>
      </tp>
      <tp>
        <v>21</v>
        <stp/>
        <stp>##V3_BDPV12</stp>
        <stp>XS1206712868 CORP</stp>
        <stp>CALC_TYP</stp>
        <stp>[BondFloaters.xlsx]FLOATERS!R118C6</stp>
        <tr r="F118" s="1"/>
      </tp>
      <tp t="s">
        <v>CLEAN</v>
        <stp/>
        <stp>##V3_BDPV12</stp>
        <stp>XS1288342147 CORP</stp>
        <stp>PX_DIRTY_CLEAN</stp>
        <stp>[BondFloaters.xlsx]FLOATERS!R108C19</stp>
        <tr r="S108" s="1"/>
      </tp>
      <tp t="s">
        <v>#N/A N/A</v>
        <stp/>
        <stp>##V3_BDPV12</stp>
        <stp>DE000A185WC9 CORP</stp>
        <stp>YAS_FLOATER_ASSUMED_RATE</stp>
        <stp>[BondFloaters.xlsx]FLOATERS!R47C23</stp>
        <tr r="W47" s="1"/>
      </tp>
      <tp t="s">
        <v>19/03/2019</v>
        <stp/>
        <stp>##V3_BDPV12</stp>
        <stp>XS1046499981 CORP</stp>
        <stp>MATURITY</stp>
        <stp>[BondFloaters.xlsx]FLOATERS!R9C15</stp>
        <tr r="O9" s="1"/>
      </tp>
      <tp t="s">
        <v>19/03/2019</v>
        <stp/>
        <stp>##V3_BDPV12</stp>
        <stp>XS1046499981 CORP</stp>
        <stp>MATURITY</stp>
        <stp>[BondFloaters.xlsx]FLOATERS!R9C18</stp>
        <tr r="R9" s="1"/>
      </tp>
      <tp t="s">
        <v>12/01/2016</v>
        <stp/>
        <stp>##V3_BDPV12</stp>
        <stp>DE000A169GZ7 CORP</stp>
        <stp>ISSUE_DT</stp>
        <stp>[BondFloaters.xlsx]FLOATERS!R42C11</stp>
        <tr r="K42" s="1"/>
      </tp>
      <tp t="s">
        <v>UV8278045</v>
        <stp/>
        <stp>##V3_BDPV12</stp>
        <stp>DE000A1Z6M04 CORP</stp>
        <stp>ID_CUSIP</stp>
        <stp>[BondFloaters.xlsx]FLOATERS!R129C1</stp>
        <tr r="A129" s="1"/>
      </tp>
      <tp>
        <v>21</v>
        <stp/>
        <stp>##V3_BDPV12</stp>
        <stp>DE000A1Z6M04 CORP</stp>
        <stp>CALC_TYP</stp>
        <stp>[BondFloaters.xlsx]FLOATERS!R129C6</stp>
        <tr r="F129" s="1"/>
      </tp>
      <tp t="s">
        <v>11/02/2019</v>
        <stp/>
        <stp>##V3_BDPV12</stp>
        <stp>DE000A19HBM3 CORP</stp>
        <stp>NXT_CPN_DT</stp>
        <stp>[BondFloaters.xlsx]FLOATERS!R99C14</stp>
        <tr r="N99" s="1"/>
      </tp>
      <tp t="s">
        <v>AR7762099</v>
        <stp/>
        <stp>##V3_BDPV12</stp>
        <stp>DE000A19X793 CORP</stp>
        <stp>ID_CUSIP</stp>
        <stp>[BondFloaters.xlsx]FLOATERS!R10C1</stp>
        <tr r="A10" s="1"/>
      </tp>
      <tp>
        <v>21</v>
        <stp/>
        <stp>##V3_BDPV12</stp>
        <stp>DE000A19X793 CORP</stp>
        <stp>CALC_TYP</stp>
        <stp>[BondFloaters.xlsx]FLOATERS!R10C6</stp>
        <tr r="F10" s="1"/>
      </tp>
      <tp>
        <v>21</v>
        <stp/>
        <stp>##V3_BDPV12</stp>
        <stp>XS1822824642 CORP</stp>
        <stp>CALC_TYP</stp>
        <stp>[BondFloaters.xlsx]FLOATERS!R116C6</stp>
        <tr r="F116" s="1"/>
      </tp>
      <tp t="s">
        <v>AS6398158</v>
        <stp/>
        <stp>##V3_BDPV12</stp>
        <stp>XS1822824642 CORP</stp>
        <stp>ID_CUSIP</stp>
        <stp>[BondFloaters.xlsx]FLOATERS!R116C1</stp>
        <tr r="A116" s="1"/>
      </tp>
      <tp>
        <v>21</v>
        <stp/>
        <stp>##V3_BDPV12</stp>
        <stp>XS1301773799 CORP</stp>
        <stp>CALC_TYP</stp>
        <stp>[BondFloaters.xlsx]FLOATERS!R114C6</stp>
        <tr r="F114" s="1"/>
      </tp>
      <tp t="s">
        <v>QJ1660183</v>
        <stp/>
        <stp>##V3_BDPV12</stp>
        <stp>XS1301773799 CORP</stp>
        <stp>ID_CUSIP</stp>
        <stp>[BondFloaters.xlsx]FLOATERS!R114C1</stp>
        <tr r="A114" s="1"/>
      </tp>
      <tp t="s">
        <v>23/08/2016</v>
        <stp/>
        <stp>##V3_BDPV12</stp>
        <stp>XS1480176111 CORP</stp>
        <stp>ISSUE_DT</stp>
        <stp>[BondFloaters.xlsx]FLOATERS!R5C11</stp>
        <tr r="K5" s="1"/>
      </tp>
      <tp t="s">
        <v>06/09/2019</v>
        <stp/>
        <stp>##V3_BDPV12</stp>
        <stp>XS1678632487 CORP</stp>
        <stp>MATURITY</stp>
        <stp>[BondFloaters.xlsx]FLOATERS!R6C18</stp>
        <tr r="R6" s="1"/>
      </tp>
      <tp t="s">
        <v>06/09/2019</v>
        <stp/>
        <stp>##V3_BDPV12</stp>
        <stp>XS1678632487 CORP</stp>
        <stp>MATURITY</stp>
        <stp>[BondFloaters.xlsx]FLOATERS!R6C15</stp>
        <tr r="O6" s="1"/>
      </tp>
      <tp t="s">
        <v>02/01/2019</v>
        <stp/>
        <stp>##V3_BDPV12</stp>
        <stp>DE000A14KJE8 CORP</stp>
        <stp>NXT_CPN_DT</stp>
        <stp>[BondFloaters.xlsx]FLOATERS!R51C14</stp>
        <tr r="N51" s="1"/>
      </tp>
      <tp t="s">
        <v>AR0503136</v>
        <stp/>
        <stp>##V3_BDPV12</stp>
        <stp>XS1767930826 CORP</stp>
        <stp>ID_CUSIP</stp>
        <stp>[BondFloaters.xlsx]FLOATERS!R110C1</stp>
        <tr r="A110" s="1"/>
      </tp>
      <tp>
        <v>21</v>
        <stp/>
        <stp>##V3_BDPV12</stp>
        <stp>XS1767930826 CORP</stp>
        <stp>CALC_TYP</stp>
        <stp>[BondFloaters.xlsx]FLOATERS!R110C6</stp>
        <tr r="F110" s="1"/>
      </tp>
      <tp>
        <v>-0.31683333333333336</v>
        <stp/>
        <stp>##V3_BDPV12</stp>
        <stp>DE000A2G8VS7 CORP</stp>
        <stp>YAS_FLOATER_INDEX_TO_NEXT_COUPON</stp>
        <stp>[BondFloaters.xlsx]FLOATERS!R43C24</stp>
        <tr r="X43" s="1"/>
      </tp>
      <tp>
        <v>21</v>
        <stp/>
        <stp>##V3_BDPV12</stp>
        <stp>XS1715323298 CORP</stp>
        <stp>CALC_TYP</stp>
        <stp>[BondFloaters.xlsx]FLOATERS!R111C6</stp>
        <tr r="F111" s="1"/>
      </tp>
      <tp t="s">
        <v>913017CS6</v>
        <stp/>
        <stp>##V3_BDPV12</stp>
        <stp>XS1715323298 CORP</stp>
        <stp>ID_CUSIP</stp>
        <stp>[BondFloaters.xlsx]FLOATERS!R111C1</stp>
        <tr r="A111" s="1"/>
      </tp>
      <tp t="s">
        <v>CLEAN</v>
        <stp/>
        <stp>##V3_BDPV12</stp>
        <stp>FR0013263936 CORP</stp>
        <stp>PX_DIRTY_CLEAN</stp>
        <stp>[BondFloaters.xlsx]FLOATERS!R136C19</stp>
        <tr r="S136" s="1"/>
      </tp>
      <tp>
        <v>-0.311</v>
        <stp/>
        <stp>##V3_BDPV12</stp>
        <stp>DE000A19RXA1 CORP</stp>
        <stp>YAS_FLOATER_ASSUMED_RATE</stp>
        <stp>[BondFloaters.xlsx]FLOATERS!R62C23</stp>
        <tr r="W62" s="1"/>
      </tp>
      <tp t="s">
        <v>CLEAN</v>
        <stp/>
        <stp>##V3_BDPV12</stp>
        <stp>XS1715353105 CORP</stp>
        <stp>PX_DIRTY_CLEAN</stp>
        <stp>[BondFloaters.xlsx]FLOATERS!R120C19</stp>
        <tr r="S120" s="1"/>
      </tp>
      <tp t="s">
        <v>19/03/2014</v>
        <stp/>
        <stp>##V3_BDPV12</stp>
        <stp>XS1046499981 CORP</stp>
        <stp>ISSUE_DT</stp>
        <stp>[BondFloaters.xlsx]FLOATERS!R9C11</stp>
        <tr r="K9" s="1"/>
      </tp>
      <tp t="s">
        <v>CLEAN</v>
        <stp/>
        <stp>##V3_BDPV12</stp>
        <stp>FR0013342664 CORP</stp>
        <stp>PX_DIRTY_CLEAN</stp>
        <stp>[BondFloaters.xlsx]FLOATERS!R122C19</stp>
        <tr r="S122" s="1"/>
      </tp>
      <tp t="s">
        <v>CLEAN</v>
        <stp/>
        <stp>##V3_BDPV12</stp>
        <stp>XS1822824642 CORP</stp>
        <stp>PX_DIRTY_CLEAN</stp>
        <stp>[BondFloaters.xlsx]FLOATERS!R116C19</stp>
        <tr r="S116" s="1"/>
      </tp>
      <tp>
        <v>45</v>
        <stp/>
        <stp>##V3_BDPV12</stp>
        <stp>DE000A19X793 CORP</stp>
        <stp>FLT_SPREAD</stp>
        <stp>[BondFloaters.xlsx]FLOATERS!R10C17</stp>
        <tr r="Q10" s="1"/>
      </tp>
      <tp>
        <v>45</v>
        <stp/>
        <stp>##V3_BDPV12</stp>
        <stp>DE000A19X793 CORP</stp>
        <stp>FLT_SPREAD</stp>
        <stp>[BondFloaters.xlsx]FLOATERS!R10C26</stp>
        <tr r="Z10" s="1"/>
      </tp>
      <tp t="s">
        <v>EK9217085</v>
        <stp/>
        <stp>##V3_BDPV12</stp>
        <stp>XS1237187718 CORP</stp>
        <stp>ID_CUSIP</stp>
        <stp>[BondFloaters.xlsx]FLOATERS!R105C1</stp>
        <tr r="A105" s="1"/>
      </tp>
      <tp t="s">
        <v>018489AD6</v>
        <stp/>
        <stp>##V3_BDPV12</stp>
        <stp>XS1622634126 CORP</stp>
        <stp>ID_CUSIP</stp>
        <stp>[BondFloaters.xlsx]FLOATERS!R121C1</stp>
        <tr r="A121" s="1"/>
      </tp>
      <tp>
        <v>21</v>
        <stp/>
        <stp>##V3_BDPV12</stp>
        <stp>XS1237187718 CORP</stp>
        <stp>CALC_TYP</stp>
        <stp>[BondFloaters.xlsx]FLOATERS!R105C6</stp>
        <tr r="F105" s="1"/>
      </tp>
      <tp>
        <v>21</v>
        <stp/>
        <stp>##V3_BDPV12</stp>
        <stp>XS1622634126 CORP</stp>
        <stp>CALC_TYP</stp>
        <stp>[BondFloaters.xlsx]FLOATERS!R121C6</stp>
        <tr r="F121" s="1"/>
      </tp>
      <tp t="s">
        <v>AO1671939</v>
        <stp/>
        <stp>##V3_BDPV12</stp>
        <stp>XS1642546078 CORP</stp>
        <stp>ID_CUSIP</stp>
        <stp>[BondFloaters.xlsx]FLOATERS!R107C1</stp>
        <tr r="A107" s="1"/>
      </tp>
      <tp>
        <v>21</v>
        <stp/>
        <stp>##V3_BDPV12</stp>
        <stp>XS1642546078 CORP</stp>
        <stp>CALC_TYP</stp>
        <stp>[BondFloaters.xlsx]FLOATERS!R107C6</stp>
        <tr r="F107" s="1"/>
      </tp>
      <tp t="s">
        <v>CLEAN</v>
        <stp/>
        <stp>##V3_BDPV12</stp>
        <stp>XS1171489476 CORP</stp>
        <stp>PX_DIRTY_CLEAN</stp>
        <stp>[BondFloaters.xlsx]FLOATERS!R101C19</stp>
        <tr r="S101" s="1"/>
      </tp>
      <tp t="s">
        <v>CLEAN</v>
        <stp/>
        <stp>##V3_BDPV12</stp>
        <stp>XS1574667124 CORP</stp>
        <stp>PX_DIRTY_CLEAN</stp>
        <stp>[BondFloaters.xlsx]FLOATERS!R104C19</stp>
        <tr r="S104" s="1"/>
      </tp>
      <tp t="s">
        <v>CLEAN</v>
        <stp/>
        <stp>##V3_BDPV12</stp>
        <stp>XS1830992563 CORP</stp>
        <stp>PX_DIRTY_CLEAN</stp>
        <stp>[BondFloaters.xlsx]FLOATERS!R109C19</stp>
        <tr r="S109" s="1"/>
      </tp>
      <tp t="s">
        <v>01/04/2020</v>
        <stp/>
        <stp>##V3_BDPV12</stp>
        <stp>DE000A14KJE8 CORP</stp>
        <stp>MATURITY</stp>
        <stp>[BondFloaters.xlsx]FLOATERS!R51C18</stp>
        <tr r="R51" s="1"/>
      </tp>
      <tp t="s">
        <v>01/04/2020</v>
        <stp/>
        <stp>##V3_BDPV12</stp>
        <stp>DE000A14KJE8 CORP</stp>
        <stp>MATURITY</stp>
        <stp>[BondFloaters.xlsx]FLOATERS!R51C15</stp>
        <tr r="O51" s="1"/>
      </tp>
      <tp t="s">
        <v>AS9288943</v>
        <stp/>
        <stp>##V3_BDPV12</stp>
        <stp>XS1830992563 CORP</stp>
        <stp>ID_CUSIP</stp>
        <stp>[BondFloaters.xlsx]FLOATERS!R109C1</stp>
        <tr r="A109" s="1"/>
      </tp>
      <tp>
        <v>21</v>
        <stp/>
        <stp>##V3_BDPV12</stp>
        <stp>XS1346107433 CORP</stp>
        <stp>CALC_TYP</stp>
        <stp>[BondFloaters.xlsx]FLOATERS!R134C6</stp>
        <tr r="F134" s="1"/>
      </tp>
      <tp>
        <v>21</v>
        <stp/>
        <stp>##V3_BDPV12</stp>
        <stp>FR0013342664 CORP</stp>
        <stp>CALC_TYP</stp>
        <stp>[BondFloaters.xlsx]FLOATERS!R122C6</stp>
        <tr r="F122" s="1"/>
      </tp>
      <tp>
        <v>21</v>
        <stp/>
        <stp>##V3_BDPV12</stp>
        <stp>FR0013263936 CORP</stp>
        <stp>CALC_TYP</stp>
        <stp>[BondFloaters.xlsx]FLOATERS!R136C6</stp>
        <tr r="F136" s="1"/>
      </tp>
      <tp t="s">
        <v>370334BY9</v>
        <stp/>
        <stp>##V3_BDPV12</stp>
        <stp>XS1346107433 CORP</stp>
        <stp>ID_CUSIP</stp>
        <stp>[BondFloaters.xlsx]FLOATERS!R134C1</stp>
        <tr r="A134" s="1"/>
      </tp>
      <tp>
        <v>21</v>
        <stp/>
        <stp>##V3_BDPV12</stp>
        <stp>XS1830992563 CORP</stp>
        <stp>CALC_TYP</stp>
        <stp>[BondFloaters.xlsx]FLOATERS!R109C6</stp>
        <tr r="F109" s="1"/>
      </tp>
      <tp t="s">
        <v>AT0013991</v>
        <stp/>
        <stp>##V3_BDPV12</stp>
        <stp>FR0013342664 CORP</stp>
        <stp>ID_CUSIP</stp>
        <stp>[BondFloaters.xlsx]FLOATERS!R122C1</stp>
        <tr r="A122" s="1"/>
      </tp>
      <tp t="s">
        <v>AN9424572</v>
        <stp/>
        <stp>##V3_BDPV12</stp>
        <stp>FR0013263936 CORP</stp>
        <stp>ID_CUSIP</stp>
        <stp>[BondFloaters.xlsx]FLOATERS!R136C1</stp>
        <tr r="A136" s="1"/>
      </tp>
      <tp>
        <v>21</v>
        <stp/>
        <stp>##V3_BDPV12</stp>
        <stp>XS1683495052 CORP</stp>
        <stp>CALC_TYP</stp>
        <stp>[BondFloaters.xlsx]FLOATERS!R117C6</stp>
        <tr r="F117" s="1"/>
      </tp>
      <tp t="s">
        <v>AP0781801</v>
        <stp/>
        <stp>##V3_BDPV12</stp>
        <stp>XS1683495052 CORP</stp>
        <stp>ID_CUSIP</stp>
        <stp>[BondFloaters.xlsx]FLOATERS!R117C1</stp>
        <tr r="A117" s="1"/>
      </tp>
      <tp t="s">
        <v>CLEAN</v>
        <stp/>
        <stp>##V3_BDPV12</stp>
        <stp>XS1363560548 CORP</stp>
        <stp>PX_DIRTY_CLEAN</stp>
        <stp>[BondFloaters.xlsx]FLOATERS!R133C19</stp>
        <tr r="S133" s="1"/>
      </tp>
      <tp t="s">
        <v>CLEAN</v>
        <stp/>
        <stp>##V3_BDPV12</stp>
        <stp>XS1712180477 CORP</stp>
        <stp>PX_DIRTY_CLEAN</stp>
        <stp>[BondFloaters.xlsx]FLOATERS!R137C19</stp>
        <tr r="S137" s="1"/>
      </tp>
      <tp t="s">
        <v>CLEAN</v>
        <stp/>
        <stp>##V3_BDPV12</stp>
        <stp>XS1230926609 CORP</stp>
        <stp>PX_DIRTY_CLEAN</stp>
        <stp>[BondFloaters.xlsx]FLOATERS!R126C19</stp>
        <tr r="S126" s="1"/>
      </tp>
      <tp t="s">
        <v>CLEAN</v>
        <stp/>
        <stp>##V3_BDPV12</stp>
        <stp>XS1301773799 CORP</stp>
        <stp>PX_DIRTY_CLEAN</stp>
        <stp>[BondFloaters.xlsx]FLOATERS!R114C19</stp>
        <tr r="S114" s="1"/>
      </tp>
      <tp>
        <v>21</v>
        <stp/>
        <stp>##V3_BDPV12</stp>
        <stp>BE6301509012 CORP</stp>
        <stp>CALC_TYP</stp>
        <stp>[BondFloaters.xlsx]FLOATERS!R124C6</stp>
        <tr r="F124" s="1"/>
      </tp>
      <tp t="s">
        <v>AQ6887436</v>
        <stp/>
        <stp>##V3_BDPV12</stp>
        <stp>BE6301509012 CORP</stp>
        <stp>ID_CUSIP</stp>
        <stp>[BondFloaters.xlsx]FLOATERS!R124C1</stp>
        <tr r="A124" s="1"/>
      </tp>
      <tp t="s">
        <v>AT1821186</v>
        <stp/>
        <stp>##V3_BDPV12</stp>
        <stp>XS1840614736 CORP</stp>
        <stp>ID_CUSIP</stp>
        <stp>[BondFloaters.xlsx]FLOATERS!R132C1</stp>
        <tr r="A132" s="1"/>
      </tp>
      <tp>
        <v>21</v>
        <stp/>
        <stp>##V3_BDPV12</stp>
        <stp>XS1840614736 CORP</stp>
        <stp>CALC_TYP</stp>
        <stp>[BondFloaters.xlsx]FLOATERS!R132C6</stp>
        <tr r="F132" s="1"/>
      </tp>
      <tp t="s">
        <v>07/09/2017</v>
        <stp/>
        <stp>##V3_BDPV12</stp>
        <stp>XS1678632487 CORP</stp>
        <stp>ISSUE_DT</stp>
        <stp>[BondFloaters.xlsx]FLOATERS!R6C11</stp>
        <tr r="K6" s="1"/>
      </tp>
      <tp>
        <v>-0.311</v>
        <stp/>
        <stp>##V3_BDPV12</stp>
        <stp>DE000A19HBM3 CORP</stp>
        <stp>YAS_FLOATER_ASSUMED_RATE</stp>
        <stp>[BondFloaters.xlsx]FLOATERS!R99C23</stp>
        <tr r="W99" s="1"/>
      </tp>
      <tp t="s">
        <v>CLEAN</v>
        <stp/>
        <stp>##V3_BDPV12</stp>
        <stp>XS1840614736 CORP</stp>
        <stp>PX_DIRTY_CLEAN</stp>
        <stp>[BondFloaters.xlsx]FLOATERS!R132C19</stp>
        <tr r="S132" s="1"/>
      </tp>
      <tp t="s">
        <v>CLEAN</v>
        <stp/>
        <stp>##V3_BDPV12</stp>
        <stp>XS1715323298 CORP</stp>
        <stp>PX_DIRTY_CLEAN</stp>
        <stp>[BondFloaters.xlsx]FLOATERS!R111C19</stp>
        <tr r="S111" s="1"/>
      </tp>
      <tp t="s">
        <v>CLEAN</v>
        <stp/>
        <stp>##V3_BDPV12</stp>
        <stp>XS1753030490 CORP</stp>
        <stp>PX_DIRTY_CLEAN</stp>
        <stp>[BondFloaters.xlsx]FLOATERS!R106C19</stp>
        <tr r="S106" s="1"/>
      </tp>
      <tp t="s">
        <v>23/08/2018</v>
        <stp/>
        <stp>##V3_BDPV12</stp>
        <stp>XS1480176111 CORP</stp>
        <stp>MATURITY</stp>
        <stp>[BondFloaters.xlsx]FLOATERS!R5C18</stp>
        <tr r="R5" s="1"/>
      </tp>
      <tp t="s">
        <v>23/08/2018</v>
        <stp/>
        <stp>##V3_BDPV12</stp>
        <stp>XS1480176111 CORP</stp>
        <stp>MATURITY</stp>
        <stp>[BondFloaters.xlsx]FLOATERS!R5C15</stp>
        <tr r="O5" s="1"/>
      </tp>
      <tp t="s">
        <v>JK2037535</v>
        <stp/>
        <stp>##V3_BDPV12</stp>
        <stp>XS1372838083 CORP</stp>
        <stp>ID_CUSIP</stp>
        <stp>[BondFloaters.xlsx]FLOATERS!R130C1</stp>
        <tr r="A130" s="1"/>
      </tp>
      <tp t="s">
        <v>JK3966690</v>
        <stp/>
        <stp>##V3_BDPV12</stp>
        <stp>FR0013136330 CORP</stp>
        <stp>ID_CUSIP</stp>
        <stp>[BondFloaters.xlsx]FLOATERS!R103C1</stp>
        <tr r="A103" s="1"/>
      </tp>
      <tp>
        <v>21</v>
        <stp/>
        <stp>##V3_BDPV12</stp>
        <stp>XS1372838083 CORP</stp>
        <stp>CALC_TYP</stp>
        <stp>[BondFloaters.xlsx]FLOATERS!R130C6</stp>
        <tr r="F130" s="1"/>
      </tp>
      <tp>
        <v>21</v>
        <stp/>
        <stp>##V3_BDPV12</stp>
        <stp>FR0013136330 CORP</stp>
        <stp>CALC_TYP</stp>
        <stp>[BondFloaters.xlsx]FLOATERS!R103C6</stp>
        <tr r="F103" s="1"/>
      </tp>
      <tp t="s">
        <v>AM6605472</v>
        <stp/>
        <stp>##V3_BDPV12</stp>
        <stp>XS1574667124 CORP</stp>
        <stp>ID_CUSIP</stp>
        <stp>[BondFloaters.xlsx]FLOATERS!R104C1</stp>
        <tr r="A104" s="1"/>
      </tp>
      <tp>
        <v>21</v>
        <stp/>
        <stp>##V3_BDPV12</stp>
        <stp>XS1574667124 CORP</stp>
        <stp>CALC_TYP</stp>
        <stp>[BondFloaters.xlsx]FLOATERS!R104C6</stp>
        <tr r="F104" s="1"/>
      </tp>
      <tp t="s">
        <v>AM7699995</v>
        <stp/>
        <stp>##V3_BDPV12</stp>
        <stp>XS1577870808 CORP</stp>
        <stp>ID_CUSIP</stp>
        <stp>[BondFloaters.xlsx]FLOATERS!R138C1</stp>
        <tr r="A138" s="1"/>
      </tp>
      <tp>
        <v>21</v>
        <stp/>
        <stp>##V3_BDPV12</stp>
        <stp>XS1577870808 CORP</stp>
        <stp>CALC_TYP</stp>
        <stp>[BondFloaters.xlsx]FLOATERS!R138C6</stp>
        <tr r="F138" s="1"/>
      </tp>
      <tp t="s">
        <v>CLEAN</v>
        <stp/>
        <stp>##V3_BDPV12</stp>
        <stp>XS1237187718 CORP</stp>
        <stp>PX_DIRTY_CLEAN</stp>
        <stp>[BondFloaters.xlsx]FLOATERS!R105C19</stp>
        <tr r="S105" s="1"/>
      </tp>
      <tp t="s">
        <v>CLEAN</v>
        <stp/>
        <stp>##V3_BDPV12</stp>
        <stp>XS1717202730 CORP</stp>
        <stp>PX_DIRTY_CLEAN</stp>
        <stp>[BondFloaters.xlsx]FLOATERS!R128C19</stp>
        <tr r="S128" s="1"/>
      </tp>
      <tp t="s">
        <v>CLEAN</v>
        <stp/>
        <stp>##V3_BDPV12</stp>
        <stp>XS1771768188 CORP</stp>
        <stp>PX_DIRTY_CLEAN</stp>
        <stp>[BondFloaters.xlsx]FLOATERS!R113C19</stp>
        <tr r="S113" s="1"/>
      </tp>
      <tp t="s">
        <v>CLEAN</v>
        <stp/>
        <stp>##V3_BDPV12</stp>
        <stp>XS1224953452 CORP</stp>
        <stp>PX_DIRTY_CLEAN</stp>
        <stp>[BondFloaters.xlsx]FLOATERS!R135C19</stp>
        <tr r="S135" s="1"/>
      </tp>
      <tp>
        <v>-0.37526086956521737</v>
        <stp/>
        <stp>##V3_BDPV12</stp>
        <stp>DE000A2GSCY9 CORP</stp>
        <stp>YAS_FLOATER_INDEX_TO_NEXT_COUPON</stp>
        <stp>[BondFloaters.xlsx]FLOATERS!R14C24</stp>
        <tr r="X14" s="1"/>
      </tp>
      <tp t="s">
        <v>N</v>
        <stp/>
        <stp>##V3_BDPV12</stp>
        <stp>US30231GAE26 CORP</stp>
        <stp>CALLABLE</stp>
        <stp>[BondFloaters.xlsx]FLOATERS!R27C7</stp>
        <tr r="G27" s="1"/>
      </tp>
      <tp>
        <v>21</v>
        <stp/>
        <stp>##V3_BDPV12</stp>
        <stp>XS1712180477 CORP</stp>
        <stp>CALC_TYP</stp>
        <stp>[BondFloaters.xlsx]FLOATERS!R137C6</stp>
        <tr r="F137" s="1"/>
      </tp>
      <tp t="s">
        <v>60871RAQ3</v>
        <stp/>
        <stp>##V3_BDPV12</stp>
        <stp>XS1712180477 CORP</stp>
        <stp>ID_CUSIP</stp>
        <stp>[BondFloaters.xlsx]FLOATERS!R137C1</stp>
        <tr r="A137" s="1"/>
      </tp>
      <tp t="s">
        <v>CLEAN</v>
        <stp/>
        <stp>##V3_BDPV12</stp>
        <stp>FR0013136330 CORP</stp>
        <stp>PX_DIRTY_CLEAN</stp>
        <stp>[BondFloaters.xlsx]FLOATERS!R103C19</stp>
        <tr r="S103" s="1"/>
      </tp>
      <tp t="s">
        <v>CLEAN</v>
        <stp/>
        <stp>##V3_BDPV12</stp>
        <stp>XS1306411726 CORP</stp>
        <stp>PX_DIRTY_CLEAN</stp>
        <stp>[BondFloaters.xlsx]FLOATERS!R115C19</stp>
        <tr r="S115" s="1"/>
      </tp>
      <tp t="s">
        <v>03/11/2016</v>
        <stp/>
        <stp>##V3_BDPV12</stp>
        <stp>FR0013216884 CORP</stp>
        <stp>ISSUE_DT</stp>
        <stp>[BondFloaters.xlsx]FLOATERS!R7C11</stp>
        <tr r="K7" s="1"/>
      </tp>
      <tp>
        <v>-0.37173913043478263</v>
        <stp/>
        <stp>##V3_BDPV12</stp>
        <stp>DE000A169GZ7 CORP</stp>
        <stp>YAS_FLOATER_INDEX_TO_NEXT_COUPON</stp>
        <stp>[BondFloaters.xlsx]FLOATERS!R42C24</stp>
        <tr r="X42" s="1"/>
      </tp>
      <tp t="s">
        <v>13/11/2019</v>
        <stp/>
        <stp>##V3_BDPV12</stp>
        <stp>DE000A19RXA1 CORP</stp>
        <stp>MATURITY</stp>
        <stp>[BondFloaters.xlsx]FLOATERS!R62C15</stp>
        <tr r="O62" s="1"/>
      </tp>
      <tp t="s">
        <v>13/11/2019</v>
        <stp/>
        <stp>##V3_BDPV12</stp>
        <stp>DE000A19RXA1 CORP</stp>
        <stp>MATURITY</stp>
        <stp>[BondFloaters.xlsx]FLOATERS!R62C18</stp>
        <tr r="R62" s="1"/>
      </tp>
      <tp>
        <v>21</v>
        <stp/>
        <stp>##V3_BDPV12</stp>
        <stp>XS1057486471 CORP</stp>
        <stp>CALC_TYP</stp>
        <stp>[BondFloaters.xlsx]FLOATERS!R131C6</stp>
        <tr r="F131" s="1"/>
      </tp>
      <tp t="s">
        <v>AS5803307</v>
        <stp/>
        <stp>##V3_BDPV12</stp>
        <stp>XS1821814982 CORP</stp>
        <stp>ID_CUSIP</stp>
        <stp>[BondFloaters.xlsx]FLOATERS!R102C1</stp>
        <tr r="A102" s="1"/>
      </tp>
      <tp t="s">
        <v>EK1727461</v>
        <stp/>
        <stp>##V3_BDPV12</stp>
        <stp>XS1057486471 CORP</stp>
        <stp>ID_CUSIP</stp>
        <stp>[BondFloaters.xlsx]FLOATERS!R131C1</stp>
        <tr r="A131" s="1"/>
      </tp>
      <tp>
        <v>21</v>
        <stp/>
        <stp>##V3_BDPV12</stp>
        <stp>XS1821814982 CORP</stp>
        <stp>CALC_TYP</stp>
        <stp>[BondFloaters.xlsx]FLOATERS!R102C6</stp>
        <tr r="F102" s="1"/>
      </tp>
      <tp>
        <v>21</v>
        <stp/>
        <stp>##V3_BDPV12</stp>
        <stp>XS1590503279 CORP</stp>
        <stp>CALC_TYP</stp>
        <stp>[BondFloaters.xlsx]FLOATERS!R100C6</stp>
        <tr r="F100" s="1"/>
      </tp>
      <tp t="s">
        <v>EK6986781</v>
        <stp/>
        <stp>##V3_BDPV12</stp>
        <stp>XS1171489476 CORP</stp>
        <stp>ID_CUSIP</stp>
        <stp>[BondFloaters.xlsx]FLOATERS!R101C1</stp>
        <tr r="A101" s="1"/>
      </tp>
      <tp>
        <v>21</v>
        <stp/>
        <stp>##V3_BDPV12</stp>
        <stp>XS1363560548 CORP</stp>
        <stp>CALC_TYP</stp>
        <stp>[BondFloaters.xlsx]FLOATERS!R133C6</stp>
        <tr r="F133" s="1"/>
      </tp>
      <tp t="s">
        <v>AN0403807</v>
        <stp/>
        <stp>##V3_BDPV12</stp>
        <stp>XS1590503279 CORP</stp>
        <stp>ID_CUSIP</stp>
        <stp>[BondFloaters.xlsx]FLOATERS!R100C1</stp>
        <tr r="A100" s="1"/>
      </tp>
      <tp>
        <v>21</v>
        <stp/>
        <stp>##V3_BDPV12</stp>
        <stp>XS1171489476 CORP</stp>
        <stp>CALC_TYP</stp>
        <stp>[BondFloaters.xlsx]FLOATERS!R101C6</stp>
        <tr r="F101" s="1"/>
      </tp>
      <tp t="s">
        <v>JV9912603</v>
        <stp/>
        <stp>##V3_BDPV12</stp>
        <stp>XS1363560548 CORP</stp>
        <stp>ID_CUSIP</stp>
        <stp>[BondFloaters.xlsx]FLOATERS!R133C1</stp>
        <tr r="A133" s="1"/>
      </tp>
      <tp t="s">
        <v>CLEAN</v>
        <stp/>
        <stp>##V3_BDPV12</stp>
        <stp>XS1590503279 CORP</stp>
        <stp>PX_DIRTY_CLEAN</stp>
        <stp>[BondFloaters.xlsx]FLOATERS!R100C19</stp>
        <tr r="S100" s="1"/>
      </tp>
      <tp t="s">
        <v>CLEAN</v>
        <stp/>
        <stp>##V3_BDPV12</stp>
        <stp>XS1642546078 CORP</stp>
        <stp>PX_DIRTY_CLEAN</stp>
        <stp>[BondFloaters.xlsx]FLOATERS!R107C19</stp>
        <tr r="S107" s="1"/>
      </tp>
      <tp t="s">
        <v>CLEAN</v>
        <stp/>
        <stp>##V3_BDPV12</stp>
        <stp>XS1346107433 CORP</stp>
        <stp>PX_DIRTY_CLEAN</stp>
        <stp>[BondFloaters.xlsx]FLOATERS!R134C19</stp>
        <tr r="S134" s="1"/>
      </tp>
      <tp t="s">
        <v>CLEAN</v>
        <stp/>
        <stp>##V3_BDPV12</stp>
        <stp>XS1372838083 CORP</stp>
        <stp>PX_DIRTY_CLEAN</stp>
        <stp>[BondFloaters.xlsx]FLOATERS!R130C19</stp>
        <tr r="S130" s="1"/>
      </tp>
      <tp t="s">
        <v>CLEAN</v>
        <stp/>
        <stp>##V3_BDPV12</stp>
        <stp>XS1717567587 CORP</stp>
        <stp>PX_DIRTY_CLEAN</stp>
        <stp>[BondFloaters.xlsx]FLOATERS!R112C19</stp>
        <tr r="S112" s="1"/>
      </tp>
      <tp t="s">
        <v>26/02/2020</v>
        <stp/>
        <stp>##V3_BDPV12</stp>
        <stp>XS1781813511 CORP</stp>
        <stp>MATURITY</stp>
        <stp>[BondFloaters.xlsx]FLOATERS!R8C18</stp>
        <tr r="R8" s="1"/>
      </tp>
      <tp t="s">
        <v>26/02/2020</v>
        <stp/>
        <stp>##V3_BDPV12</stp>
        <stp>XS1781813511 CORP</stp>
        <stp>MATURITY</stp>
        <stp>[BondFloaters.xlsx]FLOATERS!R8C15</stp>
        <tr r="O8" s="1"/>
      </tp>
      <tp t="s">
        <v>13/03/2018</v>
        <stp/>
        <stp>##V3_BDPV12</stp>
        <stp>DE000A2G8VS7 CORP</stp>
        <stp>ISSUE_DT</stp>
        <stp>[BondFloaters.xlsx]FLOATERS!R43C11</stp>
        <tr r="K43" s="1"/>
      </tp>
      <tp>
        <v>21</v>
        <stp/>
        <stp>##V3_BDPV12</stp>
        <stp>XS1306411726 CORP</stp>
        <stp>CALC_TYP</stp>
        <stp>[BondFloaters.xlsx]FLOATERS!R115C6</stp>
        <tr r="F115" s="1"/>
      </tp>
      <tp t="s">
        <v>AP8877569</v>
        <stp/>
        <stp>##V3_BDPV12</stp>
        <stp>XS1715353105 CORP</stp>
        <stp>ID_CUSIP</stp>
        <stp>[BondFloaters.xlsx]FLOATERS!R120C1</stp>
        <tr r="A120" s="1"/>
      </tp>
      <tp t="s">
        <v>QJ1240697</v>
        <stp/>
        <stp>##V3_BDPV12</stp>
        <stp>XS1306411726 CORP</stp>
        <stp>ID_CUSIP</stp>
        <stp>[BondFloaters.xlsx]FLOATERS!R115C1</stp>
        <tr r="A115" s="1"/>
      </tp>
      <tp>
        <v>21</v>
        <stp/>
        <stp>##V3_BDPV12</stp>
        <stp>XS1715353105 CORP</stp>
        <stp>CALC_TYP</stp>
        <stp>[BondFloaters.xlsx]FLOATERS!R120C6</stp>
        <tr r="F120" s="1"/>
      </tp>
      <tp t="s">
        <v>AQ9280357</v>
        <stp/>
        <stp>##V3_BDPV12</stp>
        <stp>XS1767087940 CORP</stp>
        <stp>ID_CUSIP</stp>
        <stp>[BondFloaters.xlsx]FLOATERS!R127C1</stp>
        <tr r="A127" s="1"/>
      </tp>
      <tp>
        <v>21</v>
        <stp/>
        <stp>##V3_BDPV12</stp>
        <stp>XS1767087940 CORP</stp>
        <stp>CALC_TYP</stp>
        <stp>[BondFloaters.xlsx]FLOATERS!R127C6</stp>
        <tr r="F127" s="1"/>
      </tp>
      <tp t="s">
        <v>CLEAN</v>
        <stp/>
        <stp>##V3_BDPV12</stp>
        <stp>XS1057486471 CORP</stp>
        <stp>PX_DIRTY_CLEAN</stp>
        <stp>[BondFloaters.xlsx]FLOATERS!R131C19</stp>
        <tr r="S131" s="1"/>
      </tp>
      <tp t="s">
        <v>CLEAN</v>
        <stp/>
        <stp>##V3_BDPV12</stp>
        <stp>XS1683495052 CORP</stp>
        <stp>PX_DIRTY_CLEAN</stp>
        <stp>[BondFloaters.xlsx]FLOATERS!R117C19</stp>
        <tr r="S117" s="1"/>
      </tp>
      <tp t="s">
        <v>CLEAN</v>
        <stp/>
        <stp>##V3_BDPV12</stp>
        <stp>XS1622634126 CORP</stp>
        <stp>PX_DIRTY_CLEAN</stp>
        <stp>[BondFloaters.xlsx]FLOATERS!R121C19</stp>
        <tr r="S121" s="1"/>
      </tp>
      <tp t="s">
        <v>13/09/2018</v>
        <stp/>
        <stp>##V3_BDPV12</stp>
        <stp>DE000A185WC9 CORP</stp>
        <stp>MATURITY</stp>
        <stp>[BondFloaters.xlsx]FLOATERS!R47C15</stp>
        <tr r="O47" s="1"/>
      </tp>
      <tp t="s">
        <v>13/09/2018</v>
        <stp/>
        <stp>##V3_BDPV12</stp>
        <stp>DE000A185WC9 CORP</stp>
        <stp>MATURITY</stp>
        <stp>[BondFloaters.xlsx]FLOATERS!R47C18</stp>
        <tr r="R47" s="1"/>
      </tp>
      <tp>
        <v>305.50483546460464</v>
        <stp/>
        <stp>##V3_BDPV12</stp>
        <stp>XS1821814982 CORP</stp>
        <stp>YAS_FLOATER_DISCOUNT_MARGIN</stp>
        <stp>[BondFloaters.xlsx]FLOATERS!R102C22</stp>
        <tr r="V102" s="1"/>
      </tp>
      <tp>
        <v>-4.5118430580736337</v>
        <stp/>
        <stp>##V3_BDPV12</stp>
        <stp>XS1372838083 CORP</stp>
        <stp>YAS_FLOATER_DISCOUNT_MARGIN</stp>
        <stp>[BondFloaters.xlsx]FLOATERS!R130C22</stp>
        <tr r="V130" s="1"/>
      </tp>
      <tp>
        <v>10.07285617440531</v>
        <stp/>
        <stp>##V3_BDPV12</stp>
        <stp>XS1237187718 CORP</stp>
        <stp>YAS_FLOATER_DISCOUNT_MARGIN</stp>
        <stp>[BondFloaters.xlsx]FLOATERS!R105C22</stp>
        <tr r="V105" s="1"/>
      </tp>
      <tp>
        <v>1.3866281857224216</v>
        <stp/>
        <stp>##V3_BDPV12</stp>
        <stp>FR0013263936 CORP</stp>
        <stp>YAS_FLOATER_DISCOUNT_MARGIN</stp>
        <stp>[BondFloaters.xlsx]FLOATERS!R136C22</stp>
        <tr r="V136" s="1"/>
      </tp>
      <tp t="s">
        <v>CLEAN</v>
        <stp/>
        <stp>##V3_BDPV12</stp>
        <stp>XS1398275112 CORP</stp>
        <stp>PX_DIRTY_CLEAN</stp>
        <stp>[BondFloaters.xlsx]FLOATERS!R16C19</stp>
        <tr r="S16" s="1"/>
      </tp>
      <tp t="s">
        <v>CLEAN</v>
        <stp/>
        <stp>##V3_BDPV12</stp>
        <stp>XS1794195724 CORP</stp>
        <stp>PX_DIRTY_CLEAN</stp>
        <stp>[BondFloaters.xlsx]FLOATERS!R12C19</stp>
        <tr r="S12" s="1"/>
      </tp>
      <tp t="s">
        <v>CLEAN</v>
        <stp/>
        <stp>##V3_BDPV12</stp>
        <stp>XS1792505197 CORP</stp>
        <stp>PX_DIRTY_CLEAN</stp>
        <stp>[BondFloaters.xlsx]FLOATERS!R96C19</stp>
        <tr r="S96" s="1"/>
      </tp>
      <tp t="s">
        <v>CLEAN</v>
        <stp/>
        <stp>##V3_BDPV12</stp>
        <stp>XS1756669740 CORP</stp>
        <stp>PX_DIRTY_CLEAN</stp>
        <stp>[BondFloaters.xlsx]FLOATERS!R72C19</stp>
        <tr r="S72" s="1"/>
      </tp>
      <tp>
        <v>-0.32266666666666666</v>
        <stp/>
        <stp>##V3_BDPV12</stp>
        <stp>XS1678632487 CORP</stp>
        <stp>YAS_FLOATER_INDEX_TO_NEXT_COUPON</stp>
        <stp>[BondFloaters.xlsx]FLOATERS!R6C24</stp>
        <tr r="X6" s="1"/>
      </tp>
      <tp>
        <v>-11.689852622233655</v>
        <stp/>
        <stp>##V3_BDPV12</stp>
        <stp>DE000A1Z6M04 CORP</stp>
        <stp>YAS_FLOATER_DISCOUNT_MARGIN</stp>
        <stp>[BondFloaters.xlsx]FLOATERS!R129C22</stp>
        <tr r="V129" s="1"/>
      </tp>
      <tp>
        <v>34.575834165409148</v>
        <stp/>
        <stp>##V3_BDPV12</stp>
        <stp>XS1206712868 CORP</stp>
        <stp>YAS_FLOATER_DISCOUNT_MARGIN</stp>
        <stp>[BondFloaters.xlsx]FLOATERS!R118C22</stp>
        <tr r="V118" s="1"/>
      </tp>
      <tp>
        <v>20.586903781342272</v>
        <stp/>
        <stp>##V3_BDPV12</stp>
        <stp>XS1683495052 CORP</stp>
        <stp>YAS_FLOATER_DISCOUNT_MARGIN</stp>
        <stp>[BondFloaters.xlsx]FLOATERS!R117C22</stp>
        <tr r="V117" s="1"/>
      </tp>
      <tp>
        <v>-0.68929680599978949</v>
        <stp/>
        <stp>##V3_BDPV12</stp>
        <stp>XS1363560548 CORP</stp>
        <stp>YAS_FLOATER_DISCOUNT_MARGIN</stp>
        <stp>[BondFloaters.xlsx]FLOATERS!R133C22</stp>
        <tr r="V133" s="1"/>
      </tp>
      <tp>
        <v>67.115955804855517</v>
        <stp/>
        <stp>##V3_BDPV12</stp>
        <stp>XS1717202730 CORP</stp>
        <stp>YAS_FLOATER_DISCOUNT_MARGIN</stp>
        <stp>[BondFloaters.xlsx]FLOATERS!R128C22</stp>
        <tr r="V128" s="1"/>
      </tp>
      <tp t="s">
        <v>CLEAN</v>
        <stp/>
        <stp>##V3_BDPV12</stp>
        <stp>XS1586555515 CORP</stp>
        <stp>PX_DIRTY_CLEAN</stp>
        <stp>[BondFloaters.xlsx]FLOATERS!R53C19</stp>
        <tr r="S53" s="1"/>
      </tp>
      <tp>
        <v>100.66817045684817</v>
        <stp/>
        <stp>##V3_BDPV12</stp>
        <stp>XS1642546078 CORP</stp>
        <stp>YAS_FLOATER_DISCOUNT_MARGIN</stp>
        <stp>[BondFloaters.xlsx]FLOATERS!R107C22</stp>
        <tr r="V107" s="1"/>
      </tp>
      <tp>
        <v>0.13100000000000001</v>
        <stp/>
        <stp>##V3_BDPV12</stp>
        <stp>DE000A19X793 CORP</stp>
        <stp>CPN</stp>
        <stp>[BondFloaters.xlsx]FLOATERS!R10C25</stp>
        <tr r="Y10" s="1"/>
      </tp>
      <tp>
        <v>149.12808477228177</v>
        <stp/>
        <stp>##V3_BDPV12</stp>
        <stp>XS1590503279 CORP</stp>
        <stp>YAS_FLOATER_DISCOUNT_MARGIN</stp>
        <stp>[BondFloaters.xlsx]FLOATERS!R100C22</stp>
        <tr r="V100" s="1"/>
      </tp>
      <tp>
        <v>19.566018150070718</v>
        <stp/>
        <stp>##V3_BDPV12</stp>
        <stp>XS1346107433 CORP</stp>
        <stp>YAS_FLOATER_DISCOUNT_MARGIN</stp>
        <stp>[BondFloaters.xlsx]FLOATERS!R134C22</stp>
        <tr r="V134" s="1"/>
      </tp>
      <tp t="s">
        <v>DE</v>
        <stp/>
        <stp>##V3_BDPV12</stp>
        <stp>DE000A19RXA1 CORP</stp>
        <stp>CNTRY_OF_RISK</stp>
        <stp>[BondFloaters.xlsx]FLOATERS!R62C3</stp>
        <tr r="C62" s="1"/>
      </tp>
      <tp>
        <v>30.480299566496356</v>
        <stp/>
        <stp>##V3_BDPV12</stp>
        <stp>XS1057486471 CORP</stp>
        <stp>YAS_FLOATER_DISCOUNT_MARGIN</stp>
        <stp>[BondFloaters.xlsx]FLOATERS!R131C22</stp>
        <tr r="V131" s="1"/>
      </tp>
      <tp t="s">
        <v>#N/A N/A</v>
        <stp/>
        <stp>##V3_BDPV12</stp>
        <stp>XS1171489476 CORP</stp>
        <stp>YAS_FLOATER_DISCOUNT_MARGIN</stp>
        <stp>[BondFloaters.xlsx]FLOATERS!R101C22</stp>
        <tr r="V101" s="1"/>
      </tp>
      <tp>
        <v>5.7266417396540312</v>
        <stp/>
        <stp>##V3_BDPV12</stp>
        <stp>FR0013136330 CORP</stp>
        <stp>YAS_FLOATER_DISCOUNT_MARGIN</stp>
        <stp>[BondFloaters.xlsx]FLOATERS!R103C22</stp>
        <tr r="V103" s="1"/>
      </tp>
      <tp>
        <v>98.264144117908359</v>
        <stp/>
        <stp>##V3_BDPV12</stp>
        <stp>BE6301509012 CORP</stp>
        <stp>YAS_FLOATER_DISCOUNT_MARGIN</stp>
        <stp>[BondFloaters.xlsx]FLOATERS!R124C22</stp>
        <tr r="V124" s="1"/>
      </tp>
      <tp>
        <v>6.6861543869513538</v>
        <stp/>
        <stp>##V3_BDPV12</stp>
        <stp>XS1715353105 CORP</stp>
        <stp>YAS_FLOATER_DISCOUNT_MARGIN</stp>
        <stp>[BondFloaters.xlsx]FLOATERS!R120C22</stp>
        <tr r="V120" s="1"/>
      </tp>
      <tp t="s">
        <v>CLEAN</v>
        <stp/>
        <stp>##V3_BDPV12</stp>
        <stp>XS1362349869 CORP</stp>
        <stp>PX_DIRTY_CLEAN</stp>
        <stp>[BondFloaters.xlsx]FLOATERS!R65C19</stp>
        <tr r="S65" s="1"/>
      </tp>
      <tp t="s">
        <v>CLEAN</v>
        <stp/>
        <stp>##V3_BDPV12</stp>
        <stp>XS1787517199 CORP</stp>
        <stp>PX_DIRTY_CLEAN</stp>
        <stp>[BondFloaters.xlsx]FLOATERS!R81C19</stp>
        <tr r="S81" s="1"/>
      </tp>
      <tp t="s">
        <v>CLEAN</v>
        <stp/>
        <stp>##V3_BDPV12</stp>
        <stp>XS1692846790 CORP</stp>
        <stp>PX_DIRTY_CLEAN</stp>
        <stp>[BondFloaters.xlsx]FLOATERS!R94C19</stp>
        <tr r="S94" s="1"/>
      </tp>
      <tp t="s">
        <v>CLEAN</v>
        <stp/>
        <stp>##V3_BDPV12</stp>
        <stp>XS1078028864 CORP</stp>
        <stp>PX_DIRTY_CLEAN</stp>
        <stp>[BondFloaters.xlsx]FLOATERS!R41C19</stp>
        <tr r="S41" s="1"/>
      </tp>
      <tp>
        <v>-0.31183333333333335</v>
        <stp/>
        <stp>##V3_BDPV12</stp>
        <stp>XS1046499981 CORP</stp>
        <stp>YAS_FLOATER_INDEX_TO_NEXT_COUPON</stp>
        <stp>[BondFloaters.xlsx]FLOATERS!R9C24</stp>
        <tr r="X9" s="1"/>
      </tp>
      <tp>
        <v>148.82517804641154</v>
        <stp/>
        <stp>##V3_BDPV12</stp>
        <stp>XS1767087940 CORP</stp>
        <stp>YAS_FLOATER_DISCOUNT_MARGIN</stp>
        <stp>[BondFloaters.xlsx]FLOATERS!R127C22</stp>
        <tr r="V127" s="1"/>
      </tp>
      <tp>
        <v>25.052019664741277</v>
        <stp/>
        <stp>##V3_BDPV12</stp>
        <stp>XS1622634126 CORP</stp>
        <stp>YAS_FLOATER_DISCOUNT_MARGIN</stp>
        <stp>[BondFloaters.xlsx]FLOATERS!R121C22</stp>
        <tr r="V121" s="1"/>
      </tp>
      <tp>
        <v>86.852564935861935</v>
        <stp/>
        <stp>##V3_BDPV12</stp>
        <stp>FR0013342664 CORP</stp>
        <stp>YAS_FLOATER_DISCOUNT_MARGIN</stp>
        <stp>[BondFloaters.xlsx]FLOATERS!R122C22</stp>
        <tr r="V122" s="1"/>
      </tp>
      <tp>
        <v>-5.254358354348458</v>
        <stp/>
        <stp>##V3_BDPV12</stp>
        <stp>XS1574667124 CORP</stp>
        <stp>YAS_FLOATER_DISCOUNT_MARGIN</stp>
        <stp>[BondFloaters.xlsx]FLOATERS!R104C22</stp>
        <tr r="V104" s="1"/>
      </tp>
      <tp t="s">
        <v>CLEAN</v>
        <stp/>
        <stp>##V3_BDPV12</stp>
        <stp>XS1485660895 CORP</stp>
        <stp>PX_DIRTY_CLEAN</stp>
        <stp>[BondFloaters.xlsx]FLOATERS!R58C19</stp>
        <tr r="S58" s="1"/>
      </tp>
      <tp t="s">
        <v>CLEAN</v>
        <stp/>
        <stp>##V3_BDPV12</stp>
        <stp>XS1381690574 CORP</stp>
        <stp>PX_DIRTY_CLEAN</stp>
        <stp>[BondFloaters.xlsx]FLOATERS!R89C19</stp>
        <tr r="S89" s="1"/>
      </tp>
      <tp t="s">
        <v>CLEAN</v>
        <stp/>
        <stp>##V3_BDPV12</stp>
        <stp>XS1618349804 CORP</stp>
        <stp>PX_DIRTY_CLEAN</stp>
        <stp>[BondFloaters.xlsx]FLOATERS!R60C19</stp>
        <tr r="S60" s="1"/>
      </tp>
      <tp t="s">
        <v>N</v>
        <stp/>
        <stp>##V3_BDPV12</stp>
        <stp>XS1480176111 CORP</stp>
        <stp>ZERO_CPN</stp>
        <stp>[BondFloaters.xlsx]FLOATERS!R5C8</stp>
        <tr r="H5" s="1"/>
      </tp>
      <tp>
        <v>63.373560803388138</v>
        <stp/>
        <stp>##V3_BDPV12</stp>
        <stp>XS1840614736 CORP</stp>
        <stp>YAS_FLOATER_DISCOUNT_MARGIN</stp>
        <stp>[BondFloaters.xlsx]FLOATERS!R132C22</stp>
        <tr r="V132" s="1"/>
      </tp>
      <tp t="s">
        <v>CLEAN</v>
        <stp/>
        <stp>##V3_BDPV12</stp>
        <stp>XS1382791892 CORP</stp>
        <stp>PX_DIRTY_CLEAN</stp>
        <stp>[BondFloaters.xlsx]FLOATERS!R30C19</stp>
        <tr r="S30" s="1"/>
      </tp>
      <tp t="s">
        <v>CLEAN</v>
        <stp/>
        <stp>##V3_BDPV12</stp>
        <stp>XS1089831249 CORP</stp>
        <stp>PX_DIRTY_CLEAN</stp>
        <stp>[BondFloaters.xlsx]FLOATERS!R56C19</stp>
        <tr r="S56" s="1"/>
      </tp>
      <tp t="s">
        <v>CLEAN</v>
        <stp/>
        <stp>##V3_BDPV12</stp>
        <stp>XS1591430746 CORP</stp>
        <stp>PX_DIRTY_CLEAN</stp>
        <stp>[BondFloaters.xlsx]FLOATERS!R64C19</stp>
        <tr r="S64" s="1"/>
      </tp>
      <tp t="s">
        <v>QZ9813960</v>
        <stp/>
        <stp>##V3_BDPV12</stp>
        <stp>FR0013216884 CORP</stp>
        <stp>ID_CUSIP</stp>
        <stp>[BondFloaters.xlsx]FLOATERS!R7C1</stp>
        <tr r="A7" s="1"/>
      </tp>
      <tp t="s">
        <v>DE</v>
        <stp/>
        <stp>##V3_BDPV12</stp>
        <stp>DE000A14KJE8 CORP</stp>
        <stp>CNTRY_OF_RISK</stp>
        <stp>[BondFloaters.xlsx]FLOATERS!R51C3</stp>
        <tr r="C51" s="1"/>
      </tp>
      <tp t="s">
        <v>DE</v>
        <stp/>
        <stp>##V3_BDPV12</stp>
        <stp>DE000A19HBM3 CORP</stp>
        <stp>CNTRY_OF_RISK</stp>
        <stp>[BondFloaters.xlsx]FLOATERS!R99C3</stp>
        <tr r="C99" s="1"/>
      </tp>
      <tp t="s">
        <v>DE</v>
        <stp/>
        <stp>##V3_BDPV12</stp>
        <stp>DE000A185WC9 CORP</stp>
        <stp>CNTRY_OF_RISK</stp>
        <stp>[BondFloaters.xlsx]FLOATERS!R47C3</stp>
        <tr r="C47" s="1"/>
      </tp>
      <tp>
        <v>37.110989905110785</v>
        <stp/>
        <stp>##V3_BDPV12</stp>
        <stp>XS1712180477 CORP</stp>
        <stp>YAS_FLOATER_DISCOUNT_MARGIN</stp>
        <stp>[BondFloaters.xlsx]FLOATERS!R137C22</stp>
        <tr r="V137" s="1"/>
      </tp>
      <tp t="s">
        <v>EUR</v>
        <stp/>
        <stp>##V3_BDPV12</stp>
        <stp>DE000A2G8VS7 CORP</stp>
        <stp>CRNCY</stp>
        <stp>[BondFloaters.xlsx]FLOATERS!R43C2</stp>
        <tr r="B43" s="1"/>
      </tp>
      <tp>
        <v>14.803000859711393</v>
        <stp/>
        <stp>##V3_BDPV12</stp>
        <stp>XS1306411726 CORP</stp>
        <stp>YAS_FLOATER_DISCOUNT_MARGIN</stp>
        <stp>[BondFloaters.xlsx]FLOATERS!R115C22</stp>
        <tr r="V115" s="1"/>
      </tp>
      <tp t="s">
        <v>CLEAN</v>
        <stp/>
        <stp>##V3_BDPV12</stp>
        <stp>XS1828028677 CORP</stp>
        <stp>PX_DIRTY_CLEAN</stp>
        <stp>[BondFloaters.xlsx]FLOATERS!R45C19</stp>
        <tr r="S45" s="1"/>
      </tp>
      <tp t="s">
        <v>CLEAN</v>
        <stp/>
        <stp>##V3_BDPV12</stp>
        <stp>XS1190623907 CORP</stp>
        <stp>PX_DIRTY_CLEAN</stp>
        <stp>[BondFloaters.xlsx]FLOATERS!R59C19</stp>
        <tr r="S59" s="1"/>
      </tp>
      <tp t="s">
        <v>CLEAN</v>
        <stp/>
        <stp>##V3_BDPV12</stp>
        <stp>XS1033649739 CORP</stp>
        <stp>PX_DIRTY_CLEAN</stp>
        <stp>[BondFloaters.xlsx]FLOATERS!R44C19</stp>
        <tr r="S44" s="1"/>
      </tp>
      <tp t="s">
        <v>CLEAN</v>
        <stp/>
        <stp>##V3_BDPV12</stp>
        <stp>XS1292513105 CORP</stp>
        <stp>PX_DIRTY_CLEAN</stp>
        <stp>[BondFloaters.xlsx]FLOATERS!R69C19</stp>
        <tr r="S69" s="1"/>
      </tp>
      <tp t="s">
        <v>CLEAN</v>
        <stp/>
        <stp>##V3_BDPV12</stp>
        <stp>XS1725668633 CORP</stp>
        <stp>PX_DIRTY_CLEAN</stp>
        <stp>[BondFloaters.xlsx]FLOATERS!R17C19</stp>
        <tr r="S17" s="1"/>
      </tp>
      <tp t="s">
        <v>#N/A N/A</v>
        <stp/>
        <stp>##V3_BDPV12</stp>
        <stp>FR0013216884 CORP</stp>
        <stp>YAS_FLOATER_INDEX_TO_NEXT_COUPON</stp>
        <stp>[BondFloaters.xlsx]FLOATERS!R7C24</stp>
        <tr r="X7" s="1"/>
      </tp>
      <tp>
        <v>21</v>
        <stp/>
        <stp>##V3_BDPV12</stp>
        <stp>FR0013216884 CORP</stp>
        <stp>CALC_TYP</stp>
        <stp>[BondFloaters.xlsx]FLOATERS!R7C6</stp>
        <tr r="F7" s="1"/>
      </tp>
      <tp t="s">
        <v>N</v>
        <stp/>
        <stp>##V3_BDPV12</stp>
        <stp>XS1480176111 CORP</stp>
        <stp>CALLABLE</stp>
        <stp>[BondFloaters.xlsx]FLOATERS!R5C7</stp>
        <tr r="G5" s="1"/>
      </tp>
      <tp>
        <v>26.113662637454311</v>
        <stp/>
        <stp>##V3_BDPV12</stp>
        <stp>XS1679028479 CORP</stp>
        <stp>YAS_FLOATER_DISCOUNT_MARGIN</stp>
        <stp>[BondFloaters.xlsx]FLOATERS!R119C22</stp>
        <tr r="V119" s="1"/>
      </tp>
      <tp>
        <v>-17.806117515785147</v>
        <stp/>
        <stp>##V3_BDPV12</stp>
        <stp>XS1288342147 CORP</stp>
        <stp>YAS_FLOATER_DISCOUNT_MARGIN</stp>
        <stp>[BondFloaters.xlsx]FLOATERS!R108C22</stp>
        <tr r="V108" s="1"/>
      </tp>
      <tp>
        <v>100.04</v>
        <stp/>
        <stp>##V3_BDPV12</stp>
        <stp>US30231GAE26 CORP</stp>
        <stp>YAS_BOND_PX</stp>
        <stp>[BondFloaters.xlsx]FLOATERS!R27C28</stp>
        <tr r="AB27" s="1"/>
      </tp>
      <tp t="s">
        <v>CLEAN</v>
        <stp/>
        <stp>##V3_BDPV12</stp>
        <stp>XS1197832832 CORP</stp>
        <stp>PX_DIRTY_CLEAN</stp>
        <stp>[BondFloaters.xlsx]FLOATERS!R39C19</stp>
        <tr r="S39" s="1"/>
      </tp>
      <tp t="s">
        <v>CLEAN</v>
        <stp/>
        <stp>##V3_BDPV12</stp>
        <stp>XS1522989869 CORP</stp>
        <stp>PX_DIRTY_CLEAN</stp>
        <stp>[BondFloaters.xlsx]FLOATERS!R33C19</stp>
        <tr r="S33" s="1"/>
      </tp>
      <tp>
        <v>-49.971403771289474</v>
        <stp/>
        <stp>##V3_BDPV12</stp>
        <stp>XS1577870808 CORP</stp>
        <stp>YAS_FLOATER_DISCOUNT_MARGIN</stp>
        <stp>[BondFloaters.xlsx]FLOATERS!R138C22</stp>
        <tr r="V138" s="1"/>
      </tp>
      <tp>
        <v>-0.11360584433464105</v>
        <stp/>
        <stp>##V3_BDPV12</stp>
        <stp>US30231GAE26 CORP</stp>
        <stp>YAS_FLOATER_DISCOUNT_MARGIN</stp>
        <stp>[BondFloaters.xlsx]FLOATERS!R27C22</stp>
        <tr r="V27" s="1"/>
      </tp>
      <tp t="s">
        <v>CLEAN</v>
        <stp/>
        <stp>##V3_BDPV12</stp>
        <stp>XS1734547919 CORP</stp>
        <stp>PX_DIRTY_CLEAN</stp>
        <stp>[BondFloaters.xlsx]FLOATERS!R11C19</stp>
        <tr r="S11" s="1"/>
      </tp>
      <tp t="s">
        <v>CLEAN</v>
        <stp/>
        <stp>##V3_BDPV12</stp>
        <stp>XS1651071521 CORP</stp>
        <stp>PX_DIRTY_CLEAN</stp>
        <stp>[BondFloaters.xlsx]FLOATERS!R46C19</stp>
        <tr r="S46" s="1"/>
      </tp>
      <tp>
        <v>-0.32933333333333337</v>
        <stp/>
        <stp>##V3_BDPV12</stp>
        <stp>XS1781813511 CORP</stp>
        <stp>YAS_FLOATER_INDEX_TO_NEXT_COUPON</stp>
        <stp>[BondFloaters.xlsx]FLOATERS!R8C24</stp>
        <tr r="X8" s="1"/>
      </tp>
      <tp t="s">
        <v>EUR</v>
        <stp/>
        <stp>##V3_BDPV12</stp>
        <stp>DE000A1Z6M04 CORP</stp>
        <stp>CRNCY</stp>
        <stp>[BondFloaters.xlsx]FLOATERS!R129C2</stp>
        <tr r="B129" s="1"/>
      </tp>
      <tp>
        <v>-4.6412151809562987</v>
        <stp/>
        <stp>##V3_BDPV12</stp>
        <stp>XS1230926609 CORP</stp>
        <stp>YAS_FLOATER_DISCOUNT_MARGIN</stp>
        <stp>[BondFloaters.xlsx]FLOATERS!R126C22</stp>
        <tr r="V126" s="1"/>
      </tp>
      <tp>
        <v>146.47703036255081</v>
        <stp/>
        <stp>##V3_BDPV12</stp>
        <stp>XS1753030490 CORP</stp>
        <stp>YAS_FLOATER_DISCOUNT_MARGIN</stp>
        <stp>[BondFloaters.xlsx]FLOATERS!R106C22</stp>
        <tr r="V106" s="1"/>
      </tp>
      <tp t="s">
        <v>CLEAN</v>
        <stp/>
        <stp>##V3_BDPV12</stp>
        <stp>XS1139316555 CORP</stp>
        <stp>PX_DIRTY_CLEAN</stp>
        <stp>[BondFloaters.xlsx]FLOATERS!R78C19</stp>
        <tr r="S78" s="1"/>
      </tp>
      <tp t="s">
        <v>CLEAN</v>
        <stp/>
        <stp>##V3_BDPV12</stp>
        <stp>XS1619284372 CORP</stp>
        <stp>PX_DIRTY_CLEAN</stp>
        <stp>[BondFloaters.xlsx]FLOATERS!R68C19</stp>
        <tr r="S68" s="1"/>
      </tp>
      <tp t="s">
        <v>CLEAN</v>
        <stp/>
        <stp>##V3_BDPV12</stp>
        <stp>XS1806435324 CORP</stp>
        <stp>PX_DIRTY_CLEAN</stp>
        <stp>[BondFloaters.xlsx]FLOATERS!R34C19</stp>
        <tr r="S34" s="1"/>
      </tp>
      <tp t="s">
        <v>CLEAN</v>
        <stp/>
        <stp>##V3_BDPV12</stp>
        <stp>XS1664643746 CORP</stp>
        <stp>PX_DIRTY_CLEAN</stp>
        <stp>[BondFloaters.xlsx]FLOATERS!R73C19</stp>
        <tr r="S73" s="1"/>
      </tp>
      <tp t="s">
        <v>CLEAN</v>
        <stp/>
        <stp>##V3_BDPV12</stp>
        <stp>XS1234366448 CORP</stp>
        <stp>PX_DIRTY_CLEAN</stp>
        <stp>[BondFloaters.xlsx]FLOATERS!R52C19</stp>
        <tr r="S52" s="1"/>
      </tp>
      <tp t="s">
        <v>CLEAN</v>
        <stp/>
        <stp>##V3_BDPV12</stp>
        <stp>XS1319814817 CORP</stp>
        <stp>PX_DIRTY_CLEAN</stp>
        <stp>[BondFloaters.xlsx]FLOATERS!R77C19</stp>
        <tr r="S77" s="1"/>
      </tp>
      <tp t="s">
        <v>N</v>
        <stp/>
        <stp>##V3_BDPV12</stp>
        <stp>XS1046499981 CORP</stp>
        <stp>CALLABLE</stp>
        <stp>[BondFloaters.xlsx]FLOATERS!R9C7</stp>
        <tr r="G9" s="1"/>
      </tp>
      <tp>
        <v>20.344580103612266</v>
        <stp/>
        <stp>##V3_BDPV12</stp>
        <stp>XS1715323298 CORP</stp>
        <stp>YAS_FLOATER_DISCOUNT_MARGIN</stp>
        <stp>[BondFloaters.xlsx]FLOATERS!R111C22</stp>
        <tr r="V111" s="1"/>
      </tp>
      <tp t="s">
        <v>CLEAN</v>
        <stp/>
        <stp>##V3_BDPV12</stp>
        <stp>XS1212467911 CORP</stp>
        <stp>PX_DIRTY_CLEAN</stp>
        <stp>[BondFloaters.xlsx]FLOATERS!R57C19</stp>
        <tr r="S57" s="1"/>
      </tp>
      <tp t="s">
        <v>CLEAN</v>
        <stp/>
        <stp>##V3_BDPV12</stp>
        <stp>XS1821814800 CORP</stp>
        <stp>PX_DIRTY_CLEAN</stp>
        <stp>[BondFloaters.xlsx]FLOATERS!R84C19</stp>
        <tr r="S84" s="1"/>
      </tp>
      <tp t="s">
        <v>CLEAN</v>
        <stp/>
        <stp>##V3_BDPV12</stp>
        <stp>XS1635905570 CORP</stp>
        <stp>PX_DIRTY_CLEAN</stp>
        <stp>[BondFloaters.xlsx]FLOATERS!R79C19</stp>
        <tr r="S79" s="1"/>
      </tp>
      <tp t="s">
        <v>CLEAN</v>
        <stp/>
        <stp>##V3_BDPV12</stp>
        <stp>XS1107266782 CORP</stp>
        <stp>PX_DIRTY_CLEAN</stp>
        <stp>[BondFloaters.xlsx]FLOATERS!R74C19</stp>
        <tr r="S74" s="1"/>
      </tp>
      <tp t="s">
        <v>EUR</v>
        <stp/>
        <stp>##V3_BDPV12</stp>
        <stp>DE000A2GSCY9 CORP</stp>
        <stp>CRNCY</stp>
        <stp>[BondFloaters.xlsx]FLOATERS!R14C2</stp>
        <tr r="B14" s="1"/>
      </tp>
      <tp>
        <v>209.59636958628548</v>
        <stp/>
        <stp>##V3_BDPV12</stp>
        <stp>XS1767930826 CORP</stp>
        <stp>YAS_FLOATER_DISCOUNT_MARGIN</stp>
        <stp>[BondFloaters.xlsx]FLOATERS!R110C22</stp>
        <tr r="V110" s="1"/>
      </tp>
      <tp>
        <v>107.88496881136543</v>
        <stp/>
        <stp>##V3_BDPV12</stp>
        <stp>XS1568906421 CORP</stp>
        <stp>YAS_FLOATER_DISCOUNT_MARGIN</stp>
        <stp>[BondFloaters.xlsx]FLOATERS!R123C22</stp>
        <tr r="V123" s="1"/>
      </tp>
      <tp t="s">
        <v>CLEAN</v>
        <stp/>
        <stp>##V3_BDPV12</stp>
        <stp>XS1718416586 CORP</stp>
        <stp>PX_DIRTY_CLEAN</stp>
        <stp>[BondFloaters.xlsx]FLOATERS!R54C19</stp>
        <tr r="S54" s="1"/>
      </tp>
      <tp t="s">
        <v>CLEAN</v>
        <stp/>
        <stp>##V3_BDPV12</stp>
        <stp>XS1808497264 CORP</stp>
        <stp>PX_DIRTY_CLEAN</stp>
        <stp>[BondFloaters.xlsx]FLOATERS!R13C19</stp>
        <tr r="S13" s="1"/>
      </tp>
      <tp t="s">
        <v>CLEAN</v>
        <stp/>
        <stp>##V3_BDPV12</stp>
        <stp>XS1823165631 CORP</stp>
        <stp>PX_DIRTY_CLEAN</stp>
        <stp>[BondFloaters.xlsx]FLOATERS!R70C19</stp>
        <tr r="S70" s="1"/>
      </tp>
      <tp t="s">
        <v>CLEAN</v>
        <stp/>
        <stp>##V3_BDPV12</stp>
        <stp>XS1554462421 CORP</stp>
        <stp>PX_DIRTY_CLEAN</stp>
        <stp>[BondFloaters.xlsx]FLOATERS!R49C19</stp>
        <tr r="S49" s="1"/>
      </tp>
      <tp t="s">
        <v>N</v>
        <stp/>
        <stp>##V3_BDPV12</stp>
        <stp>XS1046499981 CORP</stp>
        <stp>ZERO_CPN</stp>
        <stp>[BondFloaters.xlsx]FLOATERS!R9C8</stp>
        <tr r="H9" s="1"/>
      </tp>
      <tp>
        <v>14.835809299590611</v>
        <stp/>
        <stp>##V3_BDPV12</stp>
        <stp>XS1822824642 CORP</stp>
        <stp>YAS_FLOATER_DISCOUNT_MARGIN</stp>
        <stp>[BondFloaters.xlsx]FLOATERS!R116C22</stp>
        <tr r="V116" s="1"/>
      </tp>
      <tp>
        <v>24.223326488300813</v>
        <stp/>
        <stp>##V3_BDPV12</stp>
        <stp>XS1224953452 CORP</stp>
        <stp>YAS_FLOATER_DISCOUNT_MARGIN</stp>
        <stp>[BondFloaters.xlsx]FLOATERS!R135C22</stp>
        <tr r="V135" s="1"/>
      </tp>
      <tp t="s">
        <v>CLEAN</v>
        <stp/>
        <stp>##V3_BDPV12</stp>
        <stp>XS1729872736 CORP</stp>
        <stp>PX_DIRTY_CLEAN</stp>
        <stp>[BondFloaters.xlsx]FLOATERS!R88C19</stp>
        <tr r="S88" s="1"/>
      </tp>
      <tp t="s">
        <v>CLEAN</v>
        <stp/>
        <stp>##V3_BDPV12</stp>
        <stp>XS1729872652 CORP</stp>
        <stp>PX_DIRTY_CLEAN</stp>
        <stp>[BondFloaters.xlsx]FLOATERS!R80C19</stp>
        <tr r="S80" s="1"/>
      </tp>
      <tp t="s">
        <v>CLEAN</v>
        <stp/>
        <stp>##V3_BDPV12</stp>
        <stp>XS1249494086 CORP</stp>
        <stp>PX_DIRTY_CLEAN</stp>
        <stp>[BondFloaters.xlsx]FLOATERS!R50C19</stp>
        <tr r="S50" s="1"/>
      </tp>
      <tp t="s">
        <v>CLEAN</v>
        <stp/>
        <stp>##V3_BDPV12</stp>
        <stp>XS1782508508 CORP</stp>
        <stp>PX_DIRTY_CLEAN</stp>
        <stp>[BondFloaters.xlsx]FLOATERS!R23C19</stp>
        <tr r="S23" s="1"/>
      </tp>
      <tp t="s">
        <v>CLEAN</v>
        <stp/>
        <stp>##V3_BDPV12</stp>
        <stp>XS1144084099 CORP</stp>
        <stp>PX_DIRTY_CLEAN</stp>
        <stp>[BondFloaters.xlsx]FLOATERS!R82C19</stp>
        <tr r="S82" s="1"/>
      </tp>
      <tp t="s">
        <v>CLEAN</v>
        <stp/>
        <stp>##V3_BDPV12</stp>
        <stp>XS1599109896 CORP</stp>
        <stp>PX_DIRTY_CLEAN</stp>
        <stp>[BondFloaters.xlsx]FLOATERS!R97C19</stp>
        <tr r="S97" s="1"/>
      </tp>
      <tp t="s">
        <v>N</v>
        <stp/>
        <stp>##V3_BDPV12</stp>
        <stp>XS1781813511 CORP</stp>
        <stp>ZERO_CPN</stp>
        <stp>[BondFloaters.xlsx]FLOATERS!R8C8</stp>
        <tr r="H8" s="1"/>
      </tp>
      <tp t="s">
        <v>N</v>
        <stp/>
        <stp>##V3_BDPV12</stp>
        <stp>XS1678632487 CORP</stp>
        <stp>ZERO_CPN</stp>
        <stp>[BondFloaters.xlsx]FLOATERS!R6C8</stp>
        <tr r="H6" s="1"/>
      </tp>
      <tp>
        <v>44.662755360295407</v>
        <stp/>
        <stp>##V3_BDPV12</stp>
        <stp>XS1717567587 CORP</stp>
        <stp>YAS_FLOATER_DISCOUNT_MARGIN</stp>
        <stp>[BondFloaters.xlsx]FLOATERS!R112C22</stp>
        <tr r="V112" s="1"/>
      </tp>
      <tp t="s">
        <v>CLEAN</v>
        <stp/>
        <stp>##V3_BDPV12</stp>
        <stp>XS1108681625 CORP</stp>
        <stp>PX_DIRTY_CLEAN</stp>
        <stp>[BondFloaters.xlsx]FLOATERS!R40C19</stp>
        <tr r="S40" s="1"/>
      </tp>
      <tp t="s">
        <v>CLEAN</v>
        <stp/>
        <stp>##V3_BDPV12</stp>
        <stp>XS1292468987 CORP</stp>
        <stp>PX_DIRTY_CLEAN</stp>
        <stp>[BondFloaters.xlsx]FLOATERS!R18C19</stp>
        <tr r="S18" s="1"/>
      </tp>
      <tp t="s">
        <v>CLEAN</v>
        <stp/>
        <stp>##V3_BDPV12</stp>
        <stp>XS1612940988 CORP</stp>
        <stp>PX_DIRTY_CLEAN</stp>
        <stp>[BondFloaters.xlsx]FLOATERS!R35C19</stp>
        <tr r="S35" s="1"/>
      </tp>
      <tp t="s">
        <v>CLEAN</v>
        <stp/>
        <stp>##V3_BDPV12</stp>
        <stp>XS1723613581 CORP</stp>
        <stp>PX_DIRTY_CLEAN</stp>
        <stp>[BondFloaters.xlsx]FLOATERS!R75C19</stp>
        <tr r="S75" s="1"/>
      </tp>
      <tp t="s">
        <v>CLEAN</v>
        <stp/>
        <stp>##V3_BDPV12</stp>
        <stp>XS1082839553 CORP</stp>
        <stp>PX_DIRTY_CLEAN</stp>
        <stp>[BondFloaters.xlsx]FLOATERS!R61C19</stp>
        <tr r="S61" s="1"/>
      </tp>
      <tp t="s">
        <v>CLEAN</v>
        <stp/>
        <stp>##V3_BDPV12</stp>
        <stp>XS1642545690 CORP</stp>
        <stp>PX_DIRTY_CLEAN</stp>
        <stp>[BondFloaters.xlsx]FLOATERS!R76C19</stp>
        <tr r="S76" s="1"/>
      </tp>
      <tp t="s">
        <v>CLEAN</v>
        <stp/>
        <stp>##V3_BDPV12</stp>
        <stp>XS1637162246 CORP</stp>
        <stp>PX_DIRTY_CLEAN</stp>
        <stp>[BondFloaters.xlsx]FLOATERS!R32C19</stp>
        <tr r="S32" s="1"/>
      </tp>
      <tp t="s">
        <v>CLEAN</v>
        <stp/>
        <stp>##V3_BDPV12</stp>
        <stp>XS1323463056 CORP</stp>
        <stp>PX_DIRTY_CLEAN</stp>
        <stp>[BondFloaters.xlsx]FLOATERS!R83C19</stp>
        <tr r="S83" s="1"/>
      </tp>
      <tp t="s">
        <v>CLEAN</v>
        <stp/>
        <stp>##V3_BDPV12</stp>
        <stp>XS1574156540 CORP</stp>
        <stp>PX_DIRTY_CLEAN</stp>
        <stp>[BondFloaters.xlsx]FLOATERS!R90C19</stp>
        <tr r="S90" s="1"/>
      </tp>
      <tp t="s">
        <v>#N/A N/A</v>
        <stp/>
        <stp>##V3_BDPV12</stp>
        <stp>XS1480176111 CORP</stp>
        <stp>YAS_FLOATER_INDEX_TO_NEXT_COUPON</stp>
        <stp>[BondFloaters.xlsx]FLOATERS!R5C24</stp>
        <tr r="X5" s="1"/>
      </tp>
      <tp t="s">
        <v>EUR</v>
        <stp/>
        <stp>##V3_BDPV12</stp>
        <stp>DE000A169GZ7 CORP</stp>
        <stp>CRNCY</stp>
        <stp>[BondFloaters.xlsx]FLOATERS!R42C2</stp>
        <tr r="B42" s="1"/>
      </tp>
      <tp>
        <v>12.465289627855853</v>
        <stp/>
        <stp>##V3_BDPV12</stp>
        <stp>XS1301773799 CORP</stp>
        <stp>YAS_FLOATER_DISCOUNT_MARGIN</stp>
        <stp>[BondFloaters.xlsx]FLOATERS!R114C22</stp>
        <tr r="V114" s="1"/>
      </tp>
      <tp t="s">
        <v>CLEAN</v>
        <stp/>
        <stp>##V3_BDPV12</stp>
        <stp>XS1609252645 CORP</stp>
        <stp>PX_DIRTY_CLEAN</stp>
        <stp>[BondFloaters.xlsx]FLOATERS!R24C19</stp>
        <tr r="S24" s="1"/>
      </tp>
      <tp t="s">
        <v>N</v>
        <stp/>
        <stp>##V3_BDPV12</stp>
        <stp>XS1678632487 CORP</stp>
        <stp>CALLABLE</stp>
        <stp>[BondFloaters.xlsx]FLOATERS!R6C7</stp>
        <tr r="G6" s="1"/>
      </tp>
      <tp t="s">
        <v>N</v>
        <stp/>
        <stp>##V3_BDPV12</stp>
        <stp>XS1781813511 CORP</stp>
        <stp>CALLABLE</stp>
        <stp>[BondFloaters.xlsx]FLOATERS!R8C7</stp>
        <tr r="G8" s="1"/>
      </tp>
      <tp>
        <v>25.069838188453215</v>
        <stp/>
        <stp>##V3_BDPV12</stp>
        <stp>XS1771768188 CORP</stp>
        <stp>YAS_FLOATER_DISCOUNT_MARGIN</stp>
        <stp>[BondFloaters.xlsx]FLOATERS!R113C22</stp>
        <tr r="V113" s="1"/>
      </tp>
      <tp>
        <v>111.08047184412733</v>
        <stp/>
        <stp>##V3_BDPV12</stp>
        <stp>XS1830992563 CORP</stp>
        <stp>YAS_FLOATER_DISCOUNT_MARGIN</stp>
        <stp>[BondFloaters.xlsx]FLOATERS!R109C22</stp>
        <tr r="V109" s="1"/>
      </tp>
      <tp t="s">
        <v>CLEAN</v>
        <stp/>
        <stp>##V3_BDPV12</stp>
        <stp>XS1750116920 CORP</stp>
        <stp>PX_DIRTY_CLEAN</stp>
        <stp>[BondFloaters.xlsx]FLOATERS!R31C19</stp>
        <tr r="S31" s="1"/>
      </tp>
      <tp t="s">
        <v>CLEAN</v>
        <stp/>
        <stp>##V3_BDPV12</stp>
        <stp>XS1671754650 CORP</stp>
        <stp>PX_DIRTY_CLEAN</stp>
        <stp>[BondFloaters.xlsx]FLOATERS!R19C19</stp>
        <tr r="S19" s="1"/>
      </tp>
      <tp t="s">
        <v>CLEAN</v>
        <stp/>
        <stp>##V3_BDPV12</stp>
        <stp>XS1822301039 CORP</stp>
        <stp>PX_DIRTY_CLEAN</stp>
        <stp>[BondFloaters.xlsx]FLOATERS!R15C19</stp>
        <tr r="S15" s="1"/>
      </tp>
      <tp t="s">
        <v>CLEAN</v>
        <stp/>
        <stp>##V3_BDPV12</stp>
        <stp>XS1564405741 CORP</stp>
        <stp>PX_DIRTY_CLEAN</stp>
        <stp>[BondFloaters.xlsx]FLOATERS!R21C19</stp>
        <tr r="S21" s="1"/>
      </tp>
      <tp t="s">
        <v>CLEAN</v>
        <stp/>
        <stp>##V3_BDPV12</stp>
        <stp>XS1705553417 CORP</stp>
        <stp>PX_DIRTY_CLEAN</stp>
        <stp>[BondFloaters.xlsx]FLOATERS!R85C19</stp>
        <tr r="S85" s="1"/>
      </tp>
      <tp>
        <v>100.15300000000001</v>
        <stp/>
        <stp>##V3_BDPV12</stp>
        <stp>XS1224953452 CORP</stp>
        <stp>YAS_BOND_PX</stp>
        <stp>[BondFloaters.xlsx]FLOATERS!R135C28</stp>
        <tr r="AB135" s="1"/>
      </tp>
      <tp t="s">
        <v>28/09/2018</v>
        <stp/>
        <stp>##V3_BDPV12</stp>
        <stp>FR0013266343 CORP</stp>
        <stp>START_ACC_DT</stp>
        <stp>[BondFloaters.xlsx]FLOATERS!R91C12</stp>
        <tr r="L91" s="1"/>
      </tp>
      <tp>
        <v>0.38139400000000001</v>
        <stp/>
        <stp>##V3_BDPV12</stp>
        <stp>FR0013266343 CORP</stp>
        <stp>YAS_BOND_YLD</stp>
        <stp>[BondFloaters.xlsx]FLOATERS!R91C27</stp>
        <tr r="AA91" s="1"/>
      </tp>
      <tp>
        <v>1.784964</v>
        <stp/>
        <stp>##V3_BDPV12</stp>
        <stp>XS1767930826 CORP</stp>
        <stp>YAS_BOND_YLD</stp>
        <stp>[BondFloaters.xlsx]FLOATERS!R110C27</stp>
        <tr r="AA110" s="1"/>
      </tp>
      <tp>
        <v>0.104</v>
        <stp/>
        <stp>##V3_BDPV12</stp>
        <stp>XS1767930826 CORP</stp>
        <stp>CPN</stp>
        <stp>[BondFloaters.xlsx]FLOATERS!R110C25</stp>
        <tr r="Y110" s="1"/>
      </tp>
      <tp t="s">
        <v>15/10/2018</v>
        <stp/>
        <stp>##V3_BDPV12</stp>
        <stp>BE6301509012 CORP</stp>
        <stp>START_ACC_DT</stp>
        <stp>[BondFloaters.xlsx]FLOATERS!R124C12</stp>
        <tr r="L124" s="1"/>
      </tp>
      <tp>
        <v>-0.21027100000000001</v>
        <stp/>
        <stp>##V3_BDPV12</stp>
        <stp>XS1237187718 CORP</stp>
        <stp>YAS_BOND_YLD</stp>
        <stp>[BondFloaters.xlsx]FLOATERS!R105C27</stp>
        <tr r="AA105" s="1"/>
      </tp>
      <tp t="s">
        <v>17/12/2018</v>
        <stp/>
        <stp>##V3_BDPV12</stp>
        <stp>BE6285450449 CORP</stp>
        <stp>START_ACC_DT</stp>
        <stp>[BondFloaters.xlsx]FLOATERS!R37C12</stp>
        <tr r="L37" s="1"/>
      </tp>
      <tp>
        <v>-0.12012100000000001</v>
        <stp/>
        <stp>##V3_BDPV12</stp>
        <stp>BE6285450449 CORP</stp>
        <stp>YAS_BOND_YLD</stp>
        <stp>[BondFloaters.xlsx]FLOATERS!R37C27</stp>
        <tr r="AA37" s="1"/>
      </tp>
      <tp>
        <v>100.239</v>
        <stp/>
        <stp>##V3_BDPV12</stp>
        <stp>XS1822824642 CORP</stp>
        <stp>YAS_BOND_PX</stp>
        <stp>[BondFloaters.xlsx]FLOATERS!R116C28</stp>
        <tr r="AB116" s="1"/>
      </tp>
      <tp>
        <v>0.12747800000000001</v>
        <stp/>
        <stp>##V3_BDPV12</stp>
        <stp>XS1828028677 CORP</stp>
        <stp>YAS_BOND_YLD</stp>
        <stp>[BondFloaters.xlsx]FLOATERS!R45C27</stp>
        <tr r="AA45" s="1"/>
      </tp>
      <tp t="s">
        <v>03/12/2018</v>
        <stp/>
        <stp>##V3_BDPV12</stp>
        <stp>XS1828028677 CORP</stp>
        <stp>START_ACC_DT</stp>
        <stp>[BondFloaters.xlsx]FLOATERS!R45C12</stp>
        <tr r="L45" s="1"/>
      </tp>
      <tp>
        <v>0.79980499999999999</v>
        <stp/>
        <stp>##V3_BDPV12</stp>
        <stp>XS1830992563 CORP</stp>
        <stp>YAS_BOND_YLD</stp>
        <stp>[BondFloaters.xlsx]FLOATERS!R109C27</stp>
        <tr r="AA109" s="1"/>
      </tp>
      <tp>
        <v>-0.15437400000000001</v>
        <stp/>
        <stp>##V3_BDPV12</stp>
        <stp>XS1234366448 CORP</stp>
        <stp>YAS_BOND_YLD</stp>
        <stp>[BondFloaters.xlsx]FLOATERS!R52C27</stp>
        <tr r="AA52" s="1"/>
      </tp>
      <tp t="s">
        <v>15/11/2018</v>
        <stp/>
        <stp>##V3_BDPV12</stp>
        <stp>XS1234366448 CORP</stp>
        <stp>START_ACC_DT</stp>
        <stp>[BondFloaters.xlsx]FLOATERS!R52C12</stp>
        <tr r="L52" s="1"/>
      </tp>
      <tp>
        <v>0.28399999999999997</v>
        <stp/>
        <stp>##V3_BDPV12</stp>
        <stp>XS1568906421 CORP</stp>
        <stp>CPN</stp>
        <stp>[BondFloaters.xlsx]FLOATERS!R123C25</stp>
        <tr r="Y123" s="1"/>
      </tp>
      <tp t="s">
        <v>11/12/2018</v>
        <stp/>
        <stp>##V3_BDPV12</stp>
        <stp>XS1288342147 CORP</stp>
        <stp>START_ACC_DT</stp>
        <stp>[BondFloaters.xlsx]FLOATERS!R108C12</stp>
        <tr r="L108" s="1"/>
      </tp>
      <tp t="s">
        <v>QZ2662661</v>
        <stp/>
        <stp>##V3_BDPV12</stp>
        <stp>XS1480176111 CORP</stp>
        <stp>ID_CUSIP</stp>
        <stp>[BondFloaters.xlsx]FLOATERS!R5C1</stp>
        <tr r="A5" s="1"/>
      </tp>
      <tp>
        <v>-0.37528499999999998</v>
        <stp/>
        <stp>##V3_BDPV12</stp>
        <stp>XS1372838083 CORP</stp>
        <stp>YAS_BOND_YLD</stp>
        <stp>[BondFloaters.xlsx]FLOATERS!R130C27</stp>
        <tr r="AA130" s="1"/>
      </tp>
      <tp t="s">
        <v>#N/A N/A</v>
        <stp/>
        <stp>##V3_BDPV12</stp>
        <stp>XS1554462421 CORP</stp>
        <stp>YAS_BOND_YLD</stp>
        <stp>[BondFloaters.xlsx]FLOATERS!R49C27</stp>
        <tr r="AA49" s="1"/>
      </tp>
      <tp t="s">
        <v>24/07/2018</v>
        <stp/>
        <stp>##V3_BDPV12</stp>
        <stp>XS1554462421 CORP</stp>
        <stp>START_ACC_DT</stp>
        <stp>[BondFloaters.xlsx]FLOATERS!R49C12</stp>
        <tr r="L49" s="1"/>
      </tp>
      <tp t="s">
        <v>05/12/2018</v>
        <stp/>
        <stp>##V3_BDPV12</stp>
        <stp>FR0013221652 CORP</stp>
        <stp>START_ACC_DT</stp>
        <stp>[BondFloaters.xlsx]FLOATERS!R98C12</stp>
        <tr r="L98" s="1"/>
      </tp>
      <tp>
        <v>4.9694000000000002E-2</v>
        <stp/>
        <stp>##V3_BDPV12</stp>
        <stp>FR0013221652 CORP</stp>
        <stp>YAS_BOND_YLD</stp>
        <stp>[BondFloaters.xlsx]FLOATERS!R98C27</stp>
        <tr r="AA98" s="1"/>
      </tp>
      <tp>
        <v>99.603999999999999</v>
        <stp/>
        <stp>##V3_BDPV12</stp>
        <stp>XS1717567587 CORP</stp>
        <stp>YAS_BOND_PX</stp>
        <stp>[BondFloaters.xlsx]FLOATERS!R112C28</stp>
        <tr r="AB112" s="1"/>
      </tp>
      <tp>
        <v>98.614999999999995</v>
        <stp/>
        <stp>##V3_BDPV12</stp>
        <stp>DE000A19X793 CORP</stp>
        <stp>YAS_BOND_PX</stp>
        <stp>[BondFloaters.xlsx]FLOATERS!R10C28</stp>
        <tr r="AB10" s="1"/>
      </tp>
      <tp t="s">
        <v>15/12/2018</v>
        <stp/>
        <stp>##V3_BDPV12</stp>
        <stp>FR0013342664 CORP</stp>
        <stp>START_ACC_DT</stp>
        <stp>[BondFloaters.xlsx]FLOATERS!R122C12</stp>
        <tr r="L122" s="1"/>
      </tp>
      <tp>
        <v>-0.25681799999999999</v>
        <stp/>
        <stp>##V3_BDPV12</stp>
        <stp>XS1078028864 CORP</stp>
        <stp>YAS_BOND_YLD</stp>
        <stp>[BondFloaters.xlsx]FLOATERS!R41C27</stp>
        <tr r="AA41" s="1"/>
      </tp>
      <tp>
        <v>1.300173</v>
        <stp/>
        <stp>##V3_BDPV12</stp>
        <stp>XS1609252645 CORP</stp>
        <stp>YAS_BOND_YLD</stp>
        <stp>[BondFloaters.xlsx]FLOATERS!R24C27</stp>
        <tr r="AA24" s="1"/>
      </tp>
      <tp t="s">
        <v>24/09/2018</v>
        <stp/>
        <stp>##V3_BDPV12</stp>
        <stp>XS1078028864 CORP</stp>
        <stp>START_ACC_DT</stp>
        <stp>[BondFloaters.xlsx]FLOATERS!R41C12</stp>
        <tr r="L41" s="1"/>
      </tp>
      <tp t="s">
        <v>13/11/2018</v>
        <stp/>
        <stp>##V3_BDPV12</stp>
        <stp>XS1609252645 CORP</stp>
        <stp>START_ACC_DT</stp>
        <stp>[BondFloaters.xlsx]FLOATERS!R24C12</stp>
        <tr r="L24" s="1"/>
      </tp>
      <tp t="s">
        <v>28/09/2018</v>
        <stp/>
        <stp>##V3_BDPV12</stp>
        <stp>FR0013263936 CORP</stp>
        <stp>START_ACC_DT</stp>
        <stp>[BondFloaters.xlsx]FLOATERS!R136C12</stp>
        <tr r="L136" s="1"/>
      </tp>
      <tp>
        <v>-0.24269199999999999</v>
        <stp/>
        <stp>##V3_BDPV12</stp>
        <stp>XS1139316555 CORP</stp>
        <stp>YAS_BOND_YLD</stp>
        <stp>[BondFloaters.xlsx]FLOATERS!R78C27</stp>
        <tr r="AA78" s="1"/>
      </tp>
      <tp t="s">
        <v>19/12/2018</v>
        <stp/>
        <stp>##V3_BDPV12</stp>
        <stp>XS1139316555 CORP</stp>
        <stp>START_ACC_DT</stp>
        <stp>[BondFloaters.xlsx]FLOATERS!R78C12</stp>
        <tr r="L78" s="1"/>
      </tp>
      <tp>
        <v>0</v>
        <stp/>
        <stp>##V3_BDPV12</stp>
        <stp>XS1715323298 CORP</stp>
        <stp>CPN</stp>
        <stp>[BondFloaters.xlsx]FLOATERS!R111C25</stp>
        <tr r="Y111" s="1"/>
      </tp>
      <tp>
        <v>-0.29017500000000002</v>
        <stp/>
        <stp>##V3_BDPV12</stp>
        <stp>XS1190623907 CORP</stp>
        <stp>YAS_BOND_YLD</stp>
        <stp>[BondFloaters.xlsx]FLOATERS!R59C27</stp>
        <tr r="AA59" s="1"/>
      </tp>
      <tp t="s">
        <v>12/12/2018</v>
        <stp/>
        <stp>##V3_BDPV12</stp>
        <stp>FR0013322146 CORP</stp>
        <stp>START_ACC_DT</stp>
        <stp>[BondFloaters.xlsx]FLOATERS!R95C12</stp>
        <tr r="L95" s="1"/>
      </tp>
      <tp t="s">
        <v>19/11/2018</v>
        <stp/>
        <stp>##V3_BDPV12</stp>
        <stp>XS1190623907 CORP</stp>
        <stp>START_ACC_DT</stp>
        <stp>[BondFloaters.xlsx]FLOATERS!R59C12</stp>
        <tr r="L59" s="1"/>
      </tp>
      <tp>
        <v>1.5481750000000001</v>
        <stp/>
        <stp>##V3_BDPV12</stp>
        <stp>FR0013322146 CORP</stp>
        <stp>YAS_BOND_YLD</stp>
        <stp>[BondFloaters.xlsx]FLOATERS!R95C27</stp>
        <tr r="AA95" s="1"/>
      </tp>
      <tp>
        <v>-6.0479999999999999E-2</v>
        <stp/>
        <stp>##V3_BDPV12</stp>
        <stp>XS1622634126 CORP</stp>
        <stp>YAS_BOND_YLD</stp>
        <stp>[BondFloaters.xlsx]FLOATERS!R121C27</stp>
        <tr r="AA121" s="1"/>
      </tp>
      <tp t="s">
        <v>19/07/2018</v>
        <stp/>
        <stp>##V3_BDPV12</stp>
        <stp>BE6276038419 CORP</stp>
        <stp>START_ACC_DT</stp>
        <stp>[BondFloaters.xlsx]FLOATERS!R86C12</stp>
        <tr r="L86" s="1"/>
      </tp>
      <tp t="s">
        <v>#N/A N/A</v>
        <stp/>
        <stp>##V3_BDPV12</stp>
        <stp>BE6276038419 CORP</stp>
        <stp>YAS_BOND_YLD</stp>
        <stp>[BondFloaters.xlsx]FLOATERS!R86C27</stp>
        <tr r="AA86" s="1"/>
      </tp>
      <tp>
        <v>5.3140000000000001E-3</v>
        <stp/>
        <stp>##V3_BDPV12</stp>
        <stp>XS1806435324 CORP</stp>
        <stp>YAS_BOND_YLD</stp>
        <stp>[BondFloaters.xlsx]FLOATERS!R34C27</stp>
        <tr r="AA34" s="1"/>
      </tp>
      <tp t="s">
        <v>11/10/2018</v>
        <stp/>
        <stp>##V3_BDPV12</stp>
        <stp>XS1806435324 CORP</stp>
        <stp>START_ACC_DT</stp>
        <stp>[BondFloaters.xlsx]FLOATERS!R34C12</stp>
        <tr r="L34" s="1"/>
      </tp>
      <tp t="s">
        <v>CLEAN</v>
        <stp/>
        <stp>##V3_BDPV12</stp>
        <stp>XS1781813511 CORP</stp>
        <stp>PX_DIRTY_CLEAN</stp>
        <stp>[BondFloaters.xlsx]FLOATERS!R8C19</stp>
        <tr r="S8" s="1"/>
      </tp>
      <tp>
        <v>-0.25540000000000002</v>
        <stp/>
        <stp>##V3_BDPV12</stp>
        <stp>FR0013136330 CORP</stp>
        <stp>YAS_BOND_YLD</stp>
        <stp>[BondFloaters.xlsx]FLOATERS!R103C27</stp>
        <tr r="AA103" s="1"/>
      </tp>
      <tp t="s">
        <v>15/10/2018</v>
        <stp/>
        <stp>##V3_BDPV12</stp>
        <stp>XS1346107433 CORP</stp>
        <stp>START_ACC_DT</stp>
        <stp>[BondFloaters.xlsx]FLOATERS!R134C12</stp>
        <tr r="L134" s="1"/>
      </tp>
      <tp t="s">
        <v>CLEAN</v>
        <stp/>
        <stp>##V3_BDPV12</stp>
        <stp>FR0012432904 CORP</stp>
        <stp>PX_DIRTY_CLEAN</stp>
        <stp>[BondFloaters.xlsx]FLOATERS!R48C19</stp>
        <tr r="S48" s="1"/>
      </tp>
      <tp t="s">
        <v>CLEAN</v>
        <stp/>
        <stp>##V3_BDPV12</stp>
        <stp>FR0013292687 CORP</stp>
        <stp>PX_DIRTY_CLEAN</stp>
        <stp>[BondFloaters.xlsx]FLOATERS!R36C19</stp>
        <tr r="S36" s="1"/>
      </tp>
      <tp t="s">
        <v>CLEAN</v>
        <stp/>
        <stp>##V3_BDPV12</stp>
        <stp>FR0013322146 CORP</stp>
        <stp>PX_DIRTY_CLEAN</stp>
        <stp>[BondFloaters.xlsx]FLOATERS!R95C19</stp>
        <tr r="S95" s="1"/>
      </tp>
      <tp t="s">
        <v>N</v>
        <stp/>
        <stp>##V3_BDPV12</stp>
        <stp>FR0013216884 CORP</stp>
        <stp>ZERO_CPN</stp>
        <stp>[BondFloaters.xlsx]FLOATERS!R7C8</stp>
        <tr r="H7" s="1"/>
      </tp>
      <tp t="s">
        <v>11/10/2018</v>
        <stp/>
        <stp>##V3_BDPV12</stp>
        <stp>DE000A19UNN9 CORP</stp>
        <stp>START_ACC_DT</stp>
        <stp>[BondFloaters.xlsx]FLOATERS!R125C12</stp>
        <tr r="L125" s="1"/>
      </tp>
      <tp t="s">
        <v>EUR</v>
        <stp/>
        <stp>##V3_BDPV12</stp>
        <stp>DE000A14KJE8 CORP</stp>
        <stp>CRNCY</stp>
        <stp>[BondFloaters.xlsx]FLOATERS!R51C2</stp>
        <tr r="B51" s="1"/>
      </tp>
      <tp t="s">
        <v>EUR</v>
        <stp/>
        <stp>##V3_BDPV12</stp>
        <stp>DE000A19HBM3 CORP</stp>
        <stp>CRNCY</stp>
        <stp>[BondFloaters.xlsx]FLOATERS!R99C2</stp>
        <tr r="B99" s="1"/>
      </tp>
      <tp t="s">
        <v>EUR</v>
        <stp/>
        <stp>##V3_BDPV12</stp>
        <stp>DE000A185WC9 CORP</stp>
        <stp>CRNCY</stp>
        <stp>[BondFloaters.xlsx]FLOATERS!R47C2</stp>
        <tr r="B47" s="1"/>
      </tp>
      <tp t="s">
        <v>18/12/2018</v>
        <stp/>
        <stp>##V3_BDPV12</stp>
        <stp>FR0013136330 CORP</stp>
        <stp>START_ACC_DT</stp>
        <stp>[BondFloaters.xlsx]FLOATERS!R103C12</stp>
        <tr r="L103" s="1"/>
      </tp>
      <tp>
        <v>-0.67589100000000002</v>
        <stp/>
        <stp>##V3_BDPV12</stp>
        <stp>XS1725668633 CORP</stp>
        <stp>YAS_BOND_YLD</stp>
        <stp>[BondFloaters.xlsx]FLOATERS!R17C27</stp>
        <tr r="AA17" s="1"/>
      </tp>
      <tp t="s">
        <v>28/11/2018</v>
        <stp/>
        <stp>##V3_BDPV12</stp>
        <stp>XS1725668633 CORP</stp>
        <stp>START_ACC_DT</stp>
        <stp>[BondFloaters.xlsx]FLOATERS!R17C12</stp>
        <tr r="L17" s="1"/>
      </tp>
      <tp>
        <v>0</v>
        <stp/>
        <stp>##V3_BDPV12</stp>
        <stp>XS1230926609 CORP</stp>
        <stp>CPN</stp>
        <stp>[BondFloaters.xlsx]FLOATERS!R126C25</stp>
        <tr r="Y126" s="1"/>
      </tp>
      <tp>
        <v>-0.38810299999999998</v>
        <stp/>
        <stp>##V3_BDPV12</stp>
        <stp>XS1574156540 CORP</stp>
        <stp>YAS_BOND_YLD</stp>
        <stp>[BondFloaters.xlsx]FLOATERS!R90C27</stp>
        <tr r="AA90" s="1"/>
      </tp>
      <tp t="s">
        <v>06/12/2018</v>
        <stp/>
        <stp>##V3_BDPV12</stp>
        <stp>XS1574156540 CORP</stp>
        <stp>START_ACC_DT</stp>
        <stp>[BondFloaters.xlsx]FLOATERS!R90C12</stp>
        <tr r="L90" s="1"/>
      </tp>
      <tp t="s">
        <v>15/10/2018</v>
        <stp/>
        <stp>##V3_BDPV12</stp>
        <stp>FR0012432904 CORP</stp>
        <stp>START_ACC_DT</stp>
        <stp>[BondFloaters.xlsx]FLOATERS!R48C12</stp>
        <tr r="L48" s="1"/>
      </tp>
      <tp>
        <v>-0.25296200000000002</v>
        <stp/>
        <stp>##V3_BDPV12</stp>
        <stp>FR0012432904 CORP</stp>
        <stp>YAS_BOND_YLD</stp>
        <stp>[BondFloaters.xlsx]FLOATERS!R48C27</stp>
        <tr r="AA48" s="1"/>
      </tp>
      <tp>
        <v>0.401617</v>
        <stp/>
        <stp>##V3_BDPV12</stp>
        <stp>XS1292513105 CORP</stp>
        <stp>YAS_BOND_YLD</stp>
        <stp>[BondFloaters.xlsx]FLOATERS!R69C27</stp>
        <tr r="AA69" s="1"/>
      </tp>
      <tp>
        <v>7.4933E-2</v>
        <stp/>
        <stp>##V3_BDPV12</stp>
        <stp>XS1637162246 CORP</stp>
        <stp>YAS_BOND_YLD</stp>
        <stp>[BondFloaters.xlsx]FLOATERS!R32C27</stp>
        <tr r="AA32" s="1"/>
      </tp>
      <tp t="s">
        <v>17/12/2018</v>
        <stp/>
        <stp>##V3_BDPV12</stp>
        <stp>XS1292513105 CORP</stp>
        <stp>START_ACC_DT</stp>
        <stp>[BondFloaters.xlsx]FLOATERS!R69C12</stp>
        <tr r="L69" s="1"/>
      </tp>
      <tp t="s">
        <v>28/09/2018</v>
        <stp/>
        <stp>##V3_BDPV12</stp>
        <stp>XS1637162246 CORP</stp>
        <stp>START_ACC_DT</stp>
        <stp>[BondFloaters.xlsx]FLOATERS!R32C12</stp>
        <tr r="L32" s="1"/>
      </tp>
      <tp t="s">
        <v>11/06/2018</v>
        <stp/>
        <stp>##V3_BDPV12</stp>
        <stp>FR0012146751 CORP</stp>
        <stp>START_ACC_DT</stp>
        <stp>[BondFloaters.xlsx]FLOATERS!R67C12</stp>
        <tr r="L67" s="1"/>
      </tp>
      <tp>
        <v>-6.339E-3</v>
        <stp/>
        <stp>##V3_BDPV12</stp>
        <stp>XS1212467911 CORP</stp>
        <stp>YAS_BOND_YLD</stp>
        <stp>[BondFloaters.xlsx]FLOATERS!R57C27</stp>
        <tr r="AA57" s="1"/>
      </tp>
      <tp t="s">
        <v>#N/A N/A</v>
        <stp/>
        <stp>##V3_BDPV12</stp>
        <stp>FR0012146751 CORP</stp>
        <stp>YAS_BOND_YLD</stp>
        <stp>[BondFloaters.xlsx]FLOATERS!R67C27</stp>
        <tr r="AA67" s="1"/>
      </tp>
      <tp t="s">
        <v>01/10/2018</v>
        <stp/>
        <stp>##V3_BDPV12</stp>
        <stp>XS1212467911 CORP</stp>
        <stp>START_ACC_DT</stp>
        <stp>[BondFloaters.xlsx]FLOATERS!R57C12</stp>
        <tr r="L57" s="1"/>
      </tp>
      <tp>
        <v>100.64700000000001</v>
        <stp/>
        <stp>##V3_BDPV12</stp>
        <stp>XS1301773799 CORP</stp>
        <stp>YAS_BOND_PX</stp>
        <stp>[BondFloaters.xlsx]FLOATERS!R114C28</stp>
        <tr r="AB114" s="1"/>
      </tp>
      <tp>
        <v>0.95615399999999995</v>
        <stp/>
        <stp>##V3_BDPV12</stp>
        <stp>XS1782508508 CORP</stp>
        <stp>YAS_BOND_YLD</stp>
        <stp>[BondFloaters.xlsx]FLOATERS!R23C27</stp>
        <tr r="AA23" s="1"/>
      </tp>
      <tp t="s">
        <v>26/11/2018</v>
        <stp/>
        <stp>##V3_BDPV12</stp>
        <stp>XS1782508508 CORP</stp>
        <stp>START_ACC_DT</stp>
        <stp>[BondFloaters.xlsx]FLOATERS!R23C12</stp>
        <tr r="L23" s="1"/>
      </tp>
      <tp>
        <v>-0.11534</v>
        <stp/>
        <stp>##V3_BDPV12</stp>
        <stp>XS1346107433 CORP</stp>
        <stp>YAS_BOND_YLD</stp>
        <stp>[BondFloaters.xlsx]FLOATERS!R134C27</stp>
        <tr r="AA134" s="1"/>
      </tp>
      <tp t="s">
        <v>#N/A N/A</v>
        <stp/>
        <stp>##V3_BDPV12</stp>
        <stp>XS1362349869 CORP</stp>
        <stp>YAS_BOND_YLD</stp>
        <stp>[BondFloaters.xlsx]FLOATERS!R65C27</stp>
        <tr r="AA65" s="1"/>
      </tp>
      <tp t="s">
        <v>11/05/2018</v>
        <stp/>
        <stp>##V3_BDPV12</stp>
        <stp>XS1362349869 CORP</stp>
        <stp>START_ACC_DT</stp>
        <stp>[BondFloaters.xlsx]FLOATERS!R65C12</stp>
        <tr r="L65" s="1"/>
      </tp>
      <tp>
        <v>3.0235310000000002</v>
        <stp/>
        <stp>##V3_BDPV12</stp>
        <stp>XS1033649739 CORP</stp>
        <stp>YAS_BOND_YLD</stp>
        <stp>[BondFloaters.xlsx]FLOATERS!R44C27</stp>
        <tr r="AA44" s="1"/>
      </tp>
      <tp t="s">
        <v>20/11/2018</v>
        <stp/>
        <stp>##V3_BDPV12</stp>
        <stp>XS1033649739 CORP</stp>
        <stp>START_ACC_DT</stp>
        <stp>[BondFloaters.xlsx]FLOATERS!R44C12</stp>
        <tr r="L44" s="1"/>
      </tp>
      <tp>
        <v>0.25026399999999999</v>
        <stp/>
        <stp>##V3_BDPV12</stp>
        <stp>XS1619284372 CORP</stp>
        <stp>YAS_BOND_YLD</stp>
        <stp>[BondFloaters.xlsx]FLOATERS!R68C27</stp>
        <tr r="AA68" s="1"/>
      </tp>
      <tp t="s">
        <v>24/11/2018</v>
        <stp/>
        <stp>##V3_BDPV12</stp>
        <stp>XS1619284372 CORP</stp>
        <stp>START_ACC_DT</stp>
        <stp>[BondFloaters.xlsx]FLOATERS!R68C12</stp>
        <tr r="L68" s="1"/>
      </tp>
      <tp>
        <v>1.9000000000000003E-2</v>
        <stp/>
        <stp>##V3_BDPV12</stp>
        <stp>XS1753030490 CORP</stp>
        <stp>CPN</stp>
        <stp>[BondFloaters.xlsx]FLOATERS!R106C25</stp>
        <tr r="Y106" s="1"/>
      </tp>
      <tp>
        <v>0.55752599999999997</v>
        <stp/>
        <stp>##V3_BDPV12</stp>
        <stp>FR0013342664 CORP</stp>
        <stp>YAS_BOND_YLD</stp>
        <stp>[BondFloaters.xlsx]FLOATERS!R122C27</stp>
        <tr r="AA122" s="1"/>
      </tp>
      <tp>
        <v>-0.29713400000000001</v>
        <stp/>
        <stp>##V3_BDPV12</stp>
        <stp>FR0013263936 CORP</stp>
        <stp>YAS_BOND_YLD</stp>
        <stp>[BondFloaters.xlsx]FLOATERS!R136C27</stp>
        <tr r="AA136" s="1"/>
      </tp>
      <tp t="s">
        <v>26/11/2018</v>
        <stp/>
        <stp>##V3_BDPV12</stp>
        <stp>XS1372838083 CORP</stp>
        <stp>START_ACC_DT</stp>
        <stp>[BondFloaters.xlsx]FLOATERS!R130C12</stp>
        <tr r="L130" s="1"/>
      </tp>
      <tp t="s">
        <v>DE</v>
        <stp/>
        <stp>##V3_BDPV12</stp>
        <stp>DE000A2G8VS7 CORP</stp>
        <stp>CNTRY_OF_RISK</stp>
        <stp>[BondFloaters.xlsx]FLOATERS!R43C3</stp>
        <tr r="C43" s="1"/>
      </tp>
      <tp t="s">
        <v>03/12/2018</v>
        <stp/>
        <stp>##V3_BDPV12</stp>
        <stp>XS1622634126 CORP</stp>
        <stp>START_ACC_DT</stp>
        <stp>[BondFloaters.xlsx]FLOATERS!R121C12</stp>
        <tr r="L121" s="1"/>
      </tp>
      <tp t="s">
        <v>CLEAN</v>
        <stp/>
        <stp>##V3_BDPV12</stp>
        <stp>FR0013221652 CORP</stp>
        <stp>PX_DIRTY_CLEAN</stp>
        <stp>[BondFloaters.xlsx]FLOATERS!R98C19</stp>
        <tr r="S98" s="1"/>
      </tp>
      <tp t="s">
        <v>CLEAN</v>
        <stp/>
        <stp>##V3_BDPV12</stp>
        <stp>FR0013241379 CORP</stp>
        <stp>PX_DIRTY_CLEAN</stp>
        <stp>[BondFloaters.xlsx]FLOATERS!R38C19</stp>
        <tr r="S38" s="1"/>
      </tp>
      <tp>
        <v>0.46065200000000001</v>
        <stp/>
        <stp>##V3_BDPV12</stp>
        <stp>DE000A19UNN9 CORP</stp>
        <stp>YAS_BOND_YLD</stp>
        <stp>[BondFloaters.xlsx]FLOATERS!R125C27</stp>
        <tr r="AA125" s="1"/>
      </tp>
      <tp>
        <v>3.9E-2</v>
        <stp/>
        <stp>##V3_BDPV12</stp>
        <stp>XS1577870808 CORP</stp>
        <stp>CPN</stp>
        <stp>[BondFloaters.xlsx]FLOATERS!R138C25</stp>
        <tr r="Y138" s="1"/>
      </tp>
      <tp t="s">
        <v>CLEAN</v>
        <stp/>
        <stp>##V3_BDPV12</stp>
        <stp>FR0013216884 CORP</stp>
        <stp>PX_DIRTY_CLEAN</stp>
        <stp>[BondFloaters.xlsx]FLOATERS!R7C19</stp>
        <tr r="S7" s="1"/>
      </tp>
      <tp>
        <v>-0.49656099999999997</v>
        <stp/>
        <stp>##V3_BDPV12</stp>
        <stp>XS1288342147 CORP</stp>
        <stp>YAS_BOND_YLD</stp>
        <stp>[BondFloaters.xlsx]FLOATERS!R108C27</stp>
        <tr r="AA108" s="1"/>
      </tp>
      <tp>
        <v>0.113051</v>
        <stp/>
        <stp>##V3_BDPV12</stp>
        <stp>XS1705553417 CORP</stp>
        <stp>YAS_BOND_YLD</stp>
        <stp>[BondFloaters.xlsx]FLOATERS!R85C27</stp>
        <tr r="AA85" s="1"/>
      </tp>
      <tp>
        <v>-0.130694</v>
        <stp/>
        <stp>##V3_BDPV12</stp>
        <stp>XS1586555515 CORP</stp>
        <stp>YAS_BOND_YLD</stp>
        <stp>[BondFloaters.xlsx]FLOATERS!R53C27</stp>
        <tr r="AA53" s="1"/>
      </tp>
      <tp t="s">
        <v>24/10/2018</v>
        <stp/>
        <stp>##V3_BDPV12</stp>
        <stp>XS1705553417 CORP</stp>
        <stp>START_ACC_DT</stp>
        <stp>[BondFloaters.xlsx]FLOATERS!R85C12</stp>
        <tr r="L85" s="1"/>
      </tp>
      <tp t="s">
        <v>28/09/2018</v>
        <stp/>
        <stp>##V3_BDPV12</stp>
        <stp>XS1586555515 CORP</stp>
        <stp>START_ACC_DT</stp>
        <stp>[BondFloaters.xlsx]FLOATERS!R53C12</stp>
        <tr r="L53" s="1"/>
      </tp>
      <tp>
        <v>98.781999999999996</v>
        <stp/>
        <stp>##V3_BDPV12</stp>
        <stp>XS1830992563 CORP</stp>
        <stp>YAS_BOND_PX</stp>
        <stp>[BondFloaters.xlsx]FLOATERS!R109C28</stp>
        <tr r="AB109" s="1"/>
      </tp>
      <tp>
        <v>0.70267500000000005</v>
        <stp/>
        <stp>##V3_BDPV12</stp>
        <stp>XS1734547919 CORP</stp>
        <stp>YAS_BOND_YLD</stp>
        <stp>[BondFloaters.xlsx]FLOATERS!R11C27</stp>
        <tr r="AA11" s="1"/>
      </tp>
      <tp t="s">
        <v>17/12/2018</v>
        <stp/>
        <stp>##V3_BDPV12</stp>
        <stp>XS1734547919 CORP</stp>
        <stp>START_ACC_DT</stp>
        <stp>[BondFloaters.xlsx]FLOATERS!R11C12</stp>
        <tr r="L11" s="1"/>
      </tp>
      <tp>
        <v>100.075</v>
        <stp/>
        <stp>##V3_BDPV12</stp>
        <stp>XS1771768188 CORP</stp>
        <stp>YAS_BOND_PX</stp>
        <stp>[BondFloaters.xlsx]FLOATERS!R113C28</stp>
        <tr r="AB113" s="1"/>
      </tp>
      <tp t="s">
        <v>08/10/2018</v>
        <stp/>
        <stp>##V3_BDPV12</stp>
        <stp>FR0013241379 CORP</stp>
        <stp>START_ACC_DT</stp>
        <stp>[BondFloaters.xlsx]FLOATERS!R38C12</stp>
        <tr r="L38" s="1"/>
      </tp>
      <tp>
        <v>0.37854399999999999</v>
        <stp/>
        <stp>##V3_BDPV12</stp>
        <stp>FR0013241379 CORP</stp>
        <stp>YAS_BOND_YLD</stp>
        <stp>[BondFloaters.xlsx]FLOATERS!R38C27</stp>
        <tr r="AA38" s="1"/>
      </tp>
      <tp>
        <v>-0.224604</v>
        <stp/>
        <stp>##V3_BDPV12</stp>
        <stp>XS1108681625 CORP</stp>
        <stp>YAS_BOND_YLD</stp>
        <stp>[BondFloaters.xlsx]FLOATERS!R40C27</stp>
        <tr r="AA40" s="1"/>
      </tp>
      <tp t="s">
        <v>12/12/2018</v>
        <stp/>
        <stp>##V3_BDPV12</stp>
        <stp>XS1108681625 CORP</stp>
        <stp>START_ACC_DT</stp>
        <stp>[BondFloaters.xlsx]FLOATERS!R40C12</stp>
        <tr r="L40" s="1"/>
      </tp>
      <tp t="s">
        <v>10/12/2018</v>
        <stp/>
        <stp>##V3_BDPV12</stp>
        <stp>XS1830992563 CORP</stp>
        <stp>START_ACC_DT</stp>
        <stp>[BondFloaters.xlsx]FLOATERS!R109C12</stp>
        <tr r="L109" s="1"/>
      </tp>
      <tp>
        <v>0.67164100000000004</v>
        <stp/>
        <stp>##V3_BDPV12</stp>
        <stp>BE6301509012 CORP</stp>
        <stp>YAS_BOND_YLD</stp>
        <stp>[BondFloaters.xlsx]FLOATERS!R124C27</stp>
        <tr r="AA124" s="1"/>
      </tp>
      <tp t="s">
        <v>26/11/2018</v>
        <stp/>
        <stp>##V3_BDPV12</stp>
        <stp>XS1237187718 CORP</stp>
        <stp>START_ACC_DT</stp>
        <stp>[BondFloaters.xlsx]FLOATERS!R105C12</stp>
        <tr r="L105" s="1"/>
      </tp>
      <tp t="s">
        <v>07/12/2018</v>
        <stp/>
        <stp>##V3_BDPV12</stp>
        <stp>XS1767930826 CORP</stp>
        <stp>START_ACC_DT</stp>
        <stp>[BondFloaters.xlsx]FLOATERS!R110C12</stp>
        <tr r="L110" s="1"/>
      </tp>
      <tp t="s">
        <v>CLEAN</v>
        <stp/>
        <stp>##V3_BDPV12</stp>
        <stp>FR0013260486 CORP</stp>
        <stp>PX_DIRTY_CLEAN</stp>
        <stp>[BondFloaters.xlsx]FLOATERS!R63C19</stp>
        <tr r="S63" s="1"/>
      </tp>
      <tp t="s">
        <v>CLEAN</v>
        <stp/>
        <stp>##V3_BDPV12</stp>
        <stp>FR0013250685 CORP</stp>
        <stp>PX_DIRTY_CLEAN</stp>
        <stp>[BondFloaters.xlsx]FLOATERS!R29C19</stp>
        <tr r="S29" s="1"/>
      </tp>
      <tp t="s">
        <v>CLEAN</v>
        <stp/>
        <stp>##V3_BDPV12</stp>
        <stp>FR0013330107 CORP</stp>
        <stp>PX_DIRTY_CLEAN</stp>
        <stp>[BondFloaters.xlsx]FLOATERS!R87C19</stp>
        <tr r="S87" s="1"/>
      </tp>
      <tp>
        <v>21</v>
        <stp/>
        <stp>##V3_BDPV12</stp>
        <stp>XS1480176111 CORP</stp>
        <stp>CALC_TYP</stp>
        <stp>[BondFloaters.xlsx]FLOATERS!R5C6</stp>
        <tr r="F5" s="1"/>
      </tp>
      <tp t="s">
        <v>N</v>
        <stp/>
        <stp>##V3_BDPV12</stp>
        <stp>FR0013216884 CORP</stp>
        <stp>CALLABLE</stp>
        <stp>[BondFloaters.xlsx]FLOATERS!R7C7</stp>
        <tr r="G7" s="1"/>
      </tp>
      <tp>
        <v>0</v>
        <stp/>
        <stp>##V3_BDPV12</stp>
        <stp>XS1771768188 CORP</stp>
        <stp>CPN</stp>
        <stp>[BondFloaters.xlsx]FLOATERS!R113C25</stp>
        <tr r="Y113" s="1"/>
      </tp>
      <tp>
        <v>-0.14171600000000001</v>
        <stp/>
        <stp>##V3_BDPV12</stp>
        <stp>XS1618349804 CORP</stp>
        <stp>YAS_BOND_YLD</stp>
        <stp>[BondFloaters.xlsx]FLOATERS!R60C27</stp>
        <tr r="AA60" s="1"/>
      </tp>
      <tp>
        <v>-0.18972700000000001</v>
        <stp/>
        <stp>##V3_BDPV12</stp>
        <stp>XS1398275112 CORP</stp>
        <stp>YAS_BOND_YLD</stp>
        <stp>[BondFloaters.xlsx]FLOATERS!R16C27</stp>
        <tr r="AA16" s="1"/>
      </tp>
      <tp>
        <v>-1.1155999999999999E-2</v>
        <stp/>
        <stp>##V3_BDPV12</stp>
        <stp>XS1750116920 CORP</stp>
        <stp>YAS_BOND_YLD</stp>
        <stp>[BondFloaters.xlsx]FLOATERS!R31C27</stp>
        <tr r="AA31" s="1"/>
      </tp>
      <tp t="s">
        <v>22/11/2018</v>
        <stp/>
        <stp>##V3_BDPV12</stp>
        <stp>XS1618349804 CORP</stp>
        <stp>START_ACC_DT</stp>
        <stp>[BondFloaters.xlsx]FLOATERS!R60C12</stp>
        <tr r="L60" s="1"/>
      </tp>
      <tp t="s">
        <v>22/10/2018</v>
        <stp/>
        <stp>##V3_BDPV12</stp>
        <stp>XS1398275112 CORP</stp>
        <stp>START_ACC_DT</stp>
        <stp>[BondFloaters.xlsx]FLOATERS!R16C12</stp>
        <tr r="L16" s="1"/>
      </tp>
      <tp t="s">
        <v>16/10/2018</v>
        <stp/>
        <stp>##V3_BDPV12</stp>
        <stp>XS1750116920 CORP</stp>
        <stp>START_ACC_DT</stp>
        <stp>[BondFloaters.xlsx]FLOATERS!R31C12</stp>
        <tr r="L31" s="1"/>
      </tp>
      <tp t="s">
        <v>03/10/2018</v>
        <stp/>
        <stp>##V3_BDPV12</stp>
        <stp>FR0013054020 CORP</stp>
        <stp>START_ACC_DT</stp>
        <stp>[BondFloaters.xlsx]FLOATERS!R26C12</stp>
        <tr r="L26" s="1"/>
      </tp>
      <tp>
        <v>-0.162603</v>
        <stp/>
        <stp>##V3_BDPV12</stp>
        <stp>FR0013054020 CORP</stp>
        <stp>YAS_BOND_YLD</stp>
        <stp>[BondFloaters.xlsx]FLOATERS!R26C27</stp>
        <tr r="AA26" s="1"/>
      </tp>
      <tp t="s">
        <v>21/09/2018</v>
        <stp/>
        <stp>##V3_BDPV12</stp>
        <stp>FR0013324316 CORP</stp>
        <stp>START_ACC_DT</stp>
        <stp>[BondFloaters.xlsx]FLOATERS!R28C12</stp>
        <tr r="L28" s="1"/>
      </tp>
      <tp>
        <v>-0.23232700000000001</v>
        <stp/>
        <stp>##V3_BDPV12</stp>
        <stp>FR0013324316 CORP</stp>
        <stp>YAS_BOND_YLD</stp>
        <stp>[BondFloaters.xlsx]FLOATERS!R28C27</stp>
        <tr r="AA28" s="1"/>
      </tp>
      <tp>
        <v>0.64267300000000005</v>
        <stp/>
        <stp>##V3_BDPV12</stp>
        <stp>XS1794195724 CORP</stp>
        <stp>YAS_BOND_YLD</stp>
        <stp>[BondFloaters.xlsx]FLOATERS!R12C27</stp>
        <tr r="AA12" s="1"/>
      </tp>
      <tp t="s">
        <v>20/12/2018</v>
        <stp/>
        <stp>##V3_BDPV12</stp>
        <stp>XS1794195724 CORP</stp>
        <stp>START_ACC_DT</stp>
        <stp>[BondFloaters.xlsx]FLOATERS!R12C12</stp>
        <tr r="L12" s="1"/>
      </tp>
      <tp>
        <v>0.135628</v>
        <stp/>
        <stp>##V3_BDPV12</stp>
        <stp>XS1717567587 CORP</stp>
        <stp>YAS_BOND_YLD</stp>
        <stp>[BondFloaters.xlsx]FLOATERS!R112C27</stp>
        <tr r="AA112" s="1"/>
      </tp>
      <tp>
        <v>0.38500000000000001</v>
        <stp/>
        <stp>##V3_BDPV12</stp>
        <stp>XS1830992563 CORP</stp>
        <stp>CPN</stp>
        <stp>[BondFloaters.xlsx]FLOATERS!R109C25</stp>
        <tr r="Y109" s="1"/>
      </tp>
      <tp>
        <v>2.9381900000000001</v>
        <stp/>
        <stp>##V3_BDPV12</stp>
        <stp>US30231GAE26 CORP</stp>
        <stp>CPN</stp>
        <stp>[BondFloaters.xlsx]FLOATERS!R27C25</stp>
        <tr r="Y27" s="1"/>
      </tp>
      <tp>
        <v>100.202</v>
        <stp/>
        <stp>##V3_BDPV12</stp>
        <stp>XS1577870808 CORP</stp>
        <stp>YAS_BOND_PX</stp>
        <stp>[BondFloaters.xlsx]FLOATERS!R138C28</stp>
        <tr r="AB138" s="1"/>
      </tp>
      <tp t="s">
        <v>CLEAN</v>
        <stp/>
        <stp>##V3_BDPV12</stp>
        <stp>XS1480176111 CORP</stp>
        <stp>PX_DIRTY_CLEAN</stp>
        <stp>[BondFloaters.xlsx]FLOATERS!R5C19</stp>
        <tr r="S5" s="1"/>
      </tp>
      <tp t="s">
        <v>CLEAN</v>
        <stp/>
        <stp>##V3_BDPV12</stp>
        <stp>XS1678632487 CORP</stp>
        <stp>PX_DIRTY_CLEAN</stp>
        <stp>[BondFloaters.xlsx]FLOATERS!R6C19</stp>
        <tr r="S6" s="1"/>
      </tp>
      <tp t="s">
        <v>29/10/2018</v>
        <stp/>
        <stp>##V3_BDPV12</stp>
        <stp>XS1224953452 CORP</stp>
        <stp>START_ACC_DT</stp>
        <stp>[BondFloaters.xlsx]FLOATERS!R135C12</stp>
        <tr r="L135" s="1"/>
      </tp>
      <tp t="s">
        <v>CLEAN</v>
        <stp/>
        <stp>##V3_BDPV12</stp>
        <stp>FR0013257599 CORP</stp>
        <stp>PX_DIRTY_CLEAN</stp>
        <stp>[BondFloaters.xlsx]FLOATERS!R20C19</stp>
        <tr r="S20" s="1"/>
      </tp>
      <tp>
        <v>-0.23849500000000001</v>
        <stp/>
        <stp>##V3_BDPV12</stp>
        <stp>XS1671754650 CORP</stp>
        <stp>YAS_BOND_YLD</stp>
        <stp>[BondFloaters.xlsx]FLOATERS!R19C27</stp>
        <tr r="AA19" s="1"/>
      </tp>
      <tp t="s">
        <v>06/12/2018</v>
        <stp/>
        <stp>##V3_BDPV12</stp>
        <stp>XS1671754650 CORP</stp>
        <stp>START_ACC_DT</stp>
        <stp>[BondFloaters.xlsx]FLOATERS!R19C12</stp>
        <tr r="L19" s="1"/>
      </tp>
      <tp>
        <v>97.177999999999997</v>
        <stp/>
        <stp>##V3_BDPV12</stp>
        <stp>XS1753030490 CORP</stp>
        <stp>YAS_BOND_PX</stp>
        <stp>[BondFloaters.xlsx]FLOATERS!R106C28</stp>
        <tr r="AB106" s="1"/>
      </tp>
      <tp>
        <v>0.18152599999999999</v>
        <stp/>
        <stp>##V3_BDPV12</stp>
        <stp>XS1756669740 CORP</stp>
        <stp>YAS_BOND_YLD</stp>
        <stp>[BondFloaters.xlsx]FLOATERS!R72C27</stp>
        <tr r="AA72" s="1"/>
      </tp>
      <tp t="s">
        <v>23/10/2018</v>
        <stp/>
        <stp>##V3_BDPV12</stp>
        <stp>XS1756669740 CORP</stp>
        <stp>START_ACC_DT</stp>
        <stp>[BondFloaters.xlsx]FLOATERS!R72C12</stp>
        <tr r="L72" s="1"/>
      </tp>
      <tp>
        <v>-0.25264199999999998</v>
        <stp/>
        <stp>##V3_BDPV12</stp>
        <stp>XS1651071521 CORP</stp>
        <stp>YAS_BOND_YLD</stp>
        <stp>[BondFloaters.xlsx]FLOATERS!R46C27</stp>
        <tr r="AA46" s="1"/>
      </tp>
      <tp t="s">
        <v>24/10/2018</v>
        <stp/>
        <stp>##V3_BDPV12</stp>
        <stp>XS1651071521 CORP</stp>
        <stp>START_ACC_DT</stp>
        <stp>[BondFloaters.xlsx]FLOATERS!R46C12</stp>
        <tr r="L46" s="1"/>
      </tp>
      <tp t="s">
        <v>12/10/2018</v>
        <stp/>
        <stp>##V3_BDPV12</stp>
        <stp>FR0013309606 CORP</stp>
        <stp>START_ACC_DT</stp>
        <stp>[BondFloaters.xlsx]FLOATERS!R25C12</stp>
        <tr r="L25" s="1"/>
      </tp>
      <tp>
        <v>1.291447</v>
        <stp/>
        <stp>##V3_BDPV12</stp>
        <stp>FR0013309606 CORP</stp>
        <stp>YAS_BOND_YLD</stp>
        <stp>[BondFloaters.xlsx]FLOATERS!R25C27</stp>
        <tr r="AA25" s="1"/>
      </tp>
      <tp>
        <v>1.8907E-2</v>
        <stp/>
        <stp>##V3_BDPV12</stp>
        <stp>XS1808497264 CORP</stp>
        <stp>YAS_BOND_YLD</stp>
        <stp>[BondFloaters.xlsx]FLOATERS!R13C27</stp>
        <tr r="AA13" s="1"/>
      </tp>
      <tp t="s">
        <v>19/10/2018</v>
        <stp/>
        <stp>##V3_BDPV12</stp>
        <stp>XS1808497264 CORP</stp>
        <stp>START_ACC_DT</stp>
        <stp>[BondFloaters.xlsx]FLOATERS!R13C12</stp>
        <tr r="L13" s="1"/>
      </tp>
      <tp>
        <v>0.5625</v>
        <stp/>
        <stp>##V3_BDPV12</stp>
        <stp>XS1301773799 CORP</stp>
        <stp>CPN</stp>
        <stp>[BondFloaters.xlsx]FLOATERS!R114C25</stp>
        <tr r="Y114" s="1"/>
      </tp>
      <tp>
        <v>0.81509699999999996</v>
        <stp/>
        <stp>##V3_BDPV12</stp>
        <stp>XS1664643746 CORP</stp>
        <stp>YAS_BOND_YLD</stp>
        <stp>[BondFloaters.xlsx]FLOATERS!R73C27</stp>
        <tr r="AA73" s="1"/>
      </tp>
      <tp t="s">
        <v>19/10/2018</v>
        <stp/>
        <stp>##V3_BDPV12</stp>
        <stp>FR0013330107 CORP</stp>
        <stp>START_ACC_DT</stp>
        <stp>[BondFloaters.xlsx]FLOATERS!R87C12</stp>
        <tr r="L87" s="1"/>
      </tp>
      <tp t="s">
        <v>16/11/2018</v>
        <stp/>
        <stp>##V3_BDPV12</stp>
        <stp>XS1664643746 CORP</stp>
        <stp>START_ACC_DT</stp>
        <stp>[BondFloaters.xlsx]FLOATERS!R73C12</stp>
        <tr r="L73" s="1"/>
      </tp>
      <tp>
        <v>-0.18628700000000001</v>
        <stp/>
        <stp>##V3_BDPV12</stp>
        <stp>FR0013330107 CORP</stp>
        <stp>YAS_BOND_YLD</stp>
        <stp>[BondFloaters.xlsx]FLOATERS!R87C27</stp>
        <tr r="AA87" s="1"/>
      </tp>
      <tp>
        <v>-1.5959000000000001E-2</v>
        <stp/>
        <stp>##V3_BDPV12</stp>
        <stp>XS1823165631 CORP</stp>
        <stp>YAS_BOND_YLD</stp>
        <stp>[BondFloaters.xlsx]FLOATERS!R70C27</stp>
        <tr r="AA70" s="1"/>
      </tp>
      <tp t="s">
        <v>18/11/2018</v>
        <stp/>
        <stp>##V3_BDPV12</stp>
        <stp>XS1823165631 CORP</stp>
        <stp>START_ACC_DT</stp>
        <stp>[BondFloaters.xlsx]FLOATERS!R70C12</stp>
        <tr r="L70" s="1"/>
      </tp>
      <tp>
        <v>0.36015999999999998</v>
        <stp/>
        <stp>##V3_BDPV12</stp>
        <stp>XS1717202730 CORP</stp>
        <stp>YAS_BOND_YLD</stp>
        <stp>[BondFloaters.xlsx]FLOATERS!R128C27</stp>
        <tr r="AA128" s="1"/>
      </tp>
      <tp>
        <v>100.151</v>
        <stp/>
        <stp>##V3_BDPV12</stp>
        <stp>XS1230926609 CORP</stp>
        <stp>YAS_BOND_PX</stp>
        <stp>[BondFloaters.xlsx]FLOATERS!R126C28</stp>
        <tr r="AB126" s="1"/>
      </tp>
      <tp>
        <v>-0.24413799999999999</v>
        <stp/>
        <stp>##V3_BDPV12</stp>
        <stp>XS1715353105 CORP</stp>
        <stp>YAS_BOND_YLD</stp>
        <stp>[BondFloaters.xlsx]FLOATERS!R120C27</stp>
        <tr r="AA120" s="1"/>
      </tp>
      <tp>
        <v>-0.37354399999999999</v>
        <stp/>
        <stp>##V3_BDPV12</stp>
        <stp>XS1574667124 CORP</stp>
        <stp>YAS_BOND_YLD</stp>
        <stp>[BondFloaters.xlsx]FLOATERS!R104C27</stp>
        <tr r="AA104" s="1"/>
      </tp>
      <tp t="s">
        <v>15/10/2018</v>
        <stp/>
        <stp>##V3_BDPV12</stp>
        <stp>XS1306411726 CORP</stp>
        <stp>START_ACC_DT</stp>
        <stp>[BondFloaters.xlsx]FLOATERS!R115C12</stp>
        <tr r="L115" s="1"/>
      </tp>
      <tp t="s">
        <v>21/11/2018</v>
        <stp/>
        <stp>##V3_BDPV12</stp>
        <stp>XS1568906421 CORP</stp>
        <stp>START_ACC_DT</stp>
        <stp>[BondFloaters.xlsx]FLOATERS!R123C12</stp>
        <tr r="L123" s="1"/>
      </tp>
      <tp t="s">
        <v>17/12/2018</v>
        <stp/>
        <stp>##V3_BDPV12</stp>
        <stp>XS1753030490 CORP</stp>
        <stp>START_ACC_DT</stp>
        <stp>[BondFloaters.xlsx]FLOATERS!R106C12</stp>
        <tr r="L106" s="1"/>
      </tp>
      <tp t="s">
        <v>CLEAN</v>
        <stp/>
        <stp>##V3_BDPV12</stp>
        <stp>FR0012146751 CORP</stp>
        <stp>PX_DIRTY_CLEAN</stp>
        <stp>[BondFloaters.xlsx]FLOATERS!R67C19</stp>
        <tr r="S67" s="1"/>
      </tp>
      <tp t="s">
        <v>CLEAN</v>
        <stp/>
        <stp>##V3_BDPV12</stp>
        <stp>DE000A185WC9 CORP</stp>
        <stp>PX_DIRTY_CLEAN</stp>
        <stp>[BondFloaters.xlsx]FLOATERS!R47C19</stp>
        <tr r="S47" s="1"/>
      </tp>
      <tp t="s">
        <v>CLEAN</v>
        <stp/>
        <stp>##V3_BDPV12</stp>
        <stp>FR0013266343 CORP</stp>
        <stp>PX_DIRTY_CLEAN</stp>
        <stp>[BondFloaters.xlsx]FLOATERS!R91C19</stp>
        <tr r="S91" s="1"/>
      </tp>
      <tp>
        <v>-0.20045199999999999</v>
        <stp/>
        <stp>##V3_BDPV12</stp>
        <stp>XS1323463056 CORP</stp>
        <stp>YAS_BOND_YLD</stp>
        <stp>[BondFloaters.xlsx]FLOATERS!R83C27</stp>
        <tr r="AA83" s="1"/>
      </tp>
      <tp t="s">
        <v>15/10/2018</v>
        <stp/>
        <stp>##V3_BDPV12</stp>
        <stp>XS1323463056 CORP</stp>
        <stp>START_ACC_DT</stp>
        <stp>[BondFloaters.xlsx]FLOATERS!R83C12</stp>
        <tr r="L83" s="1"/>
      </tp>
      <tp t="s">
        <v>14/11/2018</v>
        <stp/>
        <stp>##V3_BDPV12</stp>
        <stp>FR0012315133 CORP</stp>
        <stp>START_ACC_DT</stp>
        <stp>[BondFloaters.xlsx]FLOATERS!R55C12</stp>
        <tr r="L55" s="1"/>
      </tp>
      <tp>
        <v>9.0576000000000004E-2</v>
        <stp/>
        <stp>##V3_BDPV12</stp>
        <stp>XS1692846790 CORP</stp>
        <stp>YAS_BOND_YLD</stp>
        <stp>[BondFloaters.xlsx]FLOATERS!R94C27</stp>
        <tr r="AA94" s="1"/>
      </tp>
      <tp>
        <v>-0.25703999999999999</v>
        <stp/>
        <stp>##V3_BDPV12</stp>
        <stp>FR0012315133 CORP</stp>
        <stp>YAS_BOND_YLD</stp>
        <stp>[BondFloaters.xlsx]FLOATERS!R55C27</stp>
        <tr r="AA55" s="1"/>
      </tp>
      <tp t="s">
        <v>03/10/2018</v>
        <stp/>
        <stp>##V3_BDPV12</stp>
        <stp>XS1692846790 CORP</stp>
        <stp>START_ACC_DT</stp>
        <stp>[BondFloaters.xlsx]FLOATERS!R94C12</stp>
        <tr r="L94" s="1"/>
      </tp>
      <tp t="s">
        <v>20/08/2018</v>
        <stp/>
        <stp>##V3_BDPV12</stp>
        <stp>DE000A13SL18 CORP</stp>
        <stp>START_ACC_DT</stp>
        <stp>[BondFloaters.xlsx]FLOATERS!R92C12</stp>
        <tr r="L92" s="1"/>
      </tp>
      <tp>
        <v>100.10299999999999</v>
        <stp/>
        <stp>##V3_BDPV12</stp>
        <stp>XS1715323298 CORP</stp>
        <stp>YAS_BOND_PX</stp>
        <stp>[BondFloaters.xlsx]FLOATERS!R111C28</stp>
        <tr r="AB111" s="1"/>
      </tp>
      <tp t="s">
        <v>#N/A N/A</v>
        <stp/>
        <stp>##V3_BDPV12</stp>
        <stp>DE000A13SL18 CORP</stp>
        <stp>YAS_BOND_YLD</stp>
        <stp>[BondFloaters.xlsx]FLOATERS!R92C27</stp>
        <tr r="AA92" s="1"/>
      </tp>
      <tp>
        <v>0.14319499999999999</v>
        <stp/>
        <stp>##V3_BDPV12</stp>
        <stp>XS1612940988 CORP</stp>
        <stp>YAS_BOND_YLD</stp>
        <stp>[BondFloaters.xlsx]FLOATERS!R35C27</stp>
        <tr r="AA35" s="1"/>
      </tp>
      <tp t="s">
        <v>19/11/2018</v>
        <stp/>
        <stp>##V3_BDPV12</stp>
        <stp>XS1612940988 CORP</stp>
        <stp>START_ACC_DT</stp>
        <stp>[BondFloaters.xlsx]FLOATERS!R35C12</stp>
        <tr r="L35" s="1"/>
      </tp>
      <tp>
        <v>1.15377</v>
        <stp/>
        <stp>##V3_BDPV12</stp>
        <stp>XS1753030490 CORP</stp>
        <stp>YAS_BOND_YLD</stp>
        <stp>[BondFloaters.xlsx]FLOATERS!R106C27</stp>
        <tr r="AA106" s="1"/>
      </tp>
      <tp t="s">
        <v>20/11/2018</v>
        <stp/>
        <stp>##V3_BDPV12</stp>
        <stp>DE000A19SE11 CORP</stp>
        <stp>START_ACC_DT</stp>
        <stp>[BondFloaters.xlsx]FLOATERS!R71C12</stp>
        <tr r="L71" s="1"/>
      </tp>
      <tp>
        <v>-6.0453E-2</v>
        <stp/>
        <stp>##V3_BDPV12</stp>
        <stp>DE000A19SE11 CORP</stp>
        <stp>YAS_BOND_YLD</stp>
        <stp>[BondFloaters.xlsx]FLOATERS!R71C27</stp>
        <tr r="AA71" s="1"/>
      </tp>
      <tp>
        <v>-0.443633</v>
        <stp/>
        <stp>##V3_BDPV12</stp>
        <stp>XS1381690574 CORP</stp>
        <stp>YAS_BOND_YLD</stp>
        <stp>[BondFloaters.xlsx]FLOATERS!R89C27</stp>
        <tr r="AA89" s="1"/>
      </tp>
      <tp t="s">
        <v>18/12/2018</v>
        <stp/>
        <stp>##V3_BDPV12</stp>
        <stp>XS1381690574 CORP</stp>
        <stp>START_ACC_DT</stp>
        <stp>[BondFloaters.xlsx]FLOATERS!R89C12</stp>
        <tr r="L89" s="1"/>
      </tp>
      <tp>
        <v>0</v>
        <stp/>
        <stp>##V3_BDPV12</stp>
        <stp>XS1717567587 CORP</stp>
        <stp>CPN</stp>
        <stp>[BondFloaters.xlsx]FLOATERS!R112C25</stp>
        <tr r="Y112" s="1"/>
      </tp>
      <tp>
        <v>-0.16297</v>
        <stp/>
        <stp>##V3_BDPV12</stp>
        <stp>XS1306411726 CORP</stp>
        <stp>YAS_BOND_YLD</stp>
        <stp>[BondFloaters.xlsx]FLOATERS!R115C27</stp>
        <tr r="AA115" s="1"/>
      </tp>
      <tp>
        <v>0.76785000000000003</v>
        <stp/>
        <stp>##V3_BDPV12</stp>
        <stp>XS1568906421 CORP</stp>
        <stp>YAS_BOND_YLD</stp>
        <stp>[BondFloaters.xlsx]FLOATERS!R123C27</stp>
        <tr r="AA123" s="1"/>
      </tp>
      <tp t="s">
        <v>10/12/2018</v>
        <stp/>
        <stp>##V3_BDPV12</stp>
        <stp>XS1574667124 CORP</stp>
        <stp>START_ACC_DT</stp>
        <stp>[BondFloaters.xlsx]FLOATERS!R104C12</stp>
        <tr r="L104" s="1"/>
      </tp>
      <tp t="s">
        <v>15/11/2018</v>
        <stp/>
        <stp>##V3_BDPV12</stp>
        <stp>XS1717202730 CORP</stp>
        <stp>START_ACC_DT</stp>
        <stp>[BondFloaters.xlsx]FLOATERS!R128C12</stp>
        <tr r="L128" s="1"/>
      </tp>
      <tp t="s">
        <v>08/11/2018</v>
        <stp/>
        <stp>##V3_BDPV12</stp>
        <stp>XS1715353105 CORP</stp>
        <stp>START_ACC_DT</stp>
        <stp>[BondFloaters.xlsx]FLOATERS!R120C12</stp>
        <tr r="L120" s="1"/>
      </tp>
      <tp t="s">
        <v>CLEAN</v>
        <stp/>
        <stp>##V3_BDPV12</stp>
        <stp>FR0012315133 CORP</stp>
        <stp>PX_DIRTY_CLEAN</stp>
        <stp>[BondFloaters.xlsx]FLOATERS!R55C19</stp>
        <tr r="S55" s="1"/>
      </tp>
      <tp t="s">
        <v>17/12/2018</v>
        <stp/>
        <stp>##V3_BDPV12</stp>
        <stp>US30231GAE26 CORP</stp>
        <stp>START_ACC_DT</stp>
        <stp>[BondFloaters.xlsx]FLOATERS!R27C12</stp>
        <tr r="L27" s="1"/>
      </tp>
      <tp>
        <v>2.766994</v>
        <stp/>
        <stp>##V3_BDPV12</stp>
        <stp>US30231GAE26 CORP</stp>
        <stp>YAS_BOND_YLD</stp>
        <stp>[BondFloaters.xlsx]FLOATERS!R27C27</stp>
        <tr r="AA27" s="1"/>
      </tp>
      <tp t="s">
        <v>EUR</v>
        <stp/>
        <stp>##V3_BDPV12</stp>
        <stp>DE000A19RXA1 CORP</stp>
        <stp>CRNCY</stp>
        <stp>[BondFloaters.xlsx]FLOATERS!R62C2</stp>
        <tr r="B62" s="1"/>
      </tp>
      <tp>
        <v>98.481999999999999</v>
        <stp/>
        <stp>##V3_BDPV12</stp>
        <stp>XS1568906421 CORP</stp>
        <stp>YAS_BOND_PX</stp>
        <stp>[BondFloaters.xlsx]FLOATERS!R123C28</stp>
        <tr r="AB123" s="1"/>
      </tp>
      <tp t="s">
        <v>28/09/2018</v>
        <stp/>
        <stp>##V3_BDPV12</stp>
        <stp>FR0011884899 CORP</stp>
        <stp>START_ACC_DT</stp>
        <stp>[BondFloaters.xlsx]FLOATERS!R66C12</stp>
        <tr r="L66" s="1"/>
      </tp>
      <tp>
        <v>3.0786999999999998E-2</v>
        <stp/>
        <stp>##V3_BDPV12</stp>
        <stp>XS1822301039 CORP</stp>
        <stp>YAS_BOND_YLD</stp>
        <stp>[BondFloaters.xlsx]FLOATERS!R15C27</stp>
        <tr r="AA15" s="1"/>
      </tp>
      <tp>
        <v>-0.30716700000000002</v>
        <stp/>
        <stp>##V3_BDPV12</stp>
        <stp>FR0011884899 CORP</stp>
        <stp>YAS_BOND_YLD</stp>
        <stp>[BondFloaters.xlsx]FLOATERS!R66C27</stp>
        <tr r="AA66" s="1"/>
      </tp>
      <tp t="s">
        <v>19/11/2018</v>
        <stp/>
        <stp>##V3_BDPV12</stp>
        <stp>XS1822301039 CORP</stp>
        <stp>START_ACC_DT</stp>
        <stp>[BondFloaters.xlsx]FLOATERS!R15C12</stp>
        <tr r="L15" s="1"/>
      </tp>
      <tp>
        <v>-0.18059600000000001</v>
        <stp/>
        <stp>##V3_BDPV12</stp>
        <stp>XS1591430746 CORP</stp>
        <stp>YAS_BOND_YLD</stp>
        <stp>[BondFloaters.xlsx]FLOATERS!R64C27</stp>
        <tr r="AA64" s="1"/>
      </tp>
      <tp t="s">
        <v>05/10/2018</v>
        <stp/>
        <stp>##V3_BDPV12</stp>
        <stp>XS1591430746 CORP</stp>
        <stp>START_ACC_DT</stp>
        <stp>[BondFloaters.xlsx]FLOATERS!R64C12</stp>
        <tr r="L64" s="1"/>
      </tp>
      <tp>
        <v>0</v>
        <stp/>
        <stp>##V3_BDPV12</stp>
        <stp>XS1822824642 CORP</stp>
        <stp>CPN</stp>
        <stp>[BondFloaters.xlsx]FLOATERS!R116C25</stp>
        <tr r="Y116" s="1"/>
      </tp>
      <tp>
        <v>-4.4539000000000002E-2</v>
        <stp/>
        <stp>##V3_BDPV12</stp>
        <stp>XS1564405741 CORP</stp>
        <stp>YAS_BOND_YLD</stp>
        <stp>[BondFloaters.xlsx]FLOATERS!R21C27</stp>
        <tr r="AA21" s="1"/>
      </tp>
      <tp t="s">
        <v>13/11/2018</v>
        <stp/>
        <stp>##V3_BDPV12</stp>
        <stp>XS1564405741 CORP</stp>
        <stp>START_ACC_DT</stp>
        <stp>[BondFloaters.xlsx]FLOATERS!R21C12</stp>
        <tr r="L21" s="1"/>
      </tp>
      <tp>
        <v>93.516000000000005</v>
        <stp/>
        <stp>##V3_BDPV12</stp>
        <stp>XS1767930826 CORP</stp>
        <stp>YAS_BOND_PX</stp>
        <stp>[BondFloaters.xlsx]FLOATERS!R110C28</stp>
        <tr r="AB110" s="1"/>
      </tp>
      <tp>
        <v>-6.8766999999999995E-2</v>
        <stp/>
        <stp>##V3_BDPV12</stp>
        <stp>XS1224953452 CORP</stp>
        <stp>YAS_BOND_YLD</stp>
        <stp>[BondFloaters.xlsx]FLOATERS!R135C27</stp>
        <tr r="AA135" s="1"/>
      </tp>
      <tp>
        <v>3.3000000000000002E-2</v>
        <stp/>
        <stp>##V3_BDPV12</stp>
        <stp>XS1224953452 CORP</stp>
        <stp>CPN</stp>
        <stp>[BondFloaters.xlsx]FLOATERS!R135C25</stp>
        <tr r="Y135" s="1"/>
      </tp>
      <tp t="s">
        <v>16/11/2018</v>
        <stp/>
        <stp>##V3_BDPV12</stp>
        <stp>XS1717567587 CORP</stp>
        <stp>START_ACC_DT</stp>
        <stp>[BondFloaters.xlsx]FLOATERS!R112C12</stp>
        <tr r="L112" s="1"/>
      </tp>
      <tp t="s">
        <v>CLEAN</v>
        <stp/>
        <stp>##V3_BDPV12</stp>
        <stp>FR0013264884 CORP</stp>
        <stp>PX_DIRTY_CLEAN</stp>
        <stp>[BondFloaters.xlsx]FLOATERS!R93C19</stp>
        <tr r="S93" s="1"/>
      </tp>
      <tp t="s">
        <v>CLEAN</v>
        <stp/>
        <stp>##V3_BDPV12</stp>
        <stp>FR0011884899 CORP</stp>
        <stp>PX_DIRTY_CLEAN</stp>
        <stp>[BondFloaters.xlsx]FLOATERS!R66C19</stp>
        <tr r="S66" s="1"/>
      </tp>
      <tp t="s">
        <v>CLEAN</v>
        <stp/>
        <stp>##V3_BDPV12</stp>
        <stp>FR0013054020 CORP</stp>
        <stp>PX_DIRTY_CLEAN</stp>
        <stp>[BondFloaters.xlsx]FLOATERS!R26C19</stp>
        <tr r="S26" s="1"/>
      </tp>
      <tp t="s">
        <v>CLEAN</v>
        <stp/>
        <stp>##V3_BDPV12</stp>
        <stp>FR0013324316 CORP</stp>
        <stp>PX_DIRTY_CLEAN</stp>
        <stp>[BondFloaters.xlsx]FLOATERS!R28C19</stp>
        <tr r="S28" s="1"/>
      </tp>
      <tp>
        <v>100.081</v>
        <stp/>
        <stp>##V3_BDPV12</stp>
        <stp>XS1574667124 CORP</stp>
        <stp>YAS_BOND_PX</stp>
        <stp>[BondFloaters.xlsx]FLOATERS!R104C28</stp>
        <tr r="AB104" s="1"/>
      </tp>
      <tp>
        <v>0.28199999999999997</v>
        <stp/>
        <stp>##V3_BDPV12</stp>
        <stp>XS1057486471 CORP</stp>
        <stp>CPN</stp>
        <stp>[BondFloaters.xlsx]FLOATERS!R131C25</stp>
        <tr r="Y131" s="1"/>
      </tp>
      <tp>
        <v>-4.2222999999999997E-2</v>
        <stp/>
        <stp>##V3_BDPV12</stp>
        <stp>XS1485660895 CORP</stp>
        <stp>YAS_BOND_YLD</stp>
        <stp>[BondFloaters.xlsx]FLOATERS!R58C27</stp>
        <tr r="AA58" s="1"/>
      </tp>
      <tp t="s">
        <v>06/12/2018</v>
        <stp/>
        <stp>##V3_BDPV12</stp>
        <stp>XS1485660895 CORP</stp>
        <stp>START_ACC_DT</stp>
        <stp>[BondFloaters.xlsx]FLOATERS!R58C12</stp>
        <tr r="L58" s="1"/>
      </tp>
      <tp>
        <v>0</v>
        <stp/>
        <stp>##V3_BDPV12</stp>
        <stp>XS1171489476 CORP</stp>
        <stp>CPN</stp>
        <stp>[BondFloaters.xlsx]FLOATERS!R101C25</stp>
        <tr r="Y101" s="1"/>
      </tp>
      <tp>
        <v>99.132000000000005</v>
        <stp/>
        <stp>##V3_BDPV12</stp>
        <stp>FR0013342664 CORP</stp>
        <stp>YAS_BOND_PX</stp>
        <stp>[BondFloaters.xlsx]FLOATERS!R122C28</stp>
        <tr r="AB122" s="1"/>
      </tp>
      <tp>
        <v>100.047</v>
        <stp/>
        <stp>##V3_BDPV12</stp>
        <stp>XS1622634126 CORP</stp>
        <stp>YAS_BOND_PX</stp>
        <stp>[BondFloaters.xlsx]FLOATERS!R121C28</stp>
        <tr r="AB121" s="1"/>
      </tp>
      <tp t="s">
        <v>#N/A N/A</v>
        <stp/>
        <stp>##V3_BDPV12</stp>
        <stp>XS1522989869 CORP</stp>
        <stp>YAS_BOND_YLD</stp>
        <stp>[BondFloaters.xlsx]FLOATERS!R33C27</stp>
        <tr r="AA33" s="1"/>
      </tp>
      <tp t="s">
        <v>22/08/2018</v>
        <stp/>
        <stp>##V3_BDPV12</stp>
        <stp>XS1522989869 CORP</stp>
        <stp>START_ACC_DT</stp>
        <stp>[BondFloaters.xlsx]FLOATERS!R33C12</stp>
        <tr r="L33" s="1"/>
      </tp>
      <tp>
        <v>-0.81488099999999997</v>
        <stp/>
        <stp>##V3_BDPV12</stp>
        <stp>XS1577870808 CORP</stp>
        <stp>YAS_BOND_YLD</stp>
        <stp>[BondFloaters.xlsx]FLOATERS!R138C27</stp>
        <tr r="AA138" s="1"/>
      </tp>
      <tp>
        <v>0.68899999999999995</v>
        <stp/>
        <stp>##V3_BDPV12</stp>
        <stp>FR0013136330 CORP</stp>
        <stp>CPN</stp>
        <stp>[BondFloaters.xlsx]FLOATERS!R103C25</stp>
        <tr r="Y103" s="1"/>
      </tp>
      <tp>
        <v>0</v>
        <stp/>
        <stp>##V3_BDPV12</stp>
        <stp>BE6301509012 CORP</stp>
        <stp>CPN</stp>
        <stp>[BondFloaters.xlsx]FLOATERS!R124C25</stp>
        <tr r="Y124" s="1"/>
      </tp>
      <tp>
        <v>95.430999999999997</v>
        <stp/>
        <stp>##V3_BDPV12</stp>
        <stp>XS1767087940 CORP</stp>
        <stp>YAS_BOND_PX</stp>
        <stp>[BondFloaters.xlsx]FLOATERS!R127C28</stp>
        <tr r="AB127" s="1"/>
      </tp>
      <tp>
        <v>0</v>
        <stp/>
        <stp>##V3_BDPV12</stp>
        <stp>XS1715353105 CORP</stp>
        <stp>CPN</stp>
        <stp>[BondFloaters.xlsx]FLOATERS!R120C25</stp>
        <tr r="Y120" s="1"/>
      </tp>
      <tp>
        <v>0.69568200000000002</v>
        <stp/>
        <stp>##V3_BDPV12</stp>
        <stp>XS1642546078 CORP</stp>
        <stp>YAS_BOND_YLD</stp>
        <stp>[BondFloaters.xlsx]FLOATERS!R107C27</stp>
        <tr r="AA107" s="1"/>
      </tp>
      <tp t="s">
        <v>12/11/2018</v>
        <stp/>
        <stp>##V3_BDPV12</stp>
        <stp>XS1771768188 CORP</stp>
        <stp>START_ACC_DT</stp>
        <stp>[BondFloaters.xlsx]FLOATERS!R113C12</stp>
        <tr r="L113" s="1"/>
      </tp>
      <tp t="s">
        <v>15/10/2018</v>
        <stp/>
        <stp>##V3_BDPV12</stp>
        <stp>XS1057486471 CORP</stp>
        <stp>START_ACC_DT</stp>
        <stp>[BondFloaters.xlsx]FLOATERS!R131C12</stp>
        <tr r="L131" s="1"/>
      </tp>
      <tp t="s">
        <v>14/11/2018</v>
        <stp/>
        <stp>##V3_BDPV12</stp>
        <stp>XS1230926609 CORP</stp>
        <stp>START_ACC_DT</stp>
        <stp>[BondFloaters.xlsx]FLOATERS!R126C12</stp>
        <tr r="L126" s="1"/>
      </tp>
      <tp t="s">
        <v>CLEAN</v>
        <stp/>
        <stp>##V3_BDPV12</stp>
        <stp>DE000A2G8VS7 CORP</stp>
        <stp>PX_DIRTY_CLEAN</stp>
        <stp>[BondFloaters.xlsx]FLOATERS!R43C19</stp>
        <tr r="S43" s="1"/>
      </tp>
      <tp t="s">
        <v>AR4022398</v>
        <stp/>
        <stp>##V3_BDPV12</stp>
        <stp>XS1781813511 CORP</stp>
        <stp>ID_CUSIP</stp>
        <stp>[BondFloaters.xlsx]FLOATERS!R8C1</stp>
        <tr r="A8" s="1"/>
      </tp>
      <tp t="s">
        <v>AO9670669</v>
        <stp/>
        <stp>##V3_BDPV12</stp>
        <stp>XS1678632487 CORP</stp>
        <stp>ID_CUSIP</stp>
        <stp>[BondFloaters.xlsx]FLOATERS!R6C1</stp>
        <tr r="A6" s="1"/>
      </tp>
      <tp>
        <v>0.13200000000000001</v>
        <stp/>
        <stp>##V3_BDPV12</stp>
        <stp>XS1642546078 CORP</stp>
        <stp>CPN</stp>
        <stp>[BondFloaters.xlsx]FLOATERS!R107C25</stp>
        <tr r="Y107" s="1"/>
      </tp>
      <tp>
        <v>0.34729399999999999</v>
        <stp/>
        <stp>##V3_BDPV12</stp>
        <stp>XS1723613581 CORP</stp>
        <stp>YAS_BOND_YLD</stp>
        <stp>[BondFloaters.xlsx]FLOATERS!R75C27</stp>
        <tr r="AA75" s="1"/>
      </tp>
      <tp t="s">
        <v>27/11/2018</v>
        <stp/>
        <stp>##V3_BDPV12</stp>
        <stp>XS1723613581 CORP</stp>
        <stp>START_ACC_DT</stp>
        <stp>[BondFloaters.xlsx]FLOATERS!R75C12</stp>
        <tr r="L75" s="1"/>
      </tp>
      <tp>
        <v>3.1681219999999999</v>
        <stp/>
        <stp>##V3_BDPV12</stp>
        <stp>XS1635905570 CORP</stp>
        <stp>YAS_BOND_YLD</stp>
        <stp>[BondFloaters.xlsx]FLOATERS!R79C27</stp>
        <tr r="AA79" s="1"/>
      </tp>
      <tp t="s">
        <v>28/09/2018</v>
        <stp/>
        <stp>##V3_BDPV12</stp>
        <stp>XS1635905570 CORP</stp>
        <stp>START_ACC_DT</stp>
        <stp>[BondFloaters.xlsx]FLOATERS!R79C12</stp>
        <tr r="L79" s="1"/>
      </tp>
      <tp>
        <v>0.184</v>
        <stp/>
        <stp>##V3_BDPV12</stp>
        <stp>XS1590503279 CORP</stp>
        <stp>CPN</stp>
        <stp>[BondFloaters.xlsx]FLOATERS!R100C25</stp>
        <tr r="Y100" s="1"/>
      </tp>
      <tp>
        <v>2.7440480000000003</v>
        <stp/>
        <stp>##V3_BDPV12</stp>
        <stp>XS1821814982 CORP</stp>
        <stp>YAS_BOND_YLD</stp>
        <stp>[BondFloaters.xlsx]FLOATERS!R102C27</stp>
        <tr r="AA102" s="1"/>
      </tp>
      <tp>
        <v>99.703999999999994</v>
        <stp/>
        <stp>##V3_BDPV12</stp>
        <stp>XS1840614736 CORP</stp>
        <stp>YAS_BOND_PX</stp>
        <stp>[BondFloaters.xlsx]FLOATERS!R132C28</stp>
        <tr r="AB132" s="1"/>
      </tp>
      <tp>
        <v>-6.4786999999999997E-2</v>
        <stp/>
        <stp>##V3_BDPV12</stp>
        <stp>XS1382791892 CORP</stp>
        <stp>YAS_BOND_YLD</stp>
        <stp>[BondFloaters.xlsx]FLOATERS!R30C27</stp>
        <tr r="AA30" s="1"/>
      </tp>
      <tp t="s">
        <v>03/10/2018</v>
        <stp/>
        <stp>##V3_BDPV12</stp>
        <stp>XS1382791892 CORP</stp>
        <stp>START_ACC_DT</stp>
        <stp>[BondFloaters.xlsx]FLOATERS!R30C12</stp>
        <tr r="L30" s="1"/>
      </tp>
      <tp>
        <v>0.41199999999999998</v>
        <stp/>
        <stp>##V3_BDPV12</stp>
        <stp>XS1346107433 CORP</stp>
        <stp>CPN</stp>
        <stp>[BondFloaters.xlsx]FLOATERS!R134C25</stp>
        <tr r="Y134" s="1"/>
      </tp>
      <tp>
        <v>3.4757999999999997E-2</v>
        <stp/>
        <stp>##V3_BDPV12</stp>
        <stp>XS1206712868 CORP</stp>
        <stp>YAS_BOND_YLD</stp>
        <stp>[BondFloaters.xlsx]FLOATERS!R118C27</stp>
        <tr r="AA118" s="1"/>
      </tp>
      <tp t="s">
        <v>17/12/2018</v>
        <stp/>
        <stp>##V3_BDPV12</stp>
        <stp>XS1712180477 CORP</stp>
        <stp>START_ACC_DT</stp>
        <stp>[BondFloaters.xlsx]FLOATERS!R137C12</stp>
        <tr r="L137" s="1"/>
      </tp>
      <tp t="s">
        <v>21/11/2018</v>
        <stp/>
        <stp>##V3_BDPV12</stp>
        <stp>XS1822824642 CORP</stp>
        <stp>START_ACC_DT</stp>
        <stp>[BondFloaters.xlsx]FLOATERS!R116C12</stp>
        <tr r="L116" s="1"/>
      </tp>
      <tp t="s">
        <v>CLEAN</v>
        <stp/>
        <stp>##V3_BDPV12</stp>
        <stp>BE6276038419 CORP</stp>
        <stp>PX_DIRTY_CLEAN</stp>
        <stp>[BondFloaters.xlsx]FLOATERS!R86C19</stp>
        <tr r="S86" s="1"/>
      </tp>
      <tp t="s">
        <v>CLEAN</v>
        <stp/>
        <stp>##V3_BDPV12</stp>
        <stp>DE000A169GZ7 CORP</stp>
        <stp>PX_DIRTY_CLEAN</stp>
        <stp>[BondFloaters.xlsx]FLOATERS!R42C19</stp>
        <tr r="S42" s="1"/>
      </tp>
      <tp t="s">
        <v>DE</v>
        <stp/>
        <stp>##V3_BDPV12</stp>
        <stp>DE000A1Z6M04 CORP</stp>
        <stp>CNTRY_OF_RISK</stp>
        <stp>[BondFloaters.xlsx]FLOATERS!R129C3</stp>
        <tr r="C129" s="1"/>
      </tp>
      <tp t="s">
        <v>DE</v>
        <stp/>
        <stp>##V3_BDPV12</stp>
        <stp>DE000A169GZ7 CORP</stp>
        <stp>CNTRY_OF_RISK</stp>
        <stp>[BondFloaters.xlsx]FLOATERS!R42C3</stp>
        <tr r="C42" s="1"/>
      </tp>
      <tp>
        <v>0.189</v>
        <stp/>
        <stp>##V3_BDPV12</stp>
        <stp>XS1206712868 CORP</stp>
        <stp>CPN</stp>
        <stp>[BondFloaters.xlsx]FLOATERS!R118C25</stp>
        <tr r="Y118" s="1"/>
      </tp>
      <tp>
        <v>2.0867930000000001</v>
        <stp/>
        <stp>##V3_BDPV12</stp>
        <stp>XS1729872652 CORP</stp>
        <stp>YAS_BOND_YLD</stp>
        <stp>[BondFloaters.xlsx]FLOATERS!R80C27</stp>
        <tr r="AA80" s="1"/>
      </tp>
      <tp t="s">
        <v>03/12/2018</v>
        <stp/>
        <stp>##V3_BDPV12</stp>
        <stp>XS1729872652 CORP</stp>
        <stp>START_ACC_DT</stp>
        <stp>[BondFloaters.xlsx]FLOATERS!R80C12</stp>
        <tr r="L80" s="1"/>
      </tp>
      <tp>
        <v>101.38800000000001</v>
        <stp/>
        <stp>##V3_BDPV12</stp>
        <stp>XS1306411726 CORP</stp>
        <stp>YAS_BOND_PX</stp>
        <stp>[BondFloaters.xlsx]FLOATERS!R115C28</stp>
        <tr r="AB115" s="1"/>
      </tp>
      <tp>
        <v>1.151999</v>
        <stp/>
        <stp>##V3_BDPV12</stp>
        <stp>XS1082839553 CORP</stp>
        <stp>YAS_BOND_YLD</stp>
        <stp>[BondFloaters.xlsx]FLOATERS!R61C27</stp>
        <tr r="AA61" s="1"/>
      </tp>
      <tp t="s">
        <v>01/10/2018</v>
        <stp/>
        <stp>##V3_BDPV12</stp>
        <stp>XS1082839553 CORP</stp>
        <stp>START_ACC_DT</stp>
        <stp>[BondFloaters.xlsx]FLOATERS!R61C12</stp>
        <tr r="L61" s="1"/>
      </tp>
      <tp>
        <v>0</v>
        <stp/>
        <stp>##V3_BDPV12</stp>
        <stp>XS1683495052 CORP</stp>
        <stp>CPN</stp>
        <stp>[BondFloaters.xlsx]FLOATERS!R117C25</stp>
        <tr r="Y117" s="1"/>
      </tp>
      <tp>
        <v>0.33200000000000002</v>
        <stp/>
        <stp>##V3_BDPV12</stp>
        <stp>XS1363560548 CORP</stp>
        <stp>CPN</stp>
        <stp>[BondFloaters.xlsx]FLOATERS!R133C25</stp>
        <tr r="Y133" s="1"/>
      </tp>
      <tp>
        <v>-0.16264200000000001</v>
        <stp/>
        <stp>##V3_BDPV12</stp>
        <stp>XS1822824642 CORP</stp>
        <stp>YAS_BOND_YLD</stp>
        <stp>[BondFloaters.xlsx]FLOATERS!R116C27</stp>
        <tr r="AA116" s="1"/>
      </tp>
      <tp>
        <v>8.4000000000000019E-2</v>
        <stp/>
        <stp>##V3_BDPV12</stp>
        <stp>XS1717202730 CORP</stp>
        <stp>CPN</stp>
        <stp>[BondFloaters.xlsx]FLOATERS!R128C25</stp>
        <tr r="Y128" s="1"/>
      </tp>
      <tp>
        <v>99.995999999999995</v>
        <stp/>
        <stp>##V3_BDPV12</stp>
        <stp>XS1712180477 CORP</stp>
        <stp>YAS_BOND_PX</stp>
        <stp>[BondFloaters.xlsx]FLOATERS!R137C28</stp>
        <tr r="AB137" s="1"/>
      </tp>
      <tp>
        <v>5.5943E-2</v>
        <stp/>
        <stp>##V3_BDPV12</stp>
        <stp>XS1712180477 CORP</stp>
        <stp>YAS_BOND_YLD</stp>
        <stp>[BondFloaters.xlsx]FLOATERS!R137C27</stp>
        <tr r="AA137" s="1"/>
      </tp>
      <tp t="s">
        <v>20/12/2018</v>
        <stp/>
        <stp>##V3_BDPV12</stp>
        <stp>XS1206712868 CORP</stp>
        <stp>START_ACC_DT</stp>
        <stp>[BondFloaters.xlsx]FLOATERS!R118C12</stp>
        <tr r="L118" s="1"/>
      </tp>
      <tp t="s">
        <v>15/11/2018</v>
        <stp/>
        <stp>##V3_BDPV12</stp>
        <stp>XS1821814982 CORP</stp>
        <stp>START_ACC_DT</stp>
        <stp>[BondFloaters.xlsx]FLOATERS!R102C12</stp>
        <tr r="L102" s="1"/>
      </tp>
      <tp t="s">
        <v>CLEAN</v>
        <stp/>
        <stp>##V3_BDPV12</stp>
        <stp>FR0013309606 CORP</stp>
        <stp>PX_DIRTY_CLEAN</stp>
        <stp>[BondFloaters.xlsx]FLOATERS!R25C19</stp>
        <tr r="S25" s="1"/>
      </tp>
      <tp t="s">
        <v>CLEAN</v>
        <stp/>
        <stp>##V3_BDPV12</stp>
        <stp>FR0012969012 CORP</stp>
        <stp>PX_DIRTY_CLEAN</stp>
        <stp>[BondFloaters.xlsx]FLOATERS!R22C19</stp>
        <tr r="S22" s="1"/>
      </tp>
      <tp>
        <v>-0.28042299999999998</v>
        <stp/>
        <stp>##V3_BDPV12</stp>
        <stp>XS1292468987 CORP</stp>
        <stp>YAS_BOND_YLD</stp>
        <stp>[BondFloaters.xlsx]FLOATERS!R18C27</stp>
        <tr r="AA18" s="1"/>
      </tp>
      <tp t="s">
        <v>17/12/2018</v>
        <stp/>
        <stp>##V3_BDPV12</stp>
        <stp>XS1292468987 CORP</stp>
        <stp>START_ACC_DT</stp>
        <stp>[BondFloaters.xlsx]FLOATERS!R18C12</stp>
        <tr r="L18" s="1"/>
      </tp>
      <tp>
        <v>-6.0302000000000001E-2</v>
        <stp/>
        <stp>##V3_BDPV12</stp>
        <stp>XS1771768188 CORP</stp>
        <stp>YAS_BOND_YLD</stp>
        <stp>[BondFloaters.xlsx]FLOATERS!R113C27</stp>
        <tr r="AA113" s="1"/>
      </tp>
      <tp>
        <v>0.41399999999999998</v>
        <stp/>
        <stp>##V3_BDPV12</stp>
        <stp>XS1821814982 CORP</stp>
        <stp>CPN</stp>
        <stp>[BondFloaters.xlsx]FLOATERS!R102C25</stp>
        <tr r="Y102" s="1"/>
      </tp>
      <tp>
        <v>-4.0322999999999998E-2</v>
        <stp/>
        <stp>##V3_BDPV12</stp>
        <stp>XS1642545690 CORP</stp>
        <stp>YAS_BOND_YLD</stp>
        <stp>[BondFloaters.xlsx]FLOATERS!R76C27</stp>
        <tr r="AA76" s="1"/>
      </tp>
      <tp t="s">
        <v>08/10/2018</v>
        <stp/>
        <stp>##V3_BDPV12</stp>
        <stp>XS1642545690 CORP</stp>
        <stp>START_ACC_DT</stp>
        <stp>[BondFloaters.xlsx]FLOATERS!R76C12</stp>
        <tr r="L76" s="1"/>
      </tp>
      <tp>
        <v>-0.23737</v>
        <stp/>
        <stp>##V3_BDPV12</stp>
        <stp>XS1718416586 CORP</stp>
        <stp>YAS_BOND_YLD</stp>
        <stp>[BondFloaters.xlsx]FLOATERS!R54C27</stp>
        <tr r="AA54" s="1"/>
      </tp>
      <tp>
        <v>1.3320829999999999</v>
        <stp/>
        <stp>##V3_BDPV12</stp>
        <stp>XS1792505197 CORP</stp>
        <stp>YAS_BOND_YLD</stp>
        <stp>[BondFloaters.xlsx]FLOATERS!R96C27</stp>
        <tr r="AA96" s="1"/>
      </tp>
      <tp t="s">
        <v>15/11/2018</v>
        <stp/>
        <stp>##V3_BDPV12</stp>
        <stp>XS1718416586 CORP</stp>
        <stp>START_ACC_DT</stp>
        <stp>[BondFloaters.xlsx]FLOATERS!R54C12</stp>
        <tr r="L54" s="1"/>
      </tp>
      <tp t="s">
        <v>26/09/2018</v>
        <stp/>
        <stp>##V3_BDPV12</stp>
        <stp>XS1792505197 CORP</stp>
        <stp>START_ACC_DT</stp>
        <stp>[BondFloaters.xlsx]FLOATERS!R96C12</stp>
        <tr r="L96" s="1"/>
      </tp>
      <tp>
        <v>100.131</v>
        <stp/>
        <stp>##V3_BDPV12</stp>
        <stp>XS1288342147 CORP</stp>
        <stp>YAS_BOND_PX</stp>
        <stp>[BondFloaters.xlsx]FLOATERS!R108C28</stp>
        <tr r="AB108" s="1"/>
      </tp>
      <tp>
        <v>0.63400000000000001</v>
        <stp/>
        <stp>##V3_BDPV12</stp>
        <stp>XS1372838083 CORP</stp>
        <stp>CPN</stp>
        <stp>[BondFloaters.xlsx]FLOATERS!R130C25</stp>
        <tr r="Y130" s="1"/>
      </tp>
      <tp>
        <v>100.249</v>
        <stp/>
        <stp>##V3_BDPV12</stp>
        <stp>XS1679028479 CORP</stp>
        <stp>YAS_BOND_PX</stp>
        <stp>[BondFloaters.xlsx]FLOATERS!R119C28</stp>
        <tr r="AB119" s="1"/>
      </tp>
      <tp>
        <v>-0.29302299999999998</v>
        <stp/>
        <stp>##V3_BDPV12</stp>
        <stp>XS1089831249 CORP</stp>
        <stp>YAS_BOND_YLD</stp>
        <stp>[BondFloaters.xlsx]FLOATERS!R56C27</stp>
        <tr r="AA56" s="1"/>
      </tp>
      <tp t="s">
        <v>23/10/2018</v>
        <stp/>
        <stp>##V3_BDPV12</stp>
        <stp>XS1089831249 CORP</stp>
        <stp>START_ACC_DT</stp>
        <stp>[BondFloaters.xlsx]FLOATERS!R56C12</stp>
        <tr r="L56" s="1"/>
      </tp>
      <tp>
        <v>0</v>
        <stp/>
        <stp>##V3_BDPV12</stp>
        <stp>XS1237187718 CORP</stp>
        <stp>CPN</stp>
        <stp>[BondFloaters.xlsx]FLOATERS!R105C25</stp>
        <tr r="Y105" s="1"/>
      </tp>
      <tp>
        <v>-0.35741200000000001</v>
        <stp/>
        <stp>##V3_BDPV12</stp>
        <stp>XS1230926609 CORP</stp>
        <stp>YAS_BOND_YLD</stp>
        <stp>[BondFloaters.xlsx]FLOATERS!R126C27</stp>
        <tr r="AA126" s="1"/>
      </tp>
      <tp>
        <v>0</v>
        <stp/>
        <stp>##V3_BDPV12</stp>
        <stp>FR0013263936 CORP</stp>
        <stp>CPN</stp>
        <stp>[BondFloaters.xlsx]FLOATERS!R136C25</stp>
        <tr r="Y136" s="1"/>
      </tp>
      <tp>
        <v>-2.7574999999999999E-2</v>
        <stp/>
        <stp>##V3_BDPV12</stp>
        <stp>XS1787517199 CORP</stp>
        <stp>YAS_BOND_YLD</stp>
        <stp>[BondFloaters.xlsx]FLOATERS!R81C27</stp>
        <tr r="AA81" s="1"/>
      </tp>
      <tp t="s">
        <v>19/12/2018</v>
        <stp/>
        <stp>##V3_BDPV12</stp>
        <stp>XS1787517199 CORP</stp>
        <stp>START_ACC_DT</stp>
        <stp>[BondFloaters.xlsx]FLOATERS!R81C12</stp>
        <tr r="L81" s="1"/>
      </tp>
      <tp>
        <v>-6.1970000000000003E-3</v>
        <stp/>
        <stp>##V3_BDPV12</stp>
        <stp>XS1057486471 CORP</stp>
        <stp>YAS_BOND_YLD</stp>
        <stp>[BondFloaters.xlsx]FLOATERS!R131C27</stp>
        <tr r="AA131" s="1"/>
      </tp>
      <tp>
        <v>-0.20871500000000001</v>
        <stp/>
        <stp>##V3_BDPV12</stp>
        <stp>XS1249494086 CORP</stp>
        <stp>YAS_BOND_YLD</stp>
        <stp>[BondFloaters.xlsx]FLOATERS!R50C27</stp>
        <tr r="AA50" s="1"/>
      </tp>
      <tp t="s">
        <v>24/09/2018</v>
        <stp/>
        <stp>##V3_BDPV12</stp>
        <stp>XS1249494086 CORP</stp>
        <stp>START_ACC_DT</stp>
        <stp>[BondFloaters.xlsx]FLOATERS!R50C12</stp>
        <tr r="L50" s="1"/>
      </tp>
      <tp t="s">
        <v>08/10/2018</v>
        <stp/>
        <stp>##V3_BDPV12</stp>
        <stp>XS1642546078 CORP</stp>
        <stp>START_ACC_DT</stp>
        <stp>[BondFloaters.xlsx]FLOATERS!R107C12</stp>
        <tr r="L107" s="1"/>
      </tp>
      <tp t="s">
        <v>17/12/2018</v>
        <stp/>
        <stp>##V3_BDPV12</stp>
        <stp>XS1577870808 CORP</stp>
        <stp>START_ACC_DT</stp>
        <stp>[BondFloaters.xlsx]FLOATERS!R138C12</stp>
        <tr r="L138" s="1"/>
      </tp>
      <tp>
        <v>21</v>
        <stp/>
        <stp>##V3_BDPV12</stp>
        <stp>XS1781813511 CORP</stp>
        <stp>CALC_TYP</stp>
        <stp>[BondFloaters.xlsx]FLOATERS!R8C6</stp>
        <tr r="F8" s="1"/>
      </tp>
      <tp>
        <v>21</v>
        <stp/>
        <stp>##V3_BDPV12</stp>
        <stp>XS1678632487 CORP</stp>
        <stp>CALC_TYP</stp>
        <stp>[BondFloaters.xlsx]FLOATERS!R6C6</stp>
        <tr r="F6" s="1"/>
      </tp>
      <tp>
        <v>6.9000000000000006E-2</v>
        <stp/>
        <stp>##V3_BDPV12</stp>
        <stp>DE000A1Z6M04 CORP</stp>
        <stp>CPN</stp>
        <stp>[BondFloaters.xlsx]FLOATERS!R129C25</stp>
        <tr r="Y129" s="1"/>
      </tp>
      <tp t="s">
        <v>28/09/2018</v>
        <stp/>
        <stp>##V3_BDPV12</stp>
        <stp>FR0013264884 CORP</stp>
        <stp>START_ACC_DT</stp>
        <stp>[BondFloaters.xlsx]FLOATERS!R93C12</stp>
        <tr r="L93" s="1"/>
      </tp>
      <tp>
        <v>0.27245599999999998</v>
        <stp/>
        <stp>##V3_BDPV12</stp>
        <stp>FR0013264884 CORP</stp>
        <stp>YAS_BOND_YLD</stp>
        <stp>[BondFloaters.xlsx]FLOATERS!R93C27</stp>
        <tr r="AA93" s="1"/>
      </tp>
      <tp t="s">
        <v>14/12/2018</v>
        <stp/>
        <stp>##V3_BDPV12</stp>
        <stp>FR0013260486 CORP</stp>
        <stp>START_ACC_DT</stp>
        <stp>[BondFloaters.xlsx]FLOATERS!R63C12</stp>
        <tr r="L63" s="1"/>
      </tp>
      <tp>
        <v>-0.27453300000000003</v>
        <stp/>
        <stp>##V3_BDPV12</stp>
        <stp>XS1197832832 CORP</stp>
        <stp>YAS_BOND_YLD</stp>
        <stp>[BondFloaters.xlsx]FLOATERS!R39C27</stp>
        <tr r="AA39" s="1"/>
      </tp>
      <tp t="s">
        <v>12/10/2018</v>
        <stp/>
        <stp>##V3_BDPV12</stp>
        <stp>FR0013250685 CORP</stp>
        <stp>START_ACC_DT</stp>
        <stp>[BondFloaters.xlsx]FLOATERS!R29C12</stp>
        <tr r="L29" s="1"/>
      </tp>
      <tp>
        <v>1.1306080000000001</v>
        <stp/>
        <stp>##V3_BDPV12</stp>
        <stp>FR0013260486 CORP</stp>
        <stp>YAS_BOND_YLD</stp>
        <stp>[BondFloaters.xlsx]FLOATERS!R63C27</stp>
        <tr r="AA63" s="1"/>
      </tp>
      <tp t="s">
        <v>10/12/2018</v>
        <stp/>
        <stp>##V3_BDPV12</stp>
        <stp>XS1197832832 CORP</stp>
        <stp>START_ACC_DT</stp>
        <stp>[BondFloaters.xlsx]FLOATERS!R39C12</stp>
        <tr r="L39" s="1"/>
      </tp>
      <tp>
        <v>0.74878599999999995</v>
        <stp/>
        <stp>##V3_BDPV12</stp>
        <stp>FR0013250685 CORP</stp>
        <stp>YAS_BOND_YLD</stp>
        <stp>[BondFloaters.xlsx]FLOATERS!R29C27</stp>
        <tr r="AA29" s="1"/>
      </tp>
      <tp>
        <v>2.9846520000000001</v>
        <stp/>
        <stp>##V3_BDPV12</stp>
        <stp>XS1729872736 CORP</stp>
        <stp>YAS_BOND_YLD</stp>
        <stp>[BondFloaters.xlsx]FLOATERS!R88C27</stp>
        <tr r="AA88" s="1"/>
      </tp>
      <tp t="s">
        <v>03/12/2018</v>
        <stp/>
        <stp>##V3_BDPV12</stp>
        <stp>XS1729872736 CORP</stp>
        <stp>START_ACC_DT</stp>
        <stp>[BondFloaters.xlsx]FLOATERS!R88C12</stp>
        <tr r="L88" s="1"/>
      </tp>
      <tp>
        <v>100.15900000000001</v>
        <stp/>
        <stp>##V3_BDPV12</stp>
        <stp>FR0013263936 CORP</stp>
        <stp>YAS_BOND_PX</stp>
        <stp>[BondFloaters.xlsx]FLOATERS!R136C28</stp>
        <tr r="AB136" s="1"/>
      </tp>
      <tp>
        <v>0.28499999999999998</v>
        <stp/>
        <stp>##V3_BDPV12</stp>
        <stp>XS1679028479 CORP</stp>
        <stp>CPN</stp>
        <stp>[BondFloaters.xlsx]FLOATERS!R119C25</stp>
        <tr r="Y119" s="1"/>
      </tp>
      <tp>
        <v>100.188</v>
        <stp/>
        <stp>##V3_BDPV12</stp>
        <stp>XS1372838083 CORP</stp>
        <stp>YAS_BOND_PX</stp>
        <stp>[BondFloaters.xlsx]FLOATERS!R130C28</stp>
        <tr r="AB130" s="1"/>
      </tp>
      <tp>
        <v>100.15</v>
        <stp/>
        <stp>##V3_BDPV12</stp>
        <stp>XS1237187718 CORP</stp>
        <stp>YAS_BOND_PX</stp>
        <stp>[BondFloaters.xlsx]FLOATERS!R105C28</stp>
        <tr r="AB105" s="1"/>
      </tp>
      <tp>
        <v>8.5000000000000006E-2</v>
        <stp/>
        <stp>##V3_BDPV12</stp>
        <stp>XS1288342147 CORP</stp>
        <stp>CPN</stp>
        <stp>[BondFloaters.xlsx]FLOATERS!R108C25</stp>
        <tr r="Y108" s="1"/>
      </tp>
      <tp t="s">
        <v>04/11/2018</v>
        <stp/>
        <stp>##V3_BDPV12</stp>
        <stp>FR0013292687 CORP</stp>
        <stp>START_ACC_DT</stp>
        <stp>[BondFloaters.xlsx]FLOATERS!R36C12</stp>
        <tr r="L36" s="1"/>
      </tp>
      <tp>
        <v>1.4993259999999999</v>
        <stp/>
        <stp>##V3_BDPV12</stp>
        <stp>FR0013292687 CORP</stp>
        <stp>YAS_BOND_YLD</stp>
        <stp>[BondFloaters.xlsx]FLOATERS!R36C27</stp>
        <tr r="AA36" s="1"/>
      </tp>
      <tp>
        <v>89.22</v>
        <stp/>
        <stp>##V3_BDPV12</stp>
        <stp>XS1821814982 CORP</stp>
        <stp>YAS_BOND_PX</stp>
        <stp>[BondFloaters.xlsx]FLOATERS!R102C28</stp>
        <tr r="AB102" s="1"/>
      </tp>
      <tp t="s">
        <v>17/12/2018</v>
        <stp/>
        <stp>##V3_BDPV12</stp>
        <stp>XS1683495052 CORP</stp>
        <stp>START_ACC_DT</stp>
        <stp>[BondFloaters.xlsx]FLOATERS!R117C12</stp>
        <tr r="L117" s="1"/>
      </tp>
      <tp t="s">
        <v>11/12/2018</v>
        <stp/>
        <stp>##V3_BDPV12</stp>
        <stp>XS1679028479 CORP</stp>
        <stp>START_ACC_DT</stp>
        <stp>[BondFloaters.xlsx]FLOATERS!R119C12</stp>
        <tr r="L119" s="1"/>
      </tp>
      <tp t="s">
        <v>19/10/2018</v>
        <stp/>
        <stp>##V3_BDPV12</stp>
        <stp>XS1301773799 CORP</stp>
        <stp>START_ACC_DT</stp>
        <stp>[BondFloaters.xlsx]FLOATERS!R114C12</stp>
        <tr r="L114" s="1"/>
      </tp>
      <tp t="s">
        <v>13/11/2018</v>
        <stp/>
        <stp>##V3_BDPV12</stp>
        <stp>XS1715323298 CORP</stp>
        <stp>START_ACC_DT</stp>
        <stp>[BondFloaters.xlsx]FLOATERS!R111C12</stp>
        <tr r="L111" s="1"/>
      </tp>
      <tp t="s">
        <v>15/10/2018</v>
        <stp/>
        <stp>##V3_BDPV12</stp>
        <stp>XS1363560548 CORP</stp>
        <stp>START_ACC_DT</stp>
        <stp>[BondFloaters.xlsx]FLOATERS!R133C12</stp>
        <tr r="L133" s="1"/>
      </tp>
      <tp>
        <v>21</v>
        <stp/>
        <stp>##V3_BDPV12</stp>
        <stp>XS1046499981 CORP</stp>
        <stp>CALC_TYP</stp>
        <stp>[BondFloaters.xlsx]FLOATERS!R9C6</stp>
        <tr r="F9" s="1"/>
      </tp>
      <tp>
        <v>100.122</v>
        <stp/>
        <stp>##V3_BDPV12</stp>
        <stp>DE000A1Z6M04 CORP</stp>
        <stp>YAS_BOND_PX</stp>
        <stp>[BondFloaters.xlsx]FLOATERS!R129C28</stp>
        <tr r="AB129" s="1"/>
      </tp>
      <tp t="s">
        <v>#N/A N/A</v>
        <stp/>
        <stp>##V3_BDPV12</stp>
        <stp>XS1171489476 CORP</stp>
        <stp>YAS_BOND_YLD</stp>
        <stp>[BondFloaters.xlsx]FLOATERS!R101C27</stp>
        <tr r="AA101" s="1"/>
      </tp>
      <tp>
        <v>99.617999999999995</v>
        <stp/>
        <stp>##V3_BDPV12</stp>
        <stp>XS1717202730 CORP</stp>
        <stp>YAS_BOND_PX</stp>
        <stp>[BondFloaters.xlsx]FLOATERS!R128C28</stp>
        <tr r="AB128" s="1"/>
      </tp>
      <tp>
        <v>3.9000000000000007E-2</v>
        <stp/>
        <stp>##V3_BDPV12</stp>
        <stp>XS1712180477 CORP</stp>
        <stp>CPN</stp>
        <stp>[BondFloaters.xlsx]FLOATERS!R137C25</stp>
        <tr r="Y137" s="1"/>
      </tp>
      <tp>
        <v>-0.26402599999999998</v>
        <stp/>
        <stp>##V3_BDPV12</stp>
        <stp>XS1107266782 CORP</stp>
        <stp>YAS_BOND_YLD</stp>
        <stp>[BondFloaters.xlsx]FLOATERS!R74C27</stp>
        <tr r="AA74" s="1"/>
      </tp>
      <tp t="s">
        <v>10/12/2018</v>
        <stp/>
        <stp>##V3_BDPV12</stp>
        <stp>XS1107266782 CORP</stp>
        <stp>START_ACC_DT</stp>
        <stp>[BondFloaters.xlsx]FLOATERS!R74C12</stp>
        <tr r="L74" s="1"/>
      </tp>
      <tp>
        <v>100.18600000000001</v>
        <stp/>
        <stp>##V3_BDPV12</stp>
        <stp>XS1683495052 CORP</stp>
        <stp>YAS_BOND_PX</stp>
        <stp>[BondFloaters.xlsx]FLOATERS!R117C28</stp>
        <tr r="AB117" s="1"/>
      </tp>
      <tp>
        <v>100.38500000000001</v>
        <stp/>
        <stp>##V3_BDPV12</stp>
        <stp>XS1363560548 CORP</stp>
        <stp>YAS_BOND_PX</stp>
        <stp>[BondFloaters.xlsx]FLOATERS!R133C28</stp>
        <tr r="AB133" s="1"/>
      </tp>
      <tp>
        <v>1.177252</v>
        <stp/>
        <stp>##V3_BDPV12</stp>
        <stp>XS1767087940 CORP</stp>
        <stp>YAS_BOND_YLD</stp>
        <stp>[BondFloaters.xlsx]FLOATERS!R127C27</stp>
        <tr r="AA127" s="1"/>
      </tp>
      <tp>
        <v>100.19499999999999</v>
        <stp/>
        <stp>##V3_BDPV12</stp>
        <stp>XS1206712868 CORP</stp>
        <stp>YAS_BOND_PX</stp>
        <stp>[BondFloaters.xlsx]FLOATERS!R118C28</stp>
        <tr r="AB118" s="1"/>
      </tp>
      <tp t="s">
        <v>27/08/2018</v>
        <stp/>
        <stp>##V3_BDPV12</stp>
        <stp>FR0013257599 CORP</stp>
        <stp>START_ACC_DT</stp>
        <stp>[BondFloaters.xlsx]FLOATERS!R20C12</stp>
        <tr r="L20" s="1"/>
      </tp>
      <tp t="s">
        <v>#N/A N/A</v>
        <stp/>
        <stp>##V3_BDPV12</stp>
        <stp>FR0013257599 CORP</stp>
        <stp>YAS_BOND_YLD</stp>
        <stp>[BondFloaters.xlsx]FLOATERS!R20C27</stp>
        <tr r="AA20" s="1"/>
      </tp>
      <tp>
        <v>0.32273600000000002</v>
        <stp/>
        <stp>##V3_BDPV12</stp>
        <stp>XS1840614736 CORP</stp>
        <stp>YAS_BOND_YLD</stp>
        <stp>[BondFloaters.xlsx]FLOATERS!R132C27</stp>
        <tr r="AA132" s="1"/>
      </tp>
      <tp>
        <v>0.112</v>
        <stp/>
        <stp>##V3_BDPV12</stp>
        <stp>XS1306411726 CORP</stp>
        <stp>CPN</stp>
        <stp>[BondFloaters.xlsx]FLOATERS!R115C25</stp>
        <tr r="Y115" s="1"/>
      </tp>
      <tp t="s">
        <v>26/11/2018</v>
        <stp/>
        <stp>##V3_BDPV12</stp>
        <stp>XS1590503279 CORP</stp>
        <stp>START_ACC_DT</stp>
        <stp>[BondFloaters.xlsx]FLOATERS!R100C12</stp>
        <tr r="L100" s="1"/>
      </tp>
      <tp>
        <v>-0.17340800000000001</v>
        <stp/>
        <stp>##V3_BDPV12</stp>
        <stp>XS1144084099 CORP</stp>
        <stp>YAS_BOND_YLD</stp>
        <stp>[BondFloaters.xlsx]FLOATERS!R82C27</stp>
        <tr r="AA82" s="1"/>
      </tp>
      <tp t="s">
        <v>04/12/2018</v>
        <stp/>
        <stp>##V3_BDPV12</stp>
        <stp>XS1144084099 CORP</stp>
        <stp>START_ACC_DT</stp>
        <stp>[BondFloaters.xlsx]FLOATERS!R82C12</stp>
        <tr r="L82" s="1"/>
      </tp>
      <tp>
        <v>0.23099999999999998</v>
        <stp/>
        <stp>##V3_BDPV12</stp>
        <stp>XS1840614736 CORP</stp>
        <stp>CPN</stp>
        <stp>[BondFloaters.xlsx]FLOATERS!R132C25</stp>
        <tr r="Y132" s="1"/>
      </tp>
      <tp>
        <v>1.1802809999999999</v>
        <stp/>
        <stp>##V3_BDPV12</stp>
        <stp>XS1590503279 CORP</stp>
        <stp>YAS_BOND_YLD</stp>
        <stp>[BondFloaters.xlsx]FLOATERS!R100C27</stp>
        <tr r="AA100" s="1"/>
      </tp>
      <tp>
        <v>100.58499999999999</v>
        <stp/>
        <stp>##V3_BDPV12</stp>
        <stp>XS1346107433 CORP</stp>
        <stp>YAS_BOND_PX</stp>
        <stp>[BondFloaters.xlsx]FLOATERS!R134C28</stp>
        <tr r="AB134" s="1"/>
      </tp>
      <tp>
        <v>-0.39786899999999997</v>
        <stp/>
        <stp>##V3_BDPV12</stp>
        <stp>XS1319814817 CORP</stp>
        <stp>YAS_BOND_YLD</stp>
        <stp>[BondFloaters.xlsx]FLOATERS!R77C27</stp>
        <tr r="AA77" s="1"/>
      </tp>
      <tp t="s">
        <v>11/10/2018</v>
        <stp/>
        <stp>##V3_BDPV12</stp>
        <stp>XS1319814817 CORP</stp>
        <stp>START_ACC_DT</stp>
        <stp>[BondFloaters.xlsx]FLOATERS!R77C12</stp>
        <tr r="L77" s="1"/>
      </tp>
      <tp t="s">
        <v>24/09/2018</v>
        <stp/>
        <stp>##V3_BDPV12</stp>
        <stp>FR0012969012 CORP</stp>
        <stp>START_ACC_DT</stp>
        <stp>[BondFloaters.xlsx]FLOATERS!R22C12</stp>
        <tr r="L22" s="1"/>
      </tp>
      <tp>
        <v>-0.37076399999999998</v>
        <stp/>
        <stp>##V3_BDPV12</stp>
        <stp>FR0012969012 CORP</stp>
        <stp>YAS_BOND_YLD</stp>
        <stp>[BondFloaters.xlsx]FLOATERS!R22C27</stp>
        <tr r="AA22" s="1"/>
      </tp>
      <tp t="s">
        <v>22/09/2018</v>
        <stp/>
        <stp>##V3_BDPV12</stp>
        <stp>DE000A19X793 CORP</stp>
        <stp>START_ACC_DT</stp>
        <stp>[BondFloaters.xlsx]FLOATERS!R10C12</stp>
        <tr r="L10" s="1"/>
      </tp>
      <tp>
        <v>98.325999999999993</v>
        <stp/>
        <stp>##V3_BDPV12</stp>
        <stp>XS1590503279 CORP</stp>
        <stp>YAS_BOND_PX</stp>
        <stp>[BondFloaters.xlsx]FLOATERS!R100C28</stp>
        <tr r="AB100" s="1"/>
      </tp>
      <tp>
        <v>0.48345399999999999</v>
        <stp/>
        <stp>##V3_BDPV12</stp>
        <stp>DE000A19X793 CORP</stp>
        <stp>YAS_BOND_YLD</stp>
        <stp>[BondFloaters.xlsx]FLOATERS!R10C27</stp>
        <tr r="AA10" s="1"/>
      </tp>
      <tp>
        <v>98.576999999999998</v>
        <stp/>
        <stp>##V3_BDPV12</stp>
        <stp>XS1642546078 CORP</stp>
        <stp>YAS_BOND_PX</stp>
        <stp>[BondFloaters.xlsx]FLOATERS!R107C28</stp>
        <tr r="AB107" s="1"/>
      </tp>
      <tp t="s">
        <v>CLEAN</v>
        <stp/>
        <stp>##V3_BDPV12</stp>
        <stp>XS1046499981 CORP</stp>
        <stp>PX_DIRTY_CLEAN</stp>
        <stp>[BondFloaters.xlsx]FLOATERS!R9C19</stp>
        <tr r="S9" s="1"/>
      </tp>
      <tp t="s">
        <v>20/04/2018</v>
        <stp/>
        <stp>##V3_BDPV12</stp>
        <stp>XS1171489476 CORP</stp>
        <stp>START_ACC_DT</stp>
        <stp>[BondFloaters.xlsx]FLOATERS!R101C12</stp>
        <tr r="L101" s="1"/>
      </tp>
      <tp>
        <v>79.445403761914704</v>
        <stp/>
        <stp>##V3_BDPV12</stp>
        <stp>DE000A19X793 CORP</stp>
        <stp>YAS_FLOATER_DISCOUNT_MARGIN</stp>
        <stp>[BondFloaters.xlsx]FLOATERS!R10C22</stp>
        <tr r="V10" s="1"/>
      </tp>
      <tp t="s">
        <v>08/11/2018</v>
        <stp/>
        <stp>##V3_BDPV12</stp>
        <stp>XS1767087940 CORP</stp>
        <stp>START_ACC_DT</stp>
        <stp>[BondFloaters.xlsx]FLOATERS!R127C12</stp>
        <tr r="L127" s="1"/>
      </tp>
      <tp t="s">
        <v>26/09/2018</v>
        <stp/>
        <stp>##V3_BDPV12</stp>
        <stp>XS1840614736 CORP</stp>
        <stp>START_ACC_DT</stp>
        <stp>[BondFloaters.xlsx]FLOATERS!R132C12</stp>
        <tr r="L132" s="1"/>
      </tp>
      <tp t="s">
        <v>CLEAN</v>
        <stp/>
        <stp>##V3_BDPV12</stp>
        <stp>BE6285450449 CORP</stp>
        <stp>PX_DIRTY_CLEAN</stp>
        <stp>[BondFloaters.xlsx]FLOATERS!R37C19</stp>
        <tr r="S37" s="1"/>
      </tp>
      <tp>
        <v>1.636E-2</v>
        <stp/>
        <stp>##V3_BDPV12</stp>
        <stp>XS1599109896 CORP</stp>
        <stp>YAS_BOND_YLD</stp>
        <stp>[BondFloaters.xlsx]FLOATERS!R97C27</stp>
        <tr r="AA97" s="1"/>
      </tp>
      <tp t="s">
        <v>22/10/2018</v>
        <stp/>
        <stp>##V3_BDPV12</stp>
        <stp>XS1599109896 CORP</stp>
        <stp>START_ACC_DT</stp>
        <stp>[BondFloaters.xlsx]FLOATERS!R97C12</stp>
        <tr r="L97" s="1"/>
      </tp>
      <tp>
        <v>-4.9862999999999998E-2</v>
        <stp/>
        <stp>##V3_BDPV12</stp>
        <stp>XS1679028479 CORP</stp>
        <stp>YAS_BOND_YLD</stp>
        <stp>[BondFloaters.xlsx]FLOATERS!R119C27</stp>
        <tr r="AA119" s="1"/>
      </tp>
      <tp>
        <v>-0.105131</v>
        <stp/>
        <stp>##V3_BDPV12</stp>
        <stp>XS1683495052 CORP</stp>
        <stp>YAS_BOND_YLD</stp>
        <stp>[BondFloaters.xlsx]FLOATERS!R117C27</stp>
        <tr r="AA117" s="1"/>
      </tp>
      <tp>
        <v>100.22499999999999</v>
        <stp/>
        <stp>##V3_BDPV12</stp>
        <stp>XS1715353105 CORP</stp>
        <stp>YAS_BOND_PX</stp>
        <stp>[BondFloaters.xlsx]FLOATERS!R120C28</stp>
        <tr r="AB120" s="1"/>
      </tp>
      <tp>
        <v>96.445999999999998</v>
        <stp/>
        <stp>##V3_BDPV12</stp>
        <stp>BE6301509012 CORP</stp>
        <stp>YAS_BOND_PX</stp>
        <stp>[BondFloaters.xlsx]FLOATERS!R124C28</stp>
        <tr r="AB124" s="1"/>
      </tp>
      <tp>
        <v>5.3000000000000005E-2</v>
        <stp/>
        <stp>##V3_BDPV12</stp>
        <stp>XS1767087940 CORP</stp>
        <stp>CPN</stp>
        <stp>[BondFloaters.xlsx]FLOATERS!R127C25</stp>
        <tr r="Y127" s="1"/>
      </tp>
      <tp>
        <v>100.23099999999999</v>
        <stp/>
        <stp>##V3_BDPV12</stp>
        <stp>FR0013136330 CORP</stp>
        <stp>YAS_BOND_PX</stp>
        <stp>[BondFloaters.xlsx]FLOATERS!R103C28</stp>
        <tr r="AB103" s="1"/>
      </tp>
      <tp>
        <v>3.4000000000000002E-2</v>
        <stp/>
        <stp>##V3_BDPV12</stp>
        <stp>XS1622634126 CORP</stp>
        <stp>CPN</stp>
        <stp>[BondFloaters.xlsx]FLOATERS!R121C25</stp>
        <tr r="Y121" s="1"/>
      </tp>
      <tp>
        <v>-0.31789299999999998</v>
        <stp/>
        <stp>##V3_BDPV12</stp>
        <stp>XS1363560548 CORP</stp>
        <stp>YAS_BOND_YLD</stp>
        <stp>[BondFloaters.xlsx]FLOATERS!R133C27</stp>
        <tr r="AA133" s="1"/>
      </tp>
      <tp>
        <v>1.5934900000000001</v>
        <stp/>
        <stp>##V3_BDPV12</stp>
        <stp>XS1821814800 CORP</stp>
        <stp>YAS_BOND_YLD</stp>
        <stp>[BondFloaters.xlsx]FLOATERS!R84C27</stp>
        <tr r="AA84" s="1"/>
      </tp>
      <tp t="s">
        <v>14/11/2018</v>
        <stp/>
        <stp>##V3_BDPV12</stp>
        <stp>XS1821814800 CORP</stp>
        <stp>START_ACC_DT</stp>
        <stp>[BondFloaters.xlsx]FLOATERS!R84C12</stp>
        <tr r="L84" s="1"/>
      </tp>
      <tp t="s">
        <v>#N/A N/A</v>
        <stp/>
        <stp>##V3_BDPV12</stp>
        <stp>XS1171489476 CORP</stp>
        <stp>YAS_BOND_PX</stp>
        <stp>[BondFloaters.xlsx]FLOATERS!R101C28</stp>
        <tr r="AB101" s="1"/>
      </tp>
      <tp>
        <v>0.309</v>
        <stp/>
        <stp>##V3_BDPV12</stp>
        <stp>FR0013342664 CORP</stp>
        <stp>CPN</stp>
        <stp>[BondFloaters.xlsx]FLOATERS!R122C25</stp>
        <tr r="Y122" s="1"/>
      </tp>
      <tp>
        <v>-0.18634700000000001</v>
        <stp/>
        <stp>##V3_BDPV12</stp>
        <stp>XS1301773799 CORP</stp>
        <stp>YAS_BOND_YLD</stp>
        <stp>[BondFloaters.xlsx]FLOATERS!R114C27</stp>
        <tr r="AA114" s="1"/>
      </tp>
      <tp>
        <v>100.1</v>
        <stp/>
        <stp>##V3_BDPV12</stp>
        <stp>XS1057486471 CORP</stp>
        <stp>YAS_BOND_PX</stp>
        <stp>[BondFloaters.xlsx]FLOATERS!R131C28</stp>
        <tr r="AB131" s="1"/>
      </tp>
      <tp>
        <v>0</v>
        <stp/>
        <stp>##V3_BDPV12</stp>
        <stp>XS1574667124 CORP</stp>
        <stp>CPN</stp>
        <stp>[BondFloaters.xlsx]FLOATERS!R104C25</stp>
        <tr r="Y104" s="1"/>
      </tp>
      <tp>
        <v>-0.107554</v>
        <stp/>
        <stp>##V3_BDPV12</stp>
        <stp>XS1715323298 CORP</stp>
        <stp>YAS_BOND_YLD</stp>
        <stp>[BondFloaters.xlsx]FLOATERS!R111C27</stp>
        <tr r="AA111" s="1"/>
      </tp>
      <tp t="s">
        <v>DE</v>
        <stp/>
        <stp>##V3_BDPV12</stp>
        <stp>DE000A2GSCY9 CORP</stp>
        <stp>CNTRY_OF_RISK</stp>
        <stp>[BondFloaters.xlsx]FLOATERS!R14C3</stp>
        <tr r="C14" s="1"/>
      </tp>
      <tp t="s">
        <v>EK1244251</v>
        <stp/>
        <stp>##V3_BDPV12</stp>
        <stp>XS1046499981 CORP</stp>
        <stp>ID_CUSIP</stp>
        <stp>[BondFloaters.xlsx]FLOATERS!R9C1</stp>
        <tr r="A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0"/>
  <sheetViews>
    <sheetView tabSelected="1" topLeftCell="B1" workbookViewId="0">
      <selection activeCell="B1" sqref="B1"/>
    </sheetView>
  </sheetViews>
  <sheetFormatPr defaultRowHeight="15" outlineLevelCol="1" x14ac:dyDescent="0.25"/>
  <cols>
    <col min="1" max="1" width="11" hidden="1" customWidth="1"/>
    <col min="2" max="2" width="12.140625" style="12" customWidth="1"/>
    <col min="3" max="3" width="15.28515625" style="12" customWidth="1"/>
    <col min="4" max="4" width="34.28515625" style="3" customWidth="1"/>
    <col min="5" max="5" width="19.5703125" hidden="1" customWidth="1" outlineLevel="1"/>
    <col min="6" max="6" width="20.85546875" hidden="1" customWidth="1" outlineLevel="1"/>
    <col min="7" max="7" width="20.28515625" hidden="1" customWidth="1" outlineLevel="1"/>
    <col min="8" max="8" width="31" hidden="1" customWidth="1" outlineLevel="1"/>
    <col min="9" max="9" width="24.140625" hidden="1" customWidth="1" outlineLevel="1"/>
    <col min="10" max="10" width="19.42578125" hidden="1" customWidth="1" outlineLevel="1"/>
    <col min="11" max="11" width="16.140625" hidden="1" customWidth="1" outlineLevel="1"/>
    <col min="12" max="12" width="20.28515625" hidden="1" customWidth="1" outlineLevel="1"/>
    <col min="13" max="13" width="15.28515625" style="14" hidden="1" customWidth="1" outlineLevel="1"/>
    <col min="14" max="14" width="18.7109375" hidden="1" customWidth="1" outlineLevel="1"/>
    <col min="15" max="18" width="18.7109375" style="12" hidden="1" customWidth="1" outlineLevel="1"/>
    <col min="19" max="19" width="11.5703125" hidden="1" customWidth="1" outlineLevel="1"/>
    <col min="20" max="20" width="30.85546875" style="3" bestFit="1" customWidth="1" collapsed="1"/>
    <col min="21" max="21" width="17.5703125" style="20" bestFit="1" customWidth="1"/>
    <col min="22" max="22" width="18.7109375" style="8" customWidth="1"/>
    <col min="23" max="23" width="14" style="8" customWidth="1"/>
    <col min="24" max="24" width="17.5703125" style="28" customWidth="1"/>
    <col min="25" max="25" width="16" style="28" customWidth="1"/>
    <col min="26" max="26" width="14" style="24" customWidth="1"/>
    <col min="27" max="28" width="19.28515625" style="31" customWidth="1"/>
    <col min="29" max="29" width="20.85546875" style="20" bestFit="1" customWidth="1"/>
    <col min="30" max="30" width="17.85546875" style="20" customWidth="1"/>
    <col min="31" max="31" width="17" customWidth="1"/>
    <col min="32" max="32" width="15.7109375" customWidth="1"/>
    <col min="33" max="33" width="17" style="3" customWidth="1"/>
    <col min="34" max="34" width="14.85546875" customWidth="1"/>
    <col min="35" max="35" width="17.7109375" customWidth="1"/>
    <col min="36" max="36" width="20.140625" style="20" customWidth="1"/>
    <col min="37" max="37" width="14.42578125" style="20" customWidth="1"/>
    <col min="38" max="38" width="13.85546875" style="8" customWidth="1"/>
    <col min="39" max="39" width="10.5703125" style="8" bestFit="1" customWidth="1"/>
    <col min="40" max="40" width="11.85546875" style="8" customWidth="1"/>
  </cols>
  <sheetData>
    <row r="1" spans="1:40" x14ac:dyDescent="0.25">
      <c r="D1"/>
      <c r="E1" t="s">
        <v>159</v>
      </c>
      <c r="G1" s="12"/>
      <c r="H1" s="12"/>
      <c r="J1" s="3"/>
      <c r="L1" s="5"/>
      <c r="O1"/>
      <c r="P1"/>
      <c r="Q1" s="3"/>
      <c r="R1" s="5"/>
      <c r="T1" s="12" t="s">
        <v>160</v>
      </c>
      <c r="U1" s="19">
        <f ca="1">_xll.meDateFromTenor(TODAY(),"2D","FOLLOWING","TGT")</f>
        <v>43454</v>
      </c>
      <c r="Y1" s="29"/>
      <c r="AA1" s="8"/>
      <c r="AB1" s="8"/>
      <c r="AC1" s="8"/>
      <c r="AD1" s="8"/>
    </row>
    <row r="2" spans="1:40" x14ac:dyDescent="0.25">
      <c r="F2" s="12"/>
      <c r="G2" s="12"/>
      <c r="H2" s="12"/>
      <c r="J2" s="3"/>
      <c r="L2" s="5"/>
      <c r="O2" s="4" t="s">
        <v>211</v>
      </c>
      <c r="P2"/>
      <c r="Q2" s="3"/>
      <c r="R2" s="5"/>
      <c r="T2"/>
      <c r="V2" s="9"/>
      <c r="W2" s="27"/>
      <c r="X2" s="29"/>
      <c r="Y2" s="29"/>
      <c r="AA2" s="8"/>
      <c r="AB2" s="8"/>
      <c r="AC2" s="9"/>
      <c r="AD2" s="8"/>
    </row>
    <row r="3" spans="1:40" x14ac:dyDescent="0.25">
      <c r="A3" t="s">
        <v>166</v>
      </c>
      <c r="B3" s="13" t="s">
        <v>168</v>
      </c>
      <c r="C3" s="13" t="s">
        <v>213</v>
      </c>
      <c r="D3" s="4"/>
      <c r="F3" s="13" t="s">
        <v>205</v>
      </c>
      <c r="G3" s="13" t="s">
        <v>206</v>
      </c>
      <c r="H3" s="13" t="s">
        <v>207</v>
      </c>
      <c r="I3" s="4" t="s">
        <v>210</v>
      </c>
      <c r="J3" s="3"/>
      <c r="K3" s="4" t="s">
        <v>155</v>
      </c>
      <c r="L3" s="6" t="s">
        <v>156</v>
      </c>
      <c r="M3" s="15"/>
      <c r="N3" s="4" t="s">
        <v>203</v>
      </c>
      <c r="O3" s="4" t="s">
        <v>157</v>
      </c>
      <c r="P3" s="4"/>
      <c r="Q3" s="25" t="s">
        <v>162</v>
      </c>
      <c r="R3" s="6" t="s">
        <v>157</v>
      </c>
      <c r="S3" s="4" t="s">
        <v>158</v>
      </c>
      <c r="T3" s="4"/>
      <c r="U3" s="21" t="s">
        <v>222</v>
      </c>
      <c r="V3" s="9" t="s">
        <v>198</v>
      </c>
      <c r="W3" s="9" t="s">
        <v>201</v>
      </c>
      <c r="X3" s="29" t="s">
        <v>199</v>
      </c>
      <c r="Y3" s="29" t="s">
        <v>215</v>
      </c>
      <c r="Z3" s="25" t="s">
        <v>162</v>
      </c>
      <c r="AA3" s="9" t="s">
        <v>220</v>
      </c>
      <c r="AB3" s="9" t="s">
        <v>200</v>
      </c>
      <c r="AC3" s="34"/>
      <c r="AD3" s="32"/>
      <c r="AE3" s="36" t="s">
        <v>227</v>
      </c>
      <c r="AF3" s="33"/>
      <c r="AG3" s="37" t="s">
        <v>228</v>
      </c>
    </row>
    <row r="4" spans="1:40" x14ac:dyDescent="0.25">
      <c r="A4" t="s">
        <v>165</v>
      </c>
      <c r="B4" s="11" t="s">
        <v>167</v>
      </c>
      <c r="C4" s="11" t="s">
        <v>214</v>
      </c>
      <c r="D4" s="1" t="s">
        <v>5</v>
      </c>
      <c r="E4" s="1" t="s">
        <v>6</v>
      </c>
      <c r="F4" s="11" t="s">
        <v>2</v>
      </c>
      <c r="G4" s="11" t="s">
        <v>208</v>
      </c>
      <c r="H4" s="11" t="s">
        <v>209</v>
      </c>
      <c r="I4" s="1" t="s">
        <v>7</v>
      </c>
      <c r="J4" s="1" t="s">
        <v>1</v>
      </c>
      <c r="K4" s="1" t="s">
        <v>12</v>
      </c>
      <c r="L4" s="7" t="s">
        <v>13</v>
      </c>
      <c r="M4" s="16" t="s">
        <v>14</v>
      </c>
      <c r="N4" s="1" t="s">
        <v>15</v>
      </c>
      <c r="O4" s="1" t="s">
        <v>16</v>
      </c>
      <c r="P4" s="1" t="s">
        <v>8</v>
      </c>
      <c r="Q4" s="26" t="s">
        <v>230</v>
      </c>
      <c r="R4" s="7" t="s">
        <v>9</v>
      </c>
      <c r="S4" s="1" t="s">
        <v>10</v>
      </c>
      <c r="T4" s="1" t="s">
        <v>11</v>
      </c>
      <c r="U4" s="22" t="s">
        <v>22</v>
      </c>
      <c r="V4" s="10" t="s">
        <v>18</v>
      </c>
      <c r="W4" s="10" t="s">
        <v>19</v>
      </c>
      <c r="X4" s="30" t="s">
        <v>20</v>
      </c>
      <c r="Y4" s="30" t="s">
        <v>21</v>
      </c>
      <c r="Z4" s="26" t="s">
        <v>161</v>
      </c>
      <c r="AA4" s="10" t="s">
        <v>221</v>
      </c>
      <c r="AB4" s="10" t="s">
        <v>163</v>
      </c>
      <c r="AC4" s="10" t="s">
        <v>225</v>
      </c>
      <c r="AD4" s="10" t="s">
        <v>164</v>
      </c>
      <c r="AE4" s="10" t="s">
        <v>226</v>
      </c>
      <c r="AF4" s="10" t="s">
        <v>164</v>
      </c>
      <c r="AG4" s="10" t="s">
        <v>226</v>
      </c>
      <c r="AH4" s="10" t="s">
        <v>224</v>
      </c>
      <c r="AI4" s="10" t="s">
        <v>164</v>
      </c>
      <c r="AJ4" s="39" t="s">
        <v>229</v>
      </c>
      <c r="AK4" s="39" t="s">
        <v>164</v>
      </c>
    </row>
    <row r="5" spans="1:40" x14ac:dyDescent="0.25">
      <c r="A5" s="3" t="str">
        <f ca="1">_xll.BDP($E5,A$3)</f>
        <v>QZ2662661</v>
      </c>
      <c r="B5" s="12" t="str">
        <f ca="1">_xll.BDP($E5,B$3)</f>
        <v>EUR</v>
      </c>
      <c r="C5" s="12" t="str">
        <f ca="1">_xll.BDP($E5,C$3)</f>
        <v>DE</v>
      </c>
      <c r="D5" s="18" t="s">
        <v>218</v>
      </c>
      <c r="E5" s="3" t="str">
        <f t="shared" ref="E5:E34" si="0">J5&amp;" CORP"</f>
        <v>XS1480176111 CORP</v>
      </c>
      <c r="F5" s="12">
        <f ca="1">_xll.BDP($E5,F$3)</f>
        <v>21</v>
      </c>
      <c r="G5" s="12" t="str">
        <f ca="1">_xll.BDP($E5,G$3)</f>
        <v>N</v>
      </c>
      <c r="H5" s="12" t="str">
        <f ca="1">_xll.BDP($E5,H$3)</f>
        <v>N</v>
      </c>
      <c r="I5" s="3" t="str">
        <f ca="1">_xll.BDP($E5,I$3)</f>
        <v>BMW F 08/23/18 emtn</v>
      </c>
      <c r="J5" t="s">
        <v>0</v>
      </c>
      <c r="K5" s="3" t="str">
        <f ca="1">_xll.BDP($E5,K$3)</f>
        <v>23/08/2016</v>
      </c>
      <c r="L5" s="5">
        <f ca="1">DATEVALUE(_xll.BDP($E5,L$3))</f>
        <v>43243</v>
      </c>
      <c r="M5" s="17" t="e">
        <f ca="1">IF(DAY(N5)&lt;&gt;DAY(O5),DAY(N5),"")</f>
        <v>#VALUE!</v>
      </c>
      <c r="N5" s="3" t="str">
        <f ca="1">_xll.BDP($E5,N$3)</f>
        <v>#N/A Field Not Applicable</v>
      </c>
      <c r="O5" s="3" t="str">
        <f ca="1">_xll.BDP($E5,O$3)</f>
        <v>23/08/2018</v>
      </c>
      <c r="P5" s="2">
        <v>0</v>
      </c>
      <c r="Q5" s="24">
        <f ca="1">_xll.BDP($E5,Q$3)</f>
        <v>50</v>
      </c>
      <c r="R5" s="5">
        <f ca="1">DATEVALUE(_xll.BDP($E5,R$3))</f>
        <v>43335</v>
      </c>
      <c r="S5" s="3" t="str">
        <f ca="1">_xll.BDP($E5,S$3)</f>
        <v>CLEAN</v>
      </c>
      <c r="T5" s="3" t="str">
        <f ca="1">_xll.meLWOBondCreateFromGeneratorLVB(I5,D5,_xll.meUtilityLVBFromKeysValues($I$4:$R$4,I5:R5))</f>
        <v>#Error: Key #ERROR: KEYS AND VALUES ARE NOT THE SAME SIZE. is not an expected key.</v>
      </c>
      <c r="U5" s="23">
        <f t="shared" ref="U5:U34" ca="1" si="1">$U$1</f>
        <v>43454</v>
      </c>
      <c r="V5" s="8" t="str">
        <f ca="1">_xll.BDP($E5,V$3)</f>
        <v>#N/A N/A</v>
      </c>
      <c r="W5" s="8" t="str">
        <f ca="1">_xll.BDP($E5,W$3)</f>
        <v>#N/A N/A</v>
      </c>
      <c r="X5" s="28" t="str">
        <f ca="1">_xll.BDP($E5,X$3)</f>
        <v>#N/A N/A</v>
      </c>
      <c r="Y5" s="28">
        <f ca="1">_xll.BDP($E5,Y$3)</f>
        <v>0.17499999999999999</v>
      </c>
      <c r="Z5" s="24">
        <f ca="1">_xll.BDP($E5,Z$3)</f>
        <v>50</v>
      </c>
      <c r="AA5" s="35" t="str">
        <f ca="1">_xll.BDP($E5,AA$3)</f>
        <v>#N/A N/A</v>
      </c>
      <c r="AB5" s="8" t="str">
        <f ca="1">_xll.BDP($E5,AB$3)</f>
        <v>#N/A N/A</v>
      </c>
      <c r="AC5" s="38" t="e">
        <f ca="1">ROUND(_xll.meLWOBondFRNPriceFromDiscountMargin(T5,U5,V5/10000,W5/100,X5/100,Y5/100),3)</f>
        <v>#VALUE!</v>
      </c>
      <c r="AD5" s="8" t="e">
        <f t="shared" ref="AD5:AD66" ca="1" si="2">ABS(AC5-AB5)</f>
        <v>#VALUE!</v>
      </c>
      <c r="AE5" s="8" t="e">
        <f ca="1">ROUND(AG5,3)</f>
        <v>#VALUE!</v>
      </c>
      <c r="AF5" s="8" t="e">
        <f ca="1">ABS(AE5-AB5)</f>
        <v>#VALUE!</v>
      </c>
      <c r="AG5" s="35" t="e">
        <f ca="1">_xll.meLWOBondFRNPriceFromYield(T5,U5,AA5/100,W5/100,X5/100,Y5/100)</f>
        <v>#VALUE!</v>
      </c>
      <c r="AH5" s="35" t="e">
        <f ca="1">100*_xll.meLWOBondFRNYieldFromPrice(T5,U5,AG5,W5/100,X5/100,Y5/100)</f>
        <v>#VALUE!</v>
      </c>
      <c r="AI5" s="35" t="e">
        <f t="shared" ref="AI5:AI36" ca="1" si="3">ABS(AH5-AA5)</f>
        <v>#VALUE!</v>
      </c>
      <c r="AJ5" s="40" t="e">
        <f ca="1">10000*_xll.meLWOBondFRNDiscountMarginFromPrice(T5,U5,AG5,W5/100,X5/100,Y5/100)</f>
        <v>#VALUE!</v>
      </c>
      <c r="AK5" s="41" t="e">
        <f t="shared" ref="AK5:AK69" ca="1" si="4">ABS(AJ5-V5)</f>
        <v>#VALUE!</v>
      </c>
    </row>
    <row r="6" spans="1:40" x14ac:dyDescent="0.25">
      <c r="A6" s="3" t="str">
        <f ca="1">_xll.BDP($E6,A$3)</f>
        <v>AO9670669</v>
      </c>
      <c r="B6" s="12" t="str">
        <f ca="1">_xll.BDP($E6,B$3)</f>
        <v>EUR</v>
      </c>
      <c r="C6" s="12" t="str">
        <f ca="1">_xll.BDP($E6,C$3)</f>
        <v>SE</v>
      </c>
      <c r="D6" s="18" t="s">
        <v>218</v>
      </c>
      <c r="E6" s="3" t="str">
        <f t="shared" si="0"/>
        <v>XS1678632487 CORP</v>
      </c>
      <c r="F6" s="12">
        <f ca="1">_xll.BDP($E6,F$3)</f>
        <v>21</v>
      </c>
      <c r="G6" s="12" t="str">
        <f ca="1">_xll.BDP($E6,G$3)</f>
        <v>N</v>
      </c>
      <c r="H6" s="12" t="str">
        <f ca="1">_xll.BDP($E6,H$3)</f>
        <v>N</v>
      </c>
      <c r="I6" s="3" t="str">
        <f ca="1">_xll.BDP($E6,I$3)</f>
        <v>SCANIA F 09/06/19 EMTN</v>
      </c>
      <c r="J6" s="3" t="s">
        <v>17</v>
      </c>
      <c r="K6" s="3" t="str">
        <f ca="1">_xll.BDP($E6,K$3)</f>
        <v>07/09/2017</v>
      </c>
      <c r="L6" s="5">
        <f ca="1">DATEVALUE(_xll.BDP($E6,L$3))</f>
        <v>43440</v>
      </c>
      <c r="M6" s="17" t="str">
        <f t="shared" ref="M6:M67" ca="1" si="5">IF(DAY(N6)&lt;&gt;DAY(O6),DAY(N6),"")</f>
        <v/>
      </c>
      <c r="N6" s="3" t="str">
        <f ca="1">_xll.BDP($E6,N$3)</f>
        <v>06/03/2019</v>
      </c>
      <c r="O6" s="3" t="str">
        <f ca="1">_xll.BDP($E6,O$3)</f>
        <v>06/09/2019</v>
      </c>
      <c r="P6" s="2">
        <v>0</v>
      </c>
      <c r="Q6" s="24">
        <f ca="1">_xll.BDP($E6,Q$3)</f>
        <v>35</v>
      </c>
      <c r="R6" s="5">
        <f ca="1">DATEVALUE(_xll.BDP($E6,R$3))</f>
        <v>43714</v>
      </c>
      <c r="S6" s="3" t="str">
        <f ca="1">_xll.BDP($E6,S$3)</f>
        <v>CLEAN</v>
      </c>
      <c r="T6" s="3" t="str">
        <f ca="1">_xll.meLWOBondCreateFromGeneratorLVB(I6,D6,_xll.meUtilityLVBFromKeysValues($I$4:$R$4,I6:R6))</f>
        <v>SCANIA F 09/06/19 EMTN@268:14</v>
      </c>
      <c r="U6" s="23">
        <f t="shared" ca="1" si="1"/>
        <v>43454</v>
      </c>
      <c r="V6" s="8">
        <f ca="1">_xll.BDP($E6,V$3)</f>
        <v>18.780679590790157</v>
      </c>
      <c r="W6" s="8">
        <f ca="1">_xll.BDP($E6,W$3)</f>
        <v>-0.311</v>
      </c>
      <c r="X6" s="28">
        <f ca="1">_xll.BDP($E6,X$3)</f>
        <v>-0.32266666666666666</v>
      </c>
      <c r="Y6" s="28">
        <f ca="1">_xll.BDP($E6,Y$3)</f>
        <v>3.4000000000000002E-2</v>
      </c>
      <c r="Z6" s="24">
        <f ca="1">_xll.BDP($E6,Z$3)</f>
        <v>35</v>
      </c>
      <c r="AA6" s="35">
        <f ca="1">_xll.BDP($E6,AA$3)</f>
        <v>-0.123193</v>
      </c>
      <c r="AB6" s="8">
        <f ca="1">_xll.BDP($E6,AB$3)</f>
        <v>100.11799999999999</v>
      </c>
      <c r="AC6" s="8">
        <f ca="1">ROUND(_xll.meLWOBondFRNPriceFromDiscountMargin(T6,U6,V6/10000,W6/100,X6/100,Y6/100),3)</f>
        <v>100.11799999999999</v>
      </c>
      <c r="AD6" s="38">
        <f ca="1">ABS(AC6-AB6)</f>
        <v>0</v>
      </c>
      <c r="AE6" s="8">
        <f t="shared" ref="AE6:AE69" ca="1" si="6">ROUND(AG6,3)</f>
        <v>100.11799999999999</v>
      </c>
      <c r="AF6" s="8">
        <f t="shared" ref="AF6:AF67" ca="1" si="7">ABS(AE6-AB6)</f>
        <v>0</v>
      </c>
      <c r="AG6" s="35">
        <f ca="1">_xll.meLWOBondFRNPriceFromYield(T6,U6,AA6/100,W6/100,X6/100,Y6/100)</f>
        <v>100.11799986179611</v>
      </c>
      <c r="AH6" s="35">
        <f ca="1">100*_xll.meLWOBondFRNYieldFromPrice(T6,U6,AG6,W6/100,X6/100,Y6/100)</f>
        <v>-0.12319300000001071</v>
      </c>
      <c r="AI6" s="35">
        <f t="shared" ca="1" si="3"/>
        <v>1.0713652187632761E-14</v>
      </c>
      <c r="AJ6" s="40">
        <f ca="1">10000*_xll.meLWOBondFRNDiscountMarginFromPrice(T6,U6,AG6,W6/100,X6/100,Y6/100)</f>
        <v>18.780699999998927</v>
      </c>
      <c r="AK6" s="41">
        <f t="shared" ca="1" si="4"/>
        <v>2.0409208769223142E-5</v>
      </c>
    </row>
    <row r="7" spans="1:40" x14ac:dyDescent="0.25">
      <c r="A7" s="3" t="str">
        <f ca="1">_xll.BDP($E7,A$3)</f>
        <v>QZ9813960</v>
      </c>
      <c r="B7" s="12" t="str">
        <f ca="1">_xll.BDP($E7,B$3)</f>
        <v>EUR</v>
      </c>
      <c r="C7" s="12" t="str">
        <f ca="1">_xll.BDP($E7,C$3)</f>
        <v>FR</v>
      </c>
      <c r="D7" s="18" t="s">
        <v>218</v>
      </c>
      <c r="E7" s="3" t="str">
        <f t="shared" si="0"/>
        <v>FR0013216884 CORP</v>
      </c>
      <c r="F7" s="12">
        <f ca="1">_xll.BDP($E7,F$3)</f>
        <v>21</v>
      </c>
      <c r="G7" s="12" t="str">
        <f ca="1">_xll.BDP($E7,G$3)</f>
        <v>N</v>
      </c>
      <c r="H7" s="12" t="str">
        <f ca="1">_xll.BDP($E7,H$3)</f>
        <v>N</v>
      </c>
      <c r="I7" s="3" t="str">
        <f ca="1">_xll.BDP($E7,I$3)</f>
        <v>BNFP F 11/03/18 EMTN</v>
      </c>
      <c r="J7" s="3" t="s">
        <v>23</v>
      </c>
      <c r="K7" s="3" t="str">
        <f ca="1">_xll.BDP($E7,K$3)</f>
        <v>03/11/2016</v>
      </c>
      <c r="L7" s="5">
        <f ca="1">DATEVALUE(_xll.BDP($E7,L$3))</f>
        <v>43315</v>
      </c>
      <c r="M7" s="17" t="e">
        <f t="shared" ca="1" si="5"/>
        <v>#VALUE!</v>
      </c>
      <c r="N7" s="3" t="str">
        <f ca="1">_xll.BDP($E7,N$3)</f>
        <v>#N/A Field Not Applicable</v>
      </c>
      <c r="O7" s="3" t="str">
        <f ca="1">_xll.BDP($E7,O$3)</f>
        <v>03/11/2018</v>
      </c>
      <c r="P7" s="2">
        <v>0</v>
      </c>
      <c r="Q7" s="24">
        <f ca="1">_xll.BDP($E7,Q$3)</f>
        <v>15</v>
      </c>
      <c r="R7" s="5">
        <f ca="1">DATEVALUE(_xll.BDP($E7,R$3))</f>
        <v>43407</v>
      </c>
      <c r="S7" s="3" t="str">
        <f ca="1">_xll.BDP($E7,S$3)</f>
        <v>CLEAN</v>
      </c>
      <c r="T7" s="3" t="str">
        <f ca="1">_xll.meLWOBondCreateFromGeneratorLVB(I7,D7,_xll.meUtilityLVBFromKeysValues($I$4:$R$4,I7:R7))</f>
        <v>#Error: Key #ERROR: KEYS AND VALUES ARE NOT THE SAME SIZE. is not an expected key.</v>
      </c>
      <c r="U7" s="23">
        <f t="shared" ca="1" si="1"/>
        <v>43454</v>
      </c>
      <c r="V7" s="8" t="str">
        <f ca="1">_xll.BDP($E7,V$3)</f>
        <v>#N/A N/A</v>
      </c>
      <c r="W7" s="8" t="str">
        <f ca="1">_xll.BDP($E7,W$3)</f>
        <v>#N/A N/A</v>
      </c>
      <c r="X7" s="28" t="str">
        <f ca="1">_xll.BDP($E7,X$3)</f>
        <v>#N/A N/A</v>
      </c>
      <c r="Y7" s="28">
        <f ca="1">_xll.BDP($E7,Y$3)</f>
        <v>0</v>
      </c>
      <c r="Z7" s="24">
        <f ca="1">_xll.BDP($E7,Z$3)</f>
        <v>15</v>
      </c>
      <c r="AA7" s="35" t="str">
        <f ca="1">_xll.BDP($E7,AA$3)</f>
        <v>#N/A N/A</v>
      </c>
      <c r="AB7" s="8" t="str">
        <f ca="1">_xll.BDP($E7,AB$3)</f>
        <v>#N/A N/A</v>
      </c>
      <c r="AC7" s="38" t="e">
        <f ca="1">ROUND(_xll.meLWOBondFRNPriceFromDiscountMargin(T7,U7,V7/10000,W7/100,X7/100,Y7/100),3)</f>
        <v>#VALUE!</v>
      </c>
      <c r="AD7" s="8" t="e">
        <f t="shared" ca="1" si="2"/>
        <v>#VALUE!</v>
      </c>
      <c r="AE7" s="8" t="e">
        <f t="shared" ca="1" si="6"/>
        <v>#VALUE!</v>
      </c>
      <c r="AF7" s="8" t="e">
        <f t="shared" ca="1" si="7"/>
        <v>#VALUE!</v>
      </c>
      <c r="AG7" s="35" t="e">
        <f ca="1">_xll.meLWOBondFRNPriceFromYield(T7,U7,AA7/100,W7/100,X7/100,Y7/100)</f>
        <v>#VALUE!</v>
      </c>
      <c r="AH7" s="35" t="e">
        <f ca="1">100*_xll.meLWOBondFRNYieldFromPrice(T7,U7,AG7,W7/100,X7/100,Y7/100)</f>
        <v>#VALUE!</v>
      </c>
      <c r="AI7" s="35" t="e">
        <f t="shared" ca="1" si="3"/>
        <v>#VALUE!</v>
      </c>
      <c r="AJ7" s="40" t="e">
        <f ca="1">10000*_xll.meLWOBondFRNDiscountMarginFromPrice(T7,U7,AG7,W7/100,X7/100,Y7/100)</f>
        <v>#VALUE!</v>
      </c>
      <c r="AK7" s="41" t="e">
        <f t="shared" ca="1" si="4"/>
        <v>#VALUE!</v>
      </c>
    </row>
    <row r="8" spans="1:40" s="3" customFormat="1" x14ac:dyDescent="0.25">
      <c r="A8" s="3" t="str">
        <f ca="1">_xll.BDP($E8,A$3)</f>
        <v>AR4022398</v>
      </c>
      <c r="B8" s="12" t="str">
        <f ca="1">_xll.BDP($E8,B$3)</f>
        <v>EUR</v>
      </c>
      <c r="C8" s="12" t="str">
        <f ca="1">_xll.BDP($E8,C$3)</f>
        <v>JP</v>
      </c>
      <c r="D8" s="18" t="s">
        <v>218</v>
      </c>
      <c r="E8" s="3" t="str">
        <f t="shared" si="0"/>
        <v>XS1781813511 CORP</v>
      </c>
      <c r="F8" s="12">
        <f ca="1">_xll.BDP($E8,F$3)</f>
        <v>21</v>
      </c>
      <c r="G8" s="12" t="str">
        <f ca="1">_xll.BDP($E8,G$3)</f>
        <v>N</v>
      </c>
      <c r="H8" s="12" t="str">
        <f ca="1">_xll.BDP($E8,H$3)</f>
        <v>N</v>
      </c>
      <c r="I8" s="3" t="str">
        <f ca="1">_xll.BDP($E8,I$3)</f>
        <v>TOYOTA F 02/26/20 EMTN</v>
      </c>
      <c r="J8" s="3" t="s">
        <v>24</v>
      </c>
      <c r="K8" s="3" t="str">
        <f ca="1">_xll.BDP($E8,K$3)</f>
        <v>26/02/2018</v>
      </c>
      <c r="L8" s="5">
        <f ca="1">DATEVALUE(_xll.BDP($E8,L$3))</f>
        <v>43430</v>
      </c>
      <c r="M8" s="17" t="str">
        <f t="shared" ca="1" si="5"/>
        <v/>
      </c>
      <c r="N8" s="3" t="str">
        <f ca="1">_xll.BDP($E8,N$3)</f>
        <v>26/02/2019</v>
      </c>
      <c r="O8" s="3" t="str">
        <f ca="1">_xll.BDP($E8,O$3)</f>
        <v>26/02/2020</v>
      </c>
      <c r="P8" s="2">
        <v>0</v>
      </c>
      <c r="Q8" s="24">
        <f ca="1">_xll.BDP($E8,Q$3)</f>
        <v>20</v>
      </c>
      <c r="R8" s="5">
        <f ca="1">DATEVALUE(_xll.BDP($E8,R$3))</f>
        <v>43887</v>
      </c>
      <c r="S8" s="3" t="str">
        <f ca="1">_xll.BDP($E8,S$3)</f>
        <v>CLEAN</v>
      </c>
      <c r="T8" s="3" t="str">
        <f ca="1">_xll.meLWOBondCreateFromGeneratorLVB(I8,D8,_xll.meUtilityLVBFromKeysValues($I$4:$R$4,I8:R8))</f>
        <v>TOYOTA F 02/26/20 EMTN@266:14</v>
      </c>
      <c r="U8" s="23">
        <f t="shared" ca="1" si="1"/>
        <v>43454</v>
      </c>
      <c r="V8" s="8">
        <f ca="1">_xll.BDP($E8,V$3)</f>
        <v>12.054144791107973</v>
      </c>
      <c r="W8" s="8">
        <f ca="1">_xll.BDP($E8,W$3)</f>
        <v>-0.311</v>
      </c>
      <c r="X8" s="28">
        <f ca="1">_xll.BDP($E8,X$3)</f>
        <v>-0.32933333333333337</v>
      </c>
      <c r="Y8" s="28">
        <f ca="1">_xll.BDP($E8,Y$3)</f>
        <v>0</v>
      </c>
      <c r="Z8" s="24">
        <f ca="1">_xll.BDP($E8,Z$3)</f>
        <v>20</v>
      </c>
      <c r="AA8" s="35">
        <f ca="1">_xll.BDP($E8,AA$3)</f>
        <v>-0.19045899999999999</v>
      </c>
      <c r="AB8" s="8">
        <f ca="1">_xll.BDP($E8,AB$3)</f>
        <v>100.233</v>
      </c>
      <c r="AC8" s="38">
        <f ca="1">ROUND(_xll.meLWOBondFRNPriceFromDiscountMargin(T8,U8,V8/10000,W8/100,X8/100,Y8/100),3)</f>
        <v>100.233</v>
      </c>
      <c r="AD8" s="8">
        <f t="shared" ca="1" si="2"/>
        <v>0</v>
      </c>
      <c r="AE8" s="8">
        <f t="shared" ca="1" si="6"/>
        <v>100.233</v>
      </c>
      <c r="AF8" s="8">
        <f t="shared" ca="1" si="7"/>
        <v>0</v>
      </c>
      <c r="AG8" s="35">
        <f ca="1">_xll.meLWOBondFRNPriceFromYield(T8,U8,AA8/100,W8/100,X8/100,Y8/100)</f>
        <v>100.23300057388435</v>
      </c>
      <c r="AH8" s="35">
        <f ca="1">100*_xll.meLWOBondFRNYieldFromPrice(T8,U8,AG8,W8/100,X8/100,Y8/100)</f>
        <v>-0.19045899999998228</v>
      </c>
      <c r="AI8" s="35">
        <f t="shared" ca="1" si="3"/>
        <v>1.7708057242771247E-14</v>
      </c>
      <c r="AJ8" s="40">
        <f ca="1">10000*_xll.meLWOBondFRNDiscountMarginFromPrice(T8,U8,AG8,W8/100,X8/100,Y8/100)</f>
        <v>12.054100000001773</v>
      </c>
      <c r="AK8" s="41">
        <f t="shared" ca="1" si="4"/>
        <v>4.4791106200037234E-5</v>
      </c>
      <c r="AL8" s="8"/>
      <c r="AM8" s="8"/>
      <c r="AN8" s="8"/>
    </row>
    <row r="9" spans="1:40" x14ac:dyDescent="0.25">
      <c r="A9" s="3" t="str">
        <f ca="1">_xll.BDP($E9,A$3)</f>
        <v>EK1244251</v>
      </c>
      <c r="B9" s="12" t="str">
        <f ca="1">_xll.BDP($E9,B$3)</f>
        <v>EUR</v>
      </c>
      <c r="C9" s="12" t="str">
        <f ca="1">_xll.BDP($E9,C$3)</f>
        <v>US</v>
      </c>
      <c r="D9" s="18" t="s">
        <v>218</v>
      </c>
      <c r="E9" s="3" t="str">
        <f t="shared" si="0"/>
        <v>XS1046499981 CORP</v>
      </c>
      <c r="F9" s="12">
        <f ca="1">_xll.BDP($E9,F$3)</f>
        <v>21</v>
      </c>
      <c r="G9" s="12" t="str">
        <f ca="1">_xll.BDP($E9,G$3)</f>
        <v>N</v>
      </c>
      <c r="H9" s="12" t="str">
        <f ca="1">_xll.BDP($E9,H$3)</f>
        <v>N</v>
      </c>
      <c r="I9" s="3" t="str">
        <f ca="1">_xll.BDP($E9,I$3)</f>
        <v>DE F 03/19/19 EMTN</v>
      </c>
      <c r="J9" s="3" t="s">
        <v>25</v>
      </c>
      <c r="K9" s="3" t="str">
        <f ca="1">_xll.BDP($E9,K$3)</f>
        <v>19/03/2014</v>
      </c>
      <c r="L9" s="5">
        <f ca="1">DATEVALUE(_xll.BDP($E9,L$3))</f>
        <v>43453</v>
      </c>
      <c r="M9" s="17" t="str">
        <f t="shared" ca="1" si="5"/>
        <v/>
      </c>
      <c r="N9" s="3" t="str">
        <f ca="1">_xll.BDP($E9,N$3)</f>
        <v>19/03/2019</v>
      </c>
      <c r="O9" s="3" t="str">
        <f ca="1">_xll.BDP($E9,O$3)</f>
        <v>19/03/2019</v>
      </c>
      <c r="P9" s="2">
        <v>0</v>
      </c>
      <c r="Q9" s="24">
        <f ca="1">_xll.BDP($E9,Q$3)</f>
        <v>48</v>
      </c>
      <c r="R9" s="5">
        <f ca="1">DATEVALUE(_xll.BDP($E9,R$3))</f>
        <v>43543</v>
      </c>
      <c r="S9" s="3" t="str">
        <f ca="1">_xll.BDP($E9,S$3)</f>
        <v>CLEAN</v>
      </c>
      <c r="T9" s="3" t="str">
        <f ca="1">_xll.meLWOBondCreateFromGeneratorLVB(I9,D9,_xll.meUtilityLVBFromKeysValues($I$4:$R$4,I9:R9))</f>
        <v>DE F 03/19/19 EMTN@265:14</v>
      </c>
      <c r="U9" s="23">
        <f t="shared" ca="1" si="1"/>
        <v>43454</v>
      </c>
      <c r="V9" s="8">
        <f ca="1">_xll.BDP($E9,V$3)</f>
        <v>-1.6289624960651339</v>
      </c>
      <c r="W9" s="8">
        <f ca="1">_xll.BDP($E9,W$3)</f>
        <v>-0.311</v>
      </c>
      <c r="X9" s="28">
        <f ca="1">_xll.BDP($E9,X$3)</f>
        <v>-0.31183333333333335</v>
      </c>
      <c r="Y9" s="28">
        <f ca="1">_xll.BDP($E9,Y$3)</f>
        <v>0.16900000000000001</v>
      </c>
      <c r="Z9" s="24">
        <f ca="1">_xll.BDP($E9,Z$3)</f>
        <v>48</v>
      </c>
      <c r="AA9" s="35">
        <f ca="1">_xll.BDP($E9,AA$3)</f>
        <v>-0.328123</v>
      </c>
      <c r="AB9" s="8">
        <f ca="1">_xll.BDP($E9,AB$3)</f>
        <v>100.123</v>
      </c>
      <c r="AC9" s="38">
        <f ca="1">ROUND(_xll.meLWOBondFRNPriceFromDiscountMargin(T9,U9,V9/10000,W9/100,X9/100,Y9/100),3)</f>
        <v>100.123</v>
      </c>
      <c r="AD9" s="8">
        <f t="shared" ca="1" si="2"/>
        <v>0</v>
      </c>
      <c r="AE9" s="8">
        <f t="shared" ca="1" si="6"/>
        <v>100.123</v>
      </c>
      <c r="AF9" s="8">
        <f t="shared" ca="1" si="7"/>
        <v>0</v>
      </c>
      <c r="AG9" s="35">
        <f ca="1">_xll.meLWOBondFRNPriceFromYield(T9,U9,AA9/100,W9/100,X9/100,Y9/100)</f>
        <v>100.12300001033176</v>
      </c>
      <c r="AH9" s="35">
        <f ca="1">100*_xll.meLWOBondFRNYieldFromPrice(T9,U9,AG9,W9/100,X9/100,Y9/100)</f>
        <v>-0.32812299999994737</v>
      </c>
      <c r="AI9" s="35">
        <f t="shared" ca="1" si="3"/>
        <v>5.262457136723242E-14</v>
      </c>
      <c r="AJ9" s="40">
        <f ca="1">10000*_xll.meLWOBondFRNDiscountMarginFromPrice(T9,U9,AG9,W9/100,X9/100,Y9/100)</f>
        <v>-1.6289666666614031</v>
      </c>
      <c r="AK9" s="41">
        <f t="shared" ca="1" si="4"/>
        <v>4.1705962692262233E-6</v>
      </c>
    </row>
    <row r="10" spans="1:40" x14ac:dyDescent="0.25">
      <c r="A10" s="3" t="str">
        <f ca="1">_xll.BDP($E10,A$3)</f>
        <v>AR7762099</v>
      </c>
      <c r="B10" s="12" t="str">
        <f ca="1">_xll.BDP($E10,B$3)</f>
        <v>EUR</v>
      </c>
      <c r="C10" s="12" t="str">
        <f ca="1">_xll.BDP($E10,C$3)</f>
        <v>DE</v>
      </c>
      <c r="D10" s="18" t="s">
        <v>216</v>
      </c>
      <c r="E10" s="3" t="str">
        <f t="shared" si="0"/>
        <v>DE000A19X793 CORP</v>
      </c>
      <c r="F10" s="12">
        <f ca="1">_xll.BDP($E10,F$3)</f>
        <v>21</v>
      </c>
      <c r="G10" s="12" t="str">
        <f ca="1">_xll.BDP($E10,G$3)</f>
        <v>N</v>
      </c>
      <c r="H10" s="12" t="str">
        <f ca="1">_xll.BDP($E10,H$3)</f>
        <v>N</v>
      </c>
      <c r="I10" s="3" t="str">
        <f ca="1">_xll.BDP($E10,I$3)</f>
        <v>ANNGR F 12/22/22 EMTN</v>
      </c>
      <c r="J10" s="3" t="s">
        <v>26</v>
      </c>
      <c r="K10" s="3" t="str">
        <f ca="1">_xll.BDP($E10,K$3)</f>
        <v>22/03/2018</v>
      </c>
      <c r="L10" s="5">
        <f ca="1">DATEVALUE(_xll.BDP($E10,L$3))</f>
        <v>43365</v>
      </c>
      <c r="M10" s="17" t="str">
        <f t="shared" ca="1" si="5"/>
        <v/>
      </c>
      <c r="N10" s="3" t="str">
        <f ca="1">_xll.BDP($E10,N$3)</f>
        <v>22/12/2018</v>
      </c>
      <c r="O10" s="3" t="str">
        <f ca="1">_xll.BDP($E10,O$3)</f>
        <v>22/12/2022</v>
      </c>
      <c r="P10" s="2">
        <v>0</v>
      </c>
      <c r="Q10" s="24">
        <f ca="1">_xll.BDP($E10,Q$3)</f>
        <v>45</v>
      </c>
      <c r="R10" s="5">
        <f ca="1">DATEVALUE(_xll.BDP($E10,R$3))</f>
        <v>44917</v>
      </c>
      <c r="S10" s="3" t="str">
        <f ca="1">_xll.BDP($E10,S$3)</f>
        <v>CLEAN</v>
      </c>
      <c r="T10" s="3" t="str">
        <f ca="1">_xll.meLWOBondCreateFromGeneratorLVB(I10,D10,_xll.meUtilityLVBFromKeysValues($I$4:$R$4,I10:R10))</f>
        <v>ANNGR F 12/22/22 EMTN@264:14</v>
      </c>
      <c r="U10" s="23">
        <f t="shared" ca="1" si="1"/>
        <v>43454</v>
      </c>
      <c r="V10" s="8">
        <f ca="1">_xll.BDP($E10,V$3)</f>
        <v>79.445403761914704</v>
      </c>
      <c r="W10" s="8">
        <f ca="1">_xll.BDP($E10,W$3)</f>
        <v>-0.311</v>
      </c>
      <c r="X10" s="28">
        <f ca="1">_xll.BDP($E10,X$3)</f>
        <v>-0.378</v>
      </c>
      <c r="Y10" s="28">
        <f ca="1">_xll.BDP($E10,Y$3)</f>
        <v>0.13100000000000001</v>
      </c>
      <c r="Z10" s="24">
        <f ca="1">_xll.BDP($E10,Z$3)</f>
        <v>45</v>
      </c>
      <c r="AA10" s="35">
        <f ca="1">_xll.BDP($E10,AA$3)</f>
        <v>0.48345399999999999</v>
      </c>
      <c r="AB10" s="8">
        <f ca="1">_xll.BDP($E10,AB$3)</f>
        <v>98.614999999999995</v>
      </c>
      <c r="AC10" s="38">
        <f ca="1">ROUND(_xll.meLWOBondFRNPriceFromDiscountMargin(T10,U10,V10/10000,W10/100,X10/100,Y10/100),3)</f>
        <v>98.614999999999995</v>
      </c>
      <c r="AD10" s="8">
        <f ca="1">ABS(AC10-AB10)</f>
        <v>0</v>
      </c>
      <c r="AE10" s="8">
        <f t="shared" ca="1" si="6"/>
        <v>98.614999999999995</v>
      </c>
      <c r="AF10" s="8">
        <f ca="1">ABS(AE10-AB10)</f>
        <v>0</v>
      </c>
      <c r="AG10" s="35">
        <f ca="1">_xll.meLWOBondFRNPriceFromYield(T10,U10,AA10/100,W10/100,X10/100,Y10/100)</f>
        <v>98.615000417032917</v>
      </c>
      <c r="AH10" s="35">
        <f ca="1">100*_xll.meLWOBondFRNYieldFromPrice(T10,U10,AG10,W10/100,X10/100,Y10/100)</f>
        <v>0.48345400000003469</v>
      </c>
      <c r="AI10" s="35">
        <f t="shared" ca="1" si="3"/>
        <v>3.4694469519536142E-14</v>
      </c>
      <c r="AJ10" s="40">
        <f ca="1">10000*_xll.meLWOBondFRNDiscountMarginFromPrice(T10,U10,AG10,W10/100,X10/100,Y10/100)</f>
        <v>79.445400000003474</v>
      </c>
      <c r="AK10" s="41">
        <f t="shared" ca="1" si="4"/>
        <v>3.7619112305264935E-6</v>
      </c>
    </row>
    <row r="11" spans="1:40" x14ac:dyDescent="0.25">
      <c r="A11" s="3" t="str">
        <f ca="1">_xll.BDP($E11,A$3)</f>
        <v>AQ3261353</v>
      </c>
      <c r="B11" s="12" t="str">
        <f ca="1">_xll.BDP($E11,B$3)</f>
        <v>EUR</v>
      </c>
      <c r="C11" s="12" t="str">
        <f ca="1">_xll.BDP($E11,C$3)</f>
        <v>DE</v>
      </c>
      <c r="D11" s="18" t="s">
        <v>218</v>
      </c>
      <c r="E11" s="3" t="str">
        <f t="shared" si="0"/>
        <v>XS1734547919 CORP</v>
      </c>
      <c r="F11" s="12">
        <f ca="1">_xll.BDP($E11,F$3)</f>
        <v>21</v>
      </c>
      <c r="G11" s="12" t="str">
        <f ca="1">_xll.BDP($E11,G$3)</f>
        <v>N</v>
      </c>
      <c r="H11" s="12" t="str">
        <f ca="1">_xll.BDP($E11,H$3)</f>
        <v>N</v>
      </c>
      <c r="I11" s="3" t="str">
        <f ca="1">_xll.BDP($E11,I$3)</f>
        <v>VW F 06/15/21 EMTN</v>
      </c>
      <c r="J11" s="3" t="s">
        <v>27</v>
      </c>
      <c r="K11" s="3" t="str">
        <f ca="1">_xll.BDP($E11,K$3)</f>
        <v>15/12/2017</v>
      </c>
      <c r="L11" s="5">
        <f ca="1">DATEVALUE(_xll.BDP($E11,L$3))</f>
        <v>43451</v>
      </c>
      <c r="M11" s="17" t="str">
        <f t="shared" ca="1" si="5"/>
        <v/>
      </c>
      <c r="N11" s="3" t="str">
        <f ca="1">_xll.BDP($E11,N$3)</f>
        <v>15/03/2019</v>
      </c>
      <c r="O11" s="3" t="str">
        <f ca="1">_xll.BDP($E11,O$3)</f>
        <v>15/06/2021</v>
      </c>
      <c r="P11" s="2">
        <v>0</v>
      </c>
      <c r="Q11" s="24">
        <f ca="1">_xll.BDP($E11,Q$3)</f>
        <v>42</v>
      </c>
      <c r="R11" s="5">
        <f ca="1">DATEVALUE(_xll.BDP($E11,R$3))</f>
        <v>44362</v>
      </c>
      <c r="S11" s="3" t="str">
        <f ca="1">_xll.BDP($E11,S$3)</f>
        <v>CLEAN</v>
      </c>
      <c r="T11" s="3" t="str">
        <f ca="1">_xll.meLWOBondCreateFromGeneratorLVB(I11,D11,_xll.meUtilityLVBFromKeysValues($I$4:$R$4,I11:R11))</f>
        <v>VW F 06/15/21 EMTN@263:14</v>
      </c>
      <c r="U11" s="23">
        <f t="shared" ca="1" si="1"/>
        <v>43454</v>
      </c>
      <c r="V11" s="8">
        <f ca="1">_xll.BDP($E11,V$3)</f>
        <v>101.36749819736775</v>
      </c>
      <c r="W11" s="8">
        <f ca="1">_xll.BDP($E11,W$3)</f>
        <v>-0.311</v>
      </c>
      <c r="X11" s="28">
        <f ca="1">_xll.BDP($E11,X$3)</f>
        <v>-0.31516666666666665</v>
      </c>
      <c r="Y11" s="28">
        <f ca="1">_xll.BDP($E11,Y$3)</f>
        <v>0.109</v>
      </c>
      <c r="Z11" s="24">
        <f ca="1">_xll.BDP($E11,Z$3)</f>
        <v>42</v>
      </c>
      <c r="AA11" s="35">
        <f ca="1">_xll.BDP($E11,AA$3)</f>
        <v>0.70267500000000005</v>
      </c>
      <c r="AB11" s="8">
        <f ca="1">_xll.BDP($E11,AB$3)</f>
        <v>98.52</v>
      </c>
      <c r="AC11" s="38">
        <f ca="1">ROUND(_xll.meLWOBondFRNPriceFromDiscountMargin(T11,U11,V11/10000,W11/100,X11/100,Y11/100),3)</f>
        <v>98.52</v>
      </c>
      <c r="AD11" s="8">
        <f t="shared" ca="1" si="2"/>
        <v>0</v>
      </c>
      <c r="AE11" s="8">
        <f t="shared" ca="1" si="6"/>
        <v>98.52</v>
      </c>
      <c r="AF11" s="8">
        <f t="shared" ca="1" si="7"/>
        <v>0</v>
      </c>
      <c r="AG11" s="35">
        <f ca="1">_xll.meLWOBondFRNPriceFromYield(T11,U11,AA11/100,W11/100,X11/100,Y11/100)</f>
        <v>98.520000053657256</v>
      </c>
      <c r="AH11" s="35">
        <f ca="1">100*_xll.meLWOBondFRNYieldFromPrice(T11,U11,AG11,W11/100,X11/100,Y11/100)</f>
        <v>0.70267500000010208</v>
      </c>
      <c r="AI11" s="35">
        <f t="shared" ca="1" si="3"/>
        <v>1.0202949596305189E-13</v>
      </c>
      <c r="AJ11" s="40">
        <f ca="1">10000*_xll.meLWOBondFRNDiscountMarginFromPrice(T11,U11,AG11,W11/100,X11/100,Y11/100)</f>
        <v>101.3675000000102</v>
      </c>
      <c r="AK11" s="41">
        <f t="shared" ca="1" si="4"/>
        <v>1.8026424442041389E-6</v>
      </c>
    </row>
    <row r="12" spans="1:40" s="3" customFormat="1" x14ac:dyDescent="0.25">
      <c r="A12" s="3" t="str">
        <f ca="1">_xll.BDP($E12,A$3)</f>
        <v>AR7400369</v>
      </c>
      <c r="B12" s="12" t="str">
        <f ca="1">_xll.BDP($E12,B$3)</f>
        <v>EUR</v>
      </c>
      <c r="C12" s="12" t="str">
        <f ca="1">_xll.BDP($E12,C$3)</f>
        <v>GB</v>
      </c>
      <c r="D12" s="18" t="s">
        <v>223</v>
      </c>
      <c r="E12" s="3" t="str">
        <f t="shared" si="0"/>
        <v>XS1794195724 CORP</v>
      </c>
      <c r="F12" s="12">
        <f ca="1">_xll.BDP($E12,F$3)</f>
        <v>21</v>
      </c>
      <c r="G12" s="12" t="str">
        <f ca="1">_xll.BDP($E12,G$3)</f>
        <v>N</v>
      </c>
      <c r="H12" s="12" t="str">
        <f ca="1">_xll.BDP($E12,H$3)</f>
        <v>N</v>
      </c>
      <c r="I12" s="3" t="str">
        <f ca="1">_xll.BDP($E12,I$3)</f>
        <v>WPPLN F 03/20/22 EMTN</v>
      </c>
      <c r="J12" s="3" t="s">
        <v>28</v>
      </c>
      <c r="K12" s="3" t="str">
        <f ca="1">_xll.BDP($E12,K$3)</f>
        <v>20/03/2018</v>
      </c>
      <c r="L12" s="5">
        <f ca="1">DATEVALUE(_xll.BDP($E12,L$3))</f>
        <v>43454</v>
      </c>
      <c r="M12" s="17" t="str">
        <f t="shared" ca="1" si="5"/>
        <v/>
      </c>
      <c r="N12" s="3" t="str">
        <f ca="1">_xll.BDP($E12,N$3)</f>
        <v>20/03/2019</v>
      </c>
      <c r="O12" s="3" t="str">
        <f ca="1">_xll.BDP($E12,O$3)</f>
        <v>20/03/2022</v>
      </c>
      <c r="P12" s="2">
        <v>0</v>
      </c>
      <c r="Q12" s="24">
        <f ca="1">_xll.BDP($E12,Q$3)</f>
        <v>45</v>
      </c>
      <c r="R12" s="5">
        <f ca="1">DATEVALUE(_xll.BDP($E12,R$3))</f>
        <v>44640</v>
      </c>
      <c r="S12" s="3" t="str">
        <f ca="1">_xll.BDP($E12,S$3)</f>
        <v>CLEAN</v>
      </c>
      <c r="T12" s="3" t="str">
        <f ca="1">_xll.meLWOBondCreateFromGeneratorLVB(I12,D12,_xll.meUtilityLVBFromKeysValues($I$4:$R$4,I12:R12))</f>
        <v>WPPLN F 03/20/22 EMTN@262:14</v>
      </c>
      <c r="U12" s="23">
        <f t="shared" ca="1" si="1"/>
        <v>43454</v>
      </c>
      <c r="V12" s="8">
        <f ca="1">_xll.BDP($E12,V$3)</f>
        <v>95.367315182539599</v>
      </c>
      <c r="W12" s="8">
        <f ca="1">_xll.BDP($E12,W$3)</f>
        <v>-0.311</v>
      </c>
      <c r="X12" s="28">
        <f ca="1">_xll.BDP($E12,X$3)</f>
        <v>-0.311</v>
      </c>
      <c r="Y12" s="28">
        <f ca="1">_xll.BDP($E12,Y$3)</f>
        <v>0.13900000000000001</v>
      </c>
      <c r="Z12" s="24">
        <f ca="1">_xll.BDP($E12,Z$3)</f>
        <v>45</v>
      </c>
      <c r="AA12" s="35">
        <f ca="1">_xll.BDP($E12,AA$3)</f>
        <v>0.64267300000000005</v>
      </c>
      <c r="AB12" s="8">
        <f ca="1">_xll.BDP($E12,AB$3)</f>
        <v>98.382000000000005</v>
      </c>
      <c r="AC12" s="38">
        <f ca="1">ROUND(_xll.meLWOBondFRNPriceFromDiscountMargin(T12,U12,V12/10000,W12/100,X12/100,Y12/100),3)</f>
        <v>98.382000000000005</v>
      </c>
      <c r="AD12" s="8">
        <f ca="1">ABS(AC12-AB12)</f>
        <v>0</v>
      </c>
      <c r="AE12" s="8">
        <f t="shared" ca="1" si="6"/>
        <v>98.382000000000005</v>
      </c>
      <c r="AF12" s="8">
        <f ca="1">ABS(AE12-AB12)</f>
        <v>0</v>
      </c>
      <c r="AG12" s="35">
        <f ca="1">_xll.meLWOBondFRNPriceFromYield(T12,U12,AA12/100,W12/100,X12/100,Y12/100)</f>
        <v>98.382000717842615</v>
      </c>
      <c r="AH12" s="35">
        <f ca="1">100*_xll.meLWOBondFRNYieldFromPrice(T12,U12,AG12,W12/100,X12/100,Y12/100)</f>
        <v>0.64267299999997995</v>
      </c>
      <c r="AI12" s="35">
        <f t="shared" ca="1" si="3"/>
        <v>2.0095036745715333E-14</v>
      </c>
      <c r="AJ12" s="40">
        <f ca="1">10000*_xll.meLWOBondFRNDiscountMarginFromPrice(T12,U12,AG12,W12/100,X12/100,Y12/100)</f>
        <v>95.367299999997996</v>
      </c>
      <c r="AK12" s="41">
        <f t="shared" ca="1" si="4"/>
        <v>1.5182541602598576E-5</v>
      </c>
      <c r="AL12" s="8"/>
      <c r="AM12" s="8"/>
      <c r="AN12" s="8"/>
    </row>
    <row r="13" spans="1:40" x14ac:dyDescent="0.25">
      <c r="A13" s="3" t="str">
        <f ca="1">_xll.BDP($E13,A$3)</f>
        <v>AS1805546</v>
      </c>
      <c r="B13" s="12" t="str">
        <f ca="1">_xll.BDP($E13,B$3)</f>
        <v>EUR</v>
      </c>
      <c r="C13" s="12" t="str">
        <f ca="1">_xll.BDP($E13,C$3)</f>
        <v>SE</v>
      </c>
      <c r="D13" s="18" t="s">
        <v>218</v>
      </c>
      <c r="E13" s="3" t="str">
        <f t="shared" si="0"/>
        <v>XS1808497264 CORP</v>
      </c>
      <c r="F13" s="12">
        <f ca="1">_xll.BDP($E13,F$3)</f>
        <v>21</v>
      </c>
      <c r="G13" s="12" t="str">
        <f ca="1">_xll.BDP($E13,G$3)</f>
        <v>N</v>
      </c>
      <c r="H13" s="12" t="str">
        <f ca="1">_xll.BDP($E13,H$3)</f>
        <v>N</v>
      </c>
      <c r="I13" s="3" t="str">
        <f ca="1">_xll.BDP($E13,I$3)</f>
        <v>SCANIA F 10/19/20 EMTN</v>
      </c>
      <c r="J13" s="3" t="s">
        <v>29</v>
      </c>
      <c r="K13" s="3" t="str">
        <f ca="1">_xll.BDP($E13,K$3)</f>
        <v>19/04/2018</v>
      </c>
      <c r="L13" s="5">
        <f ca="1">DATEVALUE(_xll.BDP($E13,L$3))</f>
        <v>43392</v>
      </c>
      <c r="M13" s="17">
        <f t="shared" ca="1" si="5"/>
        <v>21</v>
      </c>
      <c r="N13" s="3" t="str">
        <f ca="1">_xll.BDP($E13,N$3)</f>
        <v>21/01/2019</v>
      </c>
      <c r="O13" s="3" t="str">
        <f ca="1">_xll.BDP($E13,O$3)</f>
        <v>19/10/2020</v>
      </c>
      <c r="P13" s="2">
        <v>0</v>
      </c>
      <c r="Q13" s="24">
        <f ca="1">_xll.BDP($E13,Q$3)</f>
        <v>40</v>
      </c>
      <c r="R13" s="5">
        <f ca="1">DATEVALUE(_xll.BDP($E13,R$3))</f>
        <v>44123</v>
      </c>
      <c r="S13" s="3" t="str">
        <f ca="1">_xll.BDP($E13,S$3)</f>
        <v>CLEAN</v>
      </c>
      <c r="T13" s="3" t="str">
        <f ca="1">_xll.meLWOBondCreateFromGeneratorLVB(I13,D13,_xll.meUtilityLVBFromKeysValues($I$4:$R$4,I13:R13))</f>
        <v>SCANIA F 10/19/20 EMTN@261:14</v>
      </c>
      <c r="U13" s="23">
        <f t="shared" ca="1" si="1"/>
        <v>43454</v>
      </c>
      <c r="V13" s="8">
        <f ca="1">_xll.BDP($E13,V$3)</f>
        <v>32.990746577989768</v>
      </c>
      <c r="W13" s="8">
        <f ca="1">_xll.BDP($E13,W$3)</f>
        <v>-0.311</v>
      </c>
      <c r="X13" s="28">
        <f ca="1">_xll.BDP($E13,X$3)</f>
        <v>-0.36680000000000001</v>
      </c>
      <c r="Y13" s="28">
        <f ca="1">_xll.BDP($E13,Y$3)</f>
        <v>8.2000000000000017E-2</v>
      </c>
      <c r="Z13" s="24">
        <f ca="1">_xll.BDP($E13,Z$3)</f>
        <v>40</v>
      </c>
      <c r="AA13" s="35">
        <f ca="1">_xll.BDP($E13,AA$3)</f>
        <v>1.8907E-2</v>
      </c>
      <c r="AB13" s="8">
        <f ca="1">_xll.BDP($E13,AB$3)</f>
        <v>100.13500000000001</v>
      </c>
      <c r="AC13" s="38">
        <f ca="1">ROUND(_xll.meLWOBondFRNPriceFromDiscountMargin(T13,U13,V13/10000,W13/100,X13/100,Y13/100),3)</f>
        <v>100.13500000000001</v>
      </c>
      <c r="AD13" s="8">
        <f t="shared" ca="1" si="2"/>
        <v>0</v>
      </c>
      <c r="AE13" s="8">
        <f t="shared" ca="1" si="6"/>
        <v>100.13500000000001</v>
      </c>
      <c r="AF13" s="8">
        <f t="shared" ca="1" si="7"/>
        <v>0</v>
      </c>
      <c r="AG13" s="35">
        <f ca="1">_xll.meLWOBondFRNPriceFromYield(T13,U13,AA13/100,W13/100,X13/100,Y13/100)</f>
        <v>100.13500086897398</v>
      </c>
      <c r="AH13" s="35">
        <f ca="1">100*_xll.meLWOBondFRNYieldFromPrice(T13,U13,AG13,W13/100,X13/100,Y13/100)</f>
        <v>1.8907000000119158E-2</v>
      </c>
      <c r="AI13" s="35">
        <f t="shared" ca="1" si="3"/>
        <v>1.1915815556484688E-13</v>
      </c>
      <c r="AJ13" s="40">
        <f ca="1">10000*_xll.meLWOBondFRNDiscountMarginFromPrice(T13,U13,AG13,W13/100,X13/100,Y13/100)</f>
        <v>32.99070000001192</v>
      </c>
      <c r="AK13" s="41">
        <f t="shared" ca="1" si="4"/>
        <v>4.6577977848016872E-5</v>
      </c>
    </row>
    <row r="14" spans="1:40" x14ac:dyDescent="0.25">
      <c r="A14" s="3" t="str">
        <f ca="1">_xll.BDP($E14,A$3)</f>
        <v>AO1138863</v>
      </c>
      <c r="B14" s="12" t="str">
        <f ca="1">_xll.BDP($E14,B$3)</f>
        <v>EUR</v>
      </c>
      <c r="C14" s="12" t="str">
        <f ca="1">_xll.BDP($E14,C$3)</f>
        <v>DE</v>
      </c>
      <c r="D14" s="18" t="s">
        <v>218</v>
      </c>
      <c r="E14" s="3" t="str">
        <f t="shared" si="0"/>
        <v>DE000A2GSCY9 CORP</v>
      </c>
      <c r="F14" s="12">
        <f ca="1">_xll.BDP($E14,F$3)</f>
        <v>21</v>
      </c>
      <c r="G14" s="12" t="str">
        <f ca="1">_xll.BDP($E14,G$3)</f>
        <v>N</v>
      </c>
      <c r="H14" s="12" t="str">
        <f ca="1">_xll.BDP($E14,H$3)</f>
        <v>N</v>
      </c>
      <c r="I14" s="3" t="str">
        <f ca="1">_xll.BDP($E14,I$3)</f>
        <v>DAIGR F 07/03/24 EMTN</v>
      </c>
      <c r="J14" s="3" t="s">
        <v>30</v>
      </c>
      <c r="K14" s="3" t="str">
        <f ca="1">_xll.BDP($E14,K$3)</f>
        <v>03/07/2017</v>
      </c>
      <c r="L14" s="5">
        <f ca="1">DATEVALUE(_xll.BDP($E14,L$3))</f>
        <v>43376</v>
      </c>
      <c r="M14" s="17" t="str">
        <f t="shared" ca="1" si="5"/>
        <v/>
      </c>
      <c r="N14" s="3" t="str">
        <f ca="1">_xll.BDP($E14,N$3)</f>
        <v>03/01/2019</v>
      </c>
      <c r="O14" s="3" t="str">
        <f ca="1">_xll.BDP($E14,O$3)</f>
        <v>03/07/2024</v>
      </c>
      <c r="P14" s="2">
        <v>0</v>
      </c>
      <c r="Q14" s="24">
        <f ca="1">_xll.BDP($E14,Q$3)</f>
        <v>45</v>
      </c>
      <c r="R14" s="5">
        <f ca="1">DATEVALUE(_xll.BDP($E14,R$3))</f>
        <v>45476</v>
      </c>
      <c r="S14" s="3" t="str">
        <f ca="1">_xll.BDP($E14,S$3)</f>
        <v>CLEAN</v>
      </c>
      <c r="T14" s="3" t="str">
        <f ca="1">_xll.meLWOBondCreateFromGeneratorLVB(I14,D14,_xll.meUtilityLVBFromKeysValues($I$4:$R$4,I14:R14))</f>
        <v>DAIGR F 07/03/24 EMTN@260:14</v>
      </c>
      <c r="U14" s="23">
        <f t="shared" ca="1" si="1"/>
        <v>43454</v>
      </c>
      <c r="V14" s="8">
        <f ca="1">_xll.BDP($E14,V$3)</f>
        <v>84.208897247536399</v>
      </c>
      <c r="W14" s="8">
        <f ca="1">_xll.BDP($E14,W$3)</f>
        <v>-0.311</v>
      </c>
      <c r="X14" s="28">
        <f ca="1">_xll.BDP($E14,X$3)</f>
        <v>-0.37526086956521737</v>
      </c>
      <c r="Y14" s="28">
        <f ca="1">_xll.BDP($E14,Y$3)</f>
        <v>0.13300000000000001</v>
      </c>
      <c r="Z14" s="24">
        <f ca="1">_xll.BDP($E14,Z$3)</f>
        <v>45</v>
      </c>
      <c r="AA14" s="35">
        <f ca="1">_xll.BDP($E14,AA$3)</f>
        <v>0.53108900000000003</v>
      </c>
      <c r="AB14" s="8">
        <f ca="1">_xll.BDP($E14,AB$3)</f>
        <v>97.832999999999998</v>
      </c>
      <c r="AC14" s="38">
        <f ca="1">ROUND(_xll.meLWOBondFRNPriceFromDiscountMargin(T14,U14,V14/10000,W14/100,X14/100,Y14/100),3)</f>
        <v>97.832999999999998</v>
      </c>
      <c r="AD14" s="8">
        <f t="shared" ca="1" si="2"/>
        <v>0</v>
      </c>
      <c r="AE14" s="8">
        <f t="shared" ca="1" si="6"/>
        <v>97.832999999999998</v>
      </c>
      <c r="AF14" s="8">
        <f t="shared" ca="1" si="7"/>
        <v>0</v>
      </c>
      <c r="AG14" s="35">
        <f ca="1">_xll.meLWOBondFRNPriceFromYield(T14,U14,AA14/100,W14/100,X14/100,Y14/100)</f>
        <v>97.832999849482022</v>
      </c>
      <c r="AH14" s="35">
        <f ca="1">100*_xll.meLWOBondFRNYieldFromPrice(T14,U14,AG14,W14/100,X14/100,Y14/100)</f>
        <v>0.53108900000002524</v>
      </c>
      <c r="AI14" s="35">
        <f t="shared" ca="1" si="3"/>
        <v>2.5202062658991053E-14</v>
      </c>
      <c r="AJ14" s="40">
        <f ca="1">10000*_xll.meLWOBondFRNDiscountMarginFromPrice(T14,U14,AG14,W14/100,X14/100,Y14/100)</f>
        <v>84.208900000002515</v>
      </c>
      <c r="AK14" s="41">
        <f t="shared" ca="1" si="4"/>
        <v>2.7524661163624842E-6</v>
      </c>
    </row>
    <row r="15" spans="1:40" s="3" customFormat="1" x14ac:dyDescent="0.25">
      <c r="A15" s="3" t="str">
        <f ca="1">_xll.BDP($E15,A$3)</f>
        <v>913017CT4</v>
      </c>
      <c r="B15" s="12" t="str">
        <f ca="1">_xll.BDP($E15,B$3)</f>
        <v>EUR</v>
      </c>
      <c r="C15" s="12" t="str">
        <f ca="1">_xll.BDP($E15,C$3)</f>
        <v>US</v>
      </c>
      <c r="D15" s="18" t="s">
        <v>216</v>
      </c>
      <c r="E15" s="3" t="str">
        <f t="shared" si="0"/>
        <v>XS1822301039 CORP</v>
      </c>
      <c r="F15" s="12">
        <f ca="1">_xll.BDP($E15,F$3)</f>
        <v>21</v>
      </c>
      <c r="G15" s="12" t="str">
        <f ca="1">_xll.BDP($E15,G$3)</f>
        <v>N</v>
      </c>
      <c r="H15" s="12" t="str">
        <f ca="1">_xll.BDP($E15,H$3)</f>
        <v>N</v>
      </c>
      <c r="I15" s="3" t="str">
        <f ca="1">_xll.BDP($E15,I$3)</f>
        <v>UTX F 05/18/20</v>
      </c>
      <c r="J15" s="3" t="s">
        <v>31</v>
      </c>
      <c r="K15" s="3" t="str">
        <f ca="1">_xll.BDP($E15,K$3)</f>
        <v>18/05/2018</v>
      </c>
      <c r="L15" s="5">
        <f ca="1">DATEVALUE(_xll.BDP($E15,L$3))</f>
        <v>43423</v>
      </c>
      <c r="M15" s="17"/>
      <c r="N15" s="3" t="str">
        <f ca="1">_xll.BDP($E15,N$3)</f>
        <v>18/02/2019</v>
      </c>
      <c r="O15" s="3" t="str">
        <f ca="1">_xll.BDP($E15,O$3)</f>
        <v>18/05/2020</v>
      </c>
      <c r="P15" s="2">
        <v>0</v>
      </c>
      <c r="Q15" s="24">
        <f ca="1">_xll.BDP($E15,Q$3)</f>
        <v>20</v>
      </c>
      <c r="R15" s="5">
        <f ca="1">DATEVALUE(_xll.BDP($E15,R$3))</f>
        <v>43969</v>
      </c>
      <c r="S15" s="3" t="str">
        <f ca="1">_xll.BDP($E15,S$3)</f>
        <v>CLEAN</v>
      </c>
      <c r="T15" s="3" t="str">
        <f ca="1">_xll.meLWOBondCreateFromGeneratorLVB(I15,D15,_xll.meUtilityLVBFromKeysValues($I$4:$R$4,I15:R15))</f>
        <v>UTX F 05/18/20@259:14</v>
      </c>
      <c r="U15" s="23">
        <f t="shared" ca="1" si="1"/>
        <v>43454</v>
      </c>
      <c r="V15" s="8">
        <f ca="1">_xll.BDP($E15,V$3)</f>
        <v>34.178704170767141</v>
      </c>
      <c r="W15" s="8">
        <f ca="1">_xll.BDP($E15,W$3)</f>
        <v>-0.311</v>
      </c>
      <c r="X15" s="28">
        <f ca="1">_xll.BDP($E15,X$3)</f>
        <v>-0.33600000000000002</v>
      </c>
      <c r="Y15" s="28">
        <f ca="1">_xll.BDP($E15,Y$3)</f>
        <v>0</v>
      </c>
      <c r="Z15" s="24">
        <f ca="1">_xll.BDP($E15,Z$3)</f>
        <v>20</v>
      </c>
      <c r="AA15" s="35">
        <f ca="1">_xll.BDP($E15,AA$3)</f>
        <v>3.0786999999999998E-2</v>
      </c>
      <c r="AB15" s="8">
        <f ca="1">_xll.BDP($E15,AB$3)</f>
        <v>99.96</v>
      </c>
      <c r="AC15" s="38">
        <f ca="1">ROUND(_xll.meLWOBondFRNPriceFromDiscountMargin(T15,U15,V15/10000,W15/100,X15/100,Y15/100),3)</f>
        <v>99.96</v>
      </c>
      <c r="AD15" s="8">
        <f t="shared" ca="1" si="2"/>
        <v>0</v>
      </c>
      <c r="AE15" s="8">
        <f t="shared" ca="1" si="6"/>
        <v>99.96</v>
      </c>
      <c r="AF15" s="8">
        <f t="shared" ca="1" si="7"/>
        <v>0</v>
      </c>
      <c r="AG15" s="35">
        <f ca="1">_xll.meLWOBondFRNPriceFromYield(T15,U15,AA15/100,W15/100,X15/100,Y15/100)</f>
        <v>99.960000059837512</v>
      </c>
      <c r="AH15" s="35">
        <f ca="1">100*_xll.meLWOBondFRNYieldFromPrice(T15,U15,AG15,W15/100,X15/100,Y15/100)</f>
        <v>3.0787000000047398E-2</v>
      </c>
      <c r="AI15" s="35">
        <f t="shared" ca="1" si="3"/>
        <v>4.7399584257590277E-14</v>
      </c>
      <c r="AJ15" s="40">
        <f ca="1">10000*_xll.meLWOBondFRNDiscountMarginFromPrice(T15,U15,AG15,W15/100,X15/100,Y15/100)</f>
        <v>34.178700000004739</v>
      </c>
      <c r="AK15" s="41">
        <f t="shared" ca="1" si="4"/>
        <v>4.1707624021114498E-6</v>
      </c>
      <c r="AL15" s="8"/>
      <c r="AM15" s="8"/>
      <c r="AN15" s="8"/>
    </row>
    <row r="16" spans="1:40" x14ac:dyDescent="0.25">
      <c r="A16" s="3" t="str">
        <f ca="1">_xll.BDP($E16,A$3)</f>
        <v>JK6826917</v>
      </c>
      <c r="B16" s="12" t="str">
        <f ca="1">_xll.BDP($E16,B$3)</f>
        <v>EUR</v>
      </c>
      <c r="C16" s="12" t="str">
        <f ca="1">_xll.BDP($E16,C$3)</f>
        <v>US</v>
      </c>
      <c r="D16" s="18" t="s">
        <v>218</v>
      </c>
      <c r="E16" s="3" t="str">
        <f t="shared" si="0"/>
        <v>XS1398275112 CORP</v>
      </c>
      <c r="F16" s="12">
        <f ca="1">_xll.BDP($E16,F$3)</f>
        <v>21</v>
      </c>
      <c r="G16" s="12" t="str">
        <f ca="1">_xll.BDP($E16,G$3)</f>
        <v>N</v>
      </c>
      <c r="H16" s="12" t="str">
        <f ca="1">_xll.BDP($E16,H$3)</f>
        <v>N</v>
      </c>
      <c r="I16" s="3" t="str">
        <f ca="1">_xll.BDP($E16,I$3)</f>
        <v>DE F 04/21/20 EMTN</v>
      </c>
      <c r="J16" s="3" t="s">
        <v>32</v>
      </c>
      <c r="K16" s="3" t="str">
        <f ca="1">_xll.BDP($E16,K$3)</f>
        <v>21/04/2016</v>
      </c>
      <c r="L16" s="5">
        <f ca="1">DATEVALUE(_xll.BDP($E16,L$3))</f>
        <v>43395</v>
      </c>
      <c r="M16" s="17">
        <f t="shared" ca="1" si="5"/>
        <v>22</v>
      </c>
      <c r="N16" s="3" t="str">
        <f ca="1">_xll.BDP($E16,N$3)</f>
        <v>22/01/2019</v>
      </c>
      <c r="O16" s="3" t="str">
        <f ca="1">_xll.BDP($E16,O$3)</f>
        <v>21/04/2020</v>
      </c>
      <c r="P16" s="2">
        <v>0</v>
      </c>
      <c r="Q16" s="24">
        <f ca="1">_xll.BDP($E16,Q$3)</f>
        <v>35</v>
      </c>
      <c r="R16" s="5">
        <f ca="1">DATEVALUE(_xll.BDP($E16,R$3))</f>
        <v>43942</v>
      </c>
      <c r="S16" s="3" t="str">
        <f ca="1">_xll.BDP($E16,S$3)</f>
        <v>CLEAN</v>
      </c>
      <c r="T16" s="3" t="str">
        <f ca="1">_xll.meLWOBondCreateFromGeneratorLVB(I16,D16,_xll.meUtilityLVBFromKeysValues($I$4:$R$4,I16:R16))</f>
        <v>DE F 04/21/20 EMTN@258:14</v>
      </c>
      <c r="U16" s="23">
        <f t="shared" ca="1" si="1"/>
        <v>43454</v>
      </c>
      <c r="V16" s="8">
        <f ca="1">_xll.BDP($E16,V$3)</f>
        <v>12.127321148225009</v>
      </c>
      <c r="W16" s="8">
        <f ca="1">_xll.BDP($E16,W$3)</f>
        <v>-0.311</v>
      </c>
      <c r="X16" s="28">
        <f ca="1">_xll.BDP($E16,X$3)</f>
        <v>-0.36570000000000003</v>
      </c>
      <c r="Y16" s="28">
        <f ca="1">_xll.BDP($E16,Y$3)</f>
        <v>3.3000000000000002E-2</v>
      </c>
      <c r="Z16" s="24">
        <f ca="1">_xll.BDP($E16,Z$3)</f>
        <v>35</v>
      </c>
      <c r="AA16" s="35">
        <f ca="1">_xll.BDP($E16,AA$3)</f>
        <v>-0.18972700000000001</v>
      </c>
      <c r="AB16" s="8">
        <f ca="1">_xll.BDP($E16,AB$3)</f>
        <v>100.316</v>
      </c>
      <c r="AC16" s="38">
        <f ca="1">ROUND(_xll.meLWOBondFRNPriceFromDiscountMargin(T16,U16,V16/10000,W16/100,X16/100,Y16/100),3)</f>
        <v>100.316</v>
      </c>
      <c r="AD16" s="8">
        <f t="shared" ca="1" si="2"/>
        <v>0</v>
      </c>
      <c r="AE16" s="8">
        <f t="shared" ca="1" si="6"/>
        <v>100.316</v>
      </c>
      <c r="AF16" s="8">
        <f t="shared" ca="1" si="7"/>
        <v>0</v>
      </c>
      <c r="AG16" s="35">
        <f ca="1">_xll.meLWOBondFRNPriceFromYield(T16,U16,AA16/100,W16/100,X16/100,Y16/100)</f>
        <v>100.31600033295011</v>
      </c>
      <c r="AH16" s="35">
        <f ca="1">100*_xll.meLWOBondFRNYieldFromPrice(T16,U16,AG16,W16/100,X16/100,Y16/100)</f>
        <v>-0.18972699999993936</v>
      </c>
      <c r="AI16" s="35">
        <f t="shared" ca="1" si="3"/>
        <v>6.0645932720149176E-14</v>
      </c>
      <c r="AJ16" s="40">
        <f ca="1">10000*_xll.meLWOBondFRNDiscountMarginFromPrice(T16,U16,AG16,W16/100,X16/100,Y16/100)</f>
        <v>12.127300000006063</v>
      </c>
      <c r="AK16" s="41">
        <f t="shared" ca="1" si="4"/>
        <v>2.1148218946720476E-5</v>
      </c>
    </row>
    <row r="17" spans="1:37" x14ac:dyDescent="0.25">
      <c r="A17" s="3" t="str">
        <f ca="1">_xll.BDP($E17,A$3)</f>
        <v>AQ1295890</v>
      </c>
      <c r="B17" s="12" t="str">
        <f ca="1">_xll.BDP($E17,B$3)</f>
        <v>EUR</v>
      </c>
      <c r="C17" s="12" t="str">
        <f ca="1">_xll.BDP($E17,C$3)</f>
        <v>SE</v>
      </c>
      <c r="D17" s="18" t="s">
        <v>218</v>
      </c>
      <c r="E17" s="3" t="str">
        <f t="shared" si="0"/>
        <v>XS1725668633 CORP</v>
      </c>
      <c r="F17" s="12">
        <f ca="1">_xll.BDP($E17,F$3)</f>
        <v>21</v>
      </c>
      <c r="G17" s="12" t="str">
        <f ca="1">_xll.BDP($E17,G$3)</f>
        <v>N</v>
      </c>
      <c r="H17" s="12" t="str">
        <f ca="1">_xll.BDP($E17,H$3)</f>
        <v>N</v>
      </c>
      <c r="I17" s="3" t="str">
        <f ca="1">_xll.BDP($E17,I$3)</f>
        <v>VLVY F 11/28/19 EMTN</v>
      </c>
      <c r="J17" s="3" t="s">
        <v>33</v>
      </c>
      <c r="K17" s="3" t="str">
        <f ca="1">_xll.BDP($E17,K$3)</f>
        <v>28/11/2017</v>
      </c>
      <c r="L17" s="5">
        <f ca="1">DATEVALUE(_xll.BDP($E17,L$3))</f>
        <v>43432</v>
      </c>
      <c r="M17" s="17" t="str">
        <f t="shared" ca="1" si="5"/>
        <v/>
      </c>
      <c r="N17" s="3" t="str">
        <f ca="1">_xll.BDP($E17,N$3)</f>
        <v>28/02/2019</v>
      </c>
      <c r="O17" s="3" t="str">
        <f ca="1">_xll.BDP($E17,O$3)</f>
        <v>28/11/2019</v>
      </c>
      <c r="P17" s="2">
        <v>0</v>
      </c>
      <c r="Q17" s="24">
        <f ca="1">_xll.BDP($E17,Q$3)</f>
        <v>45</v>
      </c>
      <c r="R17" s="5">
        <f ca="1">DATEVALUE(_xll.BDP($E17,R$3))</f>
        <v>43797</v>
      </c>
      <c r="S17" s="3" t="str">
        <f ca="1">_xll.BDP($E17,S$3)</f>
        <v>CLEAN</v>
      </c>
      <c r="T17" s="3" t="str">
        <f ca="1">_xll.meLWOBondCreateFromGeneratorLVB(I17,D17,_xll.meUtilityLVBFromKeysValues($I$4:$R$4,I17:R17))</f>
        <v>VLVY F 11/28/19 EMTN@257:14</v>
      </c>
      <c r="U17" s="23">
        <f t="shared" ca="1" si="1"/>
        <v>43454</v>
      </c>
      <c r="V17" s="8">
        <f ca="1">_xll.BDP($E17,V$3)</f>
        <v>-36.489136725420614</v>
      </c>
      <c r="W17" s="8">
        <f ca="1">_xll.BDP($E17,W$3)</f>
        <v>-0.311</v>
      </c>
      <c r="X17" s="28">
        <f ca="1">_xll.BDP($E17,X$3)</f>
        <v>-0.32766666666666666</v>
      </c>
      <c r="Y17" s="28">
        <f ca="1">_xll.BDP($E17,Y$3)</f>
        <v>0.13400000000000001</v>
      </c>
      <c r="Z17" s="24">
        <f ca="1">_xll.BDP($E17,Z$3)</f>
        <v>45</v>
      </c>
      <c r="AA17" s="35">
        <f ca="1">_xll.BDP($E17,AA$3)</f>
        <v>-0.67589100000000002</v>
      </c>
      <c r="AB17" s="8">
        <f ca="1">_xll.BDP($E17,AB$3)</f>
        <v>100.78400000000001</v>
      </c>
      <c r="AC17" s="38">
        <f ca="1">ROUND(_xll.meLWOBondFRNPriceFromDiscountMargin(T17,U17,V17/10000,W17/100,X17/100,Y17/100),3)</f>
        <v>100.78400000000001</v>
      </c>
      <c r="AD17" s="8">
        <f t="shared" ca="1" si="2"/>
        <v>0</v>
      </c>
      <c r="AE17" s="8">
        <f t="shared" ca="1" si="6"/>
        <v>100.78400000000001</v>
      </c>
      <c r="AF17" s="8">
        <f t="shared" ca="1" si="7"/>
        <v>0</v>
      </c>
      <c r="AG17" s="35">
        <f ca="1">_xll.meLWOBondFRNPriceFromYield(T17,U17,AA17/100,W17/100,X17/100,Y17/100)</f>
        <v>100.7839996459662</v>
      </c>
      <c r="AH17" s="35">
        <f ca="1">100*_xll.meLWOBondFRNYieldFromPrice(T17,U17,AG17,W17/100,X17/100,Y17/100)</f>
        <v>-0.67589099999986146</v>
      </c>
      <c r="AI17" s="35">
        <f t="shared" ca="1" si="3"/>
        <v>1.3855583347321954E-13</v>
      </c>
      <c r="AJ17" s="40">
        <f ca="1">10000*_xll.meLWOBondFRNDiscountMarginFromPrice(T17,U17,AG17,W17/100,X17/100,Y17/100)</f>
        <v>-36.489099999986145</v>
      </c>
      <c r="AK17" s="41">
        <f t="shared" ca="1" si="4"/>
        <v>3.6725434469531137E-5</v>
      </c>
    </row>
    <row r="18" spans="1:37" x14ac:dyDescent="0.25">
      <c r="A18" s="3" t="str">
        <f ca="1">_xll.BDP($E18,A$3)</f>
        <v>UV8435652</v>
      </c>
      <c r="B18" s="12" t="str">
        <f ca="1">_xll.BDP($E18,B$3)</f>
        <v>EUR</v>
      </c>
      <c r="C18" s="12" t="str">
        <f ca="1">_xll.BDP($E18,C$3)</f>
        <v>NL</v>
      </c>
      <c r="D18" s="18" t="s">
        <v>218</v>
      </c>
      <c r="E18" s="3" t="str">
        <f t="shared" si="0"/>
        <v>XS1292468987 CORP</v>
      </c>
      <c r="F18" s="12">
        <f ca="1">_xll.BDP($E18,F$3)</f>
        <v>21</v>
      </c>
      <c r="G18" s="12" t="str">
        <f ca="1">_xll.BDP($E18,G$3)</f>
        <v>N</v>
      </c>
      <c r="H18" s="12" t="str">
        <f ca="1">_xll.BDP($E18,H$3)</f>
        <v>N</v>
      </c>
      <c r="I18" s="3" t="str">
        <f ca="1">_xll.BDP($E18,I$3)</f>
        <v>RDSALN F 09/15/19 EMTN</v>
      </c>
      <c r="J18" s="3" t="s">
        <v>34</v>
      </c>
      <c r="K18" s="3" t="str">
        <f ca="1">_xll.BDP($E18,K$3)</f>
        <v>15/09/2015</v>
      </c>
      <c r="L18" s="5">
        <f ca="1">DATEVALUE(_xll.BDP($E18,L$3))</f>
        <v>43451</v>
      </c>
      <c r="M18" s="17" t="str">
        <f t="shared" ca="1" si="5"/>
        <v/>
      </c>
      <c r="N18" s="3" t="str">
        <f ca="1">_xll.BDP($E18,N$3)</f>
        <v>15/03/2019</v>
      </c>
      <c r="O18" s="3" t="str">
        <f ca="1">_xll.BDP($E18,O$3)</f>
        <v>15/09/2019</v>
      </c>
      <c r="P18" s="2">
        <v>0</v>
      </c>
      <c r="Q18" s="24">
        <f ca="1">_xll.BDP($E18,Q$3)</f>
        <v>40</v>
      </c>
      <c r="R18" s="5">
        <f ca="1">DATEVALUE(_xll.BDP($E18,R$3))</f>
        <v>43723</v>
      </c>
      <c r="S18" s="3" t="str">
        <f ca="1">_xll.BDP($E18,S$3)</f>
        <v>CLEAN</v>
      </c>
      <c r="T18" s="3" t="str">
        <f ca="1">_xll.meLWOBondCreateFromGeneratorLVB(I18,D18,_xll.meUtilityLVBFromKeysValues($I$4:$R$4,I18:R18))</f>
        <v>RDSALN F 09/15/19 EMTN@256:14</v>
      </c>
      <c r="U18" s="23">
        <f t="shared" ca="1" si="1"/>
        <v>43454</v>
      </c>
      <c r="V18" s="8">
        <f ca="1">_xll.BDP($E18,V$3)</f>
        <v>3.0576963967030748</v>
      </c>
      <c r="W18" s="8">
        <f ca="1">_xll.BDP($E18,W$3)</f>
        <v>-0.311</v>
      </c>
      <c r="X18" s="28">
        <f ca="1">_xll.BDP($E18,X$3)</f>
        <v>-0.31516666666666665</v>
      </c>
      <c r="Y18" s="28">
        <f ca="1">_xll.BDP($E18,Y$3)</f>
        <v>8.8999999999999996E-2</v>
      </c>
      <c r="Z18" s="24">
        <f ca="1">_xll.BDP($E18,Z$3)</f>
        <v>40</v>
      </c>
      <c r="AA18" s="35">
        <f ca="1">_xll.BDP($E18,AA$3)</f>
        <v>-0.28042299999999998</v>
      </c>
      <c r="AB18" s="8">
        <f ca="1">_xll.BDP($E18,AB$3)</f>
        <v>100.276</v>
      </c>
      <c r="AC18" s="38">
        <f ca="1">ROUND(_xll.meLWOBondFRNPriceFromDiscountMargin(T18,U18,V18/10000,W18/100,X18/100,Y18/100),3)</f>
        <v>100.276</v>
      </c>
      <c r="AD18" s="8">
        <f t="shared" ca="1" si="2"/>
        <v>0</v>
      </c>
      <c r="AE18" s="8">
        <f t="shared" ca="1" si="6"/>
        <v>100.276</v>
      </c>
      <c r="AF18" s="8">
        <f t="shared" ca="1" si="7"/>
        <v>0</v>
      </c>
      <c r="AG18" s="35">
        <f ca="1">_xll.meLWOBondFRNPriceFromYield(T18,U18,AA18/100,W18/100,X18/100,Y18/100)</f>
        <v>100.27599997312606</v>
      </c>
      <c r="AH18" s="35">
        <f ca="1">100*_xll.meLWOBondFRNYieldFromPrice(T18,U18,AG18,W18/100,X18/100,Y18/100)</f>
        <v>-0.28042300000003967</v>
      </c>
      <c r="AI18" s="35">
        <f t="shared" ca="1" si="3"/>
        <v>3.9690473130349346E-14</v>
      </c>
      <c r="AJ18" s="40">
        <f ca="1">10000*_xll.meLWOBondFRNDiscountMarginFromPrice(T18,U18,AG18,W18/100,X18/100,Y18/100)</f>
        <v>3.0576999999960308</v>
      </c>
      <c r="AK18" s="41">
        <f t="shared" ca="1" si="4"/>
        <v>3.6032929560114724E-6</v>
      </c>
    </row>
    <row r="19" spans="1:37" x14ac:dyDescent="0.25">
      <c r="A19" s="3" t="str">
        <f ca="1">_xll.BDP($E19,A$3)</f>
        <v>AO8926294</v>
      </c>
      <c r="B19" s="12" t="str">
        <f ca="1">_xll.BDP($E19,B$3)</f>
        <v>EUR</v>
      </c>
      <c r="C19" s="12" t="str">
        <f ca="1">_xll.BDP($E19,C$3)</f>
        <v>NL</v>
      </c>
      <c r="D19" s="18" t="s">
        <v>218</v>
      </c>
      <c r="E19" s="3" t="str">
        <f t="shared" si="0"/>
        <v>XS1671754650 CORP</v>
      </c>
      <c r="F19" s="12">
        <f ca="1">_xll.BDP($E19,F$3)</f>
        <v>21</v>
      </c>
      <c r="G19" s="12" t="str">
        <f ca="1">_xll.BDP($E19,G$3)</f>
        <v>N</v>
      </c>
      <c r="H19" s="12" t="str">
        <f ca="1">_xll.BDP($E19,H$3)</f>
        <v>N</v>
      </c>
      <c r="I19" s="3" t="str">
        <f ca="1">_xll.BDP($E19,I$3)</f>
        <v>PHIANA F 09/06/19</v>
      </c>
      <c r="J19" s="3" t="s">
        <v>35</v>
      </c>
      <c r="K19" s="3" t="str">
        <f ca="1">_xll.BDP($E19,K$3)</f>
        <v>06/09/2017</v>
      </c>
      <c r="L19" s="5">
        <f ca="1">DATEVALUE(_xll.BDP($E19,L$3))</f>
        <v>43440</v>
      </c>
      <c r="M19" s="17" t="str">
        <f t="shared" ca="1" si="5"/>
        <v/>
      </c>
      <c r="N19" s="3" t="str">
        <f ca="1">_xll.BDP($E19,N$3)</f>
        <v>06/03/2019</v>
      </c>
      <c r="O19" s="3" t="str">
        <f ca="1">_xll.BDP($E19,O$3)</f>
        <v>06/09/2019</v>
      </c>
      <c r="P19" s="2">
        <v>0</v>
      </c>
      <c r="Q19" s="24">
        <f ca="1">_xll.BDP($E19,Q$3)</f>
        <v>20</v>
      </c>
      <c r="R19" s="5">
        <f ca="1">DATEVALUE(_xll.BDP($E19,R$3))</f>
        <v>43714</v>
      </c>
      <c r="S19" s="3" t="str">
        <f ca="1">_xll.BDP($E19,S$3)</f>
        <v>CLEAN</v>
      </c>
      <c r="T19" s="3" t="str">
        <f ca="1">_xll.meLWOBondCreateFromGeneratorLVB(I19,D19,_xll.meUtilityLVBFromKeysValues($I$4:$R$4,I19:R19))</f>
        <v>PHIANA F 09/06/19@255:14</v>
      </c>
      <c r="U19" s="23">
        <f t="shared" ca="1" si="1"/>
        <v>43454</v>
      </c>
      <c r="V19" s="8">
        <f ca="1">_xll.BDP($E19,V$3)</f>
        <v>7.2505214014324553</v>
      </c>
      <c r="W19" s="8">
        <f ca="1">_xll.BDP($E19,W$3)</f>
        <v>-0.311</v>
      </c>
      <c r="X19" s="28">
        <f ca="1">_xll.BDP($E19,X$3)</f>
        <v>-0.32266666666666666</v>
      </c>
      <c r="Y19" s="28">
        <f ca="1">_xll.BDP($E19,Y$3)</f>
        <v>0</v>
      </c>
      <c r="Z19" s="24">
        <f ca="1">_xll.BDP($E19,Z$3)</f>
        <v>20</v>
      </c>
      <c r="AA19" s="35">
        <f ca="1">_xll.BDP($E19,AA$3)</f>
        <v>-0.23849500000000001</v>
      </c>
      <c r="AB19" s="8">
        <f ca="1">_xll.BDP($E19,AB$3)</f>
        <v>100.17400000000001</v>
      </c>
      <c r="AC19" s="38">
        <f ca="1">ROUND(_xll.meLWOBondFRNPriceFromDiscountMargin(T19,U19,V19/10000,W19/100,X19/100,Y19/100),3)</f>
        <v>100.17400000000001</v>
      </c>
      <c r="AD19" s="8">
        <f t="shared" ca="1" si="2"/>
        <v>0</v>
      </c>
      <c r="AE19" s="8">
        <f t="shared" ca="1" si="6"/>
        <v>100.17400000000001</v>
      </c>
      <c r="AF19" s="8">
        <f t="shared" ca="1" si="7"/>
        <v>0</v>
      </c>
      <c r="AG19" s="35">
        <f ca="1">_xll.meLWOBondFRNPriceFromYield(T19,U19,AA19/100,W19/100,X19/100,Y19/100)</f>
        <v>100.17400019793411</v>
      </c>
      <c r="AH19" s="35">
        <f ca="1">100*_xll.meLWOBondFRNYieldFromPrice(T19,U19,AG19,W19/100,X19/100,Y19/100)</f>
        <v>-0.23849499999998117</v>
      </c>
      <c r="AI19" s="35">
        <f t="shared" ca="1" si="3"/>
        <v>1.8846035843012032E-14</v>
      </c>
      <c r="AJ19" s="40">
        <f ca="1">10000*_xll.meLWOBondFRNDiscountMarginFromPrice(T19,U19,AG19,W19/100,X19/100,Y19/100)</f>
        <v>7.2505000000018827</v>
      </c>
      <c r="AK19" s="41">
        <f t="shared" ca="1" si="4"/>
        <v>2.140143057260957E-5</v>
      </c>
    </row>
    <row r="20" spans="1:37" x14ac:dyDescent="0.25">
      <c r="A20" s="3" t="str">
        <f ca="1">_xll.BDP($E20,A$3)</f>
        <v>AN6298011</v>
      </c>
      <c r="B20" s="12" t="str">
        <f ca="1">_xll.BDP($E20,B$3)</f>
        <v>EUR</v>
      </c>
      <c r="C20" s="12" t="str">
        <f ca="1">_xll.BDP($E20,C$3)</f>
        <v>FR</v>
      </c>
      <c r="D20" s="18" t="s">
        <v>216</v>
      </c>
      <c r="E20" s="3" t="str">
        <f t="shared" si="0"/>
        <v>FR0013257599 CORP</v>
      </c>
      <c r="F20" s="12">
        <f ca="1">_xll.BDP($E20,F$3)</f>
        <v>21</v>
      </c>
      <c r="G20" s="12" t="str">
        <f ca="1">_xll.BDP($E20,G$3)</f>
        <v>N</v>
      </c>
      <c r="H20" s="12" t="str">
        <f ca="1">_xll.BDP($E20,H$3)</f>
        <v>N</v>
      </c>
      <c r="I20" s="3" t="str">
        <f ca="1">_xll.BDP($E20,I$3)</f>
        <v>MCFP F 11/26/18 EMTN</v>
      </c>
      <c r="J20" s="3" t="s">
        <v>36</v>
      </c>
      <c r="K20" s="3" t="str">
        <f ca="1">_xll.BDP($E20,K$3)</f>
        <v>26/05/2017</v>
      </c>
      <c r="L20" s="5">
        <f ca="1">DATEVALUE(_xll.BDP($E20,L$3))</f>
        <v>43339</v>
      </c>
      <c r="M20" s="17" t="e">
        <f t="shared" ca="1" si="5"/>
        <v>#VALUE!</v>
      </c>
      <c r="N20" s="3" t="str">
        <f ca="1">_xll.BDP($E20,N$3)</f>
        <v>#N/A Field Not Applicable</v>
      </c>
      <c r="O20" s="3" t="str">
        <f ca="1">_xll.BDP($E20,O$3)</f>
        <v>26/11/2018</v>
      </c>
      <c r="P20" s="2">
        <v>0</v>
      </c>
      <c r="Q20" s="24">
        <f ca="1">_xll.BDP($E20,Q$3)</f>
        <v>10</v>
      </c>
      <c r="R20" s="5">
        <f ca="1">DATEVALUE(_xll.BDP($E20,R$3))</f>
        <v>43430</v>
      </c>
      <c r="S20" s="3" t="str">
        <f ca="1">_xll.BDP($E20,S$3)</f>
        <v>CLEAN</v>
      </c>
      <c r="T20" s="3" t="str">
        <f ca="1">_xll.meLWOBondCreateFromGeneratorLVB(I20,D20,_xll.meUtilityLVBFromKeysValues($I$4:$R$4,I20:R20))</f>
        <v>#Error: Key #ERROR: KEYS AND VALUES ARE NOT THE SAME SIZE. is not an expected key.</v>
      </c>
      <c r="U20" s="23">
        <f t="shared" ca="1" si="1"/>
        <v>43454</v>
      </c>
      <c r="V20" s="8" t="str">
        <f ca="1">_xll.BDP($E20,V$3)</f>
        <v>#N/A N/A</v>
      </c>
      <c r="W20" s="8" t="str">
        <f ca="1">_xll.BDP($E20,W$3)</f>
        <v>#N/A N/A</v>
      </c>
      <c r="X20" s="28" t="str">
        <f ca="1">_xll.BDP($E20,X$3)</f>
        <v>#N/A N/A</v>
      </c>
      <c r="Y20" s="28">
        <f ca="1">_xll.BDP($E20,Y$3)</f>
        <v>0</v>
      </c>
      <c r="Z20" s="24">
        <f ca="1">_xll.BDP($E20,Z$3)</f>
        <v>10</v>
      </c>
      <c r="AA20" s="35" t="str">
        <f ca="1">_xll.BDP($E20,AA$3)</f>
        <v>#N/A N/A</v>
      </c>
      <c r="AB20" s="8" t="str">
        <f ca="1">_xll.BDP($E20,AB$3)</f>
        <v>#N/A N/A</v>
      </c>
      <c r="AC20" s="38" t="e">
        <f ca="1">ROUND(_xll.meLWOBondFRNPriceFromDiscountMargin(T20,U20,V20/10000,W20/100,X20/100,Y20/100),3)</f>
        <v>#VALUE!</v>
      </c>
      <c r="AD20" s="8" t="e">
        <f t="shared" ca="1" si="2"/>
        <v>#VALUE!</v>
      </c>
      <c r="AE20" s="8" t="e">
        <f t="shared" ca="1" si="6"/>
        <v>#VALUE!</v>
      </c>
      <c r="AF20" s="8" t="e">
        <f t="shared" ca="1" si="7"/>
        <v>#VALUE!</v>
      </c>
      <c r="AG20" s="35" t="e">
        <f ca="1">_xll.meLWOBondFRNPriceFromYield(T20,U20,AA20/100,W20/100,X20/100,Y20/100)</f>
        <v>#VALUE!</v>
      </c>
      <c r="AH20" s="35" t="e">
        <f ca="1">100*_xll.meLWOBondFRNYieldFromPrice(T20,U20,AG20,W20/100,X20/100,Y20/100)</f>
        <v>#VALUE!</v>
      </c>
      <c r="AI20" s="35" t="e">
        <f t="shared" ca="1" si="3"/>
        <v>#VALUE!</v>
      </c>
      <c r="AJ20" s="40" t="e">
        <f ca="1">10000*_xll.meLWOBondFRNDiscountMarginFromPrice(T20,U20,AG20,W20/100,X20/100,Y20/100)</f>
        <v>#VALUE!</v>
      </c>
      <c r="AK20" s="41" t="e">
        <f t="shared" ca="1" si="4"/>
        <v>#VALUE!</v>
      </c>
    </row>
    <row r="21" spans="1:37" x14ac:dyDescent="0.25">
      <c r="A21" s="3" t="str">
        <f ca="1">_xll.BDP($E21,A$3)</f>
        <v>AM4041761</v>
      </c>
      <c r="B21" s="12" t="str">
        <f ca="1">_xll.BDP($E21,B$3)</f>
        <v>EUR</v>
      </c>
      <c r="C21" s="12" t="str">
        <f ca="1">_xll.BDP($E21,C$3)</f>
        <v>SE</v>
      </c>
      <c r="D21" s="18" t="s">
        <v>218</v>
      </c>
      <c r="E21" s="3" t="str">
        <f t="shared" si="0"/>
        <v>XS1564405741 CORP</v>
      </c>
      <c r="F21" s="12">
        <f ca="1">_xll.BDP($E21,F$3)</f>
        <v>21</v>
      </c>
      <c r="G21" s="12" t="str">
        <f ca="1">_xll.BDP($E21,G$3)</f>
        <v>N</v>
      </c>
      <c r="H21" s="12" t="str">
        <f ca="1">_xll.BDP($E21,H$3)</f>
        <v>N</v>
      </c>
      <c r="I21" s="3" t="str">
        <f ca="1">_xll.BDP($E21,I$3)</f>
        <v>SCANIA F 02/13/19 EMTN</v>
      </c>
      <c r="J21" s="3" t="s">
        <v>37</v>
      </c>
      <c r="K21" s="3" t="str">
        <f ca="1">_xll.BDP($E21,K$3)</f>
        <v>13/02/2017</v>
      </c>
      <c r="L21" s="5">
        <f ca="1">DATEVALUE(_xll.BDP($E21,L$3))</f>
        <v>43417</v>
      </c>
      <c r="M21" s="17" t="str">
        <f t="shared" ca="1" si="5"/>
        <v/>
      </c>
      <c r="N21" s="3" t="str">
        <f ca="1">_xll.BDP($E21,N$3)</f>
        <v>13/02/2019</v>
      </c>
      <c r="O21" s="3" t="str">
        <f ca="1">_xll.BDP($E21,O$3)</f>
        <v>13/02/2019</v>
      </c>
      <c r="P21" s="2">
        <v>0</v>
      </c>
      <c r="Q21" s="24">
        <f ca="1">_xll.BDP($E21,Q$3)</f>
        <v>35</v>
      </c>
      <c r="R21" s="5">
        <f ca="1">DATEVALUE(_xll.BDP($E21,R$3))</f>
        <v>43509</v>
      </c>
      <c r="S21" s="3" t="str">
        <f ca="1">_xll.BDP($E21,S$3)</f>
        <v>CLEAN</v>
      </c>
      <c r="T21" s="3" t="str">
        <f ca="1">_xll.meLWOBondCreateFromGeneratorLVB(I21,D21,_xll.meUtilityLVBFromKeysValues($I$4:$R$4,I21:R21))</f>
        <v>SCANIA F 02/13/19 EMTN@253:14</v>
      </c>
      <c r="U21" s="23">
        <f t="shared" ca="1" si="1"/>
        <v>43454</v>
      </c>
      <c r="V21" s="8">
        <f ca="1">_xll.BDP($E21,V$3)</f>
        <v>29.696144645598739</v>
      </c>
      <c r="W21" s="8">
        <f ca="1">_xll.BDP($E21,W$3)</f>
        <v>-0.311</v>
      </c>
      <c r="X21" s="28">
        <f ca="1">_xll.BDP($E21,X$3)</f>
        <v>-0.34150000000000003</v>
      </c>
      <c r="Y21" s="28">
        <f ca="1">_xll.BDP($E21,Y$3)</f>
        <v>3.4000000000000002E-2</v>
      </c>
      <c r="Z21" s="24">
        <f ca="1">_xll.BDP($E21,Z$3)</f>
        <v>35</v>
      </c>
      <c r="AA21" s="35">
        <f ca="1">_xll.BDP($E21,AA$3)</f>
        <v>-4.4539000000000002E-2</v>
      </c>
      <c r="AB21" s="8">
        <f ca="1">_xll.BDP($E21,AB$3)</f>
        <v>100.012</v>
      </c>
      <c r="AC21" s="38">
        <f ca="1">ROUND(_xll.meLWOBondFRNPriceFromDiscountMargin(T21,U21,V21/10000,W21/100,X21/100,Y21/100),3)</f>
        <v>100.012</v>
      </c>
      <c r="AD21" s="8">
        <f t="shared" ca="1" si="2"/>
        <v>0</v>
      </c>
      <c r="AE21" s="8">
        <f t="shared" ca="1" si="6"/>
        <v>100.012</v>
      </c>
      <c r="AF21" s="8">
        <f t="shared" ca="1" si="7"/>
        <v>0</v>
      </c>
      <c r="AG21" s="35">
        <f ca="1">_xll.meLWOBondFRNPriceFromYield(T21,U21,AA21/100,W21/100,X21/100,Y21/100)</f>
        <v>100.01200006822376</v>
      </c>
      <c r="AH21" s="35">
        <f ca="1">100*_xll.meLWOBondFRNYieldFromPrice(T21,U21,AG21,W21/100,X21/100,Y21/100)</f>
        <v>-4.4538999999952048E-2</v>
      </c>
      <c r="AI21" s="35">
        <f t="shared" ca="1" si="3"/>
        <v>4.7954695769902855E-14</v>
      </c>
      <c r="AJ21" s="40">
        <f ca="1">10000*_xll.meLWOBondFRNDiscountMarginFromPrice(T21,U21,AG21,W21/100,X21/100,Y21/100)</f>
        <v>29.696100000004797</v>
      </c>
      <c r="AK21" s="41">
        <f t="shared" ca="1" si="4"/>
        <v>4.4645593941794459E-5</v>
      </c>
    </row>
    <row r="22" spans="1:37" x14ac:dyDescent="0.25">
      <c r="A22" s="3" t="str">
        <f ca="1">_xll.BDP($E22,A$3)</f>
        <v>UV8674656</v>
      </c>
      <c r="B22" s="12" t="str">
        <f ca="1">_xll.BDP($E22,B$3)</f>
        <v>EUR</v>
      </c>
      <c r="C22" s="12" t="str">
        <f ca="1">_xll.BDP($E22,C$3)</f>
        <v>FR</v>
      </c>
      <c r="D22" s="18" t="s">
        <v>218</v>
      </c>
      <c r="E22" s="3" t="str">
        <f t="shared" si="0"/>
        <v>FR0012969012 CORP</v>
      </c>
      <c r="F22" s="12">
        <f ca="1">_xll.BDP($E22,F$3)</f>
        <v>21</v>
      </c>
      <c r="G22" s="12" t="str">
        <f ca="1">_xll.BDP($E22,G$3)</f>
        <v>N</v>
      </c>
      <c r="H22" s="12" t="str">
        <f ca="1">_xll.BDP($E22,H$3)</f>
        <v>N</v>
      </c>
      <c r="I22" s="3" t="str">
        <f ca="1">_xll.BDP($E22,I$3)</f>
        <v>SANFP F 03/22/19 EMTN</v>
      </c>
      <c r="J22" s="3" t="s">
        <v>38</v>
      </c>
      <c r="K22" s="3" t="str">
        <f ca="1">_xll.BDP($E22,K$3)</f>
        <v>22/09/2015</v>
      </c>
      <c r="L22" s="5">
        <f ca="1">DATEVALUE(_xll.BDP($E22,L$3))</f>
        <v>43367</v>
      </c>
      <c r="M22" s="17">
        <f t="shared" ca="1" si="5"/>
        <v>24</v>
      </c>
      <c r="N22" s="3" t="str">
        <f ca="1">_xll.BDP($E22,N$3)</f>
        <v>24/12/2018</v>
      </c>
      <c r="O22" s="3" t="str">
        <f ca="1">_xll.BDP($E22,O$3)</f>
        <v>22/03/2019</v>
      </c>
      <c r="P22" s="2">
        <v>0</v>
      </c>
      <c r="Q22" s="24">
        <f ca="1">_xll.BDP($E22,Q$3)</f>
        <v>30</v>
      </c>
      <c r="R22" s="5">
        <f ca="1">DATEVALUE(_xll.BDP($E22,R$3))</f>
        <v>43546</v>
      </c>
      <c r="S22" s="3" t="str">
        <f ca="1">_xll.BDP($E22,S$3)</f>
        <v>CLEAN</v>
      </c>
      <c r="T22" s="3" t="str">
        <f ca="1">_xll.meLWOBondCreateFromGeneratorLVB(I22,D22,_xll.meUtilityLVBFromKeysValues($I$4:$R$4,I22:R22))</f>
        <v>SANFP F 03/22/19 EMTN@252:14</v>
      </c>
      <c r="U22" s="23">
        <f t="shared" ca="1" si="1"/>
        <v>43454</v>
      </c>
      <c r="V22" s="8">
        <f ca="1">_xll.BDP($E22,V$3)</f>
        <v>-5.976359566668588</v>
      </c>
      <c r="W22" s="8">
        <f ca="1">_xll.BDP($E22,W$3)</f>
        <v>-0.311</v>
      </c>
      <c r="X22" s="28">
        <f ca="1">_xll.BDP($E22,X$3)</f>
        <v>-0.378</v>
      </c>
      <c r="Y22" s="28">
        <f ca="1">_xll.BDP($E22,Y$3)</f>
        <v>0</v>
      </c>
      <c r="Z22" s="24">
        <f ca="1">_xll.BDP($E22,Z$3)</f>
        <v>30</v>
      </c>
      <c r="AA22" s="35">
        <f ca="1">_xll.BDP($E22,AA$3)</f>
        <v>-0.37076399999999998</v>
      </c>
      <c r="AB22" s="8">
        <f ca="1">_xll.BDP($E22,AB$3)</f>
        <v>100.099</v>
      </c>
      <c r="AC22" s="38">
        <f ca="1">ROUND(_xll.meLWOBondFRNPriceFromDiscountMargin(T22,U22,V22/10000,W22/100,X22/100,Y22/100),3)</f>
        <v>100.099</v>
      </c>
      <c r="AD22" s="8">
        <f t="shared" ca="1" si="2"/>
        <v>0</v>
      </c>
      <c r="AE22" s="8">
        <f t="shared" ca="1" si="6"/>
        <v>100.099</v>
      </c>
      <c r="AF22" s="8">
        <f t="shared" ca="1" si="7"/>
        <v>0</v>
      </c>
      <c r="AG22" s="35">
        <f ca="1">_xll.meLWOBondFRNPriceFromYield(T22,U22,AA22/100,W22/100,X22/100,Y22/100)</f>
        <v>100.09900012723119</v>
      </c>
      <c r="AH22" s="35">
        <f ca="1">100*_xll.meLWOBondFRNYieldFromPrice(T22,U22,AG22,W22/100,X22/100,Y22/100)</f>
        <v>-0.37076399999999643</v>
      </c>
      <c r="AI22" s="35">
        <f t="shared" ca="1" si="3"/>
        <v>3.5527136788005009E-15</v>
      </c>
      <c r="AJ22" s="40">
        <f ca="1">10000*_xll.meLWOBondFRNDiscountMarginFromPrice(T22,U22,AG22,W22/100,X22/100,Y22/100)</f>
        <v>-5.9763999999996438</v>
      </c>
      <c r="AK22" s="41">
        <f t="shared" ca="1" si="4"/>
        <v>4.0433331055744759E-5</v>
      </c>
    </row>
    <row r="23" spans="1:37" x14ac:dyDescent="0.25">
      <c r="A23" s="3" t="str">
        <f ca="1">_xll.BDP($E23,A$3)</f>
        <v>AR4048740</v>
      </c>
      <c r="B23" s="12" t="str">
        <f ca="1">_xll.BDP($E23,B$3)</f>
        <v>EUR</v>
      </c>
      <c r="C23" s="12" t="str">
        <f ca="1">_xll.BDP($E23,C$3)</f>
        <v>FR</v>
      </c>
      <c r="D23" s="18" t="s">
        <v>216</v>
      </c>
      <c r="E23" s="3" t="str">
        <f t="shared" si="0"/>
        <v>XS1782508508 CORP</v>
      </c>
      <c r="F23" s="12">
        <f ca="1">_xll.BDP($E23,F$3)</f>
        <v>21</v>
      </c>
      <c r="G23" s="12" t="str">
        <f ca="1">_xll.BDP($E23,G$3)</f>
        <v>N</v>
      </c>
      <c r="H23" s="12" t="str">
        <f ca="1">_xll.BDP($E23,H$3)</f>
        <v>N</v>
      </c>
      <c r="I23" s="3" t="str">
        <f ca="1">_xll.BDP($E23,I$3)</f>
        <v>ALDFP F 02/26/21 EMTN</v>
      </c>
      <c r="J23" s="3" t="s">
        <v>39</v>
      </c>
      <c r="K23" s="3" t="str">
        <f ca="1">_xll.BDP($E23,K$3)</f>
        <v>26/02/2018</v>
      </c>
      <c r="L23" s="5">
        <f ca="1">DATEVALUE(_xll.BDP($E23,L$3))</f>
        <v>43430</v>
      </c>
      <c r="M23" s="17" t="str">
        <f t="shared" ca="1" si="5"/>
        <v/>
      </c>
      <c r="N23" s="3" t="str">
        <f ca="1">_xll.BDP($E23,N$3)</f>
        <v>26/02/2019</v>
      </c>
      <c r="O23" s="3" t="str">
        <f ca="1">_xll.BDP($E23,O$3)</f>
        <v>26/02/2021</v>
      </c>
      <c r="P23" s="2">
        <v>0</v>
      </c>
      <c r="Q23" s="24">
        <f ca="1">_xll.BDP($E23,Q$3)</f>
        <v>34</v>
      </c>
      <c r="R23" s="5">
        <f ca="1">DATEVALUE(_xll.BDP($E23,R$3))</f>
        <v>44253</v>
      </c>
      <c r="S23" s="3" t="str">
        <f ca="1">_xll.BDP($E23,S$3)</f>
        <v>CLEAN</v>
      </c>
      <c r="T23" s="3" t="str">
        <f ca="1">_xll.meLWOBondCreateFromGeneratorLVB(I23,D23,_xll.meUtilityLVBFromKeysValues($I$4:$R$4,I23:R23))</f>
        <v>ALDFP F 02/26/21 EMTN@251:14</v>
      </c>
      <c r="U23" s="23">
        <f t="shared" ca="1" si="1"/>
        <v>43454</v>
      </c>
      <c r="V23" s="8">
        <f ca="1">_xll.BDP($E23,V$3)</f>
        <v>126.71539433376269</v>
      </c>
      <c r="W23" s="8">
        <f ca="1">_xll.BDP($E23,W$3)</f>
        <v>-0.311</v>
      </c>
      <c r="X23" s="28">
        <f ca="1">_xll.BDP($E23,X$3)</f>
        <v>-0.32933333333333337</v>
      </c>
      <c r="Y23" s="28">
        <f ca="1">_xll.BDP($E23,Y$3)</f>
        <v>2.4000000000000004E-2</v>
      </c>
      <c r="Z23" s="24">
        <f ca="1">_xll.BDP($E23,Z$3)</f>
        <v>34</v>
      </c>
      <c r="AA23" s="35">
        <f ca="1">_xll.BDP($E23,AA$3)</f>
        <v>0.95615399999999995</v>
      </c>
      <c r="AB23" s="8">
        <f ca="1">_xll.BDP($E23,AB$3)</f>
        <v>97.97</v>
      </c>
      <c r="AC23" s="38">
        <f ca="1">ROUND(_xll.meLWOBondFRNPriceFromDiscountMargin(T23,U23,V23/10000,W23/100,X23/100,Y23/100),3)</f>
        <v>97.97</v>
      </c>
      <c r="AD23" s="8">
        <f ca="1">ABS(AC23-AB23)</f>
        <v>0</v>
      </c>
      <c r="AE23" s="8">
        <f t="shared" ca="1" si="6"/>
        <v>97.97</v>
      </c>
      <c r="AF23" s="8">
        <f ca="1">ABS(AE23-AB23)</f>
        <v>0</v>
      </c>
      <c r="AG23" s="35">
        <f ca="1">_xll.meLWOBondFRNPriceFromYield(T23,U23,AA23/100,W23/100,X23/100,Y23/100)</f>
        <v>97.970000043360315</v>
      </c>
      <c r="AH23" s="35">
        <f ca="1">100*_xll.meLWOBondFRNYieldFromPrice(T23,U23,AG23,W23/100,X23/100,Y23/100)</f>
        <v>0.95615400000008188</v>
      </c>
      <c r="AI23" s="35">
        <f t="shared" ca="1" si="3"/>
        <v>8.1934459217336553E-14</v>
      </c>
      <c r="AJ23" s="40">
        <f ca="1">10000*_xll.meLWOBondFRNDiscountMarginFromPrice(T23,U23,AG23,W23/100,X23/100,Y23/100)</f>
        <v>126.71540000000819</v>
      </c>
      <c r="AK23" s="41">
        <f t="shared" ca="1" si="4"/>
        <v>5.666245499469369E-6</v>
      </c>
    </row>
    <row r="24" spans="1:37" x14ac:dyDescent="0.25">
      <c r="A24" s="3" t="str">
        <f ca="1">_xll.BDP($E24,A$3)</f>
        <v>AN4430921</v>
      </c>
      <c r="B24" s="12" t="str">
        <f ca="1">_xll.BDP($E24,B$3)</f>
        <v>EUR</v>
      </c>
      <c r="C24" s="12" t="str">
        <f ca="1">_xll.BDP($E24,C$3)</f>
        <v>US</v>
      </c>
      <c r="D24" s="18" t="s">
        <v>218</v>
      </c>
      <c r="E24" s="3" t="str">
        <f t="shared" si="0"/>
        <v>XS1609252645 CORP</v>
      </c>
      <c r="F24" s="12">
        <f ca="1">_xll.BDP($E24,F$3)</f>
        <v>21</v>
      </c>
      <c r="G24" s="12" t="str">
        <f ca="1">_xll.BDP($E24,G$3)</f>
        <v>N</v>
      </c>
      <c r="H24" s="12" t="str">
        <f ca="1">_xll.BDP($E24,H$3)</f>
        <v>N</v>
      </c>
      <c r="I24" s="3" t="str">
        <f ca="1">_xll.BDP($E24,I$3)</f>
        <v>GM F 05/10/21 EMTN</v>
      </c>
      <c r="J24" s="3" t="s">
        <v>40</v>
      </c>
      <c r="K24" s="3" t="str">
        <f ca="1">_xll.BDP($E24,K$3)</f>
        <v>10/05/2017</v>
      </c>
      <c r="L24" s="5">
        <f ca="1">DATEVALUE(_xll.BDP($E24,L$3))</f>
        <v>43417</v>
      </c>
      <c r="M24" s="17">
        <f t="shared" ca="1" si="5"/>
        <v>11</v>
      </c>
      <c r="N24" s="3" t="str">
        <f ca="1">_xll.BDP($E24,N$3)</f>
        <v>11/02/2019</v>
      </c>
      <c r="O24" s="3" t="str">
        <f ca="1">_xll.BDP($E24,O$3)</f>
        <v>10/05/2021</v>
      </c>
      <c r="P24" s="2">
        <v>0</v>
      </c>
      <c r="Q24" s="24">
        <f ca="1">_xll.BDP($E24,Q$3)</f>
        <v>68</v>
      </c>
      <c r="R24" s="5">
        <f ca="1">DATEVALUE(_xll.BDP($E24,R$3))</f>
        <v>44326</v>
      </c>
      <c r="S24" s="3" t="str">
        <f ca="1">_xll.BDP($E24,S$3)</f>
        <v>CLEAN</v>
      </c>
      <c r="T24" s="3" t="str">
        <f ca="1">_xll.meLWOBondCreateFromGeneratorLVB(I24,D24,_xll.meUtilityLVBFromKeysValues($I$4:$R$4,I24:R24))</f>
        <v>GM F 05/10/21 EMTN@250:14</v>
      </c>
      <c r="U24" s="23">
        <f t="shared" ca="1" si="1"/>
        <v>43454</v>
      </c>
      <c r="V24" s="8">
        <f ca="1">_xll.BDP($E24,V$3)</f>
        <v>161.11727012279704</v>
      </c>
      <c r="W24" s="8">
        <f ca="1">_xll.BDP($E24,W$3)</f>
        <v>-0.311</v>
      </c>
      <c r="X24" s="28">
        <f ca="1">_xll.BDP($E24,X$3)</f>
        <v>-0.34370000000000001</v>
      </c>
      <c r="Y24" s="28">
        <f ca="1">_xll.BDP($E24,Y$3)</f>
        <v>0.36399999999999999</v>
      </c>
      <c r="Z24" s="24">
        <f ca="1">_xll.BDP($E24,Z$3)</f>
        <v>68</v>
      </c>
      <c r="AA24" s="35">
        <f ca="1">_xll.BDP($E24,AA$3)</f>
        <v>1.300173</v>
      </c>
      <c r="AB24" s="8">
        <f ca="1">_xll.BDP($E24,AB$3)</f>
        <v>97.78</v>
      </c>
      <c r="AC24" s="38">
        <f ca="1">ROUND(_xll.meLWOBondFRNPriceFromDiscountMargin(T24,U24,V24/10000,W24/100,X24/100,Y24/100),3)</f>
        <v>97.78</v>
      </c>
      <c r="AD24" s="8">
        <f t="shared" ca="1" si="2"/>
        <v>0</v>
      </c>
      <c r="AE24" s="8">
        <f t="shared" ca="1" si="6"/>
        <v>97.78</v>
      </c>
      <c r="AF24" s="8">
        <f t="shared" ca="1" si="7"/>
        <v>0</v>
      </c>
      <c r="AG24" s="35">
        <f ca="1">_xll.meLWOBondFRNPriceFromYield(T24,U24,AA24/100,W24/100,X24/100,Y24/100)</f>
        <v>97.779999295230795</v>
      </c>
      <c r="AH24" s="35">
        <f ca="1">100*_xll.meLWOBondFRNYieldFromPrice(T24,U24,AG24,W24/100,X24/100,Y24/100)</f>
        <v>1.3001730000000298</v>
      </c>
      <c r="AI24" s="35">
        <f t="shared" ca="1" si="3"/>
        <v>2.9753977059954195E-14</v>
      </c>
      <c r="AJ24" s="40">
        <f ca="1">10000*_xll.meLWOBondFRNDiscountMarginFromPrice(T24,U24,AG24,W24/100,X24/100,Y24/100)</f>
        <v>161.11730000000296</v>
      </c>
      <c r="AK24" s="41">
        <f t="shared" ca="1" si="4"/>
        <v>2.9877205918182881E-5</v>
      </c>
    </row>
    <row r="25" spans="1:37" x14ac:dyDescent="0.25">
      <c r="A25" s="3" t="str">
        <f ca="1">_xll.BDP($E25,A$3)</f>
        <v>AQ5976081</v>
      </c>
      <c r="B25" s="12" t="str">
        <f ca="1">_xll.BDP($E25,B$3)</f>
        <v>EUR</v>
      </c>
      <c r="C25" s="12" t="str">
        <f ca="1">_xll.BDP($E25,C$3)</f>
        <v>FR</v>
      </c>
      <c r="D25" s="18" t="s">
        <v>218</v>
      </c>
      <c r="E25" s="3" t="str">
        <f t="shared" si="0"/>
        <v>FR0013309606 CORP</v>
      </c>
      <c r="F25" s="12">
        <f ca="1">_xll.BDP($E25,F$3)</f>
        <v>21</v>
      </c>
      <c r="G25" s="12" t="str">
        <f ca="1">_xll.BDP($E25,G$3)</f>
        <v>N</v>
      </c>
      <c r="H25" s="12" t="str">
        <f ca="1">_xll.BDP($E25,H$3)</f>
        <v>N</v>
      </c>
      <c r="I25" s="3" t="str">
        <f ca="1">_xll.BDP($E25,I$3)</f>
        <v>RENAUL F 01/12/23 EMTN</v>
      </c>
      <c r="J25" s="3" t="s">
        <v>41</v>
      </c>
      <c r="K25" s="3" t="str">
        <f ca="1">_xll.BDP($E25,K$3)</f>
        <v>12/01/2018</v>
      </c>
      <c r="L25" s="5">
        <f ca="1">DATEVALUE(_xll.BDP($E25,L$3))</f>
        <v>43385</v>
      </c>
      <c r="M25" s="17">
        <f t="shared" ca="1" si="5"/>
        <v>14</v>
      </c>
      <c r="N25" s="3" t="str">
        <f ca="1">_xll.BDP($E25,N$3)</f>
        <v>14/01/2019</v>
      </c>
      <c r="O25" s="3" t="str">
        <f ca="1">_xll.BDP($E25,O$3)</f>
        <v>12/01/2023</v>
      </c>
      <c r="P25" s="2">
        <v>0</v>
      </c>
      <c r="Q25" s="24">
        <f ca="1">_xll.BDP($E25,Q$3)</f>
        <v>43</v>
      </c>
      <c r="R25" s="5">
        <f ca="1">DATEVALUE(_xll.BDP($E25,R$3))</f>
        <v>44938</v>
      </c>
      <c r="S25" s="3" t="str">
        <f ca="1">_xll.BDP($E25,S$3)</f>
        <v>CLEAN</v>
      </c>
      <c r="T25" s="3" t="str">
        <f ca="1">_xll.meLWOBondCreateFromGeneratorLVB(I25,D25,_xll.meUtilityLVBFromKeysValues($I$4:$R$4,I25:R25))</f>
        <v>RENAUL F 01/12/23 EMTN@249:14</v>
      </c>
      <c r="U25" s="23">
        <f t="shared" ca="1" si="1"/>
        <v>43454</v>
      </c>
      <c r="V25" s="8">
        <f ca="1">_xll.BDP($E25,V$3)</f>
        <v>160.24470025184797</v>
      </c>
      <c r="W25" s="8">
        <f ca="1">_xll.BDP($E25,W$3)</f>
        <v>-0.311</v>
      </c>
      <c r="X25" s="28">
        <f ca="1">_xll.BDP($E25,X$3)</f>
        <v>-0.37095652173913041</v>
      </c>
      <c r="Y25" s="28">
        <f ca="1">_xll.BDP($E25,Y$3)</f>
        <v>0.112</v>
      </c>
      <c r="Z25" s="24">
        <f ca="1">_xll.BDP($E25,Z$3)</f>
        <v>43</v>
      </c>
      <c r="AA25" s="35">
        <f ca="1">_xll.BDP($E25,AA$3)</f>
        <v>1.291447</v>
      </c>
      <c r="AB25" s="8">
        <f ca="1">_xll.BDP($E25,AB$3)</f>
        <v>95.298000000000002</v>
      </c>
      <c r="AC25" s="38">
        <f ca="1">ROUND(_xll.meLWOBondFRNPriceFromDiscountMargin(T25,U25,V25/10000,W25/100,X25/100,Y25/100),3)</f>
        <v>95.298000000000002</v>
      </c>
      <c r="AD25" s="8">
        <f t="shared" ca="1" si="2"/>
        <v>0</v>
      </c>
      <c r="AE25" s="8">
        <f t="shared" ca="1" si="6"/>
        <v>95.298000000000002</v>
      </c>
      <c r="AF25" s="8">
        <f t="shared" ca="1" si="7"/>
        <v>0</v>
      </c>
      <c r="AG25" s="35">
        <f ca="1">_xll.meLWOBondFRNPriceFromYield(T25,U25,AA25/100,W25/100,X25/100,Y25/100)</f>
        <v>95.298000010225948</v>
      </c>
      <c r="AH25" s="35">
        <f ca="1">100*_xll.meLWOBondFRNYieldFromPrice(T25,U25,AG25,W25/100,X25/100,Y25/100)</f>
        <v>1.291447000000244</v>
      </c>
      <c r="AI25" s="35">
        <f t="shared" ca="1" si="3"/>
        <v>2.4402702081260941E-13</v>
      </c>
      <c r="AJ25" s="40">
        <f ca="1">10000*_xll.meLWOBondFRNDiscountMarginFromPrice(T25,U25,AG25,W25/100,X25/100,Y25/100)</f>
        <v>160.24470000002441</v>
      </c>
      <c r="AK25" s="41">
        <f t="shared" ca="1" si="4"/>
        <v>2.5182356466757483E-7</v>
      </c>
    </row>
    <row r="26" spans="1:37" x14ac:dyDescent="0.25">
      <c r="A26" s="3" t="str">
        <f ca="1">_xll.BDP($E26,A$3)</f>
        <v>QJ7360713</v>
      </c>
      <c r="B26" s="12" t="str">
        <f ca="1">_xll.BDP($E26,B$3)</f>
        <v>EUR</v>
      </c>
      <c r="C26" s="12" t="str">
        <f ca="1">_xll.BDP($E26,C$3)</f>
        <v>FR</v>
      </c>
      <c r="D26" s="18" t="s">
        <v>218</v>
      </c>
      <c r="E26" s="3" t="str">
        <f t="shared" si="0"/>
        <v>FR0013054020 CORP</v>
      </c>
      <c r="F26" s="12">
        <f ca="1">_xll.BDP($E26,F$3)</f>
        <v>21</v>
      </c>
      <c r="G26" s="12" t="str">
        <f ca="1">_xll.BDP($E26,G$3)</f>
        <v>N</v>
      </c>
      <c r="H26" s="12" t="str">
        <f ca="1">_xll.BDP($E26,H$3)</f>
        <v>N</v>
      </c>
      <c r="I26" s="3" t="str">
        <f ca="1">_xll.BDP($E26,I$3)</f>
        <v>ARRFP F 01/03/20 EMTN</v>
      </c>
      <c r="J26" s="3" t="s">
        <v>42</v>
      </c>
      <c r="K26" s="3" t="str">
        <f ca="1">_xll.BDP($E26,K$3)</f>
        <v>20/11/2015</v>
      </c>
      <c r="L26" s="5">
        <f ca="1">DATEVALUE(_xll.BDP($E26,L$3))</f>
        <v>43376</v>
      </c>
      <c r="M26" s="17" t="str">
        <f t="shared" ca="1" si="5"/>
        <v/>
      </c>
      <c r="N26" s="3" t="str">
        <f ca="1">_xll.BDP($E26,N$3)</f>
        <v>03/01/2019</v>
      </c>
      <c r="O26" s="3" t="str">
        <f ca="1">_xll.BDP($E26,O$3)</f>
        <v>03/01/2020</v>
      </c>
      <c r="P26" s="2">
        <v>0</v>
      </c>
      <c r="Q26" s="24">
        <f ca="1">_xll.BDP($E26,Q$3)</f>
        <v>70</v>
      </c>
      <c r="R26" s="5">
        <f ca="1">DATEVALUE(_xll.BDP($E26,R$3))</f>
        <v>43833</v>
      </c>
      <c r="S26" s="3" t="str">
        <f ca="1">_xll.BDP($E26,S$3)</f>
        <v>CLEAN</v>
      </c>
      <c r="T26" s="3" t="str">
        <f ca="1">_xll.meLWOBondCreateFromGeneratorLVB(I26,D26,_xll.meUtilityLVBFromKeysValues($I$4:$R$4,I26:R26))</f>
        <v>ARRFP F 01/03/20 EMTN@248:14</v>
      </c>
      <c r="U26" s="23">
        <f t="shared" ca="1" si="1"/>
        <v>43454</v>
      </c>
      <c r="V26" s="8">
        <f ca="1">_xll.BDP($E26,V$3)</f>
        <v>14.839747692299227</v>
      </c>
      <c r="W26" s="8">
        <f ca="1">_xll.BDP($E26,W$3)</f>
        <v>-0.311</v>
      </c>
      <c r="X26" s="28">
        <f ca="1">_xll.BDP($E26,X$3)</f>
        <v>-0.37526086956521737</v>
      </c>
      <c r="Y26" s="28">
        <f ca="1">_xll.BDP($E26,Y$3)</f>
        <v>0.38300000000000001</v>
      </c>
      <c r="Z26" s="24">
        <f ca="1">_xll.BDP($E26,Z$3)</f>
        <v>70</v>
      </c>
      <c r="AA26" s="35">
        <f ca="1">_xll.BDP($E26,AA$3)</f>
        <v>-0.162603</v>
      </c>
      <c r="AB26" s="8">
        <f ca="1">_xll.BDP($E26,AB$3)</f>
        <v>100.584</v>
      </c>
      <c r="AC26" s="38">
        <f ca="1">ROUND(_xll.meLWOBondFRNPriceFromDiscountMargin(T26,U26,V26/10000,W26/100,X26/100,Y26/100),3)</f>
        <v>100.584</v>
      </c>
      <c r="AD26" s="8">
        <f t="shared" ca="1" si="2"/>
        <v>0</v>
      </c>
      <c r="AE26" s="8">
        <f t="shared" ca="1" si="6"/>
        <v>100.584</v>
      </c>
      <c r="AF26" s="8">
        <f t="shared" ca="1" si="7"/>
        <v>0</v>
      </c>
      <c r="AG26" s="35">
        <f ca="1">_xll.meLWOBondFRNPriceFromYield(T26,U26,AA26/100,W26/100,X26/100,Y26/100)</f>
        <v>100.58400050582212</v>
      </c>
      <c r="AH26" s="35">
        <f ca="1">100*_xll.meLWOBondFRNYieldFromPrice(T26,U26,AG26,W26/100,X26/100,Y26/100)</f>
        <v>-0.16260299999989156</v>
      </c>
      <c r="AI26" s="35">
        <f t="shared" ca="1" si="3"/>
        <v>1.0844103393026217E-13</v>
      </c>
      <c r="AJ26" s="40">
        <f ca="1">10000*_xll.meLWOBondFRNDiscountMarginFromPrice(T26,U26,AG26,W26/100,X26/100,Y26/100)</f>
        <v>14.839700000010842</v>
      </c>
      <c r="AK26" s="41">
        <f t="shared" ca="1" si="4"/>
        <v>4.7692288385192683E-5</v>
      </c>
    </row>
    <row r="27" spans="1:37" x14ac:dyDescent="0.25">
      <c r="A27" s="3" t="str">
        <f ca="1">_xll.BDP($E27,A$3)</f>
        <v>30231GAE2</v>
      </c>
      <c r="B27" s="12" t="str">
        <f ca="1">_xll.BDP($E27,B$3)</f>
        <v>USD</v>
      </c>
      <c r="C27" s="12" t="str">
        <f ca="1">_xll.BDP($E27,C$3)</f>
        <v>US</v>
      </c>
      <c r="D27" s="18" t="s">
        <v>219</v>
      </c>
      <c r="E27" s="3" t="str">
        <f t="shared" si="0"/>
        <v>US30231GAE26 CORP</v>
      </c>
      <c r="F27" s="12">
        <f ca="1">_xll.BDP($E27,F$3)</f>
        <v>21</v>
      </c>
      <c r="G27" s="12" t="str">
        <f ca="1">_xll.BDP($E27,G$3)</f>
        <v>N</v>
      </c>
      <c r="H27" s="12" t="str">
        <f ca="1">_xll.BDP($E27,H$3)</f>
        <v>N</v>
      </c>
      <c r="I27" s="3" t="str">
        <f ca="1">_xll.BDP($E27,I$3)</f>
        <v>XOM F 03/15/19</v>
      </c>
      <c r="J27" s="3" t="s">
        <v>43</v>
      </c>
      <c r="K27" s="3" t="str">
        <f ca="1">_xll.BDP($E27,K$3)</f>
        <v>20/03/2014</v>
      </c>
      <c r="L27" s="5">
        <f ca="1">DATEVALUE(_xll.BDP($E27,L$3))</f>
        <v>43451</v>
      </c>
      <c r="M27" s="17" t="str">
        <f t="shared" ca="1" si="5"/>
        <v/>
      </c>
      <c r="N27" s="3" t="str">
        <f ca="1">_xll.BDP($E27,N$3)</f>
        <v>15/03/2019</v>
      </c>
      <c r="O27" s="3" t="str">
        <f ca="1">_xll.BDP($E27,O$3)</f>
        <v>15/03/2019</v>
      </c>
      <c r="P27" s="2">
        <v>0</v>
      </c>
      <c r="Q27" s="24">
        <f ca="1">_xll.BDP($E27,Q$3)</f>
        <v>15</v>
      </c>
      <c r="R27" s="5">
        <f ca="1">DATEVALUE(_xll.BDP($E27,R$3))</f>
        <v>43539</v>
      </c>
      <c r="S27" s="3" t="str">
        <f ca="1">_xll.BDP($E27,S$3)</f>
        <v>CLEAN</v>
      </c>
      <c r="T27" s="3" t="str">
        <f ca="1">_xll.meLWOBondCreateFromGeneratorLVB(I27,D27,_xll.meUtilityLVBFromKeysValues($I$4:$R$4,I27:R27))</f>
        <v>XOM F 03/15/19@247:14</v>
      </c>
      <c r="U27" s="23">
        <f t="shared" ca="1" si="1"/>
        <v>43454</v>
      </c>
      <c r="V27" s="8">
        <f ca="1">_xll.BDP($E27,V$3)</f>
        <v>-0.11360584433464105</v>
      </c>
      <c r="W27" s="8">
        <f ca="1">_xll.BDP($E27,W$3)</f>
        <v>2.8036300000000001</v>
      </c>
      <c r="X27" s="28">
        <f ca="1">_xll.BDP($E27,X$3)</f>
        <v>2.7681300000000002</v>
      </c>
      <c r="Y27" s="28">
        <f ca="1">_xll.BDP($E27,Y$3)</f>
        <v>2.9381900000000001</v>
      </c>
      <c r="Z27" s="24">
        <f ca="1">_xll.BDP($E27,Z$3)</f>
        <v>15</v>
      </c>
      <c r="AA27" s="35">
        <f ca="1">_xll.BDP($E27,AA$3)</f>
        <v>2.766994</v>
      </c>
      <c r="AB27" s="8">
        <f ca="1">_xll.BDP($E27,AB$3)</f>
        <v>100.04</v>
      </c>
      <c r="AC27" s="38">
        <f ca="1">ROUND(_xll.meLWOBondFRNPriceFromDiscountMargin(T27,U27,V27/10000,W27/100,X27/100,Y27/100),3)</f>
        <v>100.04</v>
      </c>
      <c r="AD27" s="8">
        <f ca="1">ABS(AC27-AB27)</f>
        <v>0</v>
      </c>
      <c r="AE27" s="8">
        <f t="shared" ca="1" si="6"/>
        <v>100.04</v>
      </c>
      <c r="AF27" s="8">
        <f t="shared" ca="1" si="7"/>
        <v>0</v>
      </c>
      <c r="AG27" s="35">
        <f ca="1">_xll.meLWOBondFRNPriceFromYield(T27,U27,AA27/100,W27/100,X27/100,Y27/100)</f>
        <v>100.03999998628163</v>
      </c>
      <c r="AH27" s="35">
        <f ca="1">100*_xll.meLWOBondFRNYieldFromPrice(T27,U27,AG27,W27/100,X27/100,Y27/100)</f>
        <v>2.7669940000000359</v>
      </c>
      <c r="AI27" s="35">
        <f t="shared" ca="1" si="3"/>
        <v>3.5971225997855072E-14</v>
      </c>
      <c r="AJ27" s="40">
        <f ca="1">10000*_xll.meLWOBondFRNDiscountMarginFromPrice(T27,U27,AG27,W27/100,X27/100,Y27/100)</f>
        <v>-0.11359999999644571</v>
      </c>
      <c r="AK27" s="41">
        <f t="shared" ca="1" si="4"/>
        <v>5.8443381953376949E-6</v>
      </c>
    </row>
    <row r="28" spans="1:37" x14ac:dyDescent="0.25">
      <c r="A28" s="3" t="str">
        <f ca="1">_xll.BDP($E28,A$3)</f>
        <v>AR7570146</v>
      </c>
      <c r="B28" s="12" t="str">
        <f ca="1">_xll.BDP($E28,B$3)</f>
        <v>EUR</v>
      </c>
      <c r="C28" s="12" t="str">
        <f ca="1">_xll.BDP($E28,C$3)</f>
        <v>FR</v>
      </c>
      <c r="D28" s="18" t="s">
        <v>218</v>
      </c>
      <c r="E28" s="3" t="str">
        <f t="shared" si="0"/>
        <v>FR0013324316 CORP</v>
      </c>
      <c r="F28" s="12">
        <f ca="1">_xll.BDP($E28,F$3)</f>
        <v>21</v>
      </c>
      <c r="G28" s="12" t="str">
        <f ca="1">_xll.BDP($E28,G$3)</f>
        <v>N</v>
      </c>
      <c r="H28" s="12" t="str">
        <f ca="1">_xll.BDP($E28,H$3)</f>
        <v>N</v>
      </c>
      <c r="I28" s="3" t="str">
        <f ca="1">_xll.BDP($E28,I$3)</f>
        <v>SANFP F 03/21/20 EMtn</v>
      </c>
      <c r="J28" s="3" t="s">
        <v>44</v>
      </c>
      <c r="K28" s="3" t="str">
        <f ca="1">_xll.BDP($E28,K$3)</f>
        <v>21/03/2018</v>
      </c>
      <c r="L28" s="5">
        <f ca="1">DATEVALUE(_xll.BDP($E28,L$3))</f>
        <v>43364</v>
      </c>
      <c r="M28" s="17" t="str">
        <f t="shared" ca="1" si="5"/>
        <v/>
      </c>
      <c r="N28" s="3" t="str">
        <f ca="1">_xll.BDP($E28,N$3)</f>
        <v>21/12/2018</v>
      </c>
      <c r="O28" s="3" t="str">
        <f ca="1">_xll.BDP($E28,O$3)</f>
        <v>21/03/2020</v>
      </c>
      <c r="P28" s="2">
        <v>0</v>
      </c>
      <c r="Q28" s="24">
        <f ca="1">_xll.BDP($E28,Q$3)</f>
        <v>15</v>
      </c>
      <c r="R28" s="5">
        <f ca="1">DATEVALUE(_xll.BDP($E28,R$3))</f>
        <v>43911</v>
      </c>
      <c r="S28" s="3" t="str">
        <f ca="1">_xll.BDP($E28,S$3)</f>
        <v>CLEAN</v>
      </c>
      <c r="T28" s="3" t="str">
        <f ca="1">_xll.meLWOBondCreateFromGeneratorLVB(I28,D28,_xll.meUtilityLVBFromKeysValues($I$4:$R$4,I28:R28))</f>
        <v>SANFP F 03/21/20 EMTN@246:14</v>
      </c>
      <c r="U28" s="23">
        <f t="shared" ca="1" si="1"/>
        <v>43454</v>
      </c>
      <c r="V28" s="8">
        <f ca="1">_xll.BDP($E28,V$3)</f>
        <v>7.8672537271235132</v>
      </c>
      <c r="W28" s="8">
        <f ca="1">_xll.BDP($E28,W$3)</f>
        <v>-0.311</v>
      </c>
      <c r="X28" s="28">
        <f ca="1">_xll.BDP($E28,X$3)</f>
        <v>-0.378</v>
      </c>
      <c r="Y28" s="28">
        <f ca="1">_xll.BDP($E28,Y$3)</f>
        <v>0</v>
      </c>
      <c r="Z28" s="24">
        <f ca="1">_xll.BDP($E28,Z$3)</f>
        <v>15</v>
      </c>
      <c r="AA28" s="35">
        <f ca="1">_xll.BDP($E28,AA$3)</f>
        <v>-0.23232700000000001</v>
      </c>
      <c r="AB28" s="8">
        <f ca="1">_xll.BDP($E28,AB$3)</f>
        <v>100.29600000000001</v>
      </c>
      <c r="AC28" s="38">
        <f ca="1">ROUND(_xll.meLWOBondFRNPriceFromDiscountMargin(T28,U28,V28/10000,W28/100,X28/100,Y28/100),3)</f>
        <v>100.29600000000001</v>
      </c>
      <c r="AD28" s="8">
        <f t="shared" ca="1" si="2"/>
        <v>0</v>
      </c>
      <c r="AE28" s="8">
        <f t="shared" ca="1" si="6"/>
        <v>100.29600000000001</v>
      </c>
      <c r="AF28" s="8">
        <f t="shared" ca="1" si="7"/>
        <v>0</v>
      </c>
      <c r="AG28" s="35">
        <f ca="1">_xll.meLWOBondFRNPriceFromYield(T28,U28,AA28/100,W28/100,X28/100,Y28/100)</f>
        <v>100.29599940978018</v>
      </c>
      <c r="AH28" s="35">
        <f ca="1">100*_xll.meLWOBondFRNYieldFromPrice(T28,U28,AG28,W28/100,X28/100,Y28/100)</f>
        <v>-0.23232699999989281</v>
      </c>
      <c r="AI28" s="35">
        <f t="shared" ca="1" si="3"/>
        <v>1.0719203302755886E-13</v>
      </c>
      <c r="AJ28" s="40">
        <f ca="1">10000*_xll.meLWOBondFRNDiscountMarginFromPrice(T28,U28,AG28,W28/100,X28/100,Y28/100)</f>
        <v>7.8673000000107187</v>
      </c>
      <c r="AK28" s="41">
        <f t="shared" ca="1" si="4"/>
        <v>4.627288720548961E-5</v>
      </c>
    </row>
    <row r="29" spans="1:37" x14ac:dyDescent="0.25">
      <c r="A29" s="3" t="str">
        <f ca="1">_xll.BDP($E29,A$3)</f>
        <v>AN1033835</v>
      </c>
      <c r="B29" s="12" t="str">
        <f ca="1">_xll.BDP($E29,B$3)</f>
        <v>EUR</v>
      </c>
      <c r="C29" s="12" t="str">
        <f ca="1">_xll.BDP($E29,C$3)</f>
        <v>FR</v>
      </c>
      <c r="D29" s="18" t="s">
        <v>218</v>
      </c>
      <c r="E29" s="3" t="str">
        <f t="shared" si="0"/>
        <v>FR0013250685 CORP</v>
      </c>
      <c r="F29" s="12">
        <f ca="1">_xll.BDP($E29,F$3)</f>
        <v>21</v>
      </c>
      <c r="G29" s="12" t="str">
        <f ca="1">_xll.BDP($E29,G$3)</f>
        <v>N</v>
      </c>
      <c r="H29" s="12" t="str">
        <f ca="1">_xll.BDP($E29,H$3)</f>
        <v>N</v>
      </c>
      <c r="I29" s="3" t="str">
        <f ca="1">_xll.BDP($E29,I$3)</f>
        <v>RENAUL F 04/12/21 EMTN</v>
      </c>
      <c r="J29" s="3" t="s">
        <v>45</v>
      </c>
      <c r="K29" s="3" t="str">
        <f ca="1">_xll.BDP($E29,K$3)</f>
        <v>12/04/2017</v>
      </c>
      <c r="L29" s="5">
        <f ca="1">DATEVALUE(_xll.BDP($E29,L$3))</f>
        <v>43385</v>
      </c>
      <c r="M29" s="17" t="str">
        <f t="shared" ca="1" si="5"/>
        <v/>
      </c>
      <c r="N29" s="3" t="str">
        <f ca="1">_xll.BDP($E29,N$3)</f>
        <v>12/01/2019</v>
      </c>
      <c r="O29" s="3" t="str">
        <f ca="1">_xll.BDP($E29,O$3)</f>
        <v>12/04/2021</v>
      </c>
      <c r="P29" s="2">
        <v>0</v>
      </c>
      <c r="Q29" s="24">
        <f ca="1">_xll.BDP($E29,Q$3)</f>
        <v>65</v>
      </c>
      <c r="R29" s="5">
        <f ca="1">DATEVALUE(_xll.BDP($E29,R$3))</f>
        <v>44298</v>
      </c>
      <c r="S29" s="3" t="str">
        <f ca="1">_xll.BDP($E29,S$3)</f>
        <v>CLEAN</v>
      </c>
      <c r="T29" s="3" t="str">
        <f ca="1">_xll.meLWOBondCreateFromGeneratorLVB(I29,D29,_xll.meUtilityLVBFromKeysValues($I$4:$R$4,I29:R29))</f>
        <v>RENAUL F 04/12/21 EMTN@245:14</v>
      </c>
      <c r="U29" s="23">
        <f t="shared" ca="1" si="1"/>
        <v>43454</v>
      </c>
      <c r="V29" s="8">
        <f ca="1">_xll.BDP($E29,V$3)</f>
        <v>105.97855780476904</v>
      </c>
      <c r="W29" s="8">
        <f ca="1">_xll.BDP($E29,W$3)</f>
        <v>-0.311</v>
      </c>
      <c r="X29" s="28">
        <f ca="1">_xll.BDP($E29,X$3)</f>
        <v>-0.37173913043478263</v>
      </c>
      <c r="Y29" s="28">
        <f ca="1">_xll.BDP($E29,Y$3)</f>
        <v>0.33200000000000002</v>
      </c>
      <c r="Z29" s="24">
        <f ca="1">_xll.BDP($E29,Z$3)</f>
        <v>65</v>
      </c>
      <c r="AA29" s="35">
        <f ca="1">_xll.BDP($E29,AA$3)</f>
        <v>0.74878599999999995</v>
      </c>
      <c r="AB29" s="8">
        <f ca="1">_xll.BDP($E29,AB$3)</f>
        <v>99.051000000000002</v>
      </c>
      <c r="AC29" s="38">
        <f ca="1">ROUND(_xll.meLWOBondFRNPriceFromDiscountMargin(T29,U29,V29/10000,W29/100,X29/100,Y29/100),3)</f>
        <v>99.049000000000007</v>
      </c>
      <c r="AD29" s="8">
        <f t="shared" ca="1" si="2"/>
        <v>1.9999999999953388E-3</v>
      </c>
      <c r="AE29" s="8">
        <f t="shared" ca="1" si="6"/>
        <v>99.049000000000007</v>
      </c>
      <c r="AF29" s="8">
        <f t="shared" ca="1" si="7"/>
        <v>1.9999999999953388E-3</v>
      </c>
      <c r="AG29" s="35">
        <f ca="1">_xll.meLWOBondFRNPriceFromYield(T29,U29,AA29/100,W29/100,X29/100,Y29/100)</f>
        <v>99.049055846119714</v>
      </c>
      <c r="AH29" s="35">
        <f ca="1">100*_xll.meLWOBondFRNYieldFromPrice(T29,U29,AG29,W29/100,X29/100,Y29/100)</f>
        <v>0.74878600000004869</v>
      </c>
      <c r="AI29" s="35">
        <f t="shared" ca="1" si="3"/>
        <v>4.8738790781044372E-14</v>
      </c>
      <c r="AJ29" s="40">
        <f ca="1">10000*_xll.meLWOBondFRNDiscountMarginFromPrice(T29,U29,AG29,W29/100,X29/100,Y29/100)</f>
        <v>105.97860000000486</v>
      </c>
      <c r="AK29" s="41">
        <f t="shared" ca="1" si="4"/>
        <v>4.2195235820940979E-5</v>
      </c>
    </row>
    <row r="30" spans="1:37" x14ac:dyDescent="0.25">
      <c r="A30" s="3" t="str">
        <f ca="1">_xll.BDP($E30,A$3)</f>
        <v>JK4459638</v>
      </c>
      <c r="B30" s="12" t="str">
        <f ca="1">_xll.BDP($E30,B$3)</f>
        <v>EUR</v>
      </c>
      <c r="C30" s="12" t="str">
        <f ca="1">_xll.BDP($E30,C$3)</f>
        <v>DE</v>
      </c>
      <c r="D30" s="18" t="s">
        <v>218</v>
      </c>
      <c r="E30" s="3" t="str">
        <f t="shared" si="0"/>
        <v>XS1382791892 CORP</v>
      </c>
      <c r="F30" s="12">
        <f ca="1">_xll.BDP($E30,F$3)</f>
        <v>21</v>
      </c>
      <c r="G30" s="12" t="str">
        <f ca="1">_xll.BDP($E30,G$3)</f>
        <v>N</v>
      </c>
      <c r="H30" s="12" t="str">
        <f ca="1">_xll.BDP($E30,H$3)</f>
        <v>N</v>
      </c>
      <c r="I30" s="3" t="str">
        <f ca="1">_xll.BDP($E30,I$3)</f>
        <v>DT F 04/03/20 EMTN</v>
      </c>
      <c r="J30" s="3" t="s">
        <v>46</v>
      </c>
      <c r="K30" s="3" t="str">
        <f ca="1">_xll.BDP($E30,K$3)</f>
        <v>23/03/2016</v>
      </c>
      <c r="L30" s="5">
        <f ca="1">DATEVALUE(_xll.BDP($E30,L$3))</f>
        <v>43376</v>
      </c>
      <c r="M30" s="17" t="str">
        <f t="shared" ca="1" si="5"/>
        <v/>
      </c>
      <c r="N30" s="3" t="str">
        <f ca="1">_xll.BDP($E30,N$3)</f>
        <v>03/01/2019</v>
      </c>
      <c r="O30" s="3" t="str">
        <f ca="1">_xll.BDP($E30,O$3)</f>
        <v>03/04/2020</v>
      </c>
      <c r="P30" s="2">
        <v>0</v>
      </c>
      <c r="Q30" s="24">
        <f ca="1">_xll.BDP($E30,Q$3)</f>
        <v>35</v>
      </c>
      <c r="R30" s="5">
        <f ca="1">DATEVALUE(_xll.BDP($E30,R$3))</f>
        <v>43924</v>
      </c>
      <c r="S30" s="3" t="str">
        <f ca="1">_xll.BDP($E30,S$3)</f>
        <v>CLEAN</v>
      </c>
      <c r="T30" s="3" t="str">
        <f ca="1">_xll.meLWOBondCreateFromGeneratorLVB(I30,D30,_xll.meUtilityLVBFromKeysValues($I$4:$R$4,I30:R30))</f>
        <v>DT F 04/03/20 EMTN@244:14</v>
      </c>
      <c r="U30" s="23">
        <f t="shared" ca="1" si="1"/>
        <v>43454</v>
      </c>
      <c r="V30" s="8">
        <f ca="1">_xll.BDP($E30,V$3)</f>
        <v>24.621281766838717</v>
      </c>
      <c r="W30" s="8">
        <f ca="1">_xll.BDP($E30,W$3)</f>
        <v>-0.311</v>
      </c>
      <c r="X30" s="28">
        <f ca="1">_xll.BDP($E30,X$3)</f>
        <v>-0.37526086956521737</v>
      </c>
      <c r="Y30" s="28">
        <f ca="1">_xll.BDP($E30,Y$3)</f>
        <v>3.3000000000000002E-2</v>
      </c>
      <c r="Z30" s="24">
        <f ca="1">_xll.BDP($E30,Z$3)</f>
        <v>35</v>
      </c>
      <c r="AA30" s="35">
        <f ca="1">_xll.BDP($E30,AA$3)</f>
        <v>-6.4786999999999997E-2</v>
      </c>
      <c r="AB30" s="8">
        <f ca="1">_xll.BDP($E30,AB$3)</f>
        <v>100.13800000000001</v>
      </c>
      <c r="AC30" s="38">
        <f ca="1">ROUND(_xll.meLWOBondFRNPriceFromDiscountMargin(T30,U30,V30/10000,W30/100,X30/100,Y30/100),3)</f>
        <v>100.13800000000001</v>
      </c>
      <c r="AD30" s="8">
        <f t="shared" ca="1" si="2"/>
        <v>0</v>
      </c>
      <c r="AE30" s="8">
        <f t="shared" ca="1" si="6"/>
        <v>100.13800000000001</v>
      </c>
      <c r="AF30" s="8">
        <f t="shared" ca="1" si="7"/>
        <v>0</v>
      </c>
      <c r="AG30" s="35">
        <f ca="1">_xll.meLWOBondFRNPriceFromYield(T30,U30,AA30/100,W30/100,X30/100,Y30/100)</f>
        <v>100.13799976135311</v>
      </c>
      <c r="AH30" s="35">
        <f ca="1">100*_xll.meLWOBondFRNYieldFromPrice(T30,U30,AG30,W30/100,X30/100,Y30/100)</f>
        <v>-6.4786999999929012E-2</v>
      </c>
      <c r="AI30" s="35">
        <f t="shared" ca="1" si="3"/>
        <v>7.0984884636970946E-14</v>
      </c>
      <c r="AJ30" s="40">
        <f ca="1">10000*_xll.meLWOBondFRNDiscountMarginFromPrice(T30,U30,AG30,W30/100,X30/100,Y30/100)</f>
        <v>24.6213000000071</v>
      </c>
      <c r="AK30" s="41">
        <f t="shared" ca="1" si="4"/>
        <v>1.8233168383119391E-5</v>
      </c>
    </row>
    <row r="31" spans="1:37" x14ac:dyDescent="0.25">
      <c r="A31" s="3" t="str">
        <f ca="1">_xll.BDP($E31,A$3)</f>
        <v>AQ6644472</v>
      </c>
      <c r="B31" s="12" t="str">
        <f ca="1">_xll.BDP($E31,B$3)</f>
        <v>EUR</v>
      </c>
      <c r="C31" s="12" t="str">
        <f ca="1">_xll.BDP($E31,C$3)</f>
        <v>DE</v>
      </c>
      <c r="D31" s="18" t="s">
        <v>218</v>
      </c>
      <c r="E31" s="3" t="str">
        <f t="shared" si="0"/>
        <v>XS1750116920 CORP</v>
      </c>
      <c r="F31" s="12">
        <f ca="1">_xll.BDP($E31,F$3)</f>
        <v>21</v>
      </c>
      <c r="G31" s="12" t="str">
        <f ca="1">_xll.BDP($E31,G$3)</f>
        <v>N</v>
      </c>
      <c r="H31" s="12" t="str">
        <f ca="1">_xll.BDP($E31,H$3)</f>
        <v>N</v>
      </c>
      <c r="I31" s="3" t="str">
        <f ca="1">_xll.BDP($E31,I$3)</f>
        <v>DAIGR F 01/16/20 EMTN</v>
      </c>
      <c r="J31" s="3" t="s">
        <v>47</v>
      </c>
      <c r="K31" s="3" t="str">
        <f ca="1">_xll.BDP($E31,K$3)</f>
        <v>16/01/2018</v>
      </c>
      <c r="L31" s="5">
        <f ca="1">DATEVALUE(_xll.BDP($E31,L$3))</f>
        <v>43389</v>
      </c>
      <c r="M31" s="17" t="str">
        <f t="shared" ca="1" si="5"/>
        <v/>
      </c>
      <c r="N31" s="3" t="str">
        <f ca="1">_xll.BDP($E31,N$3)</f>
        <v>16/01/2019</v>
      </c>
      <c r="O31" s="3" t="str">
        <f ca="1">_xll.BDP($E31,O$3)</f>
        <v>16/01/2020</v>
      </c>
      <c r="P31" s="2">
        <v>0</v>
      </c>
      <c r="Q31" s="24">
        <f ca="1">_xll.BDP($E31,Q$3)</f>
        <v>60</v>
      </c>
      <c r="R31" s="5">
        <f ca="1">DATEVALUE(_xll.BDP($E31,R$3))</f>
        <v>43846</v>
      </c>
      <c r="S31" s="3" t="str">
        <f ca="1">_xll.BDP($E31,S$3)</f>
        <v>CLEAN</v>
      </c>
      <c r="T31" s="3" t="str">
        <f ca="1">_xll.meLWOBondCreateFromGeneratorLVB(I31,D31,_xll.meUtilityLVBFromKeysValues($I$4:$R$4,I31:R31))</f>
        <v>DAIGR F 01/16/20 EMTN@243:14</v>
      </c>
      <c r="U31" s="23">
        <f t="shared" ca="1" si="1"/>
        <v>43454</v>
      </c>
      <c r="V31" s="8">
        <f ca="1">_xll.BDP($E31,V$3)</f>
        <v>29.984373262296526</v>
      </c>
      <c r="W31" s="8">
        <f ca="1">_xll.BDP($E31,W$3)</f>
        <v>-0.311</v>
      </c>
      <c r="X31" s="28">
        <f ca="1">_xll.BDP($E31,X$3)</f>
        <v>-0.37017391304347824</v>
      </c>
      <c r="Y31" s="28">
        <f ca="1">_xll.BDP($E31,Y$3)</f>
        <v>0.28199999999999997</v>
      </c>
      <c r="Z31" s="24">
        <f ca="1">_xll.BDP($E31,Z$3)</f>
        <v>60</v>
      </c>
      <c r="AA31" s="35">
        <f ca="1">_xll.BDP($E31,AA$3)</f>
        <v>-1.1155999999999999E-2</v>
      </c>
      <c r="AB31" s="8">
        <f ca="1">_xll.BDP($E31,AB$3)</f>
        <v>100.331</v>
      </c>
      <c r="AC31" s="38">
        <f ca="1">ROUND(_xll.meLWOBondFRNPriceFromDiscountMargin(T31,U31,V31/10000,W31/100,X31/100,Y31/100),3)</f>
        <v>100.331</v>
      </c>
      <c r="AD31" s="8">
        <f t="shared" ca="1" si="2"/>
        <v>0</v>
      </c>
      <c r="AE31" s="8">
        <f t="shared" ca="1" si="6"/>
        <v>100.331</v>
      </c>
      <c r="AF31" s="8">
        <f t="shared" ca="1" si="7"/>
        <v>0</v>
      </c>
      <c r="AG31" s="35">
        <f ca="1">_xll.meLWOBondFRNPriceFromYield(T31,U31,AA31/100,W31/100,X31/100,Y31/100)</f>
        <v>100.3309997080456</v>
      </c>
      <c r="AH31" s="35">
        <f ca="1">100*_xll.meLWOBondFRNYieldFromPrice(T31,U31,AG31,W31/100,X31/100,Y31/100)</f>
        <v>-1.1155999999897649E-2</v>
      </c>
      <c r="AI31" s="35">
        <f t="shared" ca="1" si="3"/>
        <v>1.023504198061076E-13</v>
      </c>
      <c r="AJ31" s="40">
        <f ca="1">10000*_xll.meLWOBondFRNDiscountMarginFromPrice(T31,U31,AG31,W31/100,X31/100,Y31/100)</f>
        <v>29.984400000010233</v>
      </c>
      <c r="AK31" s="41">
        <f t="shared" ca="1" si="4"/>
        <v>2.6737713707092325E-5</v>
      </c>
    </row>
    <row r="32" spans="1:37" x14ac:dyDescent="0.25">
      <c r="A32" s="3" t="str">
        <f ca="1">_xll.BDP($E32,A$3)</f>
        <v>AO0211513</v>
      </c>
      <c r="B32" s="12" t="str">
        <f ca="1">_xll.BDP($E32,B$3)</f>
        <v>EUR</v>
      </c>
      <c r="C32" s="12" t="str">
        <f ca="1">_xll.BDP($E32,C$3)</f>
        <v>US</v>
      </c>
      <c r="D32" s="18" t="s">
        <v>218</v>
      </c>
      <c r="E32" s="3" t="str">
        <f t="shared" si="0"/>
        <v>XS1637162246 CORP</v>
      </c>
      <c r="F32" s="12">
        <f ca="1">_xll.BDP($E32,F$3)</f>
        <v>21</v>
      </c>
      <c r="G32" s="12" t="str">
        <f ca="1">_xll.BDP($E32,G$3)</f>
        <v>N</v>
      </c>
      <c r="H32" s="12" t="str">
        <f ca="1">_xll.BDP($E32,H$3)</f>
        <v>N</v>
      </c>
      <c r="I32" s="3" t="str">
        <f ca="1">_xll.BDP($E32,I$3)</f>
        <v>DHR F 06/30/22</v>
      </c>
      <c r="J32" s="3" t="s">
        <v>48</v>
      </c>
      <c r="K32" s="3" t="str">
        <f ca="1">_xll.BDP($E32,K$3)</f>
        <v>30/06/2017</v>
      </c>
      <c r="L32" s="5">
        <f ca="1">DATEVALUE(_xll.BDP($E32,L$3))</f>
        <v>43371</v>
      </c>
      <c r="M32" s="17">
        <f t="shared" ca="1" si="5"/>
        <v>31</v>
      </c>
      <c r="N32" s="3" t="str">
        <f ca="1">_xll.BDP($E32,N$3)</f>
        <v>31/12/2018</v>
      </c>
      <c r="O32" s="3" t="str">
        <f ca="1">_xll.BDP($E32,O$3)</f>
        <v>30/06/2022</v>
      </c>
      <c r="P32" s="2">
        <v>0</v>
      </c>
      <c r="Q32" s="24">
        <f ca="1">_xll.BDP($E32,Q$3)</f>
        <v>30</v>
      </c>
      <c r="R32" s="5">
        <f ca="1">DATEVALUE(_xll.BDP($E32,R$3))</f>
        <v>44742</v>
      </c>
      <c r="S32" s="3" t="str">
        <f ca="1">_xll.BDP($E32,S$3)</f>
        <v>CLEAN</v>
      </c>
      <c r="T32" s="3" t="str">
        <f ca="1">_xll.meLWOBondCreateFromGeneratorLVB(I32,D32,_xll.meUtilityLVBFromKeysValues($I$4:$R$4,I32:R32))</f>
        <v>DHR F 06/30/22@242:14</v>
      </c>
      <c r="U32" s="23">
        <f t="shared" ca="1" si="1"/>
        <v>43454</v>
      </c>
      <c r="V32" s="8">
        <f ca="1">_xll.BDP($E32,V$3)</f>
        <v>38.593279380433721</v>
      </c>
      <c r="W32" s="8">
        <f ca="1">_xll.BDP($E32,W$3)</f>
        <v>-0.311</v>
      </c>
      <c r="X32" s="28">
        <f ca="1">_xll.BDP($E32,X$3)</f>
        <v>-0.37643478260869567</v>
      </c>
      <c r="Y32" s="28">
        <f ca="1">_xll.BDP($E32,Y$3)</f>
        <v>0</v>
      </c>
      <c r="Z32" s="24">
        <f ca="1">_xll.BDP($E32,Z$3)</f>
        <v>30</v>
      </c>
      <c r="AA32" s="35">
        <f ca="1">_xll.BDP($E32,AA$3)</f>
        <v>7.4933E-2</v>
      </c>
      <c r="AB32" s="8">
        <f ca="1">_xll.BDP($E32,AB$3)</f>
        <v>99.733999999999995</v>
      </c>
      <c r="AC32" s="38">
        <f ca="1">ROUND(_xll.meLWOBondFRNPriceFromDiscountMargin(T32,U32,V32/10000,W32/100,X32/100,Y32/100),3)</f>
        <v>99.733999999999995</v>
      </c>
      <c r="AD32" s="8">
        <f t="shared" ca="1" si="2"/>
        <v>0</v>
      </c>
      <c r="AE32" s="8">
        <f t="shared" ca="1" si="6"/>
        <v>99.733999999999995</v>
      </c>
      <c r="AF32" s="8">
        <f t="shared" ca="1" si="7"/>
        <v>0</v>
      </c>
      <c r="AG32" s="35">
        <f ca="1">_xll.meLWOBondFRNPriceFromYield(T32,U32,AA32/100,W32/100,X32/100,Y32/100)</f>
        <v>99.733999266422614</v>
      </c>
      <c r="AH32" s="35">
        <f ca="1">100*_xll.meLWOBondFRNYieldFromPrice(T32,U32,AG32,W32/100,X32/100,Y32/100)</f>
        <v>7.4932999999946556E-2</v>
      </c>
      <c r="AI32" s="35">
        <f t="shared" ca="1" si="3"/>
        <v>5.3443360847893473E-14</v>
      </c>
      <c r="AJ32" s="40">
        <f ca="1">10000*_xll.meLWOBondFRNDiscountMarginFromPrice(T32,U32,AG32,W32/100,X32/100,Y32/100)</f>
        <v>38.593299999994656</v>
      </c>
      <c r="AK32" s="41">
        <f t="shared" ca="1" si="4"/>
        <v>2.0619560935131176E-5</v>
      </c>
    </row>
    <row r="33" spans="1:37" x14ac:dyDescent="0.25">
      <c r="A33" s="3" t="str">
        <f ca="1">_xll.BDP($E33,A$3)</f>
        <v>QZ4991506</v>
      </c>
      <c r="B33" s="12" t="str">
        <f ca="1">_xll.BDP($E33,B$3)</f>
        <v>EUR</v>
      </c>
      <c r="C33" s="12" t="str">
        <f ca="1">_xll.BDP($E33,C$3)</f>
        <v>US</v>
      </c>
      <c r="D33" s="18" t="s">
        <v>218</v>
      </c>
      <c r="E33" s="3" t="str">
        <f t="shared" si="0"/>
        <v>XS1522989869 CORP</v>
      </c>
      <c r="F33" s="12">
        <f ca="1">_xll.BDP($E33,F$3)</f>
        <v>21</v>
      </c>
      <c r="G33" s="12" t="str">
        <f ca="1">_xll.BDP($E33,G$3)</f>
        <v>N</v>
      </c>
      <c r="H33" s="12" t="str">
        <f ca="1">_xll.BDP($E33,H$3)</f>
        <v>N</v>
      </c>
      <c r="I33" s="3" t="str">
        <f ca="1">_xll.BDP($E33,I$3)</f>
        <v>MYL F 11/22/18</v>
      </c>
      <c r="J33" s="3" t="s">
        <v>49</v>
      </c>
      <c r="K33" s="3" t="str">
        <f ca="1">_xll.BDP($E33,K$3)</f>
        <v>22/11/2016</v>
      </c>
      <c r="L33" s="5">
        <f ca="1">DATEVALUE(_xll.BDP($E33,L$3))</f>
        <v>43334</v>
      </c>
      <c r="M33" s="17" t="e">
        <f t="shared" ca="1" si="5"/>
        <v>#VALUE!</v>
      </c>
      <c r="N33" s="3" t="str">
        <f ca="1">_xll.BDP($E33,N$3)</f>
        <v>#N/A Field Not Applicable</v>
      </c>
      <c r="O33" s="3" t="str">
        <f ca="1">_xll.BDP($E33,O$3)</f>
        <v>22/11/2018</v>
      </c>
      <c r="P33" s="2">
        <v>0</v>
      </c>
      <c r="Q33" s="24">
        <f ca="1">_xll.BDP($E33,Q$3)</f>
        <v>87</v>
      </c>
      <c r="R33" s="5">
        <f ca="1">DATEVALUE(_xll.BDP($E33,R$3))</f>
        <v>43426</v>
      </c>
      <c r="S33" s="3" t="str">
        <f ca="1">_xll.BDP($E33,S$3)</f>
        <v>CLEAN</v>
      </c>
      <c r="T33" s="3" t="str">
        <f ca="1">_xll.meLWOBondCreateFromGeneratorLVB(I33,D33,_xll.meUtilityLVBFromKeysValues($I$4:$R$4,I33:R33))</f>
        <v>#Error: Key #ERROR: KEYS AND VALUES ARE NOT THE SAME SIZE. is not an expected key.</v>
      </c>
      <c r="U33" s="23">
        <f t="shared" ca="1" si="1"/>
        <v>43454</v>
      </c>
      <c r="V33" s="8" t="str">
        <f ca="1">_xll.BDP($E33,V$3)</f>
        <v>#N/A N/A</v>
      </c>
      <c r="W33" s="8" t="str">
        <f ca="1">_xll.BDP($E33,W$3)</f>
        <v>#N/A N/A</v>
      </c>
      <c r="X33" s="28" t="str">
        <f ca="1">_xll.BDP($E33,X$3)</f>
        <v>#N/A N/A</v>
      </c>
      <c r="Y33" s="28">
        <f ca="1">_xll.BDP($E33,Y$3)</f>
        <v>0.55100000000000005</v>
      </c>
      <c r="Z33" s="24">
        <f ca="1">_xll.BDP($E33,Z$3)</f>
        <v>87</v>
      </c>
      <c r="AA33" s="35" t="str">
        <f ca="1">_xll.BDP($E33,AA$3)</f>
        <v>#N/A N/A</v>
      </c>
      <c r="AB33" s="8" t="str">
        <f ca="1">_xll.BDP($E33,AB$3)</f>
        <v>#N/A N/A</v>
      </c>
      <c r="AC33" s="38" t="e">
        <f ca="1">ROUND(_xll.meLWOBondFRNPriceFromDiscountMargin(T33,U33,V33/10000,W33/100,X33/100,Y33/100),3)</f>
        <v>#VALUE!</v>
      </c>
      <c r="AD33" s="8" t="e">
        <f t="shared" ca="1" si="2"/>
        <v>#VALUE!</v>
      </c>
      <c r="AE33" s="8" t="e">
        <f t="shared" ca="1" si="6"/>
        <v>#VALUE!</v>
      </c>
      <c r="AF33" s="8" t="e">
        <f t="shared" ca="1" si="7"/>
        <v>#VALUE!</v>
      </c>
      <c r="AG33" s="35" t="e">
        <f ca="1">_xll.meLWOBondFRNPriceFromYield(T33,U33,AA33/100,W33/100,X33/100,Y33/100)</f>
        <v>#VALUE!</v>
      </c>
      <c r="AH33" s="35" t="e">
        <f ca="1">100*_xll.meLWOBondFRNYieldFromPrice(T33,U33,AG33,W33/100,X33/100,Y33/100)</f>
        <v>#VALUE!</v>
      </c>
      <c r="AI33" s="35" t="e">
        <f t="shared" ca="1" si="3"/>
        <v>#VALUE!</v>
      </c>
      <c r="AJ33" s="40" t="e">
        <f ca="1">10000*_xll.meLWOBondFRNDiscountMarginFromPrice(T33,U33,AG33,W33/100,X33/100,Y33/100)</f>
        <v>#VALUE!</v>
      </c>
      <c r="AK33" s="41" t="e">
        <f t="shared" ca="1" si="4"/>
        <v>#VALUE!</v>
      </c>
    </row>
    <row r="34" spans="1:37" x14ac:dyDescent="0.25">
      <c r="A34" s="3" t="str">
        <f ca="1">_xll.BDP($E34,A$3)</f>
        <v>AS0915676</v>
      </c>
      <c r="B34" s="12" t="str">
        <f ca="1">_xll.BDP($E34,B$3)</f>
        <v>EUR</v>
      </c>
      <c r="C34" s="12" t="str">
        <f ca="1">_xll.BDP($E34,C$3)</f>
        <v>DE</v>
      </c>
      <c r="D34" s="18" t="s">
        <v>218</v>
      </c>
      <c r="E34" s="3" t="str">
        <f t="shared" si="0"/>
        <v>XS1806435324 CORP</v>
      </c>
      <c r="F34" s="12">
        <f ca="1">_xll.BDP($E34,F$3)</f>
        <v>21</v>
      </c>
      <c r="G34" s="12" t="str">
        <f ca="1">_xll.BDP($E34,G$3)</f>
        <v>N</v>
      </c>
      <c r="H34" s="12" t="str">
        <f ca="1">_xll.BDP($E34,H$3)</f>
        <v>N</v>
      </c>
      <c r="I34" s="3" t="str">
        <f ca="1">_xll.BDP($E34,I$3)</f>
        <v>VW F 10/11/19 EMTN</v>
      </c>
      <c r="J34" s="3" t="s">
        <v>50</v>
      </c>
      <c r="K34" s="3" t="str">
        <f ca="1">_xll.BDP($E34,K$3)</f>
        <v>12/04/2018</v>
      </c>
      <c r="L34" s="5">
        <f ca="1">DATEVALUE(_xll.BDP($E34,L$3))</f>
        <v>43384</v>
      </c>
      <c r="M34" s="17" t="str">
        <f t="shared" ca="1" si="5"/>
        <v/>
      </c>
      <c r="N34" s="3" t="str">
        <f ca="1">_xll.BDP($E34,N$3)</f>
        <v>11/01/2019</v>
      </c>
      <c r="O34" s="3" t="str">
        <f ca="1">_xll.BDP($E34,O$3)</f>
        <v>11/10/2019</v>
      </c>
      <c r="P34" s="2">
        <v>0</v>
      </c>
      <c r="Q34" s="24">
        <f ca="1">_xll.BDP($E34,Q$3)</f>
        <v>35</v>
      </c>
      <c r="R34" s="5">
        <f ca="1">DATEVALUE(_xll.BDP($E34,R$3))</f>
        <v>43749</v>
      </c>
      <c r="S34" s="3" t="str">
        <f ca="1">_xll.BDP($E34,S$3)</f>
        <v>CLEAN</v>
      </c>
      <c r="T34" s="3" t="str">
        <f ca="1">_xll.meLWOBondCreateFromGeneratorLVB(I34,D34,_xll.meUtilityLVBFromKeysValues($I$4:$R$4,I34:R34))</f>
        <v>VW F 10/11/19 EMTN@240:14</v>
      </c>
      <c r="U34" s="23">
        <f t="shared" ca="1" si="1"/>
        <v>43454</v>
      </c>
      <c r="V34" s="8">
        <f ca="1">_xll.BDP($E34,V$3)</f>
        <v>31.631409632294144</v>
      </c>
      <c r="W34" s="8">
        <f ca="1">_xll.BDP($E34,W$3)</f>
        <v>-0.311</v>
      </c>
      <c r="X34" s="28">
        <f ca="1">_xll.BDP($E34,X$3)</f>
        <v>-0.37213043478260871</v>
      </c>
      <c r="Y34" s="28">
        <f ca="1">_xll.BDP($E34,Y$3)</f>
        <v>3.2000000000000001E-2</v>
      </c>
      <c r="Z34" s="24">
        <f ca="1">_xll.BDP($E34,Z$3)</f>
        <v>35</v>
      </c>
      <c r="AA34" s="35">
        <f ca="1">_xll.BDP($E34,AA$3)</f>
        <v>5.3140000000000001E-3</v>
      </c>
      <c r="AB34" s="8">
        <f ca="1">_xll.BDP($E34,AB$3)</f>
        <v>100.03100000000001</v>
      </c>
      <c r="AC34" s="38">
        <f ca="1">ROUND(_xll.meLWOBondFRNPriceFromDiscountMargin(T34,U34,V34/10000,W34/100,X34/100,Y34/100),3)</f>
        <v>100.03100000000001</v>
      </c>
      <c r="AD34" s="8">
        <f t="shared" ca="1" si="2"/>
        <v>0</v>
      </c>
      <c r="AE34" s="8">
        <f t="shared" ca="1" si="6"/>
        <v>100.03100000000001</v>
      </c>
      <c r="AF34" s="8">
        <f t="shared" ca="1" si="7"/>
        <v>0</v>
      </c>
      <c r="AG34" s="35">
        <f ca="1">_xll.meLWOBondFRNPriceFromYield(T34,U34,AA34/100,W34/100,X34/100,Y34/100)</f>
        <v>100.03100007919876</v>
      </c>
      <c r="AH34" s="35">
        <f ca="1">100*_xll.meLWOBondFRNYieldFromPrice(T34,U34,AG34,W34/100,X34/100,Y34/100)</f>
        <v>5.3140000000268355E-3</v>
      </c>
      <c r="AI34" s="35">
        <f t="shared" ca="1" si="3"/>
        <v>2.6835304811623217E-14</v>
      </c>
      <c r="AJ34" s="40">
        <f ca="1">10000*_xll.meLWOBondFRNDiscountMarginFromPrice(T34,U34,AG34,W34/100,X34/100,Y34/100)</f>
        <v>31.631400000002682</v>
      </c>
      <c r="AK34" s="41">
        <f t="shared" ca="1" si="4"/>
        <v>9.6322914622248845E-6</v>
      </c>
    </row>
    <row r="35" spans="1:37" x14ac:dyDescent="0.25">
      <c r="A35" s="3" t="str">
        <f ca="1">_xll.BDP($E35,A$3)</f>
        <v>AN5282842</v>
      </c>
      <c r="B35" s="12" t="str">
        <f ca="1">_xll.BDP($E35,B$3)</f>
        <v>EUR</v>
      </c>
      <c r="C35" s="12" t="str">
        <f ca="1">_xll.BDP($E35,C$3)</f>
        <v>GB</v>
      </c>
      <c r="D35" s="18" t="s">
        <v>218</v>
      </c>
      <c r="E35" s="3" t="str">
        <f t="shared" ref="E35:E66" si="8">J35&amp;" CORP"</f>
        <v>XS1612940988 CORP</v>
      </c>
      <c r="F35" s="12">
        <f ca="1">_xll.BDP($E35,F$3)</f>
        <v>21</v>
      </c>
      <c r="G35" s="12" t="str">
        <f ca="1">_xll.BDP($E35,G$3)</f>
        <v>N</v>
      </c>
      <c r="H35" s="12" t="str">
        <f ca="1">_xll.BDP($E35,H$3)</f>
        <v>N</v>
      </c>
      <c r="I35" s="3" t="str">
        <f ca="1">_xll.BDP($E35,I$3)</f>
        <v>WPPLN F 05/18/20 EMTN</v>
      </c>
      <c r="J35" s="3" t="s">
        <v>51</v>
      </c>
      <c r="K35" s="3" t="str">
        <f ca="1">_xll.BDP($E35,K$3)</f>
        <v>18/05/2017</v>
      </c>
      <c r="L35" s="5">
        <f ca="1">DATEVALUE(_xll.BDP($E35,L$3))</f>
        <v>43423</v>
      </c>
      <c r="M35" s="17" t="str">
        <f t="shared" ca="1" si="5"/>
        <v/>
      </c>
      <c r="N35" s="3" t="str">
        <f ca="1">_xll.BDP($E35,N$3)</f>
        <v>18/02/2019</v>
      </c>
      <c r="O35" s="3" t="str">
        <f ca="1">_xll.BDP($E35,O$3)</f>
        <v>18/05/2020</v>
      </c>
      <c r="P35" s="2">
        <v>0</v>
      </c>
      <c r="Q35" s="24">
        <f ca="1">_xll.BDP($E35,Q$3)</f>
        <v>32</v>
      </c>
      <c r="R35" s="5">
        <f ca="1">DATEVALUE(_xll.BDP($E35,R$3))</f>
        <v>43969</v>
      </c>
      <c r="S35" s="3" t="str">
        <f ca="1">_xll.BDP($E35,S$3)</f>
        <v>CLEAN</v>
      </c>
      <c r="T35" s="3" t="str">
        <f ca="1">_xll.meLWOBondCreateFromGeneratorLVB(I35,D35,_xll.meUtilityLVBFromKeysValues($I$4:$R$4,I35:R35))</f>
        <v>WPPLN F 05/18/20 EMTN@239:14</v>
      </c>
      <c r="U35" s="23">
        <f t="shared" ref="U35:U66" ca="1" si="9">$U$1</f>
        <v>43454</v>
      </c>
      <c r="V35" s="8">
        <f ca="1">_xll.BDP($E35,V$3)</f>
        <v>45.419495571978921</v>
      </c>
      <c r="W35" s="8">
        <f ca="1">_xll.BDP($E35,W$3)</f>
        <v>-0.311</v>
      </c>
      <c r="X35" s="28">
        <f ca="1">_xll.BDP($E35,X$3)</f>
        <v>-0.33600000000000002</v>
      </c>
      <c r="Y35" s="28">
        <f ca="1">_xll.BDP($E35,Y$3)</f>
        <v>4.0000000000000001E-3</v>
      </c>
      <c r="Z35" s="24">
        <f ca="1">_xll.BDP($E35,Z$3)</f>
        <v>32</v>
      </c>
      <c r="AA35" s="35">
        <f ca="1">_xll.BDP($E35,AA$3)</f>
        <v>0.14319499999999999</v>
      </c>
      <c r="AB35" s="8">
        <f ca="1">_xll.BDP($E35,AB$3)</f>
        <v>99.811000000000007</v>
      </c>
      <c r="AC35" s="38">
        <f ca="1">ROUND(_xll.meLWOBondFRNPriceFromDiscountMargin(T35,U35,V35/10000,W35/100,X35/100,Y35/100),3)</f>
        <v>99.811000000000007</v>
      </c>
      <c r="AD35" s="8">
        <f t="shared" ca="1" si="2"/>
        <v>0</v>
      </c>
      <c r="AE35" s="8">
        <f t="shared" ca="1" si="6"/>
        <v>99.811000000000007</v>
      </c>
      <c r="AF35" s="8">
        <f t="shared" ca="1" si="7"/>
        <v>0</v>
      </c>
      <c r="AG35" s="35">
        <f ca="1">_xll.meLWOBondFRNPriceFromYield(T35,U35,AA35/100,W35/100,X35/100,Y35/100)</f>
        <v>99.810999936717451</v>
      </c>
      <c r="AH35" s="35">
        <f ca="1">100*_xll.meLWOBondFRNYieldFromPrice(T35,U35,AG35,W35/100,X35/100,Y35/100)</f>
        <v>0.14319499999995142</v>
      </c>
      <c r="AI35" s="35">
        <f t="shared" ca="1" si="3"/>
        <v>4.8572257327350599E-14</v>
      </c>
      <c r="AJ35" s="40">
        <f ca="1">10000*_xll.meLWOBondFRNDiscountMarginFromPrice(T35,U35,AG35,W35/100,X35/100,Y35/100)</f>
        <v>45.419499999995139</v>
      </c>
      <c r="AK35" s="41">
        <f t="shared" ca="1" si="4"/>
        <v>4.4280162185827976E-6</v>
      </c>
    </row>
    <row r="36" spans="1:37" x14ac:dyDescent="0.25">
      <c r="A36" s="3" t="str">
        <f ca="1">_xll.BDP($E36,A$3)</f>
        <v>AP6913796</v>
      </c>
      <c r="B36" s="12" t="str">
        <f ca="1">_xll.BDP($E36,B$3)</f>
        <v>EUR</v>
      </c>
      <c r="C36" s="12" t="str">
        <f ca="1">_xll.BDP($E36,C$3)</f>
        <v>FR</v>
      </c>
      <c r="D36" s="18" t="s">
        <v>216</v>
      </c>
      <c r="E36" s="3" t="str">
        <f t="shared" si="8"/>
        <v>FR0013292687 CORP</v>
      </c>
      <c r="F36" s="12">
        <f ca="1">_xll.BDP($E36,F$3)</f>
        <v>21</v>
      </c>
      <c r="G36" s="12" t="str">
        <f ca="1">_xll.BDP($E36,G$3)</f>
        <v>N</v>
      </c>
      <c r="H36" s="12" t="str">
        <f ca="1">_xll.BDP($E36,H$3)</f>
        <v>N</v>
      </c>
      <c r="I36" s="3" t="str">
        <f ca="1">_xll.BDP($E36,I$3)</f>
        <v>RENAUL F 11/04/24 EMTN</v>
      </c>
      <c r="J36" s="3" t="s">
        <v>52</v>
      </c>
      <c r="K36" s="3" t="str">
        <f ca="1">_xll.BDP($E36,K$3)</f>
        <v>02/11/2017</v>
      </c>
      <c r="L36" s="5">
        <f ca="1">DATEVALUE(_xll.BDP($E36,L$3))</f>
        <v>43408</v>
      </c>
      <c r="M36" s="17" t="str">
        <f t="shared" ca="1" si="5"/>
        <v/>
      </c>
      <c r="N36" s="3" t="str">
        <f ca="1">_xll.BDP($E36,N$3)</f>
        <v>04/02/2019</v>
      </c>
      <c r="O36" s="3" t="str">
        <f ca="1">_xll.BDP($E36,O$3)</f>
        <v>04/11/2024</v>
      </c>
      <c r="P36" s="2">
        <v>0</v>
      </c>
      <c r="Q36" s="24">
        <f ca="1">_xll.BDP($E36,Q$3)</f>
        <v>57</v>
      </c>
      <c r="R36" s="5">
        <f ca="1">DATEVALUE(_xll.BDP($E36,R$3))</f>
        <v>45600</v>
      </c>
      <c r="S36" s="3" t="str">
        <f ca="1">_xll.BDP($E36,S$3)</f>
        <v>CLEAN</v>
      </c>
      <c r="T36" s="3" t="str">
        <f ca="1">_xll.meLWOBondCreateFromGeneratorLVB(I36,D36,_xll.meUtilityLVBFromKeysValues($I$4:$R$4,I36:R36))</f>
        <v>RENAUL F 11/04/24 EMTN@238:14</v>
      </c>
      <c r="U36" s="23">
        <f t="shared" ca="1" si="9"/>
        <v>43454</v>
      </c>
      <c r="V36" s="8">
        <f ca="1">_xll.BDP($E36,V$3)</f>
        <v>181.03258899464072</v>
      </c>
      <c r="W36" s="8">
        <f ca="1">_xll.BDP($E36,W$3)</f>
        <v>-0.311</v>
      </c>
      <c r="X36" s="28">
        <f ca="1">_xll.BDP($E36,X$3)</f>
        <v>-0.35139999999999999</v>
      </c>
      <c r="Y36" s="28">
        <f ca="1">_xll.BDP($E36,Y$3)</f>
        <v>0.252</v>
      </c>
      <c r="Z36" s="24">
        <f ca="1">_xll.BDP($E36,Z$3)</f>
        <v>57</v>
      </c>
      <c r="AA36" s="35">
        <f ca="1">_xll.BDP($E36,AA$3)</f>
        <v>1.4993259999999999</v>
      </c>
      <c r="AB36" s="8">
        <f ca="1">_xll.BDP($E36,AB$3)</f>
        <v>92.942999999999998</v>
      </c>
      <c r="AC36" s="38">
        <f ca="1">ROUND(_xll.meLWOBondFRNPriceFromDiscountMargin(T36,U36,V36/10000,W36/100,X36/100,Y36/100),3)</f>
        <v>92.942999999999998</v>
      </c>
      <c r="AD36" s="8">
        <f t="shared" ca="1" si="2"/>
        <v>0</v>
      </c>
      <c r="AE36" s="8">
        <f t="shared" ca="1" si="6"/>
        <v>92.942999999999998</v>
      </c>
      <c r="AF36" s="8">
        <f t="shared" ca="1" si="7"/>
        <v>0</v>
      </c>
      <c r="AG36" s="35">
        <f ca="1">_xll.meLWOBondFRNPriceFromYield(T36,U36,AA36/100,W36/100,X36/100,Y36/100)</f>
        <v>92.942999412216025</v>
      </c>
      <c r="AH36" s="35">
        <f ca="1">100*_xll.meLWOBondFRNYieldFromPrice(T36,U36,AG36,W36/100,X36/100,Y36/100)</f>
        <v>1.4993260000003192</v>
      </c>
      <c r="AI36" s="35">
        <f t="shared" ca="1" si="3"/>
        <v>3.1930014188219502E-13</v>
      </c>
      <c r="AJ36" s="40">
        <f ca="1">10000*_xll.meLWOBondFRNDiscountMarginFromPrice(T36,U36,AG36,W36/100,X36/100,Y36/100)</f>
        <v>181.03260000003192</v>
      </c>
      <c r="AK36" s="41">
        <f t="shared" ca="1" si="4"/>
        <v>1.1005391201024395E-5</v>
      </c>
    </row>
    <row r="37" spans="1:37" x14ac:dyDescent="0.25">
      <c r="A37" s="3" t="str">
        <f ca="1">_xll.BDP($E37,A$3)</f>
        <v>JK4822546</v>
      </c>
      <c r="B37" s="12" t="str">
        <f ca="1">_xll.BDP($E37,B$3)</f>
        <v>EUR</v>
      </c>
      <c r="C37" s="12" t="str">
        <f ca="1">_xll.BDP($E37,C$3)</f>
        <v>BE</v>
      </c>
      <c r="D37" s="18" t="s">
        <v>218</v>
      </c>
      <c r="E37" s="3" t="str">
        <f t="shared" si="8"/>
        <v>BE6285450449 CORP</v>
      </c>
      <c r="F37" s="12">
        <f ca="1">_xll.BDP($E37,F$3)</f>
        <v>21</v>
      </c>
      <c r="G37" s="12" t="str">
        <f ca="1">_xll.BDP($E37,G$3)</f>
        <v>N</v>
      </c>
      <c r="H37" s="12" t="str">
        <f ca="1">_xll.BDP($E37,H$3)</f>
        <v>N</v>
      </c>
      <c r="I37" s="3" t="str">
        <f ca="1">_xll.BDP($E37,I$3)</f>
        <v>ABIBB F 03/17/20 EMTn</v>
      </c>
      <c r="J37" s="3" t="s">
        <v>53</v>
      </c>
      <c r="K37" s="3" t="str">
        <f ca="1">_xll.BDP($E37,K$3)</f>
        <v>29/03/2016</v>
      </c>
      <c r="L37" s="5">
        <f ca="1">DATEVALUE(_xll.BDP($E37,L$3))</f>
        <v>43451</v>
      </c>
      <c r="M37" s="17">
        <f t="shared" ca="1" si="5"/>
        <v>18</v>
      </c>
      <c r="N37" s="3" t="str">
        <f ca="1">_xll.BDP($E37,N$3)</f>
        <v>18/03/2019</v>
      </c>
      <c r="O37" s="3" t="str">
        <f ca="1">_xll.BDP($E37,O$3)</f>
        <v>17/03/2020</v>
      </c>
      <c r="P37" s="2">
        <v>0</v>
      </c>
      <c r="Q37" s="24">
        <f ca="1">_xll.BDP($E37,Q$3)</f>
        <v>75</v>
      </c>
      <c r="R37" s="5">
        <f ca="1">DATEVALUE(_xll.BDP($E37,R$3))</f>
        <v>43907</v>
      </c>
      <c r="S37" s="3" t="str">
        <f ca="1">_xll.BDP($E37,S$3)</f>
        <v>CLEAN</v>
      </c>
      <c r="T37" s="3" t="str">
        <f ca="1">_xll.meLWOBondCreateFromGeneratorLVB(I37,D37,_xll.meUtilityLVBFromKeysValues($I$4:$R$4,I37:R37))</f>
        <v>ABIBB F 03/17/20 EMTN@237:14</v>
      </c>
      <c r="U37" s="23">
        <f t="shared" ca="1" si="9"/>
        <v>43454</v>
      </c>
      <c r="V37" s="8">
        <f ca="1">_xll.BDP($E37,V$3)</f>
        <v>19.087865341569294</v>
      </c>
      <c r="W37" s="8">
        <f ca="1">_xll.BDP($E37,W$3)</f>
        <v>-0.311</v>
      </c>
      <c r="X37" s="28">
        <f ca="1">_xll.BDP($E37,X$3)</f>
        <v>-0.31266666666666665</v>
      </c>
      <c r="Y37" s="28">
        <f ca="1">_xll.BDP($E37,Y$3)</f>
        <v>0.439</v>
      </c>
      <c r="Z37" s="24">
        <f ca="1">_xll.BDP($E37,Z$3)</f>
        <v>75</v>
      </c>
      <c r="AA37" s="35">
        <f ca="1">_xll.BDP($E37,AA$3)</f>
        <v>-0.12012100000000001</v>
      </c>
      <c r="AB37" s="8">
        <f ca="1">_xll.BDP($E37,AB$3)</f>
        <v>100.705</v>
      </c>
      <c r="AC37" s="38">
        <f ca="1">ROUND(_xll.meLWOBondFRNPriceFromDiscountMargin(T37,U37,V37/10000,W37/100,X37/100,Y37/100),3)</f>
        <v>100.705</v>
      </c>
      <c r="AD37" s="8">
        <f t="shared" ca="1" si="2"/>
        <v>0</v>
      </c>
      <c r="AE37" s="8">
        <f t="shared" ca="1" si="6"/>
        <v>100.705</v>
      </c>
      <c r="AF37" s="8">
        <f t="shared" ca="1" si="7"/>
        <v>0</v>
      </c>
      <c r="AG37" s="35">
        <f ca="1">_xll.meLWOBondFRNPriceFromYield(T37,U37,AA37/100,W37/100,X37/100,Y37/100)</f>
        <v>100.70499960667878</v>
      </c>
      <c r="AH37" s="35">
        <f ca="1">100*_xll.meLWOBondFRNYieldFromPrice(T37,U37,AG37,W37/100,X37/100,Y37/100)</f>
        <v>-0.12012099999993675</v>
      </c>
      <c r="AI37" s="35">
        <f t="shared" ref="AI37:AI68" ca="1" si="10">ABS(AH37-AA37)</f>
        <v>6.3254956828018294E-14</v>
      </c>
      <c r="AJ37" s="40">
        <f ca="1">10000*_xll.meLWOBondFRNDiscountMarginFromPrice(T37,U37,AG37,W37/100,X37/100,Y37/100)</f>
        <v>19.087900000006325</v>
      </c>
      <c r="AK37" s="41">
        <f t="shared" ca="1" si="4"/>
        <v>3.465843703054361E-5</v>
      </c>
    </row>
    <row r="38" spans="1:37" x14ac:dyDescent="0.25">
      <c r="A38" s="3" t="str">
        <f ca="1">_xll.BDP($E38,A$3)</f>
        <v>AM6927785</v>
      </c>
      <c r="B38" s="12" t="str">
        <f ca="1">_xll.BDP($E38,B$3)</f>
        <v>EUR</v>
      </c>
      <c r="C38" s="12" t="str">
        <f ca="1">_xll.BDP($E38,C$3)</f>
        <v>FR</v>
      </c>
      <c r="D38" s="18" t="s">
        <v>218</v>
      </c>
      <c r="E38" s="3" t="str">
        <f t="shared" si="8"/>
        <v>FR0013241379 CORP</v>
      </c>
      <c r="F38" s="12">
        <f ca="1">_xll.BDP($E38,F$3)</f>
        <v>21</v>
      </c>
      <c r="G38" s="12" t="str">
        <f ca="1">_xll.BDP($E38,G$3)</f>
        <v>N</v>
      </c>
      <c r="H38" s="12" t="str">
        <f ca="1">_xll.BDP($E38,H$3)</f>
        <v>N</v>
      </c>
      <c r="I38" s="3" t="str">
        <f ca="1">_xll.BDP($E38,I$3)</f>
        <v>RENAUL F 07/08/20 EMTN</v>
      </c>
      <c r="J38" s="3" t="s">
        <v>54</v>
      </c>
      <c r="K38" s="3" t="str">
        <f ca="1">_xll.BDP($E38,K$3)</f>
        <v>08/03/2017</v>
      </c>
      <c r="L38" s="5">
        <f ca="1">DATEVALUE(_xll.BDP($E38,L$3))</f>
        <v>43381</v>
      </c>
      <c r="M38" s="17" t="str">
        <f t="shared" ca="1" si="5"/>
        <v/>
      </c>
      <c r="N38" s="3" t="str">
        <f ca="1">_xll.BDP($E38,N$3)</f>
        <v>08/01/2019</v>
      </c>
      <c r="O38" s="3" t="str">
        <f ca="1">_xll.BDP($E38,O$3)</f>
        <v>08/07/2020</v>
      </c>
      <c r="P38" s="2">
        <v>0</v>
      </c>
      <c r="Q38" s="24">
        <f ca="1">_xll.BDP($E38,Q$3)</f>
        <v>45</v>
      </c>
      <c r="R38" s="5">
        <f ca="1">DATEVALUE(_xll.BDP($E38,R$3))</f>
        <v>44020</v>
      </c>
      <c r="S38" s="3" t="str">
        <f ca="1">_xll.BDP($E38,S$3)</f>
        <v>CLEAN</v>
      </c>
      <c r="T38" s="3" t="str">
        <f ca="1">_xll.meLWOBondCreateFromGeneratorLVB(I38,D38,_xll.meUtilityLVBFromKeysValues($I$4:$R$4,I38:R38))</f>
        <v>RENAUL F 07/08/20 EMTN@236:14</v>
      </c>
      <c r="U38" s="23">
        <f t="shared" ca="1" si="9"/>
        <v>43454</v>
      </c>
      <c r="V38" s="8">
        <f ca="1">_xll.BDP($E38,V$3)</f>
        <v>68.95439907416916</v>
      </c>
      <c r="W38" s="8">
        <f ca="1">_xll.BDP($E38,W$3)</f>
        <v>-0.311</v>
      </c>
      <c r="X38" s="28">
        <f ca="1">_xll.BDP($E38,X$3)</f>
        <v>-0.37330434782608696</v>
      </c>
      <c r="Y38" s="28">
        <f ca="1">_xll.BDP($E38,Y$3)</f>
        <v>0.13200000000000001</v>
      </c>
      <c r="Z38" s="24">
        <f ca="1">_xll.BDP($E38,Z$3)</f>
        <v>45</v>
      </c>
      <c r="AA38" s="35">
        <f ca="1">_xll.BDP($E38,AA$3)</f>
        <v>0.37854399999999999</v>
      </c>
      <c r="AB38" s="8">
        <f ca="1">_xll.BDP($E38,AB$3)</f>
        <v>99.626999999999995</v>
      </c>
      <c r="AC38" s="38">
        <f ca="1">ROUND(_xll.meLWOBondFRNPriceFromDiscountMargin(T38,U38,V38/10000,W38/100,X38/100,Y38/100),3)</f>
        <v>99.626999999999995</v>
      </c>
      <c r="AD38" s="8">
        <f t="shared" ca="1" si="2"/>
        <v>0</v>
      </c>
      <c r="AE38" s="8">
        <f t="shared" ca="1" si="6"/>
        <v>99.626999999999995</v>
      </c>
      <c r="AF38" s="8">
        <f t="shared" ca="1" si="7"/>
        <v>0</v>
      </c>
      <c r="AG38" s="35">
        <f ca="1">_xll.meLWOBondFRNPriceFromYield(T38,U38,AA38/100,W38/100,X38/100,Y38/100)</f>
        <v>99.626999987124208</v>
      </c>
      <c r="AH38" s="35">
        <f ca="1">100*_xll.meLWOBondFRNYieldFromPrice(T38,U38,AG38,W38/100,X38/100,Y38/100)</f>
        <v>0.37854400000004246</v>
      </c>
      <c r="AI38" s="35">
        <f t="shared" ca="1" si="10"/>
        <v>4.2466030691912238E-14</v>
      </c>
      <c r="AJ38" s="40">
        <f ca="1">10000*_xll.meLWOBondFRNDiscountMarginFromPrice(T38,U38,AG38,W38/100,X38/100,Y38/100)</f>
        <v>68.954400000004242</v>
      </c>
      <c r="AK38" s="41">
        <f t="shared" ca="1" si="4"/>
        <v>9.2583508148891269E-7</v>
      </c>
    </row>
    <row r="39" spans="1:37" x14ac:dyDescent="0.25">
      <c r="A39" s="3" t="str">
        <f ca="1">_xll.BDP($E39,A$3)</f>
        <v>EK7749899</v>
      </c>
      <c r="B39" s="12" t="str">
        <f ca="1">_xll.BDP($E39,B$3)</f>
        <v>EUR</v>
      </c>
      <c r="C39" s="12" t="str">
        <f ca="1">_xll.BDP($E39,C$3)</f>
        <v>US</v>
      </c>
      <c r="D39" s="18" t="s">
        <v>218</v>
      </c>
      <c r="E39" s="3" t="str">
        <f t="shared" si="8"/>
        <v>XS1197832832 CORP</v>
      </c>
      <c r="F39" s="12">
        <f ca="1">_xll.BDP($E39,F$3)</f>
        <v>21</v>
      </c>
      <c r="G39" s="12" t="str">
        <f ca="1">_xll.BDP($E39,G$3)</f>
        <v>N</v>
      </c>
      <c r="H39" s="12" t="str">
        <f ca="1">_xll.BDP($E39,H$3)</f>
        <v>N</v>
      </c>
      <c r="I39" s="3" t="str">
        <f ca="1">_xll.BDP($E39,I$3)</f>
        <v>KO F 09/09/19</v>
      </c>
      <c r="J39" s="3" t="s">
        <v>55</v>
      </c>
      <c r="K39" s="3" t="str">
        <f ca="1">_xll.BDP($E39,K$3)</f>
        <v>09/03/2015</v>
      </c>
      <c r="L39" s="5">
        <f ca="1">DATEVALUE(_xll.BDP($E39,L$3))</f>
        <v>43444</v>
      </c>
      <c r="M39" s="17">
        <f t="shared" ca="1" si="5"/>
        <v>11</v>
      </c>
      <c r="N39" s="3" t="str">
        <f ca="1">_xll.BDP($E39,N$3)</f>
        <v>11/03/2019</v>
      </c>
      <c r="O39" s="3" t="str">
        <f ca="1">_xll.BDP($E39,O$3)</f>
        <v>09/09/2019</v>
      </c>
      <c r="P39" s="2">
        <v>0</v>
      </c>
      <c r="Q39" s="24">
        <f ca="1">_xll.BDP($E39,Q$3)</f>
        <v>23</v>
      </c>
      <c r="R39" s="5">
        <f ca="1">DATEVALUE(_xll.BDP($E39,R$3))</f>
        <v>43717</v>
      </c>
      <c r="S39" s="3" t="str">
        <f ca="1">_xll.BDP($E39,S$3)</f>
        <v>CLEAN</v>
      </c>
      <c r="T39" s="3" t="str">
        <f ca="1">_xll.meLWOBondCreateFromGeneratorLVB(I39,D39,_xll.meUtilityLVBFromKeysValues($I$4:$R$4,I39:R39))</f>
        <v>KO F 09/09/19@235:14</v>
      </c>
      <c r="U39" s="23">
        <f t="shared" ca="1" si="9"/>
        <v>43454</v>
      </c>
      <c r="V39" s="8">
        <f ca="1">_xll.BDP($E39,V$3)</f>
        <v>3.6467203496146738</v>
      </c>
      <c r="W39" s="8">
        <f ca="1">_xll.BDP($E39,W$3)</f>
        <v>-0.311</v>
      </c>
      <c r="X39" s="28">
        <f ca="1">_xll.BDP($E39,X$3)</f>
        <v>-0.31850000000000001</v>
      </c>
      <c r="Y39" s="28">
        <f ca="1">_xll.BDP($E39,Y$3)</f>
        <v>0</v>
      </c>
      <c r="Z39" s="24">
        <f ca="1">_xll.BDP($E39,Z$3)</f>
        <v>23</v>
      </c>
      <c r="AA39" s="35">
        <f ca="1">_xll.BDP($E39,AA$3)</f>
        <v>-0.27453300000000003</v>
      </c>
      <c r="AB39" s="8">
        <f ca="1">_xll.BDP($E39,AB$3)</f>
        <v>100.203</v>
      </c>
      <c r="AC39" s="38">
        <f ca="1">ROUND(_xll.meLWOBondFRNPriceFromDiscountMargin(T39,U39,V39/10000,W39/100,X39/100,Y39/100),3)</f>
        <v>100.203</v>
      </c>
      <c r="AD39" s="8">
        <f t="shared" ca="1" si="2"/>
        <v>0</v>
      </c>
      <c r="AE39" s="8">
        <f t="shared" ca="1" si="6"/>
        <v>100.203</v>
      </c>
      <c r="AF39" s="8">
        <f t="shared" ca="1" si="7"/>
        <v>0</v>
      </c>
      <c r="AG39" s="35">
        <f ca="1">_xll.meLWOBondFRNPriceFromYield(T39,U39,AA39/100,W39/100,X39/100,Y39/100)</f>
        <v>100.20300014942217</v>
      </c>
      <c r="AH39" s="35">
        <f ca="1">100*_xll.meLWOBondFRNYieldFromPrice(T39,U39,AG39,W39/100,X39/100,Y39/100)</f>
        <v>-0.27453299999994513</v>
      </c>
      <c r="AI39" s="35">
        <f t="shared" ca="1" si="10"/>
        <v>5.4900528567713991E-14</v>
      </c>
      <c r="AJ39" s="40">
        <f ca="1">10000*_xll.meLWOBondFRNDiscountMarginFromPrice(T39,U39,AG39,W39/100,X39/100,Y39/100)</f>
        <v>3.6467000000054872</v>
      </c>
      <c r="AK39" s="41">
        <f t="shared" ca="1" si="4"/>
        <v>2.0349609186620654E-5</v>
      </c>
    </row>
    <row r="40" spans="1:37" x14ac:dyDescent="0.25">
      <c r="A40" s="3" t="str">
        <f ca="1">_xll.BDP($E40,A$3)</f>
        <v>EK4614443</v>
      </c>
      <c r="B40" s="12" t="str">
        <f ca="1">_xll.BDP($E40,B$3)</f>
        <v>EUR</v>
      </c>
      <c r="C40" s="12" t="str">
        <f ca="1">_xll.BDP($E40,C$3)</f>
        <v>SE</v>
      </c>
      <c r="D40" s="18" t="s">
        <v>218</v>
      </c>
      <c r="E40" s="3" t="str">
        <f t="shared" si="8"/>
        <v>XS1108681625 CORP</v>
      </c>
      <c r="F40" s="12">
        <f ca="1">_xll.BDP($E40,F$3)</f>
        <v>21</v>
      </c>
      <c r="G40" s="12" t="str">
        <f ca="1">_xll.BDP($E40,G$3)</f>
        <v>N</v>
      </c>
      <c r="H40" s="12" t="str">
        <f ca="1">_xll.BDP($E40,H$3)</f>
        <v>N</v>
      </c>
      <c r="I40" s="3" t="str">
        <f ca="1">_xll.BDP($E40,I$3)</f>
        <v>ALFASS F 09/12/19 EMTN</v>
      </c>
      <c r="J40" s="3" t="s">
        <v>56</v>
      </c>
      <c r="K40" s="3" t="str">
        <f ca="1">_xll.BDP($E40,K$3)</f>
        <v>12/09/2014</v>
      </c>
      <c r="L40" s="5">
        <f ca="1">DATEVALUE(_xll.BDP($E40,L$3))</f>
        <v>43446</v>
      </c>
      <c r="M40" s="17" t="str">
        <f t="shared" ca="1" si="5"/>
        <v/>
      </c>
      <c r="N40" s="3" t="str">
        <f ca="1">_xll.BDP($E40,N$3)</f>
        <v>12/03/2019</v>
      </c>
      <c r="O40" s="3" t="str">
        <f ca="1">_xll.BDP($E40,O$3)</f>
        <v>12/09/2019</v>
      </c>
      <c r="P40" s="2">
        <v>0</v>
      </c>
      <c r="Q40" s="24">
        <f ca="1">_xll.BDP($E40,Q$3)</f>
        <v>55</v>
      </c>
      <c r="R40" s="5">
        <f ca="1">DATEVALUE(_xll.BDP($E40,R$3))</f>
        <v>43720</v>
      </c>
      <c r="S40" s="3" t="str">
        <f ca="1">_xll.BDP($E40,S$3)</f>
        <v>CLEAN</v>
      </c>
      <c r="T40" s="3" t="str">
        <f ca="1">_xll.meLWOBondCreateFromGeneratorLVB(I40,D40,_xll.meUtilityLVBFromKeysValues($I$4:$R$4,I40:R40))</f>
        <v>ALFASS F 09/12/19 EMTN@234:14</v>
      </c>
      <c r="U40" s="23">
        <f t="shared" ca="1" si="9"/>
        <v>43454</v>
      </c>
      <c r="V40" s="8">
        <f ca="1">_xll.BDP($E40,V$3)</f>
        <v>8.6396456127866692</v>
      </c>
      <c r="W40" s="8">
        <f ca="1">_xll.BDP($E40,W$3)</f>
        <v>-0.311</v>
      </c>
      <c r="X40" s="28">
        <f ca="1">_xll.BDP($E40,X$3)</f>
        <v>-0.31766666666666665</v>
      </c>
      <c r="Y40" s="28">
        <f ca="1">_xll.BDP($E40,Y$3)</f>
        <v>0.23599999999999999</v>
      </c>
      <c r="Z40" s="24">
        <f ca="1">_xll.BDP($E40,Z$3)</f>
        <v>55</v>
      </c>
      <c r="AA40" s="35">
        <f ca="1">_xll.BDP($E40,AA$3)</f>
        <v>-0.224604</v>
      </c>
      <c r="AB40" s="8">
        <f ca="1">_xll.BDP($E40,AB$3)</f>
        <v>100.342</v>
      </c>
      <c r="AC40" s="38">
        <f ca="1">ROUND(_xll.meLWOBondFRNPriceFromDiscountMargin(T40,U40,V40/10000,W40/100,X40/100,Y40/100),3)</f>
        <v>100.342</v>
      </c>
      <c r="AD40" s="8">
        <f t="shared" ca="1" si="2"/>
        <v>0</v>
      </c>
      <c r="AE40" s="8">
        <f t="shared" ca="1" si="6"/>
        <v>100.342</v>
      </c>
      <c r="AF40" s="8">
        <f t="shared" ca="1" si="7"/>
        <v>0</v>
      </c>
      <c r="AG40" s="35">
        <f ca="1">_xll.meLWOBondFRNPriceFromYield(T40,U40,AA40/100,W40/100,X40/100,Y40/100)</f>
        <v>100.34200037010177</v>
      </c>
      <c r="AH40" s="35">
        <f ca="1">100*_xll.meLWOBondFRNYieldFromPrice(T40,U40,AG40,W40/100,X40/100,Y40/100)</f>
        <v>-0.22460400000005451</v>
      </c>
      <c r="AI40" s="35">
        <f t="shared" ca="1" si="10"/>
        <v>5.4511950509095186E-14</v>
      </c>
      <c r="AJ40" s="40">
        <f ca="1">10000*_xll.meLWOBondFRNDiscountMarginFromPrice(T40,U40,AG40,W40/100,X40/100,Y40/100)</f>
        <v>8.6395999999945481</v>
      </c>
      <c r="AK40" s="41">
        <f t="shared" ca="1" si="4"/>
        <v>4.5612792121119128E-5</v>
      </c>
    </row>
    <row r="41" spans="1:37" x14ac:dyDescent="0.25">
      <c r="A41" s="3" t="str">
        <f ca="1">_xll.BDP($E41,A$3)</f>
        <v>EK3271948</v>
      </c>
      <c r="B41" s="12" t="str">
        <f ca="1">_xll.BDP($E41,B$3)</f>
        <v>EUR</v>
      </c>
      <c r="C41" s="12" t="str">
        <f ca="1">_xll.BDP($E41,C$3)</f>
        <v>DE</v>
      </c>
      <c r="D41" s="18" t="s">
        <v>218</v>
      </c>
      <c r="E41" s="3" t="str">
        <f t="shared" si="8"/>
        <v>XS1078028864 CORP</v>
      </c>
      <c r="F41" s="12">
        <f ca="1">_xll.BDP($E41,F$3)</f>
        <v>21</v>
      </c>
      <c r="G41" s="12" t="str">
        <f ca="1">_xll.BDP($E41,G$3)</f>
        <v>N</v>
      </c>
      <c r="H41" s="12" t="str">
        <f ca="1">_xll.BDP($E41,H$3)</f>
        <v>N</v>
      </c>
      <c r="I41" s="3" t="str">
        <f ca="1">_xll.BDP($E41,I$3)</f>
        <v>DAIGR F 06/24/19 EMTn</v>
      </c>
      <c r="J41" s="3" t="s">
        <v>57</v>
      </c>
      <c r="K41" s="3" t="str">
        <f ca="1">_xll.BDP($E41,K$3)</f>
        <v>24/06/2014</v>
      </c>
      <c r="L41" s="5">
        <f ca="1">DATEVALUE(_xll.BDP($E41,L$3))</f>
        <v>43367</v>
      </c>
      <c r="M41" s="17" t="str">
        <f t="shared" ca="1" si="5"/>
        <v/>
      </c>
      <c r="N41" s="3" t="str">
        <f ca="1">_xll.BDP($E41,N$3)</f>
        <v>24/12/2018</v>
      </c>
      <c r="O41" s="3" t="str">
        <f ca="1">_xll.BDP($E41,O$3)</f>
        <v>24/06/2019</v>
      </c>
      <c r="P41" s="2">
        <v>0</v>
      </c>
      <c r="Q41" s="24">
        <f ca="1">_xll.BDP($E41,Q$3)</f>
        <v>50</v>
      </c>
      <c r="R41" s="5">
        <f ca="1">DATEVALUE(_xll.BDP($E41,R$3))</f>
        <v>43640</v>
      </c>
      <c r="S41" s="3" t="str">
        <f ca="1">_xll.BDP($E41,S$3)</f>
        <v>CLEAN</v>
      </c>
      <c r="T41" s="3" t="str">
        <f ca="1">_xll.meLWOBondCreateFromGeneratorLVB(I41,D41,_xll.meUtilityLVBFromKeysValues($I$4:$R$4,I41:R41))</f>
        <v>DAIGR F 06/24/19 EMTN@233:14</v>
      </c>
      <c r="U41" s="23">
        <f t="shared" ca="1" si="9"/>
        <v>43454</v>
      </c>
      <c r="V41" s="8">
        <f ca="1">_xll.BDP($E41,V$3)</f>
        <v>5.418183289739936</v>
      </c>
      <c r="W41" s="8">
        <f ca="1">_xll.BDP($E41,W$3)</f>
        <v>-0.311</v>
      </c>
      <c r="X41" s="28">
        <f ca="1">_xll.BDP($E41,X$3)</f>
        <v>-0.378</v>
      </c>
      <c r="Y41" s="28">
        <f ca="1">_xll.BDP($E41,Y$3)</f>
        <v>0.18099999999999999</v>
      </c>
      <c r="Z41" s="24">
        <f ca="1">_xll.BDP($E41,Z$3)</f>
        <v>50</v>
      </c>
      <c r="AA41" s="35">
        <f ca="1">_xll.BDP($E41,AA$3)</f>
        <v>-0.25681799999999999</v>
      </c>
      <c r="AB41" s="8">
        <f ca="1">_xll.BDP($E41,AB$3)</f>
        <v>100.232</v>
      </c>
      <c r="AC41" s="38">
        <f ca="1">ROUND(_xll.meLWOBondFRNPriceFromDiscountMargin(T41,U41,V41/10000,W41/100,X41/100,Y41/100),3)</f>
        <v>100.232</v>
      </c>
      <c r="AD41" s="8">
        <f t="shared" ca="1" si="2"/>
        <v>0</v>
      </c>
      <c r="AE41" s="8">
        <f t="shared" ca="1" si="6"/>
        <v>100.232</v>
      </c>
      <c r="AF41" s="8">
        <f t="shared" ca="1" si="7"/>
        <v>0</v>
      </c>
      <c r="AG41" s="35">
        <f ca="1">_xll.meLWOBondFRNPriceFromYield(T41,U41,AA41/100,W41/100,X41/100,Y41/100)</f>
        <v>100.23199994181576</v>
      </c>
      <c r="AH41" s="35">
        <f ca="1">100*_xll.meLWOBondFRNYieldFromPrice(T41,U41,AG41,W41/100,X41/100,Y41/100)</f>
        <v>-0.25681799999994259</v>
      </c>
      <c r="AI41" s="35">
        <f t="shared" ca="1" si="10"/>
        <v>5.7398530373120593E-14</v>
      </c>
      <c r="AJ41" s="40">
        <f ca="1">10000*_xll.meLWOBondFRNDiscountMarginFromPrice(T41,U41,AG41,W41/100,X41/100,Y41/100)</f>
        <v>5.4182000000057391</v>
      </c>
      <c r="AK41" s="41">
        <f t="shared" ca="1" si="4"/>
        <v>1.6710265803077107E-5</v>
      </c>
    </row>
    <row r="42" spans="1:37" x14ac:dyDescent="0.25">
      <c r="A42" s="3" t="str">
        <f ca="1">_xll.BDP($E42,A$3)</f>
        <v>JV5034311</v>
      </c>
      <c r="B42" s="12" t="str">
        <f ca="1">_xll.BDP($E42,B$3)</f>
        <v>EUR</v>
      </c>
      <c r="C42" s="12" t="str">
        <f ca="1">_xll.BDP($E42,C$3)</f>
        <v>DE</v>
      </c>
      <c r="D42" s="18" t="s">
        <v>218</v>
      </c>
      <c r="E42" s="3" t="str">
        <f t="shared" si="8"/>
        <v>DE000A169GZ7 CORP</v>
      </c>
      <c r="F42" s="12">
        <f ca="1">_xll.BDP($E42,F$3)</f>
        <v>21</v>
      </c>
      <c r="G42" s="12" t="str">
        <f ca="1">_xll.BDP($E42,G$3)</f>
        <v>N</v>
      </c>
      <c r="H42" s="12" t="str">
        <f ca="1">_xll.BDP($E42,H$3)</f>
        <v>N</v>
      </c>
      <c r="I42" s="3" t="str">
        <f ca="1">_xll.BDP($E42,I$3)</f>
        <v>DAIGR F 01/12/19 EMTn</v>
      </c>
      <c r="J42" s="3" t="s">
        <v>58</v>
      </c>
      <c r="K42" s="3" t="str">
        <f ca="1">_xll.BDP($E42,K$3)</f>
        <v>12/01/2016</v>
      </c>
      <c r="L42" s="5">
        <f ca="1">DATEVALUE(_xll.BDP($E42,L$3))</f>
        <v>43385</v>
      </c>
      <c r="M42" s="17" t="str">
        <f t="shared" ca="1" si="5"/>
        <v/>
      </c>
      <c r="N42" s="3" t="str">
        <f ca="1">_xll.BDP($E42,N$3)</f>
        <v>12/01/2019</v>
      </c>
      <c r="O42" s="3" t="str">
        <f ca="1">_xll.BDP($E42,O$3)</f>
        <v>12/01/2019</v>
      </c>
      <c r="P42" s="2">
        <v>0</v>
      </c>
      <c r="Q42" s="24">
        <f ca="1">_xll.BDP($E42,Q$3)</f>
        <v>53</v>
      </c>
      <c r="R42" s="5">
        <f ca="1">DATEVALUE(_xll.BDP($E42,R$3))</f>
        <v>43477</v>
      </c>
      <c r="S42" s="3" t="str">
        <f ca="1">_xll.BDP($E42,S$3)</f>
        <v>CLEAN</v>
      </c>
      <c r="T42" s="3" t="str">
        <f ca="1">_xll.meLWOBondCreateFromGeneratorLVB(I42,D42,_xll.meUtilityLVBFromKeysValues($I$4:$R$4,I42:R42))</f>
        <v>DAIGR F 01/12/19 EMTN@232:14</v>
      </c>
      <c r="U42" s="23">
        <f t="shared" ca="1" si="9"/>
        <v>43454</v>
      </c>
      <c r="V42" s="8">
        <f ca="1">_xll.BDP($E42,V$3)</f>
        <v>-136.98978772651515</v>
      </c>
      <c r="W42" s="8">
        <f ca="1">_xll.BDP($E42,W$3)</f>
        <v>-0.311</v>
      </c>
      <c r="X42" s="28">
        <f ca="1">_xll.BDP($E42,X$3)</f>
        <v>-0.37173913043478263</v>
      </c>
      <c r="Y42" s="28">
        <f ca="1">_xll.BDP($E42,Y$3)</f>
        <v>0.21199999999999999</v>
      </c>
      <c r="Z42" s="24">
        <f ca="1">_xll.BDP($E42,Z$3)</f>
        <v>53</v>
      </c>
      <c r="AA42" s="35">
        <f ca="1">_xll.BDP($E42,AA$3)</f>
        <v>-1.7416369999999999</v>
      </c>
      <c r="AB42" s="8">
        <f ca="1">_xll.BDP($E42,AB$3)</f>
        <v>100.125</v>
      </c>
      <c r="AC42" s="38">
        <f ca="1">ROUND(_xll.meLWOBondFRNPriceFromDiscountMargin(T42,U42,V42/10000,W42/100,X42/100,Y42/100),3)</f>
        <v>100.136</v>
      </c>
      <c r="AD42" s="8">
        <f t="shared" ca="1" si="2"/>
        <v>1.099999999999568E-2</v>
      </c>
      <c r="AE42" s="8">
        <f t="shared" ca="1" si="6"/>
        <v>100.136</v>
      </c>
      <c r="AF42" s="8">
        <f t="shared" ca="1" si="7"/>
        <v>1.099999999999568E-2</v>
      </c>
      <c r="AG42" s="35">
        <f ca="1">_xll.meLWOBondFRNPriceFromYield(T42,U42,AA42/100,W42/100,X42/100,Y42/100)</f>
        <v>100.13588272701513</v>
      </c>
      <c r="AH42" s="35">
        <f ca="1">100*_xll.meLWOBondFRNYieldFromPrice(T42,U42,AG42,W42/100,X42/100,Y42/100)</f>
        <v>-1.7416369999998589</v>
      </c>
      <c r="AI42" s="35">
        <f t="shared" ca="1" si="10"/>
        <v>1.4099832412739488E-13</v>
      </c>
      <c r="AJ42" s="40">
        <f ca="1">10000*_xll.meLWOBondFRNDiscountMarginFromPrice(T42,U42,AG42,W42/100,X42/100,Y42/100)</f>
        <v>-136.98978695650763</v>
      </c>
      <c r="AK42" s="41">
        <f t="shared" ca="1" si="4"/>
        <v>7.7000751730338379E-7</v>
      </c>
    </row>
    <row r="43" spans="1:37" s="3" customFormat="1" x14ac:dyDescent="0.25">
      <c r="A43" s="3" t="str">
        <f ca="1">_xll.BDP($E43,A$3)</f>
        <v>AR6510606</v>
      </c>
      <c r="B43" s="12" t="str">
        <f ca="1">_xll.BDP($E43,B$3)</f>
        <v>EUR</v>
      </c>
      <c r="C43" s="12" t="str">
        <f ca="1">_xll.BDP($E43,C$3)</f>
        <v>DE</v>
      </c>
      <c r="D43" s="18" t="s">
        <v>218</v>
      </c>
      <c r="E43" s="3" t="str">
        <f t="shared" si="8"/>
        <v>DE000A2G8VS7 CORP</v>
      </c>
      <c r="F43" s="12">
        <f ca="1">_xll.BDP($E43,F$3)</f>
        <v>21</v>
      </c>
      <c r="G43" s="12" t="str">
        <f ca="1">_xll.BDP($E43,G$3)</f>
        <v>N</v>
      </c>
      <c r="H43" s="12" t="str">
        <f ca="1">_xll.BDP($E43,H$3)</f>
        <v>N</v>
      </c>
      <c r="I43" s="3" t="str">
        <f ca="1">_xll.BDP($E43,I$3)</f>
        <v>SAPGR F 03/13/21</v>
      </c>
      <c r="J43" s="3" t="s">
        <v>59</v>
      </c>
      <c r="K43" s="3" t="str">
        <f ca="1">_xll.BDP($E43,K$3)</f>
        <v>13/03/2018</v>
      </c>
      <c r="L43" s="5">
        <f ca="1">DATEVALUE(_xll.BDP($E43,L$3))</f>
        <v>43447</v>
      </c>
      <c r="M43" s="17" t="str">
        <f t="shared" ca="1" si="5"/>
        <v/>
      </c>
      <c r="N43" s="3" t="str">
        <f ca="1">_xll.BDP($E43,N$3)</f>
        <v>13/03/2019</v>
      </c>
      <c r="O43" s="3" t="str">
        <f ca="1">_xll.BDP($E43,O$3)</f>
        <v>13/03/2021</v>
      </c>
      <c r="P43" s="2">
        <v>0</v>
      </c>
      <c r="Q43" s="24">
        <f ca="1">_xll.BDP($E43,Q$3)</f>
        <v>15</v>
      </c>
      <c r="R43" s="5">
        <f ca="1">DATEVALUE(_xll.BDP($E43,R$3))</f>
        <v>44268</v>
      </c>
      <c r="S43" s="3" t="str">
        <f ca="1">_xll.BDP($E43,S$3)</f>
        <v>CLEAN</v>
      </c>
      <c r="T43" s="3" t="str">
        <f ca="1">_xll.meLWOBondCreateFromGeneratorLVB(I43,D43,_xll.meUtilityLVBFromKeysValues($I$4:$R$4,I43:R43))</f>
        <v>SAPGR F 03/13/21@231:14</v>
      </c>
      <c r="U43" s="23">
        <f t="shared" ca="1" si="9"/>
        <v>43454</v>
      </c>
      <c r="V43" s="8">
        <f ca="1">_xll.BDP($E43,V$3)</f>
        <v>22.009617817134618</v>
      </c>
      <c r="W43" s="8">
        <f ca="1">_xll.BDP($E43,W$3)</f>
        <v>-0.311</v>
      </c>
      <c r="X43" s="28">
        <f ca="1">_xll.BDP($E43,X$3)</f>
        <v>-0.31683333333333336</v>
      </c>
      <c r="Y43" s="28">
        <f ca="1">_xll.BDP($E43,Y$3)</f>
        <v>0</v>
      </c>
      <c r="Z43" s="24">
        <f ca="1">_xll.BDP($E43,Z$3)</f>
        <v>15</v>
      </c>
      <c r="AA43" s="35">
        <f ca="1">_xll.BDP($E43,AA$3)</f>
        <v>-9.0903999999999999E-2</v>
      </c>
      <c r="AB43" s="8">
        <f ca="1">_xll.BDP($E43,AB$3)</f>
        <v>100.20699999999999</v>
      </c>
      <c r="AC43" s="38">
        <f ca="1">ROUND(_xll.meLWOBondFRNPriceFromDiscountMargin(T43,U43,V43/10000,W43/100,X43/100,Y43/100),3)</f>
        <v>100.20699999999999</v>
      </c>
      <c r="AD43" s="8">
        <f t="shared" ca="1" si="2"/>
        <v>0</v>
      </c>
      <c r="AE43" s="8">
        <f t="shared" ca="1" si="6"/>
        <v>100.20699999999999</v>
      </c>
      <c r="AF43" s="8">
        <f t="shared" ca="1" si="7"/>
        <v>0</v>
      </c>
      <c r="AG43" s="35">
        <f ca="1">_xll.meLWOBondFRNPriceFromYield(T43,U43,AA43/100,W43/100,X43/100,Y43/100)</f>
        <v>100.20700040354819</v>
      </c>
      <c r="AH43" s="35">
        <f ca="1">100*_xll.meLWOBondFRNYieldFromPrice(T43,U43,AG43,W43/100,X43/100,Y43/100)</f>
        <v>-9.0903999999977655E-2</v>
      </c>
      <c r="AI43" s="35">
        <f t="shared" ca="1" si="10"/>
        <v>2.2343238370581275E-14</v>
      </c>
      <c r="AJ43" s="40">
        <f ca="1">10000*_xll.meLWOBondFRNDiscountMarginFromPrice(T43,U43,AG43,W43/100,X43/100,Y43/100)</f>
        <v>22.009600000002234</v>
      </c>
      <c r="AK43" s="41">
        <f t="shared" ca="1" si="4"/>
        <v>1.7817132384578827E-5</v>
      </c>
    </row>
    <row r="44" spans="1:37" x14ac:dyDescent="0.25">
      <c r="A44" s="3" t="str">
        <f ca="1">_xll.BDP($E44,A$3)</f>
        <v>EK0629619</v>
      </c>
      <c r="B44" s="12" t="str">
        <f ca="1">_xll.BDP($E44,B$3)</f>
        <v>USD</v>
      </c>
      <c r="C44" s="12" t="str">
        <f ca="1">_xll.BDP($E44,C$3)</f>
        <v>JP</v>
      </c>
      <c r="D44" s="18" t="s">
        <v>219</v>
      </c>
      <c r="E44" s="3" t="str">
        <f t="shared" si="8"/>
        <v>XS1033649739 CORP</v>
      </c>
      <c r="F44" s="12">
        <f ca="1">_xll.BDP($E44,F$3)</f>
        <v>21</v>
      </c>
      <c r="G44" s="12" t="str">
        <f ca="1">_xll.BDP($E44,G$3)</f>
        <v>N</v>
      </c>
      <c r="H44" s="12" t="str">
        <f ca="1">_xll.BDP($E44,H$3)</f>
        <v>N</v>
      </c>
      <c r="I44" s="3" t="str">
        <f ca="1">_xll.BDP($E44,I$3)</f>
        <v>MUFJLF F 02/20/19 EMTN</v>
      </c>
      <c r="J44" s="3" t="s">
        <v>60</v>
      </c>
      <c r="K44" s="3" t="str">
        <f ca="1">_xll.BDP($E44,K$3)</f>
        <v>20/02/2014</v>
      </c>
      <c r="L44" s="5">
        <f ca="1">DATEVALUE(_xll.BDP($E44,L$3))</f>
        <v>43424</v>
      </c>
      <c r="M44" s="17" t="str">
        <f t="shared" ca="1" si="5"/>
        <v/>
      </c>
      <c r="N44" s="3" t="str">
        <f ca="1">_xll.BDP($E44,N$3)</f>
        <v>20/02/2019</v>
      </c>
      <c r="O44" s="3" t="str">
        <f ca="1">_xll.BDP($E44,O$3)</f>
        <v>20/02/2019</v>
      </c>
      <c r="P44" s="2">
        <v>0</v>
      </c>
      <c r="Q44" s="24">
        <f ca="1">_xll.BDP($E44,Q$3)</f>
        <v>92.5</v>
      </c>
      <c r="R44" s="5">
        <f ca="1">DATEVALUE(_xll.BDP($E44,R$3))</f>
        <v>43516</v>
      </c>
      <c r="S44" s="3" t="str">
        <f ca="1">_xll.BDP($E44,S$3)</f>
        <v>CLEAN</v>
      </c>
      <c r="T44" s="3" t="str">
        <f ca="1">_xll.meLWOBondCreateFromGeneratorLVB(I44,D44,_xll.meUtilityLVBFromKeysValues($I$4:$R$4,I44:R44))</f>
        <v>MUFJLF F 02/20/19 EMTN@230:14</v>
      </c>
      <c r="U44" s="23">
        <f t="shared" ca="1" si="9"/>
        <v>43454</v>
      </c>
      <c r="V44" s="8">
        <f ca="1">_xll.BDP($E44,V$3)</f>
        <v>41.870105794674075</v>
      </c>
      <c r="W44" s="8">
        <f ca="1">_xll.BDP($E44,W$3)</f>
        <v>2.8036300000000001</v>
      </c>
      <c r="X44" s="28">
        <f ca="1">_xll.BDP($E44,X$3)</f>
        <v>2.6048300000000002</v>
      </c>
      <c r="Y44" s="28">
        <f ca="1">_xll.BDP($E44,Y$3)</f>
        <v>3.5695000000000001</v>
      </c>
      <c r="Z44" s="24">
        <f ca="1">_xll.BDP($E44,Z$3)</f>
        <v>92.5</v>
      </c>
      <c r="AA44" s="35">
        <f ca="1">_xll.BDP($E44,AA$3)</f>
        <v>3.0235310000000002</v>
      </c>
      <c r="AB44" s="8">
        <f ca="1">_xll.BDP($E44,AB$3)</f>
        <v>100.092</v>
      </c>
      <c r="AC44" s="38">
        <f ca="1">ROUND(_xll.meLWOBondFRNPriceFromDiscountMargin(T44,U44,V44/10000,W44/100,X44/100,Y44/100),3)</f>
        <v>100.092</v>
      </c>
      <c r="AD44" s="8">
        <f t="shared" ca="1" si="2"/>
        <v>0</v>
      </c>
      <c r="AE44" s="8">
        <f t="shared" ca="1" si="6"/>
        <v>100.092</v>
      </c>
      <c r="AF44" s="8">
        <f t="shared" ca="1" si="7"/>
        <v>0</v>
      </c>
      <c r="AG44" s="35">
        <f ca="1">_xll.meLWOBondFRNPriceFromYield(T44,U44,AA44/100,W44/100,X44/100,Y44/100)</f>
        <v>100.09200000996668</v>
      </c>
      <c r="AH44" s="35">
        <f ca="1">100*_xll.meLWOBondFRNYieldFromPrice(T44,U44,AG44,W44/100,X44/100,Y44/100)</f>
        <v>3.0235310000000779</v>
      </c>
      <c r="AI44" s="35">
        <f t="shared" ca="1" si="10"/>
        <v>7.7715611723760958E-14</v>
      </c>
      <c r="AJ44" s="40">
        <f ca="1">10000*_xll.meLWOBondFRNDiscountMarginFromPrice(T44,U44,AG44,W44/100,X44/100,Y44/100)</f>
        <v>41.870100000007753</v>
      </c>
      <c r="AK44" s="41">
        <f t="shared" ca="1" si="4"/>
        <v>5.794666321889963E-6</v>
      </c>
    </row>
    <row r="45" spans="1:37" x14ac:dyDescent="0.25">
      <c r="A45" s="3" t="str">
        <f ca="1">_xll.BDP($E45,A$3)</f>
        <v>AS7502170</v>
      </c>
      <c r="B45" s="12" t="str">
        <f ca="1">_xll.BDP($E45,B$3)</f>
        <v>EUR</v>
      </c>
      <c r="C45" s="12" t="str">
        <f ca="1">_xll.BDP($E45,C$3)</f>
        <v>DE</v>
      </c>
      <c r="D45" s="18" t="s">
        <v>216</v>
      </c>
      <c r="E45" s="3" t="str">
        <f t="shared" si="8"/>
        <v>XS1828028677 CORP</v>
      </c>
      <c r="F45" s="12">
        <f ca="1">_xll.BDP($E45,F$3)</f>
        <v>21</v>
      </c>
      <c r="G45" s="12" t="str">
        <f ca="1">_xll.BDP($E45,G$3)</f>
        <v>N</v>
      </c>
      <c r="H45" s="12" t="str">
        <f ca="1">_xll.BDP($E45,H$3)</f>
        <v>N</v>
      </c>
      <c r="I45" s="3" t="str">
        <f ca="1">_xll.BDP($E45,I$3)</f>
        <v>DT F 12/01/22 EMTN</v>
      </c>
      <c r="J45" s="3" t="s">
        <v>61</v>
      </c>
      <c r="K45" s="3" t="str">
        <f ca="1">_xll.BDP($E45,K$3)</f>
        <v>01/06/2018</v>
      </c>
      <c r="L45" s="5">
        <f ca="1">DATEVALUE(_xll.BDP($E45,L$3))</f>
        <v>43437</v>
      </c>
      <c r="M45" s="17" t="str">
        <f t="shared" ca="1" si="5"/>
        <v/>
      </c>
      <c r="N45" s="3" t="str">
        <f ca="1">_xll.BDP($E45,N$3)</f>
        <v>01/03/2019</v>
      </c>
      <c r="O45" s="3" t="str">
        <f ca="1">_xll.BDP($E45,O$3)</f>
        <v>01/12/2022</v>
      </c>
      <c r="P45" s="2">
        <v>0</v>
      </c>
      <c r="Q45" s="24">
        <f ca="1">_xll.BDP($E45,Q$3)</f>
        <v>35</v>
      </c>
      <c r="R45" s="5">
        <f ca="1">DATEVALUE(_xll.BDP($E45,R$3))</f>
        <v>44896</v>
      </c>
      <c r="S45" s="3" t="str">
        <f ca="1">_xll.BDP($E45,S$3)</f>
        <v>CLEAN</v>
      </c>
      <c r="T45" s="3" t="str">
        <f ca="1">_xll.meLWOBondCreateFromGeneratorLVB(I45,D45,_xll.meUtilityLVBFromKeysValues($I$4:$R$4,I45:R45))</f>
        <v>DT F 12/01/22 EMTN@229:14</v>
      </c>
      <c r="U45" s="23">
        <f t="shared" ca="1" si="9"/>
        <v>43454</v>
      </c>
      <c r="V45" s="8">
        <f ca="1">_xll.BDP($E45,V$3)</f>
        <v>43.847842975282646</v>
      </c>
      <c r="W45" s="8">
        <f ca="1">_xll.BDP($E45,W$3)</f>
        <v>-0.311</v>
      </c>
      <c r="X45" s="28">
        <f ca="1">_xll.BDP($E45,X$3)</f>
        <v>-0.32683333333333336</v>
      </c>
      <c r="Y45" s="28">
        <f ca="1">_xll.BDP($E45,Y$3)</f>
        <v>3.4000000000000002E-2</v>
      </c>
      <c r="Z45" s="24">
        <f ca="1">_xll.BDP($E45,Z$3)</f>
        <v>35</v>
      </c>
      <c r="AA45" s="35">
        <f ca="1">_xll.BDP($E45,AA$3)</f>
        <v>0.12747800000000001</v>
      </c>
      <c r="AB45" s="8">
        <f ca="1">_xll.BDP($E45,AB$3)</f>
        <v>99.649000000000001</v>
      </c>
      <c r="AC45" s="38">
        <f ca="1">ROUND(_xll.meLWOBondFRNPriceFromDiscountMargin(T45,U45,V45/10000,W45/100,X45/100,Y45/100),3)</f>
        <v>99.649000000000001</v>
      </c>
      <c r="AD45" s="8">
        <f ca="1">ABS(AC45-AB45)</f>
        <v>0</v>
      </c>
      <c r="AE45" s="8">
        <f t="shared" ca="1" si="6"/>
        <v>99.649000000000001</v>
      </c>
      <c r="AF45" s="8">
        <f ca="1">ABS(AE45-AB45)</f>
        <v>0</v>
      </c>
      <c r="AG45" s="35">
        <f ca="1">_xll.meLWOBondFRNPriceFromYield(T45,U45,AA45/100,W45/100,X45/100,Y45/100)</f>
        <v>99.649001722204687</v>
      </c>
      <c r="AH45" s="35">
        <f ca="1">100*_xll.meLWOBondFRNYieldFromPrice(T45,U45,AG45,W45/100,X45/100,Y45/100)</f>
        <v>0.12747800000002624</v>
      </c>
      <c r="AI45" s="35">
        <f t="shared" ca="1" si="10"/>
        <v>2.6229018956769323E-14</v>
      </c>
      <c r="AJ45" s="40">
        <f ca="1">10000*_xll.meLWOBondFRNDiscountMarginFromPrice(T45,U45,AG45,W45/100,X45/100,Y45/100)</f>
        <v>43.847800000002621</v>
      </c>
      <c r="AK45" s="41">
        <f t="shared" ca="1" si="4"/>
        <v>4.2975280024393214E-5</v>
      </c>
    </row>
    <row r="46" spans="1:37" x14ac:dyDescent="0.25">
      <c r="A46" s="3" t="str">
        <f ca="1">_xll.BDP($E46,A$3)</f>
        <v>883556BT8</v>
      </c>
      <c r="B46" s="12" t="str">
        <f ca="1">_xll.BDP($E46,B$3)</f>
        <v>EUR</v>
      </c>
      <c r="C46" s="12" t="str">
        <f ca="1">_xll.BDP($E46,C$3)</f>
        <v>US</v>
      </c>
      <c r="D46" s="18" t="s">
        <v>218</v>
      </c>
      <c r="E46" s="3" t="str">
        <f t="shared" si="8"/>
        <v>XS1651071521 CORP</v>
      </c>
      <c r="F46" s="12">
        <f ca="1">_xll.BDP($E46,F$3)</f>
        <v>21</v>
      </c>
      <c r="G46" s="12" t="str">
        <f ca="1">_xll.BDP($E46,G$3)</f>
        <v>N</v>
      </c>
      <c r="H46" s="12" t="str">
        <f ca="1">_xll.BDP($E46,H$3)</f>
        <v>N</v>
      </c>
      <c r="I46" s="3" t="str">
        <f ca="1">_xll.BDP($E46,I$3)</f>
        <v>TMO F 07/24/19</v>
      </c>
      <c r="J46" s="3" t="s">
        <v>62</v>
      </c>
      <c r="K46" s="3" t="str">
        <f ca="1">_xll.BDP($E46,K$3)</f>
        <v>24/07/2017</v>
      </c>
      <c r="L46" s="5">
        <f ca="1">DATEVALUE(_xll.BDP($E46,L$3))</f>
        <v>43397</v>
      </c>
      <c r="M46" s="17" t="str">
        <f t="shared" ca="1" si="5"/>
        <v/>
      </c>
      <c r="N46" s="3" t="str">
        <f ca="1">_xll.BDP($E46,N$3)</f>
        <v>24/01/2019</v>
      </c>
      <c r="O46" s="3" t="str">
        <f ca="1">_xll.BDP($E46,O$3)</f>
        <v>24/07/2019</v>
      </c>
      <c r="P46" s="2">
        <v>0</v>
      </c>
      <c r="Q46" s="24">
        <f ca="1">_xll.BDP($E46,Q$3)</f>
        <v>23</v>
      </c>
      <c r="R46" s="5">
        <f ca="1">DATEVALUE(_xll.BDP($E46,R$3))</f>
        <v>43670</v>
      </c>
      <c r="S46" s="3" t="str">
        <f ca="1">_xll.BDP($E46,S$3)</f>
        <v>CLEAN</v>
      </c>
      <c r="T46" s="3" t="str">
        <f ca="1">_xll.meLWOBondCreateFromGeneratorLVB(I46,D46,_xll.meUtilityLVBFromKeysValues($I$4:$R$4,I46:R46))</f>
        <v>TMO F 07/24/19@228:14</v>
      </c>
      <c r="U46" s="23">
        <f t="shared" ca="1" si="9"/>
        <v>43454</v>
      </c>
      <c r="V46" s="8">
        <f ca="1">_xll.BDP($E46,V$3)</f>
        <v>5.835783484753204</v>
      </c>
      <c r="W46" s="8">
        <f ca="1">_xll.BDP($E46,W$3)</f>
        <v>-0.311</v>
      </c>
      <c r="X46" s="28">
        <f ca="1">_xll.BDP($E46,X$3)</f>
        <v>-0.36349999999999999</v>
      </c>
      <c r="Y46" s="28">
        <f ca="1">_xll.BDP($E46,Y$3)</f>
        <v>0</v>
      </c>
      <c r="Z46" s="24">
        <f ca="1">_xll.BDP($E46,Z$3)</f>
        <v>23</v>
      </c>
      <c r="AA46" s="35">
        <f ca="1">_xll.BDP($E46,AA$3)</f>
        <v>-0.25264199999999998</v>
      </c>
      <c r="AB46" s="8">
        <f ca="1">_xll.BDP($E46,AB$3)</f>
        <v>100.158</v>
      </c>
      <c r="AC46" s="38">
        <f ca="1">ROUND(_xll.meLWOBondFRNPriceFromDiscountMargin(T46,U46,V46/10000,W46/100,X46/100,Y46/100),3)</f>
        <v>100.158</v>
      </c>
      <c r="AD46" s="8">
        <f t="shared" ca="1" si="2"/>
        <v>0</v>
      </c>
      <c r="AE46" s="8">
        <f t="shared" ca="1" si="6"/>
        <v>100.158</v>
      </c>
      <c r="AF46" s="8">
        <f t="shared" ca="1" si="7"/>
        <v>0</v>
      </c>
      <c r="AG46" s="35">
        <f ca="1">_xll.meLWOBondFRNPriceFromYield(T46,U46,AA46/100,W46/100,X46/100,Y46/100)</f>
        <v>100.15799993661743</v>
      </c>
      <c r="AH46" s="35">
        <f ca="1">100*_xll.meLWOBondFRNYieldFromPrice(T46,U46,AG46,W46/100,X46/100,Y46/100)</f>
        <v>-0.25264199999994741</v>
      </c>
      <c r="AI46" s="35">
        <f t="shared" ca="1" si="10"/>
        <v>5.2569060216001162E-14</v>
      </c>
      <c r="AJ46" s="40">
        <f ca="1">10000*_xll.meLWOBondFRNDiscountMarginFromPrice(T46,U46,AG46,W46/100,X46/100,Y46/100)</f>
        <v>5.8358000000052579</v>
      </c>
      <c r="AK46" s="41">
        <f t="shared" ca="1" si="4"/>
        <v>1.6515252053928009E-5</v>
      </c>
    </row>
    <row r="47" spans="1:37" x14ac:dyDescent="0.25">
      <c r="A47" s="3" t="str">
        <f ca="1">_xll.BDP($E47,A$3)</f>
        <v>QZ4701087</v>
      </c>
      <c r="B47" s="12" t="str">
        <f ca="1">_xll.BDP($E47,B$3)</f>
        <v>EUR</v>
      </c>
      <c r="C47" s="12" t="str">
        <f ca="1">_xll.BDP($E47,C$3)</f>
        <v>DE</v>
      </c>
      <c r="D47" s="18" t="s">
        <v>218</v>
      </c>
      <c r="E47" s="3" t="str">
        <f t="shared" si="8"/>
        <v>DE000A185WC9 CORP</v>
      </c>
      <c r="F47" s="12">
        <f ca="1">_xll.BDP($E47,F$3)</f>
        <v>21</v>
      </c>
      <c r="G47" s="12" t="str">
        <f ca="1">_xll.BDP($E47,G$3)</f>
        <v>N</v>
      </c>
      <c r="H47" s="12" t="str">
        <f ca="1">_xll.BDP($E47,H$3)</f>
        <v>N</v>
      </c>
      <c r="I47" s="3" t="str">
        <f ca="1">_xll.BDP($E47,I$3)</f>
        <v>ANNGR F 09/13/18 EMTN</v>
      </c>
      <c r="J47" s="3" t="s">
        <v>63</v>
      </c>
      <c r="K47" s="3" t="str">
        <f ca="1">_xll.BDP($E47,K$3)</f>
        <v>13/09/2016</v>
      </c>
      <c r="L47" s="5">
        <f ca="1">DATEVALUE(_xll.BDP($E47,L$3))</f>
        <v>43264</v>
      </c>
      <c r="M47" s="17" t="e">
        <f t="shared" ca="1" si="5"/>
        <v>#VALUE!</v>
      </c>
      <c r="N47" s="3" t="str">
        <f ca="1">_xll.BDP($E47,N$3)</f>
        <v>#N/A Field Not Applicable</v>
      </c>
      <c r="O47" s="3" t="str">
        <f ca="1">_xll.BDP($E47,O$3)</f>
        <v>13/09/2018</v>
      </c>
      <c r="P47" s="2">
        <v>0</v>
      </c>
      <c r="Q47" s="24">
        <f ca="1">_xll.BDP($E47,Q$3)</f>
        <v>38</v>
      </c>
      <c r="R47" s="5">
        <f ca="1">DATEVALUE(_xll.BDP($E47,R$3))</f>
        <v>43356</v>
      </c>
      <c r="S47" s="3" t="str">
        <f ca="1">_xll.BDP($E47,S$3)</f>
        <v>CLEAN</v>
      </c>
      <c r="T47" s="3" t="str">
        <f ca="1">_xll.meLWOBondCreateFromGeneratorLVB(I47,D47,_xll.meUtilityLVBFromKeysValues($I$4:$R$4,I47:R47))</f>
        <v>#Error: Key #ERROR: KEYS AND VALUES ARE NOT THE SAME SIZE. is not an expected key.</v>
      </c>
      <c r="U47" s="23">
        <f t="shared" ca="1" si="9"/>
        <v>43454</v>
      </c>
      <c r="V47" s="8" t="str">
        <f ca="1">_xll.BDP($E47,V$3)</f>
        <v>#N/A N/A</v>
      </c>
      <c r="W47" s="8" t="str">
        <f ca="1">_xll.BDP($E47,W$3)</f>
        <v>#N/A N/A</v>
      </c>
      <c r="X47" s="28" t="str">
        <f ca="1">_xll.BDP($E47,X$3)</f>
        <v>#N/A N/A</v>
      </c>
      <c r="Y47" s="28">
        <f ca="1">_xll.BDP($E47,Y$3)</f>
        <v>5.8999999999999997E-2</v>
      </c>
      <c r="Z47" s="24">
        <f ca="1">_xll.BDP($E47,Z$3)</f>
        <v>38</v>
      </c>
      <c r="AA47" s="35" t="str">
        <f ca="1">_xll.BDP($E47,AA$3)</f>
        <v>#N/A N/A</v>
      </c>
      <c r="AB47" s="8" t="str">
        <f ca="1">_xll.BDP($E47,AB$3)</f>
        <v>#N/A N/A</v>
      </c>
      <c r="AC47" s="38" t="e">
        <f ca="1">ROUND(_xll.meLWOBondFRNPriceFromDiscountMargin(T47,U47,V47/10000,W47/100,X47/100,Y47/100),3)</f>
        <v>#VALUE!</v>
      </c>
      <c r="AD47" s="8" t="e">
        <f t="shared" ca="1" si="2"/>
        <v>#VALUE!</v>
      </c>
      <c r="AE47" s="8" t="e">
        <f t="shared" ca="1" si="6"/>
        <v>#VALUE!</v>
      </c>
      <c r="AF47" s="8" t="e">
        <f t="shared" ca="1" si="7"/>
        <v>#VALUE!</v>
      </c>
      <c r="AG47" s="35" t="e">
        <f ca="1">_xll.meLWOBondFRNPriceFromYield(T47,U47,AA47/100,W47/100,X47/100,Y47/100)</f>
        <v>#VALUE!</v>
      </c>
      <c r="AH47" s="35" t="e">
        <f ca="1">100*_xll.meLWOBondFRNYieldFromPrice(T47,U47,AG47,W47/100,X47/100,Y47/100)</f>
        <v>#VALUE!</v>
      </c>
      <c r="AI47" s="35" t="e">
        <f t="shared" ca="1" si="10"/>
        <v>#VALUE!</v>
      </c>
      <c r="AJ47" s="40" t="e">
        <f ca="1">10000*_xll.meLWOBondFRNDiscountMarginFromPrice(T47,U47,AG47,W47/100,X47/100,Y47/100)</f>
        <v>#VALUE!</v>
      </c>
      <c r="AK47" s="41" t="e">
        <f t="shared" ca="1" si="4"/>
        <v>#VALUE!</v>
      </c>
    </row>
    <row r="48" spans="1:37" x14ac:dyDescent="0.25">
      <c r="A48" s="3" t="str">
        <f ca="1">_xll.BDP($E48,A$3)</f>
        <v>EK6862511</v>
      </c>
      <c r="B48" s="12" t="str">
        <f ca="1">_xll.BDP($E48,B$3)</f>
        <v>EUR</v>
      </c>
      <c r="C48" s="12" t="str">
        <f ca="1">_xll.BDP($E48,C$3)</f>
        <v>FR</v>
      </c>
      <c r="D48" s="18" t="s">
        <v>218</v>
      </c>
      <c r="E48" s="3" t="str">
        <f t="shared" si="8"/>
        <v>FR0012432904 CORP</v>
      </c>
      <c r="F48" s="12">
        <f ca="1">_xll.BDP($E48,F$3)</f>
        <v>21</v>
      </c>
      <c r="G48" s="12" t="str">
        <f ca="1">_xll.BDP($E48,G$3)</f>
        <v>N</v>
      </c>
      <c r="H48" s="12" t="str">
        <f ca="1">_xll.BDP($E48,H$3)</f>
        <v>N</v>
      </c>
      <c r="I48" s="3" t="str">
        <f ca="1">_xll.BDP($E48,I$3)</f>
        <v>BNFP F 01/14/20 EMTN</v>
      </c>
      <c r="J48" s="3" t="s">
        <v>64</v>
      </c>
      <c r="K48" s="3" t="str">
        <f ca="1">_xll.BDP($E48,K$3)</f>
        <v>14/01/2015</v>
      </c>
      <c r="L48" s="5">
        <f ca="1">DATEVALUE(_xll.BDP($E48,L$3))</f>
        <v>43388</v>
      </c>
      <c r="M48" s="17" t="str">
        <f t="shared" ca="1" si="5"/>
        <v/>
      </c>
      <c r="N48" s="3" t="str">
        <f ca="1">_xll.BDP($E48,N$3)</f>
        <v>14/01/2019</v>
      </c>
      <c r="O48" s="3" t="str">
        <f ca="1">_xll.BDP($E48,O$3)</f>
        <v>14/01/2020</v>
      </c>
      <c r="P48" s="2">
        <v>0</v>
      </c>
      <c r="Q48" s="24">
        <f ca="1">_xll.BDP($E48,Q$3)</f>
        <v>33</v>
      </c>
      <c r="R48" s="5">
        <f ca="1">DATEVALUE(_xll.BDP($E48,R$3))</f>
        <v>43844</v>
      </c>
      <c r="S48" s="3" t="str">
        <f ca="1">_xll.BDP($E48,S$3)</f>
        <v>CLEAN</v>
      </c>
      <c r="T48" s="3" t="str">
        <f ca="1">_xll.meLWOBondCreateFromGeneratorLVB(I48,D48,_xll.meUtilityLVBFromKeysValues($I$4:$R$4,I48:R48))</f>
        <v>BNFP F 01/14/20 EMTN@226:14</v>
      </c>
      <c r="U48" s="23">
        <f t="shared" ca="1" si="9"/>
        <v>43454</v>
      </c>
      <c r="V48" s="8">
        <f ca="1">_xll.BDP($E48,V$3)</f>
        <v>5.8038484715048577</v>
      </c>
      <c r="W48" s="8">
        <f ca="1">_xll.BDP($E48,W$3)</f>
        <v>-0.311</v>
      </c>
      <c r="X48" s="28">
        <f ca="1">_xll.BDP($E48,X$3)</f>
        <v>-0.37095652173913041</v>
      </c>
      <c r="Y48" s="28">
        <f ca="1">_xll.BDP($E48,Y$3)</f>
        <v>1.2E-2</v>
      </c>
      <c r="Z48" s="24">
        <f ca="1">_xll.BDP($E48,Z$3)</f>
        <v>33</v>
      </c>
      <c r="AA48" s="35">
        <f ca="1">_xll.BDP($E48,AA$3)</f>
        <v>-0.25296200000000002</v>
      </c>
      <c r="AB48" s="8">
        <f ca="1">_xll.BDP($E48,AB$3)</f>
        <v>100.29900000000001</v>
      </c>
      <c r="AC48" s="38">
        <f ca="1">ROUND(_xll.meLWOBondFRNPriceFromDiscountMargin(T48,U48,V48/10000,W48/100,X48/100,Y48/100),3)</f>
        <v>100.29900000000001</v>
      </c>
      <c r="AD48" s="8">
        <f t="shared" ca="1" si="2"/>
        <v>0</v>
      </c>
      <c r="AE48" s="8">
        <f t="shared" ca="1" si="6"/>
        <v>100.29900000000001</v>
      </c>
      <c r="AF48" s="8">
        <f t="shared" ca="1" si="7"/>
        <v>0</v>
      </c>
      <c r="AG48" s="35">
        <f ca="1">_xll.meLWOBondFRNPriceFromYield(T48,U48,AA48/100,W48/100,X48/100,Y48/100)</f>
        <v>100.29900052730045</v>
      </c>
      <c r="AH48" s="35">
        <f ca="1">100*_xll.meLWOBondFRNYieldFromPrice(T48,U48,AG48,W48/100,X48/100,Y48/100)</f>
        <v>-0.2529619999999097</v>
      </c>
      <c r="AI48" s="35">
        <f t="shared" ca="1" si="10"/>
        <v>9.0316643053256485E-14</v>
      </c>
      <c r="AJ48" s="40">
        <f ca="1">10000*_xll.meLWOBondFRNDiscountMarginFromPrice(T48,U48,AG48,W48/100,X48/100,Y48/100)</f>
        <v>5.8038000000090264</v>
      </c>
      <c r="AK48" s="41">
        <f t="shared" ca="1" si="4"/>
        <v>4.8471495831314826E-5</v>
      </c>
    </row>
    <row r="49" spans="1:40" x14ac:dyDescent="0.25">
      <c r="A49" s="3" t="str">
        <f ca="1">_xll.BDP($E49,A$3)</f>
        <v>AM1889873</v>
      </c>
      <c r="B49" s="12" t="str">
        <f ca="1">_xll.BDP($E49,B$3)</f>
        <v>EUR</v>
      </c>
      <c r="C49" s="12" t="str">
        <f ca="1">_xll.BDP($E49,C$3)</f>
        <v>SE</v>
      </c>
      <c r="D49" s="18" t="s">
        <v>218</v>
      </c>
      <c r="E49" s="3" t="str">
        <f t="shared" si="8"/>
        <v>XS1554462421 CORP</v>
      </c>
      <c r="F49" s="12">
        <f ca="1">_xll.BDP($E49,F$3)</f>
        <v>21</v>
      </c>
      <c r="G49" s="12" t="str">
        <f ca="1">_xll.BDP($E49,G$3)</f>
        <v>N</v>
      </c>
      <c r="H49" s="12" t="str">
        <f ca="1">_xll.BDP($E49,H$3)</f>
        <v>N</v>
      </c>
      <c r="I49" s="3" t="str">
        <f ca="1">_xll.BDP($E49,I$3)</f>
        <v>SCANIA F 10/24/18 EMTN</v>
      </c>
      <c r="J49" s="3" t="s">
        <v>65</v>
      </c>
      <c r="K49" s="3" t="str">
        <f ca="1">_xll.BDP($E49,K$3)</f>
        <v>24/01/2017</v>
      </c>
      <c r="L49" s="5">
        <f ca="1">DATEVALUE(_xll.BDP($E49,L$3))</f>
        <v>43305</v>
      </c>
      <c r="M49" s="17" t="e">
        <f t="shared" ca="1" si="5"/>
        <v>#VALUE!</v>
      </c>
      <c r="N49" s="3" t="str">
        <f ca="1">_xll.BDP($E49,N$3)</f>
        <v>#N/A Field Not Applicable</v>
      </c>
      <c r="O49" s="3" t="str">
        <f ca="1">_xll.BDP($E49,O$3)</f>
        <v>24/10/2018</v>
      </c>
      <c r="P49" s="2">
        <v>0</v>
      </c>
      <c r="Q49" s="24">
        <f ca="1">_xll.BDP($E49,Q$3)</f>
        <v>35</v>
      </c>
      <c r="R49" s="5">
        <f ca="1">DATEVALUE(_xll.BDP($E49,R$3))</f>
        <v>43397</v>
      </c>
      <c r="S49" s="3" t="str">
        <f ca="1">_xll.BDP($E49,S$3)</f>
        <v>CLEAN</v>
      </c>
      <c r="T49" s="3" t="str">
        <f ca="1">_xll.meLWOBondCreateFromGeneratorLVB(I49,D49,_xll.meUtilityLVBFromKeysValues($I$4:$R$4,I49:R49))</f>
        <v>#Error: Key #ERROR: KEYS AND VALUES ARE NOT THE SAME SIZE. is not an expected key.</v>
      </c>
      <c r="U49" s="23">
        <f t="shared" ca="1" si="9"/>
        <v>43454</v>
      </c>
      <c r="V49" s="8" t="str">
        <f ca="1">_xll.BDP($E49,V$3)</f>
        <v>#N/A N/A</v>
      </c>
      <c r="W49" s="8" t="str">
        <f ca="1">_xll.BDP($E49,W$3)</f>
        <v>#N/A N/A</v>
      </c>
      <c r="X49" s="28" t="str">
        <f ca="1">_xll.BDP($E49,X$3)</f>
        <v>#N/A N/A</v>
      </c>
      <c r="Y49" s="28">
        <f ca="1">_xll.BDP($E49,Y$3)</f>
        <v>2.9000000000000001E-2</v>
      </c>
      <c r="Z49" s="24">
        <f ca="1">_xll.BDP($E49,Z$3)</f>
        <v>35</v>
      </c>
      <c r="AA49" s="35" t="str">
        <f ca="1">_xll.BDP($E49,AA$3)</f>
        <v>#N/A N/A</v>
      </c>
      <c r="AB49" s="8" t="str">
        <f ca="1">_xll.BDP($E49,AB$3)</f>
        <v>#N/A N/A</v>
      </c>
      <c r="AC49" s="38" t="e">
        <f ca="1">ROUND(_xll.meLWOBondFRNPriceFromDiscountMargin(T49,U49,V49/10000,W49/100,X49/100,Y49/100),3)</f>
        <v>#VALUE!</v>
      </c>
      <c r="AD49" s="8" t="e">
        <f t="shared" ca="1" si="2"/>
        <v>#VALUE!</v>
      </c>
      <c r="AE49" s="8" t="e">
        <f t="shared" ca="1" si="6"/>
        <v>#VALUE!</v>
      </c>
      <c r="AF49" s="8" t="e">
        <f t="shared" ca="1" si="7"/>
        <v>#VALUE!</v>
      </c>
      <c r="AG49" s="35" t="e">
        <f ca="1">_xll.meLWOBondFRNPriceFromYield(T49,U49,AA49/100,W49/100,X49/100,Y49/100)</f>
        <v>#VALUE!</v>
      </c>
      <c r="AH49" s="35" t="e">
        <f ca="1">100*_xll.meLWOBondFRNYieldFromPrice(T49,U49,AG49,W49/100,X49/100,Y49/100)</f>
        <v>#VALUE!</v>
      </c>
      <c r="AI49" s="35" t="e">
        <f t="shared" ca="1" si="10"/>
        <v>#VALUE!</v>
      </c>
      <c r="AJ49" s="40" t="e">
        <f ca="1">10000*_xll.meLWOBondFRNDiscountMarginFromPrice(T49,U49,AG49,W49/100,X49/100,Y49/100)</f>
        <v>#VALUE!</v>
      </c>
      <c r="AK49" s="41" t="e">
        <f t="shared" ca="1" si="4"/>
        <v>#VALUE!</v>
      </c>
    </row>
    <row r="50" spans="1:40" x14ac:dyDescent="0.25">
      <c r="A50" s="3" t="str">
        <f ca="1">_xll.BDP($E50,A$3)</f>
        <v>039483BJ0</v>
      </c>
      <c r="B50" s="12" t="str">
        <f ca="1">_xll.BDP($E50,B$3)</f>
        <v>EUR</v>
      </c>
      <c r="C50" s="12" t="str">
        <f ca="1">_xll.BDP($E50,C$3)</f>
        <v>US</v>
      </c>
      <c r="D50" s="18" t="s">
        <v>218</v>
      </c>
      <c r="E50" s="3" t="str">
        <f t="shared" si="8"/>
        <v>XS1249494086 CORP</v>
      </c>
      <c r="F50" s="12">
        <f ca="1">_xll.BDP($E50,F$3)</f>
        <v>21</v>
      </c>
      <c r="G50" s="12" t="str">
        <f ca="1">_xll.BDP($E50,G$3)</f>
        <v>N</v>
      </c>
      <c r="H50" s="12" t="str">
        <f ca="1">_xll.BDP($E50,H$3)</f>
        <v>N</v>
      </c>
      <c r="I50" s="3" t="str">
        <f ca="1">_xll.BDP($E50,I$3)</f>
        <v>ADM F 06/24/19</v>
      </c>
      <c r="J50" s="3" t="s">
        <v>66</v>
      </c>
      <c r="K50" s="3" t="str">
        <f ca="1">_xll.BDP($E50,K$3)</f>
        <v>24/06/2015</v>
      </c>
      <c r="L50" s="5">
        <f ca="1">DATEVALUE(_xll.BDP($E50,L$3))</f>
        <v>43367</v>
      </c>
      <c r="M50" s="17" t="str">
        <f t="shared" ca="1" si="5"/>
        <v/>
      </c>
      <c r="N50" s="3" t="str">
        <f ca="1">_xll.BDP($E50,N$3)</f>
        <v>24/12/2018</v>
      </c>
      <c r="O50" s="3" t="str">
        <f ca="1">_xll.BDP($E50,O$3)</f>
        <v>24/06/2019</v>
      </c>
      <c r="P50" s="2">
        <v>0</v>
      </c>
      <c r="Q50" s="24">
        <f ca="1">_xll.BDP($E50,Q$3)</f>
        <v>50</v>
      </c>
      <c r="R50" s="5">
        <f ca="1">DATEVALUE(_xll.BDP($E50,R$3))</f>
        <v>43640</v>
      </c>
      <c r="S50" s="3" t="str">
        <f ca="1">_xll.BDP($E50,S$3)</f>
        <v>CLEAN</v>
      </c>
      <c r="T50" s="3" t="str">
        <f ca="1">_xll.meLWOBondCreateFromGeneratorLVB(I50,D50,_xll.meUtilityLVBFromKeysValues($I$4:$R$4,I50:R50))</f>
        <v>ADM F 06/24/19@224:14</v>
      </c>
      <c r="U50" s="23">
        <f t="shared" ca="1" si="9"/>
        <v>43454</v>
      </c>
      <c r="V50" s="8">
        <f ca="1">_xll.BDP($E50,V$3)</f>
        <v>10.228522460474368</v>
      </c>
      <c r="W50" s="8">
        <f ca="1">_xll.BDP($E50,W$3)</f>
        <v>-0.311</v>
      </c>
      <c r="X50" s="28">
        <f ca="1">_xll.BDP($E50,X$3)</f>
        <v>-0.378</v>
      </c>
      <c r="Y50" s="28">
        <f ca="1">_xll.BDP($E50,Y$3)</f>
        <v>0.18099999999999999</v>
      </c>
      <c r="Z50" s="24">
        <f ca="1">_xll.BDP($E50,Z$3)</f>
        <v>50</v>
      </c>
      <c r="AA50" s="35">
        <f ca="1">_xll.BDP($E50,AA$3)</f>
        <v>-0.20871500000000001</v>
      </c>
      <c r="AB50" s="8">
        <f ca="1">_xll.BDP($E50,AB$3)</f>
        <v>100.20699999999999</v>
      </c>
      <c r="AC50" s="38">
        <f ca="1">ROUND(_xll.meLWOBondFRNPriceFromDiscountMargin(T50,U50,V50/10000,W50/100,X50/100,Y50/100),3)</f>
        <v>100.20699999999999</v>
      </c>
      <c r="AD50" s="8">
        <f t="shared" ca="1" si="2"/>
        <v>0</v>
      </c>
      <c r="AE50" s="8">
        <f t="shared" ca="1" si="6"/>
        <v>100.20699999999999</v>
      </c>
      <c r="AF50" s="8">
        <f t="shared" ca="1" si="7"/>
        <v>0</v>
      </c>
      <c r="AG50" s="35">
        <f ca="1">_xll.meLWOBondFRNPriceFromYield(T50,U50,AA50/100,W50/100,X50/100,Y50/100)</f>
        <v>100.20700012565572</v>
      </c>
      <c r="AH50" s="35">
        <f ca="1">100*_xll.meLWOBondFRNYieldFromPrice(T50,U50,AG50,W50/100,X50/100,Y50/100)</f>
        <v>-0.20871499999997994</v>
      </c>
      <c r="AI50" s="35">
        <f t="shared" ca="1" si="10"/>
        <v>2.0067281170099704E-14</v>
      </c>
      <c r="AJ50" s="40">
        <f ca="1">10000*_xll.meLWOBondFRNDiscountMarginFromPrice(T50,U50,AG50,W50/100,X50/100,Y50/100)</f>
        <v>10.228500000002004</v>
      </c>
      <c r="AK50" s="41">
        <f t="shared" ca="1" si="4"/>
        <v>2.2460472363761141E-5</v>
      </c>
    </row>
    <row r="51" spans="1:40" x14ac:dyDescent="0.25">
      <c r="A51" s="3" t="str">
        <f ca="1">_xll.BDP($E51,A$3)</f>
        <v>EK8273956</v>
      </c>
      <c r="B51" s="12" t="str">
        <f ca="1">_xll.BDP($E51,B$3)</f>
        <v>EUR</v>
      </c>
      <c r="C51" s="12" t="str">
        <f ca="1">_xll.BDP($E51,C$3)</f>
        <v>DE</v>
      </c>
      <c r="D51" s="18" t="s">
        <v>218</v>
      </c>
      <c r="E51" s="3" t="str">
        <f t="shared" si="8"/>
        <v>DE000A14KJE8 CORP</v>
      </c>
      <c r="F51" s="12">
        <f ca="1">_xll.BDP($E51,F$3)</f>
        <v>21</v>
      </c>
      <c r="G51" s="12" t="str">
        <f ca="1">_xll.BDP($E51,G$3)</f>
        <v>N</v>
      </c>
      <c r="H51" s="12" t="str">
        <f ca="1">_xll.BDP($E51,H$3)</f>
        <v>N</v>
      </c>
      <c r="I51" s="3" t="str">
        <f ca="1">_xll.BDP($E51,I$3)</f>
        <v>SAPGR F 04/01/20 eMTN</v>
      </c>
      <c r="J51" s="3" t="s">
        <v>67</v>
      </c>
      <c r="K51" s="3" t="str">
        <f ca="1">_xll.BDP($E51,K$3)</f>
        <v>01/04/2015</v>
      </c>
      <c r="L51" s="5">
        <f ca="1">DATEVALUE(_xll.BDP($E51,L$3))</f>
        <v>43374</v>
      </c>
      <c r="M51" s="17">
        <f t="shared" ca="1" si="5"/>
        <v>2</v>
      </c>
      <c r="N51" s="3" t="str">
        <f ca="1">_xll.BDP($E51,N$3)</f>
        <v>02/01/2019</v>
      </c>
      <c r="O51" s="3" t="str">
        <f ca="1">_xll.BDP($E51,O$3)</f>
        <v>01/04/2020</v>
      </c>
      <c r="P51" s="2">
        <v>0</v>
      </c>
      <c r="Q51" s="24">
        <f ca="1">_xll.BDP($E51,Q$3)</f>
        <v>30</v>
      </c>
      <c r="R51" s="5">
        <f ca="1">DATEVALUE(_xll.BDP($E51,R$3))</f>
        <v>43922</v>
      </c>
      <c r="S51" s="3" t="str">
        <f ca="1">_xll.BDP($E51,S$3)</f>
        <v>CLEAN</v>
      </c>
      <c r="T51" s="3" t="str">
        <f ca="1">_xll.meLWOBondCreateFromGeneratorLVB(I51,D51,_xll.meUtilityLVBFromKeysValues($I$4:$R$4,I51:R51))</f>
        <v>SAPGR F 04/01/20 EMTN@223:14</v>
      </c>
      <c r="U51" s="23">
        <f t="shared" ca="1" si="9"/>
        <v>43454</v>
      </c>
      <c r="V51" s="8">
        <f ca="1">_xll.BDP($E51,V$3)</f>
        <v>12.064156421900957</v>
      </c>
      <c r="W51" s="8">
        <f ca="1">_xll.BDP($E51,W$3)</f>
        <v>-0.311</v>
      </c>
      <c r="X51" s="28">
        <f ca="1">_xll.BDP($E51,X$3)</f>
        <v>-0.37565217391304345</v>
      </c>
      <c r="Y51" s="28">
        <f ca="1">_xll.BDP($E51,Y$3)</f>
        <v>0</v>
      </c>
      <c r="Z51" s="24">
        <f ca="1">_xll.BDP($E51,Z$3)</f>
        <v>30</v>
      </c>
      <c r="AA51" s="35">
        <f ca="1">_xll.BDP($E51,AA$3)</f>
        <v>-0.190358</v>
      </c>
      <c r="AB51" s="8">
        <f ca="1">_xll.BDP($E51,AB$3)</f>
        <v>100.251</v>
      </c>
      <c r="AC51" s="38">
        <f ca="1">ROUND(_xll.meLWOBondFRNPriceFromDiscountMargin(T51,U51,V51/10000,W51/100,X51/100,Y51/100),3)</f>
        <v>100.251</v>
      </c>
      <c r="AD51" s="8">
        <f t="shared" ca="1" si="2"/>
        <v>0</v>
      </c>
      <c r="AE51" s="8">
        <f t="shared" ca="1" si="6"/>
        <v>100.251</v>
      </c>
      <c r="AF51" s="8">
        <f t="shared" ca="1" si="7"/>
        <v>0</v>
      </c>
      <c r="AG51" s="35">
        <f ca="1">_xll.meLWOBondFRNPriceFromYield(T51,U51,AA51/100,W51/100,X51/100,Y51/100)</f>
        <v>100.25099947122725</v>
      </c>
      <c r="AH51" s="35">
        <f ca="1">100*_xll.meLWOBondFRNYieldFromPrice(T51,U51,AG51,W51/100,X51/100,Y51/100)</f>
        <v>-0.19035800000001868</v>
      </c>
      <c r="AI51" s="35">
        <f t="shared" ca="1" si="10"/>
        <v>1.8679502389318259E-14</v>
      </c>
      <c r="AJ51" s="40">
        <f ca="1">10000*_xll.meLWOBondFRNDiscountMarginFromPrice(T51,U51,AG51,W51/100,X51/100,Y51/100)</f>
        <v>12.064199999998133</v>
      </c>
      <c r="AK51" s="41">
        <f t="shared" ca="1" si="4"/>
        <v>4.3578097175256403E-5</v>
      </c>
    </row>
    <row r="52" spans="1:40" x14ac:dyDescent="0.25">
      <c r="A52" s="3" t="str">
        <f ca="1">_xll.BDP($E52,A$3)</f>
        <v>EK9141145</v>
      </c>
      <c r="B52" s="12" t="str">
        <f ca="1">_xll.BDP($E52,B$3)</f>
        <v>EUR</v>
      </c>
      <c r="C52" s="12" t="str">
        <f ca="1">_xll.BDP($E52,C$3)</f>
        <v>US</v>
      </c>
      <c r="D52" s="18" t="s">
        <v>218</v>
      </c>
      <c r="E52" s="3" t="str">
        <f t="shared" si="8"/>
        <v>XS1234366448 CORP</v>
      </c>
      <c r="F52" s="12">
        <f ca="1">_xll.BDP($E52,F$3)</f>
        <v>21</v>
      </c>
      <c r="G52" s="12" t="str">
        <f ca="1">_xll.BDP($E52,G$3)</f>
        <v>N</v>
      </c>
      <c r="H52" s="12" t="str">
        <f ca="1">_xll.BDP($E52,H$3)</f>
        <v>N</v>
      </c>
      <c r="I52" s="3" t="str">
        <f ca="1">_xll.BDP($E52,I$3)</f>
        <v>MMM F 05/15/20 EMTN</v>
      </c>
      <c r="J52" s="3" t="s">
        <v>68</v>
      </c>
      <c r="K52" s="3" t="str">
        <f ca="1">_xll.BDP($E52,K$3)</f>
        <v>20/05/2015</v>
      </c>
      <c r="L52" s="5">
        <f ca="1">DATEVALUE(_xll.BDP($E52,L$3))</f>
        <v>43419</v>
      </c>
      <c r="M52" s="17" t="str">
        <f t="shared" ca="1" si="5"/>
        <v/>
      </c>
      <c r="N52" s="3" t="str">
        <f ca="1">_xll.BDP($E52,N$3)</f>
        <v>15/02/2019</v>
      </c>
      <c r="O52" s="3" t="str">
        <f ca="1">_xll.BDP($E52,O$3)</f>
        <v>15/05/2020</v>
      </c>
      <c r="P52" s="2">
        <v>0</v>
      </c>
      <c r="Q52" s="24">
        <f ca="1">_xll.BDP($E52,Q$3)</f>
        <v>23</v>
      </c>
      <c r="R52" s="5">
        <f ca="1">DATEVALUE(_xll.BDP($E52,R$3))</f>
        <v>43966</v>
      </c>
      <c r="S52" s="3" t="str">
        <f ca="1">_xll.BDP($E52,S$3)</f>
        <v>CLEAN</v>
      </c>
      <c r="T52" s="3" t="str">
        <f ca="1">_xll.meLWOBondCreateFromGeneratorLVB(I52,D52,_xll.meUtilityLVBFromKeysValues($I$4:$R$4,I52:R52))</f>
        <v>MMM F 05/15/20 EMTN@222:14</v>
      </c>
      <c r="U52" s="23">
        <f t="shared" ca="1" si="9"/>
        <v>43454</v>
      </c>
      <c r="V52" s="8">
        <f ca="1">_xll.BDP($E52,V$3)</f>
        <v>15.662618405513323</v>
      </c>
      <c r="W52" s="8">
        <f ca="1">_xll.BDP($E52,W$3)</f>
        <v>-0.311</v>
      </c>
      <c r="X52" s="28">
        <f ca="1">_xll.BDP($E52,X$3)</f>
        <v>-0.33929999999999999</v>
      </c>
      <c r="Y52" s="28">
        <f ca="1">_xll.BDP($E52,Y$3)</f>
        <v>0</v>
      </c>
      <c r="Z52" s="24">
        <f ca="1">_xll.BDP($E52,Z$3)</f>
        <v>23</v>
      </c>
      <c r="AA52" s="35">
        <f ca="1">_xll.BDP($E52,AA$3)</f>
        <v>-0.15437400000000001</v>
      </c>
      <c r="AB52" s="8">
        <f ca="1">_xll.BDP($E52,AB$3)</f>
        <v>100.22499999999999</v>
      </c>
      <c r="AC52" s="38">
        <f ca="1">ROUND(_xll.meLWOBondFRNPriceFromDiscountMargin(T52,U52,V52/10000,W52/100,X52/100,Y52/100),3)</f>
        <v>100.22499999999999</v>
      </c>
      <c r="AD52" s="8">
        <f t="shared" ca="1" si="2"/>
        <v>0</v>
      </c>
      <c r="AE52" s="8">
        <f t="shared" ca="1" si="6"/>
        <v>100.22499999999999</v>
      </c>
      <c r="AF52" s="8">
        <f t="shared" ca="1" si="7"/>
        <v>0</v>
      </c>
      <c r="AG52" s="35">
        <f ca="1">_xll.meLWOBondFRNPriceFromYield(T52,U52,AA52/100,W52/100,X52/100,Y52/100)</f>
        <v>100.22500026331613</v>
      </c>
      <c r="AH52" s="35">
        <f ca="1">100*_xll.meLWOBondFRNYieldFromPrice(T52,U52,AG52,W52/100,X52/100,Y52/100)</f>
        <v>-0.15437399999996435</v>
      </c>
      <c r="AI52" s="35">
        <f t="shared" ca="1" si="10"/>
        <v>3.5665914666083154E-14</v>
      </c>
      <c r="AJ52" s="40">
        <f ca="1">10000*_xll.meLWOBondFRNDiscountMarginFromPrice(T52,U52,AG52,W52/100,X52/100,Y52/100)</f>
        <v>15.662600000003566</v>
      </c>
      <c r="AK52" s="41">
        <f t="shared" ca="1" si="4"/>
        <v>1.8405509756291849E-5</v>
      </c>
    </row>
    <row r="53" spans="1:40" x14ac:dyDescent="0.25">
      <c r="A53" s="3" t="str">
        <f ca="1">_xll.BDP($E53,A$3)</f>
        <v>AM9627366</v>
      </c>
      <c r="B53" s="12" t="str">
        <f ca="1">_xll.BDP($E53,B$3)</f>
        <v>EUR</v>
      </c>
      <c r="C53" s="12" t="str">
        <f ca="1">_xll.BDP($E53,C$3)</f>
        <v>DE</v>
      </c>
      <c r="D53" s="18" t="s">
        <v>218</v>
      </c>
      <c r="E53" s="3" t="str">
        <f t="shared" si="8"/>
        <v>XS1586555515 CORP</v>
      </c>
      <c r="F53" s="12">
        <f ca="1">_xll.BDP($E53,F$3)</f>
        <v>21</v>
      </c>
      <c r="G53" s="12" t="str">
        <f ca="1">_xll.BDP($E53,G$3)</f>
        <v>N</v>
      </c>
      <c r="H53" s="12" t="str">
        <f ca="1">_xll.BDP($E53,H$3)</f>
        <v>N</v>
      </c>
      <c r="I53" s="3" t="str">
        <f ca="1">_xll.BDP($E53,I$3)</f>
        <v>VW F 03/30/19</v>
      </c>
      <c r="J53" s="3" t="s">
        <v>69</v>
      </c>
      <c r="K53" s="3" t="str">
        <f ca="1">_xll.BDP($E53,K$3)</f>
        <v>30/03/2017</v>
      </c>
      <c r="L53" s="5">
        <f ca="1">DATEVALUE(_xll.BDP($E53,L$3))</f>
        <v>43371</v>
      </c>
      <c r="M53" s="17">
        <f t="shared" ca="1" si="5"/>
        <v>31</v>
      </c>
      <c r="N53" s="3" t="str">
        <f ca="1">_xll.BDP($E53,N$3)</f>
        <v>31/12/2018</v>
      </c>
      <c r="O53" s="3" t="str">
        <f ca="1">_xll.BDP($E53,O$3)</f>
        <v>30/03/2019</v>
      </c>
      <c r="P53" s="2">
        <v>0</v>
      </c>
      <c r="Q53" s="24">
        <f ca="1">_xll.BDP($E53,Q$3)</f>
        <v>35</v>
      </c>
      <c r="R53" s="5">
        <f ca="1">DATEVALUE(_xll.BDP($E53,R$3))</f>
        <v>43554</v>
      </c>
      <c r="S53" s="3" t="str">
        <f ca="1">_xll.BDP($E53,S$3)</f>
        <v>CLEAN</v>
      </c>
      <c r="T53" s="3" t="str">
        <f ca="1">_xll.meLWOBondCreateFromGeneratorLVB(I53,D53,_xll.meUtilityLVBFromKeysValues($I$4:$R$4,I53:R53))</f>
        <v>VW F 03/30/19@221:14</v>
      </c>
      <c r="U53" s="23">
        <f t="shared" ca="1" si="9"/>
        <v>43454</v>
      </c>
      <c r="V53" s="8">
        <f ca="1">_xll.BDP($E53,V$3)</f>
        <v>18.030571713370495</v>
      </c>
      <c r="W53" s="8">
        <f ca="1">_xll.BDP($E53,W$3)</f>
        <v>-0.311</v>
      </c>
      <c r="X53" s="28">
        <f ca="1">_xll.BDP($E53,X$3)</f>
        <v>-0.37643478260869567</v>
      </c>
      <c r="Y53" s="28">
        <f ca="1">_xll.BDP($E53,Y$3)</f>
        <v>3.1E-2</v>
      </c>
      <c r="Z53" s="24">
        <f ca="1">_xll.BDP($E53,Z$3)</f>
        <v>35</v>
      </c>
      <c r="AA53" s="35">
        <f ca="1">_xll.BDP($E53,AA$3)</f>
        <v>-0.130694</v>
      </c>
      <c r="AB53" s="8">
        <f ca="1">_xll.BDP($E53,AB$3)</f>
        <v>100.05</v>
      </c>
      <c r="AC53" s="38">
        <f ca="1">ROUND(_xll.meLWOBondFRNPriceFromDiscountMargin(T53,U53,V53/10000,W53/100,X53/100,Y53/100),3)</f>
        <v>100.05</v>
      </c>
      <c r="AD53" s="8">
        <f t="shared" ca="1" si="2"/>
        <v>0</v>
      </c>
      <c r="AE53" s="8">
        <f t="shared" ca="1" si="6"/>
        <v>100.05</v>
      </c>
      <c r="AF53" s="8">
        <f t="shared" ca="1" si="7"/>
        <v>0</v>
      </c>
      <c r="AG53" s="35">
        <f ca="1">_xll.meLWOBondFRNPriceFromYield(T53,U53,AA53/100,W53/100,X53/100,Y53/100)</f>
        <v>100.04999992011254</v>
      </c>
      <c r="AH53" s="35">
        <f ca="1">100*_xll.meLWOBondFRNYieldFromPrice(T53,U53,AG53,W53/100,X53/100,Y53/100)</f>
        <v>-0.13069399999995432</v>
      </c>
      <c r="AI53" s="35">
        <f t="shared" ca="1" si="10"/>
        <v>4.5685677463325192E-14</v>
      </c>
      <c r="AJ53" s="40">
        <f ca="1">10000*_xll.meLWOBondFRNDiscountMarginFromPrice(T53,U53,AG53,W53/100,X53/100,Y53/100)</f>
        <v>18.030600000004565</v>
      </c>
      <c r="AK53" s="41">
        <f t="shared" ca="1" si="4"/>
        <v>2.8286634069729644E-5</v>
      </c>
    </row>
    <row r="54" spans="1:40" x14ac:dyDescent="0.25">
      <c r="A54" s="3" t="str">
        <f ca="1">_xll.BDP($E54,A$3)</f>
        <v>AP9350228</v>
      </c>
      <c r="B54" s="12" t="str">
        <f ca="1">_xll.BDP($E54,B$3)</f>
        <v>EUR</v>
      </c>
      <c r="C54" s="12" t="str">
        <f ca="1">_xll.BDP($E54,C$3)</f>
        <v>DE</v>
      </c>
      <c r="D54" s="18" t="s">
        <v>218</v>
      </c>
      <c r="E54" s="3" t="str">
        <f t="shared" si="8"/>
        <v>XS1718416586 CORP</v>
      </c>
      <c r="F54" s="12">
        <f ca="1">_xll.BDP($E54,F$3)</f>
        <v>21</v>
      </c>
      <c r="G54" s="12" t="str">
        <f ca="1">_xll.BDP($E54,G$3)</f>
        <v>N</v>
      </c>
      <c r="H54" s="12" t="str">
        <f ca="1">_xll.BDP($E54,H$3)</f>
        <v>N</v>
      </c>
      <c r="I54" s="3" t="str">
        <f ca="1">_xll.BDP($E54,I$3)</f>
        <v>BASGR F 11/15/19 DIP</v>
      </c>
      <c r="J54" s="3" t="s">
        <v>70</v>
      </c>
      <c r="K54" s="3" t="str">
        <f ca="1">_xll.BDP($E54,K$3)</f>
        <v>15/11/2017</v>
      </c>
      <c r="L54" s="5">
        <f ca="1">DATEVALUE(_xll.BDP($E54,L$3))</f>
        <v>43419</v>
      </c>
      <c r="M54" s="17" t="str">
        <f t="shared" ca="1" si="5"/>
        <v/>
      </c>
      <c r="N54" s="3" t="str">
        <f ca="1">_xll.BDP($E54,N$3)</f>
        <v>15/02/2019</v>
      </c>
      <c r="O54" s="3" t="str">
        <f ca="1">_xll.BDP($E54,O$3)</f>
        <v>15/11/2019</v>
      </c>
      <c r="P54" s="2">
        <v>0</v>
      </c>
      <c r="Q54" s="24">
        <f ca="1">_xll.BDP($E54,Q$3)</f>
        <v>20</v>
      </c>
      <c r="R54" s="5">
        <f ca="1">DATEVALUE(_xll.BDP($E54,R$3))</f>
        <v>43784</v>
      </c>
      <c r="S54" s="3" t="str">
        <f ca="1">_xll.BDP($E54,S$3)</f>
        <v>CLEAN</v>
      </c>
      <c r="T54" s="3" t="str">
        <f ca="1">_xll.meLWOBondCreateFromGeneratorLVB(I54,D54,_xll.meUtilityLVBFromKeysValues($I$4:$R$4,I54:R54))</f>
        <v>BASGR F 11/15/19 DIP@220:14</v>
      </c>
      <c r="U54" s="23">
        <f t="shared" ca="1" si="9"/>
        <v>43454</v>
      </c>
      <c r="V54" s="8">
        <f ca="1">_xll.BDP($E54,V$3)</f>
        <v>7.3629558518067686</v>
      </c>
      <c r="W54" s="8">
        <f ca="1">_xll.BDP($E54,W$3)</f>
        <v>-0.311</v>
      </c>
      <c r="X54" s="28">
        <f ca="1">_xll.BDP($E54,X$3)</f>
        <v>-0.33929999999999999</v>
      </c>
      <c r="Y54" s="28">
        <f ca="1">_xll.BDP($E54,Y$3)</f>
        <v>0</v>
      </c>
      <c r="Z54" s="24">
        <f ca="1">_xll.BDP($E54,Z$3)</f>
        <v>20</v>
      </c>
      <c r="AA54" s="35">
        <f ca="1">_xll.BDP($E54,AA$3)</f>
        <v>-0.23737</v>
      </c>
      <c r="AB54" s="8">
        <f ca="1">_xll.BDP($E54,AB$3)</f>
        <v>100.223</v>
      </c>
      <c r="AC54" s="38">
        <f ca="1">ROUND(_xll.meLWOBondFRNPriceFromDiscountMargin(T54,U54,V54/10000,W54/100,X54/100,Y54/100),3)</f>
        <v>100.223</v>
      </c>
      <c r="AD54" s="8">
        <f t="shared" ca="1" si="2"/>
        <v>0</v>
      </c>
      <c r="AE54" s="8">
        <f t="shared" ca="1" si="6"/>
        <v>100.223</v>
      </c>
      <c r="AF54" s="8">
        <f t="shared" ca="1" si="7"/>
        <v>0</v>
      </c>
      <c r="AG54" s="35">
        <f ca="1">_xll.meLWOBondFRNPriceFromYield(T54,U54,AA54/100,W54/100,X54/100,Y54/100)</f>
        <v>100.22299967255977</v>
      </c>
      <c r="AH54" s="35">
        <f ca="1">100*_xll.meLWOBondFRNYieldFromPrice(T54,U54,AG54,W54/100,X54/100,Y54/100)</f>
        <v>-0.23736999999994815</v>
      </c>
      <c r="AI54" s="35">
        <f t="shared" ca="1" si="10"/>
        <v>5.184741524999481E-14</v>
      </c>
      <c r="AJ54" s="40">
        <f ca="1">10000*_xll.meLWOBondFRNDiscountMarginFromPrice(T54,U54,AG54,W54/100,X54/100,Y54/100)</f>
        <v>7.363000000005183</v>
      </c>
      <c r="AK54" s="41">
        <f t="shared" ca="1" si="4"/>
        <v>4.4148198414362128E-5</v>
      </c>
    </row>
    <row r="55" spans="1:40" x14ac:dyDescent="0.25">
      <c r="A55" s="3" t="str">
        <f ca="1">_xll.BDP($E55,A$3)</f>
        <v>EK5918892</v>
      </c>
      <c r="B55" s="12" t="str">
        <f ca="1">_xll.BDP($E55,B$3)</f>
        <v>EUR</v>
      </c>
      <c r="C55" s="12" t="str">
        <f ca="1">_xll.BDP($E55,C$3)</f>
        <v>FR</v>
      </c>
      <c r="D55" s="18" t="s">
        <v>218</v>
      </c>
      <c r="E55" s="3" t="str">
        <f t="shared" si="8"/>
        <v>FR0012315133 CORP</v>
      </c>
      <c r="F55" s="12">
        <f ca="1">_xll.BDP($E55,F$3)</f>
        <v>21</v>
      </c>
      <c r="G55" s="12" t="str">
        <f ca="1">_xll.BDP($E55,G$3)</f>
        <v>N</v>
      </c>
      <c r="H55" s="12" t="str">
        <f ca="1">_xll.BDP($E55,H$3)</f>
        <v>N</v>
      </c>
      <c r="I55" s="3" t="str">
        <f ca="1">_xll.BDP($E55,I$3)</f>
        <v>MCFP F 02/14/19 EMTN</v>
      </c>
      <c r="J55" s="3" t="s">
        <v>71</v>
      </c>
      <c r="K55" s="3" t="str">
        <f ca="1">_xll.BDP($E55,K$3)</f>
        <v>14/11/2014</v>
      </c>
      <c r="L55" s="5">
        <f ca="1">DATEVALUE(_xll.BDP($E55,L$3))</f>
        <v>43418</v>
      </c>
      <c r="M55" s="17" t="str">
        <f t="shared" ca="1" si="5"/>
        <v/>
      </c>
      <c r="N55" s="3" t="str">
        <f ca="1">_xll.BDP($E55,N$3)</f>
        <v>14/02/2019</v>
      </c>
      <c r="O55" s="3" t="str">
        <f ca="1">_xll.BDP($E55,O$3)</f>
        <v>14/02/2019</v>
      </c>
      <c r="P55" s="2">
        <v>0</v>
      </c>
      <c r="Q55" s="24">
        <f ca="1">_xll.BDP($E55,Q$3)</f>
        <v>23</v>
      </c>
      <c r="R55" s="5">
        <f ca="1">DATEVALUE(_xll.BDP($E55,R$3))</f>
        <v>43510</v>
      </c>
      <c r="S55" s="3" t="str">
        <f ca="1">_xll.BDP($E55,S$3)</f>
        <v>CLEAN</v>
      </c>
      <c r="T55" s="3" t="str">
        <f ca="1">_xll.meLWOBondCreateFromGeneratorLVB(I55,D55,_xll.meUtilityLVBFromKeysValues($I$4:$R$4,I55:R55))</f>
        <v>MCFP F 02/14/19 EMTN@219:14</v>
      </c>
      <c r="U55" s="23">
        <f t="shared" ca="1" si="9"/>
        <v>43454</v>
      </c>
      <c r="V55" s="8">
        <f ca="1">_xll.BDP($E55,V$3)</f>
        <v>8.3359958873586208</v>
      </c>
      <c r="W55" s="8">
        <f ca="1">_xll.BDP($E55,W$3)</f>
        <v>-0.311</v>
      </c>
      <c r="X55" s="28">
        <f ca="1">_xll.BDP($E55,X$3)</f>
        <v>-0.34040000000000004</v>
      </c>
      <c r="Y55" s="28">
        <f ca="1">_xll.BDP($E55,Y$3)</f>
        <v>0</v>
      </c>
      <c r="Z55" s="24">
        <f ca="1">_xll.BDP($E55,Z$3)</f>
        <v>23</v>
      </c>
      <c r="AA55" s="35">
        <f ca="1">_xll.BDP($E55,AA$3)</f>
        <v>-0.25703999999999999</v>
      </c>
      <c r="AB55" s="8">
        <f ca="1">_xll.BDP($E55,AB$3)</f>
        <v>100.04</v>
      </c>
      <c r="AC55" s="38">
        <f ca="1">ROUND(_xll.meLWOBondFRNPriceFromDiscountMargin(T55,U55,V55/10000,W55/100,X55/100,Y55/100),3)</f>
        <v>100.04</v>
      </c>
      <c r="AD55" s="8">
        <f t="shared" ca="1" si="2"/>
        <v>0</v>
      </c>
      <c r="AE55" s="8">
        <f t="shared" ca="1" si="6"/>
        <v>100.04</v>
      </c>
      <c r="AF55" s="8">
        <f t="shared" ca="1" si="7"/>
        <v>0</v>
      </c>
      <c r="AG55" s="35">
        <f ca="1">_xll.meLWOBondFRNPriceFromYield(T55,U55,AA55/100,W55/100,X55/100,Y55/100)</f>
        <v>100.03999999359745</v>
      </c>
      <c r="AH55" s="35">
        <f ca="1">100*_xll.meLWOBondFRNYieldFromPrice(T55,U55,AG55,W55/100,X55/100,Y55/100)</f>
        <v>-0.25704000000002281</v>
      </c>
      <c r="AI55" s="35">
        <f t="shared" ca="1" si="10"/>
        <v>2.2815083156046967E-14</v>
      </c>
      <c r="AJ55" s="40">
        <f ca="1">10000*_xll.meLWOBondFRNDiscountMarginFromPrice(T55,U55,AG55,W55/100,X55/100,Y55/100)</f>
        <v>8.3359999999977212</v>
      </c>
      <c r="AK55" s="41">
        <f t="shared" ca="1" si="4"/>
        <v>4.1126391003842855E-6</v>
      </c>
    </row>
    <row r="56" spans="1:40" x14ac:dyDescent="0.25">
      <c r="A56" s="3" t="str">
        <f ca="1">_xll.BDP($E56,A$3)</f>
        <v>EK3874691</v>
      </c>
      <c r="B56" s="12" t="str">
        <f ca="1">_xll.BDP($E56,B$3)</f>
        <v>EUR</v>
      </c>
      <c r="C56" s="12" t="str">
        <f ca="1">_xll.BDP($E56,C$3)</f>
        <v>DE</v>
      </c>
      <c r="D56" s="18" t="s">
        <v>218</v>
      </c>
      <c r="E56" s="3" t="str">
        <f t="shared" si="8"/>
        <v>XS1089831249 CORP</v>
      </c>
      <c r="F56" s="12">
        <f ca="1">_xll.BDP($E56,F$3)</f>
        <v>21</v>
      </c>
      <c r="G56" s="12" t="str">
        <f ca="1">_xll.BDP($E56,G$3)</f>
        <v>N</v>
      </c>
      <c r="H56" s="12" t="str">
        <f ca="1">_xll.BDP($E56,H$3)</f>
        <v>N</v>
      </c>
      <c r="I56" s="3" t="str">
        <f ca="1">_xll.BDP($E56,I$3)</f>
        <v>DBHNGR F 07/23/20 EMTN</v>
      </c>
      <c r="J56" s="3" t="s">
        <v>72</v>
      </c>
      <c r="K56" s="3" t="str">
        <f ca="1">_xll.BDP($E56,K$3)</f>
        <v>23/07/2014</v>
      </c>
      <c r="L56" s="5">
        <f ca="1">DATEVALUE(_xll.BDP($E56,L$3))</f>
        <v>43396</v>
      </c>
      <c r="M56" s="17" t="str">
        <f t="shared" ca="1" si="5"/>
        <v/>
      </c>
      <c r="N56" s="3" t="str">
        <f ca="1">_xll.BDP($E56,N$3)</f>
        <v>23/01/2019</v>
      </c>
      <c r="O56" s="3" t="str">
        <f ca="1">_xll.BDP($E56,O$3)</f>
        <v>23/07/2020</v>
      </c>
      <c r="P56" s="2">
        <v>0</v>
      </c>
      <c r="Q56" s="24">
        <f ca="1">_xll.BDP($E56,Q$3)</f>
        <v>30</v>
      </c>
      <c r="R56" s="5">
        <f ca="1">DATEVALUE(_xll.BDP($E56,R$3))</f>
        <v>44035</v>
      </c>
      <c r="S56" s="3" t="str">
        <f ca="1">_xll.BDP($E56,S$3)</f>
        <v>CLEAN</v>
      </c>
      <c r="T56" s="3" t="str">
        <f ca="1">_xll.meLWOBondCreateFromGeneratorLVB(I56,D56,_xll.meUtilityLVBFromKeysValues($I$4:$R$4,I56:R56))</f>
        <v>DBHNGR F 07/23/20 EMTN@218:14</v>
      </c>
      <c r="U56" s="23">
        <f t="shared" ca="1" si="9"/>
        <v>43454</v>
      </c>
      <c r="V56" s="8">
        <f ca="1">_xll.BDP($E56,V$3)</f>
        <v>1.7977300074859315</v>
      </c>
      <c r="W56" s="8">
        <f ca="1">_xll.BDP($E56,W$3)</f>
        <v>-0.311</v>
      </c>
      <c r="X56" s="28">
        <f ca="1">_xll.BDP($E56,X$3)</f>
        <v>-0.36459999999999998</v>
      </c>
      <c r="Y56" s="28">
        <f ca="1">_xll.BDP($E56,Y$3)</f>
        <v>0</v>
      </c>
      <c r="Z56" s="24">
        <f ca="1">_xll.BDP($E56,Z$3)</f>
        <v>30</v>
      </c>
      <c r="AA56" s="35">
        <f ca="1">_xll.BDP($E56,AA$3)</f>
        <v>-0.29302299999999998</v>
      </c>
      <c r="AB56" s="8">
        <f ca="1">_xll.BDP($E56,AB$3)</f>
        <v>100.48</v>
      </c>
      <c r="AC56" s="38">
        <f ca="1">ROUND(_xll.meLWOBondFRNPriceFromDiscountMargin(T56,U56,V56/10000,W56/100,X56/100,Y56/100),3)</f>
        <v>100.48</v>
      </c>
      <c r="AD56" s="8">
        <f t="shared" ca="1" si="2"/>
        <v>0</v>
      </c>
      <c r="AE56" s="8">
        <f t="shared" ca="1" si="6"/>
        <v>100.48</v>
      </c>
      <c r="AF56" s="8">
        <f t="shared" ca="1" si="7"/>
        <v>0</v>
      </c>
      <c r="AG56" s="35">
        <f ca="1">_xll.meLWOBondFRNPriceFromYield(T56,U56,AA56/100,W56/100,X56/100,Y56/100)</f>
        <v>100.48000048769219</v>
      </c>
      <c r="AH56" s="35">
        <f ca="1">100*_xll.meLWOBondFRNYieldFromPrice(T56,U56,AG56,W56/100,X56/100,Y56/100)</f>
        <v>-0.29302299999999648</v>
      </c>
      <c r="AI56" s="35">
        <f t="shared" ca="1" si="10"/>
        <v>3.4972025275692431E-15</v>
      </c>
      <c r="AJ56" s="40">
        <f ca="1">10000*_xll.meLWOBondFRNDiscountMarginFromPrice(T56,U56,AG56,W56/100,X56/100,Y56/100)</f>
        <v>1.7977000000003522</v>
      </c>
      <c r="AK56" s="41">
        <f t="shared" ca="1" si="4"/>
        <v>3.0007485579242044E-5</v>
      </c>
    </row>
    <row r="57" spans="1:40" x14ac:dyDescent="0.25">
      <c r="A57" s="3" t="str">
        <f ca="1">_xll.BDP($E57,A$3)</f>
        <v>EK8294507</v>
      </c>
      <c r="B57" s="12" t="str">
        <f ca="1">_xll.BDP($E57,B$3)</f>
        <v>EUR</v>
      </c>
      <c r="C57" s="12" t="str">
        <f ca="1">_xll.BDP($E57,C$3)</f>
        <v>GB</v>
      </c>
      <c r="D57" s="18" t="s">
        <v>218</v>
      </c>
      <c r="E57" s="3" t="str">
        <f t="shared" si="8"/>
        <v>XS1212467911 CORP</v>
      </c>
      <c r="F57" s="12">
        <f ca="1">_xll.BDP($E57,F$3)</f>
        <v>21</v>
      </c>
      <c r="G57" s="12" t="str">
        <f ca="1">_xll.BDP($E57,G$3)</f>
        <v>N</v>
      </c>
      <c r="H57" s="12" t="str">
        <f ca="1">_xll.BDP($E57,H$3)</f>
        <v>N</v>
      </c>
      <c r="I57" s="3" t="str">
        <f ca="1">_xll.BDP($E57,I$3)</f>
        <v>SKYLN F 04/01/20 EMTN</v>
      </c>
      <c r="J57" s="3" t="s">
        <v>73</v>
      </c>
      <c r="K57" s="3" t="str">
        <f ca="1">_xll.BDP($E57,K$3)</f>
        <v>01/04/2015</v>
      </c>
      <c r="L57" s="5">
        <f ca="1">DATEVALUE(_xll.BDP($E57,L$3))</f>
        <v>43374</v>
      </c>
      <c r="M57" s="17">
        <f t="shared" ca="1" si="5"/>
        <v>2</v>
      </c>
      <c r="N57" s="3" t="str">
        <f ca="1">_xll.BDP($E57,N$3)</f>
        <v>02/01/2019</v>
      </c>
      <c r="O57" s="3" t="str">
        <f ca="1">_xll.BDP($E57,O$3)</f>
        <v>01/04/2020</v>
      </c>
      <c r="P57" s="2">
        <v>0</v>
      </c>
      <c r="Q57" s="24">
        <f ca="1">_xll.BDP($E57,Q$3)</f>
        <v>75</v>
      </c>
      <c r="R57" s="5">
        <f ca="1">DATEVALUE(_xll.BDP($E57,R$3))</f>
        <v>43922</v>
      </c>
      <c r="S57" s="3" t="str">
        <f ca="1">_xll.BDP($E57,S$3)</f>
        <v>CLEAN</v>
      </c>
      <c r="T57" s="3" t="str">
        <f ca="1">_xll.meLWOBondCreateFromGeneratorLVB(I57,D57,_xll.meUtilityLVBFromKeysValues($I$4:$R$4,I57:R57))</f>
        <v>SKYLN F 04/01/20 EMTN@217:14</v>
      </c>
      <c r="U57" s="23">
        <f t="shared" ca="1" si="9"/>
        <v>43454</v>
      </c>
      <c r="V57" s="8">
        <f ca="1">_xll.BDP($E57,V$3)</f>
        <v>30.466109923031549</v>
      </c>
      <c r="W57" s="8">
        <f ca="1">_xll.BDP($E57,W$3)</f>
        <v>-0.311</v>
      </c>
      <c r="X57" s="28">
        <f ca="1">_xll.BDP($E57,X$3)</f>
        <v>-0.37565217391304345</v>
      </c>
      <c r="Y57" s="28">
        <f ca="1">_xll.BDP($E57,Y$3)</f>
        <v>0.432</v>
      </c>
      <c r="Z57" s="24">
        <f ca="1">_xll.BDP($E57,Z$3)</f>
        <v>75</v>
      </c>
      <c r="AA57" s="35">
        <f ca="1">_xll.BDP($E57,AA$3)</f>
        <v>-6.339E-3</v>
      </c>
      <c r="AB57" s="8">
        <f ca="1">_xll.BDP($E57,AB$3)</f>
        <v>100.583</v>
      </c>
      <c r="AC57" s="38">
        <f ca="1">ROUND(_xll.meLWOBondFRNPriceFromDiscountMargin(T57,U57,V57/10000,W57/100,X57/100,Y57/100),3)</f>
        <v>100.583</v>
      </c>
      <c r="AD57" s="8">
        <f t="shared" ca="1" si="2"/>
        <v>0</v>
      </c>
      <c r="AE57" s="8">
        <f t="shared" ca="1" si="6"/>
        <v>100.583</v>
      </c>
      <c r="AF57" s="8">
        <f t="shared" ca="1" si="7"/>
        <v>0</v>
      </c>
      <c r="AG57" s="35">
        <f ca="1">_xll.meLWOBondFRNPriceFromYield(T57,U57,AA57/100,W57/100,X57/100,Y57/100)</f>
        <v>100.58300012989562</v>
      </c>
      <c r="AH57" s="35">
        <f ca="1">100*_xll.meLWOBondFRNYieldFromPrice(T57,U57,AG57,W57/100,X57/100,Y57/100)</f>
        <v>-6.3389999998952652E-3</v>
      </c>
      <c r="AI57" s="35">
        <f t="shared" ca="1" si="10"/>
        <v>1.0473479722383772E-13</v>
      </c>
      <c r="AJ57" s="40">
        <f ca="1">10000*_xll.meLWOBondFRNDiscountMarginFromPrice(T57,U57,AG57,W57/100,X57/100,Y57/100)</f>
        <v>30.466100000010474</v>
      </c>
      <c r="AK57" s="41">
        <f t="shared" ca="1" si="4"/>
        <v>9.9230210750533843E-6</v>
      </c>
    </row>
    <row r="58" spans="1:40" x14ac:dyDescent="0.25">
      <c r="A58" s="3" t="str">
        <f ca="1">_xll.BDP($E58,A$3)</f>
        <v>QZ3956831</v>
      </c>
      <c r="B58" s="12" t="str">
        <f ca="1">_xll.BDP($E58,B$3)</f>
        <v>EUR</v>
      </c>
      <c r="C58" s="12" t="str">
        <f ca="1">_xll.BDP($E58,C$3)</f>
        <v>SE</v>
      </c>
      <c r="D58" s="18" t="s">
        <v>218</v>
      </c>
      <c r="E58" s="3" t="str">
        <f t="shared" si="8"/>
        <v>XS1485660895 CORP</v>
      </c>
      <c r="F58" s="12">
        <f ca="1">_xll.BDP($E58,F$3)</f>
        <v>21</v>
      </c>
      <c r="G58" s="12" t="str">
        <f ca="1">_xll.BDP($E58,G$3)</f>
        <v>N</v>
      </c>
      <c r="H58" s="12" t="str">
        <f ca="1">_xll.BDP($E58,H$3)</f>
        <v>N</v>
      </c>
      <c r="I58" s="3" t="str">
        <f ca="1">_xll.BDP($E58,I$3)</f>
        <v>VLVY F 09/06/19 EMTN</v>
      </c>
      <c r="J58" s="3" t="s">
        <v>74</v>
      </c>
      <c r="K58" s="3" t="str">
        <f ca="1">_xll.BDP($E58,K$3)</f>
        <v>06/09/2016</v>
      </c>
      <c r="L58" s="5">
        <f ca="1">DATEVALUE(_xll.BDP($E58,L$3))</f>
        <v>43440</v>
      </c>
      <c r="M58" s="17" t="str">
        <f t="shared" ca="1" si="5"/>
        <v/>
      </c>
      <c r="N58" s="3" t="str">
        <f ca="1">_xll.BDP($E58,N$3)</f>
        <v>06/03/2019</v>
      </c>
      <c r="O58" s="3" t="str">
        <f ca="1">_xll.BDP($E58,O$3)</f>
        <v>06/09/2019</v>
      </c>
      <c r="P58" s="2">
        <v>0</v>
      </c>
      <c r="Q58" s="24">
        <f ca="1">_xll.BDP($E58,Q$3)</f>
        <v>47</v>
      </c>
      <c r="R58" s="5">
        <f ca="1">DATEVALUE(_xll.BDP($E58,R$3))</f>
        <v>43714</v>
      </c>
      <c r="S58" s="3" t="str">
        <f ca="1">_xll.BDP($E58,S$3)</f>
        <v>CLEAN</v>
      </c>
      <c r="T58" s="3" t="str">
        <f ca="1">_xll.meLWOBondCreateFromGeneratorLVB(I58,D58,_xll.meUtilityLVBFromKeysValues($I$4:$R$4,I58:R58))</f>
        <v>VLVY F 09/06/19 EMTN@216:14</v>
      </c>
      <c r="U58" s="23">
        <f t="shared" ca="1" si="9"/>
        <v>43454</v>
      </c>
      <c r="V58" s="8">
        <f ca="1">_xll.BDP($E58,V$3)</f>
        <v>26.87773638892282</v>
      </c>
      <c r="W58" s="8">
        <f ca="1">_xll.BDP($E58,W$3)</f>
        <v>-0.311</v>
      </c>
      <c r="X58" s="28">
        <f ca="1">_xll.BDP($E58,X$3)</f>
        <v>-0.32266666666666666</v>
      </c>
      <c r="Y58" s="28">
        <f ca="1">_xll.BDP($E58,Y$3)</f>
        <v>0.154</v>
      </c>
      <c r="Z58" s="24">
        <f ca="1">_xll.BDP($E58,Z$3)</f>
        <v>47</v>
      </c>
      <c r="AA58" s="35">
        <f ca="1">_xll.BDP($E58,AA$3)</f>
        <v>-4.2222999999999997E-2</v>
      </c>
      <c r="AB58" s="8">
        <f ca="1">_xll.BDP($E58,AB$3)</f>
        <v>100.146</v>
      </c>
      <c r="AC58" s="38">
        <f ca="1">ROUND(_xll.meLWOBondFRNPriceFromDiscountMargin(T58,U58,V58/10000,W58/100,X58/100,Y58/100),3)</f>
        <v>100.146</v>
      </c>
      <c r="AD58" s="8">
        <f t="shared" ca="1" si="2"/>
        <v>0</v>
      </c>
      <c r="AE58" s="8">
        <f t="shared" ca="1" si="6"/>
        <v>100.146</v>
      </c>
      <c r="AF58" s="8">
        <f t="shared" ca="1" si="7"/>
        <v>0</v>
      </c>
      <c r="AG58" s="35">
        <f ca="1">_xll.meLWOBondFRNPriceFromYield(T58,U58,AA58/100,W58/100,X58/100,Y58/100)</f>
        <v>100.14600026173675</v>
      </c>
      <c r="AH58" s="35">
        <f ca="1">100*_xll.meLWOBondFRNYieldFromPrice(T58,U58,AG58,W58/100,X58/100,Y58/100)</f>
        <v>-4.2222999999970694E-2</v>
      </c>
      <c r="AI58" s="35">
        <f t="shared" ca="1" si="10"/>
        <v>2.9302948956200225E-14</v>
      </c>
      <c r="AJ58" s="40">
        <f ca="1">10000*_xll.meLWOBondFRNDiscountMarginFromPrice(T58,U58,AG58,W58/100,X58/100,Y58/100)</f>
        <v>26.877700000002932</v>
      </c>
      <c r="AK58" s="41">
        <f t="shared" ca="1" si="4"/>
        <v>3.6388919887997417E-5</v>
      </c>
    </row>
    <row r="59" spans="1:40" x14ac:dyDescent="0.25">
      <c r="A59" s="3" t="str">
        <f ca="1">_xll.BDP($E59,A$3)</f>
        <v>EK7472013</v>
      </c>
      <c r="B59" s="12" t="str">
        <f ca="1">_xll.BDP($E59,B$3)</f>
        <v>EUR</v>
      </c>
      <c r="C59" s="12" t="str">
        <f ca="1">_xll.BDP($E59,C$3)</f>
        <v>NO</v>
      </c>
      <c r="D59" s="18" t="s">
        <v>218</v>
      </c>
      <c r="E59" s="3" t="str">
        <f t="shared" si="8"/>
        <v>XS1190623907 CORP</v>
      </c>
      <c r="F59" s="12">
        <f ca="1">_xll.BDP($E59,F$3)</f>
        <v>21</v>
      </c>
      <c r="G59" s="12" t="str">
        <f ca="1">_xll.BDP($E59,G$3)</f>
        <v>N</v>
      </c>
      <c r="H59" s="12" t="str">
        <f ca="1">_xll.BDP($E59,H$3)</f>
        <v>N</v>
      </c>
      <c r="I59" s="3" t="str">
        <f ca="1">_xll.BDP($E59,I$3)</f>
        <v>EQNR F 08/19/19 EMTN</v>
      </c>
      <c r="J59" s="3" t="s">
        <v>75</v>
      </c>
      <c r="K59" s="3" t="str">
        <f ca="1">_xll.BDP($E59,K$3)</f>
        <v>17/02/2015</v>
      </c>
      <c r="L59" s="5">
        <f ca="1">DATEVALUE(_xll.BDP($E59,L$3))</f>
        <v>43423</v>
      </c>
      <c r="M59" s="17">
        <f t="shared" ca="1" si="5"/>
        <v>18</v>
      </c>
      <c r="N59" s="3" t="str">
        <f ca="1">_xll.BDP($E59,N$3)</f>
        <v>18/02/2019</v>
      </c>
      <c r="O59" s="3" t="str">
        <f ca="1">_xll.BDP($E59,O$3)</f>
        <v>19/08/2019</v>
      </c>
      <c r="P59" s="2">
        <v>0</v>
      </c>
      <c r="Q59" s="24">
        <f ca="1">_xll.BDP($E59,Q$3)</f>
        <v>20</v>
      </c>
      <c r="R59" s="5">
        <f ca="1">DATEVALUE(_xll.BDP($E59,R$3))</f>
        <v>43696</v>
      </c>
      <c r="S59" s="3" t="str">
        <f ca="1">_xll.BDP($E59,S$3)</f>
        <v>CLEAN</v>
      </c>
      <c r="T59" s="3" t="str">
        <f ca="1">_xll.meLWOBondCreateFromGeneratorLVB(I59,D59,_xll.meUtilityLVBFromKeysValues($I$4:$R$4,I59:R59))</f>
        <v>EQNR F 08/19/19 EMTN@215:14</v>
      </c>
      <c r="U59" s="23">
        <f t="shared" ca="1" si="9"/>
        <v>43454</v>
      </c>
      <c r="V59" s="8">
        <f ca="1">_xll.BDP($E59,V$3)</f>
        <v>2.0825385283603781</v>
      </c>
      <c r="W59" s="8">
        <f ca="1">_xll.BDP($E59,W$3)</f>
        <v>-0.311</v>
      </c>
      <c r="X59" s="28">
        <f ca="1">_xll.BDP($E59,X$3)</f>
        <v>-0.33600000000000002</v>
      </c>
      <c r="Y59" s="28">
        <f ca="1">_xll.BDP($E59,Y$3)</f>
        <v>0</v>
      </c>
      <c r="Z59" s="24">
        <f ca="1">_xll.BDP($E59,Z$3)</f>
        <v>20</v>
      </c>
      <c r="AA59" s="35">
        <f ca="1">_xll.BDP($E59,AA$3)</f>
        <v>-0.29017500000000002</v>
      </c>
      <c r="AB59" s="8">
        <f ca="1">_xll.BDP($E59,AB$3)</f>
        <v>100.2</v>
      </c>
      <c r="AC59" s="38">
        <f ca="1">ROUND(_xll.meLWOBondFRNPriceFromDiscountMargin(T59,U59,V59/10000,W59/100,X59/100,Y59/100),3)</f>
        <v>100.2</v>
      </c>
      <c r="AD59" s="8">
        <f t="shared" ca="1" si="2"/>
        <v>0</v>
      </c>
      <c r="AE59" s="8">
        <f t="shared" ca="1" si="6"/>
        <v>100.2</v>
      </c>
      <c r="AF59" s="8">
        <f t="shared" ca="1" si="7"/>
        <v>0</v>
      </c>
      <c r="AG59" s="35">
        <f ca="1">_xll.meLWOBondFRNPriceFromYield(T59,U59,AA59/100,W59/100,X59/100,Y59/100)</f>
        <v>100.20000026036244</v>
      </c>
      <c r="AH59" s="35">
        <f ca="1">100*_xll.meLWOBondFRNYieldFromPrice(T59,U59,AG59,W59/100,X59/100,Y59/100)</f>
        <v>-0.29017499999999385</v>
      </c>
      <c r="AI59" s="35">
        <f t="shared" ca="1" si="10"/>
        <v>6.1617377866696188E-15</v>
      </c>
      <c r="AJ59" s="40">
        <f ca="1">10000*_xll.meLWOBondFRNDiscountMarginFromPrice(T59,U59,AG59,W59/100,X59/100,Y59/100)</f>
        <v>2.0825000000006124</v>
      </c>
      <c r="AK59" s="41">
        <f t="shared" ca="1" si="4"/>
        <v>3.8528359765699349E-5</v>
      </c>
    </row>
    <row r="60" spans="1:40" x14ac:dyDescent="0.25">
      <c r="A60" s="3" t="str">
        <f ca="1">_xll.BDP($E60,A$3)</f>
        <v>AN6434210</v>
      </c>
      <c r="B60" s="12" t="str">
        <f ca="1">_xll.BDP($E60,B$3)</f>
        <v>EUR</v>
      </c>
      <c r="C60" s="12" t="str">
        <f ca="1">_xll.BDP($E60,C$3)</f>
        <v>DE</v>
      </c>
      <c r="D60" s="18" t="s">
        <v>218</v>
      </c>
      <c r="E60" s="3" t="str">
        <f t="shared" si="8"/>
        <v>XS1618349804 CORP</v>
      </c>
      <c r="F60" s="12">
        <f ca="1">_xll.BDP($E60,F$3)</f>
        <v>21</v>
      </c>
      <c r="G60" s="12" t="str">
        <f ca="1">_xll.BDP($E60,G$3)</f>
        <v>N</v>
      </c>
      <c r="H60" s="12" t="str">
        <f ca="1">_xll.BDP($E60,H$3)</f>
        <v>N</v>
      </c>
      <c r="I60" s="3" t="str">
        <f ca="1">_xll.BDP($E60,I$3)</f>
        <v>BMW F 11/22/19 EMTN</v>
      </c>
      <c r="J60" s="3" t="s">
        <v>76</v>
      </c>
      <c r="K60" s="3" t="str">
        <f ca="1">_xll.BDP($E60,K$3)</f>
        <v>22/05/2017</v>
      </c>
      <c r="L60" s="5">
        <f ca="1">DATEVALUE(_xll.BDP($E60,L$3))</f>
        <v>43426</v>
      </c>
      <c r="M60" s="17" t="str">
        <f t="shared" ca="1" si="5"/>
        <v/>
      </c>
      <c r="N60" s="3" t="str">
        <f ca="1">_xll.BDP($E60,N$3)</f>
        <v>22/02/2019</v>
      </c>
      <c r="O60" s="3" t="str">
        <f ca="1">_xll.BDP($E60,O$3)</f>
        <v>22/11/2019</v>
      </c>
      <c r="P60" s="2">
        <v>0</v>
      </c>
      <c r="Q60" s="24">
        <f ca="1">_xll.BDP($E60,Q$3)</f>
        <v>25</v>
      </c>
      <c r="R60" s="5">
        <f ca="1">DATEVALUE(_xll.BDP($E60,R$3))</f>
        <v>43791</v>
      </c>
      <c r="S60" s="3" t="str">
        <f ca="1">_xll.BDP($E60,S$3)</f>
        <v>CLEAN</v>
      </c>
      <c r="T60" s="3" t="str">
        <f ca="1">_xll.meLWOBondCreateFromGeneratorLVB(I60,D60,_xll.meUtilityLVBFromKeysValues($I$4:$R$4,I60:R60))</f>
        <v>BMW F 11/22/19 EMTN@214:14</v>
      </c>
      <c r="U60" s="23">
        <f t="shared" ca="1" si="9"/>
        <v>43454</v>
      </c>
      <c r="V60" s="8">
        <f ca="1">_xll.BDP($E60,V$3)</f>
        <v>16.928419987304874</v>
      </c>
      <c r="W60" s="8">
        <f ca="1">_xll.BDP($E60,W$3)</f>
        <v>-0.311</v>
      </c>
      <c r="X60" s="28">
        <f ca="1">_xll.BDP($E60,X$3)</f>
        <v>-0.33266666666666667</v>
      </c>
      <c r="Y60" s="28">
        <f ca="1">_xll.BDP($E60,Y$3)</f>
        <v>0</v>
      </c>
      <c r="Z60" s="24">
        <f ca="1">_xll.BDP($E60,Z$3)</f>
        <v>25</v>
      </c>
      <c r="AA60" s="35">
        <f ca="1">_xll.BDP($E60,AA$3)</f>
        <v>-0.14171600000000001</v>
      </c>
      <c r="AB60" s="8">
        <f ca="1">_xll.BDP($E60,AB$3)</f>
        <v>100.137</v>
      </c>
      <c r="AC60" s="38">
        <f ca="1">ROUND(_xll.meLWOBondFRNPriceFromDiscountMargin(T60,U60,V60/10000,W60/100,X60/100,Y60/100),3)</f>
        <v>100.137</v>
      </c>
      <c r="AD60" s="8">
        <f t="shared" ca="1" si="2"/>
        <v>0</v>
      </c>
      <c r="AE60" s="8">
        <f t="shared" ca="1" si="6"/>
        <v>100.137</v>
      </c>
      <c r="AF60" s="8">
        <f t="shared" ca="1" si="7"/>
        <v>0</v>
      </c>
      <c r="AG60" s="35">
        <f ca="1">_xll.meLWOBondFRNPriceFromYield(T60,U60,AA60/100,W60/100,X60/100,Y60/100)</f>
        <v>100.13700019092326</v>
      </c>
      <c r="AH60" s="35">
        <f ca="1">100*_xll.meLWOBondFRNYieldFromPrice(T60,U60,AG60,W60/100,X60/100,Y60/100)</f>
        <v>-0.14171599999996207</v>
      </c>
      <c r="AI60" s="35">
        <f t="shared" ca="1" si="10"/>
        <v>3.7941871866564725E-14</v>
      </c>
      <c r="AJ60" s="40">
        <f ca="1">10000*_xll.meLWOBondFRNDiscountMarginFromPrice(T60,U60,AG60,W60/100,X60/100,Y60/100)</f>
        <v>16.928400000003791</v>
      </c>
      <c r="AK60" s="41">
        <f t="shared" ca="1" si="4"/>
        <v>1.9987301083546072E-5</v>
      </c>
    </row>
    <row r="61" spans="1:40" s="3" customFormat="1" x14ac:dyDescent="0.25">
      <c r="A61" s="3" t="str">
        <f ca="1">_xll.BDP($E61,A$3)</f>
        <v>EK3522597</v>
      </c>
      <c r="B61" s="12" t="str">
        <f ca="1">_xll.BDP($E61,B$3)</f>
        <v>GBP</v>
      </c>
      <c r="C61" s="12" t="str">
        <f ca="1">_xll.BDP($E61,C$3)</f>
        <v>FR</v>
      </c>
      <c r="D61" s="3" t="str">
        <f t="shared" ref="D61" ca="1" si="11">B61&amp;"_"&amp;$E$1</f>
        <v>GBP_FLOATER_TYPE21</v>
      </c>
      <c r="E61" s="3" t="str">
        <f t="shared" si="8"/>
        <v>XS1082839553 CORP</v>
      </c>
      <c r="F61" s="12">
        <f ca="1">_xll.BDP($E61,F$3)</f>
        <v>21</v>
      </c>
      <c r="G61" s="12" t="str">
        <f ca="1">_xll.BDP($E61,G$3)</f>
        <v>N</v>
      </c>
      <c r="H61" s="12" t="str">
        <f ca="1">_xll.BDP($E61,H$3)</f>
        <v>N</v>
      </c>
      <c r="I61" s="3" t="str">
        <f ca="1">_xll.BDP($E61,I$3)</f>
        <v>TOTAL F 07/01/19 EMTn</v>
      </c>
      <c r="J61" s="3" t="s">
        <v>77</v>
      </c>
      <c r="K61" s="3" t="str">
        <f ca="1">_xll.BDP($E61,K$3)</f>
        <v>01/07/2014</v>
      </c>
      <c r="L61" s="5">
        <f ca="1">DATEVALUE(_xll.BDP($E61,L$3))</f>
        <v>43374</v>
      </c>
      <c r="M61" s="17">
        <f t="shared" ca="1" si="5"/>
        <v>2</v>
      </c>
      <c r="N61" s="3" t="str">
        <f ca="1">_xll.BDP($E61,N$3)</f>
        <v>02/01/2019</v>
      </c>
      <c r="O61" s="3" t="str">
        <f ca="1">_xll.BDP($E61,O$3)</f>
        <v>01/07/2019</v>
      </c>
      <c r="P61" s="2">
        <v>0</v>
      </c>
      <c r="Q61" s="24">
        <f ca="1">_xll.BDP($E61,Q$3)</f>
        <v>30</v>
      </c>
      <c r="R61" s="5">
        <f ca="1">DATEVALUE(_xll.BDP($E61,R$3))</f>
        <v>43647</v>
      </c>
      <c r="S61" s="3" t="str">
        <f ca="1">_xll.BDP($E61,S$3)</f>
        <v>CLEAN</v>
      </c>
      <c r="T61" s="3" t="str">
        <f ca="1">_xll.meLWOBondCreateFromGeneratorLVB(I61,D61,_xll.meUtilityLVBFromKeysValues($I$4:$R$4,I61:R61))</f>
        <v>TOTAL F 07/01/19 EMTN@213:14</v>
      </c>
      <c r="U61" s="23">
        <f t="shared" ca="1" si="9"/>
        <v>43454</v>
      </c>
      <c r="V61" s="8">
        <f ca="1">_xll.BDP($E61,V$3)</f>
        <v>24.561862542508315</v>
      </c>
      <c r="W61" s="8">
        <f ca="1">_xll.BDP($E61,W$3)</f>
        <v>0.90637999999999996</v>
      </c>
      <c r="X61" s="28">
        <f ca="1">_xll.BDP($E61,X$3)</f>
        <v>0.71334608695652169</v>
      </c>
      <c r="Y61" s="28">
        <f ca="1">_xll.BDP($E61,Y$3)</f>
        <v>1.09938</v>
      </c>
      <c r="Z61" s="24">
        <f ca="1">_xll.BDP($E61,Z$3)</f>
        <v>30</v>
      </c>
      <c r="AA61" s="35">
        <f ca="1">_xll.BDP($E61,AA$3)</f>
        <v>1.151999</v>
      </c>
      <c r="AB61" s="8">
        <f ca="1">_xll.BDP($E61,AB$3)</f>
        <v>100.032</v>
      </c>
      <c r="AC61" s="38">
        <f ca="1">ROUND(_xll.meLWOBondFRNPriceFromDiscountMargin(T61,U61,V61/10000,W61/100,X61/100,Y61/100),3)</f>
        <v>100.032</v>
      </c>
      <c r="AD61" s="8">
        <f t="shared" ca="1" si="2"/>
        <v>0</v>
      </c>
      <c r="AE61" s="8">
        <f t="shared" ca="1" si="6"/>
        <v>100.032</v>
      </c>
      <c r="AF61" s="8">
        <f t="shared" ca="1" si="7"/>
        <v>0</v>
      </c>
      <c r="AG61" s="35">
        <f ca="1">_xll.meLWOBondFRNPriceFromYield(T61,U61,AA61/100,W61/100,X61/100,Y61/100)</f>
        <v>100.03199980006166</v>
      </c>
      <c r="AH61" s="35">
        <f ca="1">100*_xll.meLWOBondFRNYieldFromPrice(T61,U61,AG61,W61/100,X61/100,Y61/100)</f>
        <v>1.1519989999926155</v>
      </c>
      <c r="AI61" s="35">
        <f t="shared" ca="1" si="10"/>
        <v>7.3845374259917662E-12</v>
      </c>
      <c r="AJ61" s="40">
        <f ca="1">10000*_xll.meLWOBondFRNDiscountMarginFromPrice(T61,U61,AG61,W61/100,X61/100,Y61/100)</f>
        <v>24.561899999261534</v>
      </c>
      <c r="AK61" s="41">
        <f t="shared" ca="1" si="4"/>
        <v>3.7456753219089478E-5</v>
      </c>
      <c r="AL61" s="8"/>
      <c r="AM61" s="8"/>
      <c r="AN61" s="8"/>
    </row>
    <row r="62" spans="1:40" x14ac:dyDescent="0.25">
      <c r="A62" s="3" t="str">
        <f ca="1">_xll.BDP($E62,A$3)</f>
        <v>AP8384806</v>
      </c>
      <c r="B62" s="12" t="str">
        <f ca="1">_xll.BDP($E62,B$3)</f>
        <v>EUR</v>
      </c>
      <c r="C62" s="12" t="str">
        <f ca="1">_xll.BDP($E62,C$3)</f>
        <v>DE</v>
      </c>
      <c r="D62" s="18" t="s">
        <v>218</v>
      </c>
      <c r="E62" s="3" t="str">
        <f t="shared" si="8"/>
        <v>DE000A19RXA1 CORP</v>
      </c>
      <c r="F62" s="12">
        <f ca="1">_xll.BDP($E62,F$3)</f>
        <v>21</v>
      </c>
      <c r="G62" s="12" t="str">
        <f ca="1">_xll.BDP($E62,G$3)</f>
        <v>N</v>
      </c>
      <c r="H62" s="12" t="str">
        <f ca="1">_xll.BDP($E62,H$3)</f>
        <v>N</v>
      </c>
      <c r="I62" s="3" t="str">
        <f ca="1">_xll.BDP($E62,I$3)</f>
        <v>DAIGR F 11/13/19 EMTN</v>
      </c>
      <c r="J62" s="3" t="s">
        <v>78</v>
      </c>
      <c r="K62" s="3" t="str">
        <f ca="1">_xll.BDP($E62,K$3)</f>
        <v>13/11/2017</v>
      </c>
      <c r="L62" s="5">
        <f ca="1">DATEVALUE(_xll.BDP($E62,L$3))</f>
        <v>43417</v>
      </c>
      <c r="M62" s="17" t="str">
        <f t="shared" ca="1" si="5"/>
        <v/>
      </c>
      <c r="N62" s="3" t="str">
        <f ca="1">_xll.BDP($E62,N$3)</f>
        <v>13/02/2019</v>
      </c>
      <c r="O62" s="3" t="str">
        <f ca="1">_xll.BDP($E62,O$3)</f>
        <v>13/11/2019</v>
      </c>
      <c r="P62" s="2">
        <v>0</v>
      </c>
      <c r="Q62" s="24">
        <f ca="1">_xll.BDP($E62,Q$3)</f>
        <v>60</v>
      </c>
      <c r="R62" s="5">
        <f ca="1">DATEVALUE(_xll.BDP($E62,R$3))</f>
        <v>43782</v>
      </c>
      <c r="S62" s="3" t="str">
        <f ca="1">_xll.BDP($E62,S$3)</f>
        <v>CLEAN</v>
      </c>
      <c r="T62" s="3" t="str">
        <f ca="1">_xll.meLWOBondCreateFromGeneratorLVB(I62,D62,_xll.meUtilityLVBFromKeysValues($I$4:$R$4,I62:R62))</f>
        <v>DAIGR F 11/13/19 EMTN@212:14</v>
      </c>
      <c r="U62" s="23">
        <f t="shared" ca="1" si="9"/>
        <v>43454</v>
      </c>
      <c r="V62" s="8">
        <f ca="1">_xll.BDP($E62,V$3)</f>
        <v>20.506246348423851</v>
      </c>
      <c r="W62" s="8">
        <f ca="1">_xll.BDP($E62,W$3)</f>
        <v>-0.311</v>
      </c>
      <c r="X62" s="28">
        <f ca="1">_xll.BDP($E62,X$3)</f>
        <v>-0.34150000000000003</v>
      </c>
      <c r="Y62" s="28">
        <f ca="1">_xll.BDP($E62,Y$3)</f>
        <v>0.28399999999999997</v>
      </c>
      <c r="Z62" s="24">
        <f ca="1">_xll.BDP($E62,Z$3)</f>
        <v>60</v>
      </c>
      <c r="AA62" s="35">
        <f ca="1">_xll.BDP($E62,AA$3)</f>
        <v>-0.105938</v>
      </c>
      <c r="AB62" s="8">
        <f ca="1">_xll.BDP($E62,AB$3)</f>
        <v>100.36499999999999</v>
      </c>
      <c r="AC62" s="38">
        <f ca="1">ROUND(_xll.meLWOBondFRNPriceFromDiscountMargin(T62,U62,V62/10000,W62/100,X62/100,Y62/100),3)</f>
        <v>100.36499999999999</v>
      </c>
      <c r="AD62" s="8">
        <f t="shared" ca="1" si="2"/>
        <v>0</v>
      </c>
      <c r="AE62" s="8">
        <f t="shared" ca="1" si="6"/>
        <v>100.36499999999999</v>
      </c>
      <c r="AF62" s="8">
        <f t="shared" ca="1" si="7"/>
        <v>0</v>
      </c>
      <c r="AG62" s="35">
        <f ca="1">_xll.meLWOBondFRNPriceFromYield(T62,U62,AA62/100,W62/100,X62/100,Y62/100)</f>
        <v>100.36500046316678</v>
      </c>
      <c r="AH62" s="35">
        <f ca="1">100*_xll.meLWOBondFRNYieldFromPrice(T62,U62,AG62,W62/100,X62/100,Y62/100)</f>
        <v>-0.10593799999987073</v>
      </c>
      <c r="AI62" s="35">
        <f t="shared" ca="1" si="10"/>
        <v>1.2927159342979166E-13</v>
      </c>
      <c r="AJ62" s="40">
        <f ca="1">10000*_xll.meLWOBondFRNDiscountMarginFromPrice(T62,U62,AG62,W62/100,X62/100,Y62/100)</f>
        <v>20.506200000012928</v>
      </c>
      <c r="AK62" s="41">
        <f t="shared" ca="1" si="4"/>
        <v>4.63484109225476E-5</v>
      </c>
    </row>
    <row r="63" spans="1:40" x14ac:dyDescent="0.25">
      <c r="A63" s="3" t="str">
        <f ca="1">_xll.BDP($E63,A$3)</f>
        <v>AN8052770</v>
      </c>
      <c r="B63" s="12" t="str">
        <f ca="1">_xll.BDP($E63,B$3)</f>
        <v>EUR</v>
      </c>
      <c r="C63" s="12" t="str">
        <f ca="1">_xll.BDP($E63,C$3)</f>
        <v>FR</v>
      </c>
      <c r="D63" s="18" t="s">
        <v>218</v>
      </c>
      <c r="E63" s="3" t="str">
        <f t="shared" si="8"/>
        <v>FR0013260486 CORP</v>
      </c>
      <c r="F63" s="12">
        <f ca="1">_xll.BDP($E63,F$3)</f>
        <v>21</v>
      </c>
      <c r="G63" s="12" t="str">
        <f ca="1">_xll.BDP($E63,G$3)</f>
        <v>N</v>
      </c>
      <c r="H63" s="12" t="str">
        <f ca="1">_xll.BDP($E63,H$3)</f>
        <v>N</v>
      </c>
      <c r="I63" s="3" t="str">
        <f ca="1">_xll.BDP($E63,I$3)</f>
        <v>RENAUL F 03/14/22 EMTN</v>
      </c>
      <c r="J63" s="3" t="s">
        <v>79</v>
      </c>
      <c r="K63" s="3" t="str">
        <f ca="1">_xll.BDP($E63,K$3)</f>
        <v>14/06/2017</v>
      </c>
      <c r="L63" s="5">
        <f ca="1">DATEVALUE(_xll.BDP($E63,L$3))</f>
        <v>43448</v>
      </c>
      <c r="M63" s="17" t="str">
        <f t="shared" ca="1" si="5"/>
        <v/>
      </c>
      <c r="N63" s="3" t="str">
        <f ca="1">_xll.BDP($E63,N$3)</f>
        <v>14/03/2019</v>
      </c>
      <c r="O63" s="3" t="str">
        <f ca="1">_xll.BDP($E63,O$3)</f>
        <v>14/03/2022</v>
      </c>
      <c r="P63" s="2">
        <v>0</v>
      </c>
      <c r="Q63" s="24">
        <f ca="1">_xll.BDP($E63,Q$3)</f>
        <v>67</v>
      </c>
      <c r="R63" s="5">
        <f ca="1">DATEVALUE(_xll.BDP($E63,R$3))</f>
        <v>44634</v>
      </c>
      <c r="S63" s="3" t="str">
        <f ca="1">_xll.BDP($E63,S$3)</f>
        <v>CLEAN</v>
      </c>
      <c r="T63" s="3" t="str">
        <f ca="1">_xll.meLWOBondCreateFromGeneratorLVB(I63,D63,_xll.meUtilityLVBFromKeysValues($I$4:$R$4,I63:R63))</f>
        <v>RENAUL F 03/14/22 EMTN@211:14</v>
      </c>
      <c r="U63" s="23">
        <f t="shared" ca="1" si="9"/>
        <v>43454</v>
      </c>
      <c r="V63" s="8">
        <f ca="1">_xll.BDP($E63,V$3)</f>
        <v>144.16082749579792</v>
      </c>
      <c r="W63" s="8">
        <f ca="1">_xll.BDP($E63,W$3)</f>
        <v>-0.311</v>
      </c>
      <c r="X63" s="28">
        <f ca="1">_xll.BDP($E63,X$3)</f>
        <v>-0.316</v>
      </c>
      <c r="Y63" s="28">
        <f ca="1">_xll.BDP($E63,Y$3)</f>
        <v>0.35799999999999998</v>
      </c>
      <c r="Z63" s="24">
        <f ca="1">_xll.BDP($E63,Z$3)</f>
        <v>67</v>
      </c>
      <c r="AA63" s="35">
        <f ca="1">_xll.BDP($E63,AA$3)</f>
        <v>1.1306080000000001</v>
      </c>
      <c r="AB63" s="8">
        <f ca="1">_xll.BDP($E63,AB$3)</f>
        <v>97.522000000000006</v>
      </c>
      <c r="AC63" s="38">
        <f ca="1">ROUND(_xll.meLWOBondFRNPriceFromDiscountMargin(T63,U63,V63/10000,W63/100,X63/100,Y63/100),3)</f>
        <v>97.522000000000006</v>
      </c>
      <c r="AD63" s="8">
        <f t="shared" ca="1" si="2"/>
        <v>0</v>
      </c>
      <c r="AE63" s="8">
        <f t="shared" ca="1" si="6"/>
        <v>97.522000000000006</v>
      </c>
      <c r="AF63" s="8">
        <f t="shared" ca="1" si="7"/>
        <v>0</v>
      </c>
      <c r="AG63" s="35">
        <f ca="1">_xll.meLWOBondFRNPriceFromYield(T63,U63,AA63/100,W63/100,X63/100,Y63/100)</f>
        <v>97.522000871454878</v>
      </c>
      <c r="AH63" s="35">
        <f ca="1">100*_xll.meLWOBondFRNYieldFromPrice(T63,U63,AG63,W63/100,X63/100,Y63/100)</f>
        <v>1.1306080000001413</v>
      </c>
      <c r="AI63" s="35">
        <f t="shared" ca="1" si="10"/>
        <v>1.4122036873231991E-13</v>
      </c>
      <c r="AJ63" s="40">
        <f ca="1">10000*_xll.meLWOBondFRNDiscountMarginFromPrice(T63,U63,AG63,W63/100,X63/100,Y63/100)</f>
        <v>144.16080000001412</v>
      </c>
      <c r="AK63" s="41">
        <f t="shared" ca="1" si="4"/>
        <v>2.7495783797348849E-5</v>
      </c>
    </row>
    <row r="64" spans="1:40" x14ac:dyDescent="0.25">
      <c r="A64" s="3" t="str">
        <f ca="1">_xll.BDP($E64,A$3)</f>
        <v>AN0736297</v>
      </c>
      <c r="B64" s="12" t="str">
        <f ca="1">_xll.BDP($E64,B$3)</f>
        <v>EUR</v>
      </c>
      <c r="C64" s="12" t="str">
        <f ca="1">_xll.BDP($E64,C$3)</f>
        <v>US</v>
      </c>
      <c r="D64" s="18" t="s">
        <v>218</v>
      </c>
      <c r="E64" s="3" t="str">
        <f t="shared" si="8"/>
        <v>XS1591430746 CORP</v>
      </c>
      <c r="F64" s="12">
        <f ca="1">_xll.BDP($E64,F$3)</f>
        <v>21</v>
      </c>
      <c r="G64" s="12" t="str">
        <f ca="1">_xll.BDP($E64,G$3)</f>
        <v>N</v>
      </c>
      <c r="H64" s="12" t="str">
        <f ca="1">_xll.BDP($E64,H$3)</f>
        <v>N</v>
      </c>
      <c r="I64" s="3" t="str">
        <f ca="1">_xll.BDP($E64,I$3)</f>
        <v>MCD F 04/05/19 GMTN</v>
      </c>
      <c r="J64" s="3" t="s">
        <v>80</v>
      </c>
      <c r="K64" s="3" t="str">
        <f ca="1">_xll.BDP($E64,K$3)</f>
        <v>05/04/2017</v>
      </c>
      <c r="L64" s="5">
        <f ca="1">DATEVALUE(_xll.BDP($E64,L$3))</f>
        <v>43378</v>
      </c>
      <c r="M64" s="17">
        <f t="shared" ca="1" si="5"/>
        <v>7</v>
      </c>
      <c r="N64" s="3" t="str">
        <f ca="1">_xll.BDP($E64,N$3)</f>
        <v>07/01/2019</v>
      </c>
      <c r="O64" s="3" t="str">
        <f ca="1">_xll.BDP($E64,O$3)</f>
        <v>05/04/2019</v>
      </c>
      <c r="P64" s="2">
        <v>0</v>
      </c>
      <c r="Q64" s="24">
        <f ca="1">_xll.BDP($E64,Q$3)</f>
        <v>23</v>
      </c>
      <c r="R64" s="5">
        <f ca="1">DATEVALUE(_xll.BDP($E64,R$3))</f>
        <v>43560</v>
      </c>
      <c r="S64" s="3" t="str">
        <f ca="1">_xll.BDP($E64,S$3)</f>
        <v>CLEAN</v>
      </c>
      <c r="T64" s="3" t="str">
        <f ca="1">_xll.meLWOBondCreateFromGeneratorLVB(I64,D64,_xll.meUtilityLVBFromKeysValues($I$4:$R$4,I64:R64))</f>
        <v>MCD F 04/05/19 GMTN@210:14</v>
      </c>
      <c r="U64" s="23">
        <f t="shared" ca="1" si="9"/>
        <v>43454</v>
      </c>
      <c r="V64" s="8">
        <f ca="1">_xll.BDP($E64,V$3)</f>
        <v>13.040417511778884</v>
      </c>
      <c r="W64" s="8">
        <f ca="1">_xll.BDP($E64,W$3)</f>
        <v>-0.311</v>
      </c>
      <c r="X64" s="28">
        <f ca="1">_xll.BDP($E64,X$3)</f>
        <v>-0.37369565217391304</v>
      </c>
      <c r="Y64" s="28">
        <f ca="1">_xll.BDP($E64,Y$3)</f>
        <v>0</v>
      </c>
      <c r="Z64" s="24">
        <f ca="1">_xll.BDP($E64,Z$3)</f>
        <v>23</v>
      </c>
      <c r="AA64" s="35">
        <f ca="1">_xll.BDP($E64,AA$3)</f>
        <v>-0.18059600000000001</v>
      </c>
      <c r="AB64" s="8">
        <f ca="1">_xll.BDP($E64,AB$3)</f>
        <v>100.05800000000001</v>
      </c>
      <c r="AC64" s="38">
        <f ca="1">ROUND(_xll.meLWOBondFRNPriceFromDiscountMargin(T64,U64,V64/10000,W64/100,X64/100,Y64/100),3)</f>
        <v>100.05800000000001</v>
      </c>
      <c r="AD64" s="8">
        <f t="shared" ca="1" si="2"/>
        <v>0</v>
      </c>
      <c r="AE64" s="8">
        <f t="shared" ca="1" si="6"/>
        <v>100.05800000000001</v>
      </c>
      <c r="AF64" s="8">
        <f t="shared" ca="1" si="7"/>
        <v>0</v>
      </c>
      <c r="AG64" s="35">
        <f ca="1">_xll.meLWOBondFRNPriceFromYield(T64,U64,AA64/100,W64/100,X64/100,Y64/100)</f>
        <v>100.05800005380605</v>
      </c>
      <c r="AH64" s="35">
        <f ca="1">100*_xll.meLWOBondFRNYieldFromPrice(T64,U64,AG64,W64/100,X64/100,Y64/100)</f>
        <v>-0.18059600000010947</v>
      </c>
      <c r="AI64" s="35">
        <f t="shared" ca="1" si="10"/>
        <v>1.0946799022804043E-13</v>
      </c>
      <c r="AJ64" s="40">
        <f ca="1">10000*_xll.meLWOBondFRNDiscountMarginFromPrice(T64,U64,AG64,W64/100,X64/100,Y64/100)</f>
        <v>13.040399999989052</v>
      </c>
      <c r="AK64" s="41">
        <f t="shared" ca="1" si="4"/>
        <v>1.7511789831559099E-5</v>
      </c>
    </row>
    <row r="65" spans="1:37" x14ac:dyDescent="0.25">
      <c r="A65" s="3" t="str">
        <f ca="1">_xll.BDP($E65,A$3)</f>
        <v>JV9576762</v>
      </c>
      <c r="B65" s="12" t="str">
        <f ca="1">_xll.BDP($E65,B$3)</f>
        <v>EUR</v>
      </c>
      <c r="C65" s="12" t="str">
        <f ca="1">_xll.BDP($E65,C$3)</f>
        <v>GB</v>
      </c>
      <c r="D65" s="18" t="s">
        <v>218</v>
      </c>
      <c r="E65" s="3" t="str">
        <f t="shared" si="8"/>
        <v>XS1362349869 CORP</v>
      </c>
      <c r="F65" s="12">
        <f ca="1">_xll.BDP($E65,F$3)</f>
        <v>21</v>
      </c>
      <c r="G65" s="12" t="str">
        <f ca="1">_xll.BDP($E65,G$3)</f>
        <v>N</v>
      </c>
      <c r="H65" s="12" t="str">
        <f ca="1">_xll.BDP($E65,H$3)</f>
        <v>N</v>
      </c>
      <c r="I65" s="3" t="str">
        <f ca="1">_xll.BDP($E65,I$3)</f>
        <v>F F 08/13/18 EMTN</v>
      </c>
      <c r="J65" s="3" t="s">
        <v>81</v>
      </c>
      <c r="K65" s="3" t="str">
        <f ca="1">_xll.BDP($E65,K$3)</f>
        <v>11/02/2016</v>
      </c>
      <c r="L65" s="5">
        <f ca="1">DATEVALUE(_xll.BDP($E65,L$3))</f>
        <v>43231</v>
      </c>
      <c r="M65" s="17" t="e">
        <f t="shared" ca="1" si="5"/>
        <v>#VALUE!</v>
      </c>
      <c r="N65" s="3" t="str">
        <f ca="1">_xll.BDP($E65,N$3)</f>
        <v>#N/A Field Not Applicable</v>
      </c>
      <c r="O65" s="3" t="str">
        <f ca="1">_xll.BDP($E65,O$3)</f>
        <v>13/08/2018</v>
      </c>
      <c r="P65" s="2">
        <v>0</v>
      </c>
      <c r="Q65" s="24">
        <f ca="1">_xll.BDP($E65,Q$3)</f>
        <v>118</v>
      </c>
      <c r="R65" s="5">
        <f ca="1">DATEVALUE(_xll.BDP($E65,R$3))</f>
        <v>43325</v>
      </c>
      <c r="S65" s="3" t="str">
        <f ca="1">_xll.BDP($E65,S$3)</f>
        <v>CLEAN</v>
      </c>
      <c r="T65" s="3" t="str">
        <f ca="1">_xll.meLWOBondCreateFromGeneratorLVB(I65,D65,_xll.meUtilityLVBFromKeysValues($I$4:$R$4,I65:R65))</f>
        <v>#Error: Key #ERROR: KEYS AND VALUES ARE NOT THE SAME SIZE. is not an expected key.</v>
      </c>
      <c r="U65" s="23">
        <f t="shared" ca="1" si="9"/>
        <v>43454</v>
      </c>
      <c r="V65" s="8" t="str">
        <f ca="1">_xll.BDP($E65,V$3)</f>
        <v>#N/A N/A</v>
      </c>
      <c r="W65" s="8" t="str">
        <f ca="1">_xll.BDP($E65,W$3)</f>
        <v>#N/A N/A</v>
      </c>
      <c r="X65" s="28" t="str">
        <f ca="1">_xll.BDP($E65,X$3)</f>
        <v>#N/A N/A</v>
      </c>
      <c r="Y65" s="28">
        <f ca="1">_xll.BDP($E65,Y$3)</f>
        <v>0.85299999999999998</v>
      </c>
      <c r="Z65" s="24">
        <f ca="1">_xll.BDP($E65,Z$3)</f>
        <v>118</v>
      </c>
      <c r="AA65" s="35" t="str">
        <f ca="1">_xll.BDP($E65,AA$3)</f>
        <v>#N/A N/A</v>
      </c>
      <c r="AB65" s="8" t="str">
        <f ca="1">_xll.BDP($E65,AB$3)</f>
        <v>#N/A N/A</v>
      </c>
      <c r="AC65" s="38" t="e">
        <f ca="1">ROUND(_xll.meLWOBondFRNPriceFromDiscountMargin(T65,U65,V65/10000,W65/100,X65/100,Y65/100),3)</f>
        <v>#VALUE!</v>
      </c>
      <c r="AD65" s="8" t="e">
        <f t="shared" ca="1" si="2"/>
        <v>#VALUE!</v>
      </c>
      <c r="AE65" s="8" t="e">
        <f t="shared" ca="1" si="6"/>
        <v>#VALUE!</v>
      </c>
      <c r="AF65" s="8" t="e">
        <f t="shared" ca="1" si="7"/>
        <v>#VALUE!</v>
      </c>
      <c r="AG65" s="35" t="e">
        <f ca="1">_xll.meLWOBondFRNPriceFromYield(T65,U65,AA65/100,W65/100,X65/100,Y65/100)</f>
        <v>#VALUE!</v>
      </c>
      <c r="AH65" s="35" t="e">
        <f ca="1">100*_xll.meLWOBondFRNYieldFromPrice(T65,U65,AG65,W65/100,X65/100,Y65/100)</f>
        <v>#VALUE!</v>
      </c>
      <c r="AI65" s="35" t="e">
        <f t="shared" ca="1" si="10"/>
        <v>#VALUE!</v>
      </c>
      <c r="AJ65" s="40" t="e">
        <f ca="1">10000*_xll.meLWOBondFRNDiscountMarginFromPrice(T65,U65,AG65,W65/100,X65/100,Y65/100)</f>
        <v>#VALUE!</v>
      </c>
      <c r="AK65" s="41" t="e">
        <f t="shared" ca="1" si="4"/>
        <v>#VALUE!</v>
      </c>
    </row>
    <row r="66" spans="1:37" x14ac:dyDescent="0.25">
      <c r="A66" s="3" t="str">
        <f ca="1">_xll.BDP($E66,A$3)</f>
        <v>EK2483783</v>
      </c>
      <c r="B66" s="12" t="str">
        <f ca="1">_xll.BDP($E66,B$3)</f>
        <v>EUR</v>
      </c>
      <c r="C66" s="12" t="str">
        <f ca="1">_xll.BDP($E66,C$3)</f>
        <v>FR</v>
      </c>
      <c r="D66" s="18" t="s">
        <v>218</v>
      </c>
      <c r="E66" s="3" t="str">
        <f t="shared" si="8"/>
        <v>FR0011884899 CORP</v>
      </c>
      <c r="F66" s="12">
        <f ca="1">_xll.BDP($E66,F$3)</f>
        <v>21</v>
      </c>
      <c r="G66" s="12" t="str">
        <f ca="1">_xll.BDP($E66,G$3)</f>
        <v>N</v>
      </c>
      <c r="H66" s="12" t="str">
        <f ca="1">_xll.BDP($E66,H$3)</f>
        <v>N</v>
      </c>
      <c r="I66" s="3" t="str">
        <f ca="1">_xll.BDP($E66,I$3)</f>
        <v>ARRFP F 03/31/19 EMTN</v>
      </c>
      <c r="J66" s="3" t="s">
        <v>82</v>
      </c>
      <c r="K66" s="3" t="str">
        <f ca="1">_xll.BDP($E66,K$3)</f>
        <v>12/05/2014</v>
      </c>
      <c r="L66" s="5">
        <f ca="1">DATEVALUE(_xll.BDP($E66,L$3))</f>
        <v>43371</v>
      </c>
      <c r="M66" s="17" t="str">
        <f t="shared" ca="1" si="5"/>
        <v/>
      </c>
      <c r="N66" s="3" t="str">
        <f ca="1">_xll.BDP($E66,N$3)</f>
        <v>31/12/2018</v>
      </c>
      <c r="O66" s="3" t="str">
        <f ca="1">_xll.BDP($E66,O$3)</f>
        <v>31/03/2019</v>
      </c>
      <c r="P66" s="2">
        <v>0</v>
      </c>
      <c r="Q66" s="24">
        <f ca="1">_xll.BDP($E66,Q$3)</f>
        <v>75</v>
      </c>
      <c r="R66" s="5">
        <f ca="1">DATEVALUE(_xll.BDP($E66,R$3))</f>
        <v>43555</v>
      </c>
      <c r="S66" s="3" t="str">
        <f ca="1">_xll.BDP($E66,S$3)</f>
        <v>CLEAN</v>
      </c>
      <c r="T66" s="3" t="str">
        <f ca="1">_xll.meLWOBondCreateFromGeneratorLVB(I66,D66,_xll.meUtilityLVBFromKeysValues($I$4:$R$4,I66:R66))</f>
        <v>ARRFP F 03/31/19 EMTN@208:14</v>
      </c>
      <c r="U66" s="23">
        <f t="shared" ca="1" si="9"/>
        <v>43454</v>
      </c>
      <c r="V66" s="8">
        <f ca="1">_xll.BDP($E66,V$3)</f>
        <v>0.38325974241851246</v>
      </c>
      <c r="W66" s="8">
        <f ca="1">_xll.BDP($E66,W$3)</f>
        <v>-0.311</v>
      </c>
      <c r="X66" s="28">
        <f ca="1">_xll.BDP($E66,X$3)</f>
        <v>-0.37643478260869567</v>
      </c>
      <c r="Y66" s="28">
        <f ca="1">_xll.BDP($E66,Y$3)</f>
        <v>0.43099999999999999</v>
      </c>
      <c r="Z66" s="24">
        <f ca="1">_xll.BDP($E66,Z$3)</f>
        <v>75</v>
      </c>
      <c r="AA66" s="35">
        <f ca="1">_xll.BDP($E66,AA$3)</f>
        <v>-0.30716700000000002</v>
      </c>
      <c r="AB66" s="8">
        <f ca="1">_xll.BDP($E66,AB$3)</f>
        <v>100.214</v>
      </c>
      <c r="AC66" s="38">
        <f ca="1">ROUND(_xll.meLWOBondFRNPriceFromDiscountMargin(T66,U66,V66/10000,W66/100,X66/100,Y66/100),3)</f>
        <v>100.214</v>
      </c>
      <c r="AD66" s="8">
        <f t="shared" ca="1" si="2"/>
        <v>0</v>
      </c>
      <c r="AE66" s="8">
        <f t="shared" ca="1" si="6"/>
        <v>100.214</v>
      </c>
      <c r="AF66" s="8">
        <f t="shared" ca="1" si="7"/>
        <v>0</v>
      </c>
      <c r="AG66" s="35">
        <f ca="1">_xll.meLWOBondFRNPriceFromYield(T66,U66,AA66/100,W66/100,X66/100,Y66/100)</f>
        <v>100.21399989890607</v>
      </c>
      <c r="AH66" s="35">
        <f ca="1">100*_xll.meLWOBondFRNYieldFromPrice(T66,U66,AG66,W66/100,X66/100,Y66/100)</f>
        <v>-0.30716699999998609</v>
      </c>
      <c r="AI66" s="35">
        <f t="shared" ca="1" si="10"/>
        <v>1.3933298959045715E-14</v>
      </c>
      <c r="AJ66" s="40">
        <f ca="1">10000*_xll.meLWOBondFRNDiscountMarginFromPrice(T66,U66,AG66,W66/100,X66/100,Y66/100)</f>
        <v>0.38330000000139258</v>
      </c>
      <c r="AK66" s="41">
        <f t="shared" ca="1" si="4"/>
        <v>4.0257582880121046E-5</v>
      </c>
    </row>
    <row r="67" spans="1:37" x14ac:dyDescent="0.25">
      <c r="A67" s="3" t="str">
        <f ca="1">_xll.BDP($E67,A$3)</f>
        <v>EK4729191</v>
      </c>
      <c r="B67" s="12" t="str">
        <f ca="1">_xll.BDP($E67,B$3)</f>
        <v>EUR</v>
      </c>
      <c r="C67" s="12" t="str">
        <f ca="1">_xll.BDP($E67,C$3)</f>
        <v>FR</v>
      </c>
      <c r="D67" s="18" t="s">
        <v>218</v>
      </c>
      <c r="E67" s="3" t="str">
        <f t="shared" ref="E67:E97" si="12">J67&amp;" CORP"</f>
        <v>FR0012146751 CORP</v>
      </c>
      <c r="F67" s="12">
        <f ca="1">_xll.BDP($E67,F$3)</f>
        <v>21</v>
      </c>
      <c r="G67" s="12" t="str">
        <f ca="1">_xll.BDP($E67,G$3)</f>
        <v>N</v>
      </c>
      <c r="H67" s="12" t="str">
        <f ca="1">_xll.BDP($E67,H$3)</f>
        <v>N</v>
      </c>
      <c r="I67" s="3" t="str">
        <f ca="1">_xll.BDP($E67,I$3)</f>
        <v>SANFP F 09/10/18 EMTN</v>
      </c>
      <c r="J67" s="3" t="s">
        <v>83</v>
      </c>
      <c r="K67" s="3" t="str">
        <f ca="1">_xll.BDP($E67,K$3)</f>
        <v>10/09/2014</v>
      </c>
      <c r="L67" s="5">
        <f ca="1">DATEVALUE(_xll.BDP($E67,L$3))</f>
        <v>43262</v>
      </c>
      <c r="M67" s="17" t="e">
        <f t="shared" ca="1" si="5"/>
        <v>#VALUE!</v>
      </c>
      <c r="N67" s="3" t="str">
        <f ca="1">_xll.BDP($E67,N$3)</f>
        <v>#N/A Field Not Applicable</v>
      </c>
      <c r="O67" s="3" t="str">
        <f ca="1">_xll.BDP($E67,O$3)</f>
        <v>10/09/2018</v>
      </c>
      <c r="P67" s="2">
        <v>0</v>
      </c>
      <c r="Q67" s="24">
        <f ca="1">_xll.BDP($E67,Q$3)</f>
        <v>23</v>
      </c>
      <c r="R67" s="5">
        <f ca="1">DATEVALUE(_xll.BDP($E67,R$3))</f>
        <v>43353</v>
      </c>
      <c r="S67" s="3" t="str">
        <f ca="1">_xll.BDP($E67,S$3)</f>
        <v>CLEAN</v>
      </c>
      <c r="T67" s="3" t="str">
        <f ca="1">_xll.meLWOBondCreateFromGeneratorLVB(I67,D67,_xll.meUtilityLVBFromKeysValues($I$4:$R$4,I67:R67))</f>
        <v>#Error: Key #ERROR: KEYS AND VALUES ARE NOT THE SAME SIZE. is not an expected key.</v>
      </c>
      <c r="U67" s="23">
        <f t="shared" ref="U67:U97" ca="1" si="13">$U$1</f>
        <v>43454</v>
      </c>
      <c r="V67" s="8" t="str">
        <f ca="1">_xll.BDP($E67,V$3)</f>
        <v>#N/A N/A</v>
      </c>
      <c r="W67" s="8" t="str">
        <f ca="1">_xll.BDP($E67,W$3)</f>
        <v>#N/A N/A</v>
      </c>
      <c r="X67" s="28" t="str">
        <f ca="1">_xll.BDP($E67,X$3)</f>
        <v>#N/A N/A</v>
      </c>
      <c r="Y67" s="28">
        <f ca="1">_xll.BDP($E67,Y$3)</f>
        <v>0</v>
      </c>
      <c r="Z67" s="24">
        <f ca="1">_xll.BDP($E67,Z$3)</f>
        <v>23</v>
      </c>
      <c r="AA67" s="35" t="str">
        <f ca="1">_xll.BDP($E67,AA$3)</f>
        <v>#N/A N/A</v>
      </c>
      <c r="AB67" s="8" t="str">
        <f ca="1">_xll.BDP($E67,AB$3)</f>
        <v>#N/A N/A</v>
      </c>
      <c r="AC67" s="38" t="e">
        <f ca="1">ROUND(_xll.meLWOBondFRNPriceFromDiscountMargin(T67,U67,V67/10000,W67/100,X67/100,Y67/100),3)</f>
        <v>#VALUE!</v>
      </c>
      <c r="AD67" s="8" t="e">
        <f t="shared" ref="AD67:AD128" ca="1" si="14">ABS(AC67-AB67)</f>
        <v>#VALUE!</v>
      </c>
      <c r="AE67" s="8" t="e">
        <f t="shared" ca="1" si="6"/>
        <v>#VALUE!</v>
      </c>
      <c r="AF67" s="8" t="e">
        <f t="shared" ca="1" si="7"/>
        <v>#VALUE!</v>
      </c>
      <c r="AG67" s="35" t="e">
        <f ca="1">_xll.meLWOBondFRNPriceFromYield(T67,U67,AA67/100,W67/100,X67/100,Y67/100)</f>
        <v>#VALUE!</v>
      </c>
      <c r="AH67" s="35" t="e">
        <f ca="1">100*_xll.meLWOBondFRNYieldFromPrice(T67,U67,AG67,W67/100,X67/100,Y67/100)</f>
        <v>#VALUE!</v>
      </c>
      <c r="AI67" s="35" t="e">
        <f t="shared" ca="1" si="10"/>
        <v>#VALUE!</v>
      </c>
      <c r="AJ67" s="40" t="e">
        <f ca="1">10000*_xll.meLWOBondFRNDiscountMarginFromPrice(T67,U67,AG67,W67/100,X67/100,Y67/100)</f>
        <v>#VALUE!</v>
      </c>
      <c r="AK67" s="41" t="e">
        <f t="shared" ca="1" si="4"/>
        <v>#VALUE!</v>
      </c>
    </row>
    <row r="68" spans="1:37" x14ac:dyDescent="0.25">
      <c r="A68" s="3" t="str">
        <f ca="1">_xll.BDP($E68,A$3)</f>
        <v>AN6467483</v>
      </c>
      <c r="B68" s="12" t="str">
        <f ca="1">_xll.BDP($E68,B$3)</f>
        <v>EUR</v>
      </c>
      <c r="C68" s="12" t="str">
        <f ca="1">_xll.BDP($E68,C$3)</f>
        <v>US</v>
      </c>
      <c r="D68" s="18" t="s">
        <v>218</v>
      </c>
      <c r="E68" s="3" t="str">
        <f t="shared" si="12"/>
        <v>XS1619284372 CORP</v>
      </c>
      <c r="F68" s="12">
        <f ca="1">_xll.BDP($E68,F$3)</f>
        <v>21</v>
      </c>
      <c r="G68" s="12" t="str">
        <f ca="1">_xll.BDP($E68,G$3)</f>
        <v>N</v>
      </c>
      <c r="H68" s="12" t="str">
        <f ca="1">_xll.BDP($E68,H$3)</f>
        <v>N</v>
      </c>
      <c r="I68" s="3" t="str">
        <f ca="1">_xll.BDP($E68,I$3)</f>
        <v>MYL F 05/24/20</v>
      </c>
      <c r="J68" s="3" t="s">
        <v>84</v>
      </c>
      <c r="K68" s="3" t="str">
        <f ca="1">_xll.BDP($E68,K$3)</f>
        <v>24/05/2017</v>
      </c>
      <c r="L68" s="5">
        <f ca="1">DATEVALUE(_xll.BDP($E68,L$3))</f>
        <v>43428</v>
      </c>
      <c r="M68" s="17" t="str">
        <f t="shared" ref="M68:M129" ca="1" si="15">IF(DAY(N68)&lt;&gt;DAY(O68),DAY(N68),"")</f>
        <v/>
      </c>
      <c r="N68" s="3" t="str">
        <f ca="1">_xll.BDP($E68,N$3)</f>
        <v>24/02/2019</v>
      </c>
      <c r="O68" s="3" t="str">
        <f ca="1">_xll.BDP($E68,O$3)</f>
        <v>24/05/2020</v>
      </c>
      <c r="P68" s="2">
        <v>0</v>
      </c>
      <c r="Q68" s="24">
        <f ca="1">_xll.BDP($E68,Q$3)</f>
        <v>50</v>
      </c>
      <c r="R68" s="5">
        <f ca="1">DATEVALUE(_xll.BDP($E68,R$3))</f>
        <v>43975</v>
      </c>
      <c r="S68" s="3" t="str">
        <f ca="1">_xll.BDP($E68,S$3)</f>
        <v>CLEAN</v>
      </c>
      <c r="T68" s="3" t="str">
        <f ca="1">_xll.meLWOBondCreateFromGeneratorLVB(I68,D68,_xll.meUtilityLVBFromKeysValues($I$4:$R$4,I68:R68))</f>
        <v>MYL F 05/24/20@206:14</v>
      </c>
      <c r="U68" s="23">
        <f t="shared" ca="1" si="13"/>
        <v>43454</v>
      </c>
      <c r="V68" s="8">
        <f ca="1">_xll.BDP($E68,V$3)</f>
        <v>56.126393985057774</v>
      </c>
      <c r="W68" s="8">
        <f ca="1">_xll.BDP($E68,W$3)</f>
        <v>-0.311</v>
      </c>
      <c r="X68" s="28">
        <f ca="1">_xll.BDP($E68,X$3)</f>
        <v>-0.33100000000000002</v>
      </c>
      <c r="Y68" s="28">
        <f ca="1">_xll.BDP($E68,Y$3)</f>
        <v>0.184</v>
      </c>
      <c r="Z68" s="24">
        <f ca="1">_xll.BDP($E68,Z$3)</f>
        <v>50</v>
      </c>
      <c r="AA68" s="35">
        <f ca="1">_xll.BDP($E68,AA$3)</f>
        <v>0.25026399999999999</v>
      </c>
      <c r="AB68" s="8">
        <f ca="1">_xll.BDP($E68,AB$3)</f>
        <v>99.914000000000001</v>
      </c>
      <c r="AC68" s="38">
        <f ca="1">ROUND(_xll.meLWOBondFRNPriceFromDiscountMargin(T68,U68,V68/10000,W68/100,X68/100,Y68/100),3)</f>
        <v>99.914000000000001</v>
      </c>
      <c r="AD68" s="8">
        <f t="shared" ca="1" si="14"/>
        <v>0</v>
      </c>
      <c r="AE68" s="8">
        <f t="shared" ca="1" si="6"/>
        <v>99.914000000000001</v>
      </c>
      <c r="AF68" s="8">
        <f t="shared" ref="AF68:AF129" ca="1" si="16">ABS(AE68-AB68)</f>
        <v>0</v>
      </c>
      <c r="AG68" s="35">
        <f ca="1">_xll.meLWOBondFRNPriceFromYield(T68,U68,AA68/100,W68/100,X68/100,Y68/100)</f>
        <v>99.913871922107774</v>
      </c>
      <c r="AH68" s="35">
        <f ca="1">100*_xll.meLWOBondFRNYieldFromPrice(T68,U68,AG68,W68/100,X68/100,Y68/100)</f>
        <v>0.25026400000005677</v>
      </c>
      <c r="AI68" s="35">
        <f t="shared" ca="1" si="10"/>
        <v>5.6787907709576757E-14</v>
      </c>
      <c r="AJ68" s="40">
        <f ca="1">10000*_xll.meLWOBondFRNDiscountMarginFromPrice(T68,U68,AG68,W68/100,X68/100,Y68/100)</f>
        <v>56.126400000005674</v>
      </c>
      <c r="AK68" s="41">
        <f t="shared" ca="1" si="4"/>
        <v>6.0149478997573169E-6</v>
      </c>
    </row>
    <row r="69" spans="1:37" x14ac:dyDescent="0.25">
      <c r="A69" s="3" t="str">
        <f ca="1">_xll.BDP($E69,A$3)</f>
        <v>UV8435488</v>
      </c>
      <c r="B69" s="12" t="str">
        <f ca="1">_xll.BDP($E69,B$3)</f>
        <v>EUR</v>
      </c>
      <c r="C69" s="12" t="str">
        <f ca="1">_xll.BDP($E69,C$3)</f>
        <v>GB</v>
      </c>
      <c r="D69" s="18" t="s">
        <v>218</v>
      </c>
      <c r="E69" s="3" t="str">
        <f t="shared" si="12"/>
        <v>XS1292513105 CORP</v>
      </c>
      <c r="F69" s="12">
        <f ca="1">_xll.BDP($E69,F$3)</f>
        <v>21</v>
      </c>
      <c r="G69" s="12" t="str">
        <f ca="1">_xll.BDP($E69,G$3)</f>
        <v>N</v>
      </c>
      <c r="H69" s="12" t="str">
        <f ca="1">_xll.BDP($E69,H$3)</f>
        <v>N</v>
      </c>
      <c r="I69" s="3" t="str">
        <f ca="1">_xll.BDP($E69,I$3)</f>
        <v>F F 09/17/19 EMTN</v>
      </c>
      <c r="J69" s="3" t="s">
        <v>85</v>
      </c>
      <c r="K69" s="3" t="str">
        <f ca="1">_xll.BDP($E69,K$3)</f>
        <v>17/09/2015</v>
      </c>
      <c r="L69" s="5">
        <f ca="1">DATEVALUE(_xll.BDP($E69,L$3))</f>
        <v>43451</v>
      </c>
      <c r="M69" s="17">
        <f t="shared" ca="1" si="15"/>
        <v>18</v>
      </c>
      <c r="N69" s="3" t="str">
        <f ca="1">_xll.BDP($E69,N$3)</f>
        <v>18/03/2019</v>
      </c>
      <c r="O69" s="3" t="str">
        <f ca="1">_xll.BDP($E69,O$3)</f>
        <v>17/09/2019</v>
      </c>
      <c r="P69" s="2">
        <v>0</v>
      </c>
      <c r="Q69" s="24">
        <f ca="1">_xll.BDP($E69,Q$3)</f>
        <v>98</v>
      </c>
      <c r="R69" s="5">
        <f ca="1">DATEVALUE(_xll.BDP($E69,R$3))</f>
        <v>43725</v>
      </c>
      <c r="S69" s="3" t="str">
        <f ca="1">_xll.BDP($E69,S$3)</f>
        <v>CLEAN</v>
      </c>
      <c r="T69" s="3" t="str">
        <f ca="1">_xll.meLWOBondCreateFromGeneratorLVB(I69,D69,_xll.meUtilityLVBFromKeysValues($I$4:$R$4,I69:R69))</f>
        <v>F F 09/17/19 EMTN@205:14</v>
      </c>
      <c r="U69" s="23">
        <f t="shared" ca="1" si="13"/>
        <v>43454</v>
      </c>
      <c r="V69" s="8">
        <f ca="1">_xll.BDP($E69,V$3)</f>
        <v>71.261689670036674</v>
      </c>
      <c r="W69" s="8">
        <f ca="1">_xll.BDP($E69,W$3)</f>
        <v>-0.311</v>
      </c>
      <c r="X69" s="28">
        <f ca="1">_xll.BDP($E69,X$3)</f>
        <v>-0.31266666666666665</v>
      </c>
      <c r="Y69" s="28">
        <f ca="1">_xll.BDP($E69,Y$3)</f>
        <v>0.66900000000000004</v>
      </c>
      <c r="Z69" s="24">
        <f ca="1">_xll.BDP($E69,Z$3)</f>
        <v>98</v>
      </c>
      <c r="AA69" s="35">
        <f ca="1">_xll.BDP($E69,AA$3)</f>
        <v>0.401617</v>
      </c>
      <c r="AB69" s="8">
        <f ca="1">_xll.BDP($E69,AB$3)</f>
        <v>100.20099999999999</v>
      </c>
      <c r="AC69" s="38">
        <f ca="1">ROUND(_xll.meLWOBondFRNPriceFromDiscountMargin(T69,U69,V69/10000,W69/100,X69/100,Y69/100),3)</f>
        <v>100.20099999999999</v>
      </c>
      <c r="AD69" s="8">
        <f t="shared" ca="1" si="14"/>
        <v>0</v>
      </c>
      <c r="AE69" s="8">
        <f t="shared" ca="1" si="6"/>
        <v>100.20099999999999</v>
      </c>
      <c r="AF69" s="8">
        <f t="shared" ca="1" si="16"/>
        <v>0</v>
      </c>
      <c r="AG69" s="35">
        <f ca="1">_xll.meLWOBondFRNPriceFromYield(T69,U69,AA69/100,W69/100,X69/100,Y69/100)</f>
        <v>100.20099992248149</v>
      </c>
      <c r="AH69" s="35">
        <f ca="1">100*_xll.meLWOBondFRNYieldFromPrice(T69,U69,AG69,W69/100,X69/100,Y69/100)</f>
        <v>0.40161700000001999</v>
      </c>
      <c r="AI69" s="35">
        <f t="shared" ref="AI69:AI100" ca="1" si="17">ABS(AH69-AA69)</f>
        <v>1.9984014443252818E-14</v>
      </c>
      <c r="AJ69" s="40">
        <f ca="1">10000*_xll.meLWOBondFRNDiscountMarginFromPrice(T69,U69,AG69,W69/100,X69/100,Y69/100)</f>
        <v>71.261700000001994</v>
      </c>
      <c r="AK69" s="41">
        <f t="shared" ca="1" si="4"/>
        <v>1.0329965320465817E-5</v>
      </c>
    </row>
    <row r="70" spans="1:37" x14ac:dyDescent="0.25">
      <c r="A70" s="3" t="str">
        <f ca="1">_xll.BDP($E70,A$3)</f>
        <v>AS4757843</v>
      </c>
      <c r="B70" s="12" t="str">
        <f ca="1">_xll.BDP($E70,B$3)</f>
        <v>EUR</v>
      </c>
      <c r="C70" s="12" t="str">
        <f ca="1">_xll.BDP($E70,C$3)</f>
        <v>US</v>
      </c>
      <c r="D70" s="18" t="s">
        <v>216</v>
      </c>
      <c r="E70" s="3" t="str">
        <f t="shared" si="12"/>
        <v>XS1823165631 CORP</v>
      </c>
      <c r="F70" s="12">
        <f ca="1">_xll.BDP($E70,F$3)</f>
        <v>21</v>
      </c>
      <c r="G70" s="12" t="str">
        <f ca="1">_xll.BDP($E70,G$3)</f>
        <v>N</v>
      </c>
      <c r="H70" s="12" t="str">
        <f ca="1">_xll.BDP($E70,H$3)</f>
        <v>N</v>
      </c>
      <c r="I70" s="3" t="str">
        <f ca="1">_xll.BDP($E70,I$3)</f>
        <v>PCAR F 05/18/21 EMTN</v>
      </c>
      <c r="J70" s="3" t="s">
        <v>86</v>
      </c>
      <c r="K70" s="3" t="str">
        <f ca="1">_xll.BDP($E70,K$3)</f>
        <v>18/05/2018</v>
      </c>
      <c r="L70" s="5">
        <f ca="1">DATEVALUE(_xll.BDP($E70,L$3))</f>
        <v>43422</v>
      </c>
      <c r="M70" s="17" t="str">
        <f t="shared" ca="1" si="15"/>
        <v/>
      </c>
      <c r="N70" s="3" t="str">
        <f ca="1">_xll.BDP($E70,N$3)</f>
        <v>18/02/2019</v>
      </c>
      <c r="O70" s="3" t="str">
        <f ca="1">_xll.BDP($E70,O$3)</f>
        <v>18/05/2021</v>
      </c>
      <c r="P70" s="2">
        <v>0</v>
      </c>
      <c r="Q70" s="24">
        <f ca="1">_xll.BDP($E70,Q$3)</f>
        <v>45</v>
      </c>
      <c r="R70" s="5">
        <f ca="1">DATEVALUE(_xll.BDP($E70,R$3))</f>
        <v>44334</v>
      </c>
      <c r="S70" s="3" t="str">
        <f ca="1">_xll.BDP($E70,S$3)</f>
        <v>CLEAN</v>
      </c>
      <c r="T70" s="3" t="str">
        <f ca="1">_xll.meLWOBondCreateFromGeneratorLVB(I70,D70,_xll.meUtilityLVBFromKeysValues($I$4:$R$4,I70:R70))</f>
        <v>PCAR F 05/18/21 EMTN@204:14</v>
      </c>
      <c r="U70" s="23">
        <f t="shared" ca="1" si="13"/>
        <v>43454</v>
      </c>
      <c r="V70" s="8">
        <f ca="1">_xll.BDP($E70,V$3)</f>
        <v>29.504130180406523</v>
      </c>
      <c r="W70" s="8">
        <f ca="1">_xll.BDP($E70,W$3)</f>
        <v>-0.311</v>
      </c>
      <c r="X70" s="28">
        <f ca="1">_xll.BDP($E70,X$3)</f>
        <v>-0.33600000000000002</v>
      </c>
      <c r="Y70" s="28">
        <f ca="1">_xll.BDP($E70,Y$3)</f>
        <v>0.13400000000000001</v>
      </c>
      <c r="Z70" s="24">
        <f ca="1">_xll.BDP($E70,Z$3)</f>
        <v>45</v>
      </c>
      <c r="AA70" s="35">
        <f ca="1">_xll.BDP($E70,AA$3)</f>
        <v>-1.5959000000000001E-2</v>
      </c>
      <c r="AB70" s="8">
        <f ca="1">_xll.BDP($E70,AB$3)</f>
        <v>100.383</v>
      </c>
      <c r="AC70" s="38">
        <f ca="1">ROUND(_xll.meLWOBondFRNPriceFromDiscountMargin(T70,U70,V70/10000,W70/100,X70/100,Y70/100),3)</f>
        <v>100.383</v>
      </c>
      <c r="AD70" s="8">
        <f t="shared" ca="1" si="14"/>
        <v>0</v>
      </c>
      <c r="AE70" s="8">
        <f t="shared" ref="AE70:AE133" ca="1" si="18">ROUND(AG70,3)</f>
        <v>100.383</v>
      </c>
      <c r="AF70" s="8">
        <f t="shared" ca="1" si="16"/>
        <v>0</v>
      </c>
      <c r="AG70" s="35">
        <f ca="1">_xll.meLWOBondFRNPriceFromYield(T70,U70,AA70/100,W70/100,X70/100,Y70/100)</f>
        <v>100.38300074108642</v>
      </c>
      <c r="AH70" s="35">
        <f ca="1">100*_xll.meLWOBondFRNYieldFromPrice(T70,U70,AG70,W70/100,X70/100,Y70/100)</f>
        <v>-1.5958999999853032E-2</v>
      </c>
      <c r="AI70" s="35">
        <f t="shared" ca="1" si="17"/>
        <v>1.4696924233170705E-13</v>
      </c>
      <c r="AJ70" s="40">
        <f ca="1">10000*_xll.meLWOBondFRNDiscountMarginFromPrice(T70,U70,AG70,W70/100,X70/100,Y70/100)</f>
        <v>29.504100000014695</v>
      </c>
      <c r="AK70" s="41">
        <f t="shared" ref="AK70:AK133" ca="1" si="19">ABS(AJ70-V70)</f>
        <v>3.0180391828338315E-5</v>
      </c>
    </row>
    <row r="71" spans="1:37" x14ac:dyDescent="0.25">
      <c r="A71" s="3" t="str">
        <f ca="1">_xll.BDP($E71,A$3)</f>
        <v>AP9994108</v>
      </c>
      <c r="B71" s="12" t="str">
        <f ca="1">_xll.BDP($E71,B$3)</f>
        <v>EUR</v>
      </c>
      <c r="C71" s="12" t="str">
        <f ca="1">_xll.BDP($E71,C$3)</f>
        <v>DE</v>
      </c>
      <c r="D71" s="18" t="s">
        <v>218</v>
      </c>
      <c r="E71" s="3" t="str">
        <f t="shared" si="12"/>
        <v>DE000A19SE11 CORP</v>
      </c>
      <c r="F71" s="12">
        <f ca="1">_xll.BDP($E71,F$3)</f>
        <v>21</v>
      </c>
      <c r="G71" s="12" t="str">
        <f ca="1">_xll.BDP($E71,G$3)</f>
        <v>N</v>
      </c>
      <c r="H71" s="12" t="str">
        <f ca="1">_xll.BDP($E71,H$3)</f>
        <v>N</v>
      </c>
      <c r="I71" s="3" t="str">
        <f ca="1">_xll.BDP($E71,I$3)</f>
        <v>ANNGR F 11/20/19</v>
      </c>
      <c r="J71" s="3" t="s">
        <v>87</v>
      </c>
      <c r="K71" s="3" t="str">
        <f ca="1">_xll.BDP($E71,K$3)</f>
        <v>20/11/2017</v>
      </c>
      <c r="L71" s="5">
        <f ca="1">DATEVALUE(_xll.BDP($E71,L$3))</f>
        <v>43424</v>
      </c>
      <c r="M71" s="17" t="str">
        <f t="shared" ca="1" si="15"/>
        <v/>
      </c>
      <c r="N71" s="3" t="str">
        <f ca="1">_xll.BDP($E71,N$3)</f>
        <v>20/02/2019</v>
      </c>
      <c r="O71" s="3" t="str">
        <f ca="1">_xll.BDP($E71,O$3)</f>
        <v>20/11/2019</v>
      </c>
      <c r="P71" s="2">
        <v>0</v>
      </c>
      <c r="Q71" s="24">
        <f ca="1">_xll.BDP($E71,Q$3)</f>
        <v>35</v>
      </c>
      <c r="R71" s="5">
        <f ca="1">DATEVALUE(_xll.BDP($E71,R$3))</f>
        <v>43789</v>
      </c>
      <c r="S71" s="3" t="str">
        <f ca="1">_xll.BDP($E71,S$3)</f>
        <v>CLEAN</v>
      </c>
      <c r="T71" s="3" t="str">
        <f ca="1">_xll.meLWOBondCreateFromGeneratorLVB(I71,D71,_xll.meUtilityLVBFromKeysValues($I$4:$R$4,I71:R71))</f>
        <v>ANNGR F 11/20/19@203:14</v>
      </c>
      <c r="U71" s="23">
        <f t="shared" ca="1" si="13"/>
        <v>43454</v>
      </c>
      <c r="V71" s="8">
        <f ca="1">_xll.BDP($E71,V$3)</f>
        <v>25.054744645701298</v>
      </c>
      <c r="W71" s="8">
        <f ca="1">_xll.BDP($E71,W$3)</f>
        <v>-0.311</v>
      </c>
      <c r="X71" s="28">
        <f ca="1">_xll.BDP($E71,X$3)</f>
        <v>-0.33433333333333337</v>
      </c>
      <c r="Y71" s="28">
        <f ca="1">_xll.BDP($E71,Y$3)</f>
        <v>3.4000000000000002E-2</v>
      </c>
      <c r="Z71" s="24">
        <f ca="1">_xll.BDP($E71,Z$3)</f>
        <v>35</v>
      </c>
      <c r="AA71" s="35">
        <f ca="1">_xll.BDP($E71,AA$3)</f>
        <v>-6.0453E-2</v>
      </c>
      <c r="AB71" s="8">
        <f ca="1">_xll.BDP($E71,AB$3)</f>
        <v>100.096</v>
      </c>
      <c r="AC71" s="38">
        <f ca="1">ROUND(_xll.meLWOBondFRNPriceFromDiscountMargin(T71,U71,V71/10000,W71/100,X71/100,Y71/100),3)</f>
        <v>100.096</v>
      </c>
      <c r="AD71" s="8">
        <f t="shared" ca="1" si="14"/>
        <v>0</v>
      </c>
      <c r="AE71" s="8">
        <f t="shared" ca="1" si="18"/>
        <v>100.096</v>
      </c>
      <c r="AF71" s="8">
        <f t="shared" ca="1" si="16"/>
        <v>0</v>
      </c>
      <c r="AG71" s="35">
        <f ca="1">_xll.meLWOBondFRNPriceFromYield(T71,U71,AA71/100,W71/100,X71/100,Y71/100)</f>
        <v>100.09600041702788</v>
      </c>
      <c r="AH71" s="35">
        <f ca="1">100*_xll.meLWOBondFRNYieldFromPrice(T71,U71,AG71,W71/100,X71/100,Y71/100)</f>
        <v>-6.045299999994961E-2</v>
      </c>
      <c r="AI71" s="35">
        <f t="shared" ca="1" si="17"/>
        <v>5.0390247530174292E-14</v>
      </c>
      <c r="AJ71" s="40">
        <f ca="1">10000*_xll.meLWOBondFRNDiscountMarginFromPrice(T71,U71,AG71,W71/100,X71/100,Y71/100)</f>
        <v>25.054700000005042</v>
      </c>
      <c r="AK71" s="41">
        <f t="shared" ca="1" si="19"/>
        <v>4.4645696256395695E-5</v>
      </c>
    </row>
    <row r="72" spans="1:37" x14ac:dyDescent="0.25">
      <c r="A72" s="3" t="str">
        <f ca="1">_xll.BDP($E72,A$3)</f>
        <v>AQ8079206</v>
      </c>
      <c r="B72" s="12" t="str">
        <f ca="1">_xll.BDP($E72,B$3)</f>
        <v>EUR</v>
      </c>
      <c r="C72" s="12" t="str">
        <f ca="1">_xll.BDP($E72,C$3)</f>
        <v>SE</v>
      </c>
      <c r="D72" s="18" t="s">
        <v>218</v>
      </c>
      <c r="E72" s="3" t="str">
        <f t="shared" si="12"/>
        <v>XS1756669740 CORP</v>
      </c>
      <c r="F72" s="12">
        <f ca="1">_xll.BDP($E72,F$3)</f>
        <v>21</v>
      </c>
      <c r="G72" s="12" t="str">
        <f ca="1">_xll.BDP($E72,G$3)</f>
        <v>N</v>
      </c>
      <c r="H72" s="12" t="str">
        <f ca="1">_xll.BDP($E72,H$3)</f>
        <v>N</v>
      </c>
      <c r="I72" s="3" t="str">
        <f ca="1">_xll.BDP($E72,I$3)</f>
        <v>SCANIA F 01/23/20 EMTN</v>
      </c>
      <c r="J72" s="3" t="s">
        <v>88</v>
      </c>
      <c r="K72" s="3" t="str">
        <f ca="1">_xll.BDP($E72,K$3)</f>
        <v>23/01/2018</v>
      </c>
      <c r="L72" s="5">
        <f ca="1">DATEVALUE(_xll.BDP($E72,L$3))</f>
        <v>43396</v>
      </c>
      <c r="M72" s="17" t="str">
        <f t="shared" ca="1" si="15"/>
        <v/>
      </c>
      <c r="N72" s="3" t="str">
        <f ca="1">_xll.BDP($E72,N$3)</f>
        <v>23/01/2019</v>
      </c>
      <c r="O72" s="3" t="str">
        <f ca="1">_xll.BDP($E72,O$3)</f>
        <v>23/01/2020</v>
      </c>
      <c r="P72" s="2">
        <v>0</v>
      </c>
      <c r="Q72" s="24">
        <f ca="1">_xll.BDP($E72,Q$3)</f>
        <v>40</v>
      </c>
      <c r="R72" s="5">
        <f ca="1">DATEVALUE(_xll.BDP($E72,R$3))</f>
        <v>43853</v>
      </c>
      <c r="S72" s="3" t="str">
        <f ca="1">_xll.BDP($E72,S$3)</f>
        <v>CLEAN</v>
      </c>
      <c r="T72" s="3" t="str">
        <f ca="1">_xll.meLWOBondCreateFromGeneratorLVB(I72,D72,_xll.meUtilityLVBFromKeysValues($I$4:$R$4,I72:R72))</f>
        <v>SCANIA F 01/23/20 EMTN@202:14</v>
      </c>
      <c r="U72" s="23">
        <f t="shared" ca="1" si="13"/>
        <v>43454</v>
      </c>
      <c r="V72" s="8">
        <f ca="1">_xll.BDP($E72,V$3)</f>
        <v>49.252585082816729</v>
      </c>
      <c r="W72" s="8">
        <f ca="1">_xll.BDP($E72,W$3)</f>
        <v>-0.311</v>
      </c>
      <c r="X72" s="28">
        <f ca="1">_xll.BDP($E72,X$3)</f>
        <v>-0.36459999999999998</v>
      </c>
      <c r="Y72" s="28">
        <f ca="1">_xll.BDP($E72,Y$3)</f>
        <v>8.3000000000000004E-2</v>
      </c>
      <c r="Z72" s="24">
        <f ca="1">_xll.BDP($E72,Z$3)</f>
        <v>40</v>
      </c>
      <c r="AA72" s="35">
        <f ca="1">_xll.BDP($E72,AA$3)</f>
        <v>0.18152599999999999</v>
      </c>
      <c r="AB72" s="8">
        <f ca="1">_xll.BDP($E72,AB$3)</f>
        <v>99.902000000000001</v>
      </c>
      <c r="AC72" s="38">
        <f ca="1">ROUND(_xll.meLWOBondFRNPriceFromDiscountMargin(T72,U72,V72/10000,W72/100,X72/100,Y72/100),3)</f>
        <v>99.902000000000001</v>
      </c>
      <c r="AD72" s="8">
        <f t="shared" ca="1" si="14"/>
        <v>0</v>
      </c>
      <c r="AE72" s="8">
        <f t="shared" ca="1" si="18"/>
        <v>99.902000000000001</v>
      </c>
      <c r="AF72" s="8">
        <f t="shared" ca="1" si="16"/>
        <v>0</v>
      </c>
      <c r="AG72" s="35">
        <f ca="1">_xll.meLWOBondFRNPriceFromYield(T72,U72,AA72/100,W72/100,X72/100,Y72/100)</f>
        <v>99.901999834915131</v>
      </c>
      <c r="AH72" s="35">
        <f ca="1">100*_xll.meLWOBondFRNYieldFromPrice(T72,U72,AG72,W72/100,X72/100,Y72/100)</f>
        <v>0.1815260000000718</v>
      </c>
      <c r="AI72" s="35">
        <f t="shared" ca="1" si="17"/>
        <v>7.1803674117631999E-14</v>
      </c>
      <c r="AJ72" s="40">
        <f ca="1">10000*_xll.meLWOBondFRNDiscountMarginFromPrice(T72,U72,AG72,W72/100,X72/100,Y72/100)</f>
        <v>49.252600000007178</v>
      </c>
      <c r="AK72" s="41">
        <f t="shared" ca="1" si="19"/>
        <v>1.4917190448215933E-5</v>
      </c>
    </row>
    <row r="73" spans="1:37" x14ac:dyDescent="0.25">
      <c r="A73" s="3" t="str">
        <f ca="1">_xll.BDP($E73,A$3)</f>
        <v>AO6442708</v>
      </c>
      <c r="B73" s="12" t="str">
        <f ca="1">_xll.BDP($E73,B$3)</f>
        <v>EUR</v>
      </c>
      <c r="C73" s="12" t="str">
        <f ca="1">_xll.BDP($E73,C$3)</f>
        <v>GB</v>
      </c>
      <c r="D73" s="18" t="s">
        <v>218</v>
      </c>
      <c r="E73" s="3" t="str">
        <f t="shared" si="12"/>
        <v>XS1664643746 CORP</v>
      </c>
      <c r="F73" s="12">
        <f ca="1">_xll.BDP($E73,F$3)</f>
        <v>21</v>
      </c>
      <c r="G73" s="12" t="str">
        <f ca="1">_xll.BDP($E73,G$3)</f>
        <v>N</v>
      </c>
      <c r="H73" s="12" t="str">
        <f ca="1">_xll.BDP($E73,H$3)</f>
        <v>N</v>
      </c>
      <c r="I73" s="3" t="str">
        <f ca="1">_xll.BDP($E73,I$3)</f>
        <v>BATSLN F 08/16/21 EMTN</v>
      </c>
      <c r="J73" s="3" t="s">
        <v>89</v>
      </c>
      <c r="K73" s="3" t="str">
        <f ca="1">_xll.BDP($E73,K$3)</f>
        <v>16/08/2017</v>
      </c>
      <c r="L73" s="5">
        <f ca="1">DATEVALUE(_xll.BDP($E73,L$3))</f>
        <v>43420</v>
      </c>
      <c r="M73" s="17">
        <f t="shared" ca="1" si="15"/>
        <v>18</v>
      </c>
      <c r="N73" s="3" t="str">
        <f ca="1">_xll.BDP($E73,N$3)</f>
        <v>18/02/2019</v>
      </c>
      <c r="O73" s="3" t="str">
        <f ca="1">_xll.BDP($E73,O$3)</f>
        <v>16/08/2021</v>
      </c>
      <c r="P73" s="2">
        <v>0</v>
      </c>
      <c r="Q73" s="24">
        <f ca="1">_xll.BDP($E73,Q$3)</f>
        <v>50</v>
      </c>
      <c r="R73" s="5">
        <f ca="1">DATEVALUE(_xll.BDP($E73,R$3))</f>
        <v>44424</v>
      </c>
      <c r="S73" s="3" t="str">
        <f ca="1">_xll.BDP($E73,S$3)</f>
        <v>CLEAN</v>
      </c>
      <c r="T73" s="3" t="str">
        <f ca="1">_xll.meLWOBondCreateFromGeneratorLVB(I73,D73,_xll.meUtilityLVBFromKeysValues($I$4:$R$4,I73:R73))</f>
        <v>BATSLN F 08/16/21 EMTN@201:14</v>
      </c>
      <c r="U73" s="23">
        <f t="shared" ca="1" si="13"/>
        <v>43454</v>
      </c>
      <c r="V73" s="8">
        <f ca="1">_xll.BDP($E73,V$3)</f>
        <v>112.60966947583404</v>
      </c>
      <c r="W73" s="8">
        <f ca="1">_xll.BDP($E73,W$3)</f>
        <v>-0.311</v>
      </c>
      <c r="X73" s="28">
        <f ca="1">_xll.BDP($E73,X$3)</f>
        <v>-0.33600000000000002</v>
      </c>
      <c r="Y73" s="28">
        <f ca="1">_xll.BDP($E73,Y$3)</f>
        <v>0.184</v>
      </c>
      <c r="Z73" s="24">
        <f ca="1">_xll.BDP($E73,Z$3)</f>
        <v>50</v>
      </c>
      <c r="AA73" s="35">
        <f ca="1">_xll.BDP($E73,AA$3)</f>
        <v>0.81509699999999996</v>
      </c>
      <c r="AB73" s="8">
        <f ca="1">_xll.BDP($E73,AB$3)</f>
        <v>98.331000000000003</v>
      </c>
      <c r="AC73" s="38">
        <f ca="1">ROUND(_xll.meLWOBondFRNPriceFromDiscountMargin(T73,U73,V73/10000,W73/100,X73/100,Y73/100),3)</f>
        <v>98.331000000000003</v>
      </c>
      <c r="AD73" s="8">
        <f t="shared" ca="1" si="14"/>
        <v>0</v>
      </c>
      <c r="AE73" s="8">
        <f t="shared" ca="1" si="18"/>
        <v>98.331000000000003</v>
      </c>
      <c r="AF73" s="8">
        <f t="shared" ca="1" si="16"/>
        <v>0</v>
      </c>
      <c r="AG73" s="35">
        <f ca="1">_xll.meLWOBondFRNPriceFromYield(T73,U73,AA73/100,W73/100,X73/100,Y73/100)</f>
        <v>98.330999421039962</v>
      </c>
      <c r="AH73" s="35">
        <f ca="1">100*_xll.meLWOBondFRNYieldFromPrice(T73,U73,AG73,W73/100,X73/100,Y73/100)</f>
        <v>0.81509700000007013</v>
      </c>
      <c r="AI73" s="35">
        <f t="shared" ca="1" si="17"/>
        <v>7.0166095156309893E-14</v>
      </c>
      <c r="AJ73" s="40">
        <f ca="1">10000*_xll.meLWOBondFRNDiscountMarginFromPrice(T73,U73,AG73,W73/100,X73/100,Y73/100)</f>
        <v>112.60970000000701</v>
      </c>
      <c r="AK73" s="41">
        <f t="shared" ca="1" si="19"/>
        <v>3.0524172970558539E-5</v>
      </c>
    </row>
    <row r="74" spans="1:37" x14ac:dyDescent="0.25">
      <c r="A74" s="3" t="str">
        <f ca="1">_xll.BDP($E74,A$3)</f>
        <v>EK4676111</v>
      </c>
      <c r="B74" s="12" t="str">
        <f ca="1">_xll.BDP($E74,B$3)</f>
        <v>EUR</v>
      </c>
      <c r="C74" s="12" t="str">
        <f ca="1">_xll.BDP($E74,C$3)</f>
        <v>DE</v>
      </c>
      <c r="D74" s="18" t="s">
        <v>218</v>
      </c>
      <c r="E74" s="3" t="str">
        <f t="shared" si="12"/>
        <v>XS1107266782 CORP</v>
      </c>
      <c r="F74" s="12">
        <f ca="1">_xll.BDP($E74,F$3)</f>
        <v>21</v>
      </c>
      <c r="G74" s="12" t="str">
        <f ca="1">_xll.BDP($E74,G$3)</f>
        <v>N</v>
      </c>
      <c r="H74" s="12" t="str">
        <f ca="1">_xll.BDP($E74,H$3)</f>
        <v>N</v>
      </c>
      <c r="I74" s="3" t="str">
        <f ca="1">_xll.BDP($E74,I$3)</f>
        <v>DBHNGR F 09/09/22 EMTN</v>
      </c>
      <c r="J74" s="3" t="s">
        <v>90</v>
      </c>
      <c r="K74" s="3" t="str">
        <f ca="1">_xll.BDP($E74,K$3)</f>
        <v>09/09/2014</v>
      </c>
      <c r="L74" s="5">
        <f ca="1">DATEVALUE(_xll.BDP($E74,L$3))</f>
        <v>43444</v>
      </c>
      <c r="M74" s="17">
        <f t="shared" ca="1" si="15"/>
        <v>11</v>
      </c>
      <c r="N74" s="3" t="str">
        <f ca="1">_xll.BDP($E74,N$3)</f>
        <v>11/03/2019</v>
      </c>
      <c r="O74" s="3" t="str">
        <f ca="1">_xll.BDP($E74,O$3)</f>
        <v>09/09/2022</v>
      </c>
      <c r="P74" s="2">
        <v>0</v>
      </c>
      <c r="Q74" s="24">
        <f ca="1">_xll.BDP($E74,Q$3)</f>
        <v>28</v>
      </c>
      <c r="R74" s="5">
        <f ca="1">DATEVALUE(_xll.BDP($E74,R$3))</f>
        <v>44813</v>
      </c>
      <c r="S74" s="3" t="str">
        <f ca="1">_xll.BDP($E74,S$3)</f>
        <v>CLEAN</v>
      </c>
      <c r="T74" s="3" t="str">
        <f ca="1">_xll.meLWOBondCreateFromGeneratorLVB(I74,D74,_xll.meUtilityLVBFromKeysValues($I$4:$R$4,I74:R74))</f>
        <v>DBHNGR F 09/09/22 EMTN@200:14</v>
      </c>
      <c r="U74" s="23">
        <f t="shared" ca="1" si="13"/>
        <v>43454</v>
      </c>
      <c r="V74" s="8">
        <f ca="1">_xll.BDP($E74,V$3)</f>
        <v>4.6974006417836334</v>
      </c>
      <c r="W74" s="8">
        <f ca="1">_xll.BDP($E74,W$3)</f>
        <v>-0.311</v>
      </c>
      <c r="X74" s="28">
        <f ca="1">_xll.BDP($E74,X$3)</f>
        <v>-0.31850000000000001</v>
      </c>
      <c r="Y74" s="28">
        <f ca="1">_xll.BDP($E74,Y$3)</f>
        <v>0</v>
      </c>
      <c r="Z74" s="24">
        <f ca="1">_xll.BDP($E74,Z$3)</f>
        <v>28</v>
      </c>
      <c r="AA74" s="35">
        <f ca="1">_xll.BDP($E74,AA$3)</f>
        <v>-0.26402599999999998</v>
      </c>
      <c r="AB74" s="8">
        <f ca="1">_xll.BDP($E74,AB$3)</f>
        <v>101.004</v>
      </c>
      <c r="AC74" s="38">
        <f ca="1">ROUND(_xll.meLWOBondFRNPriceFromDiscountMargin(T74,U74,V74/10000,W74/100,X74/100,Y74/100),3)</f>
        <v>101.004</v>
      </c>
      <c r="AD74" s="8">
        <f t="shared" ca="1" si="14"/>
        <v>0</v>
      </c>
      <c r="AE74" s="8">
        <f t="shared" ca="1" si="18"/>
        <v>101.004</v>
      </c>
      <c r="AF74" s="8">
        <f t="shared" ca="1" si="16"/>
        <v>0</v>
      </c>
      <c r="AG74" s="35">
        <f ca="1">_xll.meLWOBondFRNPriceFromYield(T74,U74,AA74/100,W74/100,X74/100,Y74/100)</f>
        <v>101.00400002439072</v>
      </c>
      <c r="AH74" s="35">
        <f ca="1">100*_xll.meLWOBondFRNYieldFromPrice(T74,U74,AG74,W74/100,X74/100,Y74/100)</f>
        <v>-0.26402599999986626</v>
      </c>
      <c r="AI74" s="35">
        <f t="shared" ca="1" si="17"/>
        <v>1.3372636331610011E-13</v>
      </c>
      <c r="AJ74" s="40">
        <f ca="1">10000*_xll.meLWOBondFRNDiscountMarginFromPrice(T74,U74,AG74,W74/100,X74/100,Y74/100)</f>
        <v>4.6974000000133724</v>
      </c>
      <c r="AK74" s="41">
        <f t="shared" ca="1" si="19"/>
        <v>6.4177026093403811E-7</v>
      </c>
    </row>
    <row r="75" spans="1:37" x14ac:dyDescent="0.25">
      <c r="A75" s="3" t="str">
        <f ca="1">_xll.BDP($E75,A$3)</f>
        <v>AQ0770323</v>
      </c>
      <c r="B75" s="12" t="str">
        <f ca="1">_xll.BDP($E75,B$3)</f>
        <v>EUR</v>
      </c>
      <c r="C75" s="12" t="str">
        <f ca="1">_xll.BDP($E75,C$3)</f>
        <v>FR</v>
      </c>
      <c r="D75" s="18" t="s">
        <v>216</v>
      </c>
      <c r="E75" s="3" t="str">
        <f t="shared" si="12"/>
        <v>XS1723613581 CORP</v>
      </c>
      <c r="F75" s="12">
        <f ca="1">_xll.BDP($E75,F$3)</f>
        <v>21</v>
      </c>
      <c r="G75" s="12" t="str">
        <f ca="1">_xll.BDP($E75,G$3)</f>
        <v>N</v>
      </c>
      <c r="H75" s="12" t="str">
        <f ca="1">_xll.BDP($E75,H$3)</f>
        <v>N</v>
      </c>
      <c r="I75" s="3" t="str">
        <f ca="1">_xll.BDP($E75,I$3)</f>
        <v>ALDFP F 11/27/20 EMTN</v>
      </c>
      <c r="J75" s="3" t="s">
        <v>91</v>
      </c>
      <c r="K75" s="3" t="str">
        <f ca="1">_xll.BDP($E75,K$3)</f>
        <v>27/11/2017</v>
      </c>
      <c r="L75" s="5">
        <f ca="1">DATEVALUE(_xll.BDP($E75,L$3))</f>
        <v>43431</v>
      </c>
      <c r="M75" s="17" t="str">
        <f t="shared" ca="1" si="15"/>
        <v/>
      </c>
      <c r="N75" s="3" t="str">
        <f ca="1">_xll.BDP($E75,N$3)</f>
        <v>27/02/2019</v>
      </c>
      <c r="O75" s="3" t="str">
        <f ca="1">_xll.BDP($E75,O$3)</f>
        <v>27/11/2020</v>
      </c>
      <c r="P75" s="2">
        <v>0</v>
      </c>
      <c r="Q75" s="24">
        <f ca="1">_xll.BDP($E75,Q$3)</f>
        <v>43</v>
      </c>
      <c r="R75" s="5">
        <f ca="1">DATEVALUE(_xll.BDP($E75,R$3))</f>
        <v>44162</v>
      </c>
      <c r="S75" s="3" t="str">
        <f ca="1">_xll.BDP($E75,S$3)</f>
        <v>CLEAN</v>
      </c>
      <c r="T75" s="3" t="str">
        <f ca="1">_xll.meLWOBondCreateFromGeneratorLVB(I75,D75,_xll.meUtilityLVBFromKeysValues($I$4:$R$4,I75:R75))</f>
        <v>ALDFP F 11/27/20 EMTN@199:14</v>
      </c>
      <c r="U75" s="23">
        <f t="shared" ca="1" si="13"/>
        <v>43454</v>
      </c>
      <c r="V75" s="8">
        <f ca="1">_xll.BDP($E75,V$3)</f>
        <v>65.829394734357251</v>
      </c>
      <c r="W75" s="8">
        <f ca="1">_xll.BDP($E75,W$3)</f>
        <v>-0.311</v>
      </c>
      <c r="X75" s="28">
        <f ca="1">_xll.BDP($E75,X$3)</f>
        <v>-0.32850000000000001</v>
      </c>
      <c r="Y75" s="28">
        <f ca="1">_xll.BDP($E75,Y$3)</f>
        <v>0.114</v>
      </c>
      <c r="Z75" s="24">
        <f ca="1">_xll.BDP($E75,Z$3)</f>
        <v>43</v>
      </c>
      <c r="AA75" s="35">
        <f ca="1">_xll.BDP($E75,AA$3)</f>
        <v>0.34729399999999999</v>
      </c>
      <c r="AB75" s="8">
        <f ca="1">_xll.BDP($E75,AB$3)</f>
        <v>99.555000000000007</v>
      </c>
      <c r="AC75" s="38">
        <f ca="1">ROUND(_xll.meLWOBondFRNPriceFromDiscountMargin(T75,U75,V75/10000,W75/100,X75/100,Y75/100),3)</f>
        <v>99.555000000000007</v>
      </c>
      <c r="AD75" s="8">
        <f ca="1">ABS(AC75-AB75)</f>
        <v>0</v>
      </c>
      <c r="AE75" s="8">
        <f t="shared" ca="1" si="18"/>
        <v>99.555000000000007</v>
      </c>
      <c r="AF75" s="8">
        <f ca="1">ABS(AE75-AB75)</f>
        <v>0</v>
      </c>
      <c r="AG75" s="35">
        <f ca="1">_xll.meLWOBondFRNPriceFromYield(T75,U75,AA75/100,W75/100,X75/100,Y75/100)</f>
        <v>99.554999900527648</v>
      </c>
      <c r="AH75" s="35">
        <f ca="1">100*_xll.meLWOBondFRNYieldFromPrice(T75,U75,AG75,W75/100,X75/100,Y75/100)</f>
        <v>0.34729399999996818</v>
      </c>
      <c r="AI75" s="35">
        <f t="shared" ca="1" si="17"/>
        <v>3.1807889655510735E-14</v>
      </c>
      <c r="AJ75" s="40">
        <f ca="1">10000*_xll.meLWOBondFRNDiscountMarginFromPrice(T75,U75,AG75,W75/100,X75/100,Y75/100)</f>
        <v>65.829399999996809</v>
      </c>
      <c r="AK75" s="41">
        <f t="shared" ca="1" si="19"/>
        <v>5.2656395581607285E-6</v>
      </c>
    </row>
    <row r="76" spans="1:37" x14ac:dyDescent="0.25">
      <c r="A76" s="3" t="str">
        <f ca="1">_xll.BDP($E76,A$3)</f>
        <v>AO1671400</v>
      </c>
      <c r="B76" s="12" t="str">
        <f ca="1">_xll.BDP($E76,B$3)</f>
        <v>EUR</v>
      </c>
      <c r="C76" s="12" t="str">
        <f ca="1">_xll.BDP($E76,C$3)</f>
        <v>DE</v>
      </c>
      <c r="D76" s="18" t="s">
        <v>218</v>
      </c>
      <c r="E76" s="3" t="str">
        <f t="shared" si="12"/>
        <v>XS1642545690 CORP</v>
      </c>
      <c r="F76" s="12">
        <f ca="1">_xll.BDP($E76,F$3)</f>
        <v>21</v>
      </c>
      <c r="G76" s="12" t="str">
        <f ca="1">_xll.BDP($E76,G$3)</f>
        <v>N</v>
      </c>
      <c r="H76" s="12" t="str">
        <f ca="1">_xll.BDP($E76,H$3)</f>
        <v>N</v>
      </c>
      <c r="I76" s="3" t="str">
        <f ca="1">_xll.BDP($E76,I$3)</f>
        <v>VW F 07/06/19 EMTN</v>
      </c>
      <c r="J76" s="3" t="s">
        <v>92</v>
      </c>
      <c r="K76" s="3" t="str">
        <f ca="1">_xll.BDP($E76,K$3)</f>
        <v>06/07/2017</v>
      </c>
      <c r="L76" s="5">
        <f ca="1">DATEVALUE(_xll.BDP($E76,L$3))</f>
        <v>43381</v>
      </c>
      <c r="M76" s="17">
        <f t="shared" ca="1" si="15"/>
        <v>7</v>
      </c>
      <c r="N76" s="3" t="str">
        <f ca="1">_xll.BDP($E76,N$3)</f>
        <v>07/01/2019</v>
      </c>
      <c r="O76" s="3" t="str">
        <f ca="1">_xll.BDP($E76,O$3)</f>
        <v>06/07/2019</v>
      </c>
      <c r="P76" s="2">
        <v>0</v>
      </c>
      <c r="Q76" s="24">
        <f ca="1">_xll.BDP($E76,Q$3)</f>
        <v>35</v>
      </c>
      <c r="R76" s="5">
        <f ca="1">DATEVALUE(_xll.BDP($E76,R$3))</f>
        <v>43652</v>
      </c>
      <c r="S76" s="3" t="str">
        <f ca="1">_xll.BDP($E76,S$3)</f>
        <v>CLEAN</v>
      </c>
      <c r="T76" s="3" t="str">
        <f ca="1">_xll.meLWOBondCreateFromGeneratorLVB(I76,D76,_xll.meUtilityLVBFromKeysValues($I$4:$R$4,I76:R76))</f>
        <v>VW F 07/06/19 EMTN@198:14</v>
      </c>
      <c r="U76" s="23">
        <f t="shared" ca="1" si="13"/>
        <v>43454</v>
      </c>
      <c r="V76" s="8">
        <f ca="1">_xll.BDP($E76,V$3)</f>
        <v>27.067656768480227</v>
      </c>
      <c r="W76" s="8">
        <f ca="1">_xll.BDP($E76,W$3)</f>
        <v>-0.311</v>
      </c>
      <c r="X76" s="28">
        <f ca="1">_xll.BDP($E76,X$3)</f>
        <v>-0.37369565217391304</v>
      </c>
      <c r="Y76" s="28">
        <f ca="1">_xll.BDP($E76,Y$3)</f>
        <v>3.2000000000000001E-2</v>
      </c>
      <c r="Z76" s="24">
        <f ca="1">_xll.BDP($E76,Z$3)</f>
        <v>35</v>
      </c>
      <c r="AA76" s="35">
        <f ca="1">_xll.BDP($E76,AA$3)</f>
        <v>-4.0322999999999998E-2</v>
      </c>
      <c r="AB76" s="8">
        <f ca="1">_xll.BDP($E76,AB$3)</f>
        <v>100.047</v>
      </c>
      <c r="AC76" s="38">
        <f ca="1">ROUND(_xll.meLWOBondFRNPriceFromDiscountMargin(T76,U76,V76/10000,W76/100,X76/100,Y76/100),3)</f>
        <v>100.047</v>
      </c>
      <c r="AD76" s="8">
        <f t="shared" ca="1" si="14"/>
        <v>0</v>
      </c>
      <c r="AE76" s="8">
        <f t="shared" ca="1" si="18"/>
        <v>100.047</v>
      </c>
      <c r="AF76" s="8">
        <f t="shared" ca="1" si="16"/>
        <v>0</v>
      </c>
      <c r="AG76" s="35">
        <f ca="1">_xll.meLWOBondFRNPriceFromYield(T76,U76,AA76/100,W76/100,X76/100,Y76/100)</f>
        <v>100.04699975895055</v>
      </c>
      <c r="AH76" s="35">
        <f ca="1">100*_xll.meLWOBondFRNYieldFromPrice(T76,U76,AG76,W76/100,X76/100,Y76/100)</f>
        <v>-4.0322999999872183E-2</v>
      </c>
      <c r="AI76" s="35">
        <f t="shared" ca="1" si="17"/>
        <v>1.2781442570997115E-13</v>
      </c>
      <c r="AJ76" s="40">
        <f ca="1">10000*_xll.meLWOBondFRNDiscountMarginFromPrice(T76,U76,AG76,W76/100,X76/100,Y76/100)</f>
        <v>27.067700000012785</v>
      </c>
      <c r="AK76" s="41">
        <f t="shared" ca="1" si="19"/>
        <v>4.3231532558252184E-5</v>
      </c>
    </row>
    <row r="77" spans="1:37" x14ac:dyDescent="0.25">
      <c r="A77" s="3" t="str">
        <f ca="1">_xll.BDP($E77,A$3)</f>
        <v>31428XBH8</v>
      </c>
      <c r="B77" s="12" t="str">
        <f ca="1">_xll.BDP($E77,B$3)</f>
        <v>EUR</v>
      </c>
      <c r="C77" s="12" t="str">
        <f ca="1">_xll.BDP($E77,C$3)</f>
        <v>US</v>
      </c>
      <c r="D77" s="18" t="s">
        <v>218</v>
      </c>
      <c r="E77" s="3" t="str">
        <f t="shared" si="12"/>
        <v>XS1319814817 CORP</v>
      </c>
      <c r="F77" s="12">
        <f ca="1">_xll.BDP($E77,F$3)</f>
        <v>21</v>
      </c>
      <c r="G77" s="12" t="str">
        <f ca="1">_xll.BDP($E77,G$3)</f>
        <v>N</v>
      </c>
      <c r="H77" s="12" t="str">
        <f ca="1">_xll.BDP($E77,H$3)</f>
        <v>N</v>
      </c>
      <c r="I77" s="3" t="str">
        <f ca="1">_xll.BDP($E77,I$3)</f>
        <v>FDX F 04/11/19</v>
      </c>
      <c r="J77" s="3" t="s">
        <v>93</v>
      </c>
      <c r="K77" s="3" t="str">
        <f ca="1">_xll.BDP($E77,K$3)</f>
        <v>11/04/2016</v>
      </c>
      <c r="L77" s="5">
        <f ca="1">DATEVALUE(_xll.BDP($E77,L$3))</f>
        <v>43384</v>
      </c>
      <c r="M77" s="17" t="str">
        <f t="shared" ca="1" si="15"/>
        <v/>
      </c>
      <c r="N77" s="3" t="str">
        <f ca="1">_xll.BDP($E77,N$3)</f>
        <v>11/01/2019</v>
      </c>
      <c r="O77" s="3" t="str">
        <f ca="1">_xll.BDP($E77,O$3)</f>
        <v>11/04/2019</v>
      </c>
      <c r="P77" s="2">
        <v>0</v>
      </c>
      <c r="Q77" s="24">
        <f ca="1">_xll.BDP($E77,Q$3)</f>
        <v>55</v>
      </c>
      <c r="R77" s="5">
        <f ca="1">DATEVALUE(_xll.BDP($E77,R$3))</f>
        <v>43566</v>
      </c>
      <c r="S77" s="3" t="str">
        <f ca="1">_xll.BDP($E77,S$3)</f>
        <v>CLEAN</v>
      </c>
      <c r="T77" s="3" t="str">
        <f ca="1">_xll.meLWOBondCreateFromGeneratorLVB(I77,D77,_xll.meUtilityLVBFromKeysValues($I$4:$R$4,I77:R77))</f>
        <v>FDX F 04/11/19@197:14</v>
      </c>
      <c r="U77" s="23">
        <f t="shared" ca="1" si="13"/>
        <v>43454</v>
      </c>
      <c r="V77" s="8">
        <f ca="1">_xll.BDP($E77,V$3)</f>
        <v>-8.6869176862105544</v>
      </c>
      <c r="W77" s="8">
        <f ca="1">_xll.BDP($E77,W$3)</f>
        <v>-0.311</v>
      </c>
      <c r="X77" s="28">
        <f ca="1">_xll.BDP($E77,X$3)</f>
        <v>-0.37213043478260871</v>
      </c>
      <c r="Y77" s="28">
        <f ca="1">_xll.BDP($E77,Y$3)</f>
        <v>0.23200000000000001</v>
      </c>
      <c r="Z77" s="24">
        <f ca="1">_xll.BDP($E77,Z$3)</f>
        <v>55</v>
      </c>
      <c r="AA77" s="35">
        <f ca="1">_xll.BDP($E77,AA$3)</f>
        <v>-0.39786899999999997</v>
      </c>
      <c r="AB77" s="8">
        <f ca="1">_xll.BDP($E77,AB$3)</f>
        <v>100.20399999999999</v>
      </c>
      <c r="AC77" s="38">
        <f ca="1">ROUND(_xll.meLWOBondFRNPriceFromDiscountMargin(T77,U77,V77/10000,W77/100,X77/100,Y77/100),3)</f>
        <v>100.20399999999999</v>
      </c>
      <c r="AD77" s="8">
        <f t="shared" ca="1" si="14"/>
        <v>0</v>
      </c>
      <c r="AE77" s="8">
        <f t="shared" ca="1" si="18"/>
        <v>100.20399999999999</v>
      </c>
      <c r="AF77" s="8">
        <f t="shared" ca="1" si="16"/>
        <v>0</v>
      </c>
      <c r="AG77" s="35">
        <f ca="1">_xll.meLWOBondFRNPriceFromYield(T77,U77,AA77/100,W77/100,X77/100,Y77/100)</f>
        <v>100.20399997352072</v>
      </c>
      <c r="AH77" s="35">
        <f ca="1">100*_xll.meLWOBondFRNYieldFromPrice(T77,U77,AG77,W77/100,X77/100,Y77/100)</f>
        <v>-0.39786899999992764</v>
      </c>
      <c r="AI77" s="35">
        <f t="shared" ca="1" si="17"/>
        <v>7.2331030054328949E-14</v>
      </c>
      <c r="AJ77" s="40">
        <f ca="1">10000*_xll.meLWOBondFRNDiscountMarginFromPrice(T77,U77,AG77,W77/100,X77/100,Y77/100)</f>
        <v>-8.6868999999927663</v>
      </c>
      <c r="AK77" s="41">
        <f t="shared" ca="1" si="19"/>
        <v>1.7686217788082104E-5</v>
      </c>
    </row>
    <row r="78" spans="1:37" x14ac:dyDescent="0.25">
      <c r="A78" s="3" t="str">
        <f ca="1">_xll.BDP($E78,A$3)</f>
        <v>EK6001276</v>
      </c>
      <c r="B78" s="12" t="str">
        <f ca="1">_xll.BDP($E78,B$3)</f>
        <v>EUR</v>
      </c>
      <c r="C78" s="12" t="str">
        <f ca="1">_xll.BDP($E78,C$3)</f>
        <v>FR</v>
      </c>
      <c r="D78" s="18" t="s">
        <v>218</v>
      </c>
      <c r="E78" s="3" t="str">
        <f t="shared" si="12"/>
        <v>XS1139316555 CORP</v>
      </c>
      <c r="F78" s="12">
        <f ca="1">_xll.BDP($E78,F$3)</f>
        <v>21</v>
      </c>
      <c r="G78" s="12" t="str">
        <f ca="1">_xll.BDP($E78,G$3)</f>
        <v>N</v>
      </c>
      <c r="H78" s="12" t="str">
        <f ca="1">_xll.BDP($E78,H$3)</f>
        <v>N</v>
      </c>
      <c r="I78" s="3" t="str">
        <f ca="1">_xll.BDP($E78,I$3)</f>
        <v>TOTAL F 03/19/20 EMTN</v>
      </c>
      <c r="J78" s="3" t="s">
        <v>94</v>
      </c>
      <c r="K78" s="3" t="str">
        <f ca="1">_xll.BDP($E78,K$3)</f>
        <v>19/11/2014</v>
      </c>
      <c r="L78" s="5">
        <f ca="1">DATEVALUE(_xll.BDP($E78,L$3))</f>
        <v>43453</v>
      </c>
      <c r="M78" s="17" t="str">
        <f t="shared" ca="1" si="15"/>
        <v/>
      </c>
      <c r="N78" s="3" t="str">
        <f ca="1">_xll.BDP($E78,N$3)</f>
        <v>19/03/2019</v>
      </c>
      <c r="O78" s="3" t="str">
        <f ca="1">_xll.BDP($E78,O$3)</f>
        <v>19/03/2020</v>
      </c>
      <c r="P78" s="2">
        <v>0</v>
      </c>
      <c r="Q78" s="24">
        <f ca="1">_xll.BDP($E78,Q$3)</f>
        <v>30</v>
      </c>
      <c r="R78" s="5">
        <f ca="1">DATEVALUE(_xll.BDP($E78,R$3))</f>
        <v>43909</v>
      </c>
      <c r="S78" s="3" t="str">
        <f ca="1">_xll.BDP($E78,S$3)</f>
        <v>CLEAN</v>
      </c>
      <c r="T78" s="3" t="str">
        <f ca="1">_xll.meLWOBondCreateFromGeneratorLVB(I78,D78,_xll.meUtilityLVBFromKeysValues($I$4:$R$4,I78:R78))</f>
        <v>TOTAL F 03/19/20 EMTN@196:14</v>
      </c>
      <c r="U78" s="23">
        <f t="shared" ca="1" si="13"/>
        <v>43454</v>
      </c>
      <c r="V78" s="8">
        <f ca="1">_xll.BDP($E78,V$3)</f>
        <v>6.8308288267304205</v>
      </c>
      <c r="W78" s="8">
        <f ca="1">_xll.BDP($E78,W$3)</f>
        <v>-0.311</v>
      </c>
      <c r="X78" s="28">
        <f ca="1">_xll.BDP($E78,X$3)</f>
        <v>-0.31183333333333335</v>
      </c>
      <c r="Y78" s="28">
        <f ca="1">_xll.BDP($E78,Y$3)</f>
        <v>0</v>
      </c>
      <c r="Z78" s="24">
        <f ca="1">_xll.BDP($E78,Z$3)</f>
        <v>30</v>
      </c>
      <c r="AA78" s="35">
        <f ca="1">_xll.BDP($E78,AA$3)</f>
        <v>-0.24269199999999999</v>
      </c>
      <c r="AB78" s="8">
        <f ca="1">_xll.BDP($E78,AB$3)</f>
        <v>100.307</v>
      </c>
      <c r="AC78" s="38">
        <f ca="1">ROUND(_xll.meLWOBondFRNPriceFromDiscountMargin(T78,U78,V78/10000,W78/100,X78/100,Y78/100),3)</f>
        <v>100.307</v>
      </c>
      <c r="AD78" s="8">
        <f t="shared" ca="1" si="14"/>
        <v>0</v>
      </c>
      <c r="AE78" s="8">
        <f t="shared" ca="1" si="18"/>
        <v>100.307</v>
      </c>
      <c r="AF78" s="8">
        <f t="shared" ca="1" si="16"/>
        <v>0</v>
      </c>
      <c r="AG78" s="35">
        <f ca="1">_xll.meLWOBondFRNPriceFromYield(T78,U78,AA78/100,W78/100,X78/100,Y78/100)</f>
        <v>100.30700036507729</v>
      </c>
      <c r="AH78" s="35">
        <f ca="1">100*_xll.meLWOBondFRNYieldFromPrice(T78,U78,AG78,W78/100,X78/100,Y78/100)</f>
        <v>-0.24269199999996577</v>
      </c>
      <c r="AI78" s="35">
        <f t="shared" ca="1" si="17"/>
        <v>3.422262473407045E-14</v>
      </c>
      <c r="AJ78" s="40">
        <f ca="1">10000*_xll.meLWOBondFRNDiscountMarginFromPrice(T78,U78,AG78,W78/100,X78/100,Y78/100)</f>
        <v>6.8308000000034212</v>
      </c>
      <c r="AK78" s="41">
        <f t="shared" ca="1" si="19"/>
        <v>2.8826726999220398E-5</v>
      </c>
    </row>
    <row r="79" spans="1:37" x14ac:dyDescent="0.25">
      <c r="A79" s="3" t="str">
        <f ca="1">_xll.BDP($E79,A$3)</f>
        <v>AO0809928</v>
      </c>
      <c r="B79" s="12" t="str">
        <f ca="1">_xll.BDP($E79,B$3)</f>
        <v>USD</v>
      </c>
      <c r="C79" s="12" t="str">
        <f ca="1">_xll.BDP($E79,C$3)</f>
        <v>JP</v>
      </c>
      <c r="D79" s="18" t="s">
        <v>219</v>
      </c>
      <c r="E79" s="3" t="str">
        <f t="shared" si="12"/>
        <v>XS1635905570 CORP</v>
      </c>
      <c r="F79" s="12">
        <f ca="1">_xll.BDP($E79,F$3)</f>
        <v>21</v>
      </c>
      <c r="G79" s="12" t="str">
        <f ca="1">_xll.BDP($E79,G$3)</f>
        <v>N</v>
      </c>
      <c r="H79" s="12" t="str">
        <f ca="1">_xll.BDP($E79,H$3)</f>
        <v>N</v>
      </c>
      <c r="I79" s="3" t="str">
        <f ca="1">_xll.BDP($E79,I$3)</f>
        <v>NTT F 06/29/20 EMTN</v>
      </c>
      <c r="J79" s="3" t="s">
        <v>95</v>
      </c>
      <c r="K79" s="3" t="str">
        <f ca="1">_xll.BDP($E79,K$3)</f>
        <v>29/06/2017</v>
      </c>
      <c r="L79" s="5">
        <f ca="1">DATEVALUE(_xll.BDP($E79,L$3))</f>
        <v>43371</v>
      </c>
      <c r="M79" s="17">
        <f t="shared" ca="1" si="15"/>
        <v>31</v>
      </c>
      <c r="N79" s="3" t="str">
        <f ca="1">_xll.BDP($E79,N$3)</f>
        <v>31/12/2018</v>
      </c>
      <c r="O79" s="3" t="str">
        <f ca="1">_xll.BDP($E79,O$3)</f>
        <v>29/06/2020</v>
      </c>
      <c r="P79" s="2">
        <v>0</v>
      </c>
      <c r="Q79" s="24">
        <f ca="1">_xll.BDP($E79,Q$3)</f>
        <v>53</v>
      </c>
      <c r="R79" s="5">
        <f ca="1">DATEVALUE(_xll.BDP($E79,R$3))</f>
        <v>44011</v>
      </c>
      <c r="S79" s="3" t="str">
        <f ca="1">_xll.BDP($E79,S$3)</f>
        <v>CLEAN</v>
      </c>
      <c r="T79" s="3" t="str">
        <f ca="1">_xll.meLWOBondCreateFromGeneratorLVB(I79,D79,_xll.meUtilityLVBFromKeysValues($I$4:$R$4,I79:R79))</f>
        <v>NTT F 06/29/20 EMTN@195:14</v>
      </c>
      <c r="U79" s="23">
        <f t="shared" ca="1" si="13"/>
        <v>43454</v>
      </c>
      <c r="V79" s="8">
        <f ca="1">_xll.BDP($E79,V$3)</f>
        <v>36.449217232220967</v>
      </c>
      <c r="W79" s="8">
        <f ca="1">_xll.BDP($E79,W$3)</f>
        <v>2.8036300000000001</v>
      </c>
      <c r="X79" s="28">
        <f ca="1">_xll.BDP($E79,X$3)</f>
        <v>2.3286747826086955</v>
      </c>
      <c r="Y79" s="28">
        <f ca="1">_xll.BDP($E79,Y$3)</f>
        <v>2.9161299999999999</v>
      </c>
      <c r="Z79" s="24">
        <f ca="1">_xll.BDP($E79,Z$3)</f>
        <v>53</v>
      </c>
      <c r="AA79" s="35">
        <f ca="1">_xll.BDP($E79,AA$3)</f>
        <v>3.1681219999999999</v>
      </c>
      <c r="AB79" s="8">
        <f ca="1">_xll.BDP($E79,AB$3)</f>
        <v>100.251</v>
      </c>
      <c r="AC79" s="38">
        <f ca="1">ROUND(_xll.meLWOBondFRNPriceFromDiscountMargin(T79,U79,V79/10000,W79/100,X79/100,Y79/100),3)</f>
        <v>100.251</v>
      </c>
      <c r="AD79" s="8">
        <f t="shared" ca="1" si="14"/>
        <v>0</v>
      </c>
      <c r="AE79" s="8">
        <f t="shared" ca="1" si="18"/>
        <v>100.251</v>
      </c>
      <c r="AF79" s="8">
        <f t="shared" ca="1" si="16"/>
        <v>0</v>
      </c>
      <c r="AG79" s="35">
        <f ca="1">_xll.meLWOBondFRNPriceFromYield(T79,U79,AA79/100,W79/100,X79/100,Y79/100)</f>
        <v>100.25100026049938</v>
      </c>
      <c r="AH79" s="35">
        <f ca="1">100*_xll.meLWOBondFRNYieldFromPrice(T79,U79,AG79,W79/100,X79/100,Y79/100)</f>
        <v>3.1681219999999781</v>
      </c>
      <c r="AI79" s="35">
        <f t="shared" ca="1" si="17"/>
        <v>2.1760371282653068E-14</v>
      </c>
      <c r="AJ79" s="40">
        <f ca="1">10000*_xll.meLWOBondFRNDiscountMarginFromPrice(T79,U79,AG79,W79/100,X79/100,Y79/100)</f>
        <v>36.449199999997809</v>
      </c>
      <c r="AK79" s="41">
        <f t="shared" ca="1" si="19"/>
        <v>1.7232223157748194E-5</v>
      </c>
    </row>
    <row r="80" spans="1:37" x14ac:dyDescent="0.25">
      <c r="A80" s="3" t="str">
        <f ca="1">_xll.BDP($E80,A$3)</f>
        <v>AQ1998113</v>
      </c>
      <c r="B80" s="12" t="str">
        <f ca="1">_xll.BDP($E80,B$3)</f>
        <v>EUR</v>
      </c>
      <c r="C80" s="12" t="str">
        <f ca="1">_xll.BDP($E80,C$3)</f>
        <v>US</v>
      </c>
      <c r="D80" s="18" t="s">
        <v>218</v>
      </c>
      <c r="E80" s="3" t="str">
        <f t="shared" si="12"/>
        <v>XS1729872652 CORP</v>
      </c>
      <c r="F80" s="12">
        <f ca="1">_xll.BDP($E80,F$3)</f>
        <v>21</v>
      </c>
      <c r="G80" s="12" t="str">
        <f ca="1">_xll.BDP($E80,G$3)</f>
        <v>N</v>
      </c>
      <c r="H80" s="12" t="str">
        <f ca="1">_xll.BDP($E80,H$3)</f>
        <v>N</v>
      </c>
      <c r="I80" s="3" t="str">
        <f ca="1">_xll.BDP($E80,I$3)</f>
        <v>F F 12/01/21 EMTN</v>
      </c>
      <c r="J80" s="3" t="s">
        <v>96</v>
      </c>
      <c r="K80" s="3" t="str">
        <f ca="1">_xll.BDP($E80,K$3)</f>
        <v>01/12/2017</v>
      </c>
      <c r="L80" s="5">
        <f ca="1">DATEVALUE(_xll.BDP($E80,L$3))</f>
        <v>43437</v>
      </c>
      <c r="M80" s="17" t="str">
        <f t="shared" ca="1" si="15"/>
        <v/>
      </c>
      <c r="N80" s="3" t="str">
        <f ca="1">_xll.BDP($E80,N$3)</f>
        <v>01/03/2019</v>
      </c>
      <c r="O80" s="3" t="str">
        <f ca="1">_xll.BDP($E80,O$3)</f>
        <v>01/12/2021</v>
      </c>
      <c r="P80" s="2">
        <v>0</v>
      </c>
      <c r="Q80" s="24">
        <f ca="1">_xll.BDP($E80,Q$3)</f>
        <v>37</v>
      </c>
      <c r="R80" s="5">
        <f ca="1">DATEVALUE(_xll.BDP($E80,R$3))</f>
        <v>44531</v>
      </c>
      <c r="S80" s="3" t="str">
        <f ca="1">_xll.BDP($E80,S$3)</f>
        <v>CLEAN</v>
      </c>
      <c r="T80" s="3" t="str">
        <f ca="1">_xll.meLWOBondCreateFromGeneratorLVB(I80,D80,_xll.meUtilityLVBFromKeysValues($I$4:$R$4,I80:R80))</f>
        <v>F F 12/01/21 EMTN@194:14</v>
      </c>
      <c r="U80" s="23">
        <f t="shared" ca="1" si="13"/>
        <v>43454</v>
      </c>
      <c r="V80" s="8">
        <f ca="1">_xll.BDP($E80,V$3)</f>
        <v>239.77929280311039</v>
      </c>
      <c r="W80" s="8">
        <f ca="1">_xll.BDP($E80,W$3)</f>
        <v>-0.311</v>
      </c>
      <c r="X80" s="28">
        <f ca="1">_xll.BDP($E80,X$3)</f>
        <v>-0.32683333333333336</v>
      </c>
      <c r="Y80" s="28">
        <f ca="1">_xll.BDP($E80,Y$3)</f>
        <v>5.4000000000000006E-2</v>
      </c>
      <c r="Z80" s="24">
        <f ca="1">_xll.BDP($E80,Z$3)</f>
        <v>37</v>
      </c>
      <c r="AA80" s="35">
        <f ca="1">_xll.BDP($E80,AA$3)</f>
        <v>2.0867930000000001</v>
      </c>
      <c r="AB80" s="8">
        <f ca="1">_xll.BDP($E80,AB$3)</f>
        <v>94.144000000000005</v>
      </c>
      <c r="AC80" s="38">
        <f ca="1">ROUND(_xll.meLWOBondFRNPriceFromDiscountMargin(T80,U80,V80/10000,W80/100,X80/100,Y80/100),3)</f>
        <v>94.144000000000005</v>
      </c>
      <c r="AD80" s="8">
        <f t="shared" ca="1" si="14"/>
        <v>0</v>
      </c>
      <c r="AE80" s="8">
        <f t="shared" ca="1" si="18"/>
        <v>94.144000000000005</v>
      </c>
      <c r="AF80" s="8">
        <f t="shared" ca="1" si="16"/>
        <v>0</v>
      </c>
      <c r="AG80" s="35">
        <f ca="1">_xll.meLWOBondFRNPriceFromYield(T80,U80,AA80/100,W80/100,X80/100,Y80/100)</f>
        <v>94.143999799618982</v>
      </c>
      <c r="AH80" s="35">
        <f ca="1">100*_xll.meLWOBondFRNYieldFromPrice(T80,U80,AG80,W80/100,X80/100,Y80/100)</f>
        <v>2.0867930000003012</v>
      </c>
      <c r="AI80" s="35">
        <f t="shared" ca="1" si="17"/>
        <v>3.0109248427834245E-13</v>
      </c>
      <c r="AJ80" s="40">
        <f ca="1">10000*_xll.meLWOBondFRNDiscountMarginFromPrice(T80,U80,AG80,W80/100,X80/100,Y80/100)</f>
        <v>239.77930000003013</v>
      </c>
      <c r="AK80" s="41">
        <f t="shared" ca="1" si="19"/>
        <v>7.1969197392718343E-6</v>
      </c>
    </row>
    <row r="81" spans="1:37" x14ac:dyDescent="0.25">
      <c r="A81" s="3" t="str">
        <f ca="1">_xll.BDP($E81,A$3)</f>
        <v>AR7173297</v>
      </c>
      <c r="B81" s="12" t="str">
        <f ca="1">_xll.BDP($E81,B$3)</f>
        <v>EUR</v>
      </c>
      <c r="C81" s="12" t="str">
        <f ca="1">_xll.BDP($E81,C$3)</f>
        <v>NL</v>
      </c>
      <c r="D81" s="18" t="s">
        <v>218</v>
      </c>
      <c r="E81" s="3" t="str">
        <f t="shared" si="12"/>
        <v>XS1787517199 CORP</v>
      </c>
      <c r="F81" s="12">
        <f ca="1">_xll.BDP($E81,F$3)</f>
        <v>21</v>
      </c>
      <c r="G81" s="12" t="str">
        <f ca="1">_xll.BDP($E81,G$3)</f>
        <v>N</v>
      </c>
      <c r="H81" s="12" t="str">
        <f ca="1">_xll.BDP($E81,H$3)</f>
        <v>N</v>
      </c>
      <c r="I81" s="3" t="str">
        <f ca="1">_xll.BDP($E81,I$3)</f>
        <v>ADNA F 03/19/21</v>
      </c>
      <c r="J81" s="3" t="s">
        <v>97</v>
      </c>
      <c r="K81" s="3" t="str">
        <f ca="1">_xll.BDP($E81,K$3)</f>
        <v>19/03/2018</v>
      </c>
      <c r="L81" s="5">
        <f ca="1">DATEVALUE(_xll.BDP($E81,L$3))</f>
        <v>43453</v>
      </c>
      <c r="M81" s="17" t="str">
        <f t="shared" ca="1" si="15"/>
        <v/>
      </c>
      <c r="N81" s="3" t="str">
        <f ca="1">_xll.BDP($E81,N$3)</f>
        <v>19/03/2019</v>
      </c>
      <c r="O81" s="3" t="str">
        <f ca="1">_xll.BDP($E81,O$3)</f>
        <v>19/03/2021</v>
      </c>
      <c r="P81" s="2">
        <v>0</v>
      </c>
      <c r="Q81" s="24">
        <f ca="1">_xll.BDP($E81,Q$3)</f>
        <v>18</v>
      </c>
      <c r="R81" s="5">
        <f ca="1">DATEVALUE(_xll.BDP($E81,R$3))</f>
        <v>44274</v>
      </c>
      <c r="S81" s="3" t="str">
        <f ca="1">_xll.BDP($E81,S$3)</f>
        <v>CLEAN</v>
      </c>
      <c r="T81" s="3" t="str">
        <f ca="1">_xll.meLWOBondCreateFromGeneratorLVB(I81,D81,_xll.meUtilityLVBFromKeysValues($I$4:$R$4,I81:R81))</f>
        <v>ADNA F 03/19/21@193:14</v>
      </c>
      <c r="U81" s="23">
        <f t="shared" ca="1" si="13"/>
        <v>43454</v>
      </c>
      <c r="V81" s="8">
        <f ca="1">_xll.BDP($E81,V$3)</f>
        <v>28.342477258708414</v>
      </c>
      <c r="W81" s="8">
        <f ca="1">_xll.BDP($E81,W$3)</f>
        <v>-0.311</v>
      </c>
      <c r="X81" s="28">
        <f ca="1">_xll.BDP($E81,X$3)</f>
        <v>-0.31183333333333335</v>
      </c>
      <c r="Y81" s="28">
        <f ca="1">_xll.BDP($E81,Y$3)</f>
        <v>0</v>
      </c>
      <c r="Z81" s="24">
        <f ca="1">_xll.BDP($E81,Z$3)</f>
        <v>18</v>
      </c>
      <c r="AA81" s="35">
        <f ca="1">_xll.BDP($E81,AA$3)</f>
        <v>-2.7574999999999999E-2</v>
      </c>
      <c r="AB81" s="8">
        <f ca="1">_xll.BDP($E81,AB$3)</f>
        <v>100.063</v>
      </c>
      <c r="AC81" s="38">
        <f ca="1">ROUND(_xll.meLWOBondFRNPriceFromDiscountMargin(T81,U81,V81/10000,W81/100,X81/100,Y81/100),3)</f>
        <v>100.063</v>
      </c>
      <c r="AD81" s="8">
        <f t="shared" ca="1" si="14"/>
        <v>0</v>
      </c>
      <c r="AE81" s="8">
        <f t="shared" ca="1" si="18"/>
        <v>100.063</v>
      </c>
      <c r="AF81" s="8">
        <f t="shared" ca="1" si="16"/>
        <v>0</v>
      </c>
      <c r="AG81" s="35">
        <f ca="1">_xll.meLWOBondFRNPriceFromYield(T81,U81,AA81/100,W81/100,X81/100,Y81/100)</f>
        <v>100.06299948200031</v>
      </c>
      <c r="AH81" s="35">
        <f ca="1">100*_xll.meLWOBondFRNYieldFromPrice(T81,U81,AG81,W81/100,X81/100,Y81/100)</f>
        <v>-2.7574999999968548E-2</v>
      </c>
      <c r="AI81" s="35">
        <f t="shared" ca="1" si="17"/>
        <v>3.1450536619459513E-14</v>
      </c>
      <c r="AJ81" s="40">
        <f ca="1">10000*_xll.meLWOBondFRNDiscountMarginFromPrice(T81,U81,AG81,W81/100,X81/100,Y81/100)</f>
        <v>28.342500000003145</v>
      </c>
      <c r="AK81" s="41">
        <f t="shared" ca="1" si="19"/>
        <v>2.274129473178732E-5</v>
      </c>
    </row>
    <row r="82" spans="1:37" x14ac:dyDescent="0.25">
      <c r="A82" s="3" t="str">
        <f ca="1">_xll.BDP($E82,A$3)</f>
        <v>EK6173513</v>
      </c>
      <c r="B82" s="12" t="str">
        <f ca="1">_xll.BDP($E82,B$3)</f>
        <v>EUR</v>
      </c>
      <c r="C82" s="12" t="str">
        <f ca="1">_xll.BDP($E82,C$3)</f>
        <v>US</v>
      </c>
      <c r="D82" s="18" t="s">
        <v>218</v>
      </c>
      <c r="E82" s="3" t="str">
        <f t="shared" si="12"/>
        <v>XS1144084099 CORP</v>
      </c>
      <c r="F82" s="12">
        <f ca="1">_xll.BDP($E82,F$3)</f>
        <v>21</v>
      </c>
      <c r="G82" s="12" t="str">
        <f ca="1">_xll.BDP($E82,G$3)</f>
        <v>N</v>
      </c>
      <c r="H82" s="12" t="str">
        <f ca="1">_xll.BDP($E82,H$3)</f>
        <v>N</v>
      </c>
      <c r="I82" s="3" t="str">
        <f ca="1">_xll.BDP($E82,I$3)</f>
        <v>T F 06/04/19</v>
      </c>
      <c r="J82" s="3" t="s">
        <v>98</v>
      </c>
      <c r="K82" s="3" t="str">
        <f ca="1">_xll.BDP($E82,K$3)</f>
        <v>02/12/2014</v>
      </c>
      <c r="L82" s="5">
        <f ca="1">DATEVALUE(_xll.BDP($E82,L$3))</f>
        <v>43438</v>
      </c>
      <c r="M82" s="17" t="str">
        <f t="shared" ca="1" si="15"/>
        <v/>
      </c>
      <c r="N82" s="3" t="str">
        <f ca="1">_xll.BDP($E82,N$3)</f>
        <v>04/03/2019</v>
      </c>
      <c r="O82" s="3" t="str">
        <f ca="1">_xll.BDP($E82,O$3)</f>
        <v>04/06/2019</v>
      </c>
      <c r="P82" s="2">
        <v>0</v>
      </c>
      <c r="Q82" s="24">
        <f ca="1">_xll.BDP($E82,Q$3)</f>
        <v>58</v>
      </c>
      <c r="R82" s="5">
        <f ca="1">DATEVALUE(_xll.BDP($E82,R$3))</f>
        <v>43620</v>
      </c>
      <c r="S82" s="3" t="str">
        <f ca="1">_xll.BDP($E82,S$3)</f>
        <v>CLEAN</v>
      </c>
      <c r="T82" s="3" t="str">
        <f ca="1">_xll.meLWOBondCreateFromGeneratorLVB(I82,D82,_xll.meUtilityLVBFromKeysValues($I$4:$R$4,I82:R82))</f>
        <v>T F 06/04/19@192:14</v>
      </c>
      <c r="U82" s="23">
        <f t="shared" ca="1" si="13"/>
        <v>43454</v>
      </c>
      <c r="V82" s="8">
        <f ca="1">_xll.BDP($E82,V$3)</f>
        <v>13.759179014664172</v>
      </c>
      <c r="W82" s="8">
        <f ca="1">_xll.BDP($E82,W$3)</f>
        <v>-0.311</v>
      </c>
      <c r="X82" s="28">
        <f ca="1">_xll.BDP($E82,X$3)</f>
        <v>-0.32433333333333336</v>
      </c>
      <c r="Y82" s="28">
        <f ca="1">_xll.BDP($E82,Y$3)</f>
        <v>0.26400000000000001</v>
      </c>
      <c r="Z82" s="24">
        <f ca="1">_xll.BDP($E82,Z$3)</f>
        <v>58</v>
      </c>
      <c r="AA82" s="35">
        <f ca="1">_xll.BDP($E82,AA$3)</f>
        <v>-0.17340800000000001</v>
      </c>
      <c r="AB82" s="8">
        <f ca="1">_xll.BDP($E82,AB$3)</f>
        <v>100.205</v>
      </c>
      <c r="AC82" s="38">
        <f ca="1">ROUND(_xll.meLWOBondFRNPriceFromDiscountMargin(T82,U82,V82/10000,W82/100,X82/100,Y82/100),3)</f>
        <v>100.205</v>
      </c>
      <c r="AD82" s="8">
        <f t="shared" ca="1" si="14"/>
        <v>0</v>
      </c>
      <c r="AE82" s="8">
        <f t="shared" ca="1" si="18"/>
        <v>100.205</v>
      </c>
      <c r="AF82" s="8">
        <f t="shared" ca="1" si="16"/>
        <v>0</v>
      </c>
      <c r="AG82" s="35">
        <f ca="1">_xll.meLWOBondFRNPriceFromYield(T82,U82,AA82/100,W82/100,X82/100,Y82/100)</f>
        <v>100.2049999042127</v>
      </c>
      <c r="AH82" s="35">
        <f ca="1">100*_xll.meLWOBondFRNYieldFromPrice(T82,U82,AG82,W82/100,X82/100,Y82/100)</f>
        <v>-0.17340799999995263</v>
      </c>
      <c r="AI82" s="35">
        <f t="shared" ca="1" si="17"/>
        <v>4.7378767575878555E-14</v>
      </c>
      <c r="AJ82" s="40">
        <f ca="1">10000*_xll.meLWOBondFRNDiscountMarginFromPrice(T82,U82,AG82,W82/100,X82/100,Y82/100)</f>
        <v>13.759200000004737</v>
      </c>
      <c r="AK82" s="41">
        <f t="shared" ca="1" si="19"/>
        <v>2.098534056571566E-5</v>
      </c>
    </row>
    <row r="83" spans="1:37" x14ac:dyDescent="0.25">
      <c r="A83" s="3" t="str">
        <f ca="1">_xll.BDP($E83,A$3)</f>
        <v>911312AU0</v>
      </c>
      <c r="B83" s="12" t="str">
        <f ca="1">_xll.BDP($E83,B$3)</f>
        <v>EUR</v>
      </c>
      <c r="C83" s="12" t="str">
        <f ca="1">_xll.BDP($E83,C$3)</f>
        <v>US</v>
      </c>
      <c r="D83" s="18" t="s">
        <v>218</v>
      </c>
      <c r="E83" s="3" t="str">
        <f t="shared" si="12"/>
        <v>XS1323463056 CORP</v>
      </c>
      <c r="F83" s="12">
        <f ca="1">_xll.BDP($E83,F$3)</f>
        <v>21</v>
      </c>
      <c r="G83" s="12" t="str">
        <f ca="1">_xll.BDP($E83,G$3)</f>
        <v>N</v>
      </c>
      <c r="H83" s="12" t="str">
        <f ca="1">_xll.BDP($E83,H$3)</f>
        <v>N</v>
      </c>
      <c r="I83" s="3" t="str">
        <f ca="1">_xll.BDP($E83,I$3)</f>
        <v>UPS F 07/15/20</v>
      </c>
      <c r="J83" s="3" t="s">
        <v>99</v>
      </c>
      <c r="K83" s="3" t="str">
        <f ca="1">_xll.BDP($E83,K$3)</f>
        <v>20/11/2015</v>
      </c>
      <c r="L83" s="5">
        <f ca="1">DATEVALUE(_xll.BDP($E83,L$3))</f>
        <v>43388</v>
      </c>
      <c r="M83" s="17" t="str">
        <f t="shared" ca="1" si="15"/>
        <v/>
      </c>
      <c r="N83" s="3" t="str">
        <f ca="1">_xll.BDP($E83,N$3)</f>
        <v>15/01/2019</v>
      </c>
      <c r="O83" s="3" t="str">
        <f ca="1">_xll.BDP($E83,O$3)</f>
        <v>15/07/2020</v>
      </c>
      <c r="P83" s="2">
        <v>0</v>
      </c>
      <c r="Q83" s="24">
        <f ca="1">_xll.BDP($E83,Q$3)</f>
        <v>43</v>
      </c>
      <c r="R83" s="5">
        <f ca="1">DATEVALUE(_xll.BDP($E83,R$3))</f>
        <v>44027</v>
      </c>
      <c r="S83" s="3" t="str">
        <f ca="1">_xll.BDP($E83,S$3)</f>
        <v>CLEAN</v>
      </c>
      <c r="T83" s="3" t="str">
        <f ca="1">_xll.meLWOBondCreateFromGeneratorLVB(I83,D83,_xll.meUtilityLVBFromKeysValues($I$4:$R$4,I83:R83))</f>
        <v>UPS F 07/15/20@191:14</v>
      </c>
      <c r="U83" s="23">
        <f t="shared" ca="1" si="13"/>
        <v>43454</v>
      </c>
      <c r="V83" s="8">
        <f ca="1">_xll.BDP($E83,V$3)</f>
        <v>11.054831873202206</v>
      </c>
      <c r="W83" s="8">
        <f ca="1">_xll.BDP($E83,W$3)</f>
        <v>-0.311</v>
      </c>
      <c r="X83" s="28">
        <f ca="1">_xll.BDP($E83,X$3)</f>
        <v>-0.37056521739130432</v>
      </c>
      <c r="Y83" s="28">
        <f ca="1">_xll.BDP($E83,Y$3)</f>
        <v>0.112</v>
      </c>
      <c r="Z83" s="24">
        <f ca="1">_xll.BDP($E83,Z$3)</f>
        <v>43</v>
      </c>
      <c r="AA83" s="35">
        <f ca="1">_xll.BDP($E83,AA$3)</f>
        <v>-0.20045199999999999</v>
      </c>
      <c r="AB83" s="8">
        <f ca="1">_xll.BDP($E83,AB$3)</f>
        <v>100.514</v>
      </c>
      <c r="AC83" s="38">
        <f ca="1">ROUND(_xll.meLWOBondFRNPriceFromDiscountMargin(T83,U83,V83/10000,W83/100,X83/100,Y83/100),3)</f>
        <v>100.514</v>
      </c>
      <c r="AD83" s="8">
        <f t="shared" ca="1" si="14"/>
        <v>0</v>
      </c>
      <c r="AE83" s="8">
        <f t="shared" ca="1" si="18"/>
        <v>100.514</v>
      </c>
      <c r="AF83" s="8">
        <f t="shared" ca="1" si="16"/>
        <v>0</v>
      </c>
      <c r="AG83" s="35">
        <f ca="1">_xll.meLWOBondFRNPriceFromYield(T83,U83,AA83/100,W83/100,X83/100,Y83/100)</f>
        <v>100.51400062594385</v>
      </c>
      <c r="AH83" s="35">
        <f ca="1">100*_xll.meLWOBondFRNYieldFromPrice(T83,U83,AG83,W83/100,X83/100,Y83/100)</f>
        <v>-0.20045199999982952</v>
      </c>
      <c r="AI83" s="35">
        <f t="shared" ca="1" si="17"/>
        <v>1.7047474543119279E-13</v>
      </c>
      <c r="AJ83" s="40">
        <f ca="1">10000*_xll.meLWOBondFRNDiscountMarginFromPrice(T83,U83,AG83,W83/100,X83/100,Y83/100)</f>
        <v>11.054800000017046</v>
      </c>
      <c r="AK83" s="41">
        <f t="shared" ca="1" si="19"/>
        <v>3.187318515962545E-5</v>
      </c>
    </row>
    <row r="84" spans="1:37" x14ac:dyDescent="0.25">
      <c r="A84" s="3" t="str">
        <f ca="1">_xll.BDP($E84,A$3)</f>
        <v>AS5803299</v>
      </c>
      <c r="B84" s="12" t="str">
        <f ca="1">_xll.BDP($E84,B$3)</f>
        <v>EUR</v>
      </c>
      <c r="C84" s="12" t="str">
        <f ca="1">_xll.BDP($E84,C$3)</f>
        <v>US</v>
      </c>
      <c r="D84" s="18" t="s">
        <v>218</v>
      </c>
      <c r="E84" s="3" t="str">
        <f t="shared" si="12"/>
        <v>XS1821814800 CORP</v>
      </c>
      <c r="F84" s="12">
        <f ca="1">_xll.BDP($E84,F$3)</f>
        <v>21</v>
      </c>
      <c r="G84" s="12" t="str">
        <f ca="1">_xll.BDP($E84,G$3)</f>
        <v>N</v>
      </c>
      <c r="H84" s="12" t="str">
        <f ca="1">_xll.BDP($E84,H$3)</f>
        <v>N</v>
      </c>
      <c r="I84" s="3" t="str">
        <f ca="1">_xll.BDP($E84,I$3)</f>
        <v>F F 05/14/21 EMTN</v>
      </c>
      <c r="J84" s="3" t="s">
        <v>100</v>
      </c>
      <c r="K84" s="3" t="str">
        <f ca="1">_xll.BDP($E84,K$3)</f>
        <v>15/05/2018</v>
      </c>
      <c r="L84" s="5">
        <f ca="1">DATEVALUE(_xll.BDP($E84,L$3))</f>
        <v>43418</v>
      </c>
      <c r="M84" s="17" t="str">
        <f t="shared" ca="1" si="15"/>
        <v/>
      </c>
      <c r="N84" s="3" t="str">
        <f ca="1">_xll.BDP($E84,N$3)</f>
        <v>14/02/2019</v>
      </c>
      <c r="O84" s="3" t="str">
        <f ca="1">_xll.BDP($E84,O$3)</f>
        <v>14/05/2021</v>
      </c>
      <c r="P84" s="2">
        <v>0</v>
      </c>
      <c r="Q84" s="24">
        <f ca="1">_xll.BDP($E84,Q$3)</f>
        <v>43</v>
      </c>
      <c r="R84" s="5">
        <f ca="1">DATEVALUE(_xll.BDP($E84,R$3))</f>
        <v>44330</v>
      </c>
      <c r="S84" s="3" t="str">
        <f ca="1">_xll.BDP($E84,S$3)</f>
        <v>CLEAN</v>
      </c>
      <c r="T84" s="3" t="str">
        <f ca="1">_xll.meLWOBondCreateFromGeneratorLVB(I84,D84,_xll.meUtilityLVBFromKeysValues($I$4:$R$4,I84:R84))</f>
        <v>F F 05/14/21 EMTN@190:14</v>
      </c>
      <c r="U84" s="23">
        <f t="shared" ca="1" si="13"/>
        <v>43454</v>
      </c>
      <c r="V84" s="8">
        <f ca="1">_xll.BDP($E84,V$3)</f>
        <v>190.44902342269367</v>
      </c>
      <c r="W84" s="8">
        <f ca="1">_xll.BDP($E84,W$3)</f>
        <v>-0.311</v>
      </c>
      <c r="X84" s="28">
        <f ca="1">_xll.BDP($E84,X$3)</f>
        <v>-0.34040000000000004</v>
      </c>
      <c r="Y84" s="28">
        <f ca="1">_xll.BDP($E84,Y$3)</f>
        <v>0.114</v>
      </c>
      <c r="Z84" s="24">
        <f ca="1">_xll.BDP($E84,Z$3)</f>
        <v>43</v>
      </c>
      <c r="AA84" s="35">
        <f ca="1">_xll.BDP($E84,AA$3)</f>
        <v>1.5934900000000001</v>
      </c>
      <c r="AB84" s="8">
        <f ca="1">_xll.BDP($E84,AB$3)</f>
        <v>96.483999999999995</v>
      </c>
      <c r="AC84" s="38">
        <f ca="1">ROUND(_xll.meLWOBondFRNPriceFromDiscountMargin(T84,U84,V84/10000,W84/100,X84/100,Y84/100),3)</f>
        <v>96.483999999999995</v>
      </c>
      <c r="AD84" s="8">
        <f t="shared" ca="1" si="14"/>
        <v>0</v>
      </c>
      <c r="AE84" s="8">
        <f t="shared" ca="1" si="18"/>
        <v>96.483999999999995</v>
      </c>
      <c r="AF84" s="8">
        <f t="shared" ca="1" si="16"/>
        <v>0</v>
      </c>
      <c r="AG84" s="35">
        <f ca="1">_xll.meLWOBondFRNPriceFromYield(T84,U84,AA84/100,W84/100,X84/100,Y84/100)</f>
        <v>96.484000548195567</v>
      </c>
      <c r="AH84" s="35">
        <f ca="1">100*_xll.meLWOBondFRNYieldFromPrice(T84,U84,AG84,W84/100,X84/100,Y84/100)</f>
        <v>1.5934900000002603</v>
      </c>
      <c r="AI84" s="35">
        <f t="shared" ca="1" si="17"/>
        <v>2.6023627697213669E-13</v>
      </c>
      <c r="AJ84" s="40">
        <f ca="1">10000*_xll.meLWOBondFRNDiscountMarginFromPrice(T84,U84,AG84,W84/100,X84/100,Y84/100)</f>
        <v>190.44900000002605</v>
      </c>
      <c r="AK84" s="41">
        <f t="shared" ca="1" si="19"/>
        <v>2.3422667624117821E-5</v>
      </c>
    </row>
    <row r="85" spans="1:37" x14ac:dyDescent="0.25">
      <c r="A85" s="3" t="str">
        <f ca="1">_xll.BDP($E85,A$3)</f>
        <v>AP4669010</v>
      </c>
      <c r="B85" s="12" t="str">
        <f ca="1">_xll.BDP($E85,B$3)</f>
        <v>EUR</v>
      </c>
      <c r="C85" s="12" t="str">
        <f ca="1">_xll.BDP($E85,C$3)</f>
        <v>NL</v>
      </c>
      <c r="D85" s="18" t="s">
        <v>218</v>
      </c>
      <c r="E85" s="3" t="str">
        <f t="shared" si="12"/>
        <v>XS1705553417 CORP</v>
      </c>
      <c r="F85" s="12">
        <f ca="1">_xll.BDP($E85,F$3)</f>
        <v>21</v>
      </c>
      <c r="G85" s="12" t="str">
        <f ca="1">_xll.BDP($E85,G$3)</f>
        <v>N</v>
      </c>
      <c r="H85" s="12" t="str">
        <f ca="1">_xll.BDP($E85,H$3)</f>
        <v>N</v>
      </c>
      <c r="I85" s="3" t="str">
        <f ca="1">_xll.BDP($E85,I$3)</f>
        <v>STEDIN F 10/24/22 EMTn</v>
      </c>
      <c r="J85" s="3" t="s">
        <v>101</v>
      </c>
      <c r="K85" s="3" t="str">
        <f ca="1">_xll.BDP($E85,K$3)</f>
        <v>24/10/2017</v>
      </c>
      <c r="L85" s="5">
        <f ca="1">DATEVALUE(_xll.BDP($E85,L$3))</f>
        <v>43397</v>
      </c>
      <c r="M85" s="17" t="str">
        <f t="shared" ca="1" si="15"/>
        <v/>
      </c>
      <c r="N85" s="3" t="str">
        <f ca="1">_xll.BDP($E85,N$3)</f>
        <v>24/01/2019</v>
      </c>
      <c r="O85" s="3" t="str">
        <f ca="1">_xll.BDP($E85,O$3)</f>
        <v>24/10/2022</v>
      </c>
      <c r="P85" s="2">
        <v>0</v>
      </c>
      <c r="Q85" s="24">
        <f ca="1">_xll.BDP($E85,Q$3)</f>
        <v>27</v>
      </c>
      <c r="R85" s="5">
        <f ca="1">DATEVALUE(_xll.BDP($E85,R$3))</f>
        <v>44858</v>
      </c>
      <c r="S85" s="3" t="str">
        <f ca="1">_xll.BDP($E85,S$3)</f>
        <v>CLEAN</v>
      </c>
      <c r="T85" s="3" t="str">
        <f ca="1">_xll.meLWOBondCreateFromGeneratorLVB(I85,D85,_xll.meUtilityLVBFromKeysValues($I$4:$R$4,I85:R85))</f>
        <v>STEDIN F 10/24/22 EMTN@189:14</v>
      </c>
      <c r="U85" s="23">
        <f t="shared" ca="1" si="13"/>
        <v>43454</v>
      </c>
      <c r="V85" s="8">
        <f ca="1">_xll.BDP($E85,V$3)</f>
        <v>42.405101826032812</v>
      </c>
      <c r="W85" s="8">
        <f ca="1">_xll.BDP($E85,W$3)</f>
        <v>-0.311</v>
      </c>
      <c r="X85" s="28">
        <f ca="1">_xll.BDP($E85,X$3)</f>
        <v>-0.36349999999999999</v>
      </c>
      <c r="Y85" s="28">
        <f ca="1">_xll.BDP($E85,Y$3)</f>
        <v>0</v>
      </c>
      <c r="Z85" s="24">
        <f ca="1">_xll.BDP($E85,Z$3)</f>
        <v>27</v>
      </c>
      <c r="AA85" s="35">
        <f ca="1">_xll.BDP($E85,AA$3)</f>
        <v>0.113051</v>
      </c>
      <c r="AB85" s="8">
        <f ca="1">_xll.BDP($E85,AB$3)</f>
        <v>99.564999999999998</v>
      </c>
      <c r="AC85" s="38">
        <f ca="1">ROUND(_xll.meLWOBondFRNPriceFromDiscountMargin(T85,U85,V85/10000,W85/100,X85/100,Y85/100),3)</f>
        <v>99.564999999999998</v>
      </c>
      <c r="AD85" s="8">
        <f t="shared" ca="1" si="14"/>
        <v>0</v>
      </c>
      <c r="AE85" s="8">
        <f t="shared" ca="1" si="18"/>
        <v>99.564999999999998</v>
      </c>
      <c r="AF85" s="8">
        <f t="shared" ca="1" si="16"/>
        <v>0</v>
      </c>
      <c r="AG85" s="35">
        <f ca="1">_xll.meLWOBondFRNPriceFromYield(T85,U85,AA85/100,W85/100,X85/100,Y85/100)</f>
        <v>99.565000078354231</v>
      </c>
      <c r="AH85" s="35">
        <f ca="1">100*_xll.meLWOBondFRNYieldFromPrice(T85,U85,AG85,W85/100,X85/100,Y85/100)</f>
        <v>0.11305099999999815</v>
      </c>
      <c r="AI85" s="35">
        <f t="shared" ca="1" si="17"/>
        <v>1.8457457784393227E-15</v>
      </c>
      <c r="AJ85" s="40">
        <f ca="1">10000*_xll.meLWOBondFRNDiscountMarginFromPrice(T85,U85,AG85,W85/100,X85/100,Y85/100)</f>
        <v>42.405099999999813</v>
      </c>
      <c r="AK85" s="41">
        <f t="shared" ca="1" si="19"/>
        <v>1.8260329994745916E-6</v>
      </c>
    </row>
    <row r="86" spans="1:37" x14ac:dyDescent="0.25">
      <c r="A86" s="3" t="str">
        <f ca="1">_xll.BDP($E86,A$3)</f>
        <v>EK8558422</v>
      </c>
      <c r="B86" s="12" t="str">
        <f ca="1">_xll.BDP($E86,B$3)</f>
        <v>EUR</v>
      </c>
      <c r="C86" s="12" t="str">
        <f ca="1">_xll.BDP($E86,C$3)</f>
        <v>BE</v>
      </c>
      <c r="D86" s="18" t="s">
        <v>218</v>
      </c>
      <c r="E86" s="3" t="str">
        <f t="shared" si="12"/>
        <v>BE6276038419 CORP</v>
      </c>
      <c r="F86" s="12">
        <f ca="1">_xll.BDP($E86,F$3)</f>
        <v>21</v>
      </c>
      <c r="G86" s="12" t="str">
        <f ca="1">_xll.BDP($E86,G$3)</f>
        <v>N</v>
      </c>
      <c r="H86" s="12" t="str">
        <f ca="1">_xll.BDP($E86,H$3)</f>
        <v>N</v>
      </c>
      <c r="I86" s="3" t="str">
        <f ca="1">_xll.BDP($E86,I$3)</f>
        <v>ABIBB F 10/19/18 EMTN</v>
      </c>
      <c r="J86" s="3" t="s">
        <v>102</v>
      </c>
      <c r="K86" s="3" t="str">
        <f ca="1">_xll.BDP($E86,K$3)</f>
        <v>20/04/2015</v>
      </c>
      <c r="L86" s="5">
        <f ca="1">DATEVALUE(_xll.BDP($E86,L$3))</f>
        <v>43300</v>
      </c>
      <c r="M86" s="17" t="e">
        <f t="shared" ca="1" si="15"/>
        <v>#VALUE!</v>
      </c>
      <c r="N86" s="3" t="str">
        <f ca="1">_xll.BDP($E86,N$3)</f>
        <v>#N/A Field Not Applicable</v>
      </c>
      <c r="O86" s="3" t="str">
        <f ca="1">_xll.BDP($E86,O$3)</f>
        <v>19/10/2018</v>
      </c>
      <c r="P86" s="2">
        <v>0</v>
      </c>
      <c r="Q86" s="24">
        <f ca="1">_xll.BDP($E86,Q$3)</f>
        <v>25</v>
      </c>
      <c r="R86" s="5">
        <f ca="1">DATEVALUE(_xll.BDP($E86,R$3))</f>
        <v>43392</v>
      </c>
      <c r="S86" s="3" t="str">
        <f ca="1">_xll.BDP($E86,S$3)</f>
        <v>CLEAN</v>
      </c>
      <c r="T86" s="3" t="str">
        <f ca="1">_xll.meLWOBondCreateFromGeneratorLVB(I86,D86,_xll.meUtilityLVBFromKeysValues($I$4:$R$4,I86:R86))</f>
        <v>#Error: Key #ERROR: KEYS AND VALUES ARE NOT THE SAME SIZE. is not an expected key.</v>
      </c>
      <c r="U86" s="23">
        <f t="shared" ca="1" si="13"/>
        <v>43454</v>
      </c>
      <c r="V86" s="8" t="str">
        <f ca="1">_xll.BDP($E86,V$3)</f>
        <v>#N/A N/A</v>
      </c>
      <c r="W86" s="8" t="str">
        <f ca="1">_xll.BDP($E86,W$3)</f>
        <v>#N/A N/A</v>
      </c>
      <c r="X86" s="28" t="str">
        <f ca="1">_xll.BDP($E86,X$3)</f>
        <v>#N/A N/A</v>
      </c>
      <c r="Y86" s="28">
        <f ca="1">_xll.BDP($E86,Y$3)</f>
        <v>0</v>
      </c>
      <c r="Z86" s="24">
        <f ca="1">_xll.BDP($E86,Z$3)</f>
        <v>25</v>
      </c>
      <c r="AA86" s="35" t="str">
        <f ca="1">_xll.BDP($E86,AA$3)</f>
        <v>#N/A N/A</v>
      </c>
      <c r="AB86" s="8" t="str">
        <f ca="1">_xll.BDP($E86,AB$3)</f>
        <v>#N/A N/A</v>
      </c>
      <c r="AC86" s="38" t="e">
        <f ca="1">ROUND(_xll.meLWOBondFRNPriceFromDiscountMargin(T86,U86,V86/10000,W86/100,X86/100,Y86/100),3)</f>
        <v>#VALUE!</v>
      </c>
      <c r="AD86" s="8" t="e">
        <f t="shared" ca="1" si="14"/>
        <v>#VALUE!</v>
      </c>
      <c r="AE86" s="8" t="e">
        <f t="shared" ca="1" si="18"/>
        <v>#VALUE!</v>
      </c>
      <c r="AF86" s="8" t="e">
        <f t="shared" ca="1" si="16"/>
        <v>#VALUE!</v>
      </c>
      <c r="AG86" s="35" t="e">
        <f ca="1">_xll.meLWOBondFRNPriceFromYield(T86,U86,AA86/100,W86/100,X86/100,Y86/100)</f>
        <v>#VALUE!</v>
      </c>
      <c r="AH86" s="35" t="e">
        <f ca="1">100*_xll.meLWOBondFRNYieldFromPrice(T86,U86,AG86,W86/100,X86/100,Y86/100)</f>
        <v>#VALUE!</v>
      </c>
      <c r="AI86" s="35" t="e">
        <f t="shared" ca="1" si="17"/>
        <v>#VALUE!</v>
      </c>
      <c r="AJ86" s="40" t="e">
        <f ca="1">10000*_xll.meLWOBondFRNDiscountMarginFromPrice(T86,U86,AG86,W86/100,X86/100,Y86/100)</f>
        <v>#VALUE!</v>
      </c>
      <c r="AK86" s="41" t="e">
        <f t="shared" ca="1" si="19"/>
        <v>#VALUE!</v>
      </c>
    </row>
    <row r="87" spans="1:37" x14ac:dyDescent="0.25">
      <c r="A87" s="3" t="str">
        <f ca="1">_xll.BDP($E87,A$3)</f>
        <v>AS1988862</v>
      </c>
      <c r="B87" s="12" t="str">
        <f ca="1">_xll.BDP($E87,B$3)</f>
        <v>EUR</v>
      </c>
      <c r="C87" s="12" t="str">
        <f ca="1">_xll.BDP($E87,C$3)</f>
        <v>FR</v>
      </c>
      <c r="D87" s="18" t="s">
        <v>218</v>
      </c>
      <c r="E87" s="3" t="str">
        <f t="shared" si="12"/>
        <v>FR0013330107 CORP</v>
      </c>
      <c r="F87" s="12">
        <f ca="1">_xll.BDP($E87,F$3)</f>
        <v>21</v>
      </c>
      <c r="G87" s="12" t="str">
        <f ca="1">_xll.BDP($E87,G$3)</f>
        <v>N</v>
      </c>
      <c r="H87" s="12" t="str">
        <f ca="1">_xll.BDP($E87,H$3)</f>
        <v>N</v>
      </c>
      <c r="I87" s="3" t="str">
        <f ca="1">_xll.BDP($E87,I$3)</f>
        <v>HOFP F 04/19/20 EMTN</v>
      </c>
      <c r="J87" s="3" t="s">
        <v>103</v>
      </c>
      <c r="K87" s="3" t="str">
        <f ca="1">_xll.BDP($E87,K$3)</f>
        <v>19/04/2018</v>
      </c>
      <c r="L87" s="5">
        <f ca="1">DATEVALUE(_xll.BDP($E87,L$3))</f>
        <v>43392</v>
      </c>
      <c r="M87" s="17" t="str">
        <f t="shared" ca="1" si="15"/>
        <v/>
      </c>
      <c r="N87" s="3" t="str">
        <f ca="1">_xll.BDP($E87,N$3)</f>
        <v>19/01/2019</v>
      </c>
      <c r="O87" s="3" t="str">
        <f ca="1">_xll.BDP($E87,O$3)</f>
        <v>19/04/2020</v>
      </c>
      <c r="P87" s="2">
        <v>0</v>
      </c>
      <c r="Q87" s="24">
        <f ca="1">_xll.BDP($E87,Q$3)</f>
        <v>20</v>
      </c>
      <c r="R87" s="5">
        <f ca="1">DATEVALUE(_xll.BDP($E87,R$3))</f>
        <v>43940</v>
      </c>
      <c r="S87" s="3" t="str">
        <f ca="1">_xll.BDP($E87,S$3)</f>
        <v>CLEAN</v>
      </c>
      <c r="T87" s="3" t="str">
        <f ca="1">_xll.meLWOBondCreateFromGeneratorLVB(I87,D87,_xll.meUtilityLVBFromKeysValues($I$4:$R$4,I87:R87))</f>
        <v>HOFP F 04/19/20 EMTN@187:14</v>
      </c>
      <c r="U87" s="23">
        <f t="shared" ca="1" si="13"/>
        <v>43454</v>
      </c>
      <c r="V87" s="8">
        <f ca="1">_xll.BDP($E87,V$3)</f>
        <v>12.471256198416707</v>
      </c>
      <c r="W87" s="8">
        <f ca="1">_xll.BDP($E87,W$3)</f>
        <v>-0.311</v>
      </c>
      <c r="X87" s="28">
        <f ca="1">_xll.BDP($E87,X$3)</f>
        <v>-0.36899999999999999</v>
      </c>
      <c r="Y87" s="28">
        <f ca="1">_xll.BDP($E87,Y$3)</f>
        <v>0</v>
      </c>
      <c r="Z87" s="24">
        <f ca="1">_xll.BDP($E87,Z$3)</f>
        <v>20</v>
      </c>
      <c r="AA87" s="35">
        <f ca="1">_xll.BDP($E87,AA$3)</f>
        <v>-0.18628700000000001</v>
      </c>
      <c r="AB87" s="8">
        <f ca="1">_xll.BDP($E87,AB$3)</f>
        <v>100.25700000000001</v>
      </c>
      <c r="AC87" s="38">
        <f ca="1">ROUND(_xll.meLWOBondFRNPriceFromDiscountMargin(T87,U87,V87/10000,W87/100,X87/100,Y87/100),3)</f>
        <v>100.258</v>
      </c>
      <c r="AD87" s="8">
        <f t="shared" ca="1" si="14"/>
        <v>9.9999999999056399E-4</v>
      </c>
      <c r="AE87" s="8">
        <f t="shared" ca="1" si="18"/>
        <v>100.258</v>
      </c>
      <c r="AF87" s="8">
        <f t="shared" ca="1" si="16"/>
        <v>9.9999999999056399E-4</v>
      </c>
      <c r="AG87" s="35">
        <f ca="1">_xll.meLWOBondFRNPriceFromYield(T87,U87,AA87/100,W87/100,X87/100,Y87/100)</f>
        <v>100.25836037519235</v>
      </c>
      <c r="AH87" s="35">
        <f ca="1">100*_xll.meLWOBondFRNYieldFromPrice(T87,U87,AG87,W87/100,X87/100,Y87/100)</f>
        <v>-0.18628699999995679</v>
      </c>
      <c r="AI87" s="35">
        <f t="shared" ca="1" si="17"/>
        <v>4.3215431233534218E-14</v>
      </c>
      <c r="AJ87" s="40">
        <f ca="1">10000*_xll.meLWOBondFRNDiscountMarginFromPrice(T87,U87,AG87,W87/100,X87/100,Y87/100)</f>
        <v>12.471300000004321</v>
      </c>
      <c r="AK87" s="41">
        <f t="shared" ca="1" si="19"/>
        <v>4.3801587613856441E-5</v>
      </c>
    </row>
    <row r="88" spans="1:37" x14ac:dyDescent="0.25">
      <c r="A88" s="3" t="str">
        <f ca="1">_xll.BDP($E88,A$3)</f>
        <v>AQ1998519</v>
      </c>
      <c r="B88" s="12" t="str">
        <f ca="1">_xll.BDP($E88,B$3)</f>
        <v>EUR</v>
      </c>
      <c r="C88" s="12" t="str">
        <f ca="1">_xll.BDP($E88,C$3)</f>
        <v>US</v>
      </c>
      <c r="D88" s="18" t="s">
        <v>218</v>
      </c>
      <c r="E88" s="3" t="str">
        <f t="shared" si="12"/>
        <v>XS1729872736 CORP</v>
      </c>
      <c r="F88" s="12">
        <f ca="1">_xll.BDP($E88,F$3)</f>
        <v>21</v>
      </c>
      <c r="G88" s="12" t="str">
        <f ca="1">_xll.BDP($E88,G$3)</f>
        <v>N</v>
      </c>
      <c r="H88" s="12" t="str">
        <f ca="1">_xll.BDP($E88,H$3)</f>
        <v>N</v>
      </c>
      <c r="I88" s="3" t="str">
        <f ca="1">_xll.BDP($E88,I$3)</f>
        <v>F F 12/01/24 EMTN</v>
      </c>
      <c r="J88" s="3" t="s">
        <v>104</v>
      </c>
      <c r="K88" s="3" t="str">
        <f ca="1">_xll.BDP($E88,K$3)</f>
        <v>01/12/2017</v>
      </c>
      <c r="L88" s="5">
        <f ca="1">DATEVALUE(_xll.BDP($E88,L$3))</f>
        <v>43437</v>
      </c>
      <c r="M88" s="17" t="str">
        <f t="shared" ca="1" si="15"/>
        <v/>
      </c>
      <c r="N88" s="3" t="str">
        <f ca="1">_xll.BDP($E88,N$3)</f>
        <v>01/03/2019</v>
      </c>
      <c r="O88" s="3" t="str">
        <f ca="1">_xll.BDP($E88,O$3)</f>
        <v>01/12/2024</v>
      </c>
      <c r="P88" s="2">
        <v>0</v>
      </c>
      <c r="Q88" s="24">
        <f ca="1">_xll.BDP($E88,Q$3)</f>
        <v>70</v>
      </c>
      <c r="R88" s="5">
        <f ca="1">DATEVALUE(_xll.BDP($E88,R$3))</f>
        <v>45627</v>
      </c>
      <c r="S88" s="3" t="str">
        <f ca="1">_xll.BDP($E88,S$3)</f>
        <v>CLEAN</v>
      </c>
      <c r="T88" s="3" t="str">
        <f ca="1">_xll.meLWOBondCreateFromGeneratorLVB(I88,D88,_xll.meUtilityLVBFromKeysValues($I$4:$R$4,I88:R88))</f>
        <v>F F 12/01/24 EMTN@186:14</v>
      </c>
      <c r="U88" s="23">
        <f t="shared" ca="1" si="13"/>
        <v>43454</v>
      </c>
      <c r="V88" s="8">
        <f ca="1">_xll.BDP($E88,V$3)</f>
        <v>329.56519849729273</v>
      </c>
      <c r="W88" s="8">
        <f ca="1">_xll.BDP($E88,W$3)</f>
        <v>-0.311</v>
      </c>
      <c r="X88" s="28">
        <f ca="1">_xll.BDP($E88,X$3)</f>
        <v>-0.32683333333333336</v>
      </c>
      <c r="Y88" s="28">
        <f ca="1">_xll.BDP($E88,Y$3)</f>
        <v>0.38400000000000001</v>
      </c>
      <c r="Z88" s="24">
        <f ca="1">_xll.BDP($E88,Z$3)</f>
        <v>70</v>
      </c>
      <c r="AA88" s="35">
        <f ca="1">_xll.BDP($E88,AA$3)</f>
        <v>2.9846520000000001</v>
      </c>
      <c r="AB88" s="8">
        <f ca="1">_xll.BDP($E88,AB$3)</f>
        <v>85.724000000000004</v>
      </c>
      <c r="AC88" s="38">
        <f ca="1">ROUND(_xll.meLWOBondFRNPriceFromDiscountMargin(T88,U88,V88/10000,W88/100,X88/100,Y88/100),3)</f>
        <v>85.724000000000004</v>
      </c>
      <c r="AD88" s="8">
        <f t="shared" ca="1" si="14"/>
        <v>0</v>
      </c>
      <c r="AE88" s="8">
        <f t="shared" ca="1" si="18"/>
        <v>85.724000000000004</v>
      </c>
      <c r="AF88" s="8">
        <f t="shared" ca="1" si="16"/>
        <v>0</v>
      </c>
      <c r="AG88" s="35">
        <f ca="1">_xll.meLWOBondFRNPriceFromYield(T88,U88,AA88/100,W88/100,X88/100,Y88/100)</f>
        <v>85.723999923853029</v>
      </c>
      <c r="AH88" s="35">
        <f ca="1">100*_xll.meLWOBondFRNYieldFromPrice(T88,U88,AG88,W88/100,X88/100,Y88/100)</f>
        <v>2.9846520000007435</v>
      </c>
      <c r="AI88" s="35">
        <f t="shared" ca="1" si="17"/>
        <v>7.4340533728900482E-13</v>
      </c>
      <c r="AJ88" s="40">
        <f ca="1">10000*_xll.meLWOBondFRNDiscountMarginFromPrice(T88,U88,AG88,W88/100,X88/100,Y88/100)</f>
        <v>329.56520000007436</v>
      </c>
      <c r="AK88" s="41">
        <f t="shared" ca="1" si="19"/>
        <v>1.5027816289148177E-6</v>
      </c>
    </row>
    <row r="89" spans="1:37" x14ac:dyDescent="0.25">
      <c r="A89" s="3" t="str">
        <f ca="1">_xll.BDP($E89,A$3)</f>
        <v>JK4260176</v>
      </c>
      <c r="B89" s="12" t="str">
        <f ca="1">_xll.BDP($E89,B$3)</f>
        <v>EUR</v>
      </c>
      <c r="C89" s="12" t="str">
        <f ca="1">_xll.BDP($E89,C$3)</f>
        <v>DK</v>
      </c>
      <c r="D89" s="18" t="s">
        <v>218</v>
      </c>
      <c r="E89" s="3" t="str">
        <f t="shared" si="12"/>
        <v>XS1381690574 CORP</v>
      </c>
      <c r="F89" s="12">
        <f ca="1">_xll.BDP($E89,F$3)</f>
        <v>21</v>
      </c>
      <c r="G89" s="12" t="str">
        <f ca="1">_xll.BDP($E89,G$3)</f>
        <v>N</v>
      </c>
      <c r="H89" s="12" t="str">
        <f ca="1">_xll.BDP($E89,H$3)</f>
        <v>N</v>
      </c>
      <c r="I89" s="3" t="str">
        <f ca="1">_xll.BDP($E89,I$3)</f>
        <v>MAERSK F 03/18/19 EMtn</v>
      </c>
      <c r="J89" s="3" t="s">
        <v>105</v>
      </c>
      <c r="K89" s="3" t="str">
        <f ca="1">_xll.BDP($E89,K$3)</f>
        <v>18/03/2016</v>
      </c>
      <c r="L89" s="5">
        <f ca="1">DATEVALUE(_xll.BDP($E89,L$3))</f>
        <v>43452</v>
      </c>
      <c r="M89" s="17" t="str">
        <f t="shared" ca="1" si="15"/>
        <v/>
      </c>
      <c r="N89" s="3" t="str">
        <f ca="1">_xll.BDP($E89,N$3)</f>
        <v>18/03/2019</v>
      </c>
      <c r="O89" s="3" t="str">
        <f ca="1">_xll.BDP($E89,O$3)</f>
        <v>18/03/2019</v>
      </c>
      <c r="P89" s="2">
        <v>0</v>
      </c>
      <c r="Q89" s="24">
        <f ca="1">_xll.BDP($E89,Q$3)</f>
        <v>160</v>
      </c>
      <c r="R89" s="5">
        <f ca="1">DATEVALUE(_xll.BDP($E89,R$3))</f>
        <v>43542</v>
      </c>
      <c r="S89" s="3" t="str">
        <f ca="1">_xll.BDP($E89,S$3)</f>
        <v>CLEAN</v>
      </c>
      <c r="T89" s="3" t="str">
        <f ca="1">_xll.meLWOBondCreateFromGeneratorLVB(I89,D89,_xll.meUtilityLVBFromKeysValues($I$4:$R$4,I89:R89))</f>
        <v>MAERSK F 03/18/19 EMTN@185:14</v>
      </c>
      <c r="U89" s="23">
        <f t="shared" ca="1" si="13"/>
        <v>43454</v>
      </c>
      <c r="V89" s="8">
        <f ca="1">_xll.BDP($E89,V$3)</f>
        <v>-13.096601627381215</v>
      </c>
      <c r="W89" s="8">
        <f ca="1">_xll.BDP($E89,W$3)</f>
        <v>-0.311</v>
      </c>
      <c r="X89" s="28">
        <f ca="1">_xll.BDP($E89,X$3)</f>
        <v>-0.31266666666666665</v>
      </c>
      <c r="Y89" s="28">
        <f ca="1">_xll.BDP($E89,Y$3)</f>
        <v>1.2889999999999999</v>
      </c>
      <c r="Z89" s="24">
        <f ca="1">_xll.BDP($E89,Z$3)</f>
        <v>160</v>
      </c>
      <c r="AA89" s="35">
        <f ca="1">_xll.BDP($E89,AA$3)</f>
        <v>-0.443633</v>
      </c>
      <c r="AB89" s="8">
        <f ca="1">_xll.BDP($E89,AB$3)</f>
        <v>100.42400000000001</v>
      </c>
      <c r="AC89" s="38">
        <f ca="1">ROUND(_xll.meLWOBondFRNPriceFromDiscountMargin(T89,U89,V89/10000,W89/100,X89/100,Y89/100),3)</f>
        <v>100.42400000000001</v>
      </c>
      <c r="AD89" s="8">
        <f t="shared" ca="1" si="14"/>
        <v>0</v>
      </c>
      <c r="AE89" s="8">
        <f t="shared" ca="1" si="18"/>
        <v>100.42400000000001</v>
      </c>
      <c r="AF89" s="8">
        <f t="shared" ca="1" si="16"/>
        <v>0</v>
      </c>
      <c r="AG89" s="35">
        <f ca="1">_xll.meLWOBondFRNPriceFromYield(T89,U89,AA89/100,W89/100,X89/100,Y89/100)</f>
        <v>100.42400007792212</v>
      </c>
      <c r="AH89" s="35">
        <f ca="1">100*_xll.meLWOBondFRNYieldFromPrice(T89,U89,AG89,W89/100,X89/100,Y89/100)</f>
        <v>-0.44363299999998762</v>
      </c>
      <c r="AI89" s="35">
        <f t="shared" ca="1" si="17"/>
        <v>1.2378986724570495E-14</v>
      </c>
      <c r="AJ89" s="40">
        <f ca="1">10000*_xll.meLWOBondFRNDiscountMarginFromPrice(T89,U89,AG89,W89/100,X89/100,Y89/100)</f>
        <v>-13.0966333333321</v>
      </c>
      <c r="AK89" s="41">
        <f t="shared" ca="1" si="19"/>
        <v>3.1705950885196899E-5</v>
      </c>
    </row>
    <row r="90" spans="1:37" x14ac:dyDescent="0.25">
      <c r="A90" s="3" t="str">
        <f ca="1">_xll.BDP($E90,A$3)</f>
        <v>717081EE9</v>
      </c>
      <c r="B90" s="12" t="str">
        <f ca="1">_xll.BDP($E90,B$3)</f>
        <v>EUR</v>
      </c>
      <c r="C90" s="12" t="str">
        <f ca="1">_xll.BDP($E90,C$3)</f>
        <v>US</v>
      </c>
      <c r="D90" s="18" t="s">
        <v>218</v>
      </c>
      <c r="E90" s="3" t="str">
        <f t="shared" si="12"/>
        <v>XS1574156540 CORP</v>
      </c>
      <c r="F90" s="12">
        <f ca="1">_xll.BDP($E90,F$3)</f>
        <v>21</v>
      </c>
      <c r="G90" s="12" t="str">
        <f ca="1">_xll.BDP($E90,G$3)</f>
        <v>N</v>
      </c>
      <c r="H90" s="12" t="str">
        <f ca="1">_xll.BDP($E90,H$3)</f>
        <v>N</v>
      </c>
      <c r="I90" s="3" t="str">
        <f ca="1">_xll.BDP($E90,I$3)</f>
        <v>PFE F 03/06/19</v>
      </c>
      <c r="J90" s="3" t="s">
        <v>106</v>
      </c>
      <c r="K90" s="3" t="str">
        <f ca="1">_xll.BDP($E90,K$3)</f>
        <v>06/03/2017</v>
      </c>
      <c r="L90" s="5">
        <f ca="1">DATEVALUE(_xll.BDP($E90,L$3))</f>
        <v>43440</v>
      </c>
      <c r="M90" s="17" t="str">
        <f t="shared" ca="1" si="15"/>
        <v/>
      </c>
      <c r="N90" s="3" t="str">
        <f ca="1">_xll.BDP($E90,N$3)</f>
        <v>06/03/2019</v>
      </c>
      <c r="O90" s="3" t="str">
        <f ca="1">_xll.BDP($E90,O$3)</f>
        <v>06/03/2019</v>
      </c>
      <c r="P90" s="2">
        <v>0</v>
      </c>
      <c r="Q90" s="24">
        <f ca="1">_xll.BDP($E90,Q$3)</f>
        <v>20</v>
      </c>
      <c r="R90" s="5">
        <f ca="1">DATEVALUE(_xll.BDP($E90,R$3))</f>
        <v>43530</v>
      </c>
      <c r="S90" s="3" t="str">
        <f ca="1">_xll.BDP($E90,S$3)</f>
        <v>CLEAN</v>
      </c>
      <c r="T90" s="3" t="str">
        <f ca="1">_xll.meLWOBondCreateFromGeneratorLVB(I90,D90,_xll.meUtilityLVBFromKeysValues($I$4:$R$4,I90:R90))</f>
        <v>PFE F 03/06/19@184:14</v>
      </c>
      <c r="U90" s="23">
        <f t="shared" ca="1" si="13"/>
        <v>43454</v>
      </c>
      <c r="V90" s="8">
        <f ca="1">_xll.BDP($E90,V$3)</f>
        <v>-6.5436141662074787</v>
      </c>
      <c r="W90" s="8">
        <f ca="1">_xll.BDP($E90,W$3)</f>
        <v>-0.311</v>
      </c>
      <c r="X90" s="28">
        <f ca="1">_xll.BDP($E90,X$3)</f>
        <v>-0.32266666666666666</v>
      </c>
      <c r="Y90" s="28">
        <f ca="1">_xll.BDP($E90,Y$3)</f>
        <v>0</v>
      </c>
      <c r="Z90" s="24">
        <f ca="1">_xll.BDP($E90,Z$3)</f>
        <v>20</v>
      </c>
      <c r="AA90" s="35">
        <f ca="1">_xll.BDP($E90,AA$3)</f>
        <v>-0.38810299999999998</v>
      </c>
      <c r="AB90" s="8">
        <f ca="1">_xll.BDP($E90,AB$3)</f>
        <v>100.08199999999999</v>
      </c>
      <c r="AC90" s="38">
        <f ca="1">ROUND(_xll.meLWOBondFRNPriceFromDiscountMargin(T90,U90,V90/10000,W90/100,X90/100,Y90/100),3)</f>
        <v>100.08199999999999</v>
      </c>
      <c r="AD90" s="8">
        <f t="shared" ca="1" si="14"/>
        <v>0</v>
      </c>
      <c r="AE90" s="8">
        <f t="shared" ca="1" si="18"/>
        <v>100.08199999999999</v>
      </c>
      <c r="AF90" s="8">
        <f t="shared" ca="1" si="16"/>
        <v>0</v>
      </c>
      <c r="AG90" s="35">
        <f ca="1">_xll.meLWOBondFRNPriceFromYield(T90,U90,AA90/100,W90/100,X90/100,Y90/100)</f>
        <v>100.08200004053032</v>
      </c>
      <c r="AH90" s="35">
        <f ca="1">100*_xll.meLWOBondFRNYieldFromPrice(T90,U90,AG90,W90/100,X90/100,Y90/100)</f>
        <v>-0.38810300000001713</v>
      </c>
      <c r="AI90" s="35">
        <f t="shared" ca="1" si="17"/>
        <v>1.7152945730458669E-14</v>
      </c>
      <c r="AJ90" s="40">
        <f ca="1">10000*_xll.meLWOBondFRNDiscountMarginFromPrice(T90,U90,AG90,W90/100,X90/100,Y90/100)</f>
        <v>-6.5436333333350474</v>
      </c>
      <c r="AK90" s="41">
        <f t="shared" ca="1" si="19"/>
        <v>1.9167127568664455E-5</v>
      </c>
    </row>
    <row r="91" spans="1:37" x14ac:dyDescent="0.25">
      <c r="A91" s="3" t="str">
        <f ca="1">_xll.BDP($E91,A$3)</f>
        <v>AO0689544</v>
      </c>
      <c r="B91" s="12" t="str">
        <f ca="1">_xll.BDP($E91,B$3)</f>
        <v>EUR</v>
      </c>
      <c r="C91" s="12" t="str">
        <f ca="1">_xll.BDP($E91,C$3)</f>
        <v>FR</v>
      </c>
      <c r="D91" s="18" t="s">
        <v>218</v>
      </c>
      <c r="E91" s="3" t="str">
        <f t="shared" si="12"/>
        <v>FR0013266343 CORP</v>
      </c>
      <c r="F91" s="12">
        <f ca="1">_xll.BDP($E91,F$3)</f>
        <v>21</v>
      </c>
      <c r="G91" s="12" t="str">
        <f ca="1">_xll.BDP($E91,G$3)</f>
        <v>N</v>
      </c>
      <c r="H91" s="12" t="str">
        <f ca="1">_xll.BDP($E91,H$3)</f>
        <v>N</v>
      </c>
      <c r="I91" s="3" t="str">
        <f ca="1">_xll.BDP($E91,I$3)</f>
        <v>GFCFP F 06/30/22 EMTN</v>
      </c>
      <c r="J91" s="3" t="s">
        <v>107</v>
      </c>
      <c r="K91" s="3" t="str">
        <f ca="1">_xll.BDP($E91,K$3)</f>
        <v>30/06/2017</v>
      </c>
      <c r="L91" s="5">
        <f ca="1">DATEVALUE(_xll.BDP($E91,L$3))</f>
        <v>43371</v>
      </c>
      <c r="M91" s="17">
        <f t="shared" ca="1" si="15"/>
        <v>31</v>
      </c>
      <c r="N91" s="3" t="str">
        <f ca="1">_xll.BDP($E91,N$3)</f>
        <v>31/12/2018</v>
      </c>
      <c r="O91" s="3" t="str">
        <f ca="1">_xll.BDP($E91,O$3)</f>
        <v>30/06/2022</v>
      </c>
      <c r="P91" s="2">
        <v>0</v>
      </c>
      <c r="Q91" s="24">
        <f ca="1">_xll.BDP($E91,Q$3)</f>
        <v>38</v>
      </c>
      <c r="R91" s="5">
        <f ca="1">DATEVALUE(_xll.BDP($E91,R$3))</f>
        <v>44742</v>
      </c>
      <c r="S91" s="3" t="str">
        <f ca="1">_xll.BDP($E91,S$3)</f>
        <v>CLEAN</v>
      </c>
      <c r="T91" s="3" t="str">
        <f ca="1">_xll.meLWOBondCreateFromGeneratorLVB(I91,D91,_xll.meUtilityLVBFromKeysValues($I$4:$R$4,I91:R91))</f>
        <v>GFCFP F 06/30/22 EMTN@183:14</v>
      </c>
      <c r="U91" s="23">
        <f t="shared" ca="1" si="13"/>
        <v>43454</v>
      </c>
      <c r="V91" s="8">
        <f ca="1">_xll.BDP($E91,V$3)</f>
        <v>69.239353798830749</v>
      </c>
      <c r="W91" s="8">
        <f ca="1">_xll.BDP($E91,W$3)</f>
        <v>-0.311</v>
      </c>
      <c r="X91" s="28">
        <f ca="1">_xll.BDP($E91,X$3)</f>
        <v>-0.37643478260869567</v>
      </c>
      <c r="Y91" s="28">
        <f ca="1">_xll.BDP($E91,Y$3)</f>
        <v>6.0999999999999999E-2</v>
      </c>
      <c r="Z91" s="24">
        <f ca="1">_xll.BDP($E91,Z$3)</f>
        <v>38</v>
      </c>
      <c r="AA91" s="35">
        <f ca="1">_xll.BDP($E91,AA$3)</f>
        <v>0.38139400000000001</v>
      </c>
      <c r="AB91" s="8">
        <f ca="1">_xll.BDP($E91,AB$3)</f>
        <v>98.891000000000005</v>
      </c>
      <c r="AC91" s="38">
        <f ca="1">ROUND(_xll.meLWOBondFRNPriceFromDiscountMargin(T91,U91,V91/10000,W91/100,X91/100,Y91/100),3)</f>
        <v>98.891000000000005</v>
      </c>
      <c r="AD91" s="8">
        <f t="shared" ca="1" si="14"/>
        <v>0</v>
      </c>
      <c r="AE91" s="8">
        <f t="shared" ca="1" si="18"/>
        <v>98.891000000000005</v>
      </c>
      <c r="AF91" s="8">
        <f t="shared" ca="1" si="16"/>
        <v>0</v>
      </c>
      <c r="AG91" s="35">
        <f ca="1">_xll.meLWOBondFRNPriceFromYield(T91,U91,AA91/100,W91/100,X91/100,Y91/100)</f>
        <v>98.890998439512629</v>
      </c>
      <c r="AH91" s="35">
        <f ca="1">100*_xll.meLWOBondFRNYieldFromPrice(T91,U91,AG91,W91/100,X91/100,Y91/100)</f>
        <v>0.38139399999999707</v>
      </c>
      <c r="AI91" s="35">
        <f t="shared" ca="1" si="17"/>
        <v>2.9420910152566648E-15</v>
      </c>
      <c r="AJ91" s="40">
        <f ca="1">10000*_xll.meLWOBondFRNDiscountMarginFromPrice(T91,U91,AG91,W91/100,X91/100,Y91/100)</f>
        <v>69.239399999999705</v>
      </c>
      <c r="AK91" s="41">
        <f t="shared" ca="1" si="19"/>
        <v>4.6201168956372385E-5</v>
      </c>
    </row>
    <row r="92" spans="1:37" x14ac:dyDescent="0.25">
      <c r="A92" s="3" t="str">
        <f ca="1">_xll.BDP($E92,A$3)</f>
        <v>EK6022546</v>
      </c>
      <c r="B92" s="12" t="str">
        <f ca="1">_xll.BDP($E92,B$3)</f>
        <v>EUR</v>
      </c>
      <c r="C92" s="12" t="str">
        <f ca="1">_xll.BDP($E92,C$3)</f>
        <v>DE</v>
      </c>
      <c r="D92" s="18" t="s">
        <v>218</v>
      </c>
      <c r="E92" s="3" t="str">
        <f t="shared" si="12"/>
        <v>DE000A13SL18 CORP</v>
      </c>
      <c r="F92" s="12">
        <f ca="1">_xll.BDP($E92,F$3)</f>
        <v>21</v>
      </c>
      <c r="G92" s="12" t="str">
        <f ca="1">_xll.BDP($E92,G$3)</f>
        <v>N</v>
      </c>
      <c r="H92" s="12" t="str">
        <f ca="1">_xll.BDP($E92,H$3)</f>
        <v>N</v>
      </c>
      <c r="I92" s="3" t="str">
        <f ca="1">_xll.BDP($E92,I$3)</f>
        <v>SAPGR F 11/20/18 EMTN</v>
      </c>
      <c r="J92" s="3" t="s">
        <v>108</v>
      </c>
      <c r="K92" s="3" t="str">
        <f ca="1">_xll.BDP($E92,K$3)</f>
        <v>20/11/2014</v>
      </c>
      <c r="L92" s="5">
        <f ca="1">DATEVALUE(_xll.BDP($E92,L$3))</f>
        <v>43332</v>
      </c>
      <c r="M92" s="17" t="e">
        <f t="shared" ca="1" si="15"/>
        <v>#VALUE!</v>
      </c>
      <c r="N92" s="3" t="str">
        <f ca="1">_xll.BDP($E92,N$3)</f>
        <v>#N/A Field Not Applicable</v>
      </c>
      <c r="O92" s="3" t="str">
        <f ca="1">_xll.BDP($E92,O$3)</f>
        <v>20/11/2018</v>
      </c>
      <c r="P92" s="2">
        <v>0</v>
      </c>
      <c r="Q92" s="24">
        <f ca="1">_xll.BDP($E92,Q$3)</f>
        <v>30</v>
      </c>
      <c r="R92" s="5">
        <f ca="1">DATEVALUE(_xll.BDP($E92,R$3))</f>
        <v>43424</v>
      </c>
      <c r="S92" s="3" t="str">
        <f ca="1">_xll.BDP($E92,S$3)</f>
        <v>CLEAN</v>
      </c>
      <c r="T92" s="3" t="str">
        <f ca="1">_xll.meLWOBondCreateFromGeneratorLVB(I92,D92,_xll.meUtilityLVBFromKeysValues($I$4:$R$4,I92:R92))</f>
        <v>#Error: Key #ERROR: KEYS AND VALUES ARE NOT THE SAME SIZE. is not an expected key.</v>
      </c>
      <c r="U92" s="23">
        <f t="shared" ca="1" si="13"/>
        <v>43454</v>
      </c>
      <c r="V92" s="8" t="str">
        <f ca="1">_xll.BDP($E92,V$3)</f>
        <v>#N/A N/A</v>
      </c>
      <c r="W92" s="8" t="str">
        <f ca="1">_xll.BDP($E92,W$3)</f>
        <v>#N/A N/A</v>
      </c>
      <c r="X92" s="28" t="str">
        <f ca="1">_xll.BDP($E92,X$3)</f>
        <v>#N/A N/A</v>
      </c>
      <c r="Y92" s="28">
        <f ca="1">_xll.BDP($E92,Y$3)</f>
        <v>0</v>
      </c>
      <c r="Z92" s="24">
        <f ca="1">_xll.BDP($E92,Z$3)</f>
        <v>30</v>
      </c>
      <c r="AA92" s="35" t="str">
        <f ca="1">_xll.BDP($E92,AA$3)</f>
        <v>#N/A N/A</v>
      </c>
      <c r="AB92" s="8" t="str">
        <f ca="1">_xll.BDP($E92,AB$3)</f>
        <v>#N/A N/A</v>
      </c>
      <c r="AC92" s="38" t="e">
        <f ca="1">ROUND(_xll.meLWOBondFRNPriceFromDiscountMargin(T92,U92,V92/10000,W92/100,X92/100,Y92/100),3)</f>
        <v>#VALUE!</v>
      </c>
      <c r="AD92" s="8" t="e">
        <f t="shared" ca="1" si="14"/>
        <v>#VALUE!</v>
      </c>
      <c r="AE92" s="8" t="e">
        <f t="shared" ca="1" si="18"/>
        <v>#VALUE!</v>
      </c>
      <c r="AF92" s="8" t="e">
        <f t="shared" ca="1" si="16"/>
        <v>#VALUE!</v>
      </c>
      <c r="AG92" s="35" t="e">
        <f ca="1">_xll.meLWOBondFRNPriceFromYield(T92,U92,AA92/100,W92/100,X92/100,Y92/100)</f>
        <v>#VALUE!</v>
      </c>
      <c r="AH92" s="35" t="e">
        <f ca="1">100*_xll.meLWOBondFRNYieldFromPrice(T92,U92,AG92,W92/100,X92/100,Y92/100)</f>
        <v>#VALUE!</v>
      </c>
      <c r="AI92" s="35" t="e">
        <f t="shared" ca="1" si="17"/>
        <v>#VALUE!</v>
      </c>
      <c r="AJ92" s="40" t="e">
        <f ca="1">10000*_xll.meLWOBondFRNDiscountMarginFromPrice(T92,U92,AG92,W92/100,X92/100,Y92/100)</f>
        <v>#VALUE!</v>
      </c>
      <c r="AK92" s="41" t="e">
        <f t="shared" ca="1" si="19"/>
        <v>#VALUE!</v>
      </c>
    </row>
    <row r="93" spans="1:37" x14ac:dyDescent="0.25">
      <c r="A93" s="3" t="str">
        <f ca="1">_xll.BDP($E93,A$3)</f>
        <v>AO0657814</v>
      </c>
      <c r="B93" s="12" t="str">
        <f ca="1">_xll.BDP($E93,B$3)</f>
        <v>EUR</v>
      </c>
      <c r="C93" s="12" t="str">
        <f ca="1">_xll.BDP($E93,C$3)</f>
        <v>FR</v>
      </c>
      <c r="D93" s="18" t="s">
        <v>218</v>
      </c>
      <c r="E93" s="3" t="str">
        <f t="shared" si="12"/>
        <v>FR0013264884 CORP</v>
      </c>
      <c r="F93" s="12">
        <f ca="1">_xll.BDP($E93,F$3)</f>
        <v>21</v>
      </c>
      <c r="G93" s="12" t="str">
        <f ca="1">_xll.BDP($E93,G$3)</f>
        <v>N</v>
      </c>
      <c r="H93" s="12" t="str">
        <f ca="1">_xll.BDP($E93,H$3)</f>
        <v>N</v>
      </c>
      <c r="I93" s="3" t="str">
        <f ca="1">_xll.BDP($E93,I$3)</f>
        <v>SAFFP F 06/28/21 .</v>
      </c>
      <c r="J93" s="3" t="s">
        <v>109</v>
      </c>
      <c r="K93" s="3" t="str">
        <f ca="1">_xll.BDP($E93,K$3)</f>
        <v>28/06/2017</v>
      </c>
      <c r="L93" s="5">
        <f ca="1">DATEVALUE(_xll.BDP($E93,L$3))</f>
        <v>43371</v>
      </c>
      <c r="M93" s="17" t="str">
        <f t="shared" ca="1" si="15"/>
        <v/>
      </c>
      <c r="N93" s="3" t="str">
        <f ca="1">_xll.BDP($E93,N$3)</f>
        <v>28/12/2018</v>
      </c>
      <c r="O93" s="3" t="str">
        <f ca="1">_xll.BDP($E93,O$3)</f>
        <v>28/06/2021</v>
      </c>
      <c r="P93" s="2">
        <v>0</v>
      </c>
      <c r="Q93" s="24">
        <f ca="1">_xll.BDP($E93,Q$3)</f>
        <v>57</v>
      </c>
      <c r="R93" s="5">
        <f ca="1">DATEVALUE(_xll.BDP($E93,R$3))</f>
        <v>44375</v>
      </c>
      <c r="S93" s="3" t="str">
        <f ca="1">_xll.BDP($E93,S$3)</f>
        <v>CLEAN</v>
      </c>
      <c r="T93" s="3" t="str">
        <f ca="1">_xll.meLWOBondCreateFromGeneratorLVB(I93,D93,_xll.meUtilityLVBFromKeysValues($I$4:$R$4,I93:R93))</f>
        <v>SAFFP F 06/28/21 .@181:14</v>
      </c>
      <c r="U93" s="23">
        <f t="shared" ca="1" si="13"/>
        <v>43454</v>
      </c>
      <c r="V93" s="8">
        <f ca="1">_xll.BDP($E93,V$3)</f>
        <v>58.345640626409121</v>
      </c>
      <c r="W93" s="8">
        <f ca="1">_xll.BDP($E93,W$3)</f>
        <v>-0.311</v>
      </c>
      <c r="X93" s="28">
        <f ca="1">_xll.BDP($E93,X$3)</f>
        <v>-0.37760869565217392</v>
      </c>
      <c r="Y93" s="28">
        <f ca="1">_xll.BDP($E93,Y$3)</f>
        <v>0.251</v>
      </c>
      <c r="Z93" s="24">
        <f ca="1">_xll.BDP($E93,Z$3)</f>
        <v>57</v>
      </c>
      <c r="AA93" s="35">
        <f ca="1">_xll.BDP($E93,AA$3)</f>
        <v>0.27245599999999998</v>
      </c>
      <c r="AB93" s="8">
        <f ca="1">_xll.BDP($E93,AB$3)</f>
        <v>99.966999999999999</v>
      </c>
      <c r="AC93" s="38">
        <f ca="1">ROUND(_xll.meLWOBondFRNPriceFromDiscountMargin(T93,U93,V93/10000,W93/100,X93/100,Y93/100),3)</f>
        <v>99.966999999999999</v>
      </c>
      <c r="AD93" s="8">
        <f t="shared" ca="1" si="14"/>
        <v>0</v>
      </c>
      <c r="AE93" s="8">
        <f t="shared" ca="1" si="18"/>
        <v>99.966999999999999</v>
      </c>
      <c r="AF93" s="8">
        <f t="shared" ca="1" si="16"/>
        <v>0</v>
      </c>
      <c r="AG93" s="35">
        <f ca="1">_xll.meLWOBondFRNPriceFromYield(T93,U93,AA93/100,W93/100,X93/100,Y93/100)</f>
        <v>99.967001041472031</v>
      </c>
      <c r="AH93" s="35">
        <f ca="1">100*_xll.meLWOBondFRNYieldFromPrice(T93,U93,AG93,W93/100,X93/100,Y93/100)</f>
        <v>0.27245600000014969</v>
      </c>
      <c r="AI93" s="35">
        <f t="shared" ca="1" si="17"/>
        <v>1.4971357487070236E-13</v>
      </c>
      <c r="AJ93" s="40">
        <f ca="1">10000*_xll.meLWOBondFRNDiscountMarginFromPrice(T93,U93,AG93,W93/100,X93/100,Y93/100)</f>
        <v>58.345600000014961</v>
      </c>
      <c r="AK93" s="41">
        <f t="shared" ca="1" si="19"/>
        <v>4.062639415991498E-5</v>
      </c>
    </row>
    <row r="94" spans="1:37" x14ac:dyDescent="0.25">
      <c r="A94" s="3" t="str">
        <f ca="1">_xll.BDP($E94,A$3)</f>
        <v>AP3064536</v>
      </c>
      <c r="B94" s="12" t="str">
        <f ca="1">_xll.BDP($E94,B$3)</f>
        <v>EUR</v>
      </c>
      <c r="C94" s="12" t="str">
        <f ca="1">_xll.BDP($E94,C$3)</f>
        <v>US</v>
      </c>
      <c r="D94" s="18" t="s">
        <v>218</v>
      </c>
      <c r="E94" s="3" t="str">
        <f t="shared" si="12"/>
        <v>XS1692846790 CORP</v>
      </c>
      <c r="F94" s="12">
        <f ca="1">_xll.BDP($E94,F$3)</f>
        <v>21</v>
      </c>
      <c r="G94" s="12" t="str">
        <f ca="1">_xll.BDP($E94,G$3)</f>
        <v>N</v>
      </c>
      <c r="H94" s="12" t="str">
        <f ca="1">_xll.BDP($E94,H$3)</f>
        <v>N</v>
      </c>
      <c r="I94" s="3" t="str">
        <f ca="1">_xll.BDP($E94,I$3)</f>
        <v>DE F 10/03/22 EMTN</v>
      </c>
      <c r="J94" s="3" t="s">
        <v>110</v>
      </c>
      <c r="K94" s="3" t="str">
        <f ca="1">_xll.BDP($E94,K$3)</f>
        <v>03/10/2017</v>
      </c>
      <c r="L94" s="5">
        <f ca="1">DATEVALUE(_xll.BDP($E94,L$3))</f>
        <v>43376</v>
      </c>
      <c r="M94" s="17" t="str">
        <f t="shared" ca="1" si="15"/>
        <v/>
      </c>
      <c r="N94" s="3" t="str">
        <f ca="1">_xll.BDP($E94,N$3)</f>
        <v>03/01/2019</v>
      </c>
      <c r="O94" s="3" t="str">
        <f ca="1">_xll.BDP($E94,O$3)</f>
        <v>03/10/2022</v>
      </c>
      <c r="P94" s="2">
        <v>0</v>
      </c>
      <c r="Q94" s="24">
        <f ca="1">_xll.BDP($E94,Q$3)</f>
        <v>27</v>
      </c>
      <c r="R94" s="5">
        <f ca="1">DATEVALUE(_xll.BDP($E94,R$3))</f>
        <v>44837</v>
      </c>
      <c r="S94" s="3" t="str">
        <f ca="1">_xll.BDP($E94,S$3)</f>
        <v>CLEAN</v>
      </c>
      <c r="T94" s="3" t="str">
        <f ca="1">_xll.meLWOBondCreateFromGeneratorLVB(I94,D94,_xll.meUtilityLVBFromKeysValues($I$4:$R$4,I94:R94))</f>
        <v>DE F 10/03/22 EMTN@180:14</v>
      </c>
      <c r="U94" s="23">
        <f t="shared" ca="1" si="13"/>
        <v>43454</v>
      </c>
      <c r="V94" s="8">
        <f ca="1">_xll.BDP($E94,V$3)</f>
        <v>40.157582731326698</v>
      </c>
      <c r="W94" s="8">
        <f ca="1">_xll.BDP($E94,W$3)</f>
        <v>-0.311</v>
      </c>
      <c r="X94" s="28">
        <f ca="1">_xll.BDP($E94,X$3)</f>
        <v>-0.37526086956521737</v>
      </c>
      <c r="Y94" s="28">
        <f ca="1">_xll.BDP($E94,Y$3)</f>
        <v>0</v>
      </c>
      <c r="Z94" s="24">
        <f ca="1">_xll.BDP($E94,Z$3)</f>
        <v>27</v>
      </c>
      <c r="AA94" s="35">
        <f ca="1">_xll.BDP($E94,AA$3)</f>
        <v>9.0576000000000004E-2</v>
      </c>
      <c r="AB94" s="8">
        <f ca="1">_xll.BDP($E94,AB$3)</f>
        <v>99.655000000000001</v>
      </c>
      <c r="AC94" s="38">
        <f ca="1">ROUND(_xll.meLWOBondFRNPriceFromDiscountMargin(T94,U94,V94/10000,W94/100,X94/100,Y94/100),3)</f>
        <v>99.655000000000001</v>
      </c>
      <c r="AD94" s="8">
        <f t="shared" ca="1" si="14"/>
        <v>0</v>
      </c>
      <c r="AE94" s="8">
        <f t="shared" ca="1" si="18"/>
        <v>99.655000000000001</v>
      </c>
      <c r="AF94" s="8">
        <f t="shared" ca="1" si="16"/>
        <v>0</v>
      </c>
      <c r="AG94" s="35">
        <f ca="1">_xll.meLWOBondFRNPriceFromYield(T94,U94,AA94/100,W94/100,X94/100,Y94/100)</f>
        <v>99.65499934372798</v>
      </c>
      <c r="AH94" s="35">
        <f ca="1">100*_xll.meLWOBondFRNYieldFromPrice(T94,U94,AG94,W94/100,X94/100,Y94/100)</f>
        <v>9.0575999999990109E-2</v>
      </c>
      <c r="AI94" s="35">
        <f t="shared" ca="1" si="17"/>
        <v>9.8948627069717077E-15</v>
      </c>
      <c r="AJ94" s="40">
        <f ca="1">10000*_xll.meLWOBondFRNDiscountMarginFromPrice(T94,U94,AG94,W94/100,X94/100,Y94/100)</f>
        <v>40.157599999999015</v>
      </c>
      <c r="AK94" s="41">
        <f t="shared" ca="1" si="19"/>
        <v>1.7268672316106404E-5</v>
      </c>
    </row>
    <row r="95" spans="1:37" x14ac:dyDescent="0.25">
      <c r="A95" s="3" t="str">
        <f ca="1">_xll.BDP($E95,A$3)</f>
        <v>AR5462932</v>
      </c>
      <c r="B95" s="12" t="str">
        <f ca="1">_xll.BDP($E95,B$3)</f>
        <v>EUR</v>
      </c>
      <c r="C95" s="12" t="str">
        <f ca="1">_xll.BDP($E95,C$3)</f>
        <v>FR</v>
      </c>
      <c r="D95" s="18" t="s">
        <v>218</v>
      </c>
      <c r="E95" s="3" t="str">
        <f t="shared" si="12"/>
        <v>FR0013322146 CORP</v>
      </c>
      <c r="F95" s="12">
        <f ca="1">_xll.BDP($E95,F$3)</f>
        <v>21</v>
      </c>
      <c r="G95" s="12" t="str">
        <f ca="1">_xll.BDP($E95,G$3)</f>
        <v>N</v>
      </c>
      <c r="H95" s="12" t="str">
        <f ca="1">_xll.BDP($E95,H$3)</f>
        <v>N</v>
      </c>
      <c r="I95" s="3" t="str">
        <f ca="1">_xll.BDP($E95,I$3)</f>
        <v>RENAUL F 03/12/25 emtn</v>
      </c>
      <c r="J95" s="3" t="s">
        <v>111</v>
      </c>
      <c r="K95" s="3" t="str">
        <f ca="1">_xll.BDP($E95,K$3)</f>
        <v>12/03/2018</v>
      </c>
      <c r="L95" s="5">
        <f ca="1">DATEVALUE(_xll.BDP($E95,L$3))</f>
        <v>43446</v>
      </c>
      <c r="M95" s="17" t="str">
        <f t="shared" ca="1" si="15"/>
        <v/>
      </c>
      <c r="N95" s="3" t="str">
        <f ca="1">_xll.BDP($E95,N$3)</f>
        <v>12/03/2019</v>
      </c>
      <c r="O95" s="3" t="str">
        <f ca="1">_xll.BDP($E95,O$3)</f>
        <v>12/03/2025</v>
      </c>
      <c r="P95" s="2">
        <v>0</v>
      </c>
      <c r="Q95" s="24">
        <f ca="1">_xll.BDP($E95,Q$3)</f>
        <v>58</v>
      </c>
      <c r="R95" s="5">
        <f ca="1">DATEVALUE(_xll.BDP($E95,R$3))</f>
        <v>45728</v>
      </c>
      <c r="S95" s="3" t="str">
        <f ca="1">_xll.BDP($E95,S$3)</f>
        <v>CLEAN</v>
      </c>
      <c r="T95" s="3" t="str">
        <f ca="1">_xll.meLWOBondCreateFromGeneratorLVB(I95,D95,_xll.meUtilityLVBFromKeysValues($I$4:$R$4,I95:R95))</f>
        <v>RENAUL F 03/12/25 EMTN@179:14</v>
      </c>
      <c r="U95" s="23">
        <f t="shared" ca="1" si="13"/>
        <v>43454</v>
      </c>
      <c r="V95" s="8">
        <f ca="1">_xll.BDP($E95,V$3)</f>
        <v>185.91748604453801</v>
      </c>
      <c r="W95" s="8">
        <f ca="1">_xll.BDP($E95,W$3)</f>
        <v>-0.311</v>
      </c>
      <c r="X95" s="28">
        <f ca="1">_xll.BDP($E95,X$3)</f>
        <v>-0.31766666666666665</v>
      </c>
      <c r="Y95" s="28">
        <f ca="1">_xll.BDP($E95,Y$3)</f>
        <v>0.26600000000000001</v>
      </c>
      <c r="Z95" s="24">
        <f ca="1">_xll.BDP($E95,Z$3)</f>
        <v>58</v>
      </c>
      <c r="AA95" s="35">
        <f ca="1">_xll.BDP($E95,AA$3)</f>
        <v>1.5481750000000001</v>
      </c>
      <c r="AB95" s="8">
        <f ca="1">_xll.BDP($E95,AB$3)</f>
        <v>92.319000000000003</v>
      </c>
      <c r="AC95" s="38">
        <f ca="1">ROUND(_xll.meLWOBondFRNPriceFromDiscountMargin(T95,U95,V95/10000,W95/100,X95/100,Y95/100),3)</f>
        <v>92.319000000000003</v>
      </c>
      <c r="AD95" s="8">
        <f t="shared" ca="1" si="14"/>
        <v>0</v>
      </c>
      <c r="AE95" s="8">
        <f t="shared" ca="1" si="18"/>
        <v>92.319000000000003</v>
      </c>
      <c r="AF95" s="8">
        <f t="shared" ca="1" si="16"/>
        <v>0</v>
      </c>
      <c r="AG95" s="35">
        <f ca="1">_xll.meLWOBondFRNPriceFromYield(T95,U95,AA95/100,W95/100,X95/100,Y95/100)</f>
        <v>92.318999224926117</v>
      </c>
      <c r="AH95" s="35">
        <f ca="1">100*_xll.meLWOBondFRNYieldFromPrice(T95,U95,AG95,W95/100,X95/100,Y95/100)</f>
        <v>1.548175000000741</v>
      </c>
      <c r="AI95" s="35">
        <f t="shared" ca="1" si="17"/>
        <v>7.4096284663482948E-13</v>
      </c>
      <c r="AJ95" s="40">
        <f ca="1">10000*_xll.meLWOBondFRNDiscountMarginFromPrice(T95,U95,AG95,W95/100,X95/100,Y95/100)</f>
        <v>185.91750000007411</v>
      </c>
      <c r="AK95" s="41">
        <f t="shared" ca="1" si="19"/>
        <v>1.3955536104504063E-5</v>
      </c>
    </row>
    <row r="96" spans="1:37" x14ac:dyDescent="0.25">
      <c r="A96" s="3" t="str">
        <f ca="1">_xll.BDP($E96,A$3)</f>
        <v>AR8109225</v>
      </c>
      <c r="B96" s="12" t="str">
        <f ca="1">_xll.BDP($E96,B$3)</f>
        <v>EUR</v>
      </c>
      <c r="C96" s="12" t="str">
        <f ca="1">_xll.BDP($E96,C$3)</f>
        <v>US</v>
      </c>
      <c r="D96" s="18" t="s">
        <v>218</v>
      </c>
      <c r="E96" s="3" t="str">
        <f t="shared" si="12"/>
        <v>XS1792505197 CORP</v>
      </c>
      <c r="F96" s="12">
        <f ca="1">_xll.BDP($E96,F$3)</f>
        <v>21</v>
      </c>
      <c r="G96" s="12" t="str">
        <f ca="1">_xll.BDP($E96,G$3)</f>
        <v>N</v>
      </c>
      <c r="H96" s="12" t="str">
        <f ca="1">_xll.BDP($E96,H$3)</f>
        <v>N</v>
      </c>
      <c r="I96" s="3" t="str">
        <f ca="1">_xll.BDP($E96,I$3)</f>
        <v>GM F 03/26/22 EMTN</v>
      </c>
      <c r="J96" s="3" t="s">
        <v>112</v>
      </c>
      <c r="K96" s="3" t="str">
        <f ca="1">_xll.BDP($E96,K$3)</f>
        <v>26/03/2018</v>
      </c>
      <c r="L96" s="5">
        <f ca="1">DATEVALUE(_xll.BDP($E96,L$3))</f>
        <v>43369</v>
      </c>
      <c r="M96" s="17" t="str">
        <f t="shared" ca="1" si="15"/>
        <v/>
      </c>
      <c r="N96" s="3" t="str">
        <f ca="1">_xll.BDP($E96,N$3)</f>
        <v>26/12/2018</v>
      </c>
      <c r="O96" s="3" t="str">
        <f ca="1">_xll.BDP($E96,O$3)</f>
        <v>26/03/2022</v>
      </c>
      <c r="P96" s="2">
        <v>0</v>
      </c>
      <c r="Q96" s="24">
        <f ca="1">_xll.BDP($E96,Q$3)</f>
        <v>55</v>
      </c>
      <c r="R96" s="5">
        <f ca="1">DATEVALUE(_xll.BDP($E96,R$3))</f>
        <v>44646</v>
      </c>
      <c r="S96" s="3" t="str">
        <f ca="1">_xll.BDP($E96,S$3)</f>
        <v>CLEAN</v>
      </c>
      <c r="T96" s="3" t="str">
        <f ca="1">_xll.meLWOBondCreateFromGeneratorLVB(I96,D96,_xll.meUtilityLVBFromKeysValues($I$4:$R$4,I96:R96))</f>
        <v>GM F 03/26/22 EMTN@178:14</v>
      </c>
      <c r="U96" s="23">
        <f t="shared" ca="1" si="13"/>
        <v>43454</v>
      </c>
      <c r="V96" s="8">
        <f ca="1">_xll.BDP($E96,V$3)</f>
        <v>164.30826005301142</v>
      </c>
      <c r="W96" s="8">
        <f ca="1">_xll.BDP($E96,W$3)</f>
        <v>-0.311</v>
      </c>
      <c r="X96" s="28">
        <f ca="1">_xll.BDP($E96,X$3)</f>
        <v>-0.378</v>
      </c>
      <c r="Y96" s="28">
        <f ca="1">_xll.BDP($E96,Y$3)</f>
        <v>0.23099999999999998</v>
      </c>
      <c r="Z96" s="24">
        <f ca="1">_xll.BDP($E96,Z$3)</f>
        <v>55</v>
      </c>
      <c r="AA96" s="35">
        <f ca="1">_xll.BDP($E96,AA$3)</f>
        <v>1.3320829999999999</v>
      </c>
      <c r="AB96" s="8">
        <f ca="1">_xll.BDP($E96,AB$3)</f>
        <v>96.462999999999994</v>
      </c>
      <c r="AC96" s="38">
        <f ca="1">ROUND(_xll.meLWOBondFRNPriceFromDiscountMargin(T96,U96,V96/10000,W96/100,X96/100,Y96/100),3)</f>
        <v>96.46</v>
      </c>
      <c r="AD96" s="8">
        <f t="shared" ca="1" si="14"/>
        <v>3.0000000000001137E-3</v>
      </c>
      <c r="AE96" s="8">
        <f t="shared" ca="1" si="18"/>
        <v>96.46</v>
      </c>
      <c r="AF96" s="8">
        <f t="shared" ca="1" si="16"/>
        <v>3.0000000000001137E-3</v>
      </c>
      <c r="AG96" s="35">
        <f ca="1">_xll.meLWOBondFRNPriceFromYield(T96,U96,AA96/100,W96/100,X96/100,Y96/100)</f>
        <v>96.460249333405216</v>
      </c>
      <c r="AH96" s="35">
        <f ca="1">100*_xll.meLWOBondFRNYieldFromPrice(T96,U96,AG96,W96/100,X96/100,Y96/100)</f>
        <v>1.3320830000001509</v>
      </c>
      <c r="AI96" s="35">
        <f t="shared" ca="1" si="17"/>
        <v>1.5099033134902129E-13</v>
      </c>
      <c r="AJ96" s="40">
        <f ca="1">10000*_xll.meLWOBondFRNDiscountMarginFromPrice(T96,U96,AG96,W96/100,X96/100,Y96/100)</f>
        <v>164.30830000001507</v>
      </c>
      <c r="AK96" s="41">
        <f t="shared" ca="1" si="19"/>
        <v>3.99470036427374E-5</v>
      </c>
    </row>
    <row r="97" spans="1:40" x14ac:dyDescent="0.25">
      <c r="A97" s="3" t="str">
        <f ca="1">_xll.BDP($E97,A$3)</f>
        <v>AN2178027</v>
      </c>
      <c r="B97" s="12" t="str">
        <f ca="1">_xll.BDP($E97,B$3)</f>
        <v>EUR</v>
      </c>
      <c r="C97" s="12" t="str">
        <f ca="1">_xll.BDP($E97,C$3)</f>
        <v>SE</v>
      </c>
      <c r="D97" s="18" t="s">
        <v>218</v>
      </c>
      <c r="E97" s="3" t="str">
        <f t="shared" si="12"/>
        <v>XS1599109896 CORP</v>
      </c>
      <c r="F97" s="12">
        <f ca="1">_xll.BDP($E97,F$3)</f>
        <v>21</v>
      </c>
      <c r="G97" s="12" t="str">
        <f ca="1">_xll.BDP($E97,G$3)</f>
        <v>N</v>
      </c>
      <c r="H97" s="12" t="str">
        <f ca="1">_xll.BDP($E97,H$3)</f>
        <v>N</v>
      </c>
      <c r="I97" s="3" t="str">
        <f ca="1">_xll.BDP($E97,I$3)</f>
        <v>SCANIA F 04/20/20 EMTN</v>
      </c>
      <c r="J97" s="3" t="s">
        <v>113</v>
      </c>
      <c r="K97" s="3" t="str">
        <f ca="1">_xll.BDP($E97,K$3)</f>
        <v>20/04/2017</v>
      </c>
      <c r="L97" s="5">
        <f ca="1">DATEVALUE(_xll.BDP($E97,L$3))</f>
        <v>43395</v>
      </c>
      <c r="M97" s="17">
        <f t="shared" ca="1" si="15"/>
        <v>21</v>
      </c>
      <c r="N97" s="3" t="str">
        <f ca="1">_xll.BDP($E97,N$3)</f>
        <v>21/01/2019</v>
      </c>
      <c r="O97" s="3" t="str">
        <f ca="1">_xll.BDP($E97,O$3)</f>
        <v>20/04/2020</v>
      </c>
      <c r="P97" s="2">
        <v>0</v>
      </c>
      <c r="Q97" s="24">
        <f ca="1">_xll.BDP($E97,Q$3)</f>
        <v>40</v>
      </c>
      <c r="R97" s="5">
        <f ca="1">DATEVALUE(_xll.BDP($E97,R$3))</f>
        <v>43941</v>
      </c>
      <c r="S97" s="3" t="str">
        <f ca="1">_xll.BDP($E97,S$3)</f>
        <v>CLEAN</v>
      </c>
      <c r="T97" s="3" t="str">
        <f ca="1">_xll.meLWOBondCreateFromGeneratorLVB(I97,D97,_xll.meUtilityLVBFromKeysValues($I$4:$R$4,I97:R97))</f>
        <v>SCANIA F 04/20/20 EMTN@177:14</v>
      </c>
      <c r="U97" s="23">
        <f t="shared" ca="1" si="13"/>
        <v>43454</v>
      </c>
      <c r="V97" s="8">
        <f ca="1">_xll.BDP($E97,V$3)</f>
        <v>32.736025238215369</v>
      </c>
      <c r="W97" s="8">
        <f ca="1">_xll.BDP($E97,W$3)</f>
        <v>-0.311</v>
      </c>
      <c r="X97" s="28">
        <f ca="1">_xll.BDP($E97,X$3)</f>
        <v>-0.36680000000000001</v>
      </c>
      <c r="Y97" s="28">
        <f ca="1">_xll.BDP($E97,Y$3)</f>
        <v>8.3000000000000004E-2</v>
      </c>
      <c r="Z97" s="24">
        <f ca="1">_xll.BDP($E97,Z$3)</f>
        <v>40</v>
      </c>
      <c r="AA97" s="35">
        <f ca="1">_xll.BDP($E97,AA$3)</f>
        <v>1.636E-2</v>
      </c>
      <c r="AB97" s="8">
        <f ca="1">_xll.BDP($E97,AB$3)</f>
        <v>100.10299999999999</v>
      </c>
      <c r="AC97" s="38">
        <f ca="1">ROUND(_xll.meLWOBondFRNPriceFromDiscountMargin(T97,U97,V97/10000,W97/100,X97/100,Y97/100),3)</f>
        <v>100.10299999999999</v>
      </c>
      <c r="AD97" s="8">
        <f t="shared" ca="1" si="14"/>
        <v>0</v>
      </c>
      <c r="AE97" s="8">
        <f t="shared" ca="1" si="18"/>
        <v>100.10299999999999</v>
      </c>
      <c r="AF97" s="8">
        <f t="shared" ca="1" si="16"/>
        <v>0</v>
      </c>
      <c r="AG97" s="35">
        <f ca="1">_xll.meLWOBondFRNPriceFromYield(T97,U97,AA97/100,W97/100,X97/100,Y97/100)</f>
        <v>100.10300034269896</v>
      </c>
      <c r="AH97" s="35">
        <f ca="1">100*_xll.meLWOBondFRNYieldFromPrice(T97,U97,AG97,W97/100,X97/100,Y97/100)</f>
        <v>1.6360000000047076E-2</v>
      </c>
      <c r="AI97" s="35">
        <f t="shared" ca="1" si="17"/>
        <v>4.7076925691058591E-14</v>
      </c>
      <c r="AJ97" s="40">
        <f ca="1">10000*_xll.meLWOBondFRNDiscountMarginFromPrice(T97,U97,AG97,W97/100,X97/100,Y97/100)</f>
        <v>32.736000000004708</v>
      </c>
      <c r="AK97" s="41">
        <f t="shared" ca="1" si="19"/>
        <v>2.5238210660916138E-5</v>
      </c>
    </row>
    <row r="98" spans="1:40" x14ac:dyDescent="0.25">
      <c r="A98" s="3" t="str">
        <f ca="1">_xll.BDP($E98,A$3)</f>
        <v>AL4342070</v>
      </c>
      <c r="B98" s="12" t="str">
        <f ca="1">_xll.BDP($E98,B$3)</f>
        <v>EUR</v>
      </c>
      <c r="C98" s="12" t="str">
        <f ca="1">_xll.BDP($E98,C$3)</f>
        <v>FR</v>
      </c>
      <c r="D98" s="18" t="s">
        <v>218</v>
      </c>
      <c r="E98" s="3" t="str">
        <f t="shared" ref="E98:E125" si="20">J98&amp;" CORP"</f>
        <v>FR0013221652 CORP</v>
      </c>
      <c r="F98" s="12">
        <f ca="1">_xll.BDP($E98,F$3)</f>
        <v>21</v>
      </c>
      <c r="G98" s="12" t="str">
        <f ca="1">_xll.BDP($E98,G$3)</f>
        <v>N</v>
      </c>
      <c r="H98" s="12" t="str">
        <f ca="1">_xll.BDP($E98,H$3)</f>
        <v>N</v>
      </c>
      <c r="I98" s="3" t="str">
        <f ca="1">_xll.BDP($E98,I$3)</f>
        <v>RENAUL F 12/05/19 EMTN</v>
      </c>
      <c r="J98" s="3" t="s">
        <v>114</v>
      </c>
      <c r="K98" s="3" t="str">
        <f ca="1">_xll.BDP($E98,K$3)</f>
        <v>05/12/2016</v>
      </c>
      <c r="L98" s="5">
        <f ca="1">DATEVALUE(_xll.BDP($E98,L$3))</f>
        <v>43439</v>
      </c>
      <c r="M98" s="17" t="str">
        <f t="shared" ca="1" si="15"/>
        <v/>
      </c>
      <c r="N98" s="3" t="str">
        <f ca="1">_xll.BDP($E98,N$3)</f>
        <v>05/03/2019</v>
      </c>
      <c r="O98" s="3" t="str">
        <f ca="1">_xll.BDP($E98,O$3)</f>
        <v>05/12/2019</v>
      </c>
      <c r="P98" s="2">
        <v>0</v>
      </c>
      <c r="Q98" s="24">
        <f ca="1">_xll.BDP($E98,Q$3)</f>
        <v>55</v>
      </c>
      <c r="R98" s="5">
        <f ca="1">DATEVALUE(_xll.BDP($E98,R$3))</f>
        <v>43804</v>
      </c>
      <c r="S98" s="3" t="str">
        <f ca="1">_xll.BDP($E98,S$3)</f>
        <v>CLEAN</v>
      </c>
      <c r="T98" s="3" t="str">
        <f ca="1">_xll.meLWOBondCreateFromGeneratorLVB(I98,D98,_xll.meUtilityLVBFromKeysValues($I$4:$R$4,I98:R98))</f>
        <v>RENAUL F 12/05/19 EMTN@176:14</v>
      </c>
      <c r="U98" s="23">
        <f ca="1">$U$1</f>
        <v>43454</v>
      </c>
      <c r="V98" s="8">
        <f ca="1">_xll.BDP($E98,V$3)</f>
        <v>36.069388376421308</v>
      </c>
      <c r="W98" s="8">
        <f ca="1">_xll.BDP($E98,W$3)</f>
        <v>-0.311</v>
      </c>
      <c r="X98" s="28">
        <f ca="1">_xll.BDP($E98,X$3)</f>
        <v>-0.32350000000000001</v>
      </c>
      <c r="Y98" s="28">
        <f ca="1">_xll.BDP($E98,Y$3)</f>
        <v>0.23400000000000001</v>
      </c>
      <c r="Z98" s="24">
        <f ca="1">_xll.BDP($E98,Z$3)</f>
        <v>55</v>
      </c>
      <c r="AA98" s="35">
        <f ca="1">_xll.BDP($E98,AA$3)</f>
        <v>4.9694000000000002E-2</v>
      </c>
      <c r="AB98" s="8">
        <f ca="1">_xll.BDP($E98,AB$3)</f>
        <v>100.185</v>
      </c>
      <c r="AC98" s="38">
        <f ca="1">ROUND(_xll.meLWOBondFRNPriceFromDiscountMargin(T98,U98,V98/10000,W98/100,X98/100,Y98/100),3)</f>
        <v>100.185</v>
      </c>
      <c r="AD98" s="8">
        <f t="shared" ca="1" si="14"/>
        <v>0</v>
      </c>
      <c r="AE98" s="8">
        <f t="shared" ca="1" si="18"/>
        <v>100.185</v>
      </c>
      <c r="AF98" s="8">
        <f t="shared" ca="1" si="16"/>
        <v>0</v>
      </c>
      <c r="AG98" s="35">
        <f ca="1">_xll.meLWOBondFRNPriceFromYield(T98,U98,AA98/100,W98/100,X98/100,Y98/100)</f>
        <v>100.1849998872401</v>
      </c>
      <c r="AH98" s="35">
        <f ca="1">100*_xll.meLWOBondFRNYieldFromPrice(T98,U98,AG98,W98/100,X98/100,Y98/100)</f>
        <v>4.969400000005382E-2</v>
      </c>
      <c r="AI98" s="35">
        <f t="shared" ca="1" si="17"/>
        <v>5.3818061118704463E-14</v>
      </c>
      <c r="AJ98" s="40">
        <f ca="1">10000*_xll.meLWOBondFRNDiscountMarginFromPrice(T98,U98,AG98,W98/100,X98/100,Y98/100)</f>
        <v>36.06940000000538</v>
      </c>
      <c r="AK98" s="41">
        <f t="shared" ca="1" si="19"/>
        <v>1.1623584072140147E-5</v>
      </c>
    </row>
    <row r="99" spans="1:40" s="3" customFormat="1" x14ac:dyDescent="0.25">
      <c r="A99" s="3" t="str">
        <f ca="1">_xll.BDP($E99,A$3)</f>
        <v>AN4621396</v>
      </c>
      <c r="B99" s="12" t="str">
        <f ca="1">_xll.BDP($E99,B$3)</f>
        <v>EUR</v>
      </c>
      <c r="C99" s="12" t="str">
        <f ca="1">_xll.BDP($E99,C$3)</f>
        <v>DE</v>
      </c>
      <c r="D99" s="18" t="s">
        <v>218</v>
      </c>
      <c r="E99" s="3" t="str">
        <f t="shared" si="20"/>
        <v>DE000A19HBM3 CORP</v>
      </c>
      <c r="F99" s="12">
        <f ca="1">_xll.BDP($E99,F$3)</f>
        <v>21</v>
      </c>
      <c r="G99" s="12" t="str">
        <f ca="1">_xll.BDP($E99,G$3)</f>
        <v>N</v>
      </c>
      <c r="H99" s="12" t="str">
        <f ca="1">_xll.BDP($E99,H$3)</f>
        <v>N</v>
      </c>
      <c r="I99" s="3" t="str">
        <f ca="1">_xll.BDP($E99,I$3)</f>
        <v>DAIGR F 05/11/22 EMTN</v>
      </c>
      <c r="J99" s="3" t="s">
        <v>115</v>
      </c>
      <c r="K99" s="3" t="str">
        <f ca="1">_xll.BDP($E99,K$3)</f>
        <v>11/05/2017</v>
      </c>
      <c r="L99" s="5">
        <f ca="1">DATEVALUE(_xll.BDP($E99,L$3))</f>
        <v>43416</v>
      </c>
      <c r="M99" s="17">
        <v>11</v>
      </c>
      <c r="N99" s="3" t="str">
        <f ca="1">_xll.BDP($E99,N$3)</f>
        <v>11/02/2019</v>
      </c>
      <c r="O99" s="3" t="str">
        <f ca="1">_xll.BDP($E99,O$3)</f>
        <v>11/05/2022</v>
      </c>
      <c r="P99" s="2">
        <v>0</v>
      </c>
      <c r="Q99" s="24">
        <f ca="1">_xll.BDP($E99,Q$3)</f>
        <v>30</v>
      </c>
      <c r="R99" s="5">
        <f ca="1">DATEVALUE(_xll.BDP($E99,R$3))</f>
        <v>44692</v>
      </c>
      <c r="S99" s="3" t="str">
        <f ca="1">_xll.BDP($E99,S$3)</f>
        <v>CLEAN</v>
      </c>
      <c r="T99" s="3" t="str">
        <f ca="1">_xll.meLWOBondCreateFromGeneratorLVB(I99,D99,_xll.meUtilityLVBFromKeysValues($I$4:$R$4,I99:R99))</f>
        <v>DAIGR F 05/11/22 EMTN@175:14</v>
      </c>
      <c r="U99" s="23">
        <f ca="1">$U$1</f>
        <v>43454</v>
      </c>
      <c r="V99" s="8">
        <f ca="1">_xll.BDP($E99,V$3)</f>
        <v>62.541024847176985</v>
      </c>
      <c r="W99" s="8">
        <f ca="1">_xll.BDP($E99,W$3)</f>
        <v>-0.311</v>
      </c>
      <c r="X99" s="28">
        <f ca="1">_xll.BDP($E99,X$3)</f>
        <v>-0.34370000000000001</v>
      </c>
      <c r="Y99" s="28">
        <f ca="1">_xll.BDP($E99,Y$3)</f>
        <v>0</v>
      </c>
      <c r="Z99" s="24">
        <f ca="1">_xll.BDP($E99,Z$3)</f>
        <v>30</v>
      </c>
      <c r="AA99" s="35">
        <f ca="1">_xll.BDP($E99,AA$3)</f>
        <v>0.31441000000000002</v>
      </c>
      <c r="AB99" s="8">
        <f ca="1">_xll.BDP($E99,AB$3)</f>
        <v>98.927999999999997</v>
      </c>
      <c r="AC99" s="38">
        <f ca="1">ROUND(_xll.meLWOBondFRNPriceFromDiscountMargin(T99,U99,V99/10000,W99/100,X99/100,Y99/100),3)</f>
        <v>98.927999999999997</v>
      </c>
      <c r="AD99" s="8">
        <f t="shared" ca="1" si="14"/>
        <v>0</v>
      </c>
      <c r="AE99" s="8">
        <f t="shared" ca="1" si="18"/>
        <v>98.927999999999997</v>
      </c>
      <c r="AF99" s="8">
        <f t="shared" ca="1" si="16"/>
        <v>0</v>
      </c>
      <c r="AG99" s="35">
        <f ca="1">_xll.meLWOBondFRNPriceFromYield(T99,U99,AA99/100,W99/100,X99/100,Y99/100)</f>
        <v>98.928000881360873</v>
      </c>
      <c r="AH99" s="35">
        <f ca="1">100*_xll.meLWOBondFRNYieldFromPrice(T99,U99,AG99,W99/100,X99/100,Y99/100)</f>
        <v>0.314410000000023</v>
      </c>
      <c r="AI99" s="35">
        <f t="shared" ca="1" si="17"/>
        <v>2.298161660974074E-14</v>
      </c>
      <c r="AJ99" s="40">
        <f ca="1">10000*_xll.meLWOBondFRNDiscountMarginFromPrice(T99,U99,AG99,W99/100,X99/100,Y99/100)</f>
        <v>62.541000000002292</v>
      </c>
      <c r="AK99" s="41">
        <f t="shared" ca="1" si="19"/>
        <v>2.4847174692865792E-5</v>
      </c>
      <c r="AL99" s="8"/>
      <c r="AM99" s="8"/>
      <c r="AN99" s="8"/>
    </row>
    <row r="100" spans="1:40" x14ac:dyDescent="0.25">
      <c r="A100" s="3" t="str">
        <f ca="1">_xll.BDP($E100,A$3)</f>
        <v>AN0403807</v>
      </c>
      <c r="B100" s="12" t="str">
        <f ca="1">_xll.BDP($E100,B$3)</f>
        <v>EUR</v>
      </c>
      <c r="C100" s="12" t="str">
        <f ca="1">_xll.BDP($E100,C$3)</f>
        <v>GB</v>
      </c>
      <c r="D100" s="18" t="s">
        <v>218</v>
      </c>
      <c r="E100" s="3" t="str">
        <f t="shared" si="20"/>
        <v>XS1590503279 CORP</v>
      </c>
      <c r="F100" s="12">
        <f ca="1">_xll.BDP($E100,F$3)</f>
        <v>21</v>
      </c>
      <c r="G100" s="12" t="str">
        <f ca="1">_xll.BDP($E100,G$3)</f>
        <v>N</v>
      </c>
      <c r="H100" s="12" t="str">
        <f ca="1">_xll.BDP($E100,H$3)</f>
        <v>N</v>
      </c>
      <c r="I100" s="3" t="str">
        <f ca="1">_xll.BDP($E100,I$3)</f>
        <v>F F 08/26/20 EMTN</v>
      </c>
      <c r="J100" s="3" t="s">
        <v>116</v>
      </c>
      <c r="K100" s="3" t="str">
        <f ca="1">_xll.BDP($E100,K$3)</f>
        <v>31/03/2017</v>
      </c>
      <c r="L100" s="5">
        <f ca="1">DATEVALUE(_xll.BDP($E100,L$3))</f>
        <v>43430</v>
      </c>
      <c r="M100" s="17" t="str">
        <f t="shared" ca="1" si="15"/>
        <v/>
      </c>
      <c r="N100" s="3" t="str">
        <f ca="1">_xll.BDP($E100,N$3)</f>
        <v>26/02/2019</v>
      </c>
      <c r="O100" s="3" t="str">
        <f ca="1">_xll.BDP($E100,O$3)</f>
        <v>26/08/2020</v>
      </c>
      <c r="P100" s="2">
        <v>0</v>
      </c>
      <c r="Q100" s="24">
        <f ca="1">_xll.BDP($E100,Q$3)</f>
        <v>50</v>
      </c>
      <c r="R100" s="5">
        <f ca="1">DATEVALUE(_xll.BDP($E100,R$3))</f>
        <v>44069</v>
      </c>
      <c r="S100" s="3" t="str">
        <f ca="1">_xll.BDP($E100,S$3)</f>
        <v>CLEAN</v>
      </c>
      <c r="T100" s="3" t="str">
        <f ca="1">_xll.meLWOBondCreateFromGeneratorLVB(I100,D100,_xll.meUtilityLVBFromKeysValues($I$4:$R$4,I100:R100))</f>
        <v>F F 08/26/20 EMTN@174:14</v>
      </c>
      <c r="U100" s="23">
        <f t="shared" ref="U100:U128" ca="1" si="21">$U$1</f>
        <v>43454</v>
      </c>
      <c r="V100" s="8">
        <f ca="1">_xll.BDP($E100,V$3)</f>
        <v>149.12808477228177</v>
      </c>
      <c r="W100" s="8">
        <f ca="1">_xll.BDP($E100,W$3)</f>
        <v>-0.311</v>
      </c>
      <c r="X100" s="28">
        <f ca="1">_xll.BDP($E100,X$3)</f>
        <v>-0.32933333333333337</v>
      </c>
      <c r="Y100" s="28">
        <f ca="1">_xll.BDP($E100,Y$3)</f>
        <v>0.184</v>
      </c>
      <c r="Z100" s="24">
        <f ca="1">_xll.BDP($E100,Z$3)</f>
        <v>50</v>
      </c>
      <c r="AA100" s="35">
        <f ca="1">_xll.BDP($E100,AA$3)</f>
        <v>1.1802809999999999</v>
      </c>
      <c r="AB100" s="8">
        <f ca="1">_xll.BDP($E100,AB$3)</f>
        <v>98.325999999999993</v>
      </c>
      <c r="AC100" s="38">
        <f ca="1">ROUND(_xll.meLWOBondFRNPriceFromDiscountMargin(T100,U100,V100/10000,W100/100,X100/100,Y100/100),3)</f>
        <v>98.325999999999993</v>
      </c>
      <c r="AD100" s="8">
        <f t="shared" ca="1" si="14"/>
        <v>0</v>
      </c>
      <c r="AE100" s="8">
        <f t="shared" ca="1" si="18"/>
        <v>98.325999999999993</v>
      </c>
      <c r="AF100" s="8">
        <f t="shared" ca="1" si="16"/>
        <v>0</v>
      </c>
      <c r="AG100" s="35">
        <f ca="1">_xll.meLWOBondFRNPriceFromYield(T100,U100,AA100/100,W100/100,X100/100,Y100/100)</f>
        <v>98.325999860122479</v>
      </c>
      <c r="AH100" s="35">
        <f ca="1">100*_xll.meLWOBondFRNYieldFromPrice(T100,U100,AG100,W100/100,X100/100,Y100/100)</f>
        <v>1.1802810000000048</v>
      </c>
      <c r="AI100" s="35">
        <f t="shared" ca="1" si="17"/>
        <v>4.8849813083506888E-15</v>
      </c>
      <c r="AJ100" s="40">
        <f ca="1">10000*_xll.meLWOBondFRNDiscountMarginFromPrice(T100,U100,AG100,W100/100,X100/100,Y100/100)</f>
        <v>149.1281000000005</v>
      </c>
      <c r="AK100" s="41">
        <f t="shared" ca="1" si="19"/>
        <v>1.5227718733967777E-5</v>
      </c>
    </row>
    <row r="101" spans="1:40" x14ac:dyDescent="0.25">
      <c r="A101" s="3" t="str">
        <f ca="1">_xll.BDP($E101,A$3)</f>
        <v>EK6986781</v>
      </c>
      <c r="B101" s="12" t="str">
        <f ca="1">_xll.BDP($E101,B$3)</f>
        <v>EUR</v>
      </c>
      <c r="C101" s="12" t="str">
        <f ca="1">_xll.BDP($E101,C$3)</f>
        <v>US</v>
      </c>
      <c r="D101" s="18" t="s">
        <v>218</v>
      </c>
      <c r="E101" s="3" t="str">
        <f t="shared" si="20"/>
        <v>XS1171489476 CORP</v>
      </c>
      <c r="F101" s="12">
        <f ca="1">_xll.BDP($E101,F$3)</f>
        <v>21</v>
      </c>
      <c r="G101" s="12" t="str">
        <f ca="1">_xll.BDP($E101,G$3)</f>
        <v>N</v>
      </c>
      <c r="H101" s="12" t="str">
        <f ca="1">_xll.BDP($E101,H$3)</f>
        <v>N</v>
      </c>
      <c r="I101" s="3" t="str">
        <f ca="1">_xll.BDP($E101,I$3)</f>
        <v>TOYOTA F 07/20/18 EMTN</v>
      </c>
      <c r="J101" s="3" t="s">
        <v>117</v>
      </c>
      <c r="K101" s="3" t="str">
        <f ca="1">_xll.BDP($E101,K$3)</f>
        <v>21/01/2015</v>
      </c>
      <c r="L101" s="5">
        <f ca="1">DATEVALUE(_xll.BDP($E101,L$3))</f>
        <v>43210</v>
      </c>
      <c r="M101" s="17" t="e">
        <f t="shared" ca="1" si="15"/>
        <v>#VALUE!</v>
      </c>
      <c r="N101" s="3" t="str">
        <f ca="1">_xll.BDP($E101,N$3)</f>
        <v>#N/A Field Not Applicable</v>
      </c>
      <c r="O101" s="3" t="str">
        <f ca="1">_xll.BDP($E101,O$3)</f>
        <v>20/07/2018</v>
      </c>
      <c r="P101" s="2">
        <v>0</v>
      </c>
      <c r="Q101" s="24">
        <f ca="1">_xll.BDP($E101,Q$3)</f>
        <v>20</v>
      </c>
      <c r="R101" s="5">
        <f ca="1">DATEVALUE(_xll.BDP($E101,R$3))</f>
        <v>43301</v>
      </c>
      <c r="S101" s="3" t="str">
        <f ca="1">_xll.BDP($E101,S$3)</f>
        <v>CLEAN</v>
      </c>
      <c r="T101" s="3" t="str">
        <f ca="1">_xll.meLWOBondCreateFromGeneratorLVB(I101,D101,_xll.meUtilityLVBFromKeysValues($I$4:$R$4,I101:R101))</f>
        <v>#Error: Key #ERROR: KEYS AND VALUES ARE NOT THE SAME SIZE. is not an expected key.</v>
      </c>
      <c r="U101" s="23">
        <f t="shared" ca="1" si="21"/>
        <v>43454</v>
      </c>
      <c r="V101" s="8" t="str">
        <f ca="1">_xll.BDP($E101,V$3)</f>
        <v>#N/A N/A</v>
      </c>
      <c r="W101" s="8" t="str">
        <f ca="1">_xll.BDP($E101,W$3)</f>
        <v>#N/A N/A</v>
      </c>
      <c r="X101" s="28" t="str">
        <f ca="1">_xll.BDP($E101,X$3)</f>
        <v>#N/A N/A</v>
      </c>
      <c r="Y101" s="28">
        <f ca="1">_xll.BDP($E101,Y$3)</f>
        <v>0</v>
      </c>
      <c r="Z101" s="24">
        <f ca="1">_xll.BDP($E101,Z$3)</f>
        <v>20</v>
      </c>
      <c r="AA101" s="35" t="str">
        <f ca="1">_xll.BDP($E101,AA$3)</f>
        <v>#N/A N/A</v>
      </c>
      <c r="AB101" s="8" t="str">
        <f ca="1">_xll.BDP($E101,AB$3)</f>
        <v>#N/A N/A</v>
      </c>
      <c r="AC101" s="38" t="e">
        <f ca="1">ROUND(_xll.meLWOBondFRNPriceFromDiscountMargin(T101,U101,V101/10000,W101/100,X101/100,Y101/100),3)</f>
        <v>#VALUE!</v>
      </c>
      <c r="AD101" s="8" t="e">
        <f t="shared" ca="1" si="14"/>
        <v>#VALUE!</v>
      </c>
      <c r="AE101" s="8" t="e">
        <f t="shared" ca="1" si="18"/>
        <v>#VALUE!</v>
      </c>
      <c r="AF101" s="8" t="e">
        <f t="shared" ca="1" si="16"/>
        <v>#VALUE!</v>
      </c>
      <c r="AG101" s="35" t="e">
        <f ca="1">_xll.meLWOBondFRNPriceFromYield(T101,U101,AA101/100,W101/100,X101/100,Y101/100)</f>
        <v>#VALUE!</v>
      </c>
      <c r="AH101" s="35" t="e">
        <f ca="1">100*_xll.meLWOBondFRNYieldFromPrice(T101,U101,AG101,W101/100,X101/100,Y101/100)</f>
        <v>#VALUE!</v>
      </c>
      <c r="AI101" s="35" t="e">
        <f t="shared" ref="AI101:AI129" ca="1" si="22">ABS(AH101-AA101)</f>
        <v>#VALUE!</v>
      </c>
      <c r="AJ101" s="40" t="e">
        <f ca="1">10000*_xll.meLWOBondFRNDiscountMarginFromPrice(T101,U101,AG101,W101/100,X101/100,Y101/100)</f>
        <v>#VALUE!</v>
      </c>
      <c r="AK101" s="41" t="e">
        <f t="shared" ca="1" si="19"/>
        <v>#VALUE!</v>
      </c>
    </row>
    <row r="102" spans="1:40" x14ac:dyDescent="0.25">
      <c r="A102" s="3" t="str">
        <f ca="1">_xll.BDP($E102,A$3)</f>
        <v>AS5803307</v>
      </c>
      <c r="B102" s="12" t="str">
        <f ca="1">_xll.BDP($E102,B$3)</f>
        <v>EUR</v>
      </c>
      <c r="C102" s="12" t="str">
        <f ca="1">_xll.BDP($E102,C$3)</f>
        <v>US</v>
      </c>
      <c r="D102" s="18" t="s">
        <v>218</v>
      </c>
      <c r="E102" s="3" t="str">
        <f t="shared" si="20"/>
        <v>XS1821814982 CORP</v>
      </c>
      <c r="F102" s="12">
        <f ca="1">_xll.BDP($E102,F$3)</f>
        <v>21</v>
      </c>
      <c r="G102" s="12" t="str">
        <f ca="1">_xll.BDP($E102,G$3)</f>
        <v>N</v>
      </c>
      <c r="H102" s="12" t="str">
        <f ca="1">_xll.BDP($E102,H$3)</f>
        <v>N</v>
      </c>
      <c r="I102" s="3" t="str">
        <f ca="1">_xll.BDP($E102,I$3)</f>
        <v>F F 11/15/23 EMTN</v>
      </c>
      <c r="J102" s="3" t="s">
        <v>118</v>
      </c>
      <c r="K102" s="3" t="str">
        <f ca="1">_xll.BDP($E102,K$3)</f>
        <v>15/05/2018</v>
      </c>
      <c r="L102" s="5">
        <f ca="1">DATEVALUE(_xll.BDP($E102,L$3))</f>
        <v>43419</v>
      </c>
      <c r="M102" s="17" t="str">
        <f t="shared" ca="1" si="15"/>
        <v/>
      </c>
      <c r="N102" s="3" t="str">
        <f ca="1">_xll.BDP($E102,N$3)</f>
        <v>15/02/2019</v>
      </c>
      <c r="O102" s="3" t="str">
        <f ca="1">_xll.BDP($E102,O$3)</f>
        <v>15/11/2023</v>
      </c>
      <c r="P102" s="2">
        <v>0</v>
      </c>
      <c r="Q102" s="24">
        <f ca="1">_xll.BDP($E102,Q$3)</f>
        <v>73</v>
      </c>
      <c r="R102" s="5">
        <f ca="1">DATEVALUE(_xll.BDP($E102,R$3))</f>
        <v>45245</v>
      </c>
      <c r="S102" s="3" t="str">
        <f ca="1">_xll.BDP($E102,S$3)</f>
        <v>CLEAN</v>
      </c>
      <c r="T102" s="3" t="str">
        <f ca="1">_xll.meLWOBondCreateFromGeneratorLVB(I102,D102,_xll.meUtilityLVBFromKeysValues($I$4:$R$4,I102:R102))</f>
        <v>F F 11/15/23 EMTN@172:14</v>
      </c>
      <c r="U102" s="23">
        <f t="shared" ca="1" si="21"/>
        <v>43454</v>
      </c>
      <c r="V102" s="8">
        <f ca="1">_xll.BDP($E102,V$3)</f>
        <v>305.50483546460464</v>
      </c>
      <c r="W102" s="8">
        <f ca="1">_xll.BDP($E102,W$3)</f>
        <v>-0.311</v>
      </c>
      <c r="X102" s="28">
        <f ca="1">_xll.BDP($E102,X$3)</f>
        <v>-0.33929999999999999</v>
      </c>
      <c r="Y102" s="28">
        <f ca="1">_xll.BDP($E102,Y$3)</f>
        <v>0.41399999999999998</v>
      </c>
      <c r="Z102" s="24">
        <f ca="1">_xll.BDP($E102,Z$3)</f>
        <v>73</v>
      </c>
      <c r="AA102" s="35">
        <f ca="1">_xll.BDP($E102,AA$3)</f>
        <v>2.7440480000000003</v>
      </c>
      <c r="AB102" s="8">
        <f ca="1">_xll.BDP($E102,AB$3)</f>
        <v>89.22</v>
      </c>
      <c r="AC102" s="38">
        <f ca="1">ROUND(_xll.meLWOBondFRNPriceFromDiscountMargin(T102,U102,V102/10000,W102/100,X102/100,Y102/100),3)</f>
        <v>89.22</v>
      </c>
      <c r="AD102" s="8">
        <f t="shared" ca="1" si="14"/>
        <v>0</v>
      </c>
      <c r="AE102" s="8">
        <f t="shared" ca="1" si="18"/>
        <v>89.22</v>
      </c>
      <c r="AF102" s="8">
        <f t="shared" ca="1" si="16"/>
        <v>0</v>
      </c>
      <c r="AG102" s="35">
        <f ca="1">_xll.meLWOBondFRNPriceFromYield(T102,U102,AA102/100,W102/100,X102/100,Y102/100)</f>
        <v>89.220001765260619</v>
      </c>
      <c r="AH102" s="35">
        <f ca="1">100*_xll.meLWOBondFRNYieldFromPrice(T102,U102,AG102,W102/100,X102/100,Y102/100)</f>
        <v>2.7440480000006664</v>
      </c>
      <c r="AI102" s="35">
        <f t="shared" ca="1" si="22"/>
        <v>6.6613381477509392E-13</v>
      </c>
      <c r="AJ102" s="40">
        <f ca="1">10000*_xll.meLWOBondFRNDiscountMarginFromPrice(T102,U102,AG102,W102/100,X102/100,Y102/100)</f>
        <v>305.50480000006667</v>
      </c>
      <c r="AK102" s="41">
        <f t="shared" ca="1" si="19"/>
        <v>3.5464537972984544E-5</v>
      </c>
    </row>
    <row r="103" spans="1:40" x14ac:dyDescent="0.25">
      <c r="A103" s="3" t="str">
        <f ca="1">_xll.BDP($E103,A$3)</f>
        <v>JK3966690</v>
      </c>
      <c r="B103" s="12" t="str">
        <f ca="1">_xll.BDP($E103,B$3)</f>
        <v>EUR</v>
      </c>
      <c r="C103" s="12" t="str">
        <f ca="1">_xll.BDP($E103,C$3)</f>
        <v>FR</v>
      </c>
      <c r="D103" s="18" t="s">
        <v>218</v>
      </c>
      <c r="E103" s="3" t="str">
        <f t="shared" si="20"/>
        <v>FR0013136330 CORP</v>
      </c>
      <c r="F103" s="12">
        <f ca="1">_xll.BDP($E103,F$3)</f>
        <v>21</v>
      </c>
      <c r="G103" s="12" t="str">
        <f ca="1">_xll.BDP($E103,G$3)</f>
        <v>N</v>
      </c>
      <c r="H103" s="12" t="str">
        <f ca="1">_xll.BDP($E103,H$3)</f>
        <v>N</v>
      </c>
      <c r="I103" s="3" t="str">
        <f ca="1">_xll.BDP($E103,I$3)</f>
        <v>RENAUL F 03/18/19 EMTN</v>
      </c>
      <c r="J103" s="3" t="s">
        <v>119</v>
      </c>
      <c r="K103" s="3" t="str">
        <f ca="1">_xll.BDP($E103,K$3)</f>
        <v>18/03/2016</v>
      </c>
      <c r="L103" s="5">
        <f ca="1">DATEVALUE(_xll.BDP($E103,L$3))</f>
        <v>43452</v>
      </c>
      <c r="M103" s="17" t="str">
        <f t="shared" ca="1" si="15"/>
        <v/>
      </c>
      <c r="N103" s="3" t="str">
        <f ca="1">_xll.BDP($E103,N$3)</f>
        <v>18/03/2019</v>
      </c>
      <c r="O103" s="3" t="str">
        <f ca="1">_xll.BDP($E103,O$3)</f>
        <v>18/03/2019</v>
      </c>
      <c r="P103" s="2">
        <v>0</v>
      </c>
      <c r="Q103" s="24">
        <f ca="1">_xll.BDP($E103,Q$3)</f>
        <v>100</v>
      </c>
      <c r="R103" s="5">
        <f ca="1">DATEVALUE(_xll.BDP($E103,R$3))</f>
        <v>43542</v>
      </c>
      <c r="S103" s="3" t="str">
        <f ca="1">_xll.BDP($E103,S$3)</f>
        <v>CLEAN</v>
      </c>
      <c r="T103" s="3" t="str">
        <f ca="1">_xll.meLWOBondCreateFromGeneratorLVB(I103,D103,_xll.meUtilityLVBFromKeysValues($I$4:$R$4,I103:R103))</f>
        <v>RENAUL F 03/18/19 EMTN@171:14</v>
      </c>
      <c r="U103" s="23">
        <f t="shared" ca="1" si="21"/>
        <v>43454</v>
      </c>
      <c r="V103" s="8">
        <f ca="1">_xll.BDP($E103,V$3)</f>
        <v>5.7266417396540312</v>
      </c>
      <c r="W103" s="8">
        <f ca="1">_xll.BDP($E103,W$3)</f>
        <v>-0.311</v>
      </c>
      <c r="X103" s="28">
        <f ca="1">_xll.BDP($E103,X$3)</f>
        <v>-0.31266666666666665</v>
      </c>
      <c r="Y103" s="28">
        <f ca="1">_xll.BDP($E103,Y$3)</f>
        <v>0.68899999999999995</v>
      </c>
      <c r="Z103" s="24">
        <f ca="1">_xll.BDP($E103,Z$3)</f>
        <v>100</v>
      </c>
      <c r="AA103" s="35">
        <f ca="1">_xll.BDP($E103,AA$3)</f>
        <v>-0.25540000000000002</v>
      </c>
      <c r="AB103" s="8">
        <f ca="1">_xll.BDP($E103,AB$3)</f>
        <v>100.23099999999999</v>
      </c>
      <c r="AC103" s="38">
        <f ca="1">ROUND(_xll.meLWOBondFRNPriceFromDiscountMargin(T103,U103,V103/10000,W103/100,X103/100,Y103/100),3)</f>
        <v>100.23099999999999</v>
      </c>
      <c r="AD103" s="8">
        <f t="shared" ca="1" si="14"/>
        <v>0</v>
      </c>
      <c r="AE103" s="8">
        <f t="shared" ca="1" si="18"/>
        <v>100.23099999999999</v>
      </c>
      <c r="AF103" s="8">
        <f t="shared" ca="1" si="16"/>
        <v>0</v>
      </c>
      <c r="AG103" s="35">
        <f ca="1">_xll.meLWOBondFRNPriceFromYield(T103,U103,AA103/100,W103/100,X103/100,Y103/100)</f>
        <v>100.23099993888604</v>
      </c>
      <c r="AH103" s="35">
        <f ca="1">100*_xll.meLWOBondFRNYieldFromPrice(T103,U103,AG103,W103/100,X103/100,Y103/100)</f>
        <v>-0.25540000000004437</v>
      </c>
      <c r="AI103" s="35">
        <f t="shared" ca="1" si="22"/>
        <v>4.4353409833775004E-14</v>
      </c>
      <c r="AJ103" s="40">
        <f ca="1">10000*_xll.meLWOBondFRNDiscountMarginFromPrice(T103,U103,AG103,W103/100,X103/100,Y103/100)</f>
        <v>5.7266666666622301</v>
      </c>
      <c r="AK103" s="41">
        <f t="shared" ca="1" si="19"/>
        <v>2.492700819889393E-5</v>
      </c>
    </row>
    <row r="104" spans="1:40" x14ac:dyDescent="0.25">
      <c r="A104" s="3" t="str">
        <f ca="1">_xll.BDP($E104,A$3)</f>
        <v>AM6605472</v>
      </c>
      <c r="B104" s="12" t="str">
        <f ca="1">_xll.BDP($E104,B$3)</f>
        <v>EUR</v>
      </c>
      <c r="C104" s="12" t="str">
        <f ca="1">_xll.BDP($E104,C$3)</f>
        <v>US</v>
      </c>
      <c r="D104" s="18" t="s">
        <v>218</v>
      </c>
      <c r="E104" s="3" t="str">
        <f t="shared" si="20"/>
        <v>XS1574667124 CORP</v>
      </c>
      <c r="F104" s="12">
        <f ca="1">_xll.BDP($E104,F$3)</f>
        <v>21</v>
      </c>
      <c r="G104" s="12" t="str">
        <f ca="1">_xll.BDP($E104,G$3)</f>
        <v>N</v>
      </c>
      <c r="H104" s="12" t="str">
        <f ca="1">_xll.BDP($E104,H$3)</f>
        <v>N</v>
      </c>
      <c r="I104" s="3" t="str">
        <f ca="1">_xll.BDP($E104,I$3)</f>
        <v>KO F 03/08/19</v>
      </c>
      <c r="J104" s="3" t="s">
        <v>120</v>
      </c>
      <c r="K104" s="3" t="str">
        <f ca="1">_xll.BDP($E104,K$3)</f>
        <v>09/03/2017</v>
      </c>
      <c r="L104" s="5">
        <f ca="1">DATEVALUE(_xll.BDP($E104,L$3))</f>
        <v>43444</v>
      </c>
      <c r="M104" s="17" t="str">
        <f t="shared" ca="1" si="15"/>
        <v/>
      </c>
      <c r="N104" s="3" t="str">
        <f ca="1">_xll.BDP($E104,N$3)</f>
        <v>08/03/2019</v>
      </c>
      <c r="O104" s="3" t="str">
        <f ca="1">_xll.BDP($E104,O$3)</f>
        <v>08/03/2019</v>
      </c>
      <c r="P104" s="2">
        <v>0</v>
      </c>
      <c r="Q104" s="24">
        <f ca="1">_xll.BDP($E104,Q$3)</f>
        <v>25</v>
      </c>
      <c r="R104" s="5">
        <f ca="1">DATEVALUE(_xll.BDP($E104,R$3))</f>
        <v>43532</v>
      </c>
      <c r="S104" s="3" t="str">
        <f ca="1">_xll.BDP($E104,S$3)</f>
        <v>CLEAN</v>
      </c>
      <c r="T104" s="3" t="str">
        <f ca="1">_xll.meLWOBondCreateFromGeneratorLVB(I104,D104,_xll.meUtilityLVBFromKeysValues($I$4:$R$4,I104:R104))</f>
        <v>KO F 03/08/19@170:14</v>
      </c>
      <c r="U104" s="23">
        <f t="shared" ca="1" si="21"/>
        <v>43454</v>
      </c>
      <c r="V104" s="8">
        <f ca="1">_xll.BDP($E104,V$3)</f>
        <v>-5.254358354348458</v>
      </c>
      <c r="W104" s="8">
        <f ca="1">_xll.BDP($E104,W$3)</f>
        <v>-0.311</v>
      </c>
      <c r="X104" s="28">
        <f ca="1">_xll.BDP($E104,X$3)</f>
        <v>-0.32100000000000001</v>
      </c>
      <c r="Y104" s="28">
        <f ca="1">_xll.BDP($E104,Y$3)</f>
        <v>0</v>
      </c>
      <c r="Z104" s="24">
        <f ca="1">_xll.BDP($E104,Z$3)</f>
        <v>25</v>
      </c>
      <c r="AA104" s="35">
        <f ca="1">_xll.BDP($E104,AA$3)</f>
        <v>-0.37354399999999999</v>
      </c>
      <c r="AB104" s="8">
        <f ca="1">_xll.BDP($E104,AB$3)</f>
        <v>100.081</v>
      </c>
      <c r="AC104" s="38">
        <f ca="1">ROUND(_xll.meLWOBondFRNPriceFromDiscountMargin(T104,U104,V104/10000,W104/100,X104/100,Y104/100),3)</f>
        <v>100.081</v>
      </c>
      <c r="AD104" s="8">
        <f t="shared" ca="1" si="14"/>
        <v>0</v>
      </c>
      <c r="AE104" s="8">
        <f t="shared" ca="1" si="18"/>
        <v>100.081</v>
      </c>
      <c r="AF104" s="8">
        <f t="shared" ca="1" si="16"/>
        <v>0</v>
      </c>
      <c r="AG104" s="35">
        <f ca="1">_xll.meLWOBondFRNPriceFromYield(T104,U104,AA104/100,W104/100,X104/100,Y104/100)</f>
        <v>100.08100009037848</v>
      </c>
      <c r="AH104" s="35">
        <f ca="1">100*_xll.meLWOBondFRNYieldFromPrice(T104,U104,AG104,W104/100,X104/100,Y104/100)</f>
        <v>-0.37354400000001736</v>
      </c>
      <c r="AI104" s="35">
        <f t="shared" ca="1" si="22"/>
        <v>1.73749903353837E-14</v>
      </c>
      <c r="AJ104" s="40">
        <f ca="1">10000*_xll.meLWOBondFRNDiscountMarginFromPrice(T104,U104,AG104,W104/100,X104/100,Y104/100)</f>
        <v>-5.2544000000017332</v>
      </c>
      <c r="AK104" s="41">
        <f t="shared" ca="1" si="19"/>
        <v>4.1645653275246275E-5</v>
      </c>
    </row>
    <row r="105" spans="1:40" x14ac:dyDescent="0.25">
      <c r="A105" s="3" t="str">
        <f ca="1">_xll.BDP($E105,A$3)</f>
        <v>EK9217085</v>
      </c>
      <c r="B105" s="12" t="str">
        <f ca="1">_xll.BDP($E105,B$3)</f>
        <v>EUR</v>
      </c>
      <c r="C105" s="12" t="str">
        <f ca="1">_xll.BDP($E105,C$3)</f>
        <v>US</v>
      </c>
      <c r="D105" s="18" t="s">
        <v>218</v>
      </c>
      <c r="E105" s="3" t="str">
        <f t="shared" si="20"/>
        <v>XS1237187718 CORP</v>
      </c>
      <c r="F105" s="12">
        <f ca="1">_xll.BDP($E105,F$3)</f>
        <v>21</v>
      </c>
      <c r="G105" s="12" t="str">
        <f ca="1">_xll.BDP($E105,G$3)</f>
        <v>N</v>
      </c>
      <c r="H105" s="12" t="str">
        <f ca="1">_xll.BDP($E105,H$3)</f>
        <v>N</v>
      </c>
      <c r="I105" s="3" t="str">
        <f ca="1">_xll.BDP($E105,I$3)</f>
        <v>MCD F 08/26/19 GMTN</v>
      </c>
      <c r="J105" s="3" t="s">
        <v>121</v>
      </c>
      <c r="K105" s="3" t="str">
        <f ca="1">_xll.BDP($E105,K$3)</f>
        <v>26/05/2015</v>
      </c>
      <c r="L105" s="5">
        <f ca="1">DATEVALUE(_xll.BDP($E105,L$3))</f>
        <v>43430</v>
      </c>
      <c r="M105" s="17" t="str">
        <f t="shared" ca="1" si="15"/>
        <v/>
      </c>
      <c r="N105" s="3" t="str">
        <f ca="1">_xll.BDP($E105,N$3)</f>
        <v>26/02/2019</v>
      </c>
      <c r="O105" s="3" t="str">
        <f ca="1">_xll.BDP($E105,O$3)</f>
        <v>26/08/2019</v>
      </c>
      <c r="P105" s="2">
        <v>0</v>
      </c>
      <c r="Q105" s="24">
        <f ca="1">_xll.BDP($E105,Q$3)</f>
        <v>30</v>
      </c>
      <c r="R105" s="5">
        <f ca="1">DATEVALUE(_xll.BDP($E105,R$3))</f>
        <v>43703</v>
      </c>
      <c r="S105" s="3" t="str">
        <f ca="1">_xll.BDP($E105,S$3)</f>
        <v>CLEAN</v>
      </c>
      <c r="T105" s="3" t="str">
        <f ca="1">_xll.meLWOBondCreateFromGeneratorLVB(I105,D105,_xll.meUtilityLVBFromKeysValues($I$4:$R$4,I105:R105))</f>
        <v>MCD F 08/26/19 GMTN@169:14</v>
      </c>
      <c r="U105" s="23">
        <f t="shared" ca="1" si="21"/>
        <v>43454</v>
      </c>
      <c r="V105" s="8">
        <f ca="1">_xll.BDP($E105,V$3)</f>
        <v>10.07285617440531</v>
      </c>
      <c r="W105" s="8">
        <f ca="1">_xll.BDP($E105,W$3)</f>
        <v>-0.311</v>
      </c>
      <c r="X105" s="28">
        <f ca="1">_xll.BDP($E105,X$3)</f>
        <v>-0.32933333333333337</v>
      </c>
      <c r="Y105" s="28">
        <f ca="1">_xll.BDP($E105,Y$3)</f>
        <v>0</v>
      </c>
      <c r="Z105" s="24">
        <f ca="1">_xll.BDP($E105,Z$3)</f>
        <v>30</v>
      </c>
      <c r="AA105" s="35">
        <f ca="1">_xll.BDP($E105,AA$3)</f>
        <v>-0.21027100000000001</v>
      </c>
      <c r="AB105" s="8">
        <f ca="1">_xll.BDP($E105,AB$3)</f>
        <v>100.15</v>
      </c>
      <c r="AC105" s="38">
        <f ca="1">ROUND(_xll.meLWOBondFRNPriceFromDiscountMargin(T105,U105,V105/10000,W105/100,X105/100,Y105/100),3)</f>
        <v>100.15</v>
      </c>
      <c r="AD105" s="8">
        <f t="shared" ca="1" si="14"/>
        <v>0</v>
      </c>
      <c r="AE105" s="8">
        <f t="shared" ca="1" si="18"/>
        <v>100.15</v>
      </c>
      <c r="AF105" s="8">
        <f t="shared" ca="1" si="16"/>
        <v>0</v>
      </c>
      <c r="AG105" s="35">
        <f ca="1">_xll.meLWOBondFRNPriceFromYield(T105,U105,AA105/100,W105/100,X105/100,Y105/100)</f>
        <v>100.14999971301788</v>
      </c>
      <c r="AH105" s="35">
        <f ca="1">100*_xll.meLWOBondFRNYieldFromPrice(T105,U105,AG105,W105/100,X105/100,Y105/100)</f>
        <v>-0.2102709999999387</v>
      </c>
      <c r="AI105" s="35">
        <f t="shared" ca="1" si="22"/>
        <v>6.131206653492427E-14</v>
      </c>
      <c r="AJ105" s="40">
        <f ca="1">10000*_xll.meLWOBondFRNDiscountMarginFromPrice(T105,U105,AG105,W105/100,X105/100,Y105/100)</f>
        <v>10.072900000006129</v>
      </c>
      <c r="AK105" s="41">
        <f t="shared" ca="1" si="19"/>
        <v>4.3825600819502597E-5</v>
      </c>
    </row>
    <row r="106" spans="1:40" x14ac:dyDescent="0.25">
      <c r="A106" s="3" t="str">
        <f ca="1">_xll.BDP($E106,A$3)</f>
        <v>AQ7116546</v>
      </c>
      <c r="B106" s="12" t="str">
        <f ca="1">_xll.BDP($E106,B$3)</f>
        <v>EUR</v>
      </c>
      <c r="C106" s="12" t="str">
        <f ca="1">_xll.BDP($E106,C$3)</f>
        <v>IT</v>
      </c>
      <c r="D106" s="18" t="s">
        <v>218</v>
      </c>
      <c r="E106" s="3" t="str">
        <f t="shared" si="20"/>
        <v>XS1753030490 CORP</v>
      </c>
      <c r="F106" s="12">
        <f ca="1">_xll.BDP($E106,F$3)</f>
        <v>21</v>
      </c>
      <c r="G106" s="12" t="str">
        <f ca="1">_xll.BDP($E106,G$3)</f>
        <v>N</v>
      </c>
      <c r="H106" s="12" t="str">
        <f ca="1">_xll.BDP($E106,H$3)</f>
        <v>N</v>
      </c>
      <c r="I106" s="3" t="str">
        <f ca="1">_xll.BDP($E106,I$3)</f>
        <v>FCABNK F 06/17/21 EMTN</v>
      </c>
      <c r="J106" s="3" t="s">
        <v>122</v>
      </c>
      <c r="K106" s="3" t="str">
        <f ca="1">_xll.BDP($E106,K$3)</f>
        <v>17/01/2018</v>
      </c>
      <c r="L106" s="5">
        <f ca="1">DATEVALUE(_xll.BDP($E106,L$3))</f>
        <v>43451</v>
      </c>
      <c r="M106" s="17">
        <f t="shared" ca="1" si="15"/>
        <v>18</v>
      </c>
      <c r="N106" s="3" t="str">
        <f ca="1">_xll.BDP($E106,N$3)</f>
        <v>18/03/2019</v>
      </c>
      <c r="O106" s="3" t="str">
        <f ca="1">_xll.BDP($E106,O$3)</f>
        <v>17/06/2021</v>
      </c>
      <c r="P106" s="2">
        <v>0</v>
      </c>
      <c r="Q106" s="24">
        <f ca="1">_xll.BDP($E106,Q$3)</f>
        <v>33</v>
      </c>
      <c r="R106" s="5">
        <f ca="1">DATEVALUE(_xll.BDP($E106,R$3))</f>
        <v>44364</v>
      </c>
      <c r="S106" s="3" t="str">
        <f ca="1">_xll.BDP($E106,S$3)</f>
        <v>CLEAN</v>
      </c>
      <c r="T106" s="3" t="str">
        <f ca="1">_xll.meLWOBondCreateFromGeneratorLVB(I106,D106,_xll.meUtilityLVBFromKeysValues($I$4:$R$4,I106:R106))</f>
        <v>FCABNK F 06/17/21 EMTN@168:14</v>
      </c>
      <c r="U106" s="23">
        <f t="shared" ca="1" si="21"/>
        <v>43454</v>
      </c>
      <c r="V106" s="8">
        <f ca="1">_xll.BDP($E106,V$3)</f>
        <v>146.47703036255081</v>
      </c>
      <c r="W106" s="8">
        <f ca="1">_xll.BDP($E106,W$3)</f>
        <v>-0.311</v>
      </c>
      <c r="X106" s="28">
        <f ca="1">_xll.BDP($E106,X$3)</f>
        <v>-0.31266666666666665</v>
      </c>
      <c r="Y106" s="28">
        <f ca="1">_xll.BDP($E106,Y$3)</f>
        <v>1.9000000000000003E-2</v>
      </c>
      <c r="Z106" s="24">
        <f ca="1">_xll.BDP($E106,Z$3)</f>
        <v>33</v>
      </c>
      <c r="AA106" s="35">
        <f ca="1">_xll.BDP($E106,AA$3)</f>
        <v>1.15377</v>
      </c>
      <c r="AB106" s="8">
        <f ca="1">_xll.BDP($E106,AB$3)</f>
        <v>97.177999999999997</v>
      </c>
      <c r="AC106" s="38">
        <f ca="1">ROUND(_xll.meLWOBondFRNPriceFromDiscountMargin(T106,U106,V106/10000,W106/100,X106/100,Y106/100),3)</f>
        <v>97.177999999999997</v>
      </c>
      <c r="AD106" s="8">
        <f t="shared" ca="1" si="14"/>
        <v>0</v>
      </c>
      <c r="AE106" s="8">
        <f t="shared" ca="1" si="18"/>
        <v>97.177999999999997</v>
      </c>
      <c r="AF106" s="8">
        <f t="shared" ca="1" si="16"/>
        <v>0</v>
      </c>
      <c r="AG106" s="35">
        <f ca="1">_xll.meLWOBondFRNPriceFromYield(T106,U106,AA106/100,W106/100,X106/100,Y106/100)</f>
        <v>97.17800074335895</v>
      </c>
      <c r="AH106" s="35">
        <f ca="1">100*_xll.meLWOBondFRNYieldFromPrice(T106,U106,AG106,W106/100,X106/100,Y106/100)</f>
        <v>1.1537700000002635</v>
      </c>
      <c r="AI106" s="35">
        <f t="shared" ca="1" si="22"/>
        <v>2.6356694604601216E-13</v>
      </c>
      <c r="AJ106" s="40">
        <f ca="1">10000*_xll.meLWOBondFRNDiscountMarginFromPrice(T106,U106,AG106,W106/100,X106/100,Y106/100)</f>
        <v>146.47700000002635</v>
      </c>
      <c r="AK106" s="41">
        <f t="shared" ca="1" si="19"/>
        <v>3.0362524455540552E-5</v>
      </c>
    </row>
    <row r="107" spans="1:40" x14ac:dyDescent="0.25">
      <c r="A107" s="3" t="str">
        <f ca="1">_xll.BDP($E107,A$3)</f>
        <v>AO1671939</v>
      </c>
      <c r="B107" s="12" t="str">
        <f ca="1">_xll.BDP($E107,B$3)</f>
        <v>EUR</v>
      </c>
      <c r="C107" s="12" t="str">
        <f ca="1">_xll.BDP($E107,C$3)</f>
        <v>DE</v>
      </c>
      <c r="D107" s="18" t="s">
        <v>218</v>
      </c>
      <c r="E107" s="3" t="str">
        <f t="shared" si="20"/>
        <v>XS1642546078 CORP</v>
      </c>
      <c r="F107" s="12">
        <f ca="1">_xll.BDP($E107,F$3)</f>
        <v>21</v>
      </c>
      <c r="G107" s="12" t="str">
        <f ca="1">_xll.BDP($E107,G$3)</f>
        <v>N</v>
      </c>
      <c r="H107" s="12" t="str">
        <f ca="1">_xll.BDP($E107,H$3)</f>
        <v>N</v>
      </c>
      <c r="I107" s="3" t="str">
        <f ca="1">_xll.BDP($E107,I$3)</f>
        <v>VW F 07/06/21 EMTN</v>
      </c>
      <c r="J107" s="3" t="s">
        <v>123</v>
      </c>
      <c r="K107" s="3" t="str">
        <f ca="1">_xll.BDP($E107,K$3)</f>
        <v>06/07/2017</v>
      </c>
      <c r="L107" s="5">
        <f ca="1">DATEVALUE(_xll.BDP($E107,L$3))</f>
        <v>43381</v>
      </c>
      <c r="M107" s="17"/>
      <c r="N107" s="3" t="str">
        <f ca="1">_xll.BDP($E107,N$3)</f>
        <v>07/01/2019</v>
      </c>
      <c r="O107" s="3" t="str">
        <f ca="1">_xll.BDP($E107,O$3)</f>
        <v>06/07/2021</v>
      </c>
      <c r="P107" s="2">
        <v>0</v>
      </c>
      <c r="Q107" s="24">
        <f ca="1">_xll.BDP($E107,Q$3)</f>
        <v>45</v>
      </c>
      <c r="R107" s="5">
        <f ca="1">DATEVALUE(_xll.BDP($E107,R$3))</f>
        <v>44383</v>
      </c>
      <c r="S107" s="3" t="str">
        <f ca="1">_xll.BDP($E107,S$3)</f>
        <v>CLEAN</v>
      </c>
      <c r="T107" s="3" t="str">
        <f ca="1">_xll.meLWOBondCreateFromGeneratorLVB(I107,D107,_xll.meUtilityLVBFromKeysValues($I$4:$R$4,I107:R107))</f>
        <v>VW F 07/06/21 EMTN@167:14</v>
      </c>
      <c r="U107" s="23">
        <f t="shared" ca="1" si="21"/>
        <v>43454</v>
      </c>
      <c r="V107" s="8">
        <f ca="1">_xll.BDP($E107,V$3)</f>
        <v>100.66817045684817</v>
      </c>
      <c r="W107" s="8">
        <f ca="1">_xll.BDP($E107,W$3)</f>
        <v>-0.311</v>
      </c>
      <c r="X107" s="28">
        <f ca="1">_xll.BDP($E107,X$3)</f>
        <v>-0.37369565217391304</v>
      </c>
      <c r="Y107" s="28">
        <f ca="1">_xll.BDP($E107,Y$3)</f>
        <v>0.13200000000000001</v>
      </c>
      <c r="Z107" s="24">
        <f ca="1">_xll.BDP($E107,Z$3)</f>
        <v>45</v>
      </c>
      <c r="AA107" s="35">
        <f ca="1">_xll.BDP($E107,AA$3)</f>
        <v>0.69568200000000002</v>
      </c>
      <c r="AB107" s="8">
        <f ca="1">_xll.BDP($E107,AB$3)</f>
        <v>98.576999999999998</v>
      </c>
      <c r="AC107" s="38">
        <f ca="1">ROUND(_xll.meLWOBondFRNPriceFromDiscountMargin(T107,U107,V107/10000,W107/100,X107/100,Y107/100),3)</f>
        <v>98.576999999999998</v>
      </c>
      <c r="AD107" s="8">
        <f t="shared" ca="1" si="14"/>
        <v>0</v>
      </c>
      <c r="AE107" s="8">
        <f t="shared" ca="1" si="18"/>
        <v>98.576999999999998</v>
      </c>
      <c r="AF107" s="8">
        <f t="shared" ca="1" si="16"/>
        <v>0</v>
      </c>
      <c r="AG107" s="35">
        <f ca="1">_xll.meLWOBondFRNPriceFromYield(T107,U107,AA107/100,W107/100,X107/100,Y107/100)</f>
        <v>98.576999356124347</v>
      </c>
      <c r="AH107" s="35">
        <f ca="1">100*_xll.meLWOBondFRNYieldFromPrice(T107,U107,AG107,W107/100,X107/100,Y107/100)</f>
        <v>0.69568200000000413</v>
      </c>
      <c r="AI107" s="35">
        <f t="shared" ca="1" si="22"/>
        <v>4.1078251911130792E-15</v>
      </c>
      <c r="AJ107" s="40">
        <f ca="1">10000*_xll.meLWOBondFRNDiscountMarginFromPrice(T107,U107,AG107,W107/100,X107/100,Y107/100)</f>
        <v>100.66820000000043</v>
      </c>
      <c r="AK107" s="41">
        <f t="shared" ca="1" si="19"/>
        <v>2.9543152251676474E-5</v>
      </c>
    </row>
    <row r="108" spans="1:40" x14ac:dyDescent="0.25">
      <c r="A108" s="3" t="str">
        <f ca="1">_xll.BDP($E108,A$3)</f>
        <v>UV7718553</v>
      </c>
      <c r="B108" s="12" t="str">
        <f ca="1">_xll.BDP($E108,B$3)</f>
        <v>EUR</v>
      </c>
      <c r="C108" s="12" t="str">
        <f ca="1">_xll.BDP($E108,C$3)</f>
        <v>US</v>
      </c>
      <c r="D108" s="18" t="s">
        <v>218</v>
      </c>
      <c r="E108" s="3" t="str">
        <f t="shared" si="20"/>
        <v>XS1288342147 CORP</v>
      </c>
      <c r="F108" s="12">
        <f ca="1">_xll.BDP($E108,F$3)</f>
        <v>21</v>
      </c>
      <c r="G108" s="12" t="str">
        <f ca="1">_xll.BDP($E108,G$3)</f>
        <v>N</v>
      </c>
      <c r="H108" s="12" t="str">
        <f ca="1">_xll.BDP($E108,H$3)</f>
        <v>N</v>
      </c>
      <c r="I108" s="3" t="str">
        <f ca="1">_xll.BDP($E108,I$3)</f>
        <v>HNDA F 03/11/19 EMTN</v>
      </c>
      <c r="J108" s="3" t="s">
        <v>124</v>
      </c>
      <c r="K108" s="3" t="str">
        <f ca="1">_xll.BDP($E108,K$3)</f>
        <v>11/09/2015</v>
      </c>
      <c r="L108" s="5">
        <f ca="1">DATEVALUE(_xll.BDP($E108,L$3))</f>
        <v>43445</v>
      </c>
      <c r="M108" s="17" t="str">
        <f t="shared" ca="1" si="15"/>
        <v/>
      </c>
      <c r="N108" s="3" t="str">
        <f ca="1">_xll.BDP($E108,N$3)</f>
        <v>11/03/2019</v>
      </c>
      <c r="O108" s="3" t="str">
        <f ca="1">_xll.BDP($E108,O$3)</f>
        <v>11/03/2019</v>
      </c>
      <c r="P108" s="2">
        <v>0</v>
      </c>
      <c r="Q108" s="24">
        <f ca="1">_xll.BDP($E108,Q$3)</f>
        <v>40</v>
      </c>
      <c r="R108" s="5">
        <f ca="1">DATEVALUE(_xll.BDP($E108,R$3))</f>
        <v>43535</v>
      </c>
      <c r="S108" s="3" t="str">
        <f ca="1">_xll.BDP($E108,S$3)</f>
        <v>CLEAN</v>
      </c>
      <c r="T108" s="3" t="str">
        <f ca="1">_xll.meLWOBondCreateFromGeneratorLVB(I108,D108,_xll.meUtilityLVBFromKeysValues($I$4:$R$4,I108:R108))</f>
        <v>HNDA F 03/11/19 EMTN@166:14</v>
      </c>
      <c r="U108" s="23">
        <f t="shared" ca="1" si="21"/>
        <v>43454</v>
      </c>
      <c r="V108" s="8">
        <f ca="1">_xll.BDP($E108,V$3)</f>
        <v>-17.806117515785147</v>
      </c>
      <c r="W108" s="8">
        <f ca="1">_xll.BDP($E108,W$3)</f>
        <v>-0.311</v>
      </c>
      <c r="X108" s="28">
        <f ca="1">_xll.BDP($E108,X$3)</f>
        <v>-0.31850000000000001</v>
      </c>
      <c r="Y108" s="28">
        <f ca="1">_xll.BDP($E108,Y$3)</f>
        <v>8.5000000000000006E-2</v>
      </c>
      <c r="Z108" s="24">
        <f ca="1">_xll.BDP($E108,Z$3)</f>
        <v>40</v>
      </c>
      <c r="AA108" s="35">
        <f ca="1">_xll.BDP($E108,AA$3)</f>
        <v>-0.49656099999999997</v>
      </c>
      <c r="AB108" s="8">
        <f ca="1">_xll.BDP($E108,AB$3)</f>
        <v>100.131</v>
      </c>
      <c r="AC108" s="38">
        <f ca="1">ROUND(_xll.meLWOBondFRNPriceFromDiscountMargin(T108,U108,V108/10000,W108/100,X108/100,Y108/100),3)</f>
        <v>100.131</v>
      </c>
      <c r="AD108" s="8">
        <f t="shared" ca="1" si="14"/>
        <v>0</v>
      </c>
      <c r="AE108" s="8">
        <f t="shared" ca="1" si="18"/>
        <v>100.131</v>
      </c>
      <c r="AF108" s="8">
        <f t="shared" ca="1" si="16"/>
        <v>0</v>
      </c>
      <c r="AG108" s="35">
        <f ca="1">_xll.meLWOBondFRNPriceFromYield(T108,U108,AA108/100,W108/100,X108/100,Y108/100)</f>
        <v>100.13099996049289</v>
      </c>
      <c r="AH108" s="35">
        <f ca="1">100*_xll.meLWOBondFRNYieldFromPrice(T108,U108,AG108,W108/100,X108/100,Y108/100)</f>
        <v>-0.4965610000000022</v>
      </c>
      <c r="AI108" s="35">
        <f t="shared" ca="1" si="22"/>
        <v>2.2204460492503131E-15</v>
      </c>
      <c r="AJ108" s="40">
        <f ca="1">10000*_xll.meLWOBondFRNDiscountMarginFromPrice(T108,U108,AG108,W108/100,X108/100,Y108/100)</f>
        <v>-17.806100000000225</v>
      </c>
      <c r="AK108" s="41">
        <f t="shared" ca="1" si="19"/>
        <v>1.7515784922039757E-5</v>
      </c>
    </row>
    <row r="109" spans="1:40" x14ac:dyDescent="0.25">
      <c r="A109" s="3" t="str">
        <f ca="1">_xll.BDP($E109,A$3)</f>
        <v>AS9288943</v>
      </c>
      <c r="B109" s="12" t="str">
        <f ca="1">_xll.BDP($E109,B$3)</f>
        <v>EUR</v>
      </c>
      <c r="C109" s="12" t="str">
        <f ca="1">_xll.BDP($E109,C$3)</f>
        <v>DE</v>
      </c>
      <c r="D109" s="18" t="s">
        <v>216</v>
      </c>
      <c r="E109" s="3" t="str">
        <f t="shared" si="20"/>
        <v>XS1830992563 CORP</v>
      </c>
      <c r="F109" s="12">
        <f ca="1">_xll.BDP($E109,F$3)</f>
        <v>21</v>
      </c>
      <c r="G109" s="12" t="str">
        <f ca="1">_xll.BDP($E109,G$3)</f>
        <v>N</v>
      </c>
      <c r="H109" s="12" t="str">
        <f ca="1">_xll.BDP($E109,H$3)</f>
        <v>N</v>
      </c>
      <c r="I109" s="3" t="str">
        <f ca="1">_xll.BDP($E109,I$3)</f>
        <v>VW F 12/08/21 EMTN</v>
      </c>
      <c r="J109" s="3" t="s">
        <v>125</v>
      </c>
      <c r="K109" s="3" t="str">
        <f ca="1">_xll.BDP($E109,K$3)</f>
        <v>08/06/2018</v>
      </c>
      <c r="L109" s="5">
        <f ca="1">DATEVALUE(_xll.BDP($E109,L$3))</f>
        <v>43444</v>
      </c>
      <c r="M109" s="17" t="str">
        <f t="shared" ca="1" si="15"/>
        <v/>
      </c>
      <c r="N109" s="3" t="str">
        <f ca="1">_xll.BDP($E109,N$3)</f>
        <v>08/03/2019</v>
      </c>
      <c r="O109" s="3" t="str">
        <f ca="1">_xll.BDP($E109,O$3)</f>
        <v>08/12/2021</v>
      </c>
      <c r="P109" s="2">
        <v>0</v>
      </c>
      <c r="Q109" s="24">
        <f ca="1">_xll.BDP($E109,Q$3)</f>
        <v>70</v>
      </c>
      <c r="R109" s="5">
        <f ca="1">DATEVALUE(_xll.BDP($E109,R$3))</f>
        <v>44538</v>
      </c>
      <c r="S109" s="3" t="str">
        <f ca="1">_xll.BDP($E109,S$3)</f>
        <v>CLEAN</v>
      </c>
      <c r="T109" s="3" t="str">
        <f ca="1">_xll.meLWOBondCreateFromGeneratorLVB(I109,D109,_xll.meUtilityLVBFromKeysValues($I$4:$R$4,I109:R109))</f>
        <v>VW F 12/08/21 EMTN@165:14</v>
      </c>
      <c r="U109" s="23">
        <f t="shared" ca="1" si="21"/>
        <v>43454</v>
      </c>
      <c r="V109" s="8">
        <f ca="1">_xll.BDP($E109,V$3)</f>
        <v>111.08047184412733</v>
      </c>
      <c r="W109" s="8">
        <f ca="1">_xll.BDP($E109,W$3)</f>
        <v>-0.311</v>
      </c>
      <c r="X109" s="28">
        <f ca="1">_xll.BDP($E109,X$3)</f>
        <v>-0.32100000000000001</v>
      </c>
      <c r="Y109" s="28">
        <f ca="1">_xll.BDP($E109,Y$3)</f>
        <v>0.38500000000000001</v>
      </c>
      <c r="Z109" s="24">
        <f ca="1">_xll.BDP($E109,Z$3)</f>
        <v>70</v>
      </c>
      <c r="AA109" s="35">
        <f ca="1">_xll.BDP($E109,AA$3)</f>
        <v>0.79980499999999999</v>
      </c>
      <c r="AB109" s="8">
        <f ca="1">_xll.BDP($E109,AB$3)</f>
        <v>98.781999999999996</v>
      </c>
      <c r="AC109" s="38">
        <f ca="1">ROUND(_xll.meLWOBondFRNPriceFromDiscountMargin(T109,U109,V109/10000,W109/100,X109/100,Y109/100),3)</f>
        <v>98.781999999999996</v>
      </c>
      <c r="AD109" s="8">
        <f ca="1">ABS(AC109-AB109)</f>
        <v>0</v>
      </c>
      <c r="AE109" s="8">
        <f t="shared" ca="1" si="18"/>
        <v>98.781999999999996</v>
      </c>
      <c r="AF109" s="8">
        <f ca="1">ABS(AE109-AB109)</f>
        <v>0</v>
      </c>
      <c r="AG109" s="35">
        <f ca="1">_xll.meLWOBondFRNPriceFromYield(T109,U109,AA109/100,W109/100,X109/100,Y109/100)</f>
        <v>98.781999169880891</v>
      </c>
      <c r="AH109" s="35">
        <f ca="1">100*_xll.meLWOBondFRNYieldFromPrice(T109,U109,AG109,W109/100,X109/100,Y109/100)</f>
        <v>0.7998049999999578</v>
      </c>
      <c r="AI109" s="35">
        <f t="shared" ca="1" si="22"/>
        <v>4.2188474935755949E-14</v>
      </c>
      <c r="AJ109" s="40">
        <f ca="1">10000*_xll.meLWOBondFRNDiscountMarginFromPrice(T109,U109,AG109,W109/100,X109/100,Y109/100)</f>
        <v>111.08049999999578</v>
      </c>
      <c r="AK109" s="41">
        <f t="shared" ca="1" si="19"/>
        <v>2.8155868449175614E-5</v>
      </c>
    </row>
    <row r="110" spans="1:40" x14ac:dyDescent="0.25">
      <c r="A110" s="3" t="str">
        <f ca="1">_xll.BDP($E110,A$3)</f>
        <v>AR0503136</v>
      </c>
      <c r="B110" s="12" t="str">
        <f ca="1">_xll.BDP($E110,B$3)</f>
        <v>EUR</v>
      </c>
      <c r="C110" s="12" t="str">
        <f ca="1">_xll.BDP($E110,C$3)</f>
        <v>US</v>
      </c>
      <c r="D110" s="18" t="s">
        <v>218</v>
      </c>
      <c r="E110" s="3" t="str">
        <f t="shared" si="20"/>
        <v>XS1767930826 CORP</v>
      </c>
      <c r="F110" s="12">
        <f ca="1">_xll.BDP($E110,F$3)</f>
        <v>21</v>
      </c>
      <c r="G110" s="12" t="str">
        <f ca="1">_xll.BDP($E110,G$3)</f>
        <v>N</v>
      </c>
      <c r="H110" s="12" t="str">
        <f ca="1">_xll.BDP($E110,H$3)</f>
        <v>N</v>
      </c>
      <c r="I110" s="3" t="str">
        <f ca="1">_xll.BDP($E110,I$3)</f>
        <v>F F 12/07/22 EMTN</v>
      </c>
      <c r="J110" s="3" t="s">
        <v>126</v>
      </c>
      <c r="K110" s="3" t="str">
        <f ca="1">_xll.BDP($E110,K$3)</f>
        <v>07/02/2018</v>
      </c>
      <c r="L110" s="5">
        <f ca="1">DATEVALUE(_xll.BDP($E110,L$3))</f>
        <v>43441</v>
      </c>
      <c r="M110" s="17" t="str">
        <f t="shared" ca="1" si="15"/>
        <v/>
      </c>
      <c r="N110" s="3" t="str">
        <f ca="1">_xll.BDP($E110,N$3)</f>
        <v>07/03/2019</v>
      </c>
      <c r="O110" s="3" t="str">
        <f ca="1">_xll.BDP($E110,O$3)</f>
        <v>07/12/2022</v>
      </c>
      <c r="P110" s="2">
        <v>0</v>
      </c>
      <c r="Q110" s="24">
        <f ca="1">_xll.BDP($E110,Q$3)</f>
        <v>42</v>
      </c>
      <c r="R110" s="5">
        <f ca="1">DATEVALUE(_xll.BDP($E110,R$3))</f>
        <v>44902</v>
      </c>
      <c r="S110" s="3" t="str">
        <f ca="1">_xll.BDP($E110,S$3)</f>
        <v>CLEAN</v>
      </c>
      <c r="T110" s="3" t="str">
        <f ca="1">_xll.meLWOBondCreateFromGeneratorLVB(I110,D110,_xll.meUtilityLVBFromKeysValues($I$4:$R$4,I110:R110))</f>
        <v>F F 12/07/22 EMTN@164:14</v>
      </c>
      <c r="U110" s="23">
        <f t="shared" ca="1" si="21"/>
        <v>43454</v>
      </c>
      <c r="V110" s="8">
        <f ca="1">_xll.BDP($E110,V$3)</f>
        <v>209.59636958628548</v>
      </c>
      <c r="W110" s="8">
        <f ca="1">_xll.BDP($E110,W$3)</f>
        <v>-0.311</v>
      </c>
      <c r="X110" s="28">
        <f ca="1">_xll.BDP($E110,X$3)</f>
        <v>-0.32183333333333336</v>
      </c>
      <c r="Y110" s="28">
        <f ca="1">_xll.BDP($E110,Y$3)</f>
        <v>0.104</v>
      </c>
      <c r="Z110" s="24">
        <f ca="1">_xll.BDP($E110,Z$3)</f>
        <v>42</v>
      </c>
      <c r="AA110" s="35">
        <f ca="1">_xll.BDP($E110,AA$3)</f>
        <v>1.784964</v>
      </c>
      <c r="AB110" s="8">
        <f ca="1">_xll.BDP($E110,AB$3)</f>
        <v>93.516000000000005</v>
      </c>
      <c r="AC110" s="38">
        <f ca="1">ROUND(_xll.meLWOBondFRNPriceFromDiscountMargin(T110,U110,V110/10000,W110/100,X110/100,Y110/100),3)</f>
        <v>93.516000000000005</v>
      </c>
      <c r="AD110" s="8">
        <f t="shared" ca="1" si="14"/>
        <v>0</v>
      </c>
      <c r="AE110" s="8">
        <f t="shared" ca="1" si="18"/>
        <v>93.516000000000005</v>
      </c>
      <c r="AF110" s="8">
        <f t="shared" ca="1" si="16"/>
        <v>0</v>
      </c>
      <c r="AG110" s="35">
        <f ca="1">_xll.meLWOBondFRNPriceFromYield(T110,U110,AA110/100,W110/100,X110/100,Y110/100)</f>
        <v>93.515998867086282</v>
      </c>
      <c r="AH110" s="35">
        <f ca="1">100*_xll.meLWOBondFRNYieldFromPrice(T110,U110,AG110,W110/100,X110/100,Y110/100)</f>
        <v>1.784964000000427</v>
      </c>
      <c r="AI110" s="35">
        <f t="shared" ca="1" si="22"/>
        <v>4.2699177527083521E-13</v>
      </c>
      <c r="AJ110" s="40">
        <f ca="1">10000*_xll.meLWOBondFRNDiscountMarginFromPrice(T110,U110,AG110,W110/100,X110/100,Y110/100)</f>
        <v>209.59640000004268</v>
      </c>
      <c r="AK110" s="41">
        <f t="shared" ca="1" si="19"/>
        <v>3.0413757201586122E-5</v>
      </c>
    </row>
    <row r="111" spans="1:40" x14ac:dyDescent="0.25">
      <c r="A111" s="3" t="str">
        <f ca="1">_xll.BDP($E111,A$3)</f>
        <v>913017CS6</v>
      </c>
      <c r="B111" s="12" t="str">
        <f ca="1">_xll.BDP($E111,B$3)</f>
        <v>EUR</v>
      </c>
      <c r="C111" s="12" t="str">
        <f ca="1">_xll.BDP($E111,C$3)</f>
        <v>US</v>
      </c>
      <c r="D111" s="18" t="s">
        <v>218</v>
      </c>
      <c r="E111" s="3" t="str">
        <f t="shared" si="20"/>
        <v>XS1715323298 CORP</v>
      </c>
      <c r="F111" s="12">
        <f ca="1">_xll.BDP($E111,F$3)</f>
        <v>21</v>
      </c>
      <c r="G111" s="12" t="str">
        <f ca="1">_xll.BDP($E111,G$3)</f>
        <v>N</v>
      </c>
      <c r="H111" s="12" t="str">
        <f ca="1">_xll.BDP($E111,H$3)</f>
        <v>N</v>
      </c>
      <c r="I111" s="3" t="str">
        <f ca="1">_xll.BDP($E111,I$3)</f>
        <v>UTX F 11/13/19 EMTN</v>
      </c>
      <c r="J111" s="3" t="s">
        <v>127</v>
      </c>
      <c r="K111" s="3" t="str">
        <f ca="1">_xll.BDP($E111,K$3)</f>
        <v>13/11/2017</v>
      </c>
      <c r="L111" s="5">
        <f ca="1">DATEVALUE(_xll.BDP($E111,L$3))</f>
        <v>43417</v>
      </c>
      <c r="M111" s="17" t="str">
        <f t="shared" ca="1" si="15"/>
        <v/>
      </c>
      <c r="N111" s="3" t="str">
        <f ca="1">_xll.BDP($E111,N$3)</f>
        <v>13/02/2019</v>
      </c>
      <c r="O111" s="3" t="str">
        <f ca="1">_xll.BDP($E111,O$3)</f>
        <v>13/11/2019</v>
      </c>
      <c r="P111" s="2">
        <v>0</v>
      </c>
      <c r="Q111" s="24">
        <f ca="1">_xll.BDP($E111,Q$3)</f>
        <v>15</v>
      </c>
      <c r="R111" s="5">
        <f ca="1">DATEVALUE(_xll.BDP($E111,R$3))</f>
        <v>43782</v>
      </c>
      <c r="S111" s="3" t="str">
        <f ca="1">_xll.BDP($E111,S$3)</f>
        <v>CLEAN</v>
      </c>
      <c r="T111" s="3" t="str">
        <f ca="1">_xll.meLWOBondCreateFromGeneratorLVB(I111,D111,_xll.meUtilityLVBFromKeysValues($I$4:$R$4,I111:R111))</f>
        <v>UTX F 11/13/19 EMTN@163:14</v>
      </c>
      <c r="U111" s="23">
        <f t="shared" ca="1" si="21"/>
        <v>43454</v>
      </c>
      <c r="V111" s="8">
        <f ca="1">_xll.BDP($E111,V$3)</f>
        <v>20.344580103612266</v>
      </c>
      <c r="W111" s="8">
        <f ca="1">_xll.BDP($E111,W$3)</f>
        <v>-0.311</v>
      </c>
      <c r="X111" s="28">
        <f ca="1">_xll.BDP($E111,X$3)</f>
        <v>-0.34150000000000003</v>
      </c>
      <c r="Y111" s="28">
        <f ca="1">_xll.BDP($E111,Y$3)</f>
        <v>0</v>
      </c>
      <c r="Z111" s="24">
        <f ca="1">_xll.BDP($E111,Z$3)</f>
        <v>15</v>
      </c>
      <c r="AA111" s="35">
        <f ca="1">_xll.BDP($E111,AA$3)</f>
        <v>-0.107554</v>
      </c>
      <c r="AB111" s="8">
        <f ca="1">_xll.BDP($E111,AB$3)</f>
        <v>100.10299999999999</v>
      </c>
      <c r="AC111" s="38">
        <f ca="1">ROUND(_xll.meLWOBondFRNPriceFromDiscountMargin(T111,U111,V111/10000,W111/100,X111/100,Y111/100),3)</f>
        <v>100.10299999999999</v>
      </c>
      <c r="AD111" s="8">
        <f t="shared" ca="1" si="14"/>
        <v>0</v>
      </c>
      <c r="AE111" s="8">
        <f t="shared" ca="1" si="18"/>
        <v>100.10299999999999</v>
      </c>
      <c r="AF111" s="8">
        <f t="shared" ca="1" si="16"/>
        <v>0</v>
      </c>
      <c r="AG111" s="35">
        <f ca="1">_xll.meLWOBondFRNPriceFromYield(T111,U111,AA111/100,W111/100,X111/100,Y111/100)</f>
        <v>100.10299985376641</v>
      </c>
      <c r="AH111" s="35">
        <f ca="1">100*_xll.meLWOBondFRNYieldFromPrice(T111,U111,AG111,W111/100,X111/100,Y111/100)</f>
        <v>-0.10755400000003316</v>
      </c>
      <c r="AI111" s="35">
        <f t="shared" ca="1" si="22"/>
        <v>3.3167912860676552E-14</v>
      </c>
      <c r="AJ111" s="40">
        <f ca="1">10000*_xll.meLWOBondFRNDiscountMarginFromPrice(T111,U111,AG111,W111/100,X111/100,Y111/100)</f>
        <v>20.344599999996682</v>
      </c>
      <c r="AK111" s="41">
        <f t="shared" ca="1" si="19"/>
        <v>1.9896384415574175E-5</v>
      </c>
    </row>
    <row r="112" spans="1:40" x14ac:dyDescent="0.25">
      <c r="A112" s="3" t="str">
        <f ca="1">_xll.BDP($E112,A$3)</f>
        <v>AP9543053</v>
      </c>
      <c r="B112" s="12" t="str">
        <f ca="1">_xll.BDP($E112,B$3)</f>
        <v>EUR</v>
      </c>
      <c r="C112" s="12" t="str">
        <f ca="1">_xll.BDP($E112,C$3)</f>
        <v>GB</v>
      </c>
      <c r="D112" s="18" t="s">
        <v>218</v>
      </c>
      <c r="E112" s="3" t="str">
        <f t="shared" si="20"/>
        <v>XS1717567587 CORP</v>
      </c>
      <c r="F112" s="12">
        <f ca="1">_xll.BDP($E112,F$3)</f>
        <v>21</v>
      </c>
      <c r="G112" s="12" t="str">
        <f ca="1">_xll.BDP($E112,G$3)</f>
        <v>N</v>
      </c>
      <c r="H112" s="12" t="str">
        <f ca="1">_xll.BDP($E112,H$3)</f>
        <v>N</v>
      </c>
      <c r="I112" s="3" t="str">
        <f ca="1">_xll.BDP($E112,I$3)</f>
        <v>CCE F 11/16/21</v>
      </c>
      <c r="J112" s="3" t="s">
        <v>128</v>
      </c>
      <c r="K112" s="3" t="str">
        <f ca="1">_xll.BDP($E112,K$3)</f>
        <v>16/11/2017</v>
      </c>
      <c r="L112" s="5">
        <f ca="1">DATEVALUE(_xll.BDP($E112,L$3))</f>
        <v>43420</v>
      </c>
      <c r="M112" s="17">
        <f t="shared" ca="1" si="15"/>
        <v>18</v>
      </c>
      <c r="N112" s="3" t="str">
        <f ca="1">_xll.BDP($E112,N$3)</f>
        <v>18/02/2019</v>
      </c>
      <c r="O112" s="3" t="str">
        <f ca="1">_xll.BDP($E112,O$3)</f>
        <v>16/11/2021</v>
      </c>
      <c r="P112" s="2">
        <v>0</v>
      </c>
      <c r="Q112" s="24">
        <f ca="1">_xll.BDP($E112,Q$3)</f>
        <v>18</v>
      </c>
      <c r="R112" s="5">
        <f ca="1">DATEVALUE(_xll.BDP($E112,R$3))</f>
        <v>44516</v>
      </c>
      <c r="S112" s="3" t="str">
        <f ca="1">_xll.BDP($E112,S$3)</f>
        <v>CLEAN</v>
      </c>
      <c r="T112" s="3" t="str">
        <f ca="1">_xll.meLWOBondCreateFromGeneratorLVB(I112,D112,_xll.meUtilityLVBFromKeysValues($I$4:$R$4,I112:R112))</f>
        <v>CCE F 11/16/21@162:14</v>
      </c>
      <c r="U112" s="23">
        <f t="shared" ca="1" si="21"/>
        <v>43454</v>
      </c>
      <c r="V112" s="8">
        <f ca="1">_xll.BDP($E112,V$3)</f>
        <v>44.662755360295407</v>
      </c>
      <c r="W112" s="8">
        <f ca="1">_xll.BDP($E112,W$3)</f>
        <v>-0.311</v>
      </c>
      <c r="X112" s="28">
        <f ca="1">_xll.BDP($E112,X$3)</f>
        <v>-0.33600000000000002</v>
      </c>
      <c r="Y112" s="28">
        <f ca="1">_xll.BDP($E112,Y$3)</f>
        <v>0</v>
      </c>
      <c r="Z112" s="24">
        <f ca="1">_xll.BDP($E112,Z$3)</f>
        <v>18</v>
      </c>
      <c r="AA112" s="35">
        <f ca="1">_xll.BDP($E112,AA$3)</f>
        <v>0.135628</v>
      </c>
      <c r="AB112" s="8">
        <f ca="1">_xll.BDP($E112,AB$3)</f>
        <v>99.603999999999999</v>
      </c>
      <c r="AC112" s="38">
        <f ca="1">ROUND(_xll.meLWOBondFRNPriceFromDiscountMargin(T112,U112,V112/10000,W112/100,X112/100,Y112/100),3)</f>
        <v>99.603999999999999</v>
      </c>
      <c r="AD112" s="8">
        <f t="shared" ca="1" si="14"/>
        <v>0</v>
      </c>
      <c r="AE112" s="8">
        <f t="shared" ca="1" si="18"/>
        <v>99.603999999999999</v>
      </c>
      <c r="AF112" s="8">
        <f t="shared" ca="1" si="16"/>
        <v>0</v>
      </c>
      <c r="AG112" s="35">
        <f ca="1">_xll.meLWOBondFRNPriceFromYield(T112,U112,AA112/100,W112/100,X112/100,Y112/100)</f>
        <v>99.603998688491686</v>
      </c>
      <c r="AH112" s="35">
        <f ca="1">100*_xll.meLWOBondFRNYieldFromPrice(T112,U112,AG112,W112/100,X112/100,Y112/100)</f>
        <v>0.13562799999992872</v>
      </c>
      <c r="AI112" s="35">
        <f t="shared" ca="1" si="22"/>
        <v>7.127631818093505E-14</v>
      </c>
      <c r="AJ112" s="40">
        <f ca="1">10000*_xll.meLWOBondFRNDiscountMarginFromPrice(T112,U112,AG112,W112/100,X112/100,Y112/100)</f>
        <v>44.662799999992878</v>
      </c>
      <c r="AK112" s="41">
        <f t="shared" ca="1" si="19"/>
        <v>4.4639697470927331E-5</v>
      </c>
    </row>
    <row r="113" spans="1:40" s="3" customFormat="1" x14ac:dyDescent="0.25">
      <c r="A113" s="3" t="str">
        <f ca="1">_xll.BDP($E113,A$3)</f>
        <v>AR1711845</v>
      </c>
      <c r="B113" s="12" t="str">
        <f ca="1">_xll.BDP($E113,B$3)</f>
        <v>EUR</v>
      </c>
      <c r="C113" s="12" t="str">
        <f ca="1">_xll.BDP($E113,C$3)</f>
        <v>US</v>
      </c>
      <c r="D113" s="18" t="s">
        <v>216</v>
      </c>
      <c r="E113" s="3" t="str">
        <f t="shared" si="20"/>
        <v>XS1771768188 CORP</v>
      </c>
      <c r="F113" s="12">
        <f ca="1">_xll.BDP($E113,F$3)</f>
        <v>21</v>
      </c>
      <c r="G113" s="12" t="str">
        <f ca="1">_xll.BDP($E113,G$3)</f>
        <v>N</v>
      </c>
      <c r="H113" s="12" t="str">
        <f ca="1">_xll.BDP($E113,H$3)</f>
        <v>N</v>
      </c>
      <c r="I113" s="3" t="str">
        <f ca="1">_xll.BDP($E113,I$3)</f>
        <v>MCK F 02/12/20</v>
      </c>
      <c r="J113" s="3" t="s">
        <v>129</v>
      </c>
      <c r="K113" s="3" t="str">
        <f ca="1">_xll.BDP($E113,K$3)</f>
        <v>12/02/2018</v>
      </c>
      <c r="L113" s="5">
        <f ca="1">DATEVALUE(_xll.BDP($E113,L$3))</f>
        <v>43416</v>
      </c>
      <c r="M113" s="17" t="str">
        <f t="shared" ca="1" si="15"/>
        <v/>
      </c>
      <c r="N113" s="3" t="str">
        <f ca="1">_xll.BDP($E113,N$3)</f>
        <v>12/02/2019</v>
      </c>
      <c r="O113" s="3" t="str">
        <f ca="1">_xll.BDP($E113,O$3)</f>
        <v>12/02/2020</v>
      </c>
      <c r="P113" s="2">
        <v>0</v>
      </c>
      <c r="Q113" s="24">
        <f ca="1">_xll.BDP($E113,Q$3)</f>
        <v>15</v>
      </c>
      <c r="R113" s="5">
        <f ca="1">DATEVALUE(_xll.BDP($E113,R$3))</f>
        <v>43873</v>
      </c>
      <c r="S113" s="3" t="str">
        <f ca="1">_xll.BDP($E113,S$3)</f>
        <v>CLEAN</v>
      </c>
      <c r="T113" s="3" t="str">
        <f ca="1">_xll.meLWOBondCreateFromGeneratorLVB(I113,D113,_xll.meUtilityLVBFromKeysValues($I$4:$R$4,I113:R113))</f>
        <v>MCK F 02/12/20@161:14</v>
      </c>
      <c r="U113" s="23">
        <f t="shared" ca="1" si="21"/>
        <v>43454</v>
      </c>
      <c r="V113" s="8">
        <f ca="1">_xll.BDP($E113,V$3)</f>
        <v>25.069838188453215</v>
      </c>
      <c r="W113" s="8">
        <f ca="1">_xll.BDP($E113,W$3)</f>
        <v>-0.311</v>
      </c>
      <c r="X113" s="28">
        <f ca="1">_xll.BDP($E113,X$3)</f>
        <v>-0.34260000000000002</v>
      </c>
      <c r="Y113" s="28">
        <f ca="1">_xll.BDP($E113,Y$3)</f>
        <v>0</v>
      </c>
      <c r="Z113" s="24">
        <f ca="1">_xll.BDP($E113,Z$3)</f>
        <v>15</v>
      </c>
      <c r="AA113" s="35">
        <f ca="1">_xll.BDP($E113,AA$3)</f>
        <v>-6.0302000000000001E-2</v>
      </c>
      <c r="AB113" s="8">
        <f ca="1">_xll.BDP($E113,AB$3)</f>
        <v>100.075</v>
      </c>
      <c r="AC113" s="38">
        <f ca="1">ROUND(_xll.meLWOBondFRNPriceFromDiscountMargin(T113,U113,V113/10000,W113/100,X113/100,Y113/100),3)</f>
        <v>100.075</v>
      </c>
      <c r="AD113" s="8">
        <f t="shared" ca="1" si="14"/>
        <v>0</v>
      </c>
      <c r="AE113" s="8">
        <f t="shared" ca="1" si="18"/>
        <v>100.075</v>
      </c>
      <c r="AF113" s="8">
        <f t="shared" ca="1" si="16"/>
        <v>0</v>
      </c>
      <c r="AG113" s="35">
        <f ca="1">_xll.meLWOBondFRNPriceFromYield(T113,U113,AA113/100,W113/100,X113/100,Y113/100)</f>
        <v>100.0750004451379</v>
      </c>
      <c r="AH113" s="35">
        <f ca="1">100*_xll.meLWOBondFRNYieldFromPrice(T113,U113,AG113,W113/100,X113/100,Y113/100)</f>
        <v>-6.0301999999955599E-2</v>
      </c>
      <c r="AI113" s="35">
        <f t="shared" ca="1" si="22"/>
        <v>4.4401982091102354E-14</v>
      </c>
      <c r="AJ113" s="40">
        <f ca="1">10000*_xll.meLWOBondFRNDiscountMarginFromPrice(T113,U113,AG113,W113/100,X113/100,Y113/100)</f>
        <v>25.069800000004438</v>
      </c>
      <c r="AK113" s="41">
        <f t="shared" ca="1" si="19"/>
        <v>3.818844877656602E-5</v>
      </c>
      <c r="AL113" s="8"/>
      <c r="AM113" s="8"/>
      <c r="AN113" s="8"/>
    </row>
    <row r="114" spans="1:40" s="3" customFormat="1" x14ac:dyDescent="0.25">
      <c r="A114" s="3" t="str">
        <f ca="1">_xll.BDP($E114,A$3)</f>
        <v>QJ1660183</v>
      </c>
      <c r="B114" s="12" t="str">
        <f ca="1">_xll.BDP($E114,B$3)</f>
        <v>EUR</v>
      </c>
      <c r="C114" s="12" t="str">
        <f ca="1">_xll.BDP($E114,C$3)</f>
        <v>FR</v>
      </c>
      <c r="D114" s="18" t="s">
        <v>218</v>
      </c>
      <c r="E114" s="3" t="str">
        <f t="shared" si="20"/>
        <v>XS1301773799 CORP</v>
      </c>
      <c r="F114" s="12">
        <f ca="1">_xll.BDP($E114,F$3)</f>
        <v>21</v>
      </c>
      <c r="G114" s="12" t="str">
        <f ca="1">_xll.BDP($E114,G$3)</f>
        <v>N</v>
      </c>
      <c r="H114" s="12" t="str">
        <f ca="1">_xll.BDP($E114,H$3)</f>
        <v>N</v>
      </c>
      <c r="I114" s="3" t="str">
        <f ca="1">_xll.BDP($E114,I$3)</f>
        <v>CAFP F 10/21/19</v>
      </c>
      <c r="J114" s="3" t="s">
        <v>130</v>
      </c>
      <c r="K114" s="3" t="str">
        <f ca="1">_xll.BDP($E114,K$3)</f>
        <v>19/10/2015</v>
      </c>
      <c r="L114" s="5">
        <f ca="1">DATEVALUE(_xll.BDP($E114,L$3))</f>
        <v>43392</v>
      </c>
      <c r="M114" s="17" t="str">
        <f t="shared" ca="1" si="15"/>
        <v/>
      </c>
      <c r="N114" s="3" t="str">
        <f ca="1">_xll.BDP($E114,N$3)</f>
        <v>21/01/2019</v>
      </c>
      <c r="O114" s="3" t="str">
        <f ca="1">_xll.BDP($E114,O$3)</f>
        <v>21/10/2019</v>
      </c>
      <c r="P114" s="2">
        <v>0</v>
      </c>
      <c r="Q114" s="24">
        <f ca="1">_xll.BDP($E114,Q$3)</f>
        <v>88</v>
      </c>
      <c r="R114" s="5">
        <f ca="1">DATEVALUE(_xll.BDP($E114,R$3))</f>
        <v>43759</v>
      </c>
      <c r="S114" s="3" t="str">
        <f ca="1">_xll.BDP($E114,S$3)</f>
        <v>CLEAN</v>
      </c>
      <c r="T114" s="3" t="str">
        <f ca="1">_xll.meLWOBondCreateFromGeneratorLVB(I114,D114,_xll.meUtilityLVBFromKeysValues($I$4:$R$4,I114:R114))</f>
        <v>CAFP F 10/21/19@160:14</v>
      </c>
      <c r="U114" s="23">
        <f t="shared" ca="1" si="21"/>
        <v>43454</v>
      </c>
      <c r="V114" s="8">
        <f ca="1">_xll.BDP($E114,V$3)</f>
        <v>12.465289627855853</v>
      </c>
      <c r="W114" s="8">
        <f ca="1">_xll.BDP($E114,W$3)</f>
        <v>-0.311</v>
      </c>
      <c r="X114" s="28">
        <f ca="1">_xll.BDP($E114,X$3)</f>
        <v>-0.36680000000000001</v>
      </c>
      <c r="Y114" s="28">
        <f ca="1">_xll.BDP($E114,Y$3)</f>
        <v>0.5625</v>
      </c>
      <c r="Z114" s="24">
        <f ca="1">_xll.BDP($E114,Z$3)</f>
        <v>88</v>
      </c>
      <c r="AA114" s="35">
        <f ca="1">_xll.BDP($E114,AA$3)</f>
        <v>-0.18634700000000001</v>
      </c>
      <c r="AB114" s="8">
        <f ca="1">_xll.BDP($E114,AB$3)</f>
        <v>100.64700000000001</v>
      </c>
      <c r="AC114" s="38">
        <f ca="1">ROUND(_xll.meLWOBondFRNPriceFromDiscountMargin(T114,U114,V114/10000,W114/100,X114/100,Y114/100),3)</f>
        <v>100.64700000000001</v>
      </c>
      <c r="AD114" s="8">
        <f t="shared" ca="1" si="14"/>
        <v>0</v>
      </c>
      <c r="AE114" s="8">
        <f t="shared" ca="1" si="18"/>
        <v>100.64700000000001</v>
      </c>
      <c r="AF114" s="8">
        <f t="shared" ca="1" si="16"/>
        <v>0</v>
      </c>
      <c r="AG114" s="35">
        <f ca="1">_xll.meLWOBondFRNPriceFromYield(T114,U114,AA114/100,W114/100,X114/100,Y114/100)</f>
        <v>100.64699992182801</v>
      </c>
      <c r="AH114" s="35">
        <f ca="1">100*_xll.meLWOBondFRNYieldFromPrice(T114,U114,AG114,W114/100,X114/100,Y114/100)</f>
        <v>-0.18634699999982865</v>
      </c>
      <c r="AI114" s="35">
        <f t="shared" ca="1" si="22"/>
        <v>1.7136292385089291E-13</v>
      </c>
      <c r="AJ114" s="40">
        <f ca="1">10000*_xll.meLWOBondFRNDiscountMarginFromPrice(T114,U114,AG114,W114/100,X114/100,Y114/100)</f>
        <v>12.465300000017132</v>
      </c>
      <c r="AK114" s="41">
        <f t="shared" ca="1" si="19"/>
        <v>1.0372161279192937E-5</v>
      </c>
      <c r="AL114" s="8"/>
      <c r="AM114" s="8"/>
      <c r="AN114" s="8"/>
    </row>
    <row r="115" spans="1:40" x14ac:dyDescent="0.25">
      <c r="A115" s="3" t="str">
        <f ca="1">_xll.BDP($E115,A$3)</f>
        <v>QJ1240697</v>
      </c>
      <c r="B115" s="12" t="str">
        <f ca="1">_xll.BDP($E115,B$3)</f>
        <v>EUR</v>
      </c>
      <c r="C115" s="12" t="str">
        <f ca="1">_xll.BDP($E115,C$3)</f>
        <v>DE</v>
      </c>
      <c r="D115" s="18" t="s">
        <v>218</v>
      </c>
      <c r="E115" s="3" t="str">
        <f t="shared" si="20"/>
        <v>XS1306411726 CORP</v>
      </c>
      <c r="F115" s="12">
        <f ca="1">_xll.BDP($E115,F$3)</f>
        <v>21</v>
      </c>
      <c r="G115" s="12" t="str">
        <f ca="1">_xll.BDP($E115,G$3)</f>
        <v>N</v>
      </c>
      <c r="H115" s="12" t="str">
        <f ca="1">_xll.BDP($E115,H$3)</f>
        <v>N</v>
      </c>
      <c r="I115" s="3" t="str">
        <f ca="1">_xll.BDP($E115,I$3)</f>
        <v>DBHNGR F 10/13/23 EMTN</v>
      </c>
      <c r="J115" s="3" t="s">
        <v>131</v>
      </c>
      <c r="K115" s="3" t="str">
        <f ca="1">_xll.BDP($E115,K$3)</f>
        <v>13/10/2015</v>
      </c>
      <c r="L115" s="5">
        <f ca="1">DATEVALUE(_xll.BDP($E115,L$3))</f>
        <v>43388</v>
      </c>
      <c r="M115" s="17">
        <f t="shared" ca="1" si="15"/>
        <v>14</v>
      </c>
      <c r="N115" s="3" t="str">
        <f ca="1">_xll.BDP($E115,N$3)</f>
        <v>14/01/2019</v>
      </c>
      <c r="O115" s="3" t="str">
        <f ca="1">_xll.BDP($E115,O$3)</f>
        <v>13/10/2023</v>
      </c>
      <c r="P115" s="2">
        <v>0</v>
      </c>
      <c r="Q115" s="24">
        <f ca="1">_xll.BDP($E115,Q$3)</f>
        <v>43</v>
      </c>
      <c r="R115" s="5">
        <f ca="1">DATEVALUE(_xll.BDP($E115,R$3))</f>
        <v>45212</v>
      </c>
      <c r="S115" s="3" t="str">
        <f ca="1">_xll.BDP($E115,S$3)</f>
        <v>CLEAN</v>
      </c>
      <c r="T115" s="3" t="str">
        <f ca="1">_xll.meLWOBondCreateFromGeneratorLVB(I115,D115,_xll.meUtilityLVBFromKeysValues($I$4:$R$4,I115:R115))</f>
        <v>DBHNGR F 10/13/23 EMTN@159:14</v>
      </c>
      <c r="U115" s="23">
        <f t="shared" ca="1" si="21"/>
        <v>43454</v>
      </c>
      <c r="V115" s="8">
        <f ca="1">_xll.BDP($E115,V$3)</f>
        <v>14.803000859711393</v>
      </c>
      <c r="W115" s="8">
        <f ca="1">_xll.BDP($E115,W$3)</f>
        <v>-0.311</v>
      </c>
      <c r="X115" s="28">
        <f ca="1">_xll.BDP($E115,X$3)</f>
        <v>-0.37095652173913041</v>
      </c>
      <c r="Y115" s="28">
        <f ca="1">_xll.BDP($E115,Y$3)</f>
        <v>0.112</v>
      </c>
      <c r="Z115" s="24">
        <f ca="1">_xll.BDP($E115,Z$3)</f>
        <v>43</v>
      </c>
      <c r="AA115" s="35">
        <f ca="1">_xll.BDP($E115,AA$3)</f>
        <v>-0.16297</v>
      </c>
      <c r="AB115" s="8">
        <f ca="1">_xll.BDP($E115,AB$3)</f>
        <v>101.38800000000001</v>
      </c>
      <c r="AC115" s="38">
        <f ca="1">ROUND(_xll.meLWOBondFRNPriceFromDiscountMargin(T115,U115,V115/10000,W115/100,X115/100,Y115/100),3)</f>
        <v>101.38800000000001</v>
      </c>
      <c r="AD115" s="8">
        <f t="shared" ca="1" si="14"/>
        <v>0</v>
      </c>
      <c r="AE115" s="8">
        <f t="shared" ca="1" si="18"/>
        <v>101.38800000000001</v>
      </c>
      <c r="AF115" s="8">
        <f t="shared" ca="1" si="16"/>
        <v>0</v>
      </c>
      <c r="AG115" s="35">
        <f ca="1">_xll.meLWOBondFRNPriceFromYield(T115,U115,AA115/100,W115/100,X115/100,Y115/100)</f>
        <v>101.38800012579487</v>
      </c>
      <c r="AH115" s="35">
        <f ca="1">100*_xll.meLWOBondFRNYieldFromPrice(T115,U115,AG115,W115/100,X115/100,Y115/100)</f>
        <v>-0.16296999999941938</v>
      </c>
      <c r="AI115" s="35">
        <f t="shared" ca="1" si="22"/>
        <v>5.8061888630334124E-13</v>
      </c>
      <c r="AJ115" s="40">
        <f ca="1">10000*_xll.meLWOBondFRNDiscountMarginFromPrice(T115,U115,AG115,W115/100,X115/100,Y115/100)</f>
        <v>14.803000000058061</v>
      </c>
      <c r="AK115" s="41">
        <f t="shared" ca="1" si="19"/>
        <v>8.5965333163073865E-7</v>
      </c>
    </row>
    <row r="116" spans="1:40" x14ac:dyDescent="0.25">
      <c r="A116" s="3" t="str">
        <f ca="1">_xll.BDP($E116,A$3)</f>
        <v>AS6398158</v>
      </c>
      <c r="B116" s="12" t="str">
        <f ca="1">_xll.BDP($E116,B$3)</f>
        <v>EUR</v>
      </c>
      <c r="C116" s="12" t="str">
        <f ca="1">_xll.BDP($E116,C$3)</f>
        <v>GB</v>
      </c>
      <c r="D116" s="18" t="s">
        <v>218</v>
      </c>
      <c r="E116" s="3" t="str">
        <f t="shared" si="20"/>
        <v>XS1822824642 CORP</v>
      </c>
      <c r="F116" s="12">
        <f ca="1">_xll.BDP($E116,F$3)</f>
        <v>21</v>
      </c>
      <c r="G116" s="12" t="str">
        <f ca="1">_xll.BDP($E116,G$3)</f>
        <v>N</v>
      </c>
      <c r="H116" s="12" t="str">
        <f ca="1">_xll.BDP($E116,H$3)</f>
        <v>N</v>
      </c>
      <c r="I116" s="3" t="str">
        <f ca="1">_xll.BDP($E116,I$3)</f>
        <v>GSK F 05/21/20 EMTN</v>
      </c>
      <c r="J116" s="3" t="s">
        <v>132</v>
      </c>
      <c r="K116" s="3" t="str">
        <f ca="1">_xll.BDP($E116,K$3)</f>
        <v>21/05/2018</v>
      </c>
      <c r="L116" s="5">
        <f ca="1">DATEVALUE(_xll.BDP($E116,L$3))</f>
        <v>43425</v>
      </c>
      <c r="M116" s="17" t="str">
        <f t="shared" ca="1" si="15"/>
        <v/>
      </c>
      <c r="N116" s="3" t="str">
        <f ca="1">_xll.BDP($E116,N$3)</f>
        <v>21/02/2019</v>
      </c>
      <c r="O116" s="3" t="str">
        <f ca="1">_xll.BDP($E116,O$3)</f>
        <v>21/05/2020</v>
      </c>
      <c r="P116" s="2">
        <v>0</v>
      </c>
      <c r="Q116" s="24">
        <f ca="1">_xll.BDP($E116,Q$3)</f>
        <v>20</v>
      </c>
      <c r="R116" s="5">
        <f ca="1">DATEVALUE(_xll.BDP($E116,R$3))</f>
        <v>43972</v>
      </c>
      <c r="S116" s="3" t="str">
        <f ca="1">_xll.BDP($E116,S$3)</f>
        <v>CLEAN</v>
      </c>
      <c r="T116" s="3" t="str">
        <f ca="1">_xll.meLWOBondCreateFromGeneratorLVB(I116,D116,_xll.meUtilityLVBFromKeysValues($I$4:$R$4,I116:R116))</f>
        <v>GSK F 05/21/20 EMTN@158:14</v>
      </c>
      <c r="U116" s="23">
        <f t="shared" ca="1" si="21"/>
        <v>43454</v>
      </c>
      <c r="V116" s="8">
        <f ca="1">_xll.BDP($E116,V$3)</f>
        <v>14.835809299590611</v>
      </c>
      <c r="W116" s="8">
        <f ca="1">_xll.BDP($E116,W$3)</f>
        <v>-0.311</v>
      </c>
      <c r="X116" s="28">
        <f ca="1">_xll.BDP($E116,X$3)</f>
        <v>-0.33350000000000002</v>
      </c>
      <c r="Y116" s="28">
        <f ca="1">_xll.BDP($E116,Y$3)</f>
        <v>0</v>
      </c>
      <c r="Z116" s="24">
        <f ca="1">_xll.BDP($E116,Z$3)</f>
        <v>20</v>
      </c>
      <c r="AA116" s="35">
        <f ca="1">_xll.BDP($E116,AA$3)</f>
        <v>-0.16264200000000001</v>
      </c>
      <c r="AB116" s="8">
        <f ca="1">_xll.BDP($E116,AB$3)</f>
        <v>100.239</v>
      </c>
      <c r="AC116" s="38">
        <f ca="1">ROUND(_xll.meLWOBondFRNPriceFromDiscountMargin(T116,U116,V116/10000,W116/100,X116/100,Y116/100),3)</f>
        <v>100.239</v>
      </c>
      <c r="AD116" s="8">
        <f t="shared" ca="1" si="14"/>
        <v>0</v>
      </c>
      <c r="AE116" s="8">
        <f t="shared" ca="1" si="18"/>
        <v>100.239</v>
      </c>
      <c r="AF116" s="8">
        <f t="shared" ca="1" si="16"/>
        <v>0</v>
      </c>
      <c r="AG116" s="35">
        <f ca="1">_xll.meLWOBondFRNPriceFromYield(T116,U116,AA116/100,W116/100,X116/100,Y116/100)</f>
        <v>100.23900013700269</v>
      </c>
      <c r="AH116" s="35">
        <f ca="1">100*_xll.meLWOBondFRNYieldFromPrice(T116,U116,AG116,W116/100,X116/100,Y116/100)</f>
        <v>-0.16264199999999171</v>
      </c>
      <c r="AI116" s="35">
        <f t="shared" ca="1" si="22"/>
        <v>8.2989171090730451E-15</v>
      </c>
      <c r="AJ116" s="40">
        <f ca="1">10000*_xll.meLWOBondFRNDiscountMarginFromPrice(T116,U116,AG116,W116/100,X116/100,Y116/100)</f>
        <v>14.835800000000829</v>
      </c>
      <c r="AK116" s="41">
        <f t="shared" ca="1" si="19"/>
        <v>9.2995897826853025E-6</v>
      </c>
    </row>
    <row r="117" spans="1:40" x14ac:dyDescent="0.25">
      <c r="A117" s="3" t="str">
        <f ca="1">_xll.BDP($E117,A$3)</f>
        <v>AP0781801</v>
      </c>
      <c r="B117" s="12" t="str">
        <f ca="1">_xll.BDP($E117,B$3)</f>
        <v>EUR</v>
      </c>
      <c r="C117" s="12" t="str">
        <f ca="1">_xll.BDP($E117,C$3)</f>
        <v>US</v>
      </c>
      <c r="D117" s="18" t="s">
        <v>218</v>
      </c>
      <c r="E117" s="3" t="str">
        <f t="shared" si="20"/>
        <v>XS1683495052 CORP</v>
      </c>
      <c r="F117" s="12">
        <f ca="1">_xll.BDP($E117,F$3)</f>
        <v>21</v>
      </c>
      <c r="G117" s="12" t="str">
        <f ca="1">_xll.BDP($E117,G$3)</f>
        <v>N</v>
      </c>
      <c r="H117" s="12" t="str">
        <f ca="1">_xll.BDP($E117,H$3)</f>
        <v>N</v>
      </c>
      <c r="I117" s="3" t="str">
        <f ca="1">_xll.BDP($E117,I$3)</f>
        <v>DE F 09/15/20 EMTN</v>
      </c>
      <c r="J117" s="3" t="s">
        <v>133</v>
      </c>
      <c r="K117" s="3" t="str">
        <f ca="1">_xll.BDP($E117,K$3)</f>
        <v>15/09/2017</v>
      </c>
      <c r="L117" s="5">
        <f ca="1">DATEVALUE(_xll.BDP($E117,L$3))</f>
        <v>43451</v>
      </c>
      <c r="M117" s="17" t="str">
        <f t="shared" ca="1" si="15"/>
        <v/>
      </c>
      <c r="N117" s="3" t="str">
        <f ca="1">_xll.BDP($E117,N$3)</f>
        <v>15/03/2019</v>
      </c>
      <c r="O117" s="3" t="str">
        <f ca="1">_xll.BDP($E117,O$3)</f>
        <v>15/09/2020</v>
      </c>
      <c r="P117" s="2">
        <v>0</v>
      </c>
      <c r="Q117" s="24">
        <f ca="1">_xll.BDP($E117,Q$3)</f>
        <v>18</v>
      </c>
      <c r="R117" s="5">
        <f ca="1">DATEVALUE(_xll.BDP($E117,R$3))</f>
        <v>44089</v>
      </c>
      <c r="S117" s="3" t="str">
        <f ca="1">_xll.BDP($E117,S$3)</f>
        <v>CLEAN</v>
      </c>
      <c r="T117" s="3" t="str">
        <f ca="1">_xll.meLWOBondCreateFromGeneratorLVB(I117,D117,_xll.meUtilityLVBFromKeysValues($I$4:$R$4,I117:R117))</f>
        <v>DE F 09/15/20 EMTN@157:14</v>
      </c>
      <c r="U117" s="23">
        <f t="shared" ca="1" si="21"/>
        <v>43454</v>
      </c>
      <c r="V117" s="8">
        <f ca="1">_xll.BDP($E117,V$3)</f>
        <v>20.586903781342272</v>
      </c>
      <c r="W117" s="8">
        <f ca="1">_xll.BDP($E117,W$3)</f>
        <v>-0.311</v>
      </c>
      <c r="X117" s="28">
        <f ca="1">_xll.BDP($E117,X$3)</f>
        <v>-0.31516666666666665</v>
      </c>
      <c r="Y117" s="28">
        <f ca="1">_xll.BDP($E117,Y$3)</f>
        <v>0</v>
      </c>
      <c r="Z117" s="24">
        <f ca="1">_xll.BDP($E117,Z$3)</f>
        <v>18</v>
      </c>
      <c r="AA117" s="35">
        <f ca="1">_xll.BDP($E117,AA$3)</f>
        <v>-0.105131</v>
      </c>
      <c r="AB117" s="8">
        <f ca="1">_xll.BDP($E117,AB$3)</f>
        <v>100.18600000000001</v>
      </c>
      <c r="AC117" s="38">
        <f ca="1">ROUND(_xll.meLWOBondFRNPriceFromDiscountMargin(T117,U117,V117/10000,W117/100,X117/100,Y117/100),3)</f>
        <v>100.18600000000001</v>
      </c>
      <c r="AD117" s="8">
        <f t="shared" ca="1" si="14"/>
        <v>0</v>
      </c>
      <c r="AE117" s="8">
        <f t="shared" ca="1" si="18"/>
        <v>100.18600000000001</v>
      </c>
      <c r="AF117" s="8">
        <f t="shared" ca="1" si="16"/>
        <v>0</v>
      </c>
      <c r="AG117" s="35">
        <f ca="1">_xll.meLWOBondFRNPriceFromYield(T117,U117,AA117/100,W117/100,X117/100,Y117/100)</f>
        <v>100.18600006661738</v>
      </c>
      <c r="AH117" s="35">
        <f ca="1">100*_xll.meLWOBondFRNYieldFromPrice(T117,U117,AG117,W117/100,X117/100,Y117/100)</f>
        <v>-0.10513099999999345</v>
      </c>
      <c r="AI117" s="35">
        <f t="shared" ca="1" si="22"/>
        <v>6.5503158452884236E-15</v>
      </c>
      <c r="AJ117" s="40">
        <f ca="1">10000*_xll.meLWOBondFRNDiscountMarginFromPrice(T117,U117,AG117,W117/100,X117/100,Y117/100)</f>
        <v>20.586900000000654</v>
      </c>
      <c r="AK117" s="41">
        <f t="shared" ca="1" si="19"/>
        <v>3.7813416184917514E-6</v>
      </c>
    </row>
    <row r="118" spans="1:40" x14ac:dyDescent="0.25">
      <c r="A118" s="3" t="str">
        <f ca="1">_xll.BDP($E118,A$3)</f>
        <v>EK7816961</v>
      </c>
      <c r="B118" s="12" t="str">
        <f ca="1">_xll.BDP($E118,B$3)</f>
        <v>EUR</v>
      </c>
      <c r="C118" s="12" t="str">
        <f ca="1">_xll.BDP($E118,C$3)</f>
        <v>FR</v>
      </c>
      <c r="D118" s="18" t="s">
        <v>218</v>
      </c>
      <c r="E118" s="3" t="str">
        <f t="shared" si="20"/>
        <v>XS1206712868 CORP</v>
      </c>
      <c r="F118" s="12">
        <f ca="1">_xll.BDP($E118,F$3)</f>
        <v>21</v>
      </c>
      <c r="G118" s="12" t="str">
        <f ca="1">_xll.BDP($E118,G$3)</f>
        <v>N</v>
      </c>
      <c r="H118" s="12" t="str">
        <f ca="1">_xll.BDP($E118,H$3)</f>
        <v>N</v>
      </c>
      <c r="I118" s="3" t="str">
        <f ca="1">_xll.BDP($E118,I$3)</f>
        <v>CAFP F 03/20/20</v>
      </c>
      <c r="J118" s="3" t="s">
        <v>134</v>
      </c>
      <c r="K118" s="3" t="str">
        <f ca="1">_xll.BDP($E118,K$3)</f>
        <v>20/03/2015</v>
      </c>
      <c r="L118" s="5">
        <f ca="1">DATEVALUE(_xll.BDP($E118,L$3))</f>
        <v>43454</v>
      </c>
      <c r="M118" s="17" t="str">
        <f t="shared" ca="1" si="15"/>
        <v/>
      </c>
      <c r="N118" s="3" t="str">
        <f ca="1">_xll.BDP($E118,N$3)</f>
        <v>20/03/2019</v>
      </c>
      <c r="O118" s="3" t="str">
        <f ca="1">_xll.BDP($E118,O$3)</f>
        <v>20/03/2020</v>
      </c>
      <c r="P118" s="2">
        <v>0</v>
      </c>
      <c r="Q118" s="24">
        <f ca="1">_xll.BDP($E118,Q$3)</f>
        <v>50</v>
      </c>
      <c r="R118" s="5">
        <f ca="1">DATEVALUE(_xll.BDP($E118,R$3))</f>
        <v>43910</v>
      </c>
      <c r="S118" s="3" t="str">
        <f ca="1">_xll.BDP($E118,S$3)</f>
        <v>CLEAN</v>
      </c>
      <c r="T118" s="3" t="str">
        <f ca="1">_xll.meLWOBondCreateFromGeneratorLVB(I118,D118,_xll.meUtilityLVBFromKeysValues($I$4:$R$4,I118:R118))</f>
        <v>CAFP F 03/20/20@156:14</v>
      </c>
      <c r="U118" s="23">
        <f t="shared" ca="1" si="21"/>
        <v>43454</v>
      </c>
      <c r="V118" s="8">
        <f ca="1">_xll.BDP($E118,V$3)</f>
        <v>34.575834165409148</v>
      </c>
      <c r="W118" s="8">
        <f ca="1">_xll.BDP($E118,W$3)</f>
        <v>-0.311</v>
      </c>
      <c r="X118" s="28">
        <f ca="1">_xll.BDP($E118,X$3)</f>
        <v>-0.311</v>
      </c>
      <c r="Y118" s="28">
        <f ca="1">_xll.BDP($E118,Y$3)</f>
        <v>0.189</v>
      </c>
      <c r="Z118" s="24">
        <f ca="1">_xll.BDP($E118,Z$3)</f>
        <v>50</v>
      </c>
      <c r="AA118" s="35">
        <f ca="1">_xll.BDP($E118,AA$3)</f>
        <v>3.4757999999999997E-2</v>
      </c>
      <c r="AB118" s="8">
        <f ca="1">_xll.BDP($E118,AB$3)</f>
        <v>100.19499999999999</v>
      </c>
      <c r="AC118" s="38">
        <f ca="1">ROUND(_xll.meLWOBondFRNPriceFromDiscountMargin(T118,U118,V118/10000,W118/100,X118/100,Y118/100),3)</f>
        <v>100.19499999999999</v>
      </c>
      <c r="AD118" s="8">
        <f t="shared" ca="1" si="14"/>
        <v>0</v>
      </c>
      <c r="AE118" s="8">
        <f t="shared" ca="1" si="18"/>
        <v>100.19499999999999</v>
      </c>
      <c r="AF118" s="8">
        <f t="shared" ca="1" si="16"/>
        <v>0</v>
      </c>
      <c r="AG118" s="35">
        <f ca="1">_xll.meLWOBondFRNPriceFromYield(T118,U118,AA118/100,W118/100,X118/100,Y118/100)</f>
        <v>100.1950004324538</v>
      </c>
      <c r="AH118" s="35">
        <f ca="1">100*_xll.meLWOBondFRNYieldFromPrice(T118,U118,AG118,W118/100,X118/100,Y118/100)</f>
        <v>3.4758000000040576E-2</v>
      </c>
      <c r="AI118" s="35">
        <f t="shared" ca="1" si="22"/>
        <v>4.0578651550049472E-14</v>
      </c>
      <c r="AJ118" s="40">
        <f ca="1">10000*_xll.meLWOBondFRNDiscountMarginFromPrice(T118,U118,AG118,W118/100,X118/100,Y118/100)</f>
        <v>34.575800000004058</v>
      </c>
      <c r="AK118" s="41">
        <f t="shared" ca="1" si="19"/>
        <v>3.4165405089936485E-5</v>
      </c>
    </row>
    <row r="119" spans="1:40" x14ac:dyDescent="0.25">
      <c r="A119" s="3" t="str">
        <f ca="1">_xll.BDP($E119,A$3)</f>
        <v>AO9711687</v>
      </c>
      <c r="B119" s="12" t="str">
        <f ca="1">_xll.BDP($E119,B$3)</f>
        <v>EUR</v>
      </c>
      <c r="C119" s="12" t="str">
        <f ca="1">_xll.BDP($E119,C$3)</f>
        <v>DE</v>
      </c>
      <c r="D119" s="18" t="s">
        <v>218</v>
      </c>
      <c r="E119" s="3" t="str">
        <f t="shared" si="20"/>
        <v>XS1679028479 CORP</v>
      </c>
      <c r="F119" s="12">
        <f ca="1">_xll.BDP($E119,F$3)</f>
        <v>21</v>
      </c>
      <c r="G119" s="12" t="str">
        <f ca="1">_xll.BDP($E119,G$3)</f>
        <v>N</v>
      </c>
      <c r="H119" s="12" t="str">
        <f ca="1">_xll.BDP($E119,H$3)</f>
        <v>N</v>
      </c>
      <c r="I119" s="3" t="str">
        <f ca="1">_xll.BDP($E119,I$3)</f>
        <v>DAIGR F 09/11/19 EMTN</v>
      </c>
      <c r="J119" s="3" t="s">
        <v>135</v>
      </c>
      <c r="K119" s="3" t="str">
        <f ca="1">_xll.BDP($E119,K$3)</f>
        <v>11/09/2017</v>
      </c>
      <c r="L119" s="5">
        <f ca="1">DATEVALUE(_xll.BDP($E119,L$3))</f>
        <v>43445</v>
      </c>
      <c r="M119" s="17" t="str">
        <f t="shared" ca="1" si="15"/>
        <v/>
      </c>
      <c r="N119" s="3" t="str">
        <f ca="1">_xll.BDP($E119,N$3)</f>
        <v>11/03/2019</v>
      </c>
      <c r="O119" s="3" t="str">
        <f ca="1">_xll.BDP($E119,O$3)</f>
        <v>11/09/2019</v>
      </c>
      <c r="P119" s="2">
        <v>0</v>
      </c>
      <c r="Q119" s="24">
        <f ca="1">_xll.BDP($E119,Q$3)</f>
        <v>60</v>
      </c>
      <c r="R119" s="5">
        <f ca="1">DATEVALUE(_xll.BDP($E119,R$3))</f>
        <v>43719</v>
      </c>
      <c r="S119" s="3" t="str">
        <f ca="1">_xll.BDP($E119,S$3)</f>
        <v>CLEAN</v>
      </c>
      <c r="T119" s="3" t="str">
        <f ca="1">_xll.meLWOBondCreateFromGeneratorLVB(I119,D119,_xll.meUtilityLVBFromKeysValues($I$4:$R$4,I119:R119))</f>
        <v>DAIGR F 09/11/19 EMTN@155:14</v>
      </c>
      <c r="U119" s="23">
        <f t="shared" ca="1" si="21"/>
        <v>43454</v>
      </c>
      <c r="V119" s="8">
        <f ca="1">_xll.BDP($E119,V$3)</f>
        <v>26.113662637454311</v>
      </c>
      <c r="W119" s="8">
        <f ca="1">_xll.BDP($E119,W$3)</f>
        <v>-0.311</v>
      </c>
      <c r="X119" s="28">
        <f ca="1">_xll.BDP($E119,X$3)</f>
        <v>-0.31850000000000001</v>
      </c>
      <c r="Y119" s="28">
        <f ca="1">_xll.BDP($E119,Y$3)</f>
        <v>0.28499999999999998</v>
      </c>
      <c r="Z119" s="24">
        <f ca="1">_xll.BDP($E119,Z$3)</f>
        <v>60</v>
      </c>
      <c r="AA119" s="35">
        <f ca="1">_xll.BDP($E119,AA$3)</f>
        <v>-4.9862999999999998E-2</v>
      </c>
      <c r="AB119" s="8">
        <f ca="1">_xll.BDP($E119,AB$3)</f>
        <v>100.249</v>
      </c>
      <c r="AC119" s="38">
        <f ca="1">ROUND(_xll.meLWOBondFRNPriceFromDiscountMargin(T119,U119,V119/10000,W119/100,X119/100,Y119/100),3)</f>
        <v>100.249</v>
      </c>
      <c r="AD119" s="8">
        <f t="shared" ca="1" si="14"/>
        <v>0</v>
      </c>
      <c r="AE119" s="8">
        <f t="shared" ca="1" si="18"/>
        <v>100.249</v>
      </c>
      <c r="AF119" s="8">
        <f t="shared" ca="1" si="16"/>
        <v>0</v>
      </c>
      <c r="AG119" s="35">
        <f ca="1">_xll.meLWOBondFRNPriceFromYield(T119,U119,AA119/100,W119/100,X119/100,Y119/100)</f>
        <v>100.24899972586631</v>
      </c>
      <c r="AH119" s="35">
        <f ca="1">100*_xll.meLWOBondFRNYieldFromPrice(T119,U119,AG119,W119/100,X119/100,Y119/100)</f>
        <v>-4.9862999999960474E-2</v>
      </c>
      <c r="AI119" s="35">
        <f t="shared" ca="1" si="22"/>
        <v>3.9523939676655573E-14</v>
      </c>
      <c r="AJ119" s="40">
        <f ca="1">10000*_xll.meLWOBondFRNDiscountMarginFromPrice(T119,U119,AG119,W119/100,X119/100,Y119/100)</f>
        <v>26.113700000003952</v>
      </c>
      <c r="AK119" s="41">
        <f t="shared" ca="1" si="19"/>
        <v>3.7362549640818088E-5</v>
      </c>
    </row>
    <row r="120" spans="1:40" x14ac:dyDescent="0.25">
      <c r="A120" s="3" t="str">
        <f ca="1">_xll.BDP($E120,A$3)</f>
        <v>AP8877569</v>
      </c>
      <c r="B120" s="12" t="str">
        <f ca="1">_xll.BDP($E120,B$3)</f>
        <v>EUR</v>
      </c>
      <c r="C120" s="12" t="str">
        <f ca="1">_xll.BDP($E120,C$3)</f>
        <v>NL</v>
      </c>
      <c r="D120" s="18" t="s">
        <v>218</v>
      </c>
      <c r="E120" s="3" t="str">
        <f t="shared" si="20"/>
        <v>XS1715353105 CORP</v>
      </c>
      <c r="F120" s="12">
        <f ca="1">_xll.BDP($E120,F$3)</f>
        <v>21</v>
      </c>
      <c r="G120" s="12" t="str">
        <f ca="1">_xll.BDP($E120,G$3)</f>
        <v>N</v>
      </c>
      <c r="H120" s="12" t="str">
        <f ca="1">_xll.BDP($E120,H$3)</f>
        <v>N</v>
      </c>
      <c r="I120" s="3" t="str">
        <f ca="1">_xll.BDP($E120,I$3)</f>
        <v>AKZANA F 11/08/19 EMTN</v>
      </c>
      <c r="J120" s="3" t="s">
        <v>136</v>
      </c>
      <c r="K120" s="3" t="str">
        <f ca="1">_xll.BDP($E120,K$3)</f>
        <v>10/11/2017</v>
      </c>
      <c r="L120" s="5">
        <f ca="1">DATEVALUE(_xll.BDP($E120,L$3))</f>
        <v>43412</v>
      </c>
      <c r="M120" s="17" t="str">
        <f t="shared" ca="1" si="15"/>
        <v/>
      </c>
      <c r="N120" s="3" t="str">
        <f ca="1">_xll.BDP($E120,N$3)</f>
        <v>08/02/2019</v>
      </c>
      <c r="O120" s="3" t="str">
        <f ca="1">_xll.BDP($E120,O$3)</f>
        <v>08/11/2019</v>
      </c>
      <c r="P120" s="2">
        <v>0</v>
      </c>
      <c r="Q120" s="24">
        <f ca="1">_xll.BDP($E120,Q$3)</f>
        <v>20</v>
      </c>
      <c r="R120" s="5">
        <f ca="1">DATEVALUE(_xll.BDP($E120,R$3))</f>
        <v>43777</v>
      </c>
      <c r="S120" s="3" t="str">
        <f ca="1">_xll.BDP($E120,S$3)</f>
        <v>CLEAN</v>
      </c>
      <c r="T120" s="3" t="str">
        <f ca="1">_xll.meLWOBondCreateFromGeneratorLVB(I120,D120,_xll.meUtilityLVBFromKeysValues($I$4:$R$4,I120:R120))</f>
        <v>AKZANA F 11/08/19 EMTN@154:14</v>
      </c>
      <c r="U120" s="23">
        <f t="shared" ca="1" si="21"/>
        <v>43454</v>
      </c>
      <c r="V120" s="8">
        <f ca="1">_xll.BDP($E120,V$3)</f>
        <v>6.6861543869513538</v>
      </c>
      <c r="W120" s="8">
        <f ca="1">_xll.BDP($E120,W$3)</f>
        <v>-0.311</v>
      </c>
      <c r="X120" s="28">
        <f ca="1">_xll.BDP($E120,X$3)</f>
        <v>-0.34700000000000003</v>
      </c>
      <c r="Y120" s="28">
        <f ca="1">_xll.BDP($E120,Y$3)</f>
        <v>0</v>
      </c>
      <c r="Z120" s="24">
        <f ca="1">_xll.BDP($E120,Z$3)</f>
        <v>20</v>
      </c>
      <c r="AA120" s="35">
        <f ca="1">_xll.BDP($E120,AA$3)</f>
        <v>-0.24413799999999999</v>
      </c>
      <c r="AB120" s="8">
        <f ca="1">_xll.BDP($E120,AB$3)</f>
        <v>100.22499999999999</v>
      </c>
      <c r="AC120" s="38">
        <f ca="1">ROUND(_xll.meLWOBondFRNPriceFromDiscountMargin(T120,U120,V120/10000,W120/100,X120/100,Y120/100),3)</f>
        <v>100.22499999999999</v>
      </c>
      <c r="AD120" s="8">
        <f t="shared" ca="1" si="14"/>
        <v>0</v>
      </c>
      <c r="AE120" s="8">
        <f t="shared" ca="1" si="18"/>
        <v>100.22499999999999</v>
      </c>
      <c r="AF120" s="8">
        <f t="shared" ca="1" si="16"/>
        <v>0</v>
      </c>
      <c r="AG120" s="35">
        <f ca="1">_xll.meLWOBondFRNPriceFromYield(T120,U120,AA120/100,W120/100,X120/100,Y120/100)</f>
        <v>100.22499967487366</v>
      </c>
      <c r="AH120" s="35">
        <f ca="1">100*_xll.meLWOBondFRNYieldFromPrice(T120,U120,AG120,W120/100,X120/100,Y120/100)</f>
        <v>-0.24413799999996139</v>
      </c>
      <c r="AI120" s="35">
        <f t="shared" ca="1" si="22"/>
        <v>3.8608005681339819E-14</v>
      </c>
      <c r="AJ120" s="40">
        <f ca="1">10000*_xll.meLWOBondFRNDiscountMarginFromPrice(T120,U120,AG120,W120/100,X120/100,Y120/100)</f>
        <v>6.6862000000038595</v>
      </c>
      <c r="AK120" s="41">
        <f t="shared" ca="1" si="19"/>
        <v>4.5613052505721896E-5</v>
      </c>
    </row>
    <row r="121" spans="1:40" x14ac:dyDescent="0.25">
      <c r="A121" s="3" t="str">
        <f ca="1">_xll.BDP($E121,A$3)</f>
        <v>018489AD6</v>
      </c>
      <c r="B121" s="12" t="str">
        <f ca="1">_xll.BDP($E121,B$3)</f>
        <v>EUR</v>
      </c>
      <c r="C121" s="12" t="str">
        <f ca="1">_xll.BDP($E121,C$3)</f>
        <v>US</v>
      </c>
      <c r="D121" s="18" t="s">
        <v>218</v>
      </c>
      <c r="E121" s="3" t="str">
        <f t="shared" si="20"/>
        <v>XS1622634126 CORP</v>
      </c>
      <c r="F121" s="12">
        <f ca="1">_xll.BDP($E121,F$3)</f>
        <v>21</v>
      </c>
      <c r="G121" s="12" t="str">
        <f ca="1">_xll.BDP($E121,G$3)</f>
        <v>N</v>
      </c>
      <c r="H121" s="12" t="str">
        <f ca="1">_xll.BDP($E121,H$3)</f>
        <v>N</v>
      </c>
      <c r="I121" s="3" t="str">
        <f ca="1">_xll.BDP($E121,I$3)</f>
        <v>AGN F 06/01/19</v>
      </c>
      <c r="J121" s="3" t="s">
        <v>137</v>
      </c>
      <c r="K121" s="3" t="str">
        <f ca="1">_xll.BDP($E121,K$3)</f>
        <v>26/05/2017</v>
      </c>
      <c r="L121" s="5">
        <f ca="1">DATEVALUE(_xll.BDP($E121,L$3))</f>
        <v>43437</v>
      </c>
      <c r="M121" s="17" t="str">
        <f t="shared" ca="1" si="15"/>
        <v/>
      </c>
      <c r="N121" s="3" t="str">
        <f ca="1">_xll.BDP($E121,N$3)</f>
        <v>01/03/2019</v>
      </c>
      <c r="O121" s="3" t="str">
        <f ca="1">_xll.BDP($E121,O$3)</f>
        <v>01/06/2019</v>
      </c>
      <c r="P121" s="2">
        <v>0</v>
      </c>
      <c r="Q121" s="24">
        <f ca="1">_xll.BDP($E121,Q$3)</f>
        <v>35</v>
      </c>
      <c r="R121" s="5">
        <f ca="1">DATEVALUE(_xll.BDP($E121,R$3))</f>
        <v>43617</v>
      </c>
      <c r="S121" s="3" t="str">
        <f ca="1">_xll.BDP($E121,S$3)</f>
        <v>CLEAN</v>
      </c>
      <c r="T121" s="3" t="str">
        <f ca="1">_xll.meLWOBondCreateFromGeneratorLVB(I121,D121,_xll.meUtilityLVBFromKeysValues($I$4:$R$4,I121:R121))</f>
        <v>AGN F 06/01/19@153:14</v>
      </c>
      <c r="U121" s="23">
        <f t="shared" ca="1" si="21"/>
        <v>43454</v>
      </c>
      <c r="V121" s="8">
        <f ca="1">_xll.BDP($E121,V$3)</f>
        <v>25.052019664741277</v>
      </c>
      <c r="W121" s="8">
        <f ca="1">_xll.BDP($E121,W$3)</f>
        <v>-0.311</v>
      </c>
      <c r="X121" s="28">
        <f ca="1">_xll.BDP($E121,X$3)</f>
        <v>-0.32683333333333336</v>
      </c>
      <c r="Y121" s="28">
        <f ca="1">_xll.BDP($E121,Y$3)</f>
        <v>3.4000000000000002E-2</v>
      </c>
      <c r="Z121" s="24">
        <f ca="1">_xll.BDP($E121,Z$3)</f>
        <v>35</v>
      </c>
      <c r="AA121" s="35">
        <f ca="1">_xll.BDP($E121,AA$3)</f>
        <v>-6.0479999999999999E-2</v>
      </c>
      <c r="AB121" s="8">
        <f ca="1">_xll.BDP($E121,AB$3)</f>
        <v>100.047</v>
      </c>
      <c r="AC121" s="38">
        <f ca="1">ROUND(_xll.meLWOBondFRNPriceFromDiscountMargin(T121,U121,V121/10000,W121/100,X121/100,Y121/100),3)</f>
        <v>100.047</v>
      </c>
      <c r="AD121" s="8">
        <f t="shared" ca="1" si="14"/>
        <v>0</v>
      </c>
      <c r="AE121" s="8">
        <f t="shared" ca="1" si="18"/>
        <v>100.047</v>
      </c>
      <c r="AF121" s="8">
        <f t="shared" ca="1" si="16"/>
        <v>0</v>
      </c>
      <c r="AG121" s="35">
        <f ca="1">_xll.meLWOBondFRNPriceFromYield(T121,U121,AA121/100,W121/100,X121/100,Y121/100)</f>
        <v>100.04700011514154</v>
      </c>
      <c r="AH121" s="35">
        <f ca="1">100*_xll.meLWOBondFRNYieldFromPrice(T121,U121,AG121,W121/100,X121/100,Y121/100)</f>
        <v>-6.0480000000024792E-2</v>
      </c>
      <c r="AI121" s="35">
        <f t="shared" ca="1" si="22"/>
        <v>2.4792667918660527E-14</v>
      </c>
      <c r="AJ121" s="40">
        <f ca="1">10000*_xll.meLWOBondFRNDiscountMarginFromPrice(T121,U121,AG121,W121/100,X121/100,Y121/100)</f>
        <v>25.05199999999752</v>
      </c>
      <c r="AK121" s="41">
        <f t="shared" ca="1" si="19"/>
        <v>1.9664743756919734E-5</v>
      </c>
    </row>
    <row r="122" spans="1:40" x14ac:dyDescent="0.25">
      <c r="A122" s="3" t="str">
        <f ca="1">_xll.BDP($E122,A$3)</f>
        <v>AT0013991</v>
      </c>
      <c r="B122" s="12" t="str">
        <f ca="1">_xll.BDP($E122,B$3)</f>
        <v>EUR</v>
      </c>
      <c r="C122" s="12" t="str">
        <f ca="1">_xll.BDP($E122,C$3)</f>
        <v>FR</v>
      </c>
      <c r="D122" s="18" t="s">
        <v>216</v>
      </c>
      <c r="E122" s="3" t="str">
        <f t="shared" si="20"/>
        <v>FR0013342664 CORP</v>
      </c>
      <c r="F122" s="12">
        <f ca="1">_xll.BDP($E122,F$3)</f>
        <v>21</v>
      </c>
      <c r="G122" s="12" t="str">
        <f ca="1">_xll.BDP($E122,G$3)</f>
        <v>Y</v>
      </c>
      <c r="H122" s="12" t="str">
        <f ca="1">_xll.BDP($E122,H$3)</f>
        <v>N</v>
      </c>
      <c r="I122" s="3" t="str">
        <f ca="1">_xll.BDP($E122,I$3)</f>
        <v>CAFP F 06/15/22 EMTN</v>
      </c>
      <c r="J122" s="3" t="s">
        <v>138</v>
      </c>
      <c r="K122" s="3" t="str">
        <f ca="1">_xll.BDP($E122,K$3)</f>
        <v>15/06/2018</v>
      </c>
      <c r="L122" s="5">
        <f ca="1">DATEVALUE(_xll.BDP($E122,L$3))</f>
        <v>43449</v>
      </c>
      <c r="M122" s="17" t="str">
        <f t="shared" ca="1" si="15"/>
        <v/>
      </c>
      <c r="N122" s="3" t="str">
        <f ca="1">_xll.BDP($E122,N$3)</f>
        <v>15/03/2019</v>
      </c>
      <c r="O122" s="3" t="str">
        <f ca="1">_xll.BDP($E122,O$3)</f>
        <v>15/06/2022</v>
      </c>
      <c r="P122" s="2">
        <v>0</v>
      </c>
      <c r="Q122" s="24">
        <f ca="1">_xll.BDP($E122,Q$3)</f>
        <v>62</v>
      </c>
      <c r="R122" s="5">
        <f ca="1">DATEVALUE(_xll.BDP($E122,R$3))</f>
        <v>44727</v>
      </c>
      <c r="S122" s="3" t="str">
        <f ca="1">_xll.BDP($E122,S$3)</f>
        <v>CLEAN</v>
      </c>
      <c r="T122" s="3" t="str">
        <f ca="1">_xll.meLWOBondCreateFromGeneratorLVB(I122,D122,_xll.meUtilityLVBFromKeysValues($I$4:$R$4,I122:R122))</f>
        <v>CAFP F 06/15/22 EMTN@152:14</v>
      </c>
      <c r="U122" s="23">
        <f t="shared" ca="1" si="21"/>
        <v>43454</v>
      </c>
      <c r="V122" s="8">
        <f ca="1">_xll.BDP($E122,V$3)</f>
        <v>86.852564935861935</v>
      </c>
      <c r="W122" s="8">
        <f ca="1">_xll.BDP($E122,W$3)</f>
        <v>-0.311</v>
      </c>
      <c r="X122" s="28">
        <f ca="1">_xll.BDP($E122,X$3)</f>
        <v>-0.31516666666666665</v>
      </c>
      <c r="Y122" s="28">
        <f ca="1">_xll.BDP($E122,Y$3)</f>
        <v>0.309</v>
      </c>
      <c r="Z122" s="24">
        <f ca="1">_xll.BDP($E122,Z$3)</f>
        <v>62</v>
      </c>
      <c r="AA122" s="35">
        <f ca="1">_xll.BDP($E122,AA$3)</f>
        <v>0.55752599999999997</v>
      </c>
      <c r="AB122" s="8">
        <f ca="1">_xll.BDP($E122,AB$3)</f>
        <v>99.132000000000005</v>
      </c>
      <c r="AC122" s="38">
        <f ca="1">ROUND(_xll.meLWOBondFRNPriceFromDiscountMargin(T122,U122,V122/10000,W122/100,X122/100,Y122/100),3)</f>
        <v>99.132000000000005</v>
      </c>
      <c r="AD122" s="8">
        <f ca="1">ABS(AC122-AB122)</f>
        <v>0</v>
      </c>
      <c r="AE122" s="8">
        <f t="shared" ca="1" si="18"/>
        <v>99.132000000000005</v>
      </c>
      <c r="AF122" s="8">
        <f t="shared" ca="1" si="16"/>
        <v>0</v>
      </c>
      <c r="AG122" s="35">
        <f ca="1">_xll.meLWOBondFRNPriceFromYield(T122,U122,AA122/100,W122/100,X122/100,Y122/100)</f>
        <v>99.131998996897423</v>
      </c>
      <c r="AH122" s="35">
        <f ca="1">100*_xll.meLWOBondFRNYieldFromPrice(T122,U122,AG122,W122/100,X122/100,Y122/100)</f>
        <v>0.55752600000001873</v>
      </c>
      <c r="AI122" s="35">
        <f t="shared" ca="1" si="22"/>
        <v>1.8762769116165146E-14</v>
      </c>
      <c r="AJ122" s="40">
        <f ca="1">10000*_xll.meLWOBondFRNDiscountMarginFromPrice(T122,U122,AG122,W122/100,X122/100,Y122/100)</f>
        <v>86.852600000001871</v>
      </c>
      <c r="AK122" s="41">
        <f t="shared" ca="1" si="19"/>
        <v>3.5064139936480387E-5</v>
      </c>
    </row>
    <row r="123" spans="1:40" x14ac:dyDescent="0.25">
      <c r="A123" s="3" t="str">
        <f ca="1">_xll.BDP($E123,A$3)</f>
        <v>AM5142717</v>
      </c>
      <c r="B123" s="12" t="str">
        <f ca="1">_xll.BDP($E123,B$3)</f>
        <v>EUR</v>
      </c>
      <c r="C123" s="12" t="str">
        <f ca="1">_xll.BDP($E123,C$3)</f>
        <v>IT</v>
      </c>
      <c r="D123" s="18" t="s">
        <v>218</v>
      </c>
      <c r="E123" s="3" t="str">
        <f t="shared" si="20"/>
        <v>XS1568906421 CORP</v>
      </c>
      <c r="F123" s="12">
        <f ca="1">_xll.BDP($E123,F$3)</f>
        <v>21</v>
      </c>
      <c r="G123" s="12" t="str">
        <f ca="1">_xll.BDP($E123,G$3)</f>
        <v>N</v>
      </c>
      <c r="H123" s="12" t="str">
        <f ca="1">_xll.BDP($E123,H$3)</f>
        <v>N</v>
      </c>
      <c r="I123" s="3" t="str">
        <f ca="1">_xll.BDP($E123,I$3)</f>
        <v>SRGIM F 02/21/22 EMTN</v>
      </c>
      <c r="J123" s="3" t="s">
        <v>139</v>
      </c>
      <c r="K123" s="3" t="str">
        <f ca="1">_xll.BDP($E123,K$3)</f>
        <v>21/02/2017</v>
      </c>
      <c r="L123" s="5">
        <f ca="1">DATEVALUE(_xll.BDP($E123,L$3))</f>
        <v>43425</v>
      </c>
      <c r="M123" s="17" t="str">
        <f t="shared" ca="1" si="15"/>
        <v/>
      </c>
      <c r="N123" s="3" t="str">
        <f ca="1">_xll.BDP($E123,N$3)</f>
        <v>21/02/2019</v>
      </c>
      <c r="O123" s="3" t="str">
        <f ca="1">_xll.BDP($E123,O$3)</f>
        <v>21/02/2022</v>
      </c>
      <c r="P123" s="2">
        <v>0</v>
      </c>
      <c r="Q123" s="24">
        <f ca="1">_xll.BDP($E123,Q$3)</f>
        <v>60</v>
      </c>
      <c r="R123" s="5">
        <f ca="1">DATEVALUE(_xll.BDP($E123,R$3))</f>
        <v>44613</v>
      </c>
      <c r="S123" s="3" t="str">
        <f ca="1">_xll.BDP($E123,S$3)</f>
        <v>CLEAN</v>
      </c>
      <c r="T123" s="3" t="str">
        <f ca="1">_xll.meLWOBondCreateFromGeneratorLVB(I123,D123,_xll.meUtilityLVBFromKeysValues($I$4:$R$4,I123:R123))</f>
        <v>SRGIM F 02/21/22 EMTN@151:14</v>
      </c>
      <c r="U123" s="23">
        <f t="shared" ca="1" si="21"/>
        <v>43454</v>
      </c>
      <c r="V123" s="8">
        <f ca="1">_xll.BDP($E123,V$3)</f>
        <v>107.88496881136543</v>
      </c>
      <c r="W123" s="8">
        <f ca="1">_xll.BDP($E123,W$3)</f>
        <v>-0.311</v>
      </c>
      <c r="X123" s="28">
        <f ca="1">_xll.BDP($E123,X$3)</f>
        <v>-0.33350000000000002</v>
      </c>
      <c r="Y123" s="28">
        <f ca="1">_xll.BDP($E123,Y$3)</f>
        <v>0.28399999999999997</v>
      </c>
      <c r="Z123" s="24">
        <f ca="1">_xll.BDP($E123,Z$3)</f>
        <v>60</v>
      </c>
      <c r="AA123" s="35">
        <f ca="1">_xll.BDP($E123,AA$3)</f>
        <v>0.76785000000000003</v>
      </c>
      <c r="AB123" s="8">
        <f ca="1">_xll.BDP($E123,AB$3)</f>
        <v>98.481999999999999</v>
      </c>
      <c r="AC123" s="38">
        <f ca="1">ROUND(_xll.meLWOBondFRNPriceFromDiscountMargin(T123,U123,V123/10000,W123/100,X123/100,Y123/100),3)</f>
        <v>98.481999999999999</v>
      </c>
      <c r="AD123" s="8">
        <f t="shared" ca="1" si="14"/>
        <v>0</v>
      </c>
      <c r="AE123" s="8">
        <f t="shared" ca="1" si="18"/>
        <v>98.481999999999999</v>
      </c>
      <c r="AF123" s="8">
        <f t="shared" ca="1" si="16"/>
        <v>0</v>
      </c>
      <c r="AG123" s="35">
        <f ca="1">_xll.meLWOBondFRNPriceFromYield(T123,U123,AA123/100,W123/100,X123/100,Y123/100)</f>
        <v>98.481999017485009</v>
      </c>
      <c r="AH123" s="35">
        <f ca="1">100*_xll.meLWOBondFRNYieldFromPrice(T123,U123,AG123,W123/100,X123/100,Y123/100)</f>
        <v>0.76784999996954928</v>
      </c>
      <c r="AI123" s="35">
        <f t="shared" ca="1" si="22"/>
        <v>3.0450753030208944E-11</v>
      </c>
      <c r="AJ123" s="40">
        <f ca="1">10000*_xll.meLWOBondFRNDiscountMarginFromPrice(T123,U123,AG123,W123/100,X123/100,Y123/100)</f>
        <v>107.88499999695493</v>
      </c>
      <c r="AK123" s="41">
        <f t="shared" ca="1" si="19"/>
        <v>3.1185589506321776E-5</v>
      </c>
    </row>
    <row r="124" spans="1:40" x14ac:dyDescent="0.25">
      <c r="A124" s="3" t="str">
        <f ca="1">_xll.BDP($E124,A$3)</f>
        <v>AQ6887436</v>
      </c>
      <c r="B124" s="12" t="str">
        <f ca="1">_xll.BDP($E124,B$3)</f>
        <v>EUR</v>
      </c>
      <c r="C124" s="12" t="str">
        <f ca="1">_xll.BDP($E124,C$3)</f>
        <v>BE</v>
      </c>
      <c r="D124" s="18" t="s">
        <v>216</v>
      </c>
      <c r="E124" s="3" t="str">
        <f t="shared" si="20"/>
        <v>BE6301509012 CORP</v>
      </c>
      <c r="F124" s="12">
        <f ca="1">_xll.BDP($E124,F$3)</f>
        <v>21</v>
      </c>
      <c r="G124" s="12" t="str">
        <f ca="1">_xll.BDP($E124,G$3)</f>
        <v>N</v>
      </c>
      <c r="H124" s="12" t="str">
        <f ca="1">_xll.BDP($E124,H$3)</f>
        <v>N</v>
      </c>
      <c r="I124" s="3" t="str">
        <f ca="1">_xll.BDP($E124,I$3)</f>
        <v>ABIBB F 04/15/24 EMTN</v>
      </c>
      <c r="J124" s="3" t="s">
        <v>140</v>
      </c>
      <c r="K124" s="3" t="str">
        <f ca="1">_xll.BDP($E124,K$3)</f>
        <v>23/01/2018</v>
      </c>
      <c r="L124" s="5">
        <f ca="1">DATEVALUE(_xll.BDP($E124,L$3))</f>
        <v>43388</v>
      </c>
      <c r="M124" s="17" t="str">
        <f t="shared" ca="1" si="15"/>
        <v/>
      </c>
      <c r="N124" s="3" t="str">
        <f ca="1">_xll.BDP($E124,N$3)</f>
        <v>15/01/2019</v>
      </c>
      <c r="O124" s="3" t="str">
        <f ca="1">_xll.BDP($E124,O$3)</f>
        <v>15/04/2024</v>
      </c>
      <c r="P124" s="2">
        <v>0</v>
      </c>
      <c r="Q124" s="24">
        <f ca="1">_xll.BDP($E124,Q$3)</f>
        <v>30</v>
      </c>
      <c r="R124" s="5">
        <f ca="1">DATEVALUE(_xll.BDP($E124,R$3))</f>
        <v>45397</v>
      </c>
      <c r="S124" s="3" t="str">
        <f ca="1">_xll.BDP($E124,S$3)</f>
        <v>CLEAN</v>
      </c>
      <c r="T124" s="3" t="str">
        <f ca="1">_xll.meLWOBondCreateFromGeneratorLVB(I124,D124,_xll.meUtilityLVBFromKeysValues($I$4:$R$4,I124:R124))</f>
        <v>ABIBB F 04/15/24 EMTN@150:14</v>
      </c>
      <c r="U124" s="23">
        <f t="shared" ca="1" si="21"/>
        <v>43454</v>
      </c>
      <c r="V124" s="8">
        <f ca="1">_xll.BDP($E124,V$3)</f>
        <v>98.264144117908359</v>
      </c>
      <c r="W124" s="8">
        <f ca="1">_xll.BDP($E124,W$3)</f>
        <v>-0.311</v>
      </c>
      <c r="X124" s="28">
        <f ca="1">_xll.BDP($E124,X$3)</f>
        <v>-0.37056521739130432</v>
      </c>
      <c r="Y124" s="28">
        <f ca="1">_xll.BDP($E124,Y$3)</f>
        <v>0</v>
      </c>
      <c r="Z124" s="24">
        <f ca="1">_xll.BDP($E124,Z$3)</f>
        <v>30</v>
      </c>
      <c r="AA124" s="35">
        <f ca="1">_xll.BDP($E124,AA$3)</f>
        <v>0.67164100000000004</v>
      </c>
      <c r="AB124" s="8">
        <f ca="1">_xll.BDP($E124,AB$3)</f>
        <v>96.445999999999998</v>
      </c>
      <c r="AC124" s="38">
        <f ca="1">ROUND(_xll.meLWOBondFRNPriceFromDiscountMargin(T124,U124,V124/10000,W124/100,X124/100,Y124/100),3)</f>
        <v>96.445999999999998</v>
      </c>
      <c r="AD124" s="8">
        <f ca="1">ABS(AC124-AB124)</f>
        <v>0</v>
      </c>
      <c r="AE124" s="8">
        <f t="shared" ca="1" si="18"/>
        <v>96.445999999999998</v>
      </c>
      <c r="AF124" s="8">
        <f ca="1">ABS(AE124-AB124)</f>
        <v>0</v>
      </c>
      <c r="AG124" s="35">
        <f ca="1">_xll.meLWOBondFRNPriceFromYield(T124,U124,AA124/100,W124/100,X124/100,Y124/100)</f>
        <v>96.446002293370412</v>
      </c>
      <c r="AH124" s="35">
        <f ca="1">100*_xll.meLWOBondFRNYieldFromPrice(T124,U124,AG124,W124/100,X124/100,Y124/100)</f>
        <v>0.67164100000038973</v>
      </c>
      <c r="AI124" s="35">
        <f t="shared" ca="1" si="22"/>
        <v>3.8968828164342995E-13</v>
      </c>
      <c r="AJ124" s="40">
        <f ca="1">10000*_xll.meLWOBondFRNDiscountMarginFromPrice(T124,U124,AG124,W124/100,X124/100,Y124/100)</f>
        <v>98.264100000038965</v>
      </c>
      <c r="AK124" s="41">
        <f t="shared" ca="1" si="19"/>
        <v>4.4117869393289766E-5</v>
      </c>
    </row>
    <row r="125" spans="1:40" x14ac:dyDescent="0.25">
      <c r="A125" s="3" t="str">
        <f ca="1">_xll.BDP($E125,A$3)</f>
        <v>AQ6097366</v>
      </c>
      <c r="B125" s="12" t="str">
        <f ca="1">_xll.BDP($E125,B$3)</f>
        <v>EUR</v>
      </c>
      <c r="C125" s="12" t="str">
        <f ca="1">_xll.BDP($E125,C$3)</f>
        <v>DE</v>
      </c>
      <c r="D125" s="18" t="s">
        <v>218</v>
      </c>
      <c r="E125" s="3" t="str">
        <f t="shared" si="20"/>
        <v>DE000A19UNN9 CORP</v>
      </c>
      <c r="F125" s="12">
        <f ca="1">_xll.BDP($E125,F$3)</f>
        <v>21</v>
      </c>
      <c r="G125" s="12" t="str">
        <f ca="1">_xll.BDP($E125,G$3)</f>
        <v>N</v>
      </c>
      <c r="H125" s="12" t="str">
        <f ca="1">_xll.BDP($E125,H$3)</f>
        <v>N</v>
      </c>
      <c r="I125" s="3" t="str">
        <f ca="1">_xll.BDP($E125,I$3)</f>
        <v>DAIGR F 01/11/23 EMTN</v>
      </c>
      <c r="J125" s="3" t="s">
        <v>141</v>
      </c>
      <c r="K125" s="3" t="str">
        <f ca="1">_xll.BDP($E125,K$3)</f>
        <v>11/01/2018</v>
      </c>
      <c r="L125" s="5">
        <f ca="1">DATEVALUE(_xll.BDP($E125,L$3))</f>
        <v>43384</v>
      </c>
      <c r="M125" s="17" t="str">
        <f t="shared" ca="1" si="15"/>
        <v/>
      </c>
      <c r="N125" s="3" t="str">
        <f ca="1">_xll.BDP($E125,N$3)</f>
        <v>11/01/2019</v>
      </c>
      <c r="O125" s="3" t="str">
        <f ca="1">_xll.BDP($E125,O$3)</f>
        <v>11/01/2023</v>
      </c>
      <c r="P125" s="2">
        <v>0</v>
      </c>
      <c r="Q125" s="24">
        <f ca="1">_xll.BDP($E125,Q$3)</f>
        <v>25</v>
      </c>
      <c r="R125" s="5">
        <f ca="1">DATEVALUE(_xll.BDP($E125,R$3))</f>
        <v>44937</v>
      </c>
      <c r="S125" s="3" t="str">
        <f ca="1">_xll.BDP($E125,S$3)</f>
        <v>CLEAN</v>
      </c>
      <c r="T125" s="3" t="str">
        <f ca="1">_xll.meLWOBondCreateFromGeneratorLVB(I125,D125,_xll.meUtilityLVBFromKeysValues($I$4:$R$4,I125:R125))</f>
        <v>DAIGR F 01/11/23 EMTN@149:14</v>
      </c>
      <c r="U125" s="23">
        <f t="shared" ca="1" si="21"/>
        <v>43454</v>
      </c>
      <c r="V125" s="8">
        <f ca="1">_xll.BDP($E125,V$3)</f>
        <v>77.165211387124003</v>
      </c>
      <c r="W125" s="8">
        <f ca="1">_xll.BDP($E125,W$3)</f>
        <v>-0.311</v>
      </c>
      <c r="X125" s="28">
        <f ca="1">_xll.BDP($E125,X$3)</f>
        <v>-0.37213043478260871</v>
      </c>
      <c r="Y125" s="28">
        <f ca="1">_xll.BDP($E125,Y$3)</f>
        <v>0</v>
      </c>
      <c r="Z125" s="24">
        <f ca="1">_xll.BDP($E125,Z$3)</f>
        <v>25</v>
      </c>
      <c r="AA125" s="35">
        <f ca="1">_xll.BDP($E125,AA$3)</f>
        <v>0.46065200000000001</v>
      </c>
      <c r="AB125" s="8">
        <f ca="1">_xll.BDP($E125,AB$3)</f>
        <v>98.125</v>
      </c>
      <c r="AC125" s="38">
        <f ca="1">ROUND(_xll.meLWOBondFRNPriceFromDiscountMargin(T125,U125,V125/10000,W125/100,X125/100,Y125/100),3)</f>
        <v>98.125</v>
      </c>
      <c r="AD125" s="8">
        <f t="shared" ca="1" si="14"/>
        <v>0</v>
      </c>
      <c r="AE125" s="8">
        <f t="shared" ca="1" si="18"/>
        <v>98.125</v>
      </c>
      <c r="AF125" s="8">
        <f t="shared" ca="1" si="16"/>
        <v>0</v>
      </c>
      <c r="AG125" s="35">
        <f ca="1">_xll.meLWOBondFRNPriceFromYield(T125,U125,AA125/100,W125/100,X125/100,Y125/100)</f>
        <v>98.125000704527636</v>
      </c>
      <c r="AH125" s="35">
        <f ca="1">100*_xll.meLWOBondFRNYieldFromPrice(T125,U125,AG125,W125/100,X125/100,Y125/100)</f>
        <v>0.46065200000012752</v>
      </c>
      <c r="AI125" s="35">
        <f t="shared" ca="1" si="22"/>
        <v>1.2750911437819923E-13</v>
      </c>
      <c r="AJ125" s="40">
        <f ca="1">10000*_xll.meLWOBondFRNDiscountMarginFromPrice(T125,U125,AG125,W125/100,X125/100,Y125/100)</f>
        <v>77.165200000012746</v>
      </c>
      <c r="AK125" s="41">
        <f t="shared" ca="1" si="19"/>
        <v>1.1387111257477045E-5</v>
      </c>
    </row>
    <row r="126" spans="1:40" x14ac:dyDescent="0.25">
      <c r="A126" s="3" t="str">
        <f ca="1">_xll.BDP($E126,A$3)</f>
        <v>EK9031791</v>
      </c>
      <c r="B126" s="12" t="str">
        <f ca="1">_xll.BDP($E126,B$3)</f>
        <v>EUR</v>
      </c>
      <c r="C126" s="12" t="str">
        <f ca="1">_xll.BDP($E126,C$3)</f>
        <v>US</v>
      </c>
      <c r="D126" s="18" t="s">
        <v>218</v>
      </c>
      <c r="E126" s="3" t="str">
        <f t="shared" ref="E126:E138" si="23">J126&amp;" CORP"</f>
        <v>XS1230926609 CORP</v>
      </c>
      <c r="F126" s="12">
        <f ca="1">_xll.BDP($E126,F$3)</f>
        <v>21</v>
      </c>
      <c r="G126" s="12" t="str">
        <f ca="1">_xll.BDP($E126,G$3)</f>
        <v>N</v>
      </c>
      <c r="H126" s="12" t="str">
        <f ca="1">_xll.BDP($E126,H$3)</f>
        <v>N</v>
      </c>
      <c r="I126" s="3" t="str">
        <f ca="1">_xll.BDP($E126,I$3)</f>
        <v>CL F 05/14/19</v>
      </c>
      <c r="J126" s="3" t="s">
        <v>142</v>
      </c>
      <c r="K126" s="3" t="str">
        <f ca="1">_xll.BDP($E126,K$3)</f>
        <v>14/05/2015</v>
      </c>
      <c r="L126" s="5">
        <f ca="1">DATEVALUE(_xll.BDP($E126,L$3))</f>
        <v>43418</v>
      </c>
      <c r="M126" s="17" t="str">
        <f t="shared" ca="1" si="15"/>
        <v/>
      </c>
      <c r="N126" s="3" t="str">
        <f ca="1">_xll.BDP($E126,N$3)</f>
        <v>14/02/2019</v>
      </c>
      <c r="O126" s="3" t="str">
        <f ca="1">_xll.BDP($E126,O$3)</f>
        <v>14/05/2019</v>
      </c>
      <c r="P126" s="2">
        <v>0</v>
      </c>
      <c r="Q126" s="24">
        <f ca="1">_xll.BDP($E126,Q$3)</f>
        <v>23</v>
      </c>
      <c r="R126" s="5">
        <f ca="1">DATEVALUE(_xll.BDP($E126,R$3))</f>
        <v>43599</v>
      </c>
      <c r="S126" s="3" t="str">
        <f ca="1">_xll.BDP($E126,S$3)</f>
        <v>CLEAN</v>
      </c>
      <c r="T126" s="3" t="str">
        <f ca="1">_xll.meLWOBondCreateFromGeneratorLVB(I126,D126,_xll.meUtilityLVBFromKeysValues($I$4:$R$4,I126:R126))</f>
        <v>CL F 05/14/19@148:14</v>
      </c>
      <c r="U126" s="23">
        <f t="shared" ca="1" si="21"/>
        <v>43454</v>
      </c>
      <c r="V126" s="8">
        <f ca="1">_xll.BDP($E126,V$3)</f>
        <v>-4.6412151809562987</v>
      </c>
      <c r="W126" s="8">
        <f ca="1">_xll.BDP($E126,W$3)</f>
        <v>-0.311</v>
      </c>
      <c r="X126" s="28">
        <f ca="1">_xll.BDP($E126,X$3)</f>
        <v>-0.34040000000000004</v>
      </c>
      <c r="Y126" s="28">
        <f ca="1">_xll.BDP($E126,Y$3)</f>
        <v>0</v>
      </c>
      <c r="Z126" s="24">
        <f ca="1">_xll.BDP($E126,Z$3)</f>
        <v>23</v>
      </c>
      <c r="AA126" s="35">
        <f ca="1">_xll.BDP($E126,AA$3)</f>
        <v>-0.35741200000000001</v>
      </c>
      <c r="AB126" s="8">
        <f ca="1">_xll.BDP($E126,AB$3)</f>
        <v>100.151</v>
      </c>
      <c r="AC126" s="38">
        <f ca="1">ROUND(_xll.meLWOBondFRNPriceFromDiscountMargin(T126,U126,V126/10000,W126/100,X126/100,Y126/100),3)</f>
        <v>100.151</v>
      </c>
      <c r="AD126" s="8">
        <f t="shared" ca="1" si="14"/>
        <v>0</v>
      </c>
      <c r="AE126" s="8">
        <f t="shared" ca="1" si="18"/>
        <v>100.151</v>
      </c>
      <c r="AF126" s="8">
        <f t="shared" ca="1" si="16"/>
        <v>0</v>
      </c>
      <c r="AG126" s="35">
        <f ca="1">_xll.meLWOBondFRNPriceFromYield(T126,U126,AA126/100,W126/100,X126/100,Y126/100)</f>
        <v>100.15099993773626</v>
      </c>
      <c r="AH126" s="35">
        <f ca="1">100*_xll.meLWOBondFRNYieldFromPrice(T126,U126,AG126,W126/100,X126/100,Y126/100)</f>
        <v>-0.35741199999990675</v>
      </c>
      <c r="AI126" s="35">
        <f t="shared" ca="1" si="22"/>
        <v>9.3258734068513149E-14</v>
      </c>
      <c r="AJ126" s="40">
        <f ca="1">10000*_xll.meLWOBondFRNDiscountMarginFromPrice(T126,U126,AG126,W126/100,X126/100,Y126/100)</f>
        <v>-4.6411999999906772</v>
      </c>
      <c r="AK126" s="41">
        <f t="shared" ca="1" si="19"/>
        <v>1.5180965621475195E-5</v>
      </c>
    </row>
    <row r="127" spans="1:40" x14ac:dyDescent="0.25">
      <c r="A127" s="3" t="str">
        <f ca="1">_xll.BDP($E127,A$3)</f>
        <v>AQ9280357</v>
      </c>
      <c r="B127" s="12" t="str">
        <f ca="1">_xll.BDP($E127,B$3)</f>
        <v>EUR</v>
      </c>
      <c r="C127" s="12" t="str">
        <f ca="1">_xll.BDP($E127,C$3)</f>
        <v>IT</v>
      </c>
      <c r="D127" s="18" t="s">
        <v>218</v>
      </c>
      <c r="E127" s="3" t="str">
        <f t="shared" si="23"/>
        <v>XS1767087940 CORP</v>
      </c>
      <c r="F127" s="12">
        <f ca="1">_xll.BDP($E127,F$3)</f>
        <v>21</v>
      </c>
      <c r="G127" s="12" t="str">
        <f ca="1">_xll.BDP($E127,G$3)</f>
        <v>N</v>
      </c>
      <c r="H127" s="12" t="str">
        <f ca="1">_xll.BDP($E127,H$3)</f>
        <v>N</v>
      </c>
      <c r="I127" s="3" t="str">
        <f ca="1">_xll.BDP($E127,I$3)</f>
        <v>ACEIM F 02/08/23 EMTN</v>
      </c>
      <c r="J127" s="3" t="s">
        <v>143</v>
      </c>
      <c r="K127" s="3" t="str">
        <f ca="1">_xll.BDP($E127,K$3)</f>
        <v>08/02/2018</v>
      </c>
      <c r="L127" s="5">
        <f ca="1">DATEVALUE(_xll.BDP($E127,L$3))</f>
        <v>43412</v>
      </c>
      <c r="M127" s="17" t="str">
        <f t="shared" ca="1" si="15"/>
        <v/>
      </c>
      <c r="N127" s="3" t="str">
        <f ca="1">_xll.BDP($E127,N$3)</f>
        <v>08/02/2019</v>
      </c>
      <c r="O127" s="3" t="str">
        <f ca="1">_xll.BDP($E127,O$3)</f>
        <v>08/02/2023</v>
      </c>
      <c r="P127" s="2">
        <v>0</v>
      </c>
      <c r="Q127" s="24">
        <f ca="1">_xll.BDP($E127,Q$3)</f>
        <v>37</v>
      </c>
      <c r="R127" s="5">
        <f ca="1">DATEVALUE(_xll.BDP($E127,R$3))</f>
        <v>44965</v>
      </c>
      <c r="S127" s="3" t="str">
        <f ca="1">_xll.BDP($E127,S$3)</f>
        <v>CLEAN</v>
      </c>
      <c r="T127" s="3" t="str">
        <f ca="1">_xll.meLWOBondCreateFromGeneratorLVB(I127,D127,_xll.meUtilityLVBFromKeysValues($I$4:$R$4,I127:R127))</f>
        <v>ACEIM F 02/08/23 EMTN@147:14</v>
      </c>
      <c r="U127" s="23">
        <f t="shared" ca="1" si="21"/>
        <v>43454</v>
      </c>
      <c r="V127" s="8">
        <f ca="1">_xll.BDP($E127,V$3)</f>
        <v>148.82517804641154</v>
      </c>
      <c r="W127" s="8">
        <f ca="1">_xll.BDP($E127,W$3)</f>
        <v>-0.311</v>
      </c>
      <c r="X127" s="28">
        <f ca="1">_xll.BDP($E127,X$3)</f>
        <v>-0.34700000000000003</v>
      </c>
      <c r="Y127" s="28">
        <f ca="1">_xll.BDP($E127,Y$3)</f>
        <v>5.3000000000000005E-2</v>
      </c>
      <c r="Z127" s="24">
        <f ca="1">_xll.BDP($E127,Z$3)</f>
        <v>37</v>
      </c>
      <c r="AA127" s="35">
        <f ca="1">_xll.BDP($E127,AA$3)</f>
        <v>1.177252</v>
      </c>
      <c r="AB127" s="8">
        <f ca="1">_xll.BDP($E127,AB$3)</f>
        <v>95.430999999999997</v>
      </c>
      <c r="AC127" s="38">
        <f ca="1">ROUND(_xll.meLWOBondFRNPriceFromDiscountMargin(T127,U127,V127/10000,W127/100,X127/100,Y127/100),3)</f>
        <v>95.430999999999997</v>
      </c>
      <c r="AD127" s="8">
        <f t="shared" ca="1" si="14"/>
        <v>0</v>
      </c>
      <c r="AE127" s="8">
        <f t="shared" ca="1" si="18"/>
        <v>95.430999999999997</v>
      </c>
      <c r="AF127" s="8">
        <f t="shared" ca="1" si="16"/>
        <v>0</v>
      </c>
      <c r="AG127" s="35">
        <f ca="1">_xll.meLWOBondFRNPriceFromYield(T127,U127,AA127/100,W127/100,X127/100,Y127/100)</f>
        <v>95.430999124516262</v>
      </c>
      <c r="AH127" s="35">
        <f ca="1">100*_xll.meLWOBondFRNYieldFromPrice(T127,U127,AG127,W127/100,X127/100,Y127/100)</f>
        <v>1.1772520000001441</v>
      </c>
      <c r="AI127" s="35">
        <f t="shared" ca="1" si="22"/>
        <v>1.4410694859634532E-13</v>
      </c>
      <c r="AJ127" s="40">
        <f ca="1">10000*_xll.meLWOBondFRNDiscountMarginFromPrice(T127,U127,AG127,W127/100,X127/100,Y127/100)</f>
        <v>148.82520000001441</v>
      </c>
      <c r="AK127" s="41">
        <f t="shared" ca="1" si="19"/>
        <v>2.1953602868052258E-5</v>
      </c>
    </row>
    <row r="128" spans="1:40" x14ac:dyDescent="0.25">
      <c r="A128" s="3" t="str">
        <f ca="1">_xll.BDP($E128,A$3)</f>
        <v>AP9115019</v>
      </c>
      <c r="B128" s="12" t="str">
        <f ca="1">_xll.BDP($E128,B$3)</f>
        <v>EUR</v>
      </c>
      <c r="C128" s="12" t="str">
        <f ca="1">_xll.BDP($E128,C$3)</f>
        <v>GB</v>
      </c>
      <c r="D128" s="18" t="s">
        <v>218</v>
      </c>
      <c r="E128" s="3" t="str">
        <f t="shared" si="23"/>
        <v>XS1717202730 CORP</v>
      </c>
      <c r="F128" s="12">
        <f ca="1">_xll.BDP($E128,F$3)</f>
        <v>21</v>
      </c>
      <c r="G128" s="12" t="str">
        <f ca="1">_xll.BDP($E128,G$3)</f>
        <v>N</v>
      </c>
      <c r="H128" s="12" t="str">
        <f ca="1">_xll.BDP($E128,H$3)</f>
        <v>N</v>
      </c>
      <c r="I128" s="3" t="str">
        <f ca="1">_xll.BDP($E128,I$3)</f>
        <v>NEXLN F 05/15/20 EMTN</v>
      </c>
      <c r="J128" s="3" t="s">
        <v>144</v>
      </c>
      <c r="K128" s="3" t="str">
        <f ca="1">_xll.BDP($E128,K$3)</f>
        <v>15/11/2017</v>
      </c>
      <c r="L128" s="5">
        <f ca="1">DATEVALUE(_xll.BDP($E128,L$3))</f>
        <v>43419</v>
      </c>
      <c r="M128" s="17" t="str">
        <f t="shared" ca="1" si="15"/>
        <v/>
      </c>
      <c r="N128" s="3" t="str">
        <f ca="1">_xll.BDP($E128,N$3)</f>
        <v>15/02/2019</v>
      </c>
      <c r="O128" s="3" t="str">
        <f ca="1">_xll.BDP($E128,O$3)</f>
        <v>15/05/2020</v>
      </c>
      <c r="P128" s="2">
        <v>0</v>
      </c>
      <c r="Q128" s="24">
        <f ca="1">_xll.BDP($E128,Q$3)</f>
        <v>40</v>
      </c>
      <c r="R128" s="5">
        <f ca="1">DATEVALUE(_xll.BDP($E128,R$3))</f>
        <v>43966</v>
      </c>
      <c r="S128" s="3" t="str">
        <f ca="1">_xll.BDP($E128,S$3)</f>
        <v>CLEAN</v>
      </c>
      <c r="T128" s="3" t="str">
        <f ca="1">_xll.meLWOBondCreateFromGeneratorLVB(I128,D128,_xll.meUtilityLVBFromKeysValues($I$4:$R$4,I128:R128))</f>
        <v>NEXLN F 05/15/20 EMTN@146:14</v>
      </c>
      <c r="U128" s="23">
        <f t="shared" ca="1" si="21"/>
        <v>43454</v>
      </c>
      <c r="V128" s="8">
        <f ca="1">_xll.BDP($E128,V$3)</f>
        <v>67.115955804855517</v>
      </c>
      <c r="W128" s="8">
        <f ca="1">_xll.BDP($E128,W$3)</f>
        <v>-0.311</v>
      </c>
      <c r="X128" s="28">
        <f ca="1">_xll.BDP($E128,X$3)</f>
        <v>-0.33929999999999999</v>
      </c>
      <c r="Y128" s="28">
        <f ca="1">_xll.BDP($E128,Y$3)</f>
        <v>8.4000000000000019E-2</v>
      </c>
      <c r="Z128" s="24">
        <f ca="1">_xll.BDP($E128,Z$3)</f>
        <v>40</v>
      </c>
      <c r="AA128" s="35">
        <f ca="1">_xll.BDP($E128,AA$3)</f>
        <v>0.36015999999999998</v>
      </c>
      <c r="AB128" s="8">
        <f ca="1">_xll.BDP($E128,AB$3)</f>
        <v>99.617999999999995</v>
      </c>
      <c r="AC128" s="38">
        <f ca="1">ROUND(_xll.meLWOBondFRNPriceFromDiscountMargin(T128,U128,V128/10000,W128/100,X128/100,Y128/100),3)</f>
        <v>99.617999999999995</v>
      </c>
      <c r="AD128" s="8">
        <f t="shared" ca="1" si="14"/>
        <v>0</v>
      </c>
      <c r="AE128" s="8">
        <f t="shared" ca="1" si="18"/>
        <v>99.617999999999995</v>
      </c>
      <c r="AF128" s="8">
        <f t="shared" ca="1" si="16"/>
        <v>0</v>
      </c>
      <c r="AG128" s="35">
        <f ca="1">_xll.meLWOBondFRNPriceFromYield(T128,U128,AA128/100,W128/100,X128/100,Y128/100)</f>
        <v>99.617999373705786</v>
      </c>
      <c r="AH128" s="35">
        <f ca="1">100*_xll.meLWOBondFRNYieldFromPrice(T128,U128,AG128,W128/100,X128/100,Y128/100)</f>
        <v>0.36015999999994264</v>
      </c>
      <c r="AI128" s="35">
        <f t="shared" ca="1" si="22"/>
        <v>5.7343019221889335E-14</v>
      </c>
      <c r="AJ128" s="40">
        <f ca="1">10000*_xll.meLWOBondFRNDiscountMarginFromPrice(T128,U128,AG128,W128/100,X128/100,Y128/100)</f>
        <v>67.115999999994258</v>
      </c>
      <c r="AK128" s="41">
        <f t="shared" ca="1" si="19"/>
        <v>4.4195138741542905E-5</v>
      </c>
    </row>
    <row r="129" spans="1:40" x14ac:dyDescent="0.25">
      <c r="A129" s="3" t="str">
        <f ca="1">_xll.BDP($E129,A$3)</f>
        <v>UV8278045</v>
      </c>
      <c r="B129" s="12" t="str">
        <f ca="1">_xll.BDP($E129,B$3)</f>
        <v>EUR</v>
      </c>
      <c r="C129" s="12" t="str">
        <f ca="1">_xll.BDP($E129,C$3)</f>
        <v>DE</v>
      </c>
      <c r="D129" s="18" t="s">
        <v>218</v>
      </c>
      <c r="E129" s="3" t="str">
        <f t="shared" si="23"/>
        <v>DE000A1Z6M04 CORP</v>
      </c>
      <c r="F129" s="12">
        <f ca="1">_xll.BDP($E129,F$3)</f>
        <v>21</v>
      </c>
      <c r="G129" s="12" t="str">
        <f ca="1">_xll.BDP($E129,G$3)</f>
        <v>N</v>
      </c>
      <c r="H129" s="12" t="str">
        <f ca="1">_xll.BDP($E129,H$3)</f>
        <v>N</v>
      </c>
      <c r="I129" s="3" t="str">
        <f ca="1">_xll.BDP($E129,I$3)</f>
        <v>BMW F 03/18/19 EMTN</v>
      </c>
      <c r="J129" s="3" t="s">
        <v>145</v>
      </c>
      <c r="K129" s="3" t="str">
        <f ca="1">_xll.BDP($E129,K$3)</f>
        <v>18/09/2015</v>
      </c>
      <c r="L129" s="5">
        <f ca="1">DATEVALUE(_xll.BDP($E129,L$3))</f>
        <v>43452</v>
      </c>
      <c r="M129" s="17" t="str">
        <f t="shared" ca="1" si="15"/>
        <v/>
      </c>
      <c r="N129" s="3" t="str">
        <f ca="1">_xll.BDP($E129,N$3)</f>
        <v>18/03/2019</v>
      </c>
      <c r="O129" s="3" t="str">
        <f ca="1">_xll.BDP($E129,O$3)</f>
        <v>18/03/2019</v>
      </c>
      <c r="P129" s="2">
        <v>0</v>
      </c>
      <c r="Q129" s="24">
        <f ca="1">_xll.BDP($E129,Q$3)</f>
        <v>38</v>
      </c>
      <c r="R129" s="5">
        <f ca="1">DATEVALUE(_xll.BDP($E129,R$3))</f>
        <v>43542</v>
      </c>
      <c r="S129" s="3" t="str">
        <f ca="1">_xll.BDP($E129,S$3)</f>
        <v>CLEAN</v>
      </c>
      <c r="T129" s="3" t="str">
        <f ca="1">_xll.meLWOBondCreateFromGeneratorLVB(I129,D129,_xll.meUtilityLVBFromKeysValues($I$4:$R$4,I129:R129))</f>
        <v>BMW F 03/18/19 EMTN@145:14</v>
      </c>
      <c r="U129" s="23">
        <f t="shared" ref="U129:U138" ca="1" si="24">$U$1</f>
        <v>43454</v>
      </c>
      <c r="V129" s="8">
        <f ca="1">_xll.BDP($E129,V$3)</f>
        <v>-11.689852622233655</v>
      </c>
      <c r="W129" s="8">
        <f ca="1">_xll.BDP($E129,W$3)</f>
        <v>-0.311</v>
      </c>
      <c r="X129" s="28">
        <f ca="1">_xll.BDP($E129,X$3)</f>
        <v>-0.31266666666666665</v>
      </c>
      <c r="Y129" s="28">
        <f ca="1">_xll.BDP($E129,Y$3)</f>
        <v>6.9000000000000006E-2</v>
      </c>
      <c r="Z129" s="24">
        <f ca="1">_xll.BDP($E129,Z$3)</f>
        <v>38</v>
      </c>
      <c r="AA129" s="35">
        <f ca="1">_xll.BDP($E129,AA$3)</f>
        <v>-0.42956499999999997</v>
      </c>
      <c r="AB129" s="8">
        <f ca="1">_xll.BDP($E129,AB$3)</f>
        <v>100.122</v>
      </c>
      <c r="AC129" s="38">
        <f ca="1">ROUND(_xll.meLWOBondFRNPriceFromDiscountMargin(T129,U129,V129/10000,W129/100,X129/100,Y129/100),3)</f>
        <v>100.122</v>
      </c>
      <c r="AD129" s="8">
        <f t="shared" ref="AD129:AD138" ca="1" si="25">ABS(AC129-AB129)</f>
        <v>0</v>
      </c>
      <c r="AE129" s="8">
        <f t="shared" ca="1" si="18"/>
        <v>100.122</v>
      </c>
      <c r="AF129" s="8">
        <f t="shared" ca="1" si="16"/>
        <v>0</v>
      </c>
      <c r="AG129" s="35">
        <f ca="1">_xll.meLWOBondFRNPriceFromYield(T129,U129,AA129/100,W129/100,X129/100,Y129/100)</f>
        <v>100.12199995274203</v>
      </c>
      <c r="AH129" s="35">
        <f ca="1">100*_xll.meLWOBondFRNYieldFromPrice(T129,U129,AG129,W129/100,X129/100,Y129/100)</f>
        <v>-0.4295650000000823</v>
      </c>
      <c r="AI129" s="35">
        <f t="shared" ca="1" si="22"/>
        <v>8.2323037275955357E-14</v>
      </c>
      <c r="AJ129" s="40">
        <f ca="1">10000*_xll.meLWOBondFRNDiscountMarginFromPrice(T129,U129,AG129,W129/100,X129/100,Y129/100)</f>
        <v>-11.689833333341564</v>
      </c>
      <c r="AK129" s="41">
        <f t="shared" ca="1" si="19"/>
        <v>1.9288892090685295E-5</v>
      </c>
    </row>
    <row r="130" spans="1:40" s="3" customFormat="1" x14ac:dyDescent="0.25">
      <c r="A130" s="3" t="str">
        <f ca="1">_xll.BDP($E130,A$3)</f>
        <v>JK2037535</v>
      </c>
      <c r="B130" s="12" t="str">
        <f ca="1">_xll.BDP($E130,B$3)</f>
        <v>EUR</v>
      </c>
      <c r="C130" s="12" t="str">
        <f ca="1">_xll.BDP($E130,C$3)</f>
        <v>GB</v>
      </c>
      <c r="D130" s="18" t="s">
        <v>217</v>
      </c>
      <c r="E130" s="3" t="str">
        <f t="shared" si="23"/>
        <v>XS1372838083 CORP</v>
      </c>
      <c r="F130" s="12">
        <f ca="1">_xll.BDP($E130,F$3)</f>
        <v>21</v>
      </c>
      <c r="G130" s="12" t="str">
        <f ca="1">_xll.BDP($E130,G$3)</f>
        <v>N</v>
      </c>
      <c r="H130" s="12" t="str">
        <f ca="1">_xll.BDP($E130,H$3)</f>
        <v>N</v>
      </c>
      <c r="I130" s="3" t="str">
        <f ca="1">_xll.BDP($E130,I$3)</f>
        <v>VOD F 02/25/19 EMTN</v>
      </c>
      <c r="J130" s="3" t="s">
        <v>146</v>
      </c>
      <c r="K130" s="3" t="str">
        <f ca="1">_xll.BDP($E130,K$3)</f>
        <v>25/02/2016</v>
      </c>
      <c r="L130" s="5">
        <f ca="1">DATEVALUE(_xll.BDP($E130,L$3))</f>
        <v>43430</v>
      </c>
      <c r="M130" s="17"/>
      <c r="N130" s="3" t="str">
        <f ca="1">_xll.BDP($E130,N$3)</f>
        <v>25/02/2019</v>
      </c>
      <c r="O130" s="3" t="str">
        <f ca="1">_xll.BDP($E130,O$3)</f>
        <v>25/02/2019</v>
      </c>
      <c r="P130" s="2">
        <v>0</v>
      </c>
      <c r="Q130" s="24">
        <f ca="1">_xll.BDP($E130,Q$3)</f>
        <v>95</v>
      </c>
      <c r="R130" s="5">
        <f ca="1">DATEVALUE(_xll.BDP($E130,R$3))</f>
        <v>43521</v>
      </c>
      <c r="S130" s="3" t="str">
        <f ca="1">_xll.BDP($E130,S$3)</f>
        <v>CLEAN</v>
      </c>
      <c r="T130" s="3" t="str">
        <f ca="1">_xll.meLWOBondCreateFromGeneratorLVB(I130,D130,_xll.meUtilityLVBFromKeysValues($I$4:$R$4,I130:R130))</f>
        <v>VOD F 02/25/19 EMTN@144:14</v>
      </c>
      <c r="U130" s="23">
        <f t="shared" ca="1" si="24"/>
        <v>43454</v>
      </c>
      <c r="V130" s="8">
        <f ca="1">_xll.BDP($E130,V$3)</f>
        <v>-4.5118430580736337</v>
      </c>
      <c r="W130" s="8">
        <f ca="1">_xll.BDP($E130,W$3)</f>
        <v>-0.311</v>
      </c>
      <c r="X130" s="28">
        <f ca="1">_xll.BDP($E130,X$3)</f>
        <v>-0.33016666666666666</v>
      </c>
      <c r="Y130" s="28">
        <f ca="1">_xll.BDP($E130,Y$3)</f>
        <v>0.63400000000000001</v>
      </c>
      <c r="Z130" s="24">
        <f ca="1">_xll.BDP($E130,Z$3)</f>
        <v>95</v>
      </c>
      <c r="AA130" s="35">
        <f ca="1">_xll.BDP($E130,AA$3)</f>
        <v>-0.37528499999999998</v>
      </c>
      <c r="AB130" s="8">
        <f ca="1">_xll.BDP($E130,AB$3)</f>
        <v>100.188</v>
      </c>
      <c r="AC130" s="38">
        <f ca="1">ROUND(_xll.meLWOBondFRNPriceFromDiscountMargin(T130,U130,V130/10000,W130/100,X130/100,Y130/100),3)</f>
        <v>100.188</v>
      </c>
      <c r="AD130" s="8">
        <f t="shared" ca="1" si="25"/>
        <v>0</v>
      </c>
      <c r="AE130" s="8">
        <f t="shared" ca="1" si="18"/>
        <v>100.188</v>
      </c>
      <c r="AF130" s="8">
        <f t="shared" ref="AF130:AF138" ca="1" si="26">ABS(AE130-AB130)</f>
        <v>0</v>
      </c>
      <c r="AG130" s="35">
        <f ca="1">_xll.meLWOBondFRNPriceFromYield(T130,U130,AA130/100,W130/100,X130/100,Y130/100)</f>
        <v>100.18799998184681</v>
      </c>
      <c r="AH130" s="35">
        <f ca="1">100*_xll.meLWOBondFRNYieldFromPrice(T130,U130,AG130,W130/100,X130/100,Y130/100)</f>
        <v>-0.37528499999983456</v>
      </c>
      <c r="AI130" s="35">
        <f t="shared" ref="AI130:AI138" ca="1" si="27">ABS(AH130-AA130)</f>
        <v>1.6542323066914832E-13</v>
      </c>
      <c r="AJ130" s="40">
        <f ca="1">10000*_xll.meLWOBondFRNDiscountMarginFromPrice(T130,U130,AG130,W130/100,X130/100,Y130/100)</f>
        <v>-4.5118333333167859</v>
      </c>
      <c r="AK130" s="41">
        <f t="shared" ca="1" si="19"/>
        <v>9.7247568477953905E-6</v>
      </c>
      <c r="AL130" s="8"/>
      <c r="AM130" s="8"/>
      <c r="AN130" s="8"/>
    </row>
    <row r="131" spans="1:40" x14ac:dyDescent="0.25">
      <c r="A131" s="3" t="str">
        <f ca="1">_xll.BDP($E131,A$3)</f>
        <v>EK1727461</v>
      </c>
      <c r="B131" s="12" t="str">
        <f ca="1">_xll.BDP($E131,B$3)</f>
        <v>EUR</v>
      </c>
      <c r="C131" s="12" t="str">
        <f ca="1">_xll.BDP($E131,C$3)</f>
        <v>DE</v>
      </c>
      <c r="D131" s="18" t="s">
        <v>218</v>
      </c>
      <c r="E131" s="3" t="str">
        <f t="shared" si="23"/>
        <v>XS1057486471 CORP</v>
      </c>
      <c r="F131" s="12">
        <f ca="1">_xll.BDP($E131,F$3)</f>
        <v>21</v>
      </c>
      <c r="G131" s="12" t="str">
        <f ca="1">_xll.BDP($E131,G$3)</f>
        <v>N</v>
      </c>
      <c r="H131" s="12" t="str">
        <f ca="1">_xll.BDP($E131,H$3)</f>
        <v>N</v>
      </c>
      <c r="I131" s="3" t="str">
        <f ca="1">_xll.BDP($E131,I$3)</f>
        <v>VW F 04/15/19 EMTN</v>
      </c>
      <c r="J131" s="3" t="s">
        <v>147</v>
      </c>
      <c r="K131" s="3" t="str">
        <f ca="1">_xll.BDP($E131,K$3)</f>
        <v>15/04/2014</v>
      </c>
      <c r="L131" s="5">
        <f ca="1">DATEVALUE(_xll.BDP($E131,L$3))</f>
        <v>43388</v>
      </c>
      <c r="M131" s="17" t="str">
        <f t="shared" ref="M131:M138" ca="1" si="28">IF(DAY(N131)&lt;&gt;DAY(O131),DAY(N131),"")</f>
        <v/>
      </c>
      <c r="N131" s="3" t="str">
        <f ca="1">_xll.BDP($E131,N$3)</f>
        <v>15/01/2019</v>
      </c>
      <c r="O131" s="3" t="str">
        <f ca="1">_xll.BDP($E131,O$3)</f>
        <v>15/04/2019</v>
      </c>
      <c r="P131" s="2">
        <v>0</v>
      </c>
      <c r="Q131" s="24">
        <f ca="1">_xll.BDP($E131,Q$3)</f>
        <v>60</v>
      </c>
      <c r="R131" s="5">
        <f ca="1">DATEVALUE(_xll.BDP($E131,R$3))</f>
        <v>43570</v>
      </c>
      <c r="S131" s="3" t="str">
        <f ca="1">_xll.BDP($E131,S$3)</f>
        <v>CLEAN</v>
      </c>
      <c r="T131" s="3" t="str">
        <f ca="1">_xll.meLWOBondCreateFromGeneratorLVB(I131,D131,_xll.meUtilityLVBFromKeysValues($I$4:$R$4,I131:R131))</f>
        <v>VW F 04/15/19 EMTN@143:14</v>
      </c>
      <c r="U131" s="23">
        <f t="shared" ca="1" si="24"/>
        <v>43454</v>
      </c>
      <c r="V131" s="8">
        <f ca="1">_xll.BDP($E131,V$3)</f>
        <v>30.480299566496356</v>
      </c>
      <c r="W131" s="8">
        <f ca="1">_xll.BDP($E131,W$3)</f>
        <v>-0.311</v>
      </c>
      <c r="X131" s="28">
        <f ca="1">_xll.BDP($E131,X$3)</f>
        <v>-0.37056521739130432</v>
      </c>
      <c r="Y131" s="28">
        <f ca="1">_xll.BDP($E131,Y$3)</f>
        <v>0.28199999999999997</v>
      </c>
      <c r="Z131" s="24">
        <f ca="1">_xll.BDP($E131,Z$3)</f>
        <v>60</v>
      </c>
      <c r="AA131" s="35">
        <f ca="1">_xll.BDP($E131,AA$3)</f>
        <v>-6.1970000000000003E-3</v>
      </c>
      <c r="AB131" s="8">
        <f ca="1">_xll.BDP($E131,AB$3)</f>
        <v>100.1</v>
      </c>
      <c r="AC131" s="38">
        <f ca="1">ROUND(_xll.meLWOBondFRNPriceFromDiscountMargin(T131,U131,V131/10000,W131/100,X131/100,Y131/100),3)</f>
        <v>100.1</v>
      </c>
      <c r="AD131" s="8">
        <f t="shared" ca="1" si="25"/>
        <v>0</v>
      </c>
      <c r="AE131" s="8">
        <f t="shared" ca="1" si="18"/>
        <v>100.1</v>
      </c>
      <c r="AF131" s="8">
        <f t="shared" ca="1" si="26"/>
        <v>0</v>
      </c>
      <c r="AG131" s="35">
        <f ca="1">_xll.meLWOBondFRNPriceFromYield(T131,U131,AA131/100,W131/100,X131/100,Y131/100)</f>
        <v>100.1000000311343</v>
      </c>
      <c r="AH131" s="35">
        <f ca="1">100*_xll.meLWOBondFRNYieldFromPrice(T131,U131,AG131,W131/100,X131/100,Y131/100)</f>
        <v>-6.1969999999016241E-3</v>
      </c>
      <c r="AI131" s="35">
        <f t="shared" ca="1" si="27"/>
        <v>9.837616832264473E-14</v>
      </c>
      <c r="AJ131" s="40">
        <f ca="1">10000*_xll.meLWOBondFRNDiscountMarginFromPrice(T131,U131,AG131,W131/100,X131/100,Y131/100)</f>
        <v>30.480300000009837</v>
      </c>
      <c r="AK131" s="41">
        <f t="shared" ca="1" si="19"/>
        <v>4.3351348111286825E-7</v>
      </c>
    </row>
    <row r="132" spans="1:40" x14ac:dyDescent="0.25">
      <c r="A132" s="3" t="str">
        <f ca="1">_xll.BDP($E132,A$3)</f>
        <v>AT1821186</v>
      </c>
      <c r="B132" s="12" t="str">
        <f ca="1">_xll.BDP($E132,B$3)</f>
        <v>EUR</v>
      </c>
      <c r="C132" s="12" t="str">
        <f ca="1">_xll.BDP($E132,C$3)</f>
        <v>DE</v>
      </c>
      <c r="D132" s="18" t="s">
        <v>218</v>
      </c>
      <c r="E132" s="3" t="str">
        <f t="shared" si="23"/>
        <v>XS1840614736 CORP</v>
      </c>
      <c r="F132" s="12">
        <f ca="1">_xll.BDP($E132,F$3)</f>
        <v>21</v>
      </c>
      <c r="G132" s="12" t="str">
        <f ca="1">_xll.BDP($E132,G$3)</f>
        <v>N</v>
      </c>
      <c r="H132" s="12" t="str">
        <f ca="1">_xll.BDP($E132,H$3)</f>
        <v>N</v>
      </c>
      <c r="I132" s="3" t="str">
        <f ca="1">_xll.BDP($E132,I$3)</f>
        <v>BAYNGR F 06/26/22</v>
      </c>
      <c r="J132" s="3" t="s">
        <v>148</v>
      </c>
      <c r="K132" s="3" t="str">
        <f ca="1">_xll.BDP($E132,K$3)</f>
        <v>26/06/2018</v>
      </c>
      <c r="L132" s="5">
        <f ca="1">DATEVALUE(_xll.BDP($E132,L$3))</f>
        <v>43369</v>
      </c>
      <c r="M132" s="17">
        <f t="shared" ca="1" si="28"/>
        <v>27</v>
      </c>
      <c r="N132" s="3" t="str">
        <f ca="1">_xll.BDP($E132,N$3)</f>
        <v>27/12/2018</v>
      </c>
      <c r="O132" s="3" t="str">
        <f ca="1">_xll.BDP($E132,O$3)</f>
        <v>26/06/2022</v>
      </c>
      <c r="P132" s="2">
        <v>0</v>
      </c>
      <c r="Q132" s="24">
        <f ca="1">_xll.BDP($E132,Q$3)</f>
        <v>55</v>
      </c>
      <c r="R132" s="5">
        <f ca="1">DATEVALUE(_xll.BDP($E132,R$3))</f>
        <v>44738</v>
      </c>
      <c r="S132" s="3" t="str">
        <f ca="1">_xll.BDP($E132,S$3)</f>
        <v>CLEAN</v>
      </c>
      <c r="T132" s="3" t="str">
        <f ca="1">_xll.meLWOBondCreateFromGeneratorLVB(I132,D132,_xll.meUtilityLVBFromKeysValues($I$4:$R$4,I132:R132))</f>
        <v>BAYNGR F 06/26/22@142:14</v>
      </c>
      <c r="U132" s="23">
        <f t="shared" ca="1" si="24"/>
        <v>43454</v>
      </c>
      <c r="V132" s="8">
        <f ca="1">_xll.BDP($E132,V$3)</f>
        <v>63.373560803388138</v>
      </c>
      <c r="W132" s="8">
        <f ca="1">_xll.BDP($E132,W$3)</f>
        <v>-0.311</v>
      </c>
      <c r="X132" s="28">
        <f ca="1">_xll.BDP($E132,X$3)</f>
        <v>-0.378</v>
      </c>
      <c r="Y132" s="28">
        <f ca="1">_xll.BDP($E132,Y$3)</f>
        <v>0.23099999999999998</v>
      </c>
      <c r="Z132" s="24">
        <f ca="1">_xll.BDP($E132,Z$3)</f>
        <v>55</v>
      </c>
      <c r="AA132" s="35">
        <f ca="1">_xll.BDP($E132,AA$3)</f>
        <v>0.32273600000000002</v>
      </c>
      <c r="AB132" s="8">
        <f ca="1">_xll.BDP($E132,AB$3)</f>
        <v>99.703999999999994</v>
      </c>
      <c r="AC132" s="38">
        <f ca="1">ROUND(_xll.meLWOBondFRNPriceFromDiscountMargin(T132,U132,V132/10000,W132/100,X132/100,Y132/100),3)</f>
        <v>99.703999999999994</v>
      </c>
      <c r="AD132" s="8">
        <f t="shared" ca="1" si="25"/>
        <v>0</v>
      </c>
      <c r="AE132" s="8">
        <f t="shared" ca="1" si="18"/>
        <v>99.703999999999994</v>
      </c>
      <c r="AF132" s="8">
        <f t="shared" ca="1" si="26"/>
        <v>0</v>
      </c>
      <c r="AG132" s="35">
        <f ca="1">_xll.meLWOBondFRNPriceFromYield(T132,U132,AA132/100,W132/100,X132/100,Y132/100)</f>
        <v>99.703998656224016</v>
      </c>
      <c r="AH132" s="35">
        <f ca="1">100*_xll.meLWOBondFRNYieldFromPrice(T132,U132,AG132,W132/100,X132/100,Y132/100)</f>
        <v>0.32273600000017738</v>
      </c>
      <c r="AI132" s="35">
        <f t="shared" ca="1" si="27"/>
        <v>1.7735812818386876E-13</v>
      </c>
      <c r="AJ132" s="40">
        <f ca="1">10000*_xll.meLWOBondFRNDiscountMarginFromPrice(T132,U132,AG132,W132/100,X132/100,Y132/100)</f>
        <v>63.373600000017731</v>
      </c>
      <c r="AK132" s="41">
        <f t="shared" ca="1" si="19"/>
        <v>3.9196629593618582E-5</v>
      </c>
    </row>
    <row r="133" spans="1:40" x14ac:dyDescent="0.25">
      <c r="A133" s="3" t="str">
        <f ca="1">_xll.BDP($E133,A$3)</f>
        <v>JV9912603</v>
      </c>
      <c r="B133" s="12" t="str">
        <f ca="1">_xll.BDP($E133,B$3)</f>
        <v>EUR</v>
      </c>
      <c r="C133" s="12" t="str">
        <f ca="1">_xll.BDP($E133,C$3)</f>
        <v>DE</v>
      </c>
      <c r="D133" s="18" t="s">
        <v>218</v>
      </c>
      <c r="E133" s="3" t="str">
        <f t="shared" si="23"/>
        <v>XS1363560548 CORP</v>
      </c>
      <c r="F133" s="12">
        <f ca="1">_xll.BDP($E133,F$3)</f>
        <v>21</v>
      </c>
      <c r="G133" s="12" t="str">
        <f ca="1">_xll.BDP($E133,G$3)</f>
        <v>N</v>
      </c>
      <c r="H133" s="12" t="str">
        <f ca="1">_xll.BDP($E133,H$3)</f>
        <v>N</v>
      </c>
      <c r="I133" s="3" t="str">
        <f ca="1">_xll.BDP($E133,I$3)</f>
        <v>BMW F 07/15/19 EMTN</v>
      </c>
      <c r="J133" s="3" t="s">
        <v>149</v>
      </c>
      <c r="K133" s="3" t="str">
        <f ca="1">_xll.BDP($E133,K$3)</f>
        <v>15/02/2016</v>
      </c>
      <c r="L133" s="5">
        <f ca="1">DATEVALUE(_xll.BDP($E133,L$3))</f>
        <v>43388</v>
      </c>
      <c r="M133" s="17" t="str">
        <f t="shared" ca="1" si="28"/>
        <v/>
      </c>
      <c r="N133" s="3" t="str">
        <f ca="1">_xll.BDP($E133,N$3)</f>
        <v>15/01/2019</v>
      </c>
      <c r="O133" s="3" t="str">
        <f ca="1">_xll.BDP($E133,O$3)</f>
        <v>15/07/2019</v>
      </c>
      <c r="P133" s="2">
        <v>0</v>
      </c>
      <c r="Q133" s="24">
        <f ca="1">_xll.BDP($E133,Q$3)</f>
        <v>65</v>
      </c>
      <c r="R133" s="5">
        <f ca="1">DATEVALUE(_xll.BDP($E133,R$3))</f>
        <v>43661</v>
      </c>
      <c r="S133" s="3" t="str">
        <f ca="1">_xll.BDP($E133,S$3)</f>
        <v>CLEAN</v>
      </c>
      <c r="T133" s="3" t="str">
        <f ca="1">_xll.meLWOBondCreateFromGeneratorLVB(I133,D133,_xll.meUtilityLVBFromKeysValues($I$4:$R$4,I133:R133))</f>
        <v>BMW F 07/15/19 EMTN@141:14</v>
      </c>
      <c r="U133" s="23">
        <f t="shared" ca="1" si="24"/>
        <v>43454</v>
      </c>
      <c r="V133" s="8">
        <f ca="1">_xll.BDP($E133,V$3)</f>
        <v>-0.68929680599978949</v>
      </c>
      <c r="W133" s="8">
        <f ca="1">_xll.BDP($E133,W$3)</f>
        <v>-0.311</v>
      </c>
      <c r="X133" s="28">
        <f ca="1">_xll.BDP($E133,X$3)</f>
        <v>-0.37056521739130432</v>
      </c>
      <c r="Y133" s="28">
        <f ca="1">_xll.BDP($E133,Y$3)</f>
        <v>0.33200000000000002</v>
      </c>
      <c r="Z133" s="24">
        <f ca="1">_xll.BDP($E133,Z$3)</f>
        <v>65</v>
      </c>
      <c r="AA133" s="35">
        <f ca="1">_xll.BDP($E133,AA$3)</f>
        <v>-0.31789299999999998</v>
      </c>
      <c r="AB133" s="8">
        <f ca="1">_xll.BDP($E133,AB$3)</f>
        <v>100.38500000000001</v>
      </c>
      <c r="AC133" s="38">
        <f ca="1">ROUND(_xll.meLWOBondFRNPriceFromDiscountMargin(T133,U133,V133/10000,W133/100,X133/100,Y133/100),3)</f>
        <v>100.38500000000001</v>
      </c>
      <c r="AD133" s="8">
        <f t="shared" ca="1" si="25"/>
        <v>0</v>
      </c>
      <c r="AE133" s="8">
        <f t="shared" ca="1" si="18"/>
        <v>100.38500000000001</v>
      </c>
      <c r="AF133" s="8">
        <f t="shared" ca="1" si="26"/>
        <v>0</v>
      </c>
      <c r="AG133" s="35">
        <f ca="1">_xll.meLWOBondFRNPriceFromYield(T133,U133,AA133/100,W133/100,X133/100,Y133/100)</f>
        <v>100.38500001858517</v>
      </c>
      <c r="AH133" s="35">
        <f ca="1">100*_xll.meLWOBondFRNYieldFromPrice(T133,U133,AG133,W133/100,X133/100,Y133/100)</f>
        <v>-0.31789299999992132</v>
      </c>
      <c r="AI133" s="35">
        <f t="shared" ca="1" si="27"/>
        <v>7.8659301294692341E-14</v>
      </c>
      <c r="AJ133" s="40">
        <f ca="1">10000*_xll.meLWOBondFRNDiscountMarginFromPrice(T133,U133,AG133,W133/100,X133/100,Y133/100)</f>
        <v>-0.68929999999213332</v>
      </c>
      <c r="AK133" s="41">
        <f t="shared" ca="1" si="19"/>
        <v>3.193992343830665E-6</v>
      </c>
    </row>
    <row r="134" spans="1:40" x14ac:dyDescent="0.25">
      <c r="A134" s="3" t="str">
        <f ca="1">_xll.BDP($E134,A$3)</f>
        <v>370334BY9</v>
      </c>
      <c r="B134" s="12" t="str">
        <f ca="1">_xll.BDP($E134,B$3)</f>
        <v>EUR</v>
      </c>
      <c r="C134" s="12" t="str">
        <f ca="1">_xll.BDP($E134,C$3)</f>
        <v>US</v>
      </c>
      <c r="D134" s="18" t="s">
        <v>218</v>
      </c>
      <c r="E134" s="3" t="str">
        <f t="shared" si="23"/>
        <v>XS1346107433 CORP</v>
      </c>
      <c r="F134" s="12">
        <f ca="1">_xll.BDP($E134,F$3)</f>
        <v>21</v>
      </c>
      <c r="G134" s="12" t="str">
        <f ca="1">_xll.BDP($E134,G$3)</f>
        <v>N</v>
      </c>
      <c r="H134" s="12" t="str">
        <f ca="1">_xll.BDP($E134,H$3)</f>
        <v>N</v>
      </c>
      <c r="I134" s="3" t="str">
        <f ca="1">_xll.BDP($E134,I$3)</f>
        <v>GIS F 01/15/20</v>
      </c>
      <c r="J134" s="3" t="s">
        <v>150</v>
      </c>
      <c r="K134" s="3" t="str">
        <f ca="1">_xll.BDP($E134,K$3)</f>
        <v>15/01/2016</v>
      </c>
      <c r="L134" s="5">
        <f ca="1">DATEVALUE(_xll.BDP($E134,L$3))</f>
        <v>43388</v>
      </c>
      <c r="M134" s="17" t="str">
        <f t="shared" ca="1" si="28"/>
        <v/>
      </c>
      <c r="N134" s="3" t="str">
        <f ca="1">_xll.BDP($E134,N$3)</f>
        <v>15/01/2019</v>
      </c>
      <c r="O134" s="3" t="str">
        <f ca="1">_xll.BDP($E134,O$3)</f>
        <v>15/01/2020</v>
      </c>
      <c r="P134" s="2">
        <v>0</v>
      </c>
      <c r="Q134" s="24">
        <f ca="1">_xll.BDP($E134,Q$3)</f>
        <v>73</v>
      </c>
      <c r="R134" s="5">
        <f ca="1">DATEVALUE(_xll.BDP($E134,R$3))</f>
        <v>43845</v>
      </c>
      <c r="S134" s="3" t="str">
        <f ca="1">_xll.BDP($E134,S$3)</f>
        <v>CLEAN</v>
      </c>
      <c r="T134" s="3" t="str">
        <f ca="1">_xll.meLWOBondCreateFromGeneratorLVB(I134,D134,_xll.meUtilityLVBFromKeysValues($I$4:$R$4,I134:R134))</f>
        <v>GIS F 01/15/20@140:14</v>
      </c>
      <c r="U134" s="23">
        <f t="shared" ca="1" si="24"/>
        <v>43454</v>
      </c>
      <c r="V134" s="8">
        <f ca="1">_xll.BDP($E134,V$3)</f>
        <v>19.566018150070718</v>
      </c>
      <c r="W134" s="8">
        <f ca="1">_xll.BDP($E134,W$3)</f>
        <v>-0.311</v>
      </c>
      <c r="X134" s="28">
        <f ca="1">_xll.BDP($E134,X$3)</f>
        <v>-0.37056521739130432</v>
      </c>
      <c r="Y134" s="28">
        <f ca="1">_xll.BDP($E134,Y$3)</f>
        <v>0.41199999999999998</v>
      </c>
      <c r="Z134" s="24">
        <f ca="1">_xll.BDP($E134,Z$3)</f>
        <v>73</v>
      </c>
      <c r="AA134" s="35">
        <f ca="1">_xll.BDP($E134,AA$3)</f>
        <v>-0.11534</v>
      </c>
      <c r="AB134" s="8">
        <f ca="1">_xll.BDP($E134,AB$3)</f>
        <v>100.58499999999999</v>
      </c>
      <c r="AC134" s="38">
        <f ca="1">ROUND(_xll.meLWOBondFRNPriceFromDiscountMargin(T134,U134,V134/10000,W134/100,X134/100,Y134/100),3)</f>
        <v>100.58499999999999</v>
      </c>
      <c r="AD134" s="8">
        <f t="shared" ca="1" si="25"/>
        <v>0</v>
      </c>
      <c r="AE134" s="8">
        <f t="shared" ref="AE134:AE138" ca="1" si="29">ROUND(AG134,3)</f>
        <v>100.58499999999999</v>
      </c>
      <c r="AF134" s="8">
        <f t="shared" ca="1" si="26"/>
        <v>0</v>
      </c>
      <c r="AG134" s="35">
        <f ca="1">_xll.meLWOBondFRNPriceFromYield(T134,U134,AA134/100,W134/100,X134/100,Y134/100)</f>
        <v>100.58500023741988</v>
      </c>
      <c r="AH134" s="35">
        <f ca="1">100*_xll.meLWOBondFRNYieldFromPrice(T134,U134,AG134,W134/100,X134/100,Y134/100)</f>
        <v>-0.11533999999988431</v>
      </c>
      <c r="AI134" s="35">
        <f t="shared" ca="1" si="27"/>
        <v>1.1568523916594131E-13</v>
      </c>
      <c r="AJ134" s="40">
        <f ca="1">10000*_xll.meLWOBondFRNDiscountMarginFromPrice(T134,U134,AG134,W134/100,X134/100,Y134/100)</f>
        <v>19.566000000011567</v>
      </c>
      <c r="AK134" s="41">
        <f t="shared" ref="AK134:AK138" ca="1" si="30">ABS(AJ134-V134)</f>
        <v>1.81500591516226E-5</v>
      </c>
    </row>
    <row r="135" spans="1:40" x14ac:dyDescent="0.25">
      <c r="A135" s="3" t="str">
        <f ca="1">_xll.BDP($E135,A$3)</f>
        <v>EK8757206</v>
      </c>
      <c r="B135" s="12" t="str">
        <f ca="1">_xll.BDP($E135,B$3)</f>
        <v>EUR</v>
      </c>
      <c r="C135" s="12" t="str">
        <f ca="1">_xll.BDP($E135,C$3)</f>
        <v>AU</v>
      </c>
      <c r="D135" s="18" t="s">
        <v>218</v>
      </c>
      <c r="E135" s="3" t="str">
        <f t="shared" si="23"/>
        <v>XS1224953452 CORP</v>
      </c>
      <c r="F135" s="12">
        <f ca="1">_xll.BDP($E135,F$3)</f>
        <v>21</v>
      </c>
      <c r="G135" s="12" t="str">
        <f ca="1">_xll.BDP($E135,G$3)</f>
        <v>N</v>
      </c>
      <c r="H135" s="12" t="str">
        <f ca="1">_xll.BDP($E135,H$3)</f>
        <v>N</v>
      </c>
      <c r="I135" s="3" t="str">
        <f ca="1">_xll.BDP($E135,I$3)</f>
        <v>BHP F 04/28/20 15</v>
      </c>
      <c r="J135" s="3" t="s">
        <v>151</v>
      </c>
      <c r="K135" s="3" t="str">
        <f ca="1">_xll.BDP($E135,K$3)</f>
        <v>28/04/2015</v>
      </c>
      <c r="L135" s="5">
        <f ca="1">DATEVALUE(_xll.BDP($E135,L$3))</f>
        <v>43402</v>
      </c>
      <c r="M135" s="17" t="str">
        <f t="shared" ca="1" si="28"/>
        <v/>
      </c>
      <c r="N135" s="3" t="str">
        <f ca="1">_xll.BDP($E135,N$3)</f>
        <v>28/01/2019</v>
      </c>
      <c r="O135" s="3" t="str">
        <f ca="1">_xll.BDP($E135,O$3)</f>
        <v>28/04/2020</v>
      </c>
      <c r="P135" s="2">
        <v>0</v>
      </c>
      <c r="Q135" s="24">
        <f ca="1">_xll.BDP($E135,Q$3)</f>
        <v>35</v>
      </c>
      <c r="R135" s="5">
        <f ca="1">DATEVALUE(_xll.BDP($E135,R$3))</f>
        <v>43949</v>
      </c>
      <c r="S135" s="3" t="str">
        <f ca="1">_xll.BDP($E135,S$3)</f>
        <v>CLEAN</v>
      </c>
      <c r="T135" s="3" t="str">
        <f ca="1">_xll.meLWOBondCreateFromGeneratorLVB(I135,D135,_xll.meUtilityLVBFromKeysValues($I$4:$R$4,I135:R135))</f>
        <v>BHP F 04/28/20 15@139:14</v>
      </c>
      <c r="U135" s="23">
        <f t="shared" ca="1" si="24"/>
        <v>43454</v>
      </c>
      <c r="V135" s="8">
        <f ca="1">_xll.BDP($E135,V$3)</f>
        <v>24.223326488300813</v>
      </c>
      <c r="W135" s="8">
        <f ca="1">_xll.BDP($E135,W$3)</f>
        <v>-0.311</v>
      </c>
      <c r="X135" s="28">
        <f ca="1">_xll.BDP($E135,X$3)</f>
        <v>-0.35909999999999997</v>
      </c>
      <c r="Y135" s="28">
        <f ca="1">_xll.BDP($E135,Y$3)</f>
        <v>3.3000000000000002E-2</v>
      </c>
      <c r="Z135" s="24">
        <f ca="1">_xll.BDP($E135,Z$3)</f>
        <v>35</v>
      </c>
      <c r="AA135" s="35">
        <f ca="1">_xll.BDP($E135,AA$3)</f>
        <v>-6.8766999999999995E-2</v>
      </c>
      <c r="AB135" s="8">
        <f ca="1">_xll.BDP($E135,AB$3)</f>
        <v>100.15300000000001</v>
      </c>
      <c r="AC135" s="38">
        <f ca="1">ROUND(_xll.meLWOBondFRNPriceFromDiscountMargin(T135,U135,V135/10000,W135/100,X135/100,Y135/100),3)</f>
        <v>100.15300000000001</v>
      </c>
      <c r="AD135" s="8">
        <f t="shared" ca="1" si="25"/>
        <v>0</v>
      </c>
      <c r="AE135" s="8">
        <f t="shared" ca="1" si="29"/>
        <v>100.15300000000001</v>
      </c>
      <c r="AF135" s="8">
        <f t="shared" ca="1" si="26"/>
        <v>0</v>
      </c>
      <c r="AG135" s="35">
        <f ca="1">_xll.meLWOBondFRNPriceFromYield(T135,U135,AA135/100,W135/100,X135/100,Y135/100)</f>
        <v>100.15300036517229</v>
      </c>
      <c r="AH135" s="35">
        <f ca="1">100*_xll.meLWOBondFRNYieldFromPrice(T135,U135,AG135,W135/100,X135/100,Y135/100)</f>
        <v>-6.876699999990496E-2</v>
      </c>
      <c r="AI135" s="35">
        <f t="shared" ca="1" si="27"/>
        <v>9.50350909079134E-14</v>
      </c>
      <c r="AJ135" s="40">
        <f ca="1">10000*_xll.meLWOBondFRNDiscountMarginFromPrice(T135,U135,AG135,W135/100,X135/100,Y135/100)</f>
        <v>24.223300000009502</v>
      </c>
      <c r="AK135" s="41">
        <f t="shared" ca="1" si="30"/>
        <v>2.6488291311466128E-5</v>
      </c>
    </row>
    <row r="136" spans="1:40" x14ac:dyDescent="0.25">
      <c r="A136" s="3" t="str">
        <f ca="1">_xll.BDP($E136,A$3)</f>
        <v>AN9424572</v>
      </c>
      <c r="B136" s="12" t="str">
        <f ca="1">_xll.BDP($E136,B$3)</f>
        <v>EUR</v>
      </c>
      <c r="C136" s="12" t="str">
        <f ca="1">_xll.BDP($E136,C$3)</f>
        <v>FR</v>
      </c>
      <c r="D136" s="18" t="s">
        <v>218</v>
      </c>
      <c r="E136" s="3" t="str">
        <f t="shared" si="23"/>
        <v>FR0013263936 CORP</v>
      </c>
      <c r="F136" s="12">
        <f ca="1">_xll.BDP($E136,F$3)</f>
        <v>21</v>
      </c>
      <c r="G136" s="12" t="str">
        <f ca="1">_xll.BDP($E136,G$3)</f>
        <v>N</v>
      </c>
      <c r="H136" s="12" t="str">
        <f ca="1">_xll.BDP($E136,H$3)</f>
        <v>N</v>
      </c>
      <c r="I136" s="3" t="str">
        <f ca="1">_xll.BDP($E136,I$3)</f>
        <v>SAFFP F 06/28/19</v>
      </c>
      <c r="J136" s="3" t="s">
        <v>152</v>
      </c>
      <c r="K136" s="3" t="str">
        <f ca="1">_xll.BDP($E136,K$3)</f>
        <v>28/06/2017</v>
      </c>
      <c r="L136" s="5">
        <f ca="1">DATEVALUE(_xll.BDP($E136,L$3))</f>
        <v>43371</v>
      </c>
      <c r="M136" s="17" t="str">
        <f t="shared" ca="1" si="28"/>
        <v/>
      </c>
      <c r="N136" s="3" t="str">
        <f ca="1">_xll.BDP($E136,N$3)</f>
        <v>28/12/2018</v>
      </c>
      <c r="O136" s="3" t="str">
        <f ca="1">_xll.BDP($E136,O$3)</f>
        <v>28/06/2019</v>
      </c>
      <c r="P136" s="2">
        <v>0</v>
      </c>
      <c r="Q136" s="24">
        <f ca="1">_xll.BDP($E136,Q$3)</f>
        <v>30</v>
      </c>
      <c r="R136" s="5">
        <f ca="1">DATEVALUE(_xll.BDP($E136,R$3))</f>
        <v>43644</v>
      </c>
      <c r="S136" s="3" t="str">
        <f ca="1">_xll.BDP($E136,S$3)</f>
        <v>CLEAN</v>
      </c>
      <c r="T136" s="3" t="str">
        <f ca="1">_xll.meLWOBondCreateFromGeneratorLVB(I136,D136,_xll.meUtilityLVBFromKeysValues($I$4:$R$4,I136:R136))</f>
        <v>SAFFP F 06/28/19@138:14</v>
      </c>
      <c r="U136" s="23">
        <f t="shared" ca="1" si="24"/>
        <v>43454</v>
      </c>
      <c r="V136" s="8">
        <f ca="1">_xll.BDP($E136,V$3)</f>
        <v>1.3866281857224216</v>
      </c>
      <c r="W136" s="8">
        <f ca="1">_xll.BDP($E136,W$3)</f>
        <v>-0.311</v>
      </c>
      <c r="X136" s="28">
        <f ca="1">_xll.BDP($E136,X$3)</f>
        <v>-0.37760869565217392</v>
      </c>
      <c r="Y136" s="28">
        <f ca="1">_xll.BDP($E136,Y$3)</f>
        <v>0</v>
      </c>
      <c r="Z136" s="24">
        <f ca="1">_xll.BDP($E136,Z$3)</f>
        <v>30</v>
      </c>
      <c r="AA136" s="35">
        <f ca="1">_xll.BDP($E136,AA$3)</f>
        <v>-0.29713400000000001</v>
      </c>
      <c r="AB136" s="8">
        <f ca="1">_xll.BDP($E136,AB$3)</f>
        <v>100.15900000000001</v>
      </c>
      <c r="AC136" s="38">
        <f ca="1">ROUND(_xll.meLWOBondFRNPriceFromDiscountMargin(T136,U136,V136/10000,W136/100,X136/100,Y136/100),3)</f>
        <v>100.15900000000001</v>
      </c>
      <c r="AD136" s="8">
        <f t="shared" ca="1" si="25"/>
        <v>0</v>
      </c>
      <c r="AE136" s="8">
        <f t="shared" ca="1" si="29"/>
        <v>100.15900000000001</v>
      </c>
      <c r="AF136" s="8">
        <f t="shared" ca="1" si="26"/>
        <v>0</v>
      </c>
      <c r="AG136" s="35">
        <f ca="1">_xll.meLWOBondFRNPriceFromYield(T136,U136,AA136/100,W136/100,X136/100,Y136/100)</f>
        <v>100.15900020139648</v>
      </c>
      <c r="AH136" s="35">
        <f ca="1">100*_xll.meLWOBondFRNYieldFromPrice(T136,U136,AG136,W136/100,X136/100,Y136/100)</f>
        <v>-0.29713399999992646</v>
      </c>
      <c r="AI136" s="35">
        <f t="shared" ca="1" si="27"/>
        <v>7.3552275381416621E-14</v>
      </c>
      <c r="AJ136" s="40">
        <f ca="1">10000*_xll.meLWOBondFRNDiscountMarginFromPrice(T136,U136,AG136,W136/100,X136/100,Y136/100)</f>
        <v>1.3866000000073517</v>
      </c>
      <c r="AK136" s="41">
        <f t="shared" ca="1" si="30"/>
        <v>2.8185715069906081E-5</v>
      </c>
    </row>
    <row r="137" spans="1:40" x14ac:dyDescent="0.25">
      <c r="A137" s="3" t="str">
        <f ca="1">_xll.BDP($E137,A$3)</f>
        <v>60871RAQ3</v>
      </c>
      <c r="B137" s="12" t="str">
        <f ca="1">_xll.BDP($E137,B$3)</f>
        <v>EUR</v>
      </c>
      <c r="C137" s="12" t="str">
        <f ca="1">_xll.BDP($E137,C$3)</f>
        <v>US</v>
      </c>
      <c r="D137" s="18" t="s">
        <v>218</v>
      </c>
      <c r="E137" s="3" t="str">
        <f t="shared" si="23"/>
        <v>XS1712180477 CORP</v>
      </c>
      <c r="F137" s="12">
        <f ca="1">_xll.BDP($E137,F$3)</f>
        <v>21</v>
      </c>
      <c r="G137" s="12" t="str">
        <f ca="1">_xll.BDP($E137,G$3)</f>
        <v>N</v>
      </c>
      <c r="H137" s="12" t="str">
        <f ca="1">_xll.BDP($E137,H$3)</f>
        <v>N</v>
      </c>
      <c r="I137" s="3" t="str">
        <f ca="1">_xll.BDP($E137,I$3)</f>
        <v>TAP F 03/15/19</v>
      </c>
      <c r="J137" s="3" t="s">
        <v>153</v>
      </c>
      <c r="K137" s="3" t="str">
        <f ca="1">_xll.BDP($E137,K$3)</f>
        <v>13/12/2017</v>
      </c>
      <c r="L137" s="5">
        <f ca="1">DATEVALUE(_xll.BDP($E137,L$3))</f>
        <v>43451</v>
      </c>
      <c r="M137" s="17" t="str">
        <f t="shared" ca="1" si="28"/>
        <v/>
      </c>
      <c r="N137" s="3" t="str">
        <f ca="1">_xll.BDP($E137,N$3)</f>
        <v>15/03/2019</v>
      </c>
      <c r="O137" s="3" t="str">
        <f ca="1">_xll.BDP($E137,O$3)</f>
        <v>15/03/2019</v>
      </c>
      <c r="P137" s="2">
        <v>0</v>
      </c>
      <c r="Q137" s="24">
        <f ca="1">_xll.BDP($E137,Q$3)</f>
        <v>35</v>
      </c>
      <c r="R137" s="5">
        <f ca="1">DATEVALUE(_xll.BDP($E137,R$3))</f>
        <v>43539</v>
      </c>
      <c r="S137" s="3" t="str">
        <f ca="1">_xll.BDP($E137,S$3)</f>
        <v>CLEAN</v>
      </c>
      <c r="T137" s="3" t="str">
        <f ca="1">_xll.meLWOBondCreateFromGeneratorLVB(I137,D137,_xll.meUtilityLVBFromKeysValues($I$4:$R$4,I137:R137))</f>
        <v>TAP F 03/15/19@137:14</v>
      </c>
      <c r="U137" s="23">
        <f t="shared" ca="1" si="24"/>
        <v>43454</v>
      </c>
      <c r="V137" s="8">
        <f ca="1">_xll.BDP($E137,V$3)</f>
        <v>37.110989905110785</v>
      </c>
      <c r="W137" s="8">
        <f ca="1">_xll.BDP($E137,W$3)</f>
        <v>-0.311</v>
      </c>
      <c r="X137" s="28">
        <f ca="1">_xll.BDP($E137,X$3)</f>
        <v>-0.31516666666666665</v>
      </c>
      <c r="Y137" s="28">
        <f ca="1">_xll.BDP($E137,Y$3)</f>
        <v>3.9000000000000007E-2</v>
      </c>
      <c r="Z137" s="24">
        <f ca="1">_xll.BDP($E137,Z$3)</f>
        <v>35</v>
      </c>
      <c r="AA137" s="35">
        <f ca="1">_xll.BDP($E137,AA$3)</f>
        <v>5.5943E-2</v>
      </c>
      <c r="AB137" s="8">
        <f ca="1">_xll.BDP($E137,AB$3)</f>
        <v>99.995999999999995</v>
      </c>
      <c r="AC137" s="38">
        <f ca="1">ROUND(_xll.meLWOBondFRNPriceFromDiscountMargin(T137,U137,V137/10000,W137/100,X137/100,Y137/100),3)</f>
        <v>99.995999999999995</v>
      </c>
      <c r="AD137" s="8">
        <f t="shared" ca="1" si="25"/>
        <v>0</v>
      </c>
      <c r="AE137" s="8">
        <f t="shared" ca="1" si="29"/>
        <v>99.995999999999995</v>
      </c>
      <c r="AF137" s="8">
        <f t="shared" ca="1" si="26"/>
        <v>0</v>
      </c>
      <c r="AG137" s="35">
        <f ca="1">_xll.meLWOBondFRNPriceFromYield(T137,U137,AA137/100,W137/100,X137/100,Y137/100)</f>
        <v>99.996000054859294</v>
      </c>
      <c r="AH137" s="35">
        <f ca="1">100*_xll.meLWOBondFRNYieldFromPrice(T137,U137,AG137,W137/100,X137/100,Y137/100)</f>
        <v>5.5942999866621358E-2</v>
      </c>
      <c r="AI137" s="35">
        <f t="shared" ca="1" si="27"/>
        <v>1.3337864146478751E-10</v>
      </c>
      <c r="AJ137" s="40">
        <f ca="1">10000*_xll.meLWOBondFRNDiscountMarginFromPrice(T137,U137,AG137,W137/100,X137/100,Y137/100)</f>
        <v>37.110966653328802</v>
      </c>
      <c r="AK137" s="41">
        <f t="shared" ca="1" si="30"/>
        <v>2.3251781982480679E-5</v>
      </c>
    </row>
    <row r="138" spans="1:40" x14ac:dyDescent="0.25">
      <c r="A138" s="3" t="str">
        <f ca="1">_xll.BDP($E138,A$3)</f>
        <v>AM7699995</v>
      </c>
      <c r="B138" s="12" t="str">
        <f ca="1">_xll.BDP($E138,B$3)</f>
        <v>EUR</v>
      </c>
      <c r="C138" s="12" t="str">
        <f ca="1">_xll.BDP($E138,C$3)</f>
        <v>US</v>
      </c>
      <c r="D138" s="18" t="s">
        <v>218</v>
      </c>
      <c r="E138" s="3" t="str">
        <f t="shared" si="23"/>
        <v>XS1577870808 CORP</v>
      </c>
      <c r="F138" s="12">
        <f ca="1">_xll.BDP($E138,F$3)</f>
        <v>21</v>
      </c>
      <c r="G138" s="12" t="str">
        <f ca="1">_xll.BDP($E138,G$3)</f>
        <v>N</v>
      </c>
      <c r="H138" s="12" t="str">
        <f ca="1">_xll.BDP($E138,H$3)</f>
        <v>N</v>
      </c>
      <c r="I138" s="3" t="str">
        <f ca="1">_xll.BDP($E138,I$3)</f>
        <v>TAP F 03/15/19 REGS</v>
      </c>
      <c r="J138" s="3" t="s">
        <v>154</v>
      </c>
      <c r="K138" s="3" t="str">
        <f ca="1">_xll.BDP($E138,K$3)</f>
        <v>15/03/2017</v>
      </c>
      <c r="L138" s="5">
        <f ca="1">DATEVALUE(_xll.BDP($E138,L$3))</f>
        <v>43451</v>
      </c>
      <c r="M138" s="17" t="str">
        <f t="shared" ca="1" si="28"/>
        <v/>
      </c>
      <c r="N138" s="3" t="str">
        <f ca="1">_xll.BDP($E138,N$3)</f>
        <v>15/03/2019</v>
      </c>
      <c r="O138" s="3" t="str">
        <f ca="1">_xll.BDP($E138,O$3)</f>
        <v>15/03/2019</v>
      </c>
      <c r="P138" s="2">
        <v>0</v>
      </c>
      <c r="Q138" s="24">
        <f ca="1">_xll.BDP($E138,Q$3)</f>
        <v>35</v>
      </c>
      <c r="R138" s="5">
        <f ca="1">DATEVALUE(_xll.BDP($E138,R$3))</f>
        <v>43539</v>
      </c>
      <c r="S138" s="3" t="str">
        <f ca="1">_xll.BDP($E138,S$3)</f>
        <v>CLEAN</v>
      </c>
      <c r="T138" s="3" t="str">
        <f ca="1">_xll.meLWOBondCreateFromGeneratorLVB(I138,D138,_xll.meUtilityLVBFromKeysValues($I$4:$R$4,I138:R138))</f>
        <v>TAP F 03/15/19 REGS@136:14</v>
      </c>
      <c r="U138" s="23">
        <f t="shared" ca="1" si="24"/>
        <v>43454</v>
      </c>
      <c r="V138" s="8">
        <f ca="1">_xll.BDP($E138,V$3)</f>
        <v>-49.971403771289474</v>
      </c>
      <c r="W138" s="8">
        <f ca="1">_xll.BDP($E138,W$3)</f>
        <v>-0.311</v>
      </c>
      <c r="X138" s="28">
        <f ca="1">_xll.BDP($E138,X$3)</f>
        <v>-0.31516666666666665</v>
      </c>
      <c r="Y138" s="28">
        <f ca="1">_xll.BDP($E138,Y$3)</f>
        <v>3.9E-2</v>
      </c>
      <c r="Z138" s="24">
        <f ca="1">_xll.BDP($E138,Z$3)</f>
        <v>35</v>
      </c>
      <c r="AA138" s="35">
        <f ca="1">_xll.BDP($E138,AA$3)</f>
        <v>-0.81488099999999997</v>
      </c>
      <c r="AB138" s="8">
        <f ca="1">_xll.BDP($E138,AB$3)</f>
        <v>100.202</v>
      </c>
      <c r="AC138" s="38">
        <f ca="1">ROUND(_xll.meLWOBondFRNPriceFromDiscountMargin(T138,U138,V138/10000,W138/100,X138/100,Y138/100),3)</f>
        <v>100.202</v>
      </c>
      <c r="AD138" s="8">
        <f t="shared" ca="1" si="25"/>
        <v>0</v>
      </c>
      <c r="AE138" s="8">
        <f t="shared" ca="1" si="29"/>
        <v>100.202</v>
      </c>
      <c r="AF138" s="8">
        <f t="shared" ca="1" si="26"/>
        <v>0</v>
      </c>
      <c r="AG138" s="35">
        <f ca="1">_xll.meLWOBondFRNPriceFromYield(T138,U138,AA138/100,W138/100,X138/100,Y138/100)</f>
        <v>100.20200007007531</v>
      </c>
      <c r="AH138" s="35">
        <f ca="1">100*_xll.meLWOBondFRNYieldFromPrice(T138,U138,AG138,W138/100,X138/100,Y138/100)</f>
        <v>-0.81488100000001573</v>
      </c>
      <c r="AI138" s="35">
        <f t="shared" ca="1" si="27"/>
        <v>1.5765166949677223E-14</v>
      </c>
      <c r="AJ138" s="40">
        <f ca="1">10000*_xll.meLWOBondFRNDiscountMarginFromPrice(T138,U138,AG138,W138/100,X138/100,Y138/100)</f>
        <v>-49.971433333334907</v>
      </c>
      <c r="AK138" s="41">
        <f t="shared" ca="1" si="30"/>
        <v>2.9562045433806361E-5</v>
      </c>
    </row>
    <row r="139" spans="1:40" x14ac:dyDescent="0.25">
      <c r="F139" s="12"/>
      <c r="G139" s="12"/>
      <c r="H139" s="12"/>
      <c r="J139" s="3"/>
      <c r="L139" s="5"/>
      <c r="O139"/>
      <c r="P139"/>
      <c r="Q139" s="3"/>
      <c r="R139" s="5"/>
      <c r="T139"/>
      <c r="U139" s="23"/>
      <c r="AA139" s="8"/>
      <c r="AB139" s="8"/>
      <c r="AC139" s="8"/>
      <c r="AD139" s="8"/>
    </row>
    <row r="140" spans="1:40" x14ac:dyDescent="0.25">
      <c r="B140" s="12" t="str">
        <f ca="1">_xll.meLWOBondGeneratorCreate("PLAY_GENERATOR",B141,B142:C146,B148,B149:C159)</f>
        <v>PLAY_GENERATOR@1:21</v>
      </c>
      <c r="E140" t="str">
        <f t="array" aca="1" ref="E140:F161" ca="1">_xll.meLWOBondGeneratorDisplay("US_TREASURY_TYPE1")</f>
        <v>BOND_STATICDATA</v>
      </c>
      <c r="F140" s="3" t="str">
        <f ca="1"/>
        <v/>
      </c>
      <c r="G140" s="3"/>
      <c r="H140" s="3" t="str">
        <f t="array" aca="1" ref="H140:I161" ca="1">_xll.meLWOBondGeneratorDisplay(D113)</f>
        <v>BOND_STATICDATA</v>
      </c>
      <c r="I140" s="3" t="str">
        <f ca="1"/>
        <v/>
      </c>
      <c r="J140" s="3"/>
      <c r="L140" s="5"/>
      <c r="N140" s="42"/>
      <c r="O140" s="42"/>
      <c r="P140" s="42"/>
      <c r="Q140" s="42"/>
      <c r="R140" s="43"/>
      <c r="S140" s="42"/>
      <c r="T140" s="42"/>
      <c r="U140" s="44"/>
      <c r="V140" s="45"/>
      <c r="W140" s="45"/>
      <c r="X140" s="46"/>
      <c r="Y140" s="46"/>
      <c r="Z140" s="47"/>
      <c r="AA140" s="45"/>
      <c r="AB140" s="8"/>
      <c r="AC140" s="8"/>
      <c r="AD140" s="8"/>
    </row>
    <row r="141" spans="1:40" x14ac:dyDescent="0.25">
      <c r="B141" s="12" t="s">
        <v>169</v>
      </c>
      <c r="E141" t="str">
        <f ca="1"/>
        <v>BondType</v>
      </c>
      <c r="F141" s="3" t="str">
        <f ca="1"/>
        <v>FIXED</v>
      </c>
      <c r="G141" s="3"/>
      <c r="H141" s="3" t="str">
        <f ca="1"/>
        <v>BondType</v>
      </c>
      <c r="I141" s="3" t="str">
        <f ca="1"/>
        <v>FLOATER</v>
      </c>
      <c r="J141" s="3"/>
      <c r="K141" s="3"/>
      <c r="L141" s="5"/>
      <c r="N141" s="42"/>
      <c r="O141" s="42"/>
      <c r="P141" s="42"/>
      <c r="Q141" s="42"/>
      <c r="R141" s="43"/>
      <c r="S141" s="42"/>
      <c r="T141" s="42"/>
      <c r="U141" s="44"/>
      <c r="V141" s="45"/>
      <c r="W141" s="45"/>
      <c r="X141" s="46"/>
      <c r="Y141" s="46"/>
      <c r="Z141" s="47"/>
      <c r="AA141" s="45"/>
      <c r="AB141" s="8"/>
      <c r="AC141" s="8"/>
      <c r="AD141" s="8"/>
    </row>
    <row r="142" spans="1:40" x14ac:dyDescent="0.25">
      <c r="B142" s="12" t="s">
        <v>171</v>
      </c>
      <c r="C142" s="12" t="s">
        <v>172</v>
      </c>
      <c r="E142" t="str">
        <f ca="1"/>
        <v>Currency</v>
      </c>
      <c r="F142" s="3" t="str">
        <f ca="1"/>
        <v>USD</v>
      </c>
      <c r="G142" s="3"/>
      <c r="H142" s="3" t="str">
        <f ca="1"/>
        <v>Currency</v>
      </c>
      <c r="I142" s="3" t="str">
        <f ca="1"/>
        <v>EUR</v>
      </c>
      <c r="J142" s="3"/>
      <c r="K142" s="3"/>
      <c r="L142" s="5"/>
      <c r="N142" s="48"/>
      <c r="O142" s="48"/>
      <c r="P142" s="42"/>
      <c r="Q142" s="42"/>
      <c r="R142" s="43"/>
      <c r="S142" s="42"/>
      <c r="T142" s="42"/>
      <c r="U142" s="44"/>
      <c r="V142" s="45"/>
      <c r="W142" s="45"/>
      <c r="X142" s="46"/>
      <c r="Y142" s="46"/>
      <c r="Z142" s="47"/>
      <c r="AA142" s="45"/>
      <c r="AB142" s="8"/>
      <c r="AC142" s="8"/>
      <c r="AD142" s="8"/>
    </row>
    <row r="143" spans="1:40" x14ac:dyDescent="0.25">
      <c r="B143" s="12" t="s">
        <v>173</v>
      </c>
      <c r="C143" s="12" t="s">
        <v>174</v>
      </c>
      <c r="E143" t="str">
        <f ca="1"/>
        <v>YieldType</v>
      </c>
      <c r="F143" s="3" t="str">
        <f ca="1"/>
        <v>YIELD-TO-MATURITY</v>
      </c>
      <c r="G143" s="3"/>
      <c r="H143" s="3" t="str">
        <f ca="1"/>
        <v>YieldType</v>
      </c>
      <c r="I143" s="3" t="str">
        <f ca="1"/>
        <v>YIELD-TO-MATURITY</v>
      </c>
      <c r="J143" s="3"/>
      <c r="K143" s="3"/>
      <c r="L143" s="5"/>
      <c r="N143" s="48"/>
      <c r="O143" s="48"/>
      <c r="P143" s="42"/>
      <c r="Q143" s="42"/>
      <c r="R143" s="43"/>
      <c r="S143" s="42"/>
      <c r="T143" s="42"/>
      <c r="U143" s="44"/>
      <c r="V143" s="45"/>
      <c r="W143" s="45"/>
      <c r="X143" s="46"/>
      <c r="Y143" s="46"/>
      <c r="Z143" s="47"/>
      <c r="AA143" s="45"/>
      <c r="AB143" s="8"/>
      <c r="AC143" s="8"/>
      <c r="AD143" s="8"/>
    </row>
    <row r="144" spans="1:40" x14ac:dyDescent="0.25">
      <c r="B144" s="12" t="s">
        <v>175</v>
      </c>
      <c r="C144" s="12" t="s">
        <v>176</v>
      </c>
      <c r="E144" t="str">
        <f ca="1"/>
        <v>IsCleanPrice</v>
      </c>
      <c r="F144" s="3" t="str">
        <f ca="1"/>
        <v>TRUE</v>
      </c>
      <c r="G144" s="3"/>
      <c r="H144" s="3" t="str">
        <f ca="1"/>
        <v>IsCleanPrice</v>
      </c>
      <c r="I144" s="3" t="str">
        <f ca="1"/>
        <v>TRUE</v>
      </c>
      <c r="J144" s="3"/>
      <c r="K144" s="3"/>
      <c r="L144" s="5"/>
      <c r="N144" s="48"/>
      <c r="O144" s="48"/>
      <c r="P144" s="42"/>
      <c r="Q144" s="42"/>
      <c r="R144" s="43"/>
      <c r="S144" s="42"/>
      <c r="T144" s="42"/>
      <c r="U144" s="44"/>
      <c r="V144" s="45"/>
      <c r="W144" s="45"/>
      <c r="X144" s="46"/>
      <c r="Y144" s="46"/>
      <c r="Z144" s="47"/>
      <c r="AA144" s="45"/>
      <c r="AB144" s="8"/>
      <c r="AC144" s="8"/>
      <c r="AD144" s="8"/>
    </row>
    <row r="145" spans="2:30" x14ac:dyDescent="0.25">
      <c r="B145" s="12" t="s">
        <v>177</v>
      </c>
      <c r="C145" s="12" t="s">
        <v>178</v>
      </c>
      <c r="E145" t="str">
        <f ca="1"/>
        <v>BondQuoteConvention</v>
      </c>
      <c r="F145" s="3" t="str">
        <f ca="1"/>
        <v>QUOTE_IN_64THS</v>
      </c>
      <c r="G145" s="3"/>
      <c r="H145" s="3" t="str">
        <f ca="1"/>
        <v>BondQuoteConvention</v>
      </c>
      <c r="I145" s="3" t="str">
        <f ca="1"/>
        <v>QUOTE_TO_3_DECIMAL_PLACES</v>
      </c>
      <c r="J145" s="3"/>
      <c r="K145" s="3"/>
      <c r="L145" s="5"/>
      <c r="N145" s="48"/>
      <c r="O145" s="48"/>
      <c r="P145" s="42"/>
      <c r="Q145" s="42"/>
      <c r="R145" s="43"/>
      <c r="S145" s="42"/>
      <c r="T145" s="42"/>
      <c r="U145" s="44"/>
      <c r="V145" s="45"/>
      <c r="W145" s="45"/>
      <c r="X145" s="46"/>
      <c r="Y145" s="46"/>
      <c r="Z145" s="47"/>
      <c r="AA145" s="45"/>
      <c r="AB145" s="8"/>
      <c r="AC145" s="8"/>
      <c r="AD145" s="8"/>
    </row>
    <row r="146" spans="2:30" x14ac:dyDescent="0.25">
      <c r="B146" s="12" t="s">
        <v>179</v>
      </c>
      <c r="C146" s="12" t="s">
        <v>204</v>
      </c>
      <c r="E146" t="str">
        <f ca="1"/>
        <v/>
      </c>
      <c r="F146" s="3" t="str">
        <f ca="1"/>
        <v/>
      </c>
      <c r="G146" s="3"/>
      <c r="H146" s="3" t="str">
        <f ca="1"/>
        <v/>
      </c>
      <c r="I146" s="3" t="str">
        <f ca="1"/>
        <v/>
      </c>
      <c r="J146" s="3"/>
      <c r="K146" s="3"/>
      <c r="L146" s="5"/>
      <c r="N146" s="48"/>
      <c r="O146" s="48"/>
      <c r="P146" s="42"/>
      <c r="Q146" s="42"/>
      <c r="R146" s="43"/>
      <c r="S146" s="42"/>
      <c r="T146" s="42"/>
      <c r="U146" s="44"/>
      <c r="V146" s="45"/>
      <c r="W146" s="45"/>
      <c r="X146" s="46"/>
      <c r="Y146" s="46"/>
      <c r="Z146" s="47"/>
      <c r="AA146" s="45"/>
      <c r="AB146" s="8"/>
      <c r="AC146" s="8"/>
      <c r="AD146" s="8"/>
    </row>
    <row r="147" spans="2:30" x14ac:dyDescent="0.25">
      <c r="B147" s="12" t="s">
        <v>170</v>
      </c>
      <c r="C147" s="12" t="s">
        <v>170</v>
      </c>
      <c r="E147" t="str">
        <f ca="1"/>
        <v>BOND_SCHEDULE</v>
      </c>
      <c r="F147" s="3" t="str">
        <f ca="1"/>
        <v/>
      </c>
      <c r="G147" s="3"/>
      <c r="H147" s="3" t="str">
        <f ca="1"/>
        <v>BOND_SCHEDULE</v>
      </c>
      <c r="I147" s="3" t="str">
        <f ca="1"/>
        <v/>
      </c>
      <c r="J147" s="3"/>
      <c r="K147" s="3"/>
      <c r="L147" s="5"/>
      <c r="N147" s="48"/>
      <c r="O147" s="48"/>
      <c r="P147" s="42"/>
      <c r="Q147" s="42"/>
      <c r="R147" s="43"/>
      <c r="S147" s="42"/>
      <c r="T147" s="42"/>
      <c r="U147" s="44"/>
      <c r="V147" s="45"/>
      <c r="W147" s="45"/>
      <c r="X147" s="46"/>
      <c r="Y147" s="46"/>
      <c r="Z147" s="47"/>
      <c r="AA147" s="45"/>
      <c r="AB147" s="8"/>
      <c r="AC147" s="8"/>
      <c r="AD147" s="8"/>
    </row>
    <row r="148" spans="2:30" x14ac:dyDescent="0.25">
      <c r="B148" s="12" t="s">
        <v>180</v>
      </c>
      <c r="C148" s="12" t="s">
        <v>170</v>
      </c>
      <c r="E148" t="str">
        <f ca="1"/>
        <v>PayReceive</v>
      </c>
      <c r="F148" s="3" t="str">
        <f ca="1"/>
        <v>RECEIVE</v>
      </c>
      <c r="G148" s="3"/>
      <c r="H148" s="3" t="str">
        <f ca="1"/>
        <v>PayReceive</v>
      </c>
      <c r="I148" s="3" t="str">
        <f ca="1"/>
        <v>RECEIVE</v>
      </c>
      <c r="J148" s="3"/>
      <c r="K148" s="3"/>
      <c r="L148" s="5"/>
      <c r="N148" s="48"/>
      <c r="O148" s="48"/>
      <c r="P148" s="42"/>
      <c r="Q148" s="42"/>
      <c r="R148" s="43"/>
      <c r="S148" s="42"/>
      <c r="T148" s="42"/>
      <c r="U148" s="44"/>
      <c r="V148" s="45"/>
      <c r="W148" s="45"/>
      <c r="X148" s="46"/>
      <c r="Y148" s="46"/>
      <c r="Z148" s="47"/>
      <c r="AA148" s="45"/>
      <c r="AB148" s="8"/>
      <c r="AC148" s="8"/>
      <c r="AD148" s="8"/>
    </row>
    <row r="149" spans="2:30" x14ac:dyDescent="0.25">
      <c r="B149" s="12" t="s">
        <v>181</v>
      </c>
      <c r="C149" s="12" t="s">
        <v>182</v>
      </c>
      <c r="E149" t="str">
        <f ca="1"/>
        <v>NotionalExchange</v>
      </c>
      <c r="F149" s="3" t="str">
        <f ca="1"/>
        <v>START_AND_END</v>
      </c>
      <c r="G149" s="3"/>
      <c r="H149" s="3" t="str">
        <f ca="1"/>
        <v>NotionalExchange</v>
      </c>
      <c r="I149" s="3" t="str">
        <f ca="1"/>
        <v>START_AND_END</v>
      </c>
      <c r="J149" s="3"/>
      <c r="K149" s="3"/>
      <c r="L149" s="5"/>
      <c r="N149" s="48"/>
      <c r="O149" s="48"/>
      <c r="P149" s="42"/>
      <c r="Q149" s="42"/>
      <c r="R149" s="43"/>
      <c r="S149" s="42"/>
      <c r="T149" s="42"/>
      <c r="U149" s="44"/>
      <c r="V149" s="45"/>
      <c r="W149" s="45"/>
      <c r="X149" s="46"/>
      <c r="Y149" s="46"/>
      <c r="Z149" s="47"/>
      <c r="AA149" s="45"/>
      <c r="AB149" s="8"/>
      <c r="AC149" s="8"/>
      <c r="AD149" s="8"/>
    </row>
    <row r="150" spans="2:30" x14ac:dyDescent="0.25">
      <c r="B150" s="12" t="s">
        <v>183</v>
      </c>
      <c r="C150" s="12" t="s">
        <v>184</v>
      </c>
      <c r="E150" t="str">
        <f ca="1"/>
        <v>FaceValue</v>
      </c>
      <c r="F150" s="3">
        <f ca="1"/>
        <v>1000000</v>
      </c>
      <c r="G150" s="3"/>
      <c r="H150" s="3" t="str">
        <f ca="1"/>
        <v>FaceValue</v>
      </c>
      <c r="I150" s="3">
        <f ca="1"/>
        <v>1000000</v>
      </c>
      <c r="J150" s="3"/>
      <c r="K150" s="3"/>
      <c r="L150" s="5"/>
      <c r="N150" s="48"/>
      <c r="O150" s="48"/>
      <c r="P150" s="42"/>
      <c r="Q150" s="42"/>
      <c r="R150" s="43"/>
      <c r="S150" s="42"/>
      <c r="T150" s="42"/>
      <c r="U150" s="44"/>
      <c r="V150" s="45"/>
      <c r="W150" s="45"/>
      <c r="X150" s="46"/>
      <c r="Y150" s="46"/>
      <c r="Z150" s="47"/>
      <c r="AA150" s="45"/>
      <c r="AB150" s="8"/>
      <c r="AC150" s="8"/>
      <c r="AD150" s="8"/>
    </row>
    <row r="151" spans="2:30" x14ac:dyDescent="0.25">
      <c r="B151" s="12" t="s">
        <v>185</v>
      </c>
      <c r="C151" s="12">
        <v>1000000</v>
      </c>
      <c r="E151" t="str">
        <f ca="1"/>
        <v>Frequency</v>
      </c>
      <c r="F151" s="3" t="str">
        <f ca="1"/>
        <v>Semi-Annual</v>
      </c>
      <c r="G151" s="3"/>
      <c r="H151" s="3" t="str">
        <f ca="1"/>
        <v>Frequency</v>
      </c>
      <c r="I151" s="3" t="str">
        <f ca="1"/>
        <v>Quarterly</v>
      </c>
      <c r="J151" s="3"/>
      <c r="K151" s="3"/>
      <c r="L151" s="5"/>
      <c r="N151" s="48"/>
      <c r="O151" s="48"/>
      <c r="P151" s="42"/>
      <c r="Q151" s="42"/>
      <c r="R151" s="43"/>
      <c r="S151" s="42"/>
      <c r="T151" s="42"/>
      <c r="U151" s="44"/>
      <c r="V151" s="45"/>
      <c r="W151" s="45"/>
      <c r="X151" s="46"/>
      <c r="Y151" s="46"/>
      <c r="Z151" s="47"/>
      <c r="AA151" s="45"/>
      <c r="AB151" s="8"/>
      <c r="AC151" s="8"/>
      <c r="AD151" s="8"/>
    </row>
    <row r="152" spans="2:30" x14ac:dyDescent="0.25">
      <c r="B152" s="12" t="s">
        <v>186</v>
      </c>
      <c r="C152" s="12" t="s">
        <v>187</v>
      </c>
      <c r="E152" t="str">
        <f ca="1"/>
        <v>AccrualBusinessDayAdjustment</v>
      </c>
      <c r="F152" s="3" t="str">
        <f ca="1"/>
        <v>MOD_FOLLOWING</v>
      </c>
      <c r="G152" s="3"/>
      <c r="H152" s="3" t="str">
        <f ca="1"/>
        <v>AccrualBusinessDayAdjustment</v>
      </c>
      <c r="I152" s="3" t="str">
        <f ca="1"/>
        <v>MOD_FOLLOWING</v>
      </c>
      <c r="J152" s="3"/>
      <c r="K152" s="3"/>
      <c r="L152" s="5"/>
      <c r="N152" s="48"/>
      <c r="O152" s="48"/>
      <c r="P152" s="42"/>
      <c r="Q152" s="42"/>
      <c r="R152" s="43"/>
      <c r="S152" s="42"/>
      <c r="T152" s="42"/>
      <c r="U152" s="44"/>
      <c r="V152" s="45"/>
      <c r="W152" s="45"/>
      <c r="X152" s="46"/>
      <c r="Y152" s="46"/>
      <c r="Z152" s="47"/>
      <c r="AA152" s="45"/>
      <c r="AB152" s="8"/>
      <c r="AC152" s="8"/>
      <c r="AD152" s="8"/>
    </row>
    <row r="153" spans="2:30" x14ac:dyDescent="0.25">
      <c r="B153" s="12" t="s">
        <v>188</v>
      </c>
      <c r="C153" s="12" t="s">
        <v>189</v>
      </c>
      <c r="E153" t="str">
        <f ca="1"/>
        <v>AccrualCalendar</v>
      </c>
      <c r="F153" s="3" t="str">
        <f ca="1"/>
        <v>NYB</v>
      </c>
      <c r="G153" s="3"/>
      <c r="H153" s="3" t="str">
        <f ca="1"/>
        <v>AccrualCalendar</v>
      </c>
      <c r="I153" s="3" t="str">
        <f ca="1"/>
        <v>TGT</v>
      </c>
      <c r="J153" s="3"/>
      <c r="K153" s="3"/>
      <c r="L153" s="5"/>
      <c r="N153" s="48"/>
      <c r="O153" s="48"/>
      <c r="P153" s="42"/>
      <c r="Q153" s="42"/>
      <c r="R153" s="43"/>
      <c r="S153" s="42"/>
      <c r="T153" s="42"/>
      <c r="U153" s="44"/>
      <c r="V153" s="45"/>
      <c r="W153" s="45"/>
      <c r="X153" s="46"/>
      <c r="Y153" s="46"/>
      <c r="Z153" s="47"/>
      <c r="AA153" s="45"/>
      <c r="AB153" s="8"/>
      <c r="AC153" s="8"/>
      <c r="AD153" s="8"/>
    </row>
    <row r="154" spans="2:30" x14ac:dyDescent="0.25">
      <c r="B154" s="12" t="s">
        <v>190</v>
      </c>
      <c r="C154" s="12" t="s">
        <v>191</v>
      </c>
      <c r="E154" t="str">
        <f ca="1"/>
        <v>PaymentBusinessDayAdjustment</v>
      </c>
      <c r="F154" s="3" t="str">
        <f ca="1"/>
        <v>NO_CHANGE</v>
      </c>
      <c r="G154" s="3"/>
      <c r="H154" s="3" t="str">
        <f ca="1"/>
        <v>PaymentBusinessDayAdjustment</v>
      </c>
      <c r="I154" s="3" t="str">
        <f ca="1"/>
        <v>NO_CHANGE</v>
      </c>
      <c r="J154" s="3"/>
      <c r="K154" s="3"/>
      <c r="L154" s="5"/>
      <c r="N154" s="48"/>
      <c r="O154" s="48"/>
      <c r="P154" s="42"/>
      <c r="Q154" s="42"/>
      <c r="R154" s="43"/>
      <c r="S154" s="42"/>
      <c r="T154" s="42"/>
      <c r="U154" s="44"/>
      <c r="V154" s="45"/>
      <c r="W154" s="45"/>
      <c r="X154" s="46"/>
      <c r="Y154" s="46"/>
      <c r="Z154" s="47"/>
      <c r="AA154" s="45"/>
      <c r="AB154" s="8"/>
      <c r="AC154" s="8"/>
      <c r="AD154" s="8"/>
    </row>
    <row r="155" spans="2:30" x14ac:dyDescent="0.25">
      <c r="B155" s="12" t="s">
        <v>192</v>
      </c>
      <c r="C155" s="12" t="s">
        <v>212</v>
      </c>
      <c r="E155" t="str">
        <f ca="1"/>
        <v>PaymentCalendar</v>
      </c>
      <c r="F155" s="3" t="str">
        <f ca="1"/>
        <v>NYB</v>
      </c>
      <c r="G155" s="3"/>
      <c r="H155" s="3" t="str">
        <f ca="1"/>
        <v>PaymentCalendar</v>
      </c>
      <c r="I155" s="3" t="str">
        <f ca="1"/>
        <v>LNB:TGT</v>
      </c>
      <c r="J155" s="3"/>
      <c r="K155" s="3"/>
      <c r="L155" s="5"/>
      <c r="N155" s="48"/>
      <c r="O155" s="48"/>
      <c r="P155" s="42"/>
      <c r="Q155" s="42"/>
      <c r="R155" s="43"/>
      <c r="S155" s="42"/>
      <c r="T155" s="42"/>
      <c r="U155" s="44"/>
      <c r="V155" s="45"/>
      <c r="W155" s="45"/>
      <c r="X155" s="46"/>
      <c r="Y155" s="46"/>
      <c r="Z155" s="47"/>
      <c r="AA155" s="45"/>
      <c r="AB155" s="8"/>
      <c r="AC155" s="8"/>
      <c r="AD155" s="8"/>
    </row>
    <row r="156" spans="2:30" x14ac:dyDescent="0.25">
      <c r="B156" s="12" t="s">
        <v>193</v>
      </c>
      <c r="C156" s="12" t="s">
        <v>202</v>
      </c>
      <c r="E156" t="str">
        <f ca="1"/>
        <v>PaymentLag</v>
      </c>
      <c r="F156" s="3" t="str">
        <f ca="1"/>
        <v>0D</v>
      </c>
      <c r="G156" s="3"/>
      <c r="H156" s="3" t="str">
        <f ca="1"/>
        <v>PaymentLag</v>
      </c>
      <c r="I156" s="3" t="str">
        <f ca="1"/>
        <v>0D</v>
      </c>
      <c r="J156" s="3"/>
      <c r="K156" s="3"/>
      <c r="L156" s="5"/>
      <c r="N156" s="48"/>
      <c r="O156" s="48"/>
      <c r="P156" s="42"/>
      <c r="Q156" s="42"/>
      <c r="R156" s="43"/>
      <c r="S156" s="42"/>
      <c r="T156" s="42"/>
      <c r="U156" s="44"/>
      <c r="V156" s="45"/>
      <c r="W156" s="45"/>
      <c r="X156" s="46"/>
      <c r="Y156" s="46"/>
      <c r="Z156" s="47"/>
      <c r="AA156" s="45"/>
      <c r="AB156" s="8"/>
      <c r="AC156" s="8"/>
      <c r="AD156" s="8"/>
    </row>
    <row r="157" spans="2:30" x14ac:dyDescent="0.25">
      <c r="B157" s="12" t="s">
        <v>194</v>
      </c>
      <c r="C157" s="12" t="s">
        <v>195</v>
      </c>
      <c r="E157" t="str">
        <f ca="1"/>
        <v>DayCount</v>
      </c>
      <c r="F157" s="3" t="str">
        <f ca="1"/>
        <v>ACT/ACT</v>
      </c>
      <c r="G157" s="3"/>
      <c r="H157" s="3" t="str">
        <f ca="1"/>
        <v>DayCount</v>
      </c>
      <c r="I157" s="3" t="str">
        <f ca="1"/>
        <v>ACT/360</v>
      </c>
      <c r="J157" s="3"/>
      <c r="K157" s="3"/>
      <c r="L157" s="5"/>
      <c r="N157" s="48"/>
      <c r="O157" s="48"/>
      <c r="P157" s="42"/>
      <c r="Q157" s="42"/>
      <c r="R157" s="43"/>
      <c r="S157" s="42"/>
      <c r="T157" s="42"/>
      <c r="U157" s="44"/>
      <c r="V157" s="45"/>
      <c r="W157" s="45"/>
      <c r="X157" s="46"/>
      <c r="Y157" s="46"/>
      <c r="Z157" s="47"/>
      <c r="AA157" s="45"/>
      <c r="AB157" s="8"/>
      <c r="AC157" s="8"/>
      <c r="AD157" s="8"/>
    </row>
    <row r="158" spans="2:30" x14ac:dyDescent="0.25">
      <c r="B158" s="12" t="s">
        <v>3</v>
      </c>
      <c r="C158" s="12" t="s">
        <v>4</v>
      </c>
      <c r="E158" t="str">
        <f ca="1"/>
        <v>CalculationType</v>
      </c>
      <c r="F158" s="3" t="str">
        <f ca="1"/>
        <v>TYPE1_STREET_CONVENTION</v>
      </c>
      <c r="G158" s="3"/>
      <c r="H158" s="3" t="str">
        <f ca="1"/>
        <v>CalculationType</v>
      </c>
      <c r="I158" s="3" t="str">
        <f ca="1"/>
        <v>TYPE21_FLOATING_RATE_NOTE</v>
      </c>
      <c r="J158" s="3"/>
      <c r="K158" s="3"/>
      <c r="L158" s="5"/>
      <c r="N158" s="48"/>
      <c r="O158" s="48"/>
      <c r="P158" s="42"/>
      <c r="Q158" s="42"/>
      <c r="R158" s="43"/>
      <c r="S158" s="42"/>
      <c r="T158" s="42"/>
      <c r="U158" s="44"/>
      <c r="V158" s="45"/>
      <c r="W158" s="45"/>
      <c r="X158" s="46"/>
      <c r="Y158" s="46"/>
      <c r="Z158" s="47"/>
      <c r="AA158" s="45"/>
      <c r="AB158" s="8"/>
      <c r="AC158" s="8"/>
      <c r="AD158" s="8"/>
    </row>
    <row r="159" spans="2:30" x14ac:dyDescent="0.25">
      <c r="B159" s="12" t="s">
        <v>196</v>
      </c>
      <c r="C159" s="12" t="s">
        <v>197</v>
      </c>
      <c r="E159" t="e">
        <f ca="1"/>
        <v>#N/A</v>
      </c>
      <c r="F159" s="3" t="e">
        <f ca="1"/>
        <v>#N/A</v>
      </c>
      <c r="G159" s="3"/>
      <c r="H159" s="3" t="e">
        <f ca="1"/>
        <v>#N/A</v>
      </c>
      <c r="I159" s="3" t="e">
        <f ca="1"/>
        <v>#N/A</v>
      </c>
      <c r="J159" s="3"/>
      <c r="K159" s="3"/>
      <c r="L159" s="5"/>
      <c r="N159" s="48"/>
      <c r="O159" s="48"/>
      <c r="P159" s="42"/>
      <c r="Q159" s="42"/>
      <c r="R159" s="43"/>
      <c r="S159" s="42"/>
      <c r="T159" s="42"/>
      <c r="U159" s="44"/>
      <c r="V159" s="45"/>
      <c r="W159" s="45"/>
      <c r="X159" s="46"/>
      <c r="Y159" s="46"/>
      <c r="Z159" s="47"/>
      <c r="AA159" s="45"/>
      <c r="AB159" s="8"/>
      <c r="AC159" s="8"/>
      <c r="AD159" s="8"/>
    </row>
    <row r="160" spans="2:30" x14ac:dyDescent="0.25">
      <c r="E160" t="e">
        <f ca="1"/>
        <v>#N/A</v>
      </c>
      <c r="F160" s="12" t="e">
        <f ca="1"/>
        <v>#N/A</v>
      </c>
      <c r="G160" s="3"/>
      <c r="H160" s="12" t="e">
        <f ca="1"/>
        <v>#N/A</v>
      </c>
      <c r="I160" s="3" t="e">
        <f ca="1"/>
        <v>#N/A</v>
      </c>
      <c r="J160" s="3"/>
      <c r="K160" s="3"/>
      <c r="L160" s="5"/>
      <c r="N160" s="48"/>
      <c r="O160" s="48"/>
      <c r="P160" s="42"/>
      <c r="Q160" s="42"/>
      <c r="R160" s="43"/>
      <c r="S160" s="42"/>
      <c r="T160" s="42"/>
      <c r="U160" s="44"/>
      <c r="V160" s="45"/>
      <c r="W160" s="45"/>
      <c r="X160" s="46"/>
      <c r="Y160" s="46"/>
      <c r="Z160" s="47"/>
      <c r="AA160" s="45"/>
      <c r="AB160" s="8"/>
      <c r="AC160" s="8"/>
      <c r="AD160" s="8"/>
    </row>
    <row r="161" spans="5:30" x14ac:dyDescent="0.25">
      <c r="E161" t="e">
        <f ca="1"/>
        <v>#N/A</v>
      </c>
      <c r="F161" s="3" t="e">
        <f ca="1"/>
        <v>#N/A</v>
      </c>
      <c r="G161" s="3"/>
      <c r="H161" s="3" t="e">
        <f ca="1"/>
        <v>#N/A</v>
      </c>
      <c r="I161" s="3" t="e">
        <f ca="1"/>
        <v>#N/A</v>
      </c>
      <c r="J161" s="3"/>
      <c r="K161" s="3"/>
      <c r="L161" s="5"/>
      <c r="N161" s="48"/>
      <c r="O161" s="48"/>
      <c r="P161" s="42"/>
      <c r="Q161" s="42"/>
      <c r="R161" s="43"/>
      <c r="S161" s="42"/>
      <c r="T161" s="42"/>
      <c r="U161" s="44"/>
      <c r="V161" s="45"/>
      <c r="W161" s="45"/>
      <c r="X161" s="46"/>
      <c r="Y161" s="46"/>
      <c r="Z161" s="47"/>
      <c r="AA161" s="45"/>
      <c r="AB161" s="8"/>
      <c r="AC161" s="8"/>
      <c r="AD161" s="8"/>
    </row>
    <row r="162" spans="5:30" x14ac:dyDescent="0.25">
      <c r="F162" s="12"/>
      <c r="G162" s="12"/>
      <c r="H162" s="12"/>
      <c r="J162" s="3"/>
      <c r="K162" s="3"/>
      <c r="L162" s="5"/>
      <c r="N162" s="48"/>
      <c r="O162" s="48"/>
      <c r="P162" s="42"/>
      <c r="Q162" s="42"/>
      <c r="R162" s="43"/>
      <c r="S162" s="42"/>
      <c r="T162" s="42"/>
      <c r="U162" s="44"/>
      <c r="V162" s="45"/>
      <c r="W162" s="45"/>
      <c r="X162" s="46"/>
      <c r="Y162" s="46"/>
      <c r="Z162" s="47"/>
      <c r="AA162" s="45"/>
      <c r="AB162" s="8"/>
      <c r="AC162" s="8"/>
      <c r="AD162" s="8"/>
    </row>
    <row r="163" spans="5:30" x14ac:dyDescent="0.25">
      <c r="F163" s="12"/>
      <c r="G163" s="12"/>
      <c r="H163" s="12"/>
      <c r="J163" s="3"/>
      <c r="K163" s="3"/>
      <c r="L163" s="5"/>
      <c r="N163" s="48"/>
      <c r="O163" s="48"/>
      <c r="P163" s="42"/>
      <c r="Q163" s="42"/>
      <c r="R163" s="43"/>
      <c r="S163" s="42"/>
      <c r="T163" s="42"/>
      <c r="U163" s="44"/>
      <c r="V163" s="45"/>
      <c r="W163" s="45"/>
      <c r="X163" s="46"/>
      <c r="Y163" s="46"/>
      <c r="Z163" s="47"/>
      <c r="AA163" s="45"/>
      <c r="AB163" s="8"/>
      <c r="AC163" s="8"/>
      <c r="AD163" s="8"/>
    </row>
    <row r="164" spans="5:30" x14ac:dyDescent="0.25">
      <c r="F164" s="12"/>
      <c r="G164" s="12"/>
      <c r="H164" s="12"/>
      <c r="J164" s="3"/>
      <c r="K164" s="3"/>
      <c r="L164" s="5"/>
      <c r="N164" s="48"/>
      <c r="O164" s="48"/>
      <c r="P164" s="42"/>
      <c r="Q164" s="42"/>
      <c r="R164" s="43"/>
      <c r="S164" s="42"/>
      <c r="T164" s="42"/>
      <c r="U164" s="44"/>
      <c r="V164" s="45"/>
      <c r="W164" s="45"/>
      <c r="X164" s="46"/>
      <c r="Y164" s="46"/>
      <c r="Z164" s="47"/>
      <c r="AA164" s="45"/>
      <c r="AB164" s="8"/>
      <c r="AC164" s="8"/>
      <c r="AD164" s="8"/>
    </row>
    <row r="165" spans="5:30" x14ac:dyDescent="0.25">
      <c r="F165" s="12"/>
      <c r="G165" s="12"/>
      <c r="H165" s="12"/>
      <c r="J165" s="3"/>
      <c r="K165" s="3"/>
      <c r="L165" s="5"/>
      <c r="N165" s="48"/>
      <c r="O165" s="48"/>
      <c r="P165" s="42"/>
      <c r="Q165" s="42"/>
      <c r="R165" s="43"/>
      <c r="S165" s="42"/>
      <c r="T165" s="42"/>
      <c r="U165" s="44"/>
      <c r="V165" s="45"/>
      <c r="W165" s="45"/>
      <c r="X165" s="46"/>
      <c r="Y165" s="46"/>
      <c r="Z165" s="47"/>
      <c r="AA165" s="45"/>
      <c r="AB165" s="8"/>
      <c r="AC165" s="8"/>
      <c r="AD165" s="8"/>
    </row>
    <row r="166" spans="5:30" x14ac:dyDescent="0.25">
      <c r="F166" s="12"/>
      <c r="G166" s="12"/>
      <c r="H166" s="12"/>
      <c r="J166" s="3"/>
      <c r="K166" s="3"/>
      <c r="L166" s="5"/>
      <c r="N166" s="48"/>
      <c r="O166" s="48"/>
      <c r="P166" s="42"/>
      <c r="Q166" s="42"/>
      <c r="R166" s="43"/>
      <c r="S166" s="42"/>
      <c r="T166" s="42"/>
      <c r="U166" s="44"/>
      <c r="V166" s="45"/>
      <c r="W166" s="45"/>
      <c r="X166" s="46"/>
      <c r="Y166" s="46"/>
      <c r="Z166" s="47"/>
      <c r="AA166" s="45"/>
      <c r="AB166" s="8"/>
      <c r="AC166" s="8"/>
      <c r="AD166" s="8"/>
    </row>
    <row r="167" spans="5:30" x14ac:dyDescent="0.25">
      <c r="F167" s="12"/>
      <c r="G167" s="12"/>
      <c r="H167" s="12"/>
      <c r="J167" s="3"/>
      <c r="K167" s="3"/>
      <c r="L167" s="5"/>
      <c r="N167" s="48"/>
      <c r="O167" s="48"/>
      <c r="P167" s="42"/>
      <c r="Q167" s="42"/>
      <c r="R167" s="43"/>
      <c r="S167" s="42"/>
      <c r="T167" s="42"/>
      <c r="U167" s="44"/>
      <c r="V167" s="45"/>
      <c r="W167" s="45"/>
      <c r="X167" s="46"/>
      <c r="Y167" s="46"/>
      <c r="Z167" s="47"/>
      <c r="AA167" s="45"/>
      <c r="AB167" s="8"/>
      <c r="AC167" s="8"/>
      <c r="AD167" s="8"/>
    </row>
    <row r="168" spans="5:30" x14ac:dyDescent="0.25">
      <c r="F168" s="12"/>
      <c r="G168" s="12"/>
      <c r="H168" s="12"/>
      <c r="J168" s="3"/>
      <c r="K168" s="3"/>
      <c r="L168" s="5"/>
      <c r="N168" s="42"/>
      <c r="O168" s="42"/>
      <c r="P168" s="42"/>
      <c r="Q168" s="42"/>
      <c r="R168" s="43"/>
      <c r="S168" s="42"/>
      <c r="T168" s="42"/>
      <c r="U168" s="44"/>
      <c r="V168" s="45"/>
      <c r="W168" s="45"/>
      <c r="X168" s="46"/>
      <c r="Y168" s="46"/>
      <c r="Z168" s="47"/>
      <c r="AA168" s="45"/>
      <c r="AB168" s="8"/>
      <c r="AC168" s="8"/>
      <c r="AD168" s="8"/>
    </row>
    <row r="169" spans="5:30" x14ac:dyDescent="0.25">
      <c r="F169" s="12"/>
      <c r="G169" s="12"/>
      <c r="H169" s="12"/>
      <c r="J169" s="3"/>
      <c r="K169" s="3"/>
      <c r="L169" s="5"/>
      <c r="N169" s="42"/>
      <c r="O169" s="42"/>
      <c r="P169" s="42"/>
      <c r="Q169" s="42"/>
      <c r="R169" s="43"/>
      <c r="S169" s="42"/>
      <c r="T169" s="42"/>
      <c r="U169" s="44"/>
      <c r="V169" s="45"/>
      <c r="W169" s="45"/>
      <c r="X169" s="46"/>
      <c r="Y169" s="46"/>
      <c r="Z169" s="47"/>
      <c r="AA169" s="45"/>
      <c r="AB169" s="8"/>
      <c r="AC169" s="8"/>
      <c r="AD169" s="8"/>
    </row>
    <row r="170" spans="5:30" x14ac:dyDescent="0.25">
      <c r="F170" s="12"/>
      <c r="G170" s="12"/>
      <c r="H170" s="12"/>
      <c r="J170" s="3"/>
      <c r="K170" s="3"/>
      <c r="L170" s="5"/>
      <c r="N170" s="42"/>
      <c r="O170" s="42"/>
      <c r="P170" s="42"/>
      <c r="Q170" s="42"/>
      <c r="R170" s="43"/>
      <c r="S170" s="42"/>
      <c r="T170" s="42"/>
      <c r="U170" s="44"/>
      <c r="V170" s="45"/>
      <c r="W170" s="45"/>
      <c r="X170" s="46"/>
      <c r="Y170" s="46"/>
      <c r="Z170" s="47"/>
      <c r="AA170" s="45"/>
      <c r="AB170" s="8"/>
      <c r="AC170" s="8"/>
      <c r="AD170" s="8"/>
    </row>
    <row r="171" spans="5:30" x14ac:dyDescent="0.25">
      <c r="F171" s="12"/>
      <c r="G171" s="12"/>
      <c r="H171" s="12"/>
      <c r="J171" s="3"/>
      <c r="K171" s="3"/>
      <c r="L171" s="5"/>
      <c r="N171" s="42"/>
      <c r="O171" s="42"/>
      <c r="P171" s="42"/>
      <c r="Q171" s="42"/>
      <c r="R171" s="43"/>
      <c r="S171" s="42"/>
      <c r="T171" s="42"/>
      <c r="U171" s="44"/>
      <c r="V171" s="45"/>
      <c r="W171" s="45"/>
      <c r="X171" s="46"/>
      <c r="Y171" s="46"/>
      <c r="Z171" s="47"/>
      <c r="AA171" s="45"/>
      <c r="AB171" s="8"/>
      <c r="AC171" s="8"/>
      <c r="AD171" s="8"/>
    </row>
    <row r="172" spans="5:30" x14ac:dyDescent="0.25">
      <c r="F172" s="12"/>
      <c r="G172" s="12"/>
      <c r="H172" s="12"/>
      <c r="J172" s="3"/>
      <c r="K172" s="3"/>
      <c r="L172" s="5"/>
      <c r="N172" s="42"/>
      <c r="O172" s="42"/>
      <c r="P172" s="42"/>
      <c r="Q172" s="42"/>
      <c r="R172" s="43"/>
      <c r="S172" s="42"/>
      <c r="T172" s="42"/>
      <c r="U172" s="44"/>
      <c r="V172" s="45"/>
      <c r="W172" s="45"/>
      <c r="X172" s="46"/>
      <c r="Y172" s="46"/>
      <c r="Z172" s="47"/>
      <c r="AA172" s="45"/>
      <c r="AB172" s="8"/>
      <c r="AC172" s="8"/>
      <c r="AD172" s="8"/>
    </row>
    <row r="173" spans="5:30" x14ac:dyDescent="0.25">
      <c r="F173" s="12"/>
      <c r="G173" s="12"/>
      <c r="H173" s="12"/>
      <c r="J173" s="3"/>
      <c r="K173" s="3"/>
      <c r="L173" s="5"/>
      <c r="N173" s="42"/>
      <c r="O173" s="42"/>
      <c r="P173" s="42"/>
      <c r="Q173" s="42"/>
      <c r="R173" s="43"/>
      <c r="S173" s="42"/>
      <c r="T173" s="42"/>
      <c r="U173" s="44"/>
      <c r="V173" s="45"/>
      <c r="W173" s="45"/>
      <c r="X173" s="46"/>
      <c r="Y173" s="46"/>
      <c r="Z173" s="47"/>
      <c r="AA173" s="45"/>
      <c r="AB173" s="8"/>
      <c r="AC173" s="8"/>
      <c r="AD173" s="8"/>
    </row>
    <row r="174" spans="5:30" x14ac:dyDescent="0.25">
      <c r="F174" s="12"/>
      <c r="G174" s="12"/>
      <c r="H174" s="12"/>
      <c r="J174" s="3"/>
      <c r="K174" s="3"/>
      <c r="L174" s="5"/>
      <c r="N174" s="42"/>
      <c r="O174" s="42"/>
      <c r="P174" s="42"/>
      <c r="Q174" s="42"/>
      <c r="R174" s="43"/>
      <c r="S174" s="42"/>
      <c r="T174" s="42"/>
      <c r="U174" s="44"/>
      <c r="V174" s="45"/>
      <c r="W174" s="45"/>
      <c r="X174" s="46"/>
      <c r="Y174" s="46"/>
      <c r="Z174" s="47"/>
      <c r="AA174" s="45"/>
      <c r="AB174" s="8"/>
      <c r="AC174" s="8"/>
      <c r="AD174" s="8"/>
    </row>
    <row r="175" spans="5:30" x14ac:dyDescent="0.25">
      <c r="F175" s="12"/>
      <c r="G175" s="12"/>
      <c r="H175" s="12"/>
      <c r="J175" s="3"/>
      <c r="K175" s="3"/>
      <c r="L175" s="5"/>
      <c r="O175"/>
      <c r="P175"/>
      <c r="Q175" s="3"/>
      <c r="R175" s="5"/>
      <c r="T175"/>
      <c r="AA175" s="8"/>
      <c r="AB175" s="8"/>
      <c r="AC175" s="8"/>
      <c r="AD175" s="8"/>
    </row>
    <row r="176" spans="5:30" x14ac:dyDescent="0.25">
      <c r="F176" s="12"/>
      <c r="G176" s="12"/>
      <c r="H176" s="12"/>
      <c r="J176" s="3"/>
      <c r="K176" s="3"/>
      <c r="L176" s="5" t="str">
        <f t="array" aca="1" ref="L176:L203" ca="1">_xll.meLWOList("BOND_GENERATOR")</f>
        <v>AUD_FUTURE_10Y_NOTIONAL_BOND</v>
      </c>
      <c r="O176"/>
      <c r="P176"/>
      <c r="Q176" s="3"/>
      <c r="R176" s="5"/>
      <c r="T176"/>
      <c r="AA176" s="8"/>
      <c r="AB176" s="8"/>
      <c r="AC176" s="8"/>
      <c r="AD176" s="8"/>
    </row>
    <row r="177" spans="2:30" x14ac:dyDescent="0.25">
      <c r="F177" s="12"/>
      <c r="G177" s="12"/>
      <c r="H177" s="12"/>
      <c r="J177" s="3"/>
      <c r="L177" s="5" t="str">
        <f ca="1"/>
        <v>AUD_FUTURE_3Y_NOTIONAL_BOND</v>
      </c>
      <c r="O177"/>
      <c r="P177"/>
      <c r="Q177" s="3"/>
      <c r="R177" s="5"/>
      <c r="T177"/>
      <c r="AA177" s="8"/>
      <c r="AB177" s="8"/>
      <c r="AC177" s="8"/>
      <c r="AD177" s="8"/>
    </row>
    <row r="178" spans="2:30" x14ac:dyDescent="0.25">
      <c r="F178" s="12"/>
      <c r="G178" s="12"/>
      <c r="H178" s="12"/>
      <c r="J178" s="3"/>
      <c r="L178" s="5" t="str">
        <f ca="1"/>
        <v>AUSTRALIAN_GOVT_TYPE23_CLEAN</v>
      </c>
      <c r="O178"/>
      <c r="P178"/>
      <c r="Q178" s="3"/>
      <c r="R178" s="5"/>
      <c r="T178"/>
      <c r="AA178" s="8"/>
      <c r="AB178" s="8"/>
      <c r="AC178" s="8"/>
      <c r="AD178" s="8"/>
    </row>
    <row r="179" spans="2:30" x14ac:dyDescent="0.25">
      <c r="B179" s="12" t="str">
        <f t="array" aca="1" ref="B179:B210" ca="1">_xll.meLWOList("BOND_GENERATOR")</f>
        <v>AUD_FUTURE_10Y_NOTIONAL_BOND</v>
      </c>
      <c r="F179" s="12"/>
      <c r="G179" s="12"/>
      <c r="H179" s="12"/>
      <c r="J179" s="3"/>
      <c r="L179" s="5" t="str">
        <f ca="1"/>
        <v>AUSTRALIAN_GOVT_TYPE23_DIRTY</v>
      </c>
      <c r="O179"/>
      <c r="P179"/>
      <c r="Q179" s="3"/>
      <c r="R179" s="5"/>
      <c r="T179"/>
      <c r="AA179" s="8"/>
      <c r="AB179" s="8"/>
      <c r="AC179" s="8"/>
      <c r="AD179" s="8"/>
    </row>
    <row r="180" spans="2:30" x14ac:dyDescent="0.25">
      <c r="B180" s="12" t="str">
        <f ca="1"/>
        <v>AUD_FUTURE_3Y_NOTIONAL_BOND</v>
      </c>
      <c r="F180" s="12"/>
      <c r="G180" s="12"/>
      <c r="H180" s="12"/>
      <c r="J180" s="3"/>
      <c r="L180" s="5" t="str">
        <f ca="1"/>
        <v>EUR_FLOATER_TYPE21</v>
      </c>
      <c r="O180"/>
      <c r="P180"/>
      <c r="Q180" s="3"/>
      <c r="R180" s="5"/>
      <c r="T180"/>
      <c r="AA180" s="8"/>
      <c r="AB180" s="8"/>
      <c r="AC180" s="8"/>
      <c r="AD180" s="8"/>
    </row>
    <row r="181" spans="2:30" x14ac:dyDescent="0.25">
      <c r="B181" s="12" t="str">
        <f ca="1"/>
        <v>AUSTRALIAN_GOVT_TYPE23_CLEAN</v>
      </c>
      <c r="F181" s="12"/>
      <c r="G181" s="12"/>
      <c r="H181" s="12"/>
      <c r="J181" s="3"/>
      <c r="L181" s="5" t="str">
        <f ca="1"/>
        <v>EUR_FLOATER_TYPE21_ACTACT</v>
      </c>
      <c r="O181"/>
      <c r="P181"/>
      <c r="Q181" s="3"/>
      <c r="R181" s="5"/>
      <c r="T181"/>
      <c r="AA181" s="8"/>
      <c r="AB181" s="8"/>
      <c r="AC181" s="8"/>
      <c r="AD181" s="8"/>
    </row>
    <row r="182" spans="2:30" x14ac:dyDescent="0.25">
      <c r="B182" s="12" t="str">
        <f ca="1"/>
        <v>AUSTRALIAN_GOVT_TYPE23_DIRTY</v>
      </c>
      <c r="F182" s="12"/>
      <c r="G182" s="12"/>
      <c r="H182" s="12"/>
      <c r="J182" s="3"/>
      <c r="L182" s="5" t="str">
        <f ca="1"/>
        <v>EUR_FLOATER_TYPE21_ACTACT_UNADJUSTED</v>
      </c>
      <c r="O182"/>
      <c r="P182"/>
      <c r="Q182" s="3"/>
      <c r="R182" s="5"/>
      <c r="T182"/>
      <c r="AA182" s="8"/>
      <c r="AB182" s="8"/>
      <c r="AC182" s="8"/>
      <c r="AD182" s="8"/>
    </row>
    <row r="183" spans="2:30" x14ac:dyDescent="0.25">
      <c r="B183" s="12" t="str">
        <f ca="1"/>
        <v>EUR_FLOATER_TYPE21</v>
      </c>
      <c r="F183" s="12"/>
      <c r="G183" s="12"/>
      <c r="H183" s="12"/>
      <c r="J183" s="3"/>
      <c r="L183" s="5" t="str">
        <f ca="1"/>
        <v>EUR_FLOATER_TYPE21_UNADJUSTED</v>
      </c>
      <c r="O183"/>
      <c r="P183"/>
      <c r="Q183" s="3"/>
      <c r="R183" s="5"/>
      <c r="T183"/>
      <c r="AA183" s="8"/>
      <c r="AB183" s="8"/>
      <c r="AC183" s="8"/>
      <c r="AD183" s="8"/>
    </row>
    <row r="184" spans="2:30" x14ac:dyDescent="0.25">
      <c r="B184" s="12" t="str">
        <f ca="1"/>
        <v>EUR_FLOATER_TYPE21_ACTACT</v>
      </c>
      <c r="F184" s="12"/>
      <c r="G184" s="12"/>
      <c r="H184" s="12"/>
      <c r="J184" s="3"/>
      <c r="L184" s="5" t="str">
        <f ca="1"/>
        <v>FRENCH_OAT_TYPE89</v>
      </c>
      <c r="O184"/>
      <c r="P184"/>
      <c r="Q184" s="3"/>
      <c r="R184" s="5"/>
      <c r="T184"/>
      <c r="AA184" s="8"/>
      <c r="AB184" s="8"/>
      <c r="AC184" s="8"/>
      <c r="AD184" s="8"/>
    </row>
    <row r="185" spans="2:30" x14ac:dyDescent="0.25">
      <c r="B185" s="12" t="str">
        <f ca="1"/>
        <v>EUR_FLOATER_TYPE21_ACTACT_UNADJUSTED</v>
      </c>
      <c r="F185" s="12"/>
      <c r="G185" s="12"/>
      <c r="H185" s="12"/>
      <c r="J185" s="3"/>
      <c r="L185" s="5" t="str">
        <f ca="1"/>
        <v>GBP_FLOATER_TYPE21</v>
      </c>
      <c r="O185"/>
      <c r="P185"/>
      <c r="Q185" s="3"/>
      <c r="R185" s="5"/>
      <c r="T185"/>
      <c r="AA185" s="8"/>
      <c r="AB185" s="8"/>
      <c r="AC185" s="8"/>
      <c r="AD185" s="8"/>
    </row>
    <row r="186" spans="2:30" x14ac:dyDescent="0.25">
      <c r="B186" s="12" t="str">
        <f ca="1"/>
        <v>EUR_FLOATER_TYPE21_UNADJUSTED</v>
      </c>
      <c r="F186" s="12"/>
      <c r="G186" s="12"/>
      <c r="H186" s="12"/>
      <c r="J186" s="3"/>
      <c r="L186" s="5" t="str">
        <f ca="1"/>
        <v>GBP_FLOATER_TYPE21_UNADJUSTED</v>
      </c>
      <c r="O186"/>
      <c r="P186"/>
      <c r="Q186" s="3"/>
      <c r="R186" s="5"/>
      <c r="T186"/>
      <c r="AA186" s="8"/>
      <c r="AB186" s="8"/>
      <c r="AC186" s="8"/>
      <c r="AD186" s="8"/>
    </row>
    <row r="187" spans="2:30" x14ac:dyDescent="0.25">
      <c r="B187" s="12" t="str">
        <f ca="1"/>
        <v>FRENCH_OAT_TYPE89</v>
      </c>
      <c r="F187" s="12"/>
      <c r="G187" s="12"/>
      <c r="H187" s="12"/>
      <c r="J187" s="3"/>
      <c r="L187" s="5" t="str">
        <f ca="1"/>
        <v>GERMAN_BUND_TYPE60</v>
      </c>
      <c r="O187"/>
      <c r="P187"/>
      <c r="Q187" s="3"/>
      <c r="R187" s="5"/>
      <c r="T187"/>
      <c r="AA187" s="8"/>
      <c r="AB187" s="8"/>
      <c r="AC187" s="8"/>
      <c r="AD187" s="8"/>
    </row>
    <row r="188" spans="2:30" x14ac:dyDescent="0.25">
      <c r="B188" s="12" t="str">
        <f ca="1"/>
        <v>GBP_FLOATER_TYPE21</v>
      </c>
      <c r="F188" s="12"/>
      <c r="G188" s="12"/>
      <c r="H188" s="12"/>
      <c r="J188" s="3"/>
      <c r="L188" s="5" t="str">
        <f ca="1"/>
        <v>ITALIAN_BTPS_TYPE523</v>
      </c>
      <c r="O188"/>
      <c r="P188"/>
      <c r="Q188" s="3"/>
      <c r="R188" s="5"/>
      <c r="T188"/>
      <c r="AA188" s="8"/>
      <c r="AB188" s="8"/>
      <c r="AC188" s="8"/>
      <c r="AD188" s="8"/>
    </row>
    <row r="189" spans="2:30" x14ac:dyDescent="0.25">
      <c r="B189" s="12" t="str">
        <f ca="1"/>
        <v>GBP_FLOATER_TYPE21_UNADJUSTED</v>
      </c>
      <c r="F189" s="12"/>
      <c r="G189" s="12"/>
      <c r="H189" s="12"/>
      <c r="J189" s="3"/>
      <c r="L189" s="5" t="str">
        <f ca="1"/>
        <v>ITALIAN_BTPS_TYPE527</v>
      </c>
      <c r="O189"/>
      <c r="P189"/>
      <c r="Q189" s="3"/>
      <c r="R189" s="5"/>
      <c r="T189"/>
      <c r="AA189" s="8"/>
      <c r="AB189" s="8"/>
      <c r="AC189" s="8"/>
      <c r="AD189" s="8"/>
    </row>
    <row r="190" spans="2:30" x14ac:dyDescent="0.25">
      <c r="B190" s="12" t="str">
        <f ca="1"/>
        <v>GERMAN_BUND_TYPE60</v>
      </c>
      <c r="F190" s="12"/>
      <c r="G190" s="12"/>
      <c r="H190" s="12"/>
      <c r="J190" s="3"/>
      <c r="L190" s="5" t="str">
        <f ca="1"/>
        <v>ITALIAN_BTPS_TYPE529</v>
      </c>
      <c r="O190"/>
      <c r="P190"/>
      <c r="Q190" s="3"/>
      <c r="R190" s="5"/>
      <c r="T190"/>
      <c r="AA190" s="8"/>
      <c r="AB190" s="8"/>
      <c r="AC190" s="8"/>
      <c r="AD190" s="8"/>
    </row>
    <row r="191" spans="2:30" x14ac:dyDescent="0.25">
      <c r="B191" s="12" t="str">
        <f ca="1"/>
        <v>ITALIAN_BTPS_TYPE523</v>
      </c>
      <c r="F191" s="12"/>
      <c r="G191" s="12"/>
      <c r="H191" s="12"/>
      <c r="J191" s="3"/>
      <c r="L191" s="5" t="str">
        <f ca="1"/>
        <v>JAPAN_JGB_TYPE51</v>
      </c>
      <c r="O191"/>
      <c r="P191"/>
      <c r="Q191" s="3"/>
      <c r="R191" s="5"/>
      <c r="T191"/>
      <c r="AA191" s="8"/>
      <c r="AB191" s="8"/>
      <c r="AC191" s="8"/>
      <c r="AD191" s="8"/>
    </row>
    <row r="192" spans="2:30" x14ac:dyDescent="0.25">
      <c r="B192" s="12" t="str">
        <f ca="1"/>
        <v>ITALIAN_BTPS_TYPE527</v>
      </c>
      <c r="F192" s="12"/>
      <c r="G192" s="12"/>
      <c r="H192" s="12"/>
      <c r="J192" s="3"/>
      <c r="L192" s="5" t="str">
        <f ca="1"/>
        <v>PLAY_GENERATOR@1</v>
      </c>
      <c r="O192"/>
      <c r="P192"/>
      <c r="Q192" s="3"/>
      <c r="R192" s="5"/>
      <c r="T192"/>
      <c r="AA192" s="8"/>
      <c r="AB192" s="8"/>
      <c r="AC192" s="8"/>
      <c r="AD192" s="8"/>
    </row>
    <row r="193" spans="2:30" x14ac:dyDescent="0.25">
      <c r="B193" s="12" t="str">
        <f ca="1"/>
        <v>ITALIAN_BTPS_TYPE529</v>
      </c>
      <c r="F193" s="12"/>
      <c r="G193" s="12"/>
      <c r="H193" s="12"/>
      <c r="J193" s="3"/>
      <c r="L193" s="5" t="str">
        <f ca="1"/>
        <v>SPANISH_GOVT_TYPE1029</v>
      </c>
      <c r="O193"/>
      <c r="P193"/>
      <c r="Q193" s="3"/>
      <c r="R193" s="5"/>
      <c r="T193"/>
      <c r="AA193" s="8"/>
      <c r="AB193" s="8"/>
      <c r="AC193" s="8"/>
      <c r="AD193" s="8"/>
    </row>
    <row r="194" spans="2:30" x14ac:dyDescent="0.25">
      <c r="B194" s="12" t="str">
        <f ca="1"/>
        <v>JAPAN_JGB_TYPE51</v>
      </c>
      <c r="F194" s="12"/>
      <c r="G194" s="12"/>
      <c r="H194" s="12"/>
      <c r="J194" s="3"/>
      <c r="L194" s="5" t="str">
        <f ca="1"/>
        <v>SPANISH_TBILL_TYPE730</v>
      </c>
      <c r="O194"/>
      <c r="P194"/>
      <c r="Q194" s="3"/>
      <c r="R194" s="5"/>
      <c r="T194"/>
      <c r="AA194" s="8"/>
      <c r="AB194" s="8"/>
      <c r="AC194" s="8"/>
      <c r="AD194" s="8"/>
    </row>
    <row r="195" spans="2:30" x14ac:dyDescent="0.25">
      <c r="B195" s="12" t="str">
        <f ca="1"/>
        <v>PLAY_GENERATOR@1</v>
      </c>
      <c r="F195" s="12"/>
      <c r="G195" s="12"/>
      <c r="H195" s="12"/>
      <c r="J195" s="3"/>
      <c r="L195" s="5" t="str">
        <f ca="1"/>
        <v>UK_GILT_TYPE26</v>
      </c>
      <c r="O195"/>
      <c r="P195"/>
      <c r="Q195" s="3"/>
      <c r="R195" s="5"/>
      <c r="T195"/>
      <c r="AA195" s="8"/>
      <c r="AB195" s="8"/>
      <c r="AC195" s="8"/>
      <c r="AD195" s="8"/>
    </row>
    <row r="196" spans="2:30" x14ac:dyDescent="0.25">
      <c r="B196" s="12" t="str">
        <f ca="1"/>
        <v>SPANISH_GOVT_TYPE1029</v>
      </c>
      <c r="F196" s="12"/>
      <c r="G196" s="12"/>
      <c r="H196" s="12"/>
      <c r="J196" s="3"/>
      <c r="L196" s="5" t="str">
        <f ca="1"/>
        <v>USD_FLOATER_TYPE21</v>
      </c>
      <c r="O196"/>
      <c r="P196"/>
      <c r="Q196" s="3"/>
      <c r="R196" s="5"/>
      <c r="T196"/>
      <c r="AA196" s="8"/>
      <c r="AB196" s="8"/>
      <c r="AC196" s="8"/>
      <c r="AD196" s="8"/>
    </row>
    <row r="197" spans="2:30" x14ac:dyDescent="0.25">
      <c r="B197" s="12" t="str">
        <f ca="1"/>
        <v>SPANISH_TBILL_TYPE730</v>
      </c>
      <c r="F197" s="12"/>
      <c r="G197" s="12"/>
      <c r="H197" s="12"/>
      <c r="J197" s="3"/>
      <c r="L197" s="5" t="str">
        <f ca="1"/>
        <v>US_TREASURY_TYPE1</v>
      </c>
      <c r="O197"/>
      <c r="P197"/>
      <c r="Q197" s="3"/>
      <c r="R197" s="5"/>
      <c r="T197"/>
      <c r="AA197" s="8"/>
      <c r="AB197" s="8"/>
      <c r="AC197" s="8"/>
      <c r="AD197" s="8"/>
    </row>
    <row r="198" spans="2:30" x14ac:dyDescent="0.25">
      <c r="B198" s="12" t="str">
        <f ca="1"/>
        <v>UK_GILT_TYPE26</v>
      </c>
      <c r="F198" s="12"/>
      <c r="G198" s="12"/>
      <c r="H198" s="12"/>
      <c r="J198" s="3"/>
      <c r="L198" s="5" t="e">
        <f ca="1"/>
        <v>#N/A</v>
      </c>
      <c r="O198"/>
      <c r="P198"/>
      <c r="Q198" s="3"/>
      <c r="R198" s="5"/>
      <c r="T198"/>
      <c r="AA198" s="8"/>
      <c r="AB198" s="8"/>
      <c r="AC198" s="8"/>
      <c r="AD198" s="8"/>
    </row>
    <row r="199" spans="2:30" x14ac:dyDescent="0.25">
      <c r="B199" s="12" t="str">
        <f ca="1"/>
        <v>USD_FLOATER_TYPE21</v>
      </c>
      <c r="F199" s="12"/>
      <c r="G199" s="12"/>
      <c r="H199" s="12"/>
      <c r="J199" s="3"/>
      <c r="L199" s="5" t="e">
        <f ca="1"/>
        <v>#N/A</v>
      </c>
      <c r="O199"/>
      <c r="P199"/>
      <c r="Q199" s="3"/>
      <c r="R199" s="5"/>
      <c r="T199"/>
      <c r="AA199" s="8"/>
      <c r="AB199" s="8"/>
      <c r="AC199" s="8"/>
      <c r="AD199" s="8"/>
    </row>
    <row r="200" spans="2:30" x14ac:dyDescent="0.25">
      <c r="B200" s="12" t="str">
        <f ca="1"/>
        <v>US_TREASURY_TYPE1</v>
      </c>
      <c r="F200" s="12"/>
      <c r="G200" s="12"/>
      <c r="H200" s="12"/>
      <c r="J200" s="3"/>
      <c r="L200" s="5" t="e">
        <f ca="1"/>
        <v>#N/A</v>
      </c>
      <c r="O200"/>
      <c r="P200"/>
      <c r="Q200" s="3"/>
      <c r="R200" s="5"/>
      <c r="T200"/>
      <c r="AA200" s="8"/>
      <c r="AB200" s="8"/>
      <c r="AC200" s="8"/>
      <c r="AD200" s="8"/>
    </row>
    <row r="201" spans="2:30" x14ac:dyDescent="0.25">
      <c r="B201" s="12" t="e">
        <f ca="1"/>
        <v>#N/A</v>
      </c>
      <c r="F201" s="12"/>
      <c r="G201" s="12"/>
      <c r="H201" s="12"/>
      <c r="J201" s="3"/>
      <c r="L201" s="5" t="e">
        <f ca="1"/>
        <v>#N/A</v>
      </c>
      <c r="O201"/>
      <c r="P201"/>
      <c r="Q201" s="3"/>
      <c r="R201" s="5"/>
      <c r="T201"/>
      <c r="AA201" s="8"/>
      <c r="AB201" s="8"/>
      <c r="AC201" s="8"/>
      <c r="AD201" s="8"/>
    </row>
    <row r="202" spans="2:30" x14ac:dyDescent="0.25">
      <c r="B202" s="12" t="e">
        <f ca="1"/>
        <v>#N/A</v>
      </c>
      <c r="F202" s="12"/>
      <c r="G202" s="12"/>
      <c r="H202" s="12"/>
      <c r="J202" s="3"/>
      <c r="L202" s="5" t="e">
        <f ca="1"/>
        <v>#N/A</v>
      </c>
      <c r="O202"/>
      <c r="P202"/>
      <c r="Q202" s="3"/>
      <c r="R202" s="5"/>
      <c r="T202"/>
      <c r="AA202" s="8"/>
      <c r="AB202" s="8"/>
      <c r="AC202" s="8"/>
      <c r="AD202" s="8"/>
    </row>
    <row r="203" spans="2:30" x14ac:dyDescent="0.25">
      <c r="B203" s="12" t="e">
        <f ca="1"/>
        <v>#N/A</v>
      </c>
      <c r="F203" s="12"/>
      <c r="G203" s="12"/>
      <c r="H203" s="12"/>
      <c r="J203" s="3"/>
      <c r="L203" s="5" t="e">
        <f ca="1"/>
        <v>#N/A</v>
      </c>
      <c r="O203"/>
      <c r="P203"/>
      <c r="Q203" s="3"/>
      <c r="R203" s="5"/>
      <c r="T203"/>
      <c r="AA203" s="8"/>
      <c r="AB203" s="8"/>
      <c r="AC203" s="8"/>
      <c r="AD203" s="8"/>
    </row>
    <row r="204" spans="2:30" x14ac:dyDescent="0.25">
      <c r="B204" s="12" t="e">
        <f ca="1"/>
        <v>#N/A</v>
      </c>
      <c r="F204" s="12"/>
      <c r="G204" s="12"/>
      <c r="H204" s="12"/>
      <c r="J204" s="3"/>
      <c r="L204" s="5"/>
      <c r="O204"/>
      <c r="P204"/>
      <c r="Q204" s="3"/>
      <c r="R204" s="5"/>
      <c r="T204"/>
      <c r="AA204" s="8"/>
      <c r="AB204" s="8"/>
      <c r="AC204" s="8"/>
      <c r="AD204" s="8"/>
    </row>
    <row r="205" spans="2:30" x14ac:dyDescent="0.25">
      <c r="B205" s="12" t="e">
        <f ca="1"/>
        <v>#N/A</v>
      </c>
      <c r="F205" s="12"/>
      <c r="G205" s="12"/>
      <c r="H205" s="12"/>
      <c r="J205" s="3"/>
      <c r="L205" s="5"/>
      <c r="O205"/>
      <c r="P205"/>
      <c r="Q205" s="3"/>
      <c r="R205" s="5"/>
      <c r="T205"/>
      <c r="AA205" s="8"/>
      <c r="AB205" s="8"/>
      <c r="AC205" s="8"/>
      <c r="AD205" s="8"/>
    </row>
    <row r="206" spans="2:30" x14ac:dyDescent="0.25">
      <c r="B206" s="12" t="e">
        <f ca="1"/>
        <v>#N/A</v>
      </c>
      <c r="F206" s="12"/>
      <c r="G206" s="12"/>
      <c r="H206" s="12"/>
      <c r="J206" s="3"/>
      <c r="L206" s="5"/>
      <c r="O206"/>
      <c r="P206"/>
      <c r="Q206" s="3"/>
      <c r="R206" s="5"/>
      <c r="T206"/>
      <c r="AA206" s="8"/>
      <c r="AB206" s="8"/>
      <c r="AC206" s="8"/>
      <c r="AD206" s="8"/>
    </row>
    <row r="207" spans="2:30" x14ac:dyDescent="0.25">
      <c r="B207" s="12" t="e">
        <f ca="1"/>
        <v>#N/A</v>
      </c>
      <c r="F207" s="12"/>
      <c r="G207" s="12"/>
      <c r="H207" s="12"/>
      <c r="J207" s="3"/>
      <c r="L207" s="5"/>
      <c r="O207"/>
      <c r="P207"/>
      <c r="Q207" s="3"/>
      <c r="R207" s="5"/>
      <c r="T207"/>
      <c r="AA207" s="8"/>
      <c r="AB207" s="8"/>
      <c r="AC207" s="8"/>
      <c r="AD207" s="8"/>
    </row>
    <row r="208" spans="2:30" x14ac:dyDescent="0.25">
      <c r="B208" s="12" t="e">
        <f ca="1"/>
        <v>#N/A</v>
      </c>
    </row>
    <row r="209" spans="2:2" x14ac:dyDescent="0.25">
      <c r="B209" s="12" t="e">
        <f ca="1"/>
        <v>#N/A</v>
      </c>
    </row>
    <row r="210" spans="2:2" x14ac:dyDescent="0.25">
      <c r="B210" s="12" t="e">
        <f ca="1"/>
        <v>#N/A</v>
      </c>
    </row>
  </sheetData>
  <conditionalFormatting sqref="AD5:AD138 AI5:AI138 AF5:AF138">
    <cfRule type="cellIs" dxfId="11" priority="114" operator="greaterThan">
      <formula>0.0001</formula>
    </cfRule>
    <cfRule type="cellIs" dxfId="10" priority="115" operator="greaterThan">
      <formula>0.000001</formula>
    </cfRule>
  </conditionalFormatting>
  <conditionalFormatting sqref="B115:B129 B139:D139 B9:B11 B141:D141 B2:D4 B6:B7 B160:D1048576 B142:B159 B1:C1 C12:D12 B5:C5 B13:C14 C61:D61 B100:C112 C130:D130 C113:C129 B131:C138 C6:C11 D5:D11 B16:B60 C15:C60 D13:D50 B62:C98 D63:D76 D100:D118">
    <cfRule type="expression" priority="111">
      <formula>"&lt;&gt;""EUR"""</formula>
    </cfRule>
  </conditionalFormatting>
  <conditionalFormatting sqref="B115:B129 B9:B11 B5:C5 B6:B7 C12:D12 B13:C14 C61:D61 B100:C112 C130:D130 C113:C129 B131:C138 C6:C11 D5:D11 B16:B60 C15:C60 D13:D50 B62:C98 D63:D76 D100:D118">
    <cfRule type="expression" priority="109">
      <formula>"$B109&lt;&gt;""EUR"""</formula>
    </cfRule>
  </conditionalFormatting>
  <conditionalFormatting sqref="B114">
    <cfRule type="expression" priority="106">
      <formula>"&lt;&gt;""EUR"""</formula>
    </cfRule>
  </conditionalFormatting>
  <conditionalFormatting sqref="B114">
    <cfRule type="expression" priority="105">
      <formula>"$B109&lt;&gt;""EUR"""</formula>
    </cfRule>
  </conditionalFormatting>
  <conditionalFormatting sqref="B130">
    <cfRule type="expression" priority="102">
      <formula>"&lt;&gt;""EUR"""</formula>
    </cfRule>
  </conditionalFormatting>
  <conditionalFormatting sqref="B130">
    <cfRule type="expression" priority="101">
      <formula>"$B109&lt;&gt;""EUR"""</formula>
    </cfRule>
  </conditionalFormatting>
  <conditionalFormatting sqref="B113">
    <cfRule type="expression" priority="98">
      <formula>"&lt;&gt;""EUR"""</formula>
    </cfRule>
  </conditionalFormatting>
  <conditionalFormatting sqref="B113">
    <cfRule type="expression" priority="97">
      <formula>"$B109&lt;&gt;""EUR"""</formula>
    </cfRule>
  </conditionalFormatting>
  <conditionalFormatting sqref="B8">
    <cfRule type="expression" priority="94">
      <formula>"&lt;&gt;""EUR"""</formula>
    </cfRule>
  </conditionalFormatting>
  <conditionalFormatting sqref="B8">
    <cfRule type="expression" priority="93">
      <formula>"$B109&lt;&gt;""EUR"""</formula>
    </cfRule>
  </conditionalFormatting>
  <conditionalFormatting sqref="B61">
    <cfRule type="expression" priority="90">
      <formula>"&lt;&gt;""EUR"""</formula>
    </cfRule>
  </conditionalFormatting>
  <conditionalFormatting sqref="B61">
    <cfRule type="expression" priority="89">
      <formula>"$B109&lt;&gt;""EUR"""</formula>
    </cfRule>
  </conditionalFormatting>
  <conditionalFormatting sqref="B12">
    <cfRule type="expression" priority="86">
      <formula>"&lt;&gt;""EUR"""</formula>
    </cfRule>
  </conditionalFormatting>
  <conditionalFormatting sqref="B12">
    <cfRule type="expression" priority="85">
      <formula>"$B109&lt;&gt;""EUR"""</formula>
    </cfRule>
  </conditionalFormatting>
  <conditionalFormatting sqref="B15">
    <cfRule type="expression" priority="82">
      <formula>"&lt;&gt;""EUR"""</formula>
    </cfRule>
  </conditionalFormatting>
  <conditionalFormatting sqref="B15">
    <cfRule type="expression" priority="81">
      <formula>"$B109&lt;&gt;""EUR"""</formula>
    </cfRule>
  </conditionalFormatting>
  <conditionalFormatting sqref="F141:F159">
    <cfRule type="expression" priority="80">
      <formula>"&lt;&gt;""EUR"""</formula>
    </cfRule>
  </conditionalFormatting>
  <conditionalFormatting sqref="F161">
    <cfRule type="expression" priority="79">
      <formula>"&lt;&gt;""EUR"""</formula>
    </cfRule>
  </conditionalFormatting>
  <conditionalFormatting sqref="J161">
    <cfRule type="expression" priority="77">
      <formula>"&lt;&gt;""EUR"""</formula>
    </cfRule>
  </conditionalFormatting>
  <conditionalFormatting sqref="H141:H159">
    <cfRule type="expression" priority="72">
      <formula>"&lt;&gt;""EUR"""</formula>
    </cfRule>
  </conditionalFormatting>
  <conditionalFormatting sqref="H161">
    <cfRule type="expression" priority="71">
      <formula>"&lt;&gt;""EUR"""</formula>
    </cfRule>
  </conditionalFormatting>
  <conditionalFormatting sqref="D62">
    <cfRule type="expression" priority="60">
      <formula>"&lt;&gt;""EUR"""</formula>
    </cfRule>
  </conditionalFormatting>
  <conditionalFormatting sqref="D62">
    <cfRule type="expression" priority="59">
      <formula>"$B109&lt;&gt;""EUR"""</formula>
    </cfRule>
  </conditionalFormatting>
  <conditionalFormatting sqref="D51:D60">
    <cfRule type="expression" priority="50">
      <formula>"&lt;&gt;""EUR"""</formula>
    </cfRule>
  </conditionalFormatting>
  <conditionalFormatting sqref="D51:D60">
    <cfRule type="expression" priority="49">
      <formula>"$B109&lt;&gt;""EUR"""</formula>
    </cfRule>
  </conditionalFormatting>
  <conditionalFormatting sqref="D77:D98">
    <cfRule type="expression" priority="46">
      <formula>"&lt;&gt;""EUR"""</formula>
    </cfRule>
  </conditionalFormatting>
  <conditionalFormatting sqref="D77:D98">
    <cfRule type="expression" priority="45">
      <formula>"$B109&lt;&gt;""EUR"""</formula>
    </cfRule>
  </conditionalFormatting>
  <conditionalFormatting sqref="D119:D121 D123:D129">
    <cfRule type="expression" priority="42">
      <formula>"&lt;&gt;""EUR"""</formula>
    </cfRule>
  </conditionalFormatting>
  <conditionalFormatting sqref="D119:D121 D123:D129">
    <cfRule type="expression" priority="41">
      <formula>"$B109&lt;&gt;""EUR"""</formula>
    </cfRule>
  </conditionalFormatting>
  <conditionalFormatting sqref="D131:D138">
    <cfRule type="expression" priority="40">
      <formula>"&lt;&gt;""EUR"""</formula>
    </cfRule>
  </conditionalFormatting>
  <conditionalFormatting sqref="D131:D138">
    <cfRule type="expression" priority="39">
      <formula>"$B109&lt;&gt;""EUR"""</formula>
    </cfRule>
  </conditionalFormatting>
  <conditionalFormatting sqref="B99:C99">
    <cfRule type="expression" priority="36">
      <formula>"&lt;&gt;""EUR"""</formula>
    </cfRule>
  </conditionalFormatting>
  <conditionalFormatting sqref="B99:C99">
    <cfRule type="expression" priority="35">
      <formula>"$B109&lt;&gt;""EUR"""</formula>
    </cfRule>
  </conditionalFormatting>
  <conditionalFormatting sqref="D99">
    <cfRule type="expression" priority="34">
      <formula>"&lt;&gt;""EUR"""</formula>
    </cfRule>
  </conditionalFormatting>
  <conditionalFormatting sqref="D99">
    <cfRule type="expression" priority="33">
      <formula>"$B109&lt;&gt;""EUR"""</formula>
    </cfRule>
  </conditionalFormatting>
  <conditionalFormatting sqref="AD5:AD138 AI5:AI138 AF5:AF138">
    <cfRule type="cellIs" dxfId="9" priority="32" operator="greaterThan">
      <formula>0.0005</formula>
    </cfRule>
  </conditionalFormatting>
  <conditionalFormatting sqref="AD5">
    <cfRule type="cellIs" dxfId="8" priority="31" operator="greaterThan">
      <formula>0.0005</formula>
    </cfRule>
  </conditionalFormatting>
  <conditionalFormatting sqref="AD6">
    <cfRule type="cellIs" dxfId="7" priority="26" operator="greaterThan">
      <formula>0.1</formula>
    </cfRule>
    <cfRule type="cellIs" dxfId="6" priority="27" operator="greaterThan">
      <formula>0.001</formula>
    </cfRule>
    <cfRule type="cellIs" dxfId="5" priority="28" operator="greaterThan">
      <formula>0.0005</formula>
    </cfRule>
  </conditionalFormatting>
  <conditionalFormatting sqref="D122">
    <cfRule type="expression" priority="23">
      <formula>"&lt;&gt;""EUR"""</formula>
    </cfRule>
  </conditionalFormatting>
  <conditionalFormatting sqref="D122">
    <cfRule type="expression" priority="22">
      <formula>"$B109&lt;&gt;""EUR"""</formula>
    </cfRule>
  </conditionalFormatting>
  <conditionalFormatting sqref="AF5">
    <cfRule type="cellIs" dxfId="4" priority="18" operator="greaterThan">
      <formula>0.0005</formula>
    </cfRule>
  </conditionalFormatting>
  <conditionalFormatting sqref="AF6">
    <cfRule type="cellIs" dxfId="3" priority="13" operator="greaterThan">
      <formula>0.1</formula>
    </cfRule>
    <cfRule type="cellIs" dxfId="2" priority="14" operator="greaterThan">
      <formula>0.001</formula>
    </cfRule>
    <cfRule type="cellIs" dxfId="1" priority="15" operator="greaterThan">
      <formula>0.0005</formula>
    </cfRule>
  </conditionalFormatting>
  <conditionalFormatting sqref="AK5:AK138">
    <cfRule type="cellIs" dxfId="0" priority="1" operator="greaterThan">
      <formula>0.0001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FLOATERS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Castleton Ian</dc:creator>
  <cp:lastModifiedBy>Castleton Ian</cp:lastModifiedBy>
  <dcterms:created xsi:type="dcterms:W3CDTF">2018-06-26T09:34:48Z</dcterms:created>
  <dcterms:modified xsi:type="dcterms:W3CDTF">2018-12-18T10:51:32Z</dcterms:modified>
</cp:coreProperties>
</file>