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0700" windowHeight="11760"/>
  </bookViews>
  <sheets>
    <sheet name="Sheet1" sheetId="1" r:id="rId1"/>
    <sheet name="Sheet2" sheetId="2" r:id="rId2"/>
    <sheet name="Sheet3" sheetId="3" r:id="rId3"/>
  </sheets>
  <calcPr calcId="145621" calcMode="manual" calcCompleted="0" calcOnSave="0"/>
</workbook>
</file>

<file path=xl/calcChain.xml><?xml version="1.0" encoding="utf-8"?>
<calcChain xmlns="http://schemas.openxmlformats.org/spreadsheetml/2006/main">
  <c r="E28" i="1" l="1" a="1"/>
  <c r="E37" i="1"/>
  <c r="E47" i="1" a="1"/>
  <c r="E10" i="1" a="1"/>
  <c r="F15" i="1" l="1"/>
  <c r="F12" i="1"/>
  <c r="E14" i="1"/>
  <c r="F13" i="1"/>
  <c r="E12" i="1"/>
  <c r="F11" i="1"/>
  <c r="F14" i="1"/>
  <c r="E11" i="1"/>
  <c r="E10" i="1"/>
  <c r="E15" i="1"/>
  <c r="E13" i="1"/>
  <c r="F10" i="1"/>
  <c r="E58" i="1"/>
  <c r="F56" i="1"/>
  <c r="F50" i="1"/>
  <c r="E59" i="1"/>
  <c r="F55" i="1"/>
  <c r="F58" i="1"/>
  <c r="F57" i="1"/>
  <c r="E48" i="1"/>
  <c r="E51" i="1"/>
  <c r="E53" i="1"/>
  <c r="E50" i="1"/>
  <c r="E56" i="1"/>
  <c r="E60" i="1"/>
  <c r="F48" i="1"/>
  <c r="E49" i="1"/>
  <c r="F54" i="1"/>
  <c r="F59" i="1"/>
  <c r="F52" i="1"/>
  <c r="F51" i="1"/>
  <c r="F53" i="1"/>
  <c r="F60" i="1"/>
  <c r="E47" i="1"/>
  <c r="F49" i="1"/>
  <c r="E52" i="1"/>
  <c r="E54" i="1"/>
  <c r="E55" i="1"/>
  <c r="F47" i="1"/>
  <c r="E57" i="1"/>
  <c r="F34" i="1"/>
  <c r="F30" i="1"/>
  <c r="F35" i="1"/>
  <c r="F33" i="1"/>
  <c r="E33" i="1"/>
  <c r="F32" i="1"/>
  <c r="E32" i="1"/>
  <c r="E28" i="1"/>
  <c r="F29" i="1"/>
  <c r="F28" i="1"/>
  <c r="E30" i="1"/>
  <c r="E34" i="1"/>
  <c r="E35" i="1"/>
  <c r="F31" i="1"/>
  <c r="E31" i="1"/>
  <c r="E29" i="1"/>
  <c r="O5" i="1" a="1"/>
  <c r="S5" i="1" a="1"/>
  <c r="S7" i="1" l="1"/>
  <c r="S28" i="1"/>
  <c r="S31" i="1"/>
  <c r="S24" i="1"/>
  <c r="S19" i="1"/>
  <c r="S32" i="1"/>
  <c r="S8" i="1"/>
  <c r="S5" i="1"/>
  <c r="S25" i="1"/>
  <c r="S20" i="1"/>
  <c r="S18" i="1"/>
  <c r="S23" i="1"/>
  <c r="S10" i="1"/>
  <c r="S13" i="1"/>
  <c r="S9" i="1"/>
  <c r="S17" i="1"/>
  <c r="S27" i="1"/>
  <c r="S21" i="1"/>
  <c r="S15" i="1"/>
  <c r="S14" i="1"/>
  <c r="S11" i="1"/>
  <c r="S26" i="1"/>
  <c r="S12" i="1"/>
  <c r="S22" i="1"/>
  <c r="S30" i="1"/>
  <c r="S6" i="1"/>
  <c r="S29" i="1"/>
  <c r="S16" i="1"/>
  <c r="O32" i="1"/>
  <c r="O5" i="1"/>
  <c r="O10" i="1"/>
  <c r="O18" i="1"/>
  <c r="O12" i="1"/>
  <c r="O8" i="1"/>
  <c r="O15" i="1"/>
  <c r="O7" i="1"/>
  <c r="O16" i="1"/>
  <c r="O14" i="1"/>
  <c r="O31" i="1"/>
  <c r="O21" i="1"/>
  <c r="O11" i="1"/>
  <c r="O29" i="1"/>
  <c r="O24" i="1"/>
  <c r="O6" i="1"/>
  <c r="O25" i="1"/>
  <c r="O26" i="1"/>
  <c r="O20" i="1"/>
  <c r="O17" i="1"/>
  <c r="O23" i="1"/>
  <c r="O13" i="1"/>
  <c r="O22" i="1"/>
  <c r="O30" i="1"/>
  <c r="O19" i="1"/>
  <c r="O28" i="1"/>
  <c r="O27" i="1"/>
  <c r="O9" i="1"/>
  <c r="V5" i="1" a="1"/>
  <c r="V23" i="1"/>
  <c r="V20" i="1"/>
  <c r="V11" i="1"/>
  <c r="V26" i="1"/>
  <c r="V22" i="1"/>
  <c r="V31" i="1"/>
  <c r="V32" i="1"/>
  <c r="V13" i="1"/>
  <c r="V28" i="1"/>
  <c r="V12" i="1"/>
  <c r="V30" i="1"/>
  <c r="V8" i="1"/>
  <c r="V19" i="1"/>
  <c r="V18" i="1"/>
  <c r="V14" i="1"/>
  <c r="V27" i="1"/>
  <c r="V7" i="1"/>
  <c r="V6" i="1"/>
  <c r="V10" i="1"/>
  <c r="V29" i="1"/>
  <c r="V5" i="1"/>
  <c r="V16" i="1"/>
  <c r="V17" i="1"/>
  <c r="V21" i="1"/>
  <c r="V15" i="1"/>
  <c r="V25" i="1"/>
  <c r="V9" i="1"/>
  <c r="V24" i="1"/>
</calcChain>
</file>

<file path=xl/sharedStrings.xml><?xml version="1.0" encoding="utf-8"?>
<sst xmlns="http://schemas.openxmlformats.org/spreadsheetml/2006/main" count="64" uniqueCount="34">
  <si>
    <t>Maturity</t>
  </si>
  <si>
    <t>Bond Yield</t>
  </si>
  <si>
    <t>of bond</t>
  </si>
  <si>
    <t>Initial guess</t>
  </si>
  <si>
    <t>beta0</t>
  </si>
  <si>
    <t>beta1</t>
  </si>
  <si>
    <t>beta2</t>
  </si>
  <si>
    <t>lambda</t>
  </si>
  <si>
    <t>Long Term Yield</t>
  </si>
  <si>
    <t>Slope</t>
  </si>
  <si>
    <t>Curvature</t>
  </si>
  <si>
    <t>Time Decay</t>
  </si>
  <si>
    <t>Calibration</t>
  </si>
  <si>
    <t>Lower</t>
  </si>
  <si>
    <t>Upper</t>
  </si>
  <si>
    <t>Input data</t>
  </si>
  <si>
    <t>CurveType</t>
  </si>
  <si>
    <t>NelsonSiegel</t>
  </si>
  <si>
    <t>Svensson</t>
  </si>
  <si>
    <t>beta3</t>
  </si>
  <si>
    <t>lambda1</t>
  </si>
  <si>
    <t>lambda2</t>
  </si>
  <si>
    <t>NelsonSiegel Interpolation</t>
  </si>
  <si>
    <t>Svensson Interpolation</t>
  </si>
  <si>
    <t>Parameter Contstraints</t>
  </si>
  <si>
    <t>Parameter Constraints</t>
  </si>
  <si>
    <t>Secondary Curvature</t>
  </si>
  <si>
    <t>Secondary Time Decay</t>
  </si>
  <si>
    <t>Polynomial Interpolation</t>
  </si>
  <si>
    <t>polynomialOrder</t>
  </si>
  <si>
    <t>Polynomial</t>
  </si>
  <si>
    <t>MaxIterations</t>
  </si>
  <si>
    <t>MaxStationaryStateIterations</t>
  </si>
  <si>
    <t>Enable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</si>
</sst>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_-&quot;£&quot;* #,##0.00_-;\-&quot;£&quot;* #,##0.00_-;_-&quot;£&quot;* &quot;-&quot;??_-;_-@_-"/>
    <numFmt numFmtId="166" formatCode="0.000"/>
  </numFmts>
  <fonts count="8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Calibri"/>
      <family val="2"/>
    </font>
    <font>
      <sz val="10"/>
      <color indexed="60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20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i/>
      <sz val="11"/>
      <color indexed="23"/>
      <name val="Arial"/>
      <family val="2"/>
    </font>
    <font>
      <sz val="11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52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b/>
      <sz val="18"/>
      <color indexed="56"/>
      <name val="Cambria"/>
      <family val="1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sz val="10"/>
      <name val="Times New Roman"/>
      <family val="1"/>
    </font>
    <font>
      <sz val="10"/>
      <color indexed="10"/>
      <name val="Calibri"/>
      <family val="2"/>
    </font>
    <font>
      <sz val="10"/>
      <color indexed="17"/>
      <name val="Calibri"/>
      <family val="2"/>
    </font>
    <font>
      <sz val="10"/>
      <name val="Calibri"/>
      <family val="2"/>
    </font>
    <font>
      <sz val="10"/>
      <color indexed="9"/>
      <name val="Calibri"/>
      <family val="2"/>
    </font>
    <font>
      <sz val="10"/>
      <color indexed="20"/>
      <name val="Calibri"/>
      <family val="2"/>
    </font>
    <font>
      <b/>
      <sz val="10"/>
      <color indexed="37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0"/>
      <color indexed="12"/>
      <name val="Arial"/>
      <family val="2"/>
    </font>
    <font>
      <sz val="10"/>
      <color indexed="37"/>
      <name val="Calibri"/>
      <family val="2"/>
    </font>
    <font>
      <b/>
      <sz val="10"/>
      <color indexed="63"/>
      <name val="Calibri"/>
      <family val="2"/>
    </font>
    <font>
      <b/>
      <sz val="18"/>
      <color indexed="62"/>
      <name val="Cambria"/>
      <family val="1"/>
    </font>
    <font>
      <b/>
      <sz val="10"/>
      <color indexed="8"/>
      <name val="Calibri"/>
      <family val="2"/>
    </font>
    <font>
      <sz val="9"/>
      <name val="Arial"/>
      <family val="2"/>
    </font>
    <font>
      <u/>
      <sz val="11"/>
      <color indexed="12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7030A0"/>
      <name val="Calibri"/>
      <family val="2"/>
      <scheme val="minor"/>
    </font>
    <font>
      <u/>
      <sz val="11"/>
      <color theme="10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color theme="1"/>
      <name val="Arial"/>
      <family val="2"/>
    </font>
    <font>
      <sz val="9"/>
      <color theme="1"/>
      <name val="Calibri"/>
      <family val="3"/>
      <charset val="128"/>
      <scheme val="minor"/>
    </font>
    <font>
      <sz val="11"/>
      <color theme="3" tint="0.3999755851924192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6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28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6"/>
      </patternFill>
    </fill>
    <fill>
      <patternFill patternType="solid">
        <fgColor indexed="30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39"/>
      </patternFill>
    </fill>
    <fill>
      <patternFill patternType="solid">
        <fgColor indexed="36"/>
      </patternFill>
    </fill>
    <fill>
      <patternFill patternType="solid">
        <fgColor indexed="38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3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solid">
        <fgColor indexed="26"/>
      </patternFill>
    </fill>
    <fill>
      <patternFill patternType="solid">
        <fgColor rgb="FF4F81B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8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3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70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35" fillId="3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" fillId="10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5" fillId="3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38" fillId="35" borderId="0" applyNumberFormat="0" applyBorder="0" applyAlignment="0" applyProtection="0"/>
    <xf numFmtId="0" fontId="1" fillId="14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5" fillId="3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38" fillId="37" borderId="0" applyNumberFormat="0" applyBorder="0" applyAlignment="0" applyProtection="0"/>
    <xf numFmtId="0" fontId="1" fillId="18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5" fillId="4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38" fillId="39" borderId="0" applyNumberFormat="0" applyBorder="0" applyAlignment="0" applyProtection="0"/>
    <xf numFmtId="0" fontId="1" fillId="22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5" fillId="34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" fillId="26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5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38" fillId="36" borderId="0" applyNumberFormat="0" applyBorder="0" applyAlignment="0" applyProtection="0"/>
    <xf numFmtId="0" fontId="1" fillId="30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5" fillId="3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38" fillId="42" borderId="0" applyNumberFormat="0" applyBorder="0" applyAlignment="0" applyProtection="0"/>
    <xf numFmtId="0" fontId="1" fillId="11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5" fillId="3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38" fillId="43" borderId="0" applyNumberFormat="0" applyBorder="0" applyAlignment="0" applyProtection="0"/>
    <xf numFmtId="0" fontId="1" fillId="15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5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38" fillId="44" borderId="0" applyNumberFormat="0" applyBorder="0" applyAlignment="0" applyProtection="0"/>
    <xf numFmtId="0" fontId="1" fillId="19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5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38" fillId="39" borderId="0" applyNumberFormat="0" applyBorder="0" applyAlignment="0" applyProtection="0"/>
    <xf numFmtId="0" fontId="1" fillId="23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5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38" fillId="42" borderId="0" applyNumberFormat="0" applyBorder="0" applyAlignment="0" applyProtection="0"/>
    <xf numFmtId="0" fontId="1" fillId="27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5" fillId="3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38" fillId="46" borderId="0" applyNumberFormat="0" applyBorder="0" applyAlignment="0" applyProtection="0"/>
    <xf numFmtId="0" fontId="1" fillId="31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59" fillId="34" borderId="0" applyNumberFormat="0" applyBorder="0" applyAlignment="0" applyProtection="0"/>
    <xf numFmtId="0" fontId="17" fillId="12" borderId="0" applyNumberFormat="0" applyBorder="0" applyAlignment="0" applyProtection="0"/>
    <xf numFmtId="0" fontId="39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59" fillId="36" borderId="0" applyNumberFormat="0" applyBorder="0" applyAlignment="0" applyProtection="0"/>
    <xf numFmtId="0" fontId="17" fillId="16" borderId="0" applyNumberFormat="0" applyBorder="0" applyAlignment="0" applyProtection="0"/>
    <xf numFmtId="0" fontId="39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59" fillId="47" borderId="0" applyNumberFormat="0" applyBorder="0" applyAlignment="0" applyProtection="0"/>
    <xf numFmtId="0" fontId="17" fillId="20" borderId="0" applyNumberFormat="0" applyBorder="0" applyAlignment="0" applyProtection="0"/>
    <xf numFmtId="0" fontId="39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59" fillId="49" borderId="0" applyNumberFormat="0" applyBorder="0" applyAlignment="0" applyProtection="0"/>
    <xf numFmtId="0" fontId="17" fillId="24" borderId="0" applyNumberFormat="0" applyBorder="0" applyAlignment="0" applyProtection="0"/>
    <xf numFmtId="0" fontId="39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59" fillId="34" borderId="0" applyNumberFormat="0" applyBorder="0" applyAlignment="0" applyProtection="0"/>
    <xf numFmtId="0" fontId="17" fillId="28" borderId="0" applyNumberFormat="0" applyBorder="0" applyAlignment="0" applyProtection="0"/>
    <xf numFmtId="0" fontId="39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59" fillId="36" borderId="0" applyNumberFormat="0" applyBorder="0" applyAlignment="0" applyProtection="0"/>
    <xf numFmtId="0" fontId="17" fillId="32" borderId="0" applyNumberFormat="0" applyBorder="0" applyAlignment="0" applyProtection="0"/>
    <xf numFmtId="0" fontId="39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59" fillId="50" borderId="0" applyNumberFormat="0" applyBorder="0" applyAlignment="0" applyProtection="0"/>
    <xf numFmtId="0" fontId="17" fillId="9" borderId="0" applyNumberFormat="0" applyBorder="0" applyAlignment="0" applyProtection="0"/>
    <xf numFmtId="0" fontId="39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59" fillId="53" borderId="0" applyNumberFormat="0" applyBorder="0" applyAlignment="0" applyProtection="0"/>
    <xf numFmtId="0" fontId="17" fillId="13" borderId="0" applyNumberFormat="0" applyBorder="0" applyAlignment="0" applyProtection="0"/>
    <xf numFmtId="0" fontId="39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59" fillId="48" borderId="0" applyNumberFormat="0" applyBorder="0" applyAlignment="0" applyProtection="0"/>
    <xf numFmtId="0" fontId="17" fillId="17" borderId="0" applyNumberFormat="0" applyBorder="0" applyAlignment="0" applyProtection="0"/>
    <xf numFmtId="0" fontId="39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59" fillId="55" borderId="0" applyNumberFormat="0" applyBorder="0" applyAlignment="0" applyProtection="0"/>
    <xf numFmtId="0" fontId="17" fillId="21" borderId="0" applyNumberFormat="0" applyBorder="0" applyAlignment="0" applyProtection="0"/>
    <xf numFmtId="0" fontId="39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59" fillId="50" borderId="0" applyNumberFormat="0" applyBorder="0" applyAlignment="0" applyProtection="0"/>
    <xf numFmtId="0" fontId="17" fillId="25" borderId="0" applyNumberFormat="0" applyBorder="0" applyAlignment="0" applyProtection="0"/>
    <xf numFmtId="0" fontId="39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59" fillId="56" borderId="0" applyNumberFormat="0" applyBorder="0" applyAlignment="0" applyProtection="0"/>
    <xf numFmtId="0" fontId="17" fillId="29" borderId="0" applyNumberFormat="0" applyBorder="0" applyAlignment="0" applyProtection="0"/>
    <xf numFmtId="0" fontId="39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60" fillId="35" borderId="0" applyNumberFormat="0" applyBorder="0" applyAlignment="0" applyProtection="0"/>
    <xf numFmtId="0" fontId="7" fillId="3" borderId="0" applyNumberFormat="0" applyBorder="0" applyAlignment="0" applyProtection="0"/>
    <xf numFmtId="0" fontId="40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20" fillId="62" borderId="0"/>
    <xf numFmtId="0" fontId="37" fillId="57" borderId="0" applyNumberFormat="0"/>
    <xf numFmtId="0" fontId="61" fillId="58" borderId="10" applyNumberFormat="0" applyAlignment="0" applyProtection="0"/>
    <xf numFmtId="0" fontId="11" fillId="6" borderId="4" applyNumberFormat="0" applyAlignment="0" applyProtection="0"/>
    <xf numFmtId="0" fontId="41" fillId="45" borderId="10" applyNumberFormat="0" applyAlignment="0" applyProtection="0"/>
    <xf numFmtId="0" fontId="23" fillId="45" borderId="10" applyNumberFormat="0" applyAlignment="0" applyProtection="0"/>
    <xf numFmtId="0" fontId="23" fillId="45" borderId="10" applyNumberFormat="0" applyAlignment="0" applyProtection="0"/>
    <xf numFmtId="0" fontId="41" fillId="45" borderId="10" applyNumberFormat="0" applyAlignment="0" applyProtection="0"/>
    <xf numFmtId="0" fontId="41" fillId="45" borderId="10" applyNumberFormat="0" applyAlignment="0" applyProtection="0"/>
    <xf numFmtId="0" fontId="41" fillId="45" borderId="10" applyNumberFormat="0" applyAlignment="0" applyProtection="0"/>
    <xf numFmtId="0" fontId="41" fillId="45" borderId="10" applyNumberFormat="0" applyAlignment="0" applyProtection="0"/>
    <xf numFmtId="0" fontId="41" fillId="45" borderId="10" applyNumberFormat="0" applyAlignment="0" applyProtection="0"/>
    <xf numFmtId="0" fontId="41" fillId="45" borderId="10" applyNumberFormat="0" applyAlignment="0" applyProtection="0"/>
    <xf numFmtId="0" fontId="41" fillId="45" borderId="10" applyNumberFormat="0" applyAlignment="0" applyProtection="0"/>
    <xf numFmtId="0" fontId="62" fillId="59" borderId="11" applyNumberFormat="0" applyAlignment="0" applyProtection="0"/>
    <xf numFmtId="0" fontId="13" fillId="7" borderId="7" applyNumberFormat="0" applyAlignment="0" applyProtection="0"/>
    <xf numFmtId="0" fontId="42" fillId="59" borderId="11" applyNumberFormat="0" applyAlignment="0" applyProtection="0"/>
    <xf numFmtId="0" fontId="20" fillId="59" borderId="11" applyNumberFormat="0" applyAlignment="0" applyProtection="0"/>
    <xf numFmtId="0" fontId="20" fillId="59" borderId="11" applyNumberFormat="0" applyAlignment="0" applyProtection="0"/>
    <xf numFmtId="0" fontId="42" fillId="59" borderId="11" applyNumberFormat="0" applyAlignment="0" applyProtection="0"/>
    <xf numFmtId="0" fontId="42" fillId="59" borderId="11" applyNumberFormat="0" applyAlignment="0" applyProtection="0"/>
    <xf numFmtId="0" fontId="42" fillId="59" borderId="11" applyNumberFormat="0" applyAlignment="0" applyProtection="0"/>
    <xf numFmtId="0" fontId="42" fillId="59" borderId="11" applyNumberFormat="0" applyAlignment="0" applyProtection="0"/>
    <xf numFmtId="0" fontId="42" fillId="59" borderId="11" applyNumberFormat="0" applyAlignment="0" applyProtection="0"/>
    <xf numFmtId="0" fontId="42" fillId="59" borderId="11" applyNumberFormat="0" applyAlignment="0" applyProtection="0"/>
    <xf numFmtId="0" fontId="42" fillId="59" borderId="11" applyNumberFormat="0" applyAlignment="0" applyProtection="0"/>
    <xf numFmtId="164" fontId="18" fillId="0" borderId="0" applyFont="0" applyFill="0" applyBorder="0" applyAlignment="0" applyProtection="0"/>
    <xf numFmtId="164" fontId="37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6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7" fillId="37" borderId="0" applyNumberFormat="0" applyBorder="0" applyAlignment="0" applyProtection="0"/>
    <xf numFmtId="0" fontId="6" fillId="2" borderId="0" applyNumberFormat="0" applyBorder="0" applyAlignment="0" applyProtection="0"/>
    <xf numFmtId="0" fontId="44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37" fillId="60" borderId="0" applyNumberFormat="0"/>
    <xf numFmtId="0" fontId="64" fillId="0" borderId="13" applyNumberFormat="0" applyFill="0" applyAlignment="0" applyProtection="0"/>
    <xf numFmtId="0" fontId="3" fillId="0" borderId="1" applyNumberFormat="0" applyFill="0" applyAlignment="0" applyProtection="0"/>
    <xf numFmtId="0" fontId="45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65" fillId="0" borderId="15" applyNumberFormat="0" applyFill="0" applyAlignment="0" applyProtection="0"/>
    <xf numFmtId="0" fontId="4" fillId="0" borderId="2" applyNumberFormat="0" applyFill="0" applyAlignment="0" applyProtection="0"/>
    <xf numFmtId="0" fontId="46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66" fillId="0" borderId="17" applyNumberFormat="0" applyFill="0" applyAlignment="0" applyProtection="0"/>
    <xf numFmtId="0" fontId="5" fillId="0" borderId="3" applyNumberFormat="0" applyFill="0" applyAlignment="0" applyProtection="0"/>
    <xf numFmtId="0" fontId="47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6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15" fontId="67" fillId="57" borderId="0" applyNumberFormat="0"/>
    <xf numFmtId="0" fontId="9" fillId="5" borderId="4" applyNumberFormat="0" applyAlignment="0" applyProtection="0"/>
    <xf numFmtId="0" fontId="48" fillId="36" borderId="10" applyNumberFormat="0" applyAlignment="0" applyProtection="0"/>
    <xf numFmtId="0" fontId="29" fillId="36" borderId="10" applyNumberFormat="0" applyAlignment="0" applyProtection="0"/>
    <xf numFmtId="0" fontId="29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68" fillId="0" borderId="19" applyNumberFormat="0" applyFill="0" applyAlignment="0" applyProtection="0"/>
    <xf numFmtId="0" fontId="12" fillId="0" borderId="6" applyNumberFormat="0" applyFill="0" applyAlignment="0" applyProtection="0"/>
    <xf numFmtId="0" fontId="49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36" fillId="38" borderId="0" applyNumberFormat="0" applyBorder="0" applyAlignment="0" applyProtection="0"/>
    <xf numFmtId="0" fontId="8" fillId="4" borderId="0" applyNumberFormat="0" applyBorder="0" applyAlignment="0" applyProtection="0"/>
    <xf numFmtId="0" fontId="50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50" fillId="38" borderId="0" applyNumberFormat="0" applyBorder="0" applyAlignment="0" applyProtection="0"/>
    <xf numFmtId="0" fontId="50" fillId="38" borderId="0" applyNumberFormat="0" applyBorder="0" applyAlignment="0" applyProtection="0"/>
    <xf numFmtId="0" fontId="50" fillId="38" borderId="0" applyNumberFormat="0" applyBorder="0" applyAlignment="0" applyProtection="0"/>
    <xf numFmtId="0" fontId="50" fillId="38" borderId="0" applyNumberFormat="0" applyBorder="0" applyAlignment="0" applyProtection="0"/>
    <xf numFmtId="0" fontId="50" fillId="38" borderId="0" applyNumberFormat="0" applyBorder="0" applyAlignment="0" applyProtection="0"/>
    <xf numFmtId="0" fontId="50" fillId="38" borderId="0" applyNumberFormat="0" applyBorder="0" applyAlignment="0" applyProtection="0"/>
    <xf numFmtId="0" fontId="50" fillId="38" borderId="0" applyNumberFormat="0" applyBorder="0" applyAlignment="0" applyProtection="0"/>
    <xf numFmtId="0" fontId="5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8" fillId="0" borderId="0"/>
    <xf numFmtId="0" fontId="58" fillId="0" borderId="0"/>
    <xf numFmtId="0" fontId="58" fillId="0" borderId="0"/>
    <xf numFmtId="0" fontId="37" fillId="0" borderId="0"/>
    <xf numFmtId="0" fontId="37" fillId="0" borderId="0"/>
    <xf numFmtId="0" fontId="1" fillId="0" borderId="0"/>
    <xf numFmtId="0" fontId="78" fillId="0" borderId="0"/>
    <xf numFmtId="0" fontId="37" fillId="0" borderId="0"/>
    <xf numFmtId="0" fontId="78" fillId="0" borderId="0"/>
    <xf numFmtId="0" fontId="1" fillId="0" borderId="0"/>
    <xf numFmtId="0" fontId="1" fillId="0" borderId="0"/>
    <xf numFmtId="0" fontId="55" fillId="0" borderId="0"/>
    <xf numFmtId="0" fontId="78" fillId="0" borderId="0"/>
    <xf numFmtId="0" fontId="1" fillId="0" borderId="0"/>
    <xf numFmtId="0" fontId="78" fillId="0" borderId="0"/>
    <xf numFmtId="0" fontId="37" fillId="0" borderId="0"/>
    <xf numFmtId="0" fontId="1" fillId="0" borderId="0"/>
    <xf numFmtId="0" fontId="72" fillId="0" borderId="0"/>
    <xf numFmtId="0" fontId="55" fillId="0" borderId="0"/>
    <xf numFmtId="0" fontId="37" fillId="0" borderId="0"/>
    <xf numFmtId="0" fontId="37" fillId="0" borderId="0"/>
    <xf numFmtId="0" fontId="72" fillId="0" borderId="0"/>
    <xf numFmtId="0" fontId="37" fillId="0" borderId="0"/>
    <xf numFmtId="0" fontId="37" fillId="0" borderId="0"/>
    <xf numFmtId="0" fontId="37" fillId="0" borderId="0"/>
    <xf numFmtId="0" fontId="79" fillId="0" borderId="0"/>
    <xf numFmtId="0" fontId="37" fillId="0" borderId="0"/>
    <xf numFmtId="0" fontId="37" fillId="0" borderId="0"/>
    <xf numFmtId="0" fontId="1" fillId="0" borderId="0"/>
    <xf numFmtId="0" fontId="80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7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78" fillId="0" borderId="0"/>
    <xf numFmtId="0" fontId="78" fillId="0" borderId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37" fillId="38" borderId="20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7" fillId="61" borderId="20" applyNumberFormat="0" applyFont="0" applyAlignment="0" applyProtection="0"/>
    <xf numFmtId="0" fontId="1" fillId="8" borderId="8" applyNumberFormat="0" applyFont="0" applyAlignment="0" applyProtection="0"/>
    <xf numFmtId="0" fontId="19" fillId="61" borderId="20" applyNumberFormat="0" applyFont="0" applyAlignment="0" applyProtection="0"/>
    <xf numFmtId="0" fontId="19" fillId="61" borderId="20" applyNumberFormat="0" applyFont="0" applyAlignment="0" applyProtection="0"/>
    <xf numFmtId="0" fontId="19" fillId="61" borderId="20" applyNumberFormat="0" applyFont="0" applyAlignment="0" applyProtection="0"/>
    <xf numFmtId="0" fontId="19" fillId="61" borderId="20" applyNumberFormat="0" applyFont="0" applyAlignment="0" applyProtection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78" fillId="8" borderId="8" applyNumberFormat="0" applyFont="0" applyAlignment="0" applyProtection="0"/>
    <xf numFmtId="0" fontId="1" fillId="8" borderId="8" applyNumberFormat="0" applyFont="0" applyAlignment="0" applyProtection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37" fillId="61" borderId="20" applyNumberFormat="0" applyFont="0" applyAlignment="0" applyProtection="0"/>
    <xf numFmtId="0" fontId="69" fillId="58" borderId="21" applyNumberFormat="0" applyAlignment="0" applyProtection="0"/>
    <xf numFmtId="0" fontId="10" fillId="6" borderId="5" applyNumberFormat="0" applyAlignment="0" applyProtection="0"/>
    <xf numFmtId="0" fontId="51" fillId="45" borderId="21" applyNumberFormat="0" applyAlignment="0" applyProtection="0"/>
    <xf numFmtId="0" fontId="32" fillId="45" borderId="21" applyNumberFormat="0" applyAlignment="0" applyProtection="0"/>
    <xf numFmtId="0" fontId="32" fillId="45" borderId="21" applyNumberFormat="0" applyAlignment="0" applyProtection="0"/>
    <xf numFmtId="0" fontId="51" fillId="45" borderId="21" applyNumberFormat="0" applyAlignment="0" applyProtection="0"/>
    <xf numFmtId="0" fontId="51" fillId="45" borderId="21" applyNumberFormat="0" applyAlignment="0" applyProtection="0"/>
    <xf numFmtId="0" fontId="51" fillId="45" borderId="21" applyNumberFormat="0" applyAlignment="0" applyProtection="0"/>
    <xf numFmtId="0" fontId="51" fillId="45" borderId="21" applyNumberFormat="0" applyAlignment="0" applyProtection="0"/>
    <xf numFmtId="0" fontId="51" fillId="45" borderId="21" applyNumberFormat="0" applyAlignment="0" applyProtection="0"/>
    <xf numFmtId="0" fontId="51" fillId="45" borderId="21" applyNumberFormat="0" applyAlignment="0" applyProtection="0"/>
    <xf numFmtId="0" fontId="51" fillId="45" borderId="21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37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71" fillId="0" borderId="23" applyNumberFormat="0" applyFill="0" applyAlignment="0" applyProtection="0"/>
    <xf numFmtId="0" fontId="16" fillId="0" borderId="9" applyNumberFormat="0" applyFill="0" applyAlignment="0" applyProtection="0"/>
    <xf numFmtId="0" fontId="53" fillId="0" borderId="22" applyNumberFormat="0" applyFill="0" applyAlignment="0" applyProtection="0"/>
    <xf numFmtId="0" fontId="33" fillId="0" borderId="22" applyNumberFormat="0" applyFill="0" applyAlignment="0" applyProtection="0"/>
    <xf numFmtId="0" fontId="3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3" fillId="0" borderId="22" applyNumberFormat="0" applyFill="0" applyAlignment="0" applyProtection="0"/>
    <xf numFmtId="0" fontId="56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</cellStyleXfs>
  <cellXfs count="63">
    <xf numFmtId="0" fontId="0" fillId="0" borderId="0" xfId="0"/>
    <xf numFmtId="0" fontId="82" fillId="0" borderId="0" xfId="0" applyFont="1"/>
    <xf numFmtId="0" fontId="16" fillId="0" borderId="0" xfId="0" applyFont="1"/>
    <xf numFmtId="0" fontId="1" fillId="0" borderId="26" xfId="41" applyNumberFormat="1" applyFont="1" applyFill="1" applyBorder="1" applyAlignment="1">
      <alignment horizontal="center"/>
    </xf>
    <xf numFmtId="0" fontId="16" fillId="63" borderId="24" xfId="0" applyFont="1" applyFill="1" applyBorder="1"/>
    <xf numFmtId="0" fontId="0" fillId="63" borderId="25" xfId="0" applyFont="1" applyFill="1" applyBorder="1"/>
    <xf numFmtId="0" fontId="0" fillId="63" borderId="25" xfId="0" applyFill="1" applyBorder="1"/>
    <xf numFmtId="0" fontId="16" fillId="63" borderId="25" xfId="0" applyFont="1" applyFill="1" applyBorder="1"/>
    <xf numFmtId="0" fontId="0" fillId="63" borderId="27" xfId="0" applyFill="1" applyBorder="1"/>
    <xf numFmtId="0" fontId="16" fillId="63" borderId="26" xfId="0" applyFont="1" applyFill="1" applyBorder="1"/>
    <xf numFmtId="0" fontId="0" fillId="63" borderId="0" xfId="0" applyFill="1" applyBorder="1"/>
    <xf numFmtId="0" fontId="82" fillId="63" borderId="0" xfId="0" applyFont="1" applyFill="1" applyBorder="1"/>
    <xf numFmtId="0" fontId="0" fillId="63" borderId="28" xfId="0" applyFill="1" applyBorder="1"/>
    <xf numFmtId="0" fontId="0" fillId="63" borderId="26" xfId="0" applyFill="1" applyBorder="1"/>
    <xf numFmtId="0" fontId="0" fillId="63" borderId="0" xfId="0" applyFill="1" applyBorder="1" applyAlignment="1">
      <alignment horizontal="center"/>
    </xf>
    <xf numFmtId="0" fontId="0" fillId="63" borderId="29" xfId="0" applyFill="1" applyBorder="1"/>
    <xf numFmtId="0" fontId="0" fillId="63" borderId="30" xfId="0" applyFill="1" applyBorder="1" applyAlignment="1">
      <alignment horizontal="center"/>
    </xf>
    <xf numFmtId="0" fontId="0" fillId="63" borderId="30" xfId="0" applyFill="1" applyBorder="1"/>
    <xf numFmtId="0" fontId="0" fillId="63" borderId="31" xfId="0" applyFill="1" applyBorder="1"/>
    <xf numFmtId="0" fontId="16" fillId="63" borderId="32" xfId="0" applyFont="1" applyFill="1" applyBorder="1"/>
    <xf numFmtId="0" fontId="0" fillId="63" borderId="34" xfId="0" applyFill="1" applyBorder="1"/>
    <xf numFmtId="0" fontId="16" fillId="64" borderId="32" xfId="0" applyFont="1" applyFill="1" applyBorder="1"/>
    <xf numFmtId="0" fontId="0" fillId="64" borderId="33" xfId="0" applyFont="1" applyFill="1" applyBorder="1"/>
    <xf numFmtId="0" fontId="0" fillId="64" borderId="33" xfId="0" applyFill="1" applyBorder="1"/>
    <xf numFmtId="0" fontId="16" fillId="64" borderId="33" xfId="0" applyFont="1" applyFill="1" applyBorder="1"/>
    <xf numFmtId="0" fontId="0" fillId="64" borderId="34" xfId="0" applyFill="1" applyBorder="1"/>
    <xf numFmtId="0" fontId="16" fillId="64" borderId="26" xfId="0" applyFont="1" applyFill="1" applyBorder="1"/>
    <xf numFmtId="0" fontId="0" fillId="64" borderId="0" xfId="0" applyFill="1" applyBorder="1"/>
    <xf numFmtId="0" fontId="82" fillId="64" borderId="0" xfId="0" applyFont="1" applyFill="1" applyBorder="1"/>
    <xf numFmtId="0" fontId="0" fillId="64" borderId="28" xfId="0" applyFill="1" applyBorder="1"/>
    <xf numFmtId="0" fontId="0" fillId="64" borderId="26" xfId="0" applyFill="1" applyBorder="1"/>
    <xf numFmtId="0" fontId="0" fillId="64" borderId="0" xfId="0" applyFill="1" applyBorder="1" applyAlignment="1">
      <alignment horizontal="center"/>
    </xf>
    <xf numFmtId="0" fontId="0" fillId="64" borderId="29" xfId="0" applyFill="1" applyBorder="1"/>
    <xf numFmtId="0" fontId="0" fillId="64" borderId="30" xfId="0" applyFill="1" applyBorder="1" applyAlignment="1">
      <alignment horizontal="center"/>
    </xf>
    <xf numFmtId="0" fontId="0" fillId="64" borderId="30" xfId="0" applyFill="1" applyBorder="1"/>
    <xf numFmtId="0" fontId="0" fillId="64" borderId="31" xfId="0" applyFill="1" applyBorder="1"/>
    <xf numFmtId="166" fontId="83" fillId="0" borderId="26" xfId="41" applyNumberFormat="1" applyFont="1" applyBorder="1" applyAlignment="1">
      <alignment horizontal="right"/>
    </xf>
    <xf numFmtId="166" fontId="0" fillId="0" borderId="0" xfId="0" applyNumberFormat="1"/>
    <xf numFmtId="0" fontId="16" fillId="65" borderId="32" xfId="0" applyFont="1" applyFill="1" applyBorder="1"/>
    <xf numFmtId="0" fontId="0" fillId="65" borderId="33" xfId="0" applyFont="1" applyFill="1" applyBorder="1"/>
    <xf numFmtId="0" fontId="0" fillId="65" borderId="34" xfId="0" applyFill="1" applyBorder="1"/>
    <xf numFmtId="0" fontId="16" fillId="65" borderId="26" xfId="0" applyFont="1" applyFill="1" applyBorder="1"/>
    <xf numFmtId="0" fontId="0" fillId="65" borderId="0" xfId="0" applyFill="1" applyBorder="1"/>
    <xf numFmtId="0" fontId="0" fillId="65" borderId="28" xfId="0" applyFill="1" applyBorder="1"/>
    <xf numFmtId="0" fontId="0" fillId="65" borderId="26" xfId="0" applyFill="1" applyBorder="1"/>
    <xf numFmtId="0" fontId="0" fillId="65" borderId="0" xfId="0" applyFill="1" applyBorder="1" applyAlignment="1">
      <alignment horizontal="center"/>
    </xf>
    <xf numFmtId="0" fontId="16" fillId="65" borderId="0" xfId="0" applyFont="1" applyFill="1" applyBorder="1"/>
    <xf numFmtId="0" fontId="0" fillId="65" borderId="33" xfId="0" applyFill="1" applyBorder="1"/>
    <xf numFmtId="0" fontId="16" fillId="65" borderId="33" xfId="0" applyFont="1" applyFill="1" applyBorder="1"/>
    <xf numFmtId="0" fontId="0" fillId="65" borderId="29" xfId="0" applyFill="1" applyBorder="1"/>
    <xf numFmtId="0" fontId="0" fillId="65" borderId="30" xfId="0" applyFill="1" applyBorder="1" applyAlignment="1">
      <alignment horizontal="center"/>
    </xf>
    <xf numFmtId="0" fontId="0" fillId="65" borderId="30" xfId="0" applyFill="1" applyBorder="1"/>
    <xf numFmtId="0" fontId="0" fillId="65" borderId="31" xfId="0" applyFill="1" applyBorder="1"/>
    <xf numFmtId="0" fontId="1" fillId="0" borderId="32" xfId="41" applyNumberFormat="1" applyFont="1" applyFill="1" applyBorder="1" applyAlignment="1">
      <alignment horizontal="center"/>
    </xf>
    <xf numFmtId="0" fontId="1" fillId="0" borderId="34" xfId="41" applyNumberFormat="1" applyFont="1" applyFill="1" applyBorder="1" applyAlignment="1">
      <alignment horizontal="center"/>
    </xf>
    <xf numFmtId="166" fontId="81" fillId="0" borderId="28" xfId="41" applyNumberFormat="1" applyFont="1" applyBorder="1" applyAlignment="1">
      <alignment horizontal="center"/>
    </xf>
    <xf numFmtId="166" fontId="83" fillId="0" borderId="32" xfId="41" applyNumberFormat="1" applyFont="1" applyBorder="1" applyAlignment="1">
      <alignment horizontal="right"/>
    </xf>
    <xf numFmtId="166" fontId="83" fillId="0" borderId="34" xfId="41" applyNumberFormat="1" applyFont="1" applyBorder="1" applyAlignment="1">
      <alignment horizontal="right"/>
    </xf>
    <xf numFmtId="166" fontId="83" fillId="0" borderId="28" xfId="41" applyNumberFormat="1" applyFont="1" applyBorder="1" applyAlignment="1">
      <alignment horizontal="right"/>
    </xf>
    <xf numFmtId="166" fontId="83" fillId="0" borderId="29" xfId="41" applyNumberFormat="1" applyFont="1" applyBorder="1" applyAlignment="1">
      <alignment horizontal="right"/>
    </xf>
    <xf numFmtId="166" fontId="83" fillId="0" borderId="31" xfId="41" applyNumberFormat="1" applyFont="1" applyBorder="1" applyAlignment="1">
      <alignment horizontal="right"/>
    </xf>
    <xf numFmtId="0" fontId="0" fillId="66" borderId="0" xfId="0" applyFill="1"/>
    <xf numFmtId="0" fontId="17" fillId="67" borderId="0" xfId="0" applyFont="1" applyFill="1" applyBorder="1" applyAlignment="1">
      <alignment horizontal="center"/>
    </xf>
  </cellXfs>
  <cellStyles count="700">
    <cellStyle name="20% - Accent1" xfId="18" builtinId="30" customBuiltin="1"/>
    <cellStyle name="20% - Accent1 10" xfId="42"/>
    <cellStyle name="20% - Accent1 11" xfId="43"/>
    <cellStyle name="20% - Accent1 2" xfId="44"/>
    <cellStyle name="20% - Accent1 2 2" xfId="45"/>
    <cellStyle name="20% - Accent1 2 2 2" xfId="46"/>
    <cellStyle name="20% - Accent1 2 2 2 2" xfId="47"/>
    <cellStyle name="20% - Accent1 2 2 3" xfId="48"/>
    <cellStyle name="20% - Accent1 2 2 4" xfId="49"/>
    <cellStyle name="20% - Accent1 2 3" xfId="50"/>
    <cellStyle name="20% - Accent1 2 4" xfId="51"/>
    <cellStyle name="20% - Accent1 3" xfId="52"/>
    <cellStyle name="20% - Accent1 4" xfId="53"/>
    <cellStyle name="20% - Accent1 5" xfId="54"/>
    <cellStyle name="20% - Accent1 6" xfId="55"/>
    <cellStyle name="20% - Accent1 7" xfId="56"/>
    <cellStyle name="20% - Accent1 8" xfId="57"/>
    <cellStyle name="20% - Accent1 9" xfId="58"/>
    <cellStyle name="20% - Accent2" xfId="22" builtinId="34" customBuiltin="1"/>
    <cellStyle name="20% - Accent2 10" xfId="59"/>
    <cellStyle name="20% - Accent2 11" xfId="60"/>
    <cellStyle name="20% - Accent2 2" xfId="61"/>
    <cellStyle name="20% - Accent2 2 2" xfId="62"/>
    <cellStyle name="20% - Accent2 2 2 2" xfId="63"/>
    <cellStyle name="20% - Accent2 2 2 2 2" xfId="64"/>
    <cellStyle name="20% - Accent2 2 2 3" xfId="65"/>
    <cellStyle name="20% - Accent2 2 3" xfId="66"/>
    <cellStyle name="20% - Accent2 3" xfId="67"/>
    <cellStyle name="20% - Accent2 3 2" xfId="68"/>
    <cellStyle name="20% - Accent2 4" xfId="69"/>
    <cellStyle name="20% - Accent2 5" xfId="70"/>
    <cellStyle name="20% - Accent2 6" xfId="71"/>
    <cellStyle name="20% - Accent2 7" xfId="72"/>
    <cellStyle name="20% - Accent2 8" xfId="73"/>
    <cellStyle name="20% - Accent2 9" xfId="74"/>
    <cellStyle name="20% - Accent3" xfId="26" builtinId="38" customBuiltin="1"/>
    <cellStyle name="20% - Accent3 10" xfId="75"/>
    <cellStyle name="20% - Accent3 11" xfId="76"/>
    <cellStyle name="20% - Accent3 2" xfId="77"/>
    <cellStyle name="20% - Accent3 2 2" xfId="78"/>
    <cellStyle name="20% - Accent3 2 2 2" xfId="79"/>
    <cellStyle name="20% - Accent3 2 2 2 2" xfId="80"/>
    <cellStyle name="20% - Accent3 2 2 3" xfId="81"/>
    <cellStyle name="20% - Accent3 2 3" xfId="82"/>
    <cellStyle name="20% - Accent3 3" xfId="83"/>
    <cellStyle name="20% - Accent3 3 2" xfId="84"/>
    <cellStyle name="20% - Accent3 4" xfId="85"/>
    <cellStyle name="20% - Accent3 5" xfId="86"/>
    <cellStyle name="20% - Accent3 6" xfId="87"/>
    <cellStyle name="20% - Accent3 7" xfId="88"/>
    <cellStyle name="20% - Accent3 8" xfId="89"/>
    <cellStyle name="20% - Accent3 9" xfId="90"/>
    <cellStyle name="20% - Accent4" xfId="30" builtinId="42" customBuiltin="1"/>
    <cellStyle name="20% - Accent4 10" xfId="91"/>
    <cellStyle name="20% - Accent4 11" xfId="92"/>
    <cellStyle name="20% - Accent4 2" xfId="93"/>
    <cellStyle name="20% - Accent4 2 2" xfId="94"/>
    <cellStyle name="20% - Accent4 2 2 2" xfId="95"/>
    <cellStyle name="20% - Accent4 2 2 2 2" xfId="96"/>
    <cellStyle name="20% - Accent4 2 2 3" xfId="97"/>
    <cellStyle name="20% - Accent4 2 3" xfId="98"/>
    <cellStyle name="20% - Accent4 3" xfId="99"/>
    <cellStyle name="20% - Accent4 3 2" xfId="100"/>
    <cellStyle name="20% - Accent4 4" xfId="101"/>
    <cellStyle name="20% - Accent4 5" xfId="102"/>
    <cellStyle name="20% - Accent4 6" xfId="103"/>
    <cellStyle name="20% - Accent4 7" xfId="104"/>
    <cellStyle name="20% - Accent4 8" xfId="105"/>
    <cellStyle name="20% - Accent4 9" xfId="106"/>
    <cellStyle name="20% - Accent5" xfId="34" builtinId="46" customBuiltin="1"/>
    <cellStyle name="20% - Accent5 10" xfId="107"/>
    <cellStyle name="20% - Accent5 11" xfId="108"/>
    <cellStyle name="20% - Accent5 2" xfId="109"/>
    <cellStyle name="20% - Accent5 2 2" xfId="110"/>
    <cellStyle name="20% - Accent5 2 2 2" xfId="111"/>
    <cellStyle name="20% - Accent5 2 2 2 2" xfId="112"/>
    <cellStyle name="20% - Accent5 2 2 3" xfId="113"/>
    <cellStyle name="20% - Accent5 2 2 4" xfId="114"/>
    <cellStyle name="20% - Accent5 2 3" xfId="115"/>
    <cellStyle name="20% - Accent5 2 4" xfId="116"/>
    <cellStyle name="20% - Accent5 3" xfId="117"/>
    <cellStyle name="20% - Accent5 4" xfId="118"/>
    <cellStyle name="20% - Accent5 5" xfId="119"/>
    <cellStyle name="20% - Accent5 6" xfId="120"/>
    <cellStyle name="20% - Accent5 7" xfId="121"/>
    <cellStyle name="20% - Accent5 8" xfId="122"/>
    <cellStyle name="20% - Accent5 9" xfId="123"/>
    <cellStyle name="20% - Accent6" xfId="38" builtinId="50" customBuiltin="1"/>
    <cellStyle name="20% - Accent6 10" xfId="124"/>
    <cellStyle name="20% - Accent6 11" xfId="125"/>
    <cellStyle name="20% - Accent6 2" xfId="126"/>
    <cellStyle name="20% - Accent6 2 2" xfId="127"/>
    <cellStyle name="20% - Accent6 2 2 2" xfId="128"/>
    <cellStyle name="20% - Accent6 2 2 2 2" xfId="129"/>
    <cellStyle name="20% - Accent6 2 2 3" xfId="130"/>
    <cellStyle name="20% - Accent6 2 3" xfId="131"/>
    <cellStyle name="20% - Accent6 3" xfId="132"/>
    <cellStyle name="20% - Accent6 3 2" xfId="133"/>
    <cellStyle name="20% - Accent6 4" xfId="134"/>
    <cellStyle name="20% - Accent6 5" xfId="135"/>
    <cellStyle name="20% - Accent6 6" xfId="136"/>
    <cellStyle name="20% - Accent6 7" xfId="137"/>
    <cellStyle name="20% - Accent6 8" xfId="138"/>
    <cellStyle name="20% - Accent6 9" xfId="139"/>
    <cellStyle name="40% - Accent1" xfId="19" builtinId="31" customBuiltin="1"/>
    <cellStyle name="40% - Accent1 10" xfId="140"/>
    <cellStyle name="40% - Accent1 11" xfId="141"/>
    <cellStyle name="40% - Accent1 2" xfId="142"/>
    <cellStyle name="40% - Accent1 2 2" xfId="143"/>
    <cellStyle name="40% - Accent1 2 2 2" xfId="144"/>
    <cellStyle name="40% - Accent1 2 2 2 2" xfId="145"/>
    <cellStyle name="40% - Accent1 2 2 3" xfId="146"/>
    <cellStyle name="40% - Accent1 2 3" xfId="147"/>
    <cellStyle name="40% - Accent1 3" xfId="148"/>
    <cellStyle name="40% - Accent1 3 2" xfId="149"/>
    <cellStyle name="40% - Accent1 4" xfId="150"/>
    <cellStyle name="40% - Accent1 5" xfId="151"/>
    <cellStyle name="40% - Accent1 6" xfId="152"/>
    <cellStyle name="40% - Accent1 7" xfId="153"/>
    <cellStyle name="40% - Accent1 8" xfId="154"/>
    <cellStyle name="40% - Accent1 9" xfId="155"/>
    <cellStyle name="40% - Accent2" xfId="23" builtinId="35" customBuiltin="1"/>
    <cellStyle name="40% - Accent2 10" xfId="156"/>
    <cellStyle name="40% - Accent2 11" xfId="157"/>
    <cellStyle name="40% - Accent2 2" xfId="158"/>
    <cellStyle name="40% - Accent2 2 2" xfId="159"/>
    <cellStyle name="40% - Accent2 2 2 2" xfId="160"/>
    <cellStyle name="40% - Accent2 2 2 2 2" xfId="161"/>
    <cellStyle name="40% - Accent2 2 2 3" xfId="162"/>
    <cellStyle name="40% - Accent2 2 3" xfId="163"/>
    <cellStyle name="40% - Accent2 3" xfId="164"/>
    <cellStyle name="40% - Accent2 3 2" xfId="165"/>
    <cellStyle name="40% - Accent2 4" xfId="166"/>
    <cellStyle name="40% - Accent2 5" xfId="167"/>
    <cellStyle name="40% - Accent2 6" xfId="168"/>
    <cellStyle name="40% - Accent2 7" xfId="169"/>
    <cellStyle name="40% - Accent2 8" xfId="170"/>
    <cellStyle name="40% - Accent2 9" xfId="171"/>
    <cellStyle name="40% - Accent3" xfId="27" builtinId="39" customBuiltin="1"/>
    <cellStyle name="40% - Accent3 10" xfId="172"/>
    <cellStyle name="40% - Accent3 11" xfId="173"/>
    <cellStyle name="40% - Accent3 2" xfId="174"/>
    <cellStyle name="40% - Accent3 2 2" xfId="175"/>
    <cellStyle name="40% - Accent3 2 2 2" xfId="176"/>
    <cellStyle name="40% - Accent3 2 2 2 2" xfId="177"/>
    <cellStyle name="40% - Accent3 2 2 3" xfId="178"/>
    <cellStyle name="40% - Accent3 2 3" xfId="179"/>
    <cellStyle name="40% - Accent3 3" xfId="180"/>
    <cellStyle name="40% - Accent3 3 2" xfId="181"/>
    <cellStyle name="40% - Accent3 4" xfId="182"/>
    <cellStyle name="40% - Accent3 5" xfId="183"/>
    <cellStyle name="40% - Accent3 6" xfId="184"/>
    <cellStyle name="40% - Accent3 7" xfId="185"/>
    <cellStyle name="40% - Accent3 8" xfId="186"/>
    <cellStyle name="40% - Accent3 9" xfId="187"/>
    <cellStyle name="40% - Accent4" xfId="31" builtinId="43" customBuiltin="1"/>
    <cellStyle name="40% - Accent4 10" xfId="188"/>
    <cellStyle name="40% - Accent4 11" xfId="189"/>
    <cellStyle name="40% - Accent4 2" xfId="190"/>
    <cellStyle name="40% - Accent4 2 2" xfId="191"/>
    <cellStyle name="40% - Accent4 2 2 2" xfId="192"/>
    <cellStyle name="40% - Accent4 2 2 2 2" xfId="193"/>
    <cellStyle name="40% - Accent4 2 2 3" xfId="194"/>
    <cellStyle name="40% - Accent4 2 3" xfId="195"/>
    <cellStyle name="40% - Accent4 3" xfId="196"/>
    <cellStyle name="40% - Accent4 3 2" xfId="197"/>
    <cellStyle name="40% - Accent4 4" xfId="198"/>
    <cellStyle name="40% - Accent4 5" xfId="199"/>
    <cellStyle name="40% - Accent4 6" xfId="200"/>
    <cellStyle name="40% - Accent4 7" xfId="201"/>
    <cellStyle name="40% - Accent4 8" xfId="202"/>
    <cellStyle name="40% - Accent4 9" xfId="203"/>
    <cellStyle name="40% - Accent5" xfId="35" builtinId="47" customBuiltin="1"/>
    <cellStyle name="40% - Accent5 10" xfId="204"/>
    <cellStyle name="40% - Accent5 11" xfId="205"/>
    <cellStyle name="40% - Accent5 2" xfId="206"/>
    <cellStyle name="40% - Accent5 2 2" xfId="207"/>
    <cellStyle name="40% - Accent5 2 2 2" xfId="208"/>
    <cellStyle name="40% - Accent5 2 2 2 2" xfId="209"/>
    <cellStyle name="40% - Accent5 2 2 3" xfId="210"/>
    <cellStyle name="40% - Accent5 2 3" xfId="211"/>
    <cellStyle name="40% - Accent5 3" xfId="212"/>
    <cellStyle name="40% - Accent5 3 2" xfId="213"/>
    <cellStyle name="40% - Accent5 4" xfId="214"/>
    <cellStyle name="40% - Accent5 5" xfId="215"/>
    <cellStyle name="40% - Accent5 6" xfId="216"/>
    <cellStyle name="40% - Accent5 7" xfId="217"/>
    <cellStyle name="40% - Accent5 8" xfId="218"/>
    <cellStyle name="40% - Accent5 9" xfId="219"/>
    <cellStyle name="40% - Accent6" xfId="39" builtinId="51" customBuiltin="1"/>
    <cellStyle name="40% - Accent6 10" xfId="220"/>
    <cellStyle name="40% - Accent6 11" xfId="221"/>
    <cellStyle name="40% - Accent6 2" xfId="222"/>
    <cellStyle name="40% - Accent6 2 2" xfId="223"/>
    <cellStyle name="40% - Accent6 2 2 2" xfId="224"/>
    <cellStyle name="40% - Accent6 2 2 2 2" xfId="225"/>
    <cellStyle name="40% - Accent6 2 2 3" xfId="226"/>
    <cellStyle name="40% - Accent6 2 3" xfId="227"/>
    <cellStyle name="40% - Accent6 3" xfId="228"/>
    <cellStyle name="40% - Accent6 3 2" xfId="229"/>
    <cellStyle name="40% - Accent6 4" xfId="230"/>
    <cellStyle name="40% - Accent6 5" xfId="231"/>
    <cellStyle name="40% - Accent6 6" xfId="232"/>
    <cellStyle name="40% - Accent6 7" xfId="233"/>
    <cellStyle name="40% - Accent6 8" xfId="234"/>
    <cellStyle name="40% - Accent6 9" xfId="235"/>
    <cellStyle name="60% - Accent1" xfId="20" builtinId="32" customBuiltin="1"/>
    <cellStyle name="60% - Accent1 10" xfId="236"/>
    <cellStyle name="60% - Accent1 11" xfId="237"/>
    <cellStyle name="60% - Accent1 2" xfId="238"/>
    <cellStyle name="60% - Accent1 2 2" xfId="239"/>
    <cellStyle name="60% - Accent1 2 2 2" xfId="240"/>
    <cellStyle name="60% - Accent1 3" xfId="241"/>
    <cellStyle name="60% - Accent1 4" xfId="242"/>
    <cellStyle name="60% - Accent1 5" xfId="243"/>
    <cellStyle name="60% - Accent1 6" xfId="244"/>
    <cellStyle name="60% - Accent1 7" xfId="245"/>
    <cellStyle name="60% - Accent1 8" xfId="246"/>
    <cellStyle name="60% - Accent1 9" xfId="247"/>
    <cellStyle name="60% - Accent2" xfId="24" builtinId="36" customBuiltin="1"/>
    <cellStyle name="60% - Accent2 10" xfId="248"/>
    <cellStyle name="60% - Accent2 11" xfId="249"/>
    <cellStyle name="60% - Accent2 2" xfId="250"/>
    <cellStyle name="60% - Accent2 2 2" xfId="251"/>
    <cellStyle name="60% - Accent2 2 2 2" xfId="252"/>
    <cellStyle name="60% - Accent2 3" xfId="253"/>
    <cellStyle name="60% - Accent2 4" xfId="254"/>
    <cellStyle name="60% - Accent2 5" xfId="255"/>
    <cellStyle name="60% - Accent2 6" xfId="256"/>
    <cellStyle name="60% - Accent2 7" xfId="257"/>
    <cellStyle name="60% - Accent2 8" xfId="258"/>
    <cellStyle name="60% - Accent2 9" xfId="259"/>
    <cellStyle name="60% - Accent3" xfId="28" builtinId="40" customBuiltin="1"/>
    <cellStyle name="60% - Accent3 10" xfId="260"/>
    <cellStyle name="60% - Accent3 11" xfId="261"/>
    <cellStyle name="60% - Accent3 2" xfId="262"/>
    <cellStyle name="60% - Accent3 2 2" xfId="263"/>
    <cellStyle name="60% - Accent3 2 2 2" xfId="264"/>
    <cellStyle name="60% - Accent3 3" xfId="265"/>
    <cellStyle name="60% - Accent3 4" xfId="266"/>
    <cellStyle name="60% - Accent3 5" xfId="267"/>
    <cellStyle name="60% - Accent3 6" xfId="268"/>
    <cellStyle name="60% - Accent3 7" xfId="269"/>
    <cellStyle name="60% - Accent3 8" xfId="270"/>
    <cellStyle name="60% - Accent3 9" xfId="271"/>
    <cellStyle name="60% - Accent4" xfId="32" builtinId="44" customBuiltin="1"/>
    <cellStyle name="60% - Accent4 10" xfId="272"/>
    <cellStyle name="60% - Accent4 11" xfId="273"/>
    <cellStyle name="60% - Accent4 2" xfId="274"/>
    <cellStyle name="60% - Accent4 2 2" xfId="275"/>
    <cellStyle name="60% - Accent4 2 2 2" xfId="276"/>
    <cellStyle name="60% - Accent4 3" xfId="277"/>
    <cellStyle name="60% - Accent4 4" xfId="278"/>
    <cellStyle name="60% - Accent4 5" xfId="279"/>
    <cellStyle name="60% - Accent4 6" xfId="280"/>
    <cellStyle name="60% - Accent4 7" xfId="281"/>
    <cellStyle name="60% - Accent4 8" xfId="282"/>
    <cellStyle name="60% - Accent4 9" xfId="283"/>
    <cellStyle name="60% - Accent5" xfId="36" builtinId="48" customBuiltin="1"/>
    <cellStyle name="60% - Accent5 10" xfId="284"/>
    <cellStyle name="60% - Accent5 11" xfId="285"/>
    <cellStyle name="60% - Accent5 2" xfId="286"/>
    <cellStyle name="60% - Accent5 2 2" xfId="287"/>
    <cellStyle name="60% - Accent5 2 2 2" xfId="288"/>
    <cellStyle name="60% - Accent5 3" xfId="289"/>
    <cellStyle name="60% - Accent5 4" xfId="290"/>
    <cellStyle name="60% - Accent5 5" xfId="291"/>
    <cellStyle name="60% - Accent5 6" xfId="292"/>
    <cellStyle name="60% - Accent5 7" xfId="293"/>
    <cellStyle name="60% - Accent5 8" xfId="294"/>
    <cellStyle name="60% - Accent5 9" xfId="295"/>
    <cellStyle name="60% - Accent6" xfId="40" builtinId="52" customBuiltin="1"/>
    <cellStyle name="60% - Accent6 10" xfId="296"/>
    <cellStyle name="60% - Accent6 11" xfId="297"/>
    <cellStyle name="60% - Accent6 2" xfId="298"/>
    <cellStyle name="60% - Accent6 2 2" xfId="299"/>
    <cellStyle name="60% - Accent6 2 2 2" xfId="300"/>
    <cellStyle name="60% - Accent6 3" xfId="301"/>
    <cellStyle name="60% - Accent6 4" xfId="302"/>
    <cellStyle name="60% - Accent6 5" xfId="303"/>
    <cellStyle name="60% - Accent6 6" xfId="304"/>
    <cellStyle name="60% - Accent6 7" xfId="305"/>
    <cellStyle name="60% - Accent6 8" xfId="306"/>
    <cellStyle name="60% - Accent6 9" xfId="307"/>
    <cellStyle name="Accent1" xfId="17" builtinId="29" customBuiltin="1"/>
    <cellStyle name="Accent1 10" xfId="308"/>
    <cellStyle name="Accent1 11" xfId="309"/>
    <cellStyle name="Accent1 2" xfId="310"/>
    <cellStyle name="Accent1 2 2" xfId="311"/>
    <cellStyle name="Accent1 2 2 2" xfId="312"/>
    <cellStyle name="Accent1 3" xfId="313"/>
    <cellStyle name="Accent1 4" xfId="314"/>
    <cellStyle name="Accent1 5" xfId="315"/>
    <cellStyle name="Accent1 6" xfId="316"/>
    <cellStyle name="Accent1 7" xfId="317"/>
    <cellStyle name="Accent1 8" xfId="318"/>
    <cellStyle name="Accent1 9" xfId="319"/>
    <cellStyle name="Accent2" xfId="21" builtinId="33" customBuiltin="1"/>
    <cellStyle name="Accent2 10" xfId="320"/>
    <cellStyle name="Accent2 11" xfId="321"/>
    <cellStyle name="Accent2 2" xfId="322"/>
    <cellStyle name="Accent2 2 2" xfId="323"/>
    <cellStyle name="Accent2 2 2 2" xfId="324"/>
    <cellStyle name="Accent2 3" xfId="325"/>
    <cellStyle name="Accent2 4" xfId="326"/>
    <cellStyle name="Accent2 5" xfId="327"/>
    <cellStyle name="Accent2 6" xfId="328"/>
    <cellStyle name="Accent2 7" xfId="329"/>
    <cellStyle name="Accent2 8" xfId="330"/>
    <cellStyle name="Accent2 9" xfId="331"/>
    <cellStyle name="Accent3" xfId="25" builtinId="37" customBuiltin="1"/>
    <cellStyle name="Accent3 10" xfId="332"/>
    <cellStyle name="Accent3 11" xfId="333"/>
    <cellStyle name="Accent3 2" xfId="334"/>
    <cellStyle name="Accent3 2 2" xfId="335"/>
    <cellStyle name="Accent3 2 2 2" xfId="336"/>
    <cellStyle name="Accent3 3" xfId="337"/>
    <cellStyle name="Accent3 4" xfId="338"/>
    <cellStyle name="Accent3 5" xfId="339"/>
    <cellStyle name="Accent3 6" xfId="340"/>
    <cellStyle name="Accent3 7" xfId="341"/>
    <cellStyle name="Accent3 8" xfId="342"/>
    <cellStyle name="Accent3 9" xfId="343"/>
    <cellStyle name="Accent4" xfId="29" builtinId="41" customBuiltin="1"/>
    <cellStyle name="Accent4 10" xfId="344"/>
    <cellStyle name="Accent4 11" xfId="345"/>
    <cellStyle name="Accent4 2" xfId="346"/>
    <cellStyle name="Accent4 2 2" xfId="347"/>
    <cellStyle name="Accent4 2 2 2" xfId="348"/>
    <cellStyle name="Accent4 3" xfId="349"/>
    <cellStyle name="Accent4 4" xfId="350"/>
    <cellStyle name="Accent4 5" xfId="351"/>
    <cellStyle name="Accent4 6" xfId="352"/>
    <cellStyle name="Accent4 7" xfId="353"/>
    <cellStyle name="Accent4 8" xfId="354"/>
    <cellStyle name="Accent4 9" xfId="355"/>
    <cellStyle name="Accent5" xfId="33" builtinId="45" customBuiltin="1"/>
    <cellStyle name="Accent5 10" xfId="356"/>
    <cellStyle name="Accent5 11" xfId="357"/>
    <cellStyle name="Accent5 2" xfId="358"/>
    <cellStyle name="Accent5 2 2" xfId="359"/>
    <cellStyle name="Accent5 2 2 2" xfId="360"/>
    <cellStyle name="Accent5 3" xfId="361"/>
    <cellStyle name="Accent5 4" xfId="362"/>
    <cellStyle name="Accent5 5" xfId="363"/>
    <cellStyle name="Accent5 6" xfId="364"/>
    <cellStyle name="Accent5 7" xfId="365"/>
    <cellStyle name="Accent5 8" xfId="366"/>
    <cellStyle name="Accent5 9" xfId="367"/>
    <cellStyle name="Accent6" xfId="37" builtinId="49" customBuiltin="1"/>
    <cellStyle name="Accent6 10" xfId="368"/>
    <cellStyle name="Accent6 11" xfId="369"/>
    <cellStyle name="Accent6 2" xfId="370"/>
    <cellStyle name="Accent6 2 2" xfId="371"/>
    <cellStyle name="Accent6 2 2 2" xfId="372"/>
    <cellStyle name="Accent6 3" xfId="373"/>
    <cellStyle name="Accent6 4" xfId="374"/>
    <cellStyle name="Accent6 5" xfId="375"/>
    <cellStyle name="Accent6 6" xfId="376"/>
    <cellStyle name="Accent6 7" xfId="377"/>
    <cellStyle name="Accent6 8" xfId="378"/>
    <cellStyle name="Accent6 9" xfId="379"/>
    <cellStyle name="Bad" xfId="7" builtinId="27" customBuiltin="1"/>
    <cellStyle name="Bad 10" xfId="380"/>
    <cellStyle name="Bad 11" xfId="381"/>
    <cellStyle name="Bad 2" xfId="382"/>
    <cellStyle name="Bad 2 2" xfId="383"/>
    <cellStyle name="Bad 2 2 2" xfId="384"/>
    <cellStyle name="Bad 3" xfId="385"/>
    <cellStyle name="Bad 4" xfId="386"/>
    <cellStyle name="Bad 5" xfId="387"/>
    <cellStyle name="Bad 6" xfId="388"/>
    <cellStyle name="Bad 7" xfId="389"/>
    <cellStyle name="Bad 8" xfId="390"/>
    <cellStyle name="Bad 9" xfId="391"/>
    <cellStyle name="blp_column_header" xfId="392"/>
    <cellStyle name="Body" xfId="393"/>
    <cellStyle name="Calculation" xfId="11" builtinId="22" customBuiltin="1"/>
    <cellStyle name="Calculation 10" xfId="394"/>
    <cellStyle name="Calculation 11" xfId="395"/>
    <cellStyle name="Calculation 2" xfId="396"/>
    <cellStyle name="Calculation 2 2" xfId="397"/>
    <cellStyle name="Calculation 2 2 2" xfId="398"/>
    <cellStyle name="Calculation 3" xfId="399"/>
    <cellStyle name="Calculation 4" xfId="400"/>
    <cellStyle name="Calculation 5" xfId="401"/>
    <cellStyle name="Calculation 6" xfId="402"/>
    <cellStyle name="Calculation 7" xfId="403"/>
    <cellStyle name="Calculation 8" xfId="404"/>
    <cellStyle name="Calculation 9" xfId="405"/>
    <cellStyle name="Check Cell" xfId="13" builtinId="23" customBuiltin="1"/>
    <cellStyle name="Check Cell 10" xfId="406"/>
    <cellStyle name="Check Cell 11" xfId="407"/>
    <cellStyle name="Check Cell 2" xfId="408"/>
    <cellStyle name="Check Cell 2 2" xfId="409"/>
    <cellStyle name="Check Cell 2 2 2" xfId="410"/>
    <cellStyle name="Check Cell 3" xfId="411"/>
    <cellStyle name="Check Cell 4" xfId="412"/>
    <cellStyle name="Check Cell 5" xfId="413"/>
    <cellStyle name="Check Cell 6" xfId="414"/>
    <cellStyle name="Check Cell 7" xfId="415"/>
    <cellStyle name="Check Cell 8" xfId="416"/>
    <cellStyle name="Check Cell 9" xfId="417"/>
    <cellStyle name="Comma 2" xfId="419"/>
    <cellStyle name="Comma 3" xfId="420"/>
    <cellStyle name="Comma 3 2" xfId="421"/>
    <cellStyle name="Comma 4" xfId="422"/>
    <cellStyle name="Comma 4 2" xfId="423"/>
    <cellStyle name="Comma 5" xfId="418"/>
    <cellStyle name="Currency 2" xfId="424"/>
    <cellStyle name="Currency 3" xfId="425"/>
    <cellStyle name="Currency 4" xfId="426"/>
    <cellStyle name="Currency 4 2" xfId="427"/>
    <cellStyle name="Currency 5" xfId="428"/>
    <cellStyle name="Currency 5 2" xfId="429"/>
    <cellStyle name="Explanatory Text" xfId="15" builtinId="53" customBuiltin="1"/>
    <cellStyle name="Explanatory Text 10" xfId="430"/>
    <cellStyle name="Explanatory Text 11" xfId="431"/>
    <cellStyle name="Explanatory Text 2" xfId="432"/>
    <cellStyle name="Explanatory Text 2 2" xfId="433"/>
    <cellStyle name="Explanatory Text 2 2 2" xfId="434"/>
    <cellStyle name="Explanatory Text 3" xfId="435"/>
    <cellStyle name="Explanatory Text 4" xfId="436"/>
    <cellStyle name="Explanatory Text 5" xfId="437"/>
    <cellStyle name="Explanatory Text 6" xfId="438"/>
    <cellStyle name="Explanatory Text 7" xfId="439"/>
    <cellStyle name="Explanatory Text 8" xfId="440"/>
    <cellStyle name="Explanatory Text 9" xfId="441"/>
    <cellStyle name="Good" xfId="6" builtinId="26" customBuiltin="1"/>
    <cellStyle name="Good 10" xfId="442"/>
    <cellStyle name="Good 11" xfId="443"/>
    <cellStyle name="Good 2" xfId="444"/>
    <cellStyle name="Good 2 2" xfId="445"/>
    <cellStyle name="Good 2 2 2" xfId="446"/>
    <cellStyle name="Good 3" xfId="447"/>
    <cellStyle name="Good 4" xfId="448"/>
    <cellStyle name="Good 5" xfId="449"/>
    <cellStyle name="Good 6" xfId="450"/>
    <cellStyle name="Good 7" xfId="451"/>
    <cellStyle name="Good 8" xfId="452"/>
    <cellStyle name="Good 9" xfId="453"/>
    <cellStyle name="Header2" xfId="454"/>
    <cellStyle name="Heading 1" xfId="2" builtinId="16" customBuiltin="1"/>
    <cellStyle name="Heading 1 10" xfId="455"/>
    <cellStyle name="Heading 1 11" xfId="456"/>
    <cellStyle name="Heading 1 2" xfId="457"/>
    <cellStyle name="Heading 1 2 2" xfId="458"/>
    <cellStyle name="Heading 1 2 2 2" xfId="459"/>
    <cellStyle name="Heading 1 3" xfId="460"/>
    <cellStyle name="Heading 1 4" xfId="461"/>
    <cellStyle name="Heading 1 5" xfId="462"/>
    <cellStyle name="Heading 1 6" xfId="463"/>
    <cellStyle name="Heading 1 7" xfId="464"/>
    <cellStyle name="Heading 1 8" xfId="465"/>
    <cellStyle name="Heading 1 9" xfId="466"/>
    <cellStyle name="Heading 2" xfId="3" builtinId="17" customBuiltin="1"/>
    <cellStyle name="Heading 2 10" xfId="467"/>
    <cellStyle name="Heading 2 11" xfId="468"/>
    <cellStyle name="Heading 2 2" xfId="469"/>
    <cellStyle name="Heading 2 2 2" xfId="470"/>
    <cellStyle name="Heading 2 2 2 2" xfId="471"/>
    <cellStyle name="Heading 2 3" xfId="472"/>
    <cellStyle name="Heading 2 4" xfId="473"/>
    <cellStyle name="Heading 2 5" xfId="474"/>
    <cellStyle name="Heading 2 6" xfId="475"/>
    <cellStyle name="Heading 2 7" xfId="476"/>
    <cellStyle name="Heading 2 8" xfId="477"/>
    <cellStyle name="Heading 2 9" xfId="478"/>
    <cellStyle name="Heading 3" xfId="4" builtinId="18" customBuiltin="1"/>
    <cellStyle name="Heading 3 10" xfId="479"/>
    <cellStyle name="Heading 3 11" xfId="480"/>
    <cellStyle name="Heading 3 2" xfId="481"/>
    <cellStyle name="Heading 3 2 2" xfId="482"/>
    <cellStyle name="Heading 3 2 2 2" xfId="483"/>
    <cellStyle name="Heading 3 3" xfId="484"/>
    <cellStyle name="Heading 3 4" xfId="485"/>
    <cellStyle name="Heading 3 5" xfId="486"/>
    <cellStyle name="Heading 3 6" xfId="487"/>
    <cellStyle name="Heading 3 7" xfId="488"/>
    <cellStyle name="Heading 3 8" xfId="489"/>
    <cellStyle name="Heading 3 9" xfId="490"/>
    <cellStyle name="Heading 4" xfId="5" builtinId="19" customBuiltin="1"/>
    <cellStyle name="Heading 4 10" xfId="491"/>
    <cellStyle name="Heading 4 11" xfId="492"/>
    <cellStyle name="Heading 4 2" xfId="493"/>
    <cellStyle name="Heading 4 2 2" xfId="494"/>
    <cellStyle name="Heading 4 2 2 2" xfId="495"/>
    <cellStyle name="Heading 4 3" xfId="496"/>
    <cellStyle name="Heading 4 4" xfId="497"/>
    <cellStyle name="Heading 4 5" xfId="498"/>
    <cellStyle name="Heading 4 6" xfId="499"/>
    <cellStyle name="Heading 4 7" xfId="500"/>
    <cellStyle name="Heading 4 8" xfId="501"/>
    <cellStyle name="Heading 4 9" xfId="502"/>
    <cellStyle name="Hyperlink 2" xfId="503"/>
    <cellStyle name="Hyperlink 2 2" xfId="504"/>
    <cellStyle name="Hyperlink 3" xfId="505"/>
    <cellStyle name="Hyperlink 4" xfId="506"/>
    <cellStyle name="Hyperlink 5" xfId="507"/>
    <cellStyle name="Input" xfId="9" builtinId="20" customBuiltin="1"/>
    <cellStyle name="Input 10" xfId="508"/>
    <cellStyle name="Input 11" xfId="509"/>
    <cellStyle name="Input 2" xfId="510"/>
    <cellStyle name="Input 2 2" xfId="511"/>
    <cellStyle name="Input 2 2 2" xfId="512"/>
    <cellStyle name="Input 3" xfId="513"/>
    <cellStyle name="Input 4" xfId="514"/>
    <cellStyle name="Input 5" xfId="515"/>
    <cellStyle name="Input 6" xfId="516"/>
    <cellStyle name="Input 7" xfId="517"/>
    <cellStyle name="Input 8" xfId="518"/>
    <cellStyle name="Input 9" xfId="519"/>
    <cellStyle name="Linked Cell" xfId="12" builtinId="24" customBuiltin="1"/>
    <cellStyle name="Linked Cell 10" xfId="520"/>
    <cellStyle name="Linked Cell 11" xfId="521"/>
    <cellStyle name="Linked Cell 2" xfId="522"/>
    <cellStyle name="Linked Cell 2 2" xfId="523"/>
    <cellStyle name="Linked Cell 2 2 2" xfId="524"/>
    <cellStyle name="Linked Cell 3" xfId="525"/>
    <cellStyle name="Linked Cell 4" xfId="526"/>
    <cellStyle name="Linked Cell 5" xfId="527"/>
    <cellStyle name="Linked Cell 6" xfId="528"/>
    <cellStyle name="Linked Cell 7" xfId="529"/>
    <cellStyle name="Linked Cell 8" xfId="530"/>
    <cellStyle name="Linked Cell 9" xfId="531"/>
    <cellStyle name="Neutral" xfId="8" builtinId="28" customBuiltin="1"/>
    <cellStyle name="Neutral 10" xfId="532"/>
    <cellStyle name="Neutral 11" xfId="533"/>
    <cellStyle name="Neutral 2" xfId="534"/>
    <cellStyle name="Neutral 2 2" xfId="535"/>
    <cellStyle name="Neutral 2 2 2" xfId="536"/>
    <cellStyle name="Neutral 3" xfId="537"/>
    <cellStyle name="Neutral 4" xfId="538"/>
    <cellStyle name="Neutral 5" xfId="539"/>
    <cellStyle name="Neutral 6" xfId="540"/>
    <cellStyle name="Neutral 7" xfId="541"/>
    <cellStyle name="Neutral 8" xfId="542"/>
    <cellStyle name="Neutral 9" xfId="543"/>
    <cellStyle name="Normal" xfId="0" builtinId="0"/>
    <cellStyle name="Normal 10" xfId="544"/>
    <cellStyle name="Normal 11" xfId="545"/>
    <cellStyle name="Normal 12" xfId="546"/>
    <cellStyle name="Normal 12 2" xfId="547"/>
    <cellStyle name="Normal 13" xfId="548"/>
    <cellStyle name="Normal 13 2" xfId="549"/>
    <cellStyle name="Normal 14" xfId="550"/>
    <cellStyle name="Normal 15" xfId="551"/>
    <cellStyle name="Normal 15 2" xfId="552"/>
    <cellStyle name="Normal 16" xfId="553"/>
    <cellStyle name="Normal 16 2" xfId="554"/>
    <cellStyle name="Normal 17" xfId="555"/>
    <cellStyle name="Normal 17 2" xfId="556"/>
    <cellStyle name="Normal 18" xfId="557"/>
    <cellStyle name="Normal 19" xfId="558"/>
    <cellStyle name="Normal 2" xfId="559"/>
    <cellStyle name="Normal 2 2" xfId="560"/>
    <cellStyle name="Normal 2 2 2" xfId="561"/>
    <cellStyle name="Normal 2 2 2 2" xfId="562"/>
    <cellStyle name="Normal 2 2 3" xfId="563"/>
    <cellStyle name="Normal 2 2 4" xfId="564"/>
    <cellStyle name="Normal 2 2 5" xfId="565"/>
    <cellStyle name="Normal 2 3" xfId="566"/>
    <cellStyle name="Normal 2 3 2" xfId="567"/>
    <cellStyle name="Normal 2 3 3" xfId="568"/>
    <cellStyle name="Normal 2 4" xfId="569"/>
    <cellStyle name="Normal 2 4 2" xfId="570"/>
    <cellStyle name="Normal 2 5" xfId="571"/>
    <cellStyle name="Normal 2 6" xfId="572"/>
    <cellStyle name="Normal 20" xfId="41"/>
    <cellStyle name="Normal 3" xfId="573"/>
    <cellStyle name="Normal 3 2" xfId="574"/>
    <cellStyle name="Normal 3 3" xfId="575"/>
    <cellStyle name="Normal 3 4" xfId="576"/>
    <cellStyle name="Normal 3 4 2" xfId="577"/>
    <cellStyle name="Normal 3 5" xfId="578"/>
    <cellStyle name="Normal 3 6" xfId="579"/>
    <cellStyle name="Normal 4" xfId="580"/>
    <cellStyle name="Normal 4 2" xfId="581"/>
    <cellStyle name="Normal 4 3" xfId="582"/>
    <cellStyle name="Normal 4 3 2" xfId="583"/>
    <cellStyle name="Normal 4 4" xfId="584"/>
    <cellStyle name="Normal 5" xfId="585"/>
    <cellStyle name="Normal 5 2" xfId="586"/>
    <cellStyle name="Normal 5 3" xfId="587"/>
    <cellStyle name="Normal 5 3 2" xfId="588"/>
    <cellStyle name="Normal 6" xfId="589"/>
    <cellStyle name="Normal 6 2" xfId="590"/>
    <cellStyle name="Normal 6 3" xfId="591"/>
    <cellStyle name="Normal 6 3 2" xfId="592"/>
    <cellStyle name="Normal 7" xfId="593"/>
    <cellStyle name="Normal 8" xfId="594"/>
    <cellStyle name="Normal 9" xfId="595"/>
    <cellStyle name="Normal 9 2" xfId="596"/>
    <cellStyle name="Note 10" xfId="597"/>
    <cellStyle name="Note 10 2" xfId="598"/>
    <cellStyle name="Note 11" xfId="599"/>
    <cellStyle name="Note 2" xfId="600"/>
    <cellStyle name="Note 2 2" xfId="601"/>
    <cellStyle name="Note 2 2 2" xfId="602"/>
    <cellStyle name="Note 2 3" xfId="603"/>
    <cellStyle name="Note 2 3 2" xfId="604"/>
    <cellStyle name="Note 2 3 2 2" xfId="605"/>
    <cellStyle name="Note 2 3 3" xfId="606"/>
    <cellStyle name="Note 2 3 4" xfId="607"/>
    <cellStyle name="Note 2 4" xfId="608"/>
    <cellStyle name="Note 2 4 2" xfId="609"/>
    <cellStyle name="Note 2 5" xfId="610"/>
    <cellStyle name="Note 2 5 2" xfId="611"/>
    <cellStyle name="Note 2 6" xfId="612"/>
    <cellStyle name="Note 2 7" xfId="613"/>
    <cellStyle name="Note 2 8" xfId="614"/>
    <cellStyle name="Note 3" xfId="615"/>
    <cellStyle name="Note 3 2" xfId="616"/>
    <cellStyle name="Note 3 3" xfId="617"/>
    <cellStyle name="Note 3 3 2" xfId="618"/>
    <cellStyle name="Note 4" xfId="619"/>
    <cellStyle name="Note 4 2" xfId="620"/>
    <cellStyle name="Note 4 3" xfId="621"/>
    <cellStyle name="Note 4 3 2" xfId="622"/>
    <cellStyle name="Note 5" xfId="623"/>
    <cellStyle name="Note 5 2" xfId="624"/>
    <cellStyle name="Note 5 3" xfId="625"/>
    <cellStyle name="Note 5 3 2" xfId="626"/>
    <cellStyle name="Note 6" xfId="627"/>
    <cellStyle name="Note 6 2" xfId="628"/>
    <cellStyle name="Note 6 3" xfId="629"/>
    <cellStyle name="Note 6 3 2" xfId="630"/>
    <cellStyle name="Note 7" xfId="631"/>
    <cellStyle name="Note 8" xfId="632"/>
    <cellStyle name="Note 9" xfId="633"/>
    <cellStyle name="Output" xfId="10" builtinId="21" customBuiltin="1"/>
    <cellStyle name="Output 10" xfId="634"/>
    <cellStyle name="Output 11" xfId="635"/>
    <cellStyle name="Output 2" xfId="636"/>
    <cellStyle name="Output 2 2" xfId="637"/>
    <cellStyle name="Output 2 2 2" xfId="638"/>
    <cellStyle name="Output 3" xfId="639"/>
    <cellStyle name="Output 4" xfId="640"/>
    <cellStyle name="Output 5" xfId="641"/>
    <cellStyle name="Output 6" xfId="642"/>
    <cellStyle name="Output 7" xfId="643"/>
    <cellStyle name="Output 8" xfId="644"/>
    <cellStyle name="Output 9" xfId="645"/>
    <cellStyle name="Percent 2" xfId="646"/>
    <cellStyle name="Percent 2 2" xfId="647"/>
    <cellStyle name="Percent 2 3" xfId="648"/>
    <cellStyle name="Percent 3" xfId="649"/>
    <cellStyle name="Percent 3 2" xfId="650"/>
    <cellStyle name="Percent 3 3" xfId="651"/>
    <cellStyle name="Percent 4" xfId="652"/>
    <cellStyle name="Percent 5" xfId="653"/>
    <cellStyle name="Standard_BONDFIND_swap_Spread" xfId="654"/>
    <cellStyle name="Style 1" xfId="655"/>
    <cellStyle name="Style 1 2" xfId="656"/>
    <cellStyle name="Title" xfId="1" builtinId="15" customBuiltin="1"/>
    <cellStyle name="Title 10" xfId="657"/>
    <cellStyle name="Title 10 2" xfId="658"/>
    <cellStyle name="Title 11" xfId="659"/>
    <cellStyle name="Title 2" xfId="660"/>
    <cellStyle name="Title 2 2" xfId="661"/>
    <cellStyle name="Title 3" xfId="662"/>
    <cellStyle name="Title 3 2" xfId="663"/>
    <cellStyle name="Title 4" xfId="664"/>
    <cellStyle name="Title 4 2" xfId="665"/>
    <cellStyle name="Title 5" xfId="666"/>
    <cellStyle name="Title 5 2" xfId="667"/>
    <cellStyle name="Title 6" xfId="668"/>
    <cellStyle name="Title 6 2" xfId="669"/>
    <cellStyle name="Title 7" xfId="670"/>
    <cellStyle name="Title 7 2" xfId="671"/>
    <cellStyle name="Title 8" xfId="672"/>
    <cellStyle name="Title 8 2" xfId="673"/>
    <cellStyle name="Title 9" xfId="674"/>
    <cellStyle name="Title 9 2" xfId="675"/>
    <cellStyle name="Total" xfId="16" builtinId="25" customBuiltin="1"/>
    <cellStyle name="Total 10" xfId="676"/>
    <cellStyle name="Total 11" xfId="677"/>
    <cellStyle name="Total 2" xfId="678"/>
    <cellStyle name="Total 2 2" xfId="679"/>
    <cellStyle name="Total 2 2 2" xfId="680"/>
    <cellStyle name="Total 3" xfId="681"/>
    <cellStyle name="Total 4" xfId="682"/>
    <cellStyle name="Total 5" xfId="683"/>
    <cellStyle name="Total 6" xfId="684"/>
    <cellStyle name="Total 7" xfId="685"/>
    <cellStyle name="Total 8" xfId="686"/>
    <cellStyle name="Total 9" xfId="687"/>
    <cellStyle name="Warning Text" xfId="14" builtinId="11" customBuiltin="1"/>
    <cellStyle name="Warning Text 10" xfId="688"/>
    <cellStyle name="Warning Text 11" xfId="689"/>
    <cellStyle name="Warning Text 2" xfId="690"/>
    <cellStyle name="Warning Text 2 2" xfId="691"/>
    <cellStyle name="Warning Text 2 2 2" xfId="692"/>
    <cellStyle name="Warning Text 3" xfId="693"/>
    <cellStyle name="Warning Text 4" xfId="694"/>
    <cellStyle name="Warning Text 5" xfId="695"/>
    <cellStyle name="Warning Text 6" xfId="696"/>
    <cellStyle name="Warning Text 7" xfId="697"/>
    <cellStyle name="Warning Text 8" xfId="698"/>
    <cellStyle name="Warning Text 9" xfId="69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399431541190146E-2"/>
          <c:y val="2.4852446949666346E-2"/>
          <c:w val="0.89923820750557348"/>
          <c:h val="0.94537505690017531"/>
        </c:manualLayout>
      </c:layout>
      <c:scatterChart>
        <c:scatterStyle val="lineMarker"/>
        <c:varyColors val="0"/>
        <c:ser>
          <c:idx val="0"/>
          <c:order val="0"/>
          <c:tx>
            <c:v>Bond Yields</c:v>
          </c:tx>
          <c:spPr>
            <a:ln w="28575">
              <a:noFill/>
            </a:ln>
          </c:spPr>
          <c:xVal>
            <c:numRef>
              <c:f>Sheet1!$B$5:$B$29</c:f>
              <c:numCache>
                <c:formatCode>0.000</c:formatCode>
                <c:ptCount val="25"/>
                <c:pt idx="0">
                  <c:v>1.0568104038329911</c:v>
                </c:pt>
                <c:pt idx="1">
                  <c:v>1.5605749486652978</c:v>
                </c:pt>
                <c:pt idx="2">
                  <c:v>2.0588637919233403</c:v>
                </c:pt>
                <c:pt idx="3">
                  <c:v>2.2286105407255303</c:v>
                </c:pt>
                <c:pt idx="4">
                  <c:v>2.5626283367556466</c:v>
                </c:pt>
                <c:pt idx="5">
                  <c:v>3.0581793292265571</c:v>
                </c:pt>
                <c:pt idx="6">
                  <c:v>3.2279260780287475</c:v>
                </c:pt>
                <c:pt idx="7">
                  <c:v>3.5619438740588638</c:v>
                </c:pt>
                <c:pt idx="8">
                  <c:v>4.0574948665297743</c:v>
                </c:pt>
                <c:pt idx="9">
                  <c:v>4.2272416153319643</c:v>
                </c:pt>
                <c:pt idx="10">
                  <c:v>4.6762491444216288</c:v>
                </c:pt>
                <c:pt idx="11">
                  <c:v>4.9199178644763863</c:v>
                </c:pt>
                <c:pt idx="12">
                  <c:v>5.1718001368925393</c:v>
                </c:pt>
                <c:pt idx="13">
                  <c:v>5.5605749486652973</c:v>
                </c:pt>
                <c:pt idx="14">
                  <c:v>9.0568104038329906</c:v>
                </c:pt>
                <c:pt idx="15">
                  <c:v>9.5605749486652982</c:v>
                </c:pt>
                <c:pt idx="16">
                  <c:v>10.05886379192334</c:v>
                </c:pt>
                <c:pt idx="17">
                  <c:v>11.561943874058864</c:v>
                </c:pt>
                <c:pt idx="18">
                  <c:v>12.56125941136208</c:v>
                </c:pt>
                <c:pt idx="19">
                  <c:v>16.057494866529773</c:v>
                </c:pt>
                <c:pt idx="20">
                  <c:v>18.562628336755647</c:v>
                </c:pt>
                <c:pt idx="21">
                  <c:v>21.056810403832991</c:v>
                </c:pt>
                <c:pt idx="22">
                  <c:v>22.05886379192334</c:v>
                </c:pt>
                <c:pt idx="23">
                  <c:v>24.057494866529773</c:v>
                </c:pt>
                <c:pt idx="24">
                  <c:v>26.05886379192334</c:v>
                </c:pt>
              </c:numCache>
            </c:numRef>
          </c:xVal>
          <c:yVal>
            <c:numRef>
              <c:f>Sheet1!$C$5:$C$29</c:f>
              <c:numCache>
                <c:formatCode>0.000</c:formatCode>
                <c:ptCount val="25"/>
                <c:pt idx="0">
                  <c:v>-0.68694176153622488</c:v>
                </c:pt>
                <c:pt idx="1">
                  <c:v>-0.68248389573503465</c:v>
                </c:pt>
                <c:pt idx="2">
                  <c:v>-0.61727698274259213</c:v>
                </c:pt>
                <c:pt idx="3">
                  <c:v>-0.61559548357949911</c:v>
                </c:pt>
                <c:pt idx="4">
                  <c:v>-0.57931595258874558</c:v>
                </c:pt>
                <c:pt idx="5">
                  <c:v>-0.50436204809541407</c:v>
                </c:pt>
                <c:pt idx="6">
                  <c:v>-0.46380270213696878</c:v>
                </c:pt>
                <c:pt idx="7">
                  <c:v>-0.41225052833174608</c:v>
                </c:pt>
                <c:pt idx="8">
                  <c:v>-0.34676753958007855</c:v>
                </c:pt>
                <c:pt idx="9">
                  <c:v>-0.30879166930644636</c:v>
                </c:pt>
                <c:pt idx="10">
                  <c:v>-0.23259445749872834</c:v>
                </c:pt>
                <c:pt idx="11">
                  <c:v>-0.18676563991165873</c:v>
                </c:pt>
                <c:pt idx="12">
                  <c:v>-0.14296716972866375</c:v>
                </c:pt>
                <c:pt idx="13">
                  <c:v>-7.2671502452399075E-2</c:v>
                </c:pt>
                <c:pt idx="14">
                  <c:v>0.33447734408046792</c:v>
                </c:pt>
                <c:pt idx="15">
                  <c:v>0.39460076206491507</c:v>
                </c:pt>
                <c:pt idx="16">
                  <c:v>0.44422798055702439</c:v>
                </c:pt>
                <c:pt idx="17">
                  <c:v>0.53025299335040099</c:v>
                </c:pt>
                <c:pt idx="18">
                  <c:v>0.60950086622838429</c:v>
                </c:pt>
                <c:pt idx="19">
                  <c:v>0.78918569131387728</c:v>
                </c:pt>
                <c:pt idx="20">
                  <c:v>0.87734566737821373</c:v>
                </c:pt>
                <c:pt idx="21">
                  <c:v>0.93888508776104629</c:v>
                </c:pt>
                <c:pt idx="22">
                  <c:v>0.94946805803658918</c:v>
                </c:pt>
                <c:pt idx="23">
                  <c:v>1.0079748016201266</c:v>
                </c:pt>
                <c:pt idx="24">
                  <c:v>1.0672721634347586</c:v>
                </c:pt>
              </c:numCache>
            </c:numRef>
          </c:yVal>
          <c:smooth val="0"/>
        </c:ser>
        <c:ser>
          <c:idx val="2"/>
          <c:order val="1"/>
          <c:tx>
            <c:v>Polynomial</c:v>
          </c:tx>
          <c:spPr>
            <a:ln w="28575">
              <a:solidFill>
                <a:schemeClr val="accent3"/>
              </a:solidFill>
            </a:ln>
          </c:spPr>
          <c:xVal>
            <c:numRef>
              <c:f>Sheet1!$U$5:$U$32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Sheet1!$V$5:$V$32</c:f>
              <c:numCache>
                <c:formatCode>General</c:formatCode>
                <c:ptCount val="28"/>
                <c:pt idx="0">
                  <c:v>-0.68697402953134468</c:v>
                </c:pt>
                <c:pt idx="1">
                  <c:v>-0.63924455222538068</c:v>
                </c:pt>
                <c:pt idx="2">
                  <c:v>-0.50872460167248779</c:v>
                </c:pt>
                <c:pt idx="3">
                  <c:v>-0.34365445280742468</c:v>
                </c:pt>
                <c:pt idx="4">
                  <c:v>-0.17389897990862102</c:v>
                </c:pt>
                <c:pt idx="5">
                  <c:v>-1.5958189415966051E-2</c:v>
                </c:pt>
                <c:pt idx="6">
                  <c:v>0.12292044106742528</c:v>
                </c:pt>
                <c:pt idx="7">
                  <c:v>0.24144744730232326</c:v>
                </c:pt>
                <c:pt idx="8">
                  <c:v>0.3417343161822477</c:v>
                </c:pt>
                <c:pt idx="9">
                  <c:v>0.42739350645694063</c:v>
                </c:pt>
                <c:pt idx="10">
                  <c:v>0.50221518212334126</c:v>
                </c:pt>
                <c:pt idx="11">
                  <c:v>0.56934028819688709</c:v>
                </c:pt>
                <c:pt idx="12">
                  <c:v>0.63084959857605105</c:v>
                </c:pt>
                <c:pt idx="13">
                  <c:v>0.68768836571296099</c:v>
                </c:pt>
                <c:pt idx="14">
                  <c:v>0.73984620180293936</c:v>
                </c:pt>
                <c:pt idx="15">
                  <c:v>0.78671182120594196</c:v>
                </c:pt>
                <c:pt idx="16">
                  <c:v>0.82752227381257348</c:v>
                </c:pt>
                <c:pt idx="17">
                  <c:v>0.86182629906771446</c:v>
                </c:pt>
                <c:pt idx="18">
                  <c:v>0.88988143036461465</c:v>
                </c:pt>
                <c:pt idx="19">
                  <c:v>0.9129044795221769</c:v>
                </c:pt>
                <c:pt idx="20">
                  <c:v>0.93309503105846681</c:v>
                </c:pt>
                <c:pt idx="21">
                  <c:v>0.95335157597307163</c:v>
                </c:pt>
                <c:pt idx="22">
                  <c:v>0.97659991475180974</c:v>
                </c:pt>
                <c:pt idx="23">
                  <c:v>1.0046534593055201</c:v>
                </c:pt>
                <c:pt idx="24">
                  <c:v>1.0365250635569496</c:v>
                </c:pt>
                <c:pt idx="25">
                  <c:v>1.0661100123882901</c:v>
                </c:pt>
                <c:pt idx="26">
                  <c:v>1.0791597986610326</c:v>
                </c:pt>
                <c:pt idx="27">
                  <c:v>1.0494663180239878</c:v>
                </c:pt>
              </c:numCache>
            </c:numRef>
          </c:yVal>
          <c:smooth val="0"/>
        </c:ser>
        <c:ser>
          <c:idx val="1"/>
          <c:order val="2"/>
          <c:tx>
            <c:v>Nelson-Siegel</c:v>
          </c:tx>
          <c:spPr>
            <a:ln w="28575">
              <a:solidFill>
                <a:schemeClr val="accent2"/>
              </a:solidFill>
            </a:ln>
          </c:spPr>
          <c:xVal>
            <c:numRef>
              <c:f>Sheet1!$N$5:$N$32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Sheet1!$O$5:$O$32</c:f>
              <c:numCache>
                <c:formatCode>General</c:formatCode>
                <c:ptCount val="28"/>
                <c:pt idx="0">
                  <c:v>-0.69583544614578641</c:v>
                </c:pt>
                <c:pt idx="1">
                  <c:v>-0.63524660120895737</c:v>
                </c:pt>
                <c:pt idx="2">
                  <c:v>-0.50284052360229758</c:v>
                </c:pt>
                <c:pt idx="3">
                  <c:v>-0.34389064301783023</c:v>
                </c:pt>
                <c:pt idx="4">
                  <c:v>-0.18237759632144812</c:v>
                </c:pt>
                <c:pt idx="5">
                  <c:v>-3.0112795793349911E-2</c:v>
                </c:pt>
                <c:pt idx="6">
                  <c:v>0.10788400278126908</c:v>
                </c:pt>
                <c:pt idx="7">
                  <c:v>0.23025050758575061</c:v>
                </c:pt>
                <c:pt idx="8">
                  <c:v>0.33748270892233545</c:v>
                </c:pt>
                <c:pt idx="9">
                  <c:v>0.43092375656272208</c:v>
                </c:pt>
                <c:pt idx="10">
                  <c:v>0.51221316324396293</c:v>
                </c:pt>
                <c:pt idx="11">
                  <c:v>0.58300114671939407</c:v>
                </c:pt>
                <c:pt idx="12">
                  <c:v>0.64481275452694731</c:v>
                </c:pt>
                <c:pt idx="13">
                  <c:v>0.69899427121229962</c:v>
                </c:pt>
                <c:pt idx="14">
                  <c:v>0.74670292715815001</c:v>
                </c:pt>
                <c:pt idx="15">
                  <c:v>0.78891779899429726</c:v>
                </c:pt>
                <c:pt idx="16">
                  <c:v>0.82645967725791358</c:v>
                </c:pt>
                <c:pt idx="17">
                  <c:v>0.86001339780261832</c:v>
                </c:pt>
                <c:pt idx="18">
                  <c:v>0.89014938868050641</c:v>
                </c:pt>
                <c:pt idx="19">
                  <c:v>0.91734299307218969</c:v>
                </c:pt>
                <c:pt idx="20">
                  <c:v>0.9419910992695717</c:v>
                </c:pt>
                <c:pt idx="21">
                  <c:v>0.9644261008498598</c:v>
                </c:pt>
                <c:pt idx="22">
                  <c:v>0.98492743546554207</c:v>
                </c:pt>
                <c:pt idx="23">
                  <c:v>1.0037310318512558</c:v>
                </c:pt>
                <c:pt idx="24">
                  <c:v>1.0210370018787629</c:v>
                </c:pt>
                <c:pt idx="25">
                  <c:v>1.0370158870484616</c:v>
                </c:pt>
                <c:pt idx="26">
                  <c:v>1.0518137280119297</c:v>
                </c:pt>
                <c:pt idx="27">
                  <c:v>1.0655561826174358</c:v>
                </c:pt>
              </c:numCache>
            </c:numRef>
          </c:yVal>
          <c:smooth val="0"/>
        </c:ser>
        <c:ser>
          <c:idx val="3"/>
          <c:order val="3"/>
          <c:tx>
            <c:v>Svensson</c:v>
          </c:tx>
          <c:spPr>
            <a:ln w="28575">
              <a:noFill/>
            </a:ln>
          </c:spPr>
          <c:xVal>
            <c:numRef>
              <c:f>Sheet1!$R$5:$R$32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Sheet1!$S$5:$S$32</c:f>
              <c:numCache>
                <c:formatCode>General</c:formatCode>
                <c:ptCount val="28"/>
                <c:pt idx="0">
                  <c:v>-0.68541041792384116</c:v>
                </c:pt>
                <c:pt idx="1">
                  <c:v>-0.64055221728678369</c:v>
                </c:pt>
                <c:pt idx="2">
                  <c:v>-0.50677978032280557</c:v>
                </c:pt>
                <c:pt idx="3">
                  <c:v>-0.34223267844151595</c:v>
                </c:pt>
                <c:pt idx="4">
                  <c:v>-0.17608140695552149</c:v>
                </c:pt>
                <c:pt idx="5">
                  <c:v>-2.1677987938095E-2</c:v>
                </c:pt>
                <c:pt idx="6">
                  <c:v>0.11600545179825777</c:v>
                </c:pt>
                <c:pt idx="7">
                  <c:v>0.23622888201743597</c:v>
                </c:pt>
                <c:pt idx="8">
                  <c:v>0.34021727496115084</c:v>
                </c:pt>
                <c:pt idx="9">
                  <c:v>0.42995711613447274</c:v>
                </c:pt>
                <c:pt idx="10">
                  <c:v>0.50758599584420794</c:v>
                </c:pt>
                <c:pt idx="11">
                  <c:v>0.57510649606613051</c:v>
                </c:pt>
                <c:pt idx="12">
                  <c:v>0.63427242759946623</c:v>
                </c:pt>
                <c:pt idx="13">
                  <c:v>0.68656271664269308</c:v>
                </c:pt>
                <c:pt idx="14">
                  <c:v>0.73319663015961067</c:v>
                </c:pt>
                <c:pt idx="15">
                  <c:v>0.77516571835370163</c:v>
                </c:pt>
                <c:pt idx="16">
                  <c:v>0.81326993587193019</c:v>
                </c:pt>
                <c:pt idx="17">
                  <c:v>0.8481520066640359</c:v>
                </c:pt>
                <c:pt idx="18">
                  <c:v>0.8803276071666456</c:v>
                </c:pt>
                <c:pt idx="19">
                  <c:v>0.91021073018970466</c:v>
                </c:pt>
                <c:pt idx="20">
                  <c:v>0.93813443935491581</c:v>
                </c:pt>
                <c:pt idx="21">
                  <c:v>0.96436757209618018</c:v>
                </c:pt>
                <c:pt idx="22">
                  <c:v>0.98912804325907255</c:v>
                </c:pt>
                <c:pt idx="23">
                  <c:v>1.0125933749351026</c:v>
                </c:pt>
                <c:pt idx="24">
                  <c:v>1.0349090022412537</c:v>
                </c:pt>
                <c:pt idx="25">
                  <c:v>1.0561948153342984</c:v>
                </c:pt>
                <c:pt idx="26">
                  <c:v>1.0765503120711817</c:v>
                </c:pt>
                <c:pt idx="27">
                  <c:v>1.0960586603784734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568832"/>
        <c:axId val="531944960"/>
      </c:scatterChart>
      <c:valAx>
        <c:axId val="526568832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crossAx val="531944960"/>
        <c:crosses val="autoZero"/>
        <c:crossBetween val="midCat"/>
      </c:valAx>
      <c:valAx>
        <c:axId val="53194496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5265688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1382598527471981"/>
          <c:y val="0.67189567171262266"/>
          <c:w val="0.19001502842120227"/>
          <c:h val="0.27311386814655547"/>
        </c:manualLayout>
      </c:layout>
      <c:overlay val="0"/>
      <c:txPr>
        <a:bodyPr/>
        <a:lstStyle/>
        <a:p>
          <a:pPr>
            <a:defRPr sz="18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485775</xdr:colOff>
      <xdr:row>6</xdr:row>
      <xdr:rowOff>38100</xdr:rowOff>
    </xdr:from>
    <xdr:to>
      <xdr:col>25</xdr:col>
      <xdr:colOff>581024</xdr:colOff>
      <xdr:row>33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60"/>
  <sheetViews>
    <sheetView tabSelected="1" workbookViewId="0"/>
  </sheetViews>
  <sheetFormatPr defaultRowHeight="15"/>
  <cols>
    <col min="3" max="3" width="10.42578125" bestFit="1" customWidth="1"/>
    <col min="5" max="5" width="17.42578125" customWidth="1"/>
    <col min="6" max="6" width="17.7109375" customWidth="1"/>
    <col min="7" max="7" width="12.7109375" bestFit="1" customWidth="1"/>
  </cols>
  <sheetData>
    <row r="2" spans="2:22">
      <c r="B2" s="1" t="s">
        <v>15</v>
      </c>
      <c r="E2" s="4" t="s">
        <v>16</v>
      </c>
      <c r="F2" s="5" t="s">
        <v>17</v>
      </c>
      <c r="G2" s="6"/>
      <c r="H2" s="6"/>
      <c r="I2" s="6"/>
      <c r="J2" s="7" t="s">
        <v>24</v>
      </c>
      <c r="K2" s="6"/>
      <c r="L2" s="8"/>
      <c r="N2" t="s">
        <v>33</v>
      </c>
      <c r="O2" s="61" t="b">
        <v>1</v>
      </c>
      <c r="R2" t="s">
        <v>33</v>
      </c>
      <c r="S2" s="61" t="b">
        <v>1</v>
      </c>
      <c r="U2" t="s">
        <v>33</v>
      </c>
      <c r="V2" s="61" t="b">
        <v>1</v>
      </c>
    </row>
    <row r="3" spans="2:22">
      <c r="B3" s="53" t="s">
        <v>0</v>
      </c>
      <c r="C3" s="54" t="s">
        <v>1</v>
      </c>
      <c r="E3" s="9" t="s">
        <v>3</v>
      </c>
      <c r="F3" s="10"/>
      <c r="G3" s="10"/>
      <c r="H3" s="10"/>
      <c r="I3" s="10"/>
      <c r="J3" s="11" t="s">
        <v>13</v>
      </c>
      <c r="K3" s="11" t="s">
        <v>14</v>
      </c>
      <c r="L3" s="12"/>
      <c r="N3" s="2" t="s">
        <v>22</v>
      </c>
      <c r="R3" s="2" t="s">
        <v>23</v>
      </c>
      <c r="U3" s="2" t="s">
        <v>28</v>
      </c>
    </row>
    <row r="4" spans="2:22">
      <c r="B4" s="3" t="s">
        <v>2</v>
      </c>
      <c r="C4" s="55"/>
      <c r="E4" s="13" t="s">
        <v>4</v>
      </c>
      <c r="F4" s="14">
        <v>0</v>
      </c>
      <c r="G4" s="10" t="s">
        <v>8</v>
      </c>
      <c r="H4" s="10"/>
      <c r="I4" s="10"/>
      <c r="J4" s="10">
        <v>-50</v>
      </c>
      <c r="K4" s="10">
        <v>50</v>
      </c>
      <c r="L4" s="12" t="s">
        <v>4</v>
      </c>
    </row>
    <row r="5" spans="2:22">
      <c r="B5" s="56">
        <v>1.0568104038329911</v>
      </c>
      <c r="C5" s="57">
        <v>-0.68694176153622488</v>
      </c>
      <c r="D5" s="37"/>
      <c r="E5" s="13" t="s">
        <v>5</v>
      </c>
      <c r="F5" s="14">
        <v>0</v>
      </c>
      <c r="G5" s="10" t="s">
        <v>9</v>
      </c>
      <c r="H5" s="10"/>
      <c r="I5" s="10"/>
      <c r="J5" s="10">
        <v>-50</v>
      </c>
      <c r="K5" s="10">
        <v>50</v>
      </c>
      <c r="L5" s="12" t="s">
        <v>5</v>
      </c>
      <c r="N5">
        <v>1</v>
      </c>
      <c r="O5">
        <f t="array" ref="O5:O32">IF($O$2,_xll.meBondCurveNelsonSiegelYield(F12,F13,F14,F15,N5:N32),NA())</f>
        <v>-0.69583544614578641</v>
      </c>
      <c r="R5">
        <v>1</v>
      </c>
      <c r="S5">
        <f t="array" ref="S5:S32">IF($S$2,_xll.meBondCurveSvenssonYield(F30,F31,F32,F33,F34,F35,R5:R32),NA())</f>
        <v>-0.68541041792384116</v>
      </c>
      <c r="U5">
        <v>1</v>
      </c>
      <c r="V5">
        <f t="array" aca="1" ref="V5:V32" ca="1">IF($V$2,_xll.meBondCurvePolynomialYield(F49:F60,U5:U32),NA())</f>
        <v>-0.68697402953134468</v>
      </c>
    </row>
    <row r="6" spans="2:22">
      <c r="B6" s="36">
        <v>1.5605749486652978</v>
      </c>
      <c r="C6" s="58">
        <v>-0.68248389573503465</v>
      </c>
      <c r="D6" s="37"/>
      <c r="E6" s="13" t="s">
        <v>6</v>
      </c>
      <c r="F6" s="14">
        <v>0</v>
      </c>
      <c r="G6" s="10" t="s">
        <v>10</v>
      </c>
      <c r="H6" s="10"/>
      <c r="I6" s="10"/>
      <c r="J6" s="10">
        <v>-50</v>
      </c>
      <c r="K6" s="10">
        <v>50</v>
      </c>
      <c r="L6" s="12" t="s">
        <v>6</v>
      </c>
      <c r="N6">
        <v>2</v>
      </c>
      <c r="O6">
        <v>-0.63524660120895737</v>
      </c>
      <c r="R6">
        <v>2</v>
      </c>
      <c r="S6">
        <v>-0.64055221728678369</v>
      </c>
      <c r="U6">
        <v>2</v>
      </c>
      <c r="V6">
        <f ca="1"/>
        <v>-0.63924455222538068</v>
      </c>
    </row>
    <row r="7" spans="2:22">
      <c r="B7" s="36">
        <v>2.0588637919233403</v>
      </c>
      <c r="C7" s="58">
        <v>-0.61727698274259213</v>
      </c>
      <c r="D7" s="37"/>
      <c r="E7" s="15" t="s">
        <v>7</v>
      </c>
      <c r="F7" s="16">
        <v>1</v>
      </c>
      <c r="G7" s="17" t="s">
        <v>11</v>
      </c>
      <c r="H7" s="17"/>
      <c r="I7" s="17"/>
      <c r="J7" s="17">
        <v>0</v>
      </c>
      <c r="K7" s="17">
        <v>50</v>
      </c>
      <c r="L7" s="18" t="s">
        <v>7</v>
      </c>
      <c r="N7">
        <v>3</v>
      </c>
      <c r="O7">
        <v>-0.50284052360229758</v>
      </c>
      <c r="R7">
        <v>3</v>
      </c>
      <c r="S7">
        <v>-0.50677978032280557</v>
      </c>
      <c r="U7">
        <v>3</v>
      </c>
      <c r="V7">
        <f ca="1"/>
        <v>-0.50872460167248779</v>
      </c>
    </row>
    <row r="8" spans="2:22">
      <c r="B8" s="36">
        <v>2.2286105407255303</v>
      </c>
      <c r="C8" s="58">
        <v>-0.61559548357949911</v>
      </c>
      <c r="D8" s="37"/>
      <c r="N8">
        <v>4</v>
      </c>
      <c r="O8">
        <v>-0.34389064301783023</v>
      </c>
      <c r="R8">
        <v>4</v>
      </c>
      <c r="S8">
        <v>-0.34223267844151595</v>
      </c>
      <c r="U8">
        <v>4</v>
      </c>
      <c r="V8">
        <f ca="1"/>
        <v>-0.34365445280742468</v>
      </c>
    </row>
    <row r="9" spans="2:22">
      <c r="B9" s="36">
        <v>2.5626283367556466</v>
      </c>
      <c r="C9" s="58">
        <v>-0.57931595258874558</v>
      </c>
      <c r="D9" s="37"/>
      <c r="E9" s="19" t="s">
        <v>12</v>
      </c>
      <c r="F9" s="20"/>
      <c r="N9">
        <v>5</v>
      </c>
      <c r="O9">
        <v>-0.18237759632144812</v>
      </c>
      <c r="R9">
        <v>5</v>
      </c>
      <c r="S9">
        <v>-0.17608140695552149</v>
      </c>
      <c r="U9">
        <v>5</v>
      </c>
      <c r="V9">
        <f ca="1"/>
        <v>-0.17389897990862102</v>
      </c>
    </row>
    <row r="10" spans="2:22">
      <c r="B10" s="36">
        <v>3.0581793292265571</v>
      </c>
      <c r="C10" s="58">
        <v>-0.50436204809541407</v>
      </c>
      <c r="D10" s="37"/>
      <c r="E10" s="13" t="str">
        <f t="array" ref="E10:F15">_xll.meBondCurveNelsonSiegelCalibrate(B5:B29,C5:C29)</f>
        <v>leastSquaresError</v>
      </c>
      <c r="F10" s="12">
        <v>3.4370480685702864E-3</v>
      </c>
      <c r="N10">
        <v>6</v>
      </c>
      <c r="O10">
        <v>-3.0112795793349911E-2</v>
      </c>
      <c r="R10">
        <v>6</v>
      </c>
      <c r="S10">
        <v>-2.1677987938095E-2</v>
      </c>
      <c r="U10">
        <v>6</v>
      </c>
      <c r="V10">
        <f ca="1"/>
        <v>-1.5958189415966051E-2</v>
      </c>
    </row>
    <row r="11" spans="2:22">
      <c r="B11" s="36">
        <v>3.2279260780287475</v>
      </c>
      <c r="C11" s="58">
        <v>-0.46380270213696878</v>
      </c>
      <c r="D11" s="37"/>
      <c r="E11" s="13" t="str">
        <v>iterations</v>
      </c>
      <c r="F11" s="12">
        <v>46</v>
      </c>
      <c r="N11">
        <v>7</v>
      </c>
      <c r="O11">
        <v>0.10788400278126908</v>
      </c>
      <c r="R11">
        <v>7</v>
      </c>
      <c r="S11">
        <v>0.11600545179825777</v>
      </c>
      <c r="U11">
        <v>7</v>
      </c>
      <c r="V11">
        <f ca="1"/>
        <v>0.12292044106742528</v>
      </c>
    </row>
    <row r="12" spans="2:22">
      <c r="B12" s="36">
        <v>3.5619438740588638</v>
      </c>
      <c r="C12" s="58">
        <v>-0.41225052833174608</v>
      </c>
      <c r="D12" s="37"/>
      <c r="E12" s="13" t="str">
        <v>beta0</v>
      </c>
      <c r="F12" s="12">
        <v>1.4366830857649528</v>
      </c>
      <c r="N12">
        <v>8</v>
      </c>
      <c r="O12">
        <v>0.23025050758575061</v>
      </c>
      <c r="R12">
        <v>8</v>
      </c>
      <c r="S12">
        <v>0.23622888201743597</v>
      </c>
      <c r="U12">
        <v>8</v>
      </c>
      <c r="V12">
        <f ca="1"/>
        <v>0.24144744730232326</v>
      </c>
    </row>
    <row r="13" spans="2:22">
      <c r="B13" s="36">
        <v>4.0574948665297743</v>
      </c>
      <c r="C13" s="58">
        <v>-0.34676753958007855</v>
      </c>
      <c r="D13" s="37"/>
      <c r="E13" s="13" t="str">
        <v>beta1</v>
      </c>
      <c r="F13" s="12">
        <v>-2.0393767925264861</v>
      </c>
      <c r="N13">
        <v>9</v>
      </c>
      <c r="O13">
        <v>0.33748270892233545</v>
      </c>
      <c r="R13">
        <v>9</v>
      </c>
      <c r="S13">
        <v>0.34021727496115084</v>
      </c>
      <c r="U13">
        <v>9</v>
      </c>
      <c r="V13">
        <f ca="1"/>
        <v>0.3417343161822477</v>
      </c>
    </row>
    <row r="14" spans="2:22">
      <c r="B14" s="36">
        <v>4.2272416153319643</v>
      </c>
      <c r="C14" s="58">
        <v>-0.30879166930644636</v>
      </c>
      <c r="D14" s="37"/>
      <c r="E14" s="13" t="str">
        <v>beta2</v>
      </c>
      <c r="F14" s="12">
        <v>-2.9234959899833681</v>
      </c>
      <c r="N14">
        <v>10</v>
      </c>
      <c r="O14">
        <v>0.43092375656272208</v>
      </c>
      <c r="R14">
        <v>10</v>
      </c>
      <c r="S14">
        <v>0.42995711613447274</v>
      </c>
      <c r="U14">
        <v>10</v>
      </c>
      <c r="V14">
        <f ca="1"/>
        <v>0.42739350645694063</v>
      </c>
    </row>
    <row r="15" spans="2:22">
      <c r="B15" s="36">
        <v>4.6762491444216288</v>
      </c>
      <c r="C15" s="58">
        <v>-0.23259445749872834</v>
      </c>
      <c r="D15" s="37"/>
      <c r="E15" s="15" t="str">
        <v>lambda</v>
      </c>
      <c r="F15" s="18">
        <v>2.0938874412023245</v>
      </c>
      <c r="N15">
        <v>11</v>
      </c>
      <c r="O15">
        <v>0.51221316324396293</v>
      </c>
      <c r="R15">
        <v>11</v>
      </c>
      <c r="S15">
        <v>0.50758599584420794</v>
      </c>
      <c r="U15">
        <v>11</v>
      </c>
      <c r="V15">
        <f ca="1"/>
        <v>0.50221518212334126</v>
      </c>
    </row>
    <row r="16" spans="2:22">
      <c r="B16" s="36">
        <v>4.9199178644763863</v>
      </c>
      <c r="C16" s="58">
        <v>-0.18676563991165873</v>
      </c>
      <c r="D16" s="37"/>
      <c r="N16">
        <v>12</v>
      </c>
      <c r="O16">
        <v>0.58300114671939407</v>
      </c>
      <c r="R16">
        <v>12</v>
      </c>
      <c r="S16">
        <v>0.57510649606613051</v>
      </c>
      <c r="U16">
        <v>12</v>
      </c>
      <c r="V16">
        <f ca="1"/>
        <v>0.56934028819688709</v>
      </c>
    </row>
    <row r="17" spans="2:22">
      <c r="B17" s="36">
        <v>5.1718001368925393</v>
      </c>
      <c r="C17" s="58">
        <v>-0.14296716972866375</v>
      </c>
      <c r="D17" s="37"/>
      <c r="N17">
        <v>13</v>
      </c>
      <c r="O17">
        <v>0.64481275452694731</v>
      </c>
      <c r="R17">
        <v>13</v>
      </c>
      <c r="S17">
        <v>0.63427242759946623</v>
      </c>
      <c r="U17">
        <v>13</v>
      </c>
      <c r="V17">
        <f ca="1"/>
        <v>0.63084959857605105</v>
      </c>
    </row>
    <row r="18" spans="2:22">
      <c r="B18" s="36">
        <v>5.5605749486652973</v>
      </c>
      <c r="C18" s="58">
        <v>-7.2671502452399075E-2</v>
      </c>
      <c r="D18" s="37"/>
      <c r="E18" s="21" t="s">
        <v>16</v>
      </c>
      <c r="F18" s="22" t="s">
        <v>18</v>
      </c>
      <c r="G18" s="23"/>
      <c r="H18" s="23"/>
      <c r="I18" s="23"/>
      <c r="J18" s="24" t="s">
        <v>25</v>
      </c>
      <c r="K18" s="23"/>
      <c r="L18" s="25"/>
      <c r="N18">
        <v>14</v>
      </c>
      <c r="O18">
        <v>0.69899427121229962</v>
      </c>
      <c r="R18">
        <v>14</v>
      </c>
      <c r="S18">
        <v>0.68656271664269308</v>
      </c>
      <c r="U18">
        <v>14</v>
      </c>
      <c r="V18">
        <f ca="1"/>
        <v>0.68768836571296099</v>
      </c>
    </row>
    <row r="19" spans="2:22">
      <c r="B19" s="36">
        <v>9.0568104038329906</v>
      </c>
      <c r="C19" s="58">
        <v>0.33447734408046792</v>
      </c>
      <c r="D19" s="37"/>
      <c r="E19" s="26" t="s">
        <v>3</v>
      </c>
      <c r="F19" s="27"/>
      <c r="G19" s="27"/>
      <c r="H19" s="27"/>
      <c r="I19" s="27"/>
      <c r="J19" s="28" t="s">
        <v>13</v>
      </c>
      <c r="K19" s="28" t="s">
        <v>14</v>
      </c>
      <c r="L19" s="29"/>
      <c r="N19">
        <v>15</v>
      </c>
      <c r="O19">
        <v>0.74670292715815001</v>
      </c>
      <c r="R19">
        <v>15</v>
      </c>
      <c r="S19">
        <v>0.73319663015961067</v>
      </c>
      <c r="U19">
        <v>15</v>
      </c>
      <c r="V19">
        <f ca="1"/>
        <v>0.73984620180293936</v>
      </c>
    </row>
    <row r="20" spans="2:22">
      <c r="B20" s="36">
        <v>9.5605749486652982</v>
      </c>
      <c r="C20" s="58">
        <v>0.39460076206491507</v>
      </c>
      <c r="D20" s="37"/>
      <c r="E20" s="30" t="s">
        <v>4</v>
      </c>
      <c r="F20" s="31">
        <v>1.9304967213149153</v>
      </c>
      <c r="G20" s="27" t="s">
        <v>8</v>
      </c>
      <c r="H20" s="27"/>
      <c r="I20" s="27"/>
      <c r="J20" s="27">
        <v>-50</v>
      </c>
      <c r="K20" s="27">
        <v>50</v>
      </c>
      <c r="L20" s="29" t="s">
        <v>4</v>
      </c>
      <c r="N20">
        <v>16</v>
      </c>
      <c r="O20">
        <v>0.78891779899429726</v>
      </c>
      <c r="R20">
        <v>16</v>
      </c>
      <c r="S20">
        <v>0.77516571835370163</v>
      </c>
      <c r="U20">
        <v>16</v>
      </c>
      <c r="V20">
        <f ca="1"/>
        <v>0.78671182120594196</v>
      </c>
    </row>
    <row r="21" spans="2:22">
      <c r="B21" s="36">
        <v>10.05886379192334</v>
      </c>
      <c r="C21" s="58">
        <v>0.44422798055702439</v>
      </c>
      <c r="D21" s="37"/>
      <c r="E21" s="30" t="s">
        <v>5</v>
      </c>
      <c r="F21" s="31">
        <v>-2.4617390442312699</v>
      </c>
      <c r="G21" s="27" t="s">
        <v>9</v>
      </c>
      <c r="H21" s="27"/>
      <c r="I21" s="27"/>
      <c r="J21" s="27">
        <v>-50</v>
      </c>
      <c r="K21" s="27">
        <v>50</v>
      </c>
      <c r="L21" s="29" t="s">
        <v>5</v>
      </c>
      <c r="N21">
        <v>17</v>
      </c>
      <c r="O21">
        <v>0.82645967725791358</v>
      </c>
      <c r="R21">
        <v>17</v>
      </c>
      <c r="S21">
        <v>0.81326993587193019</v>
      </c>
      <c r="U21">
        <v>17</v>
      </c>
      <c r="V21">
        <f ca="1"/>
        <v>0.82752227381257348</v>
      </c>
    </row>
    <row r="22" spans="2:22">
      <c r="B22" s="36">
        <v>11.561943874058864</v>
      </c>
      <c r="C22" s="58">
        <v>0.53025299335040099</v>
      </c>
      <c r="D22" s="37"/>
      <c r="E22" s="30" t="s">
        <v>6</v>
      </c>
      <c r="F22" s="31">
        <v>-3.4113420646361461</v>
      </c>
      <c r="G22" s="27" t="s">
        <v>10</v>
      </c>
      <c r="H22" s="27"/>
      <c r="I22" s="27"/>
      <c r="J22" s="27">
        <v>-50</v>
      </c>
      <c r="K22" s="27">
        <v>50</v>
      </c>
      <c r="L22" s="29" t="s">
        <v>6</v>
      </c>
      <c r="N22">
        <v>18</v>
      </c>
      <c r="O22">
        <v>0.86001339780261832</v>
      </c>
      <c r="R22">
        <v>18</v>
      </c>
      <c r="S22">
        <v>0.8481520066640359</v>
      </c>
      <c r="U22">
        <v>18</v>
      </c>
      <c r="V22">
        <f ca="1"/>
        <v>0.86182629906771446</v>
      </c>
    </row>
    <row r="23" spans="2:22">
      <c r="B23" s="36">
        <v>12.56125941136208</v>
      </c>
      <c r="C23" s="58">
        <v>0.60950086622838429</v>
      </c>
      <c r="D23" s="37"/>
      <c r="E23" s="30" t="s">
        <v>19</v>
      </c>
      <c r="F23" s="31">
        <v>-1.4947553612695803</v>
      </c>
      <c r="G23" s="27" t="s">
        <v>26</v>
      </c>
      <c r="H23" s="27"/>
      <c r="I23" s="27"/>
      <c r="J23" s="27">
        <v>-50</v>
      </c>
      <c r="K23" s="27">
        <v>50</v>
      </c>
      <c r="L23" s="29" t="s">
        <v>19</v>
      </c>
      <c r="N23">
        <v>19</v>
      </c>
      <c r="O23">
        <v>0.89014938868050641</v>
      </c>
      <c r="R23">
        <v>19</v>
      </c>
      <c r="S23">
        <v>0.8803276071666456</v>
      </c>
      <c r="U23">
        <v>19</v>
      </c>
      <c r="V23">
        <f ca="1"/>
        <v>0.88988143036461465</v>
      </c>
    </row>
    <row r="24" spans="2:22">
      <c r="B24" s="36">
        <v>16.057494866529773</v>
      </c>
      <c r="C24" s="58">
        <v>0.78918569131387728</v>
      </c>
      <c r="D24" s="37"/>
      <c r="E24" s="30" t="s">
        <v>20</v>
      </c>
      <c r="F24" s="31">
        <v>1.955981617130814</v>
      </c>
      <c r="G24" s="27" t="s">
        <v>11</v>
      </c>
      <c r="H24" s="27"/>
      <c r="I24" s="27"/>
      <c r="J24" s="27">
        <v>0</v>
      </c>
      <c r="K24" s="27">
        <v>50</v>
      </c>
      <c r="L24" s="29" t="s">
        <v>20</v>
      </c>
      <c r="N24">
        <v>20</v>
      </c>
      <c r="O24">
        <v>0.91734299307218969</v>
      </c>
      <c r="R24">
        <v>20</v>
      </c>
      <c r="S24">
        <v>0.91021073018970466</v>
      </c>
      <c r="U24">
        <v>20</v>
      </c>
      <c r="V24">
        <f ca="1"/>
        <v>0.9129044795221769</v>
      </c>
    </row>
    <row r="25" spans="2:22">
      <c r="B25" s="36">
        <v>18.562628336755647</v>
      </c>
      <c r="C25" s="58">
        <v>0.87734566737821373</v>
      </c>
      <c r="D25" s="37"/>
      <c r="E25" s="32" t="s">
        <v>21</v>
      </c>
      <c r="F25" s="33">
        <v>11.021765464054393</v>
      </c>
      <c r="G25" s="34" t="s">
        <v>27</v>
      </c>
      <c r="H25" s="34"/>
      <c r="I25" s="34"/>
      <c r="J25" s="34">
        <v>0</v>
      </c>
      <c r="K25" s="34">
        <v>50</v>
      </c>
      <c r="L25" s="35" t="s">
        <v>21</v>
      </c>
      <c r="N25">
        <v>21</v>
      </c>
      <c r="O25">
        <v>0.9419910992695717</v>
      </c>
      <c r="R25">
        <v>21</v>
      </c>
      <c r="S25">
        <v>0.93813443935491581</v>
      </c>
      <c r="U25">
        <v>21</v>
      </c>
      <c r="V25">
        <f ca="1"/>
        <v>0.93309503105846681</v>
      </c>
    </row>
    <row r="26" spans="2:22">
      <c r="B26" s="36">
        <v>21.056810403832991</v>
      </c>
      <c r="C26" s="58">
        <v>0.93888508776104629</v>
      </c>
      <c r="D26" s="37"/>
      <c r="N26">
        <v>22</v>
      </c>
      <c r="O26">
        <v>0.9644261008498598</v>
      </c>
      <c r="R26">
        <v>22</v>
      </c>
      <c r="S26">
        <v>0.96436757209618018</v>
      </c>
      <c r="U26">
        <v>22</v>
      </c>
      <c r="V26">
        <f ca="1"/>
        <v>0.95335157597307163</v>
      </c>
    </row>
    <row r="27" spans="2:22">
      <c r="B27" s="36">
        <v>22.05886379192334</v>
      </c>
      <c r="C27" s="58">
        <v>0.94946805803658918</v>
      </c>
      <c r="D27" s="37"/>
      <c r="E27" s="21" t="s">
        <v>12</v>
      </c>
      <c r="F27" s="25"/>
      <c r="N27">
        <v>23</v>
      </c>
      <c r="O27">
        <v>0.98492743546554207</v>
      </c>
      <c r="R27">
        <v>23</v>
      </c>
      <c r="S27">
        <v>0.98912804325907255</v>
      </c>
      <c r="U27">
        <v>23</v>
      </c>
      <c r="V27">
        <f ca="1"/>
        <v>0.97659991475180974</v>
      </c>
    </row>
    <row r="28" spans="2:22">
      <c r="B28" s="36">
        <v>24.057494866529773</v>
      </c>
      <c r="C28" s="58">
        <v>1.0079748016201266</v>
      </c>
      <c r="D28" s="37"/>
      <c r="E28" s="30" t="str">
        <f t="array" ref="E28:F35">_xll.meBondCurveSvenssonCalibrate(B5:B29,C5:C29)</f>
        <v>leastSquaresError</v>
      </c>
      <c r="F28" s="29">
        <v>2.1374830023064952E-3</v>
      </c>
      <c r="N28">
        <v>24</v>
      </c>
      <c r="O28">
        <v>1.0037310318512558</v>
      </c>
      <c r="R28">
        <v>24</v>
      </c>
      <c r="S28">
        <v>1.0125933749351026</v>
      </c>
      <c r="U28">
        <v>24</v>
      </c>
      <c r="V28">
        <f ca="1"/>
        <v>1.0046534593055201</v>
      </c>
    </row>
    <row r="29" spans="2:22">
      <c r="B29" s="59">
        <v>26.05886379192334</v>
      </c>
      <c r="C29" s="60">
        <v>1.0672721634347586</v>
      </c>
      <c r="D29" s="37"/>
      <c r="E29" s="30" t="str">
        <v>iterations</v>
      </c>
      <c r="F29" s="29">
        <v>293</v>
      </c>
      <c r="N29">
        <v>25</v>
      </c>
      <c r="O29">
        <v>1.0210370018787629</v>
      </c>
      <c r="R29">
        <v>25</v>
      </c>
      <c r="S29">
        <v>1.0349090022412537</v>
      </c>
      <c r="U29">
        <v>25</v>
      </c>
      <c r="V29">
        <f ca="1"/>
        <v>1.0365250635569496</v>
      </c>
    </row>
    <row r="30" spans="2:22">
      <c r="E30" s="30" t="str">
        <v>beta0</v>
      </c>
      <c r="F30" s="29">
        <v>1.9304967301256533</v>
      </c>
      <c r="N30">
        <v>26</v>
      </c>
      <c r="O30">
        <v>1.0370158870484616</v>
      </c>
      <c r="R30">
        <v>26</v>
      </c>
      <c r="S30">
        <v>1.0561948153342984</v>
      </c>
      <c r="U30">
        <v>26</v>
      </c>
      <c r="V30">
        <f ca="1"/>
        <v>1.0661100123882901</v>
      </c>
    </row>
    <row r="31" spans="2:22">
      <c r="E31" s="30" t="str">
        <v>beta1</v>
      </c>
      <c r="F31" s="29">
        <v>-2.4617390535209971</v>
      </c>
      <c r="N31">
        <v>27</v>
      </c>
      <c r="O31">
        <v>1.0518137280119297</v>
      </c>
      <c r="R31">
        <v>27</v>
      </c>
      <c r="S31">
        <v>1.0765503120711817</v>
      </c>
      <c r="U31">
        <v>27</v>
      </c>
      <c r="V31">
        <f ca="1"/>
        <v>1.0791597986610326</v>
      </c>
    </row>
    <row r="32" spans="2:22">
      <c r="E32" s="30" t="str">
        <v>beta2</v>
      </c>
      <c r="F32" s="29">
        <v>-3.4113420698606083</v>
      </c>
      <c r="N32">
        <v>28</v>
      </c>
      <c r="O32">
        <v>1.0655561826174358</v>
      </c>
      <c r="R32">
        <v>28</v>
      </c>
      <c r="S32">
        <v>1.0960586603784734</v>
      </c>
      <c r="U32">
        <v>28</v>
      </c>
      <c r="V32">
        <f ca="1"/>
        <v>1.0494663180239878</v>
      </c>
    </row>
    <row r="33" spans="5:12">
      <c r="E33" s="30" t="str">
        <v>beta3</v>
      </c>
      <c r="F33" s="29">
        <v>-1.4947553835818554</v>
      </c>
    </row>
    <row r="34" spans="5:12">
      <c r="E34" s="30" t="str">
        <v>lambda1</v>
      </c>
      <c r="F34" s="29">
        <v>1.9559816197390281</v>
      </c>
    </row>
    <row r="35" spans="5:12">
      <c r="E35" s="32" t="str">
        <v>lambda2</v>
      </c>
      <c r="F35" s="35">
        <v>11.021765530367192</v>
      </c>
    </row>
    <row r="37" spans="5:12">
      <c r="E37" t="str">
        <f ca="1">_xll.meUtilityRecord(FALSE,"C:\temp")</f>
        <v>Recording Disabled</v>
      </c>
    </row>
    <row r="39" spans="5:12">
      <c r="E39" s="38" t="s">
        <v>16</v>
      </c>
      <c r="F39" s="39" t="s">
        <v>30</v>
      </c>
      <c r="G39" s="47"/>
      <c r="H39" s="47"/>
      <c r="I39" s="47"/>
      <c r="J39" s="48" t="s">
        <v>24</v>
      </c>
      <c r="K39" s="48"/>
      <c r="L39" s="40"/>
    </row>
    <row r="40" spans="5:12">
      <c r="E40" s="41" t="s">
        <v>3</v>
      </c>
      <c r="F40" s="42"/>
      <c r="G40" s="42"/>
      <c r="H40" s="42"/>
      <c r="I40" s="42"/>
      <c r="J40" s="46" t="s">
        <v>13</v>
      </c>
      <c r="K40" s="46" t="s">
        <v>14</v>
      </c>
      <c r="L40" s="43"/>
    </row>
    <row r="41" spans="5:12">
      <c r="E41" s="44" t="s">
        <v>29</v>
      </c>
      <c r="F41" s="62">
        <v>7</v>
      </c>
      <c r="G41" s="42"/>
      <c r="H41" s="42"/>
      <c r="I41" s="42"/>
      <c r="J41" s="42">
        <v>-50</v>
      </c>
      <c r="K41" s="42">
        <v>50</v>
      </c>
      <c r="L41" s="43"/>
    </row>
    <row r="42" spans="5:12">
      <c r="E42" s="44" t="s">
        <v>31</v>
      </c>
      <c r="F42" s="45">
        <v>1000</v>
      </c>
      <c r="G42" s="42"/>
      <c r="H42" s="42"/>
      <c r="I42" s="42"/>
      <c r="J42" s="42"/>
      <c r="K42" s="42"/>
      <c r="L42" s="43"/>
    </row>
    <row r="43" spans="5:12">
      <c r="E43" s="49" t="s">
        <v>32</v>
      </c>
      <c r="F43" s="50">
        <v>100</v>
      </c>
      <c r="G43" s="51"/>
      <c r="H43" s="51"/>
      <c r="I43" s="51"/>
      <c r="J43" s="51"/>
      <c r="K43" s="51"/>
      <c r="L43" s="52"/>
    </row>
    <row r="46" spans="5:12">
      <c r="E46" s="38" t="s">
        <v>12</v>
      </c>
      <c r="F46" s="44"/>
    </row>
    <row r="47" spans="5:12">
      <c r="E47" s="44" t="str">
        <f t="array" aca="1" ref="E47:F60" ca="1">_xll.meUtilityResize(_xll.meBondCurvePolynomialCalibrate(F41,B5:B29,C5:C29),20,2)</f>
        <v>leastSquaresError</v>
      </c>
      <c r="F47" s="44">
        <f ca="1"/>
        <v>1.3363198701041099E-3</v>
      </c>
    </row>
    <row r="48" spans="5:12">
      <c r="E48" s="44" t="str">
        <f ca="1"/>
        <v>terations</v>
      </c>
      <c r="F48" s="44">
        <f ca="1"/>
        <v>117</v>
      </c>
    </row>
    <row r="49" spans="5:6">
      <c r="E49" s="44" t="str">
        <f ca="1"/>
        <v>x^7</v>
      </c>
      <c r="F49" s="44">
        <f ca="1"/>
        <v>-1.5946485542271001E-8</v>
      </c>
    </row>
    <row r="50" spans="5:6">
      <c r="E50" s="44" t="str">
        <f ca="1"/>
        <v>x^6</v>
      </c>
      <c r="F50" s="44">
        <f ca="1"/>
        <v>1.69399300631655E-6</v>
      </c>
    </row>
    <row r="51" spans="5:6">
      <c r="E51" s="44" t="str">
        <f ca="1"/>
        <v>x^5</v>
      </c>
      <c r="F51" s="44">
        <f ca="1"/>
        <v>-7.3086528126615897E-5</v>
      </c>
    </row>
    <row r="52" spans="5:6">
      <c r="E52" s="44" t="str">
        <f ca="1"/>
        <v>x^4</v>
      </c>
      <c r="F52" s="44">
        <f ca="1"/>
        <v>1.6415244048479699E-3</v>
      </c>
    </row>
    <row r="53" spans="5:6">
      <c r="E53" s="44" t="str">
        <f ca="1"/>
        <v>x^3</v>
      </c>
      <c r="F53" s="44">
        <f ca="1"/>
        <v>-2.02704381230128E-2</v>
      </c>
    </row>
    <row r="54" spans="5:6">
      <c r="E54" s="44" t="str">
        <f ca="1"/>
        <v>x^2</v>
      </c>
      <c r="F54" s="44">
        <f ca="1"/>
        <v>0.12806305518187</v>
      </c>
    </row>
    <row r="55" spans="5:6">
      <c r="E55" s="44" t="str">
        <f ca="1"/>
        <v>x^1</v>
      </c>
      <c r="F55" s="44">
        <f ca="1"/>
        <v>-0.21702850143508501</v>
      </c>
    </row>
    <row r="56" spans="5:6">
      <c r="E56" s="44" t="str">
        <f ca="1"/>
        <v>x^0</v>
      </c>
      <c r="F56" s="44">
        <f ca="1"/>
        <v>-0.57930826107835898</v>
      </c>
    </row>
    <row r="57" spans="5:6">
      <c r="E57" s="44" t="str">
        <f ca="1"/>
        <v/>
      </c>
      <c r="F57" s="44" t="str">
        <f ca="1"/>
        <v/>
      </c>
    </row>
    <row r="58" spans="5:6">
      <c r="E58" s="44" t="str">
        <f ca="1"/>
        <v/>
      </c>
      <c r="F58" s="44" t="str">
        <f ca="1"/>
        <v/>
      </c>
    </row>
    <row r="59" spans="5:6">
      <c r="E59" s="44" t="str">
        <f ca="1"/>
        <v/>
      </c>
      <c r="F59" s="44" t="str">
        <f ca="1"/>
        <v/>
      </c>
    </row>
    <row r="60" spans="5:6">
      <c r="E60" s="44" t="str">
        <f ca="1"/>
        <v/>
      </c>
      <c r="F60" s="44" t="str">
        <f ca="1"/>
        <v/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Castleton Ian</dc:creator>
  <cp:lastModifiedBy>Nicholas Burgess</cp:lastModifiedBy>
  <dcterms:created xsi:type="dcterms:W3CDTF">2018-06-05T13:58:01Z</dcterms:created>
  <dcterms:modified xsi:type="dcterms:W3CDTF">2018-08-31T09:41:13Z</dcterms:modified>
</cp:coreProperties>
</file>